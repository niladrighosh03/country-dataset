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outes" sheetId="1" r:id="rId4"/>
    <sheet state="visible" name="Tambourin" sheetId="2" r:id="rId5"/>
    <sheet state="visible" name="Pelota" sheetId="3" r:id="rId6"/>
    <sheet state="visible" name="Gouren" sheetId="4" r:id="rId7"/>
    <sheet state="visible" name="Camarague" sheetId="5" r:id="rId8"/>
  </sheets>
  <definedNames/>
  <calcPr/>
</workbook>
</file>

<file path=xl/sharedStrings.xml><?xml version="1.0" encoding="utf-8"?>
<sst xmlns="http://schemas.openxmlformats.org/spreadsheetml/2006/main" count="3050" uniqueCount="1759">
  <si>
    <t>Question No.</t>
  </si>
  <si>
    <t>Question</t>
  </si>
  <si>
    <t>Options</t>
  </si>
  <si>
    <t>Answer</t>
  </si>
  <si>
    <t>Description</t>
  </si>
  <si>
    <t>Question n°</t>
  </si>
  <si>
    <t>Question2</t>
  </si>
  <si>
    <t>Options2</t>
  </si>
  <si>
    <t>Répondre</t>
  </si>
  <si>
    <t>During a final pass, a jouster makes their opponent fall into the water but gets overbalanced and falls in themselves just moments later. What is the referee's ruling?</t>
  </si>
  <si>
    <t>A) The first to fall loses, B) The pass is a draw and must be re-run, C) The jouster who fell last wins, D) Both jousters are eliminated</t>
  </si>
  <si>
    <t>B) The pass is a draw and must be re-run</t>
  </si>
  <si>
    <t>If neither jouster can remain on their platform (tintaine), the pass is considered a draw, regardless of who fell first.</t>
  </si>
  <si>
    <t>A jouster from the red boat successfully unseats the jouster from the blue boat. What is the referee's signal to confirm the victory?</t>
  </si>
  <si>
    <t>A) They blow a whistle, B) They raise a red flag, C) They raise a blue flag, D) They fire a ceremonial pistol</t>
  </si>
  <si>
    <t>B) They raise a red flag</t>
  </si>
  <si>
    <t>The referee and judges use colored flags corresponding to the boat colors to clearly indicate the winner of the pass.</t>
  </si>
  <si>
    <t>In a tournament, a jouster is found to be using a lance that is longer than the maximum length allowed for their weight category. What is the consequence?</t>
  </si>
  <si>
    <t>A) They are given a warning, B) They are disqualified from the match, C) They can continue but cannot score points, D) They must switch to a legal lance</t>
  </si>
  <si>
    <t>B) They are disqualified from the match</t>
  </si>
  <si>
    <t>Using non-regulation equipment that provides an unfair advantage is a serious violation and results in disqualification.</t>
  </si>
  <si>
    <t>A jouster is in their stance on the tintaine, but their back foot is touching the wood outside of the marked white footprint. What is this foul called?</t>
  </si>
  <si>
    <t>A) A false start, B) An incorrect guard (garde incorrecte), C) A slip, D) There is no foul</t>
  </si>
  <si>
    <t>B) An incorrect guard (garde incorrecte)</t>
  </si>
  <si>
    <t>The rules require the jouster to keep their feet entirely within the designated painted areas on the tintaine during the pass.</t>
  </si>
  <si>
    <t>During a pass, a jouster's lance breaks upon impact with the opponent's shield, but neither jouster falls. What is the ruling?</t>
  </si>
  <si>
    <t>A) The jouster with the broken lance wins, B) The jouster with the broken lance loses, C) The pass is a draw and is re-run, D) The fight continues with the broken lances</t>
  </si>
  <si>
    <t>C) The pass is a draw and is re-run</t>
  </si>
  <si>
    <t>A broken lance is common. If no one falls, the pass is considered a draw and is re-run with new lances.</t>
  </si>
  <si>
    <t>A jouster is seen holding the lance with two hands to brace for impact. Why is this a foul?</t>
  </si>
  <si>
    <t>A) It is not a foul, B) It can damage the lance, C) It provides an unfair advantage and violates the one-handed rule, D) It is considered disrespectful</t>
  </si>
  <si>
    <t>C) It provides an unfair advantage and violates the one-handed rule</t>
  </si>
  <si>
    <t>The sport is a test of one-handed strength and skill. Using two hands on the lance is an illegal maneuver that results in the loss of the pass.</t>
  </si>
  <si>
    <t>A jouster successfully makes their opponent fall but, in the process, touches the platform (tintaine) with their free hand to keep balance. What is the call?</t>
  </si>
  <si>
    <t>A) The victory is valid, B) The jouster is declared "wet" for touching the platform (mouillé pour avoir briqué), and the pass is a draw, C) A 1-point penalty is awarded, D) The jouster is praised for their recovery</t>
  </si>
  <si>
    <t>B) The jouster is declared "wet" for touching the platform (mouillé pour avoir briqué), and the pass is a draw</t>
  </si>
  <si>
    <t>A jouster must not use their hands for balance. Touching the platform, even for a moment, is a foul that invalidates their win.</t>
  </si>
  <si>
    <t>In a team final, the overall score is tied after all scheduled passes. What is the most common procedure to determine the winner?</t>
  </si>
  <si>
    <t>A) The team with the fewest fouls wins, B) A final, tie-breaking pass is held between the best jousters of each team, C) The match is declared a draw, D) A coin is tossed</t>
  </si>
  <si>
    <t>B) A final, tie-breaking pass is held between the best jousters of each team</t>
  </si>
  <si>
    <t>A tie in a team match is typically broken by a "barrage" or a decisive pass between the top jousters of each society.</t>
  </si>
  <si>
    <t>A jouster is warned for striking an illegal target. Where on the opponent's body might they have aimed?</t>
  </si>
  <si>
    <t>A) The center of the shield, B) The opponent's lance, C) The opponent's body or head, D) The edge of the shield</t>
  </si>
  <si>
    <t>C) The opponent's body or head</t>
  </si>
  <si>
    <t>The rules are very strict: a jouster must only aim for the opponent's shield (pavois). Intentionally striking their body is a serious foul.</t>
  </si>
  <si>
    <t>The music from the peña stops abruptly mid-pass. What should the rowers on both boats do?</t>
  </si>
  <si>
    <t>A) Stop rowing immediately, B) Continue rowing until the pass is complete or the referee signals a stop, C) Row faster to end the pass quickly, D) Row backward to reset</t>
  </si>
  <si>
    <t>B) Continue rowing until the pass is complete or the referee signals a stop</t>
  </si>
  <si>
    <t>The music provides the rhythm, but the referee's whistle is the only official signal. The rowers must maintain their pace until the pass is finished.</t>
  </si>
  <si>
    <t>A jouster is seen "pumping" their lance up and down before impact. Why is this a foul?</t>
  </si>
  <si>
    <t>A) It is not a foul, B) It can generate unfair momentum and is not a steady guard, C) It is a sign of disrespect, D) It can distract the opponent</t>
  </si>
  <si>
    <t>B) It can generate unfair momentum and is not a steady guard</t>
  </si>
  <si>
    <t>The lance must be held in a steady, horizontal position. Pumping it is an illegal way to add extra force to the thrust.</t>
  </si>
  <si>
    <t>During a pass, a large wave hits the side of the red boat, causing its jouster to lose balance and fall. What is the ruling?</t>
  </si>
  <si>
    <t>A) The pass is re-run due to external interference, B) The jouster from the blue boat wins, C) The pass is a draw, D) The red team is disqualified</t>
  </si>
  <si>
    <t>B) The jouster from the blue boat wins</t>
  </si>
  <si>
    <t>Natural conditions like waves are considered part of the challenge. A fall is a fall, regardless of the cause, so the blue jouster wins the pass.</t>
  </si>
  <si>
    <t>A jouster's shield (pavois) shatters from the force of a legal impact, but the jouster remains on the platform while their opponent falls. What is the outcome?</t>
  </si>
  <si>
    <t>A) The pass is a draw due to equipment failure, B) The jouster with the broken shield loses, C) The jouster with the broken shield wins the pass, D) The pass must be re-run with new shields</t>
  </si>
  <si>
    <t>C) The jouster with the broken shield wins the pass</t>
  </si>
  <si>
    <t>The objective is to make the opponent fall. The condition of one's own equipment is irrelevant as long as the win is achieved legally.</t>
  </si>
  <si>
    <t>What is the primary role of the safety divers (plongeurs) in the water?</t>
  </si>
  <si>
    <t>A) To judge if a fall is clean, B) To ensure the immediate safety of a fallen jouster and retrieve their equipment, C) To push the boats into position, D) To splash the crowd for entertainment</t>
  </si>
  <si>
    <t>B) To ensure the immediate safety of a fallen jouster and retrieve their equipment</t>
  </si>
  <si>
    <t>The divers are the official safety and rescue personnel, a mandatory part of any official tournament.</t>
  </si>
  <si>
    <t>In the Languedocienne method, the boats must pass on which side of each other?</t>
  </si>
  <si>
    <t>A) On the right side (starboard-to-starboard), B) On the left side (port-to-port), C) It alternates with each pass, D) The helmsmen decide before each pass</t>
  </si>
  <si>
    <t>A) On the right side (starboard-to-starboard)</t>
  </si>
  <si>
    <t>The rules of this method are strict: the two boats must always pass on the right, meaning the jousters are on the right side of their respective boats.</t>
  </si>
  <si>
    <t>A jouster is about to fall but grabs their opponent's lance to stay on the platform. What is the ruling?</t>
  </si>
  <si>
    <t>A) This is a clever move and they are safe, B) It is a foul; the jouster who grabbed the lance is declared the loser of the pass, C) The pass is replayed, D) Both jousters are disqualified</t>
  </si>
  <si>
    <t>B) It is a foul; the jouster who grabbed the lance is declared the loser of the pass</t>
  </si>
  <si>
    <t>A jouster cannot touch the opponent or their lance with their hands. This is a foul that results in an immediate loss.</t>
  </si>
  <si>
    <t>A jouster's victory is protested. A video review shows that the winner's foot was slightly outside the marked footprint on the tintaine. What is the likely decision?</t>
  </si>
  <si>
    <t>A) The victory stands as the infraction was minor, B) The victory is overturned, and the pass is declared a draw, C) The winner is given a warning, D) The jury's decision is final</t>
  </si>
  <si>
    <t>B) The victory is overturned, and the pass is declared a draw</t>
  </si>
  <si>
    <t>The rule requiring feet to be inside the marks is absolute. A video review proving a foul would nullify the win.</t>
  </si>
  <si>
    <t>In the Alsatian method of jousting, the jousters are strapped to the boat. Why is this done?</t>
  </si>
  <si>
    <t>A) To prevent them from falling in, which is not the objective, B) It is a safety measure for beginners, C) To allow them to handle the extremely long and heavy lances used in that style, D) It is not a real rule</t>
  </si>
  <si>
    <t>C) To allow them to handle the extremely long and heavy lances used in that style</t>
  </si>
  <si>
    <t>The Alsatian style is a test of pure pushing power with very heavy equipment, and the jousters must be secured to the boat to manage the forces involved.</t>
  </si>
  <si>
    <t>A team's boat has only 9 rowers instead of the required 10. What is the consequence?</t>
  </si>
  <si>
    <t>A) They are allowed to compete at a disadvantage, B) They are not allowed to start the pass, C) They are given a 1-point penalty, D) They can use a motor to compensate</t>
  </si>
  <si>
    <t>B) They are not allowed to start the pass</t>
  </si>
  <si>
    <t>The rules for the composition of the boat crew are strict to ensure fairness. A team that is short a rower cannot start.</t>
  </si>
  <si>
    <t>A jouster is warned for not holding their lance correctly in the starting "guard" position. What is the correct position?</t>
  </si>
  <si>
    <t>A) Pointing straight up, B) Pointing down at the water, C) Held horizontally, parallel to the water, D) Resting on their shoulder</t>
  </si>
  <si>
    <t>C) Held horizontally, parallel to the water</t>
  </si>
  <si>
    <t>The lance must be held in a steady, horizontal "en garde" position to ensure a safe and fair engagement with the opponent.</t>
  </si>
  <si>
    <t>What is the ruling if a jouster falls, but their opponent's lance is found to have struck them on the body instead of the shield?</t>
  </si>
  <si>
    <t>A) The fall is valid, and the opponent wins, B) The opponent is disqualified for a dangerous foul, and the fallen jouster wins the pass, C) The pass is replayed, D) Both jousters are disqualified</t>
  </si>
  <si>
    <t>B) The opponent is disqualified for a dangerous foul, and the fallen jouster wins the pass</t>
  </si>
  <si>
    <t>A strike to the body is a major foul. If it causes a fall, the offender is penalized, and the victim is awarded the win.</t>
  </si>
  <si>
    <t>A jouster successfully unseats their opponent, but in the process, their own foot slips out of the marked footprint on the tintaine. What is the ruling?</t>
  </si>
  <si>
    <t>A) The victory is valid, B) It is a foul; the pass is a draw and must be re-run, C) The jouster who slipped is disqualified, D) The point is awarded to the opponent</t>
  </si>
  <si>
    <t>B) It is a foul; the pass is a draw and must be re-run</t>
  </si>
  <si>
    <t>A jouster must remain perfectly within the rules to be declared the winner. A foot fault at the moment of victory nullifies the win.</t>
  </si>
  <si>
    <t>A team's boat is found to be lighter than the minimum required weight during a pre-tournament inspection. What is the most likely consequence?</t>
  </si>
  <si>
    <t>A) They are allowed to compete with the lighter boat, B) They are disqualified from the tournament, C) They must add weights to the boat to meet the minimum requirement, D) They are given a point penalty in each match</t>
  </si>
  <si>
    <t>C) They must add weights to the boat to meet the minimum requirement</t>
  </si>
  <si>
    <t>Before disqualification, a team is usually given the opportunity to make their equipment compliant with the rules.</t>
  </si>
  <si>
    <t>A jouster is penalized for a coup de travers (cross-hit). What does this mean?</t>
  </si>
  <si>
    <t>A) They hit the shield with a sideways, slashing motion instead of a direct thrust, B) They hit the opponent's body, C) They hit the boat, D) They broke their lance</t>
  </si>
  <si>
    <t>A) They hit the shield with a sideways, slashing motion instead of a direct thrust</t>
  </si>
  <si>
    <t>The strike must be a direct, forward thrust. A sideways or sweeping blow is an illegal technique and is a foul.</t>
  </si>
  <si>
    <t>A jouster wins the pass, but the referee declares it an "administrative victory". What likely happened?</t>
  </si>
  <si>
    <t>A) The opponent was disqualified for a foul before the joust occurred, B) The opponent was the only one to show up, C) The opponent was injured in a previous round, D) The winner was chosen by the jury</t>
  </si>
  <si>
    <t>A) The opponent was disqualified for a foul before the joust occurred</t>
  </si>
  <si>
    <t>An administrative victory is awarded when the opponent is disqualified for a procedural reason (e.g., false start, illegal equipment) before the pass is completed.</t>
  </si>
  <si>
    <t>Why must a jouster keep their back straight and chest forward during the pass?</t>
  </si>
  <si>
    <t>A) It is for aesthetic style points, B) It is the strongest biomechanical position to absorb impact and deliver force, C) It makes them a bigger target, D) It is a rule of etiquette</t>
  </si>
  <si>
    <t>B) It is the strongest biomechanical position to absorb impact and deliver force</t>
  </si>
  <si>
    <t>This classic posture is essential for maintaining balance and channeling the full power of the body through the lance.</t>
  </si>
  <si>
    <t>A jouster is penalized for "feet lifted" (pieds levés). What does this mean?</t>
  </si>
  <si>
    <t>A) They lifted their feet completely off the tintaine during the impact, B) They were not wearing the correct shoes, C) They kicked their opponent, D) They jumped into the water</t>
  </si>
  <si>
    <t>A) They lifted their feet completely off the tintaine during the impact</t>
  </si>
  <si>
    <t>A jouster must absorb the shock with their feet firmly planted. Lifting the feet off the platform at the moment of impact is a foul.</t>
  </si>
  <si>
    <t>Why is it a rule that the rowers must stop rowing the moment the jousters make contact?</t>
  </si>
  <si>
    <t>A) To save energy, B) To prevent the boat from crashing into the quay, C) To ensure the outcome is decided by the joust itself, not by the continued push of the rowers, D) It is not a rule</t>
  </si>
  <si>
    <t>C) To ensure the outcome is decided by the joust itself, not by the continued push of the rowers</t>
  </si>
  <si>
    <t>The rowers provide the initial momentum, but the result of the pass must be determined by the skill and strength of the jousters at the moment of impact.</t>
  </si>
  <si>
    <t>A jouster is found to be wearing a weighted vest under their uniform. What is the consequence?</t>
  </si>
  <si>
    <t>A) They are allowed to compete, B) They are disqualified for cheating, C) They are moved to a heavier weight class, D) They are given a warning</t>
  </si>
  <si>
    <t>B) They are disqualified for cheating</t>
  </si>
  <si>
    <t>Artificially altering one's weight to gain an advantage in a specific category is a serious violation of the rules.</t>
  </si>
  <si>
    <t>What is the ruling if a jouster's broken lance hits a spectator?</t>
  </si>
  <si>
    <t>A) The jouster is disqualified, B) The match is immediately stopped, and medical aid is provided, C) The spectator is at fault for being too close, D) The match continues</t>
  </si>
  <si>
    <t>B) The match is immediately stopped, and medical aid is provided</t>
  </si>
  <si>
    <t>The safety of the public is a primary concern, and any such incident would require an immediate halt to the competition.</t>
  </si>
  <si>
    <t>In the Lyonnaise method, the boats are propelled by an electric motor. Who controls the speed of the boat?</t>
  </si>
  <si>
    <t>A) The jouster, B) The helmsman (patron), C) A dedicated operator for the motor, D) It is set at a constant speed</t>
  </si>
  <si>
    <t>C) A dedicated operator for the motor</t>
  </si>
  <si>
    <t>In this modern version, a specialist on the boat is responsible for managing the motor to ensure the correct speed and timing for the pass.</t>
  </si>
  <si>
    <t>A jouster is disqualified for having a "pavois non conforme" (non-compliant shield). What could be wrong with it?</t>
  </si>
  <si>
    <t>A) It is the wrong color, B) It is too heavy or has an illegal surface designed to repel the lance, C) It is too old, D) It is not decorated</t>
  </si>
  <si>
    <t>B) It is too heavy or has an illegal surface designed to repel the lance</t>
  </si>
  <si>
    <t>The shield must meet strict specifications for size, weight, and material to ensure a fair contest for both jousters.</t>
  </si>
  <si>
    <t>What is the main characteristic of the "Givordine" method of jousting?</t>
  </si>
  <si>
    <t>A) The boats pass on the left side of each other, B) The jousters are seated, C) The boats are propelled by a cable system, D) It is a non-contact version of the sport</t>
  </si>
  <si>
    <t>A) The boats pass on the left side of each other</t>
  </si>
  <si>
    <t>This is the key distinguishing rule of the Givors style, as opposed to the Sète style where boats must pass on the right.</t>
  </si>
  <si>
    <t>A jouster is penalized for not saluting the jury after a winning pass. Is this a correct call?</t>
  </si>
  <si>
    <t>A) No, saluting is optional, B) Yes, proper etiquette and salutes are a required part of the official rules, C) Only if the jury complains, D) Only in the final round</t>
  </si>
  <si>
    <t>B) Yes, proper etiquette and salutes are a required part of the official rules</t>
  </si>
  <si>
    <t>Sportsmanship and respect for the officials are written into the rules, and failing to salute is a punishable offense.</t>
  </si>
  <si>
    <t>A jouster is hit and falls. Their opponent's lance is found to have a tip that is sharper than the regulation. What is the ruling?</t>
  </si>
  <si>
    <t>A) The fall is valid, B) The opponent is disqualified for illegal equipment, and the pass is awarded to the fallen jouster, C) The pass is replayed with a legal lance, D) The opponent is given a warning</t>
  </si>
  <si>
    <t>B) The opponent is disqualified for illegal equipment, and the pass is awarded to the fallen jouster</t>
  </si>
  <si>
    <t>Using an illegally sharpened or modified weapon is a major safety violation and results in disqualification.</t>
  </si>
  <si>
    <t>The referee declares a pass a "no contest." What might have happened?</t>
  </si>
  <si>
    <t>A) One player fell, B) Both players fell, C) A major external interference (e.g., a spectator's boat crossing the path) made the pass unsafe or impossible, D) A player broke their lance</t>
  </si>
  <si>
    <t>C) A major external interference (e.g., a spectator's boat crossing the path) made the pass unsafe or impossible</t>
  </si>
  <si>
    <t>If a situation outside of the jousters' control prevents a fair pass, the referee can declare it void and order a re-run.</t>
  </si>
  <si>
    <t>A jouster is warned for using their shield to strike the opponent's lance. Why is this a foul?</t>
  </si>
  <si>
    <t>A) It is not a foul, B) It can damage the opponent's lance, C) The shield is for defense only; it cannot be used as an offensive weapon, D) It is considered poor sportsmanship</t>
  </si>
  <si>
    <t>C) The shield is for defense only; it cannot be used as an offensive weapon</t>
  </si>
  <si>
    <t>A jouster cannot use their shield to actively hit or interfere with the opponent's lance; they can only use it to receive the impact.</t>
  </si>
  <si>
    <t>What is the primary role of the "délégué" from the Federation at a major tournament?</t>
  </si>
  <si>
    <t>A) To be the main referee, B) To act as the ultimate authority, ensuring all ITPF/FFJSN rules are correctly applied, C) To be the official scorer, D) To be the event organizer</t>
  </si>
  <si>
    <t>B) To act as the ultimate authority, ensuring all ITPF/FFJSN rules are correctly applied</t>
  </si>
  <si>
    <t>The Federation Delegate is the highest-ranking official, there to supervise the entire event and rule on major protests.</t>
  </si>
  <si>
    <t>A jouster is found to be competing in a lower weight class than their actual weight. What is the consequence?</t>
  </si>
  <si>
    <t>A) They are moved to the correct class, B) They are disqualified from the tournament for cheating, C) They are allowed to continue with a penalty, D) The result of their last pass is reversed</t>
  </si>
  <si>
    <t>B) They are disqualified from the tournament for cheating</t>
  </si>
  <si>
    <t>"Making weight" is a fundamental rule of categorized sports. Competing in the wrong category is a serious violation.</t>
  </si>
  <si>
    <t>In a team event, the final score is tied. The two teams decide to share the victory. Is this allowed?</t>
  </si>
  <si>
    <t>A) Yes, by mutual agreement, B) No, a "ride-off" or tie-breaking pass must be held, C) Only if the jury agrees, D) Only in a friendly match</t>
  </si>
  <si>
    <t>B) No, a "ride-off" or tie-breaking pass must be held</t>
  </si>
  <si>
    <t>In a formal tournament, a clear winner for each match must be determined, and a tie-breaker is a mandatory procedure.</t>
  </si>
  <si>
    <t>A jouster is holding their lance in the "high guard" position, with the tip pointing up. Why is this a foul?</t>
  </si>
  <si>
    <t>A) It is a sign of disrespect, B) It is a safety violation, as it creates a risk of striking the opponent's head, C) It makes the lance harder to control, D) It is not a foul</t>
  </si>
  <si>
    <t>B) It is a safety violation, as it creates a risk of striking the opponent's head</t>
  </si>
  <si>
    <t>The lance must be held horizontally to ensure that the force is directed at the shield and not upwards towards the face.</t>
  </si>
  <si>
    <t>What is the ruling if a rower's oar breaks mid-pass, causing the boat to slow down and the jouster to lose?</t>
  </si>
  <si>
    <t>A) The pass is replayed due to equipment failure, B) The loss stands, as this is part of the challenge of the sport, C) The team is disqualified, D) The opposing team is awarded bonus points</t>
  </si>
  <si>
    <t>B) The loss stands, as this is part of the challenge of the sport</t>
  </si>
  <si>
    <t>An equipment failure on the part of the team (like a broken oar) is considered part of the "fortunes of war" and does not typically warrant a re-run.</t>
  </si>
  <si>
    <t>A jouster wins a pass. The referee raises a green flag, but a judge raises a red flag. How is this disagreement resolved?</t>
  </si>
  <si>
    <t>A) The referee's decision is final, B) The pass is replayed, C) The decision is made by a majority vote of the jury and referees, D) The jouster who fell decides</t>
  </si>
  <si>
    <t>C) The decision is made by a majority vote of the jury and referees</t>
  </si>
  <si>
    <t>The final ruling is not up to a single person but is determined by the majority opinion of the entire officiating panel.</t>
  </si>
  <si>
    <t>Why must the jouster's free hand remain open and not in a fist?</t>
  </si>
  <si>
    <t>A) It is more comfortable, B) To prevent the temptation of illegally punching the opponent, C) To help with balance, D) It is not a rule</t>
  </si>
  <si>
    <t>B) To prevent the temptation of illegally punching the opponent</t>
  </si>
  <si>
    <t>This is a specific rule of conduct to ensure that the contest remains a joust and does not devolve into a brawl.</t>
  </si>
  <si>
    <t>A jouster successfully makes their opponent fall, but their victory is protested. The jury rules that the winner's tintaine was illegally wide, giving them an unfair advantage. What is the outcome?</t>
  </si>
  <si>
    <t>A) The win stands, but the team is fined, B) The winner is disqualified, and the victory is awarded to the opponent, C) The pass is replayed, D) The protest is ignored</t>
  </si>
  <si>
    <t>B) The winner is disqualified, and the victory is awarded to the opponent</t>
  </si>
  <si>
    <t>A victory achieved with illegal equipment is nullified, and the win is given to the other jouster.</t>
  </si>
  <si>
    <t>What is the main reason that the boats are so heavily decorated for a major festival?</t>
  </si>
  <si>
    <t>A) To make them more aerodynamic, B) It is a display of the jousting society's pride, wealth, and tradition, C) To make them easier for the judges to see, D) It is a sponsor requirement</t>
  </si>
  <si>
    <t>B) It is a display of the jousting society's pride, wealth, and tradition</t>
  </si>
  <si>
    <t>The pageantry and decoration of the boats are a key part of the cultural spectacle and the rivalry between the clubs.</t>
  </si>
  <si>
    <t>A jouster is disqualified for being a member of two different jousting societies at the same time. Is this a real rule?</t>
  </si>
  <si>
    <t>A) No, a jouster can belong to multiple clubs, B) Yes, a jouster must be licensed to a single society for a season, C) Only if the clubs are rivals, D) Only for professional jousters</t>
  </si>
  <si>
    <t>B) Yes, a jouster must be licensed to a single society for a season</t>
  </si>
  <si>
    <t>Like in most organized sports, a player must be officially registered with one club to compete in the federation's championships.</t>
  </si>
  <si>
    <t>What is the ruling if a jouster is so powerful that their impact shatters the opponent's shield, but the opponent stays on the platform?</t>
  </si>
  <si>
    <t>A) The attacker wins for breaking the shield, B) The pass is a draw, C) The defender wins for their stability, D) The pass is replayed with new equipment</t>
  </si>
  <si>
    <t>B) The pass is a draw</t>
  </si>
  <si>
    <t>The objective is to make the opponent fall. Breaking their equipment, while impressive, does not score a win if they remain on the tintaine.</t>
  </si>
  <si>
    <t>What is the primary role of the President of the Jury?</t>
  </si>
  <si>
    <t>A) To be the main sponsor, B) To be the head official of the tournament with the final say on all protests and rule interpretations, C) To be the captain of the winning team, D) To be the mayor of the host city</t>
  </si>
  <si>
    <t>B) To be the head official of the tournament with the final say on all protests and rule interpretations</t>
  </si>
  <si>
    <t>This is the highest-ranking official at the event, responsible for overseeing the entire competition and making final rulings.</t>
  </si>
  <si>
    <t>In its essence, nautical jousting is a formal duel. What is the ultimate goal?</t>
  </si>
  <si>
    <t>A) To demonstrate which team has the fastest rowers, B) To prove one's courage, skill, and balance by unseating an opponent, C) To break as many lances as possible, D) To entertain the royal family</t>
  </si>
  <si>
    <t>B) To prove one's courage, skill, and balance by unseating an opponent</t>
  </si>
  <si>
    <t>The sport is a ritualized and non-lethal form of a knightly duel, a one-on-one contest of skill and bravery.</t>
  </si>
  <si>
    <t>A jouster is holding their lance with the tip pointing down at the water before the pass. Why is this a foul?</t>
  </si>
  <si>
    <t>A) It can damage the lance tip, B) It is a sign of disrespect, C) It is a safety violation and an incorrect starting position, D) It can scare the fish</t>
  </si>
  <si>
    <t>C) It is a safety violation and an incorrect starting position</t>
  </si>
  <si>
    <t>The lance must be held horizontally to ensure a safe and fair engagement. Pointing it down is an illegal "garde basse" (low guard).</t>
  </si>
  <si>
    <t>What is the ruling if a jouster is pushed off the tintaine by the body of their opponent, not their lance?</t>
  </si>
  <si>
    <t>A) The jouster who was pushed loses, B) It is a foul on the jouster who pushed, and they lose the pass, C) The pass is replayed, D) Both jousters are disqualified</t>
  </si>
  <si>
    <t>B) It is a foul on the jouster who pushed, and they lose the pass</t>
  </si>
  <si>
    <t>Contact must be made lance-to-shield only. Any intentional body contact is a major foul.</t>
  </si>
  <si>
    <t>A jouster's boat is hit by a large piece of floating debris mid-pass, causing them to lose. What is the likely ruling?</t>
  </si>
  <si>
    <t>A) The loss stands, B) The pass is replayed due to external interference, C) The opposing team is penalized, D) The boat is inspected for damage</t>
  </si>
  <si>
    <t>B) The pass is replayed due to external interference</t>
  </si>
  <si>
    <t>A random, external event that makes a fair joust impossible is grounds for a re-run.</t>
  </si>
  <si>
    <t>Why is it a rule that the rowers must all be facing forward, away from the direction of travel?</t>
  </si>
  <si>
    <t>A) It is more comfortable for them, B) This is the traditional and most powerful method of rowing for this type of boat, C) To prevent them from distracting the jouster, D) So they cannot see the impact</t>
  </si>
  <si>
    <t>B) This is the traditional and most powerful method of rowing for this type of boat</t>
  </si>
  <si>
    <t>This is the classic Mediterranean style of rowing, where the rowers push on the oars while standing and facing forward to generate maximum power.</t>
  </si>
  <si>
    <t>A team's boat is found to be heavier than the maximum allowed weight. What is the consequence?</t>
  </si>
  <si>
    <t>A) They are allowed to compete, B) They are disqualified, C) They are given a handicap, D) The opposing team gets a head start</t>
  </si>
  <si>
    <t>B) They are disqualified</t>
  </si>
  <si>
    <t>The weight of the boats is standardized. A heavier boat would have more momentum, providing an illegal advantage.</t>
  </si>
  <si>
    <t>A jouster is holding their shield too high, exposing their lower torso. What will the referee likely do?</t>
  </si>
  <si>
    <t>A) Nothing, it is the jouster's own risk, B) Pause the pass and issue a warning for an "incorrect guard," C) Award a point to the opponent, D) Let the pass continue</t>
  </si>
  <si>
    <t>B) Pause the pass and issue a warning for an "incorrect guard,"</t>
  </si>
  <si>
    <t>The referee is responsible for safety and will enforce the rules that require the shield to be held in the correct protective position.</t>
  </si>
  <si>
    <t>A jouster successfully makes their opponent fall, but is found to be using a lance that is illegally flexible. What is the ruling?</t>
  </si>
  <si>
    <t>A) The win is valid, B) The win is nullified due to illegal equipment, and the opponent wins the pass, C) The pass is replayed, D) A penalty is given</t>
  </si>
  <si>
    <t>B) The win is nullified due to illegal equipment, and the opponent wins the pass</t>
  </si>
  <si>
    <t>A lance that is too flexible can create a "catapult" effect, which is an illegal advantage.</t>
  </si>
  <si>
    <t>What is the primary role of the "President of the Jury"?</t>
  </si>
  <si>
    <t>A) To be the main sponsor, B) To be the head official with the final say on all protests and rule interpretations, C) To be the captain of the winning team, D) To be the mayor of the host city</t>
  </si>
  <si>
    <t>B) To be the head official with the final say on all protests and rule interpretations</t>
  </si>
  <si>
    <t>A jouster's victory is protested. The jury rules that the winner's tintaine was illegally wide, giving them an unfair advantage. What is the outcome?</t>
  </si>
  <si>
    <t>A jouster is found to have an illegally modified lance tip that is extra sharp. What is the immediate consequence?</t>
  </si>
  <si>
    <t>A) The tip is blunted, and a warning is issued, B) The jouster is disqualified from the tournament for a major safety violation, C) The jouster forfeits the current pass, D) A 6-point penalty is applied</t>
  </si>
  <si>
    <t>B) The jouster is disqualified from the tournament for a major safety violation</t>
  </si>
  <si>
    <t>Tampering with the weapon to make it more dangerous is a severe breach of the rules and results in immediate expulsion.</t>
  </si>
  <si>
    <t>What is the ruling if a jouster is clearly intoxicated before their pass?</t>
  </si>
  <si>
    <t>A) They are allowed to compete at their own risk, B) They are immediately disqualified by the referee or jury, C) They are given a warning and told to drink water, D) The pass is postponed</t>
  </si>
  <si>
    <t>B) They are immediately disqualified by the referee or jury</t>
  </si>
  <si>
    <t>For the safety of everyone involved, a competitor under the influence of alcohol or drugs is not permitted to participate.</t>
  </si>
  <si>
    <t>A jouster is warned for not wearing their protective plastron (chest protector) correctly. Is this a valid call?</t>
  </si>
  <si>
    <t>A) No, the plastron is optional, B) Yes, all safety equipment must be worn as specified by the rules, C) Only if the opponent complains, D) Only in the heavyweight category</t>
  </si>
  <si>
    <t>B) Yes, all safety equipment must be worn as specified by the rules</t>
  </si>
  <si>
    <t>The wooden chest protector is a key piece of safety gear, and the referee must ensure it is properly fitted.</t>
  </si>
  <si>
    <t>What is the "Coupe de France"?</t>
  </si>
  <si>
    <t>A) The main season-long championship, B) A prestigious national knockout tournament, C) A tournament for junior jousters, D) A ceremonial event</t>
  </si>
  <si>
    <t>B) A prestigious national knockout tournament</t>
  </si>
  <si>
    <t>The Coupe de France is a major knockout cup competition, separate from the league-style championship.</t>
  </si>
  <si>
    <t>A jouster's shield (pavois) has a small dent in it from a previous pass. Can they still use it?</t>
  </si>
  <si>
    <t>A) No, it must be replaced, B) Yes, as long as it is structurally sound, C) Only if the opponent agrees, D) They will receive a point penalty</t>
  </si>
  <si>
    <t>B) Yes, as long as it is structurally sound</t>
  </si>
  <si>
    <t>Minor cosmetic damage is normal. The shield is only replaced if it is broken or compromised in a way that affects safety or fairness.</t>
  </si>
  <si>
    <t>What is the name of the competition for jousters in the lightest weight category?</t>
  </si>
  <si>
    <t>A) Featherweights, B) Juniors, C) Lightweights (légers), D) Cadets</t>
  </si>
  <si>
    <t>C) Lightweights (légers)</t>
  </si>
  <si>
    <t>The senior competition is divided into several weight classes, including light, middle, and heavy.</t>
  </si>
  <si>
    <t>A jouster successfully makes their opponent fall, but their own foot slips out of the marked footprint on the tintaine. What is the ruling?</t>
  </si>
  <si>
    <t>The rules for the composition of the boat crew are strict to ensure fairness. A team that is short a rower cannot compete.</t>
  </si>
  <si>
    <t>A jouster is using a lance that has a slight curve in it. Is this allowed?</t>
  </si>
  <si>
    <t>A) Yes, if it helps them aim better, B) No, the lance must be perfectly straight, C) Only if the opponent agrees, D) Only in the junior category</t>
  </si>
  <si>
    <t>B) No, the lance must be perfectly straight</t>
  </si>
  <si>
    <t>The equipment is standardized, and a curved lance would be illegal as it could provide an unfair advantage or be unpredictable.</t>
  </si>
  <si>
    <t>A) The boats pass on the left side, B) The jousters are seated, C) The boats are propelled by a cable system, D) It is a non-contact version</t>
  </si>
  <si>
    <t>A) The boats pass on the left side</t>
  </si>
  <si>
    <t>A jouster successfully unseats their opponent. To whom does the glory of the victory belong?</t>
  </si>
  <si>
    <t>A) Only to the individual jouster, B) To the jouster, the rowers, the helmsman, and their entire society, C) To the boat builder, D) To the city's mayor</t>
  </si>
  <si>
    <t>B) To the jouster, the rowers, the helmsman, and their entire society</t>
  </si>
  <si>
    <t>A victory in jousting is considered a total team and community effort.</t>
  </si>
  <si>
    <t>What is the ruling if a jouster touches their opponent with their free hand to push them?</t>
  </si>
  <si>
    <t>A) It is a legal tactic, B) It is a foul, and the jouster loses the pass, C) A warning is issued, D) The pass is replayed</t>
  </si>
  <si>
    <t>B) It is a foul, and the jouster loses the pass</t>
  </si>
  <si>
    <t>A jouster is strictly forbidden from touching their opponent with any part of their body.</t>
  </si>
  <si>
    <t>What is the primary role of the musician on the boat?</t>
  </si>
  <si>
    <t>A) To entertain the crowd, B) To provide the rhythm for the rowers with their oboe and drum, C) To signal fouls to the referee, D) To be a substitute rower</t>
  </si>
  <si>
    <t>B) To provide the rhythm for the rowers with their oboe and drum</t>
  </si>
  <si>
    <t>The musician is a functional part of the crew, as their tempo dictates the speed of the boat's approach.</t>
  </si>
  <si>
    <t>A jouster is wearing a white outfit, but their socks are red, the color of the opposing boat. Why is this a foul?</t>
  </si>
  <si>
    <t>A) It is not a foul, B) It can be confusing for the judges, C) Red socks are considered bad luck, D) It violates the strict all-white uniform rule</t>
  </si>
  <si>
    <t>D) It violates the strict all-white uniform rule</t>
  </si>
  <si>
    <t>The rules require the jouster's attire to be entirely white, down to the socks, to ensure uniformity and clear judging.</t>
  </si>
  <si>
    <t>What is the main reason a jouster must remain on the tintaine for the entire pass?</t>
  </si>
  <si>
    <t>A) It is the most dangerous spot, B) It is the ultimate test of balance, the core skill of the sport, C) It is the only place they can hold the lance, D) It provides the best view</t>
  </si>
  <si>
    <t>B) It is the ultimate test of balance, the core skill of the sport</t>
  </si>
  <si>
    <t>The entire sport is designed around the challenge of staying balanced on this tiny, unstable platform during a violent impact.</t>
  </si>
  <si>
    <t>A jouster is seen to be "pumping" their lance up and down before impact. Why is this a foul?</t>
  </si>
  <si>
    <t>A) It can distract the opponent, B) It can generate unfair momentum, C) It is not a traditional technique, D) It is not a foul</t>
  </si>
  <si>
    <t>B) It can generate unfair momentum</t>
  </si>
  <si>
    <t>What is the final action a jouster must perform after a successful, winning pass?</t>
  </si>
  <si>
    <t>A) Celebrate with their team, B) Shake hands with the opponent, C) Salute the jury and the public, D) Jump into the water</t>
  </si>
  <si>
    <t>C) Salute the jury and the public</t>
  </si>
  <si>
    <t>Proper etiquette requires the winning jouster to perform a salute with their lance to the officials and the crowd as a sign of respect.</t>
  </si>
  <si>
    <t>A jouster is disqualified for having a lance that is too heavy. Why would a maximum weight rule exist?</t>
  </si>
  <si>
    <t>A) A heavier lance is more dangerous, B) To ensure fairness and prevent an advantage in windy conditions, C) A heavier lance is more likely to break, D) It is not a rule</t>
  </si>
  <si>
    <t>B) To ensure fairness and prevent an advantage in windy conditions</t>
  </si>
  <si>
    <t>A very heavy lance is less affected by wind, so a maximum weight limit ensures all riders face similar challenges.</t>
  </si>
  <si>
    <t>A rider's horse is lame, so they borrow a horse. Is this allowed?</t>
  </si>
  <si>
    <t>A) Yes, if the owner agrees, B) No, a rider must compete on their registered horse, C) Only in practice, D) Only if the horses are the same color</t>
  </si>
  <si>
    <t>B) No, a rider must compete on their registered horse</t>
  </si>
  <si>
    <t>In official competitions, a rider and their horse are a registered pair. A rider cannot switch to a different horse.</t>
  </si>
  <si>
    <t>What does the term "full pass" mean in a team event?</t>
  </si>
  <si>
    <t>A) The team has advanced, B) All four riders scored a Full Peg, C) All four riders missed, D) The team finished on time</t>
  </si>
  <si>
    <t>B) All four riders scored a Full Peg</t>
  </si>
  <si>
    <t>A "full pass" is a perfect run, often earning a bonus.</t>
  </si>
  <si>
    <t>A rider is penalized for "crossing." What does this mean in a team event?</t>
  </si>
  <si>
    <t>A) They crossed the finish line too slowly, B) They crossed into a teammate's path, creating a hazard, C) They crossed their legs while riding, D) They used a cross-breed horse</t>
  </si>
  <si>
    <t>B) They crossed into a teammate's path, creating a hazard</t>
  </si>
  <si>
    <t>In a section attack, each rider must maintain their lane. Crossing into another rider's path is a very dangerous foul.</t>
  </si>
  <si>
    <t>What is the primary reason for using a sabre for Lemon Cutting?</t>
  </si>
  <si>
    <t>A) It looks traditional, B) A curved blade is designed for slicing, C) It is lighter, D) It is sharper</t>
  </si>
  <si>
    <t>B) A curved blade is designed for slicing</t>
  </si>
  <si>
    <t>The curve of a sabre allows the blade to slice through a target efficiently as the rider gallops past.</t>
  </si>
  <si>
    <t>What is a key mental skill for a Tent Pegger?</t>
  </si>
  <si>
    <t>A) The ability to ignore pressure and focus intensely on a single point, B) A good memory for rules, C) The ability to do math quickly, D) A loud voice</t>
  </si>
  <si>
    <t>A) The ability to ignore pressure and focus intensely on a single point</t>
  </si>
  <si>
    <t>The sport requires immense concentration to perform a precise action in a high-speed, high-pressure environment.</t>
  </si>
  <si>
    <t>A rider's horse is wearing blinkers. What is their purpose?</t>
  </si>
  <si>
    <t>A) To protect the horse's eyes, B) To restrict the horse's vision and keep it focused ahead, C) They are decorative, D) They help the horse see at night</t>
  </si>
  <si>
    <t>B) To restrict the horse's vision and keep it focused ahead</t>
  </si>
  <si>
    <t>Blinkers prevent the horse from being distracted by movement to its side or rear, ensuring it runs straight.</t>
  </si>
  <si>
    <t>What is the ruling if a rider lifts the peg sideways on the lance?</t>
  </si>
  <si>
    <t>A) A Full Peg is awarded, B) A Drawn Peg is awarded, C) No points are awarded, D) The run is replayed</t>
  </si>
  <si>
    <t>A) A Full Peg is awarded</t>
  </si>
  <si>
    <t>The manner in which the peg is attached to the lance does not matter. As long as it is lifted and carried, it is a full score.</t>
  </si>
  <si>
    <t>In a tie-breaker, how might officials increase the difficulty?</t>
  </si>
  <si>
    <t>A) Make riders use a heavier lance, B) Decrease the width of the peg, C) Make riders go faster, D) Make the track longer</t>
  </si>
  <si>
    <t>B) Decrease the width of the peg</t>
  </si>
  <si>
    <t>To separate the best riders, the challenge is increased by using a smaller target.</t>
  </si>
  <si>
    <t>What is the main reason a rider holds the lance near its base?</t>
  </si>
  <si>
    <t>A) It is a rule, B) It provides maximum reach and leverage, C) It is easier to balance, D) It protects the hand</t>
  </si>
  <si>
    <t>B) It provides maximum reach and leverage</t>
  </si>
  <si>
    <t>Holding the lance at its end, like a pool cue, allows for the longest and most stable extension of the arm.</t>
  </si>
  <si>
    <t>What is the penalty for using an illegally sharpened lance tip?</t>
  </si>
  <si>
    <t>A) They must blunt it, B) Immediate disqualification, C) A point penalty, D) A warning</t>
  </si>
  <si>
    <t>B) Immediate disqualification</t>
  </si>
  <si>
    <t>A sharpened lance is a major safety violation that can cause serious injury to the horse if the rider misses.</t>
  </si>
  <si>
    <t>A rider completes a run in 5 seconds and gets a Full Peg. Is this valid?</t>
  </si>
  <si>
    <t>A) Yes, with a speed bonus, B) No, the run was too fast, C) Yes, as it is under the maximum time limit, D) No, there is a minimum time limit</t>
  </si>
  <si>
    <t>C) Yes, as it is under the maximum time limit</t>
  </si>
  <si>
    <t>There is a maximum time limit, but no minimum. A fast run is a sign of a skilled rider.</t>
  </si>
  <si>
    <t>What is the difference between a "lance" and a "sword" run?</t>
  </si>
  <si>
    <t>A) The lance pierces, the sword cuts, B) The sword run is slower, C) The lance run is safer, D) No difference</t>
  </si>
  <si>
    <t>A) The lance pierces, the sword cuts</t>
  </si>
  <si>
    <t>These disciplines test two different historical cavalry skills: the thrust of the lance and the slice of the sabre.</t>
  </si>
  <si>
    <t>What is the most important characteristic of the track surface?</t>
  </si>
  <si>
    <t>A) It must be grass, B) It must be sand, C) It must be level, firm, and free of obstacles, D) It must be sloped</t>
  </si>
  <si>
    <t>C) It must be level, firm, and free of obstacles</t>
  </si>
  <si>
    <t>A safe and fair track must be consistent and predictable to prevent horses from stumbling.</t>
  </si>
  <si>
    <t>What is a "skills-at-arms" event?</t>
  </si>
  <si>
    <t>A) A single run with multiple tasks, like spearing a peg and cutting a lemon, B) Jumping obstacles, C) A dressage test, D) A horse race</t>
  </si>
  <si>
    <t>A) A single run with multiple tasks, like spearing a peg and cutting a lemon</t>
  </si>
  <si>
    <t>This is a composite event that tests a rider's mastery of various weapons and targeting skills in one go.</t>
  </si>
  <si>
    <t>Why must riders wear heeled boots?</t>
  </si>
  <si>
    <t>A) It is a tradition, B) They provide better grip, C) The heel prevents the foot from slipping through the stirrup, D) They look professional</t>
  </si>
  <si>
    <t>C) The heel prevents the foot from slipping through the stirrup</t>
  </si>
  <si>
    <t>A heeled boot is a fundamental piece of equestrian safety equipment that can prevent a rider from being dragged in a fall.</t>
  </si>
  <si>
    <t>What is a "clean run"?</t>
  </si>
  <si>
    <t>A) A run with a Full Peg, B) A run completed without any penalties or fouls, C) A run where the uniform stays clean, D) A very fast run</t>
  </si>
  <si>
    <t>B) A run completed without any penalties or fouls</t>
  </si>
  <si>
    <t>A "clean run" is one where the rider commits no faults, such as a false start, time fault, or dropping their weapon.</t>
  </si>
  <si>
    <t>What is the purpose of the slow-motion replay camera?</t>
  </si>
  <si>
    <t>A) To make the event look dramatic, B) To help judges make accurate decisions, C) To help coaches, D) To entertain the crowd</t>
  </si>
  <si>
    <t>B) To help judges make accurate decisions</t>
  </si>
  <si>
    <t>Slow-motion replay is a crucial officiating tool for reviewing close calls and protests.</t>
  </si>
  <si>
    <t>What does it mean for a rider to have "soft hands"?</t>
  </si>
  <si>
    <t>A) They have weak hands, B) They guide the horse with light rein cues, C) They wear soft gloves, D) They are a beginner</t>
  </si>
  <si>
    <t>B) They guide the horse with light rein cues</t>
  </si>
  <si>
    <t>"Soft hands" signify an expert horseman who communicates through subtle signals.</t>
  </si>
  <si>
    <t>What is the ruling if a rider protests about sun glare?</t>
  </si>
  <si>
    <t>A) They get a re-run, B) The protest is dismissed, C) The competition is paused, D) They get partial points</t>
  </si>
  <si>
    <t>B) The protest is dismissed</t>
  </si>
  <si>
    <t>Environmental conditions like sun glare are considered part of the sport's challenge.</t>
  </si>
  <si>
    <t>What is the primary difference between a lance and a spear?</t>
  </si>
  <si>
    <t>A) No difference, B) A lance is for use on horseback, C) A spear is longer, D) A lance is metal</t>
  </si>
  <si>
    <t>B) A lance is for use on horseback</t>
  </si>
  <si>
    <t>A lance is a type of spear specifically adapted for cavalry use.</t>
  </si>
  <si>
    <t>What is the main purpose of "desensitization training" for horses?</t>
  </si>
  <si>
    <t>A) To ignore audience noise and sudden movements, B) To accept lance thrusts, C) To reduce fear of flags, D) All of the above</t>
  </si>
  <si>
    <t>D) All of the above</t>
  </si>
  <si>
    <t>Horses must remain calm despite loud, sudden, and unusual competition stimuli to perform safely and effectively.</t>
  </si>
  <si>
    <t>Which discipline demands the rider to change weapons mid-run?</t>
  </si>
  <si>
    <t>A) Lemon cutting, B) Double pegging, C) Sword &amp; lance event, D) Relay pegging</t>
  </si>
  <si>
    <t>C) Sword &amp; lance event</t>
  </si>
  <si>
    <t>This rare format tests mastery of both weapons in one gallop, requiring the rider to switch from one to the other.</t>
  </si>
  <si>
    <t>What is the ruling if a peg is struck but bounces out due to loose soil?</t>
  </si>
  <si>
    <t>A) Full points, B) Half points, C) Marshal decides, D) No points</t>
  </si>
  <si>
    <t>A) Full points</t>
  </si>
  <si>
    <t>A peg leaving the ground counts as a valid dislodgement, regardless of the soil condition.</t>
  </si>
  <si>
    <t>Why are horses often trained without saddles in early drills?</t>
  </si>
  <si>
    <t>A) To toughen riders, B) To improve the rider's core balance and leg grip, C) To prevent saddle damage, D) To increase horse stamina</t>
  </si>
  <si>
    <t>B) To improve the rider's core balance and leg grip</t>
  </si>
  <si>
    <t>Bareback riding is a fundamental equestrian exercise that enhances a rider's balance and stability before using a saddle.</t>
  </si>
  <si>
    <t>What is the ruling if a rider completes a run in under the time limit but misses the peg?</t>
  </si>
  <si>
    <t>A) Bonus time points, B) No points are scored, C) A 2-point deduction, D) A warning is issued</t>
  </si>
  <si>
    <t>B) No points are scored</t>
  </si>
  <si>
    <t>Speed without accuracy has no reward in Tent Pegging. The primary objective is to strike the target.</t>
  </si>
  <si>
    <t>Which country introduced "international relay pegging" as a popular showcase sport?</t>
  </si>
  <si>
    <t>A) UAE, B) Oman, C) Pakistan, D) Australia</t>
  </si>
  <si>
    <t>D) Australia</t>
  </si>
  <si>
    <t>Australia has been a key promoter of the fast-paced and spectator-friendly relay pegging format in international exhibitions.</t>
  </si>
  <si>
    <t>Why are lances never made entirely of metal in competitions?</t>
  </si>
  <si>
    <t>A) They would be too heavy, B) A broken metal lance would create dangerous sharp edges or shrapnel, C) They are too expensive, D) It is not a traditional material</t>
  </si>
  <si>
    <t>B) A broken metal lance would create dangerous sharp edges or shrapnel</t>
  </si>
  <si>
    <t>Metal shards are a significant hazard compared to the way wood or fiberglass splinters, making them unsafe for the sport.</t>
  </si>
  <si>
    <t>Which equestrian event shares the closest similarity in skill set with Tent Pegging?</t>
  </si>
  <si>
    <t>A) Jousting, B) Polo, C) Mounted Archery, D) Dressage</t>
  </si>
  <si>
    <t>C) Mounted Archery</t>
  </si>
  <si>
    <t>Both Tent Pegging and Mounted Archery require the rider to control a horse at speed while performing a precise weapon-based action.</t>
  </si>
  <si>
    <t>What is the maximum number of suspended rings allowed in one "ring pegging" run?</t>
  </si>
  <si>
    <t>A) 1, B) 2, C) 3, D) 4</t>
  </si>
  <si>
    <t>B) 2</t>
  </si>
  <si>
    <t>Regulations typically allow a maximum of two rings to be collected in a single run, testing both accuracy and speed.</t>
  </si>
  <si>
    <t>What is the primary reason the starting signal is critical?</t>
  </si>
  <si>
    <t>A) To synchronize riders for team events, B) To prevent early start disputes, C) To ensure fair and consistent timing for all competitors, D) All of the above</t>
  </si>
  <si>
    <t>A clear and consistent start signal is fundamental to the fairness, timing, and organization of the competition.</t>
  </si>
  <si>
    <t>Which horse breed is considered to have the best acceleration for the short Tent Pegging track?</t>
  </si>
  <si>
    <t>A) Arabian, B) Marwari, C) Thoroughbred, D) Kathiawari</t>
  </si>
  <si>
    <t>C) Thoroughbred</t>
  </si>
  <si>
    <t>Thoroughbreds are renowned for their explosive sprint speed, making them excellent for a short, timed track.</t>
  </si>
  <si>
    <t>What is the judge's role immediately after each run is completed?</t>
  </si>
  <si>
    <t>A) To measure the length of the lance, B) To inspect the soil depth, C) To clearly signal the points scored for that run, D) To ensure the horse exits the track safely</t>
  </si>
  <si>
    <t>C) To clearly signal the points scored for that run</t>
  </si>
  <si>
    <t>Judges must promptly and clearly signal the result (e.g., with flags) to the scorers and the audience to maintain the event's flow.</t>
  </si>
  <si>
    <t>What is the main reason a rider must have excellent cardiovascular fitness?</t>
  </si>
  <si>
    <t>A) To run if unhorsed, B) To withstand the physical exertion of controlling a horse at speed while performing a powerful action, C) To hold their breath for a long time, D) It is not important</t>
  </si>
  <si>
    <t>B) To withstand the physical exertion of controlling a horse at speed while performing a powerful action</t>
  </si>
  <si>
    <t>Tent Pegging is an intensely physical sport that requires a high level of fitness from the rider to maintain control and accuracy.</t>
  </si>
  <si>
    <t>What is the penalty for a team whose members are not wearing matching uniforms?</t>
  </si>
  <si>
    <t>A) They are not allowed to start, B) A point deduction, C) A fine is imposed, D) A verbal warning is given</t>
  </si>
  <si>
    <t>A) They are not allowed to start</t>
  </si>
  <si>
    <t>In formal team events, matching attire is a requirement for participation to ensure a professional and organized appearance.</t>
  </si>
  <si>
    <t>In which country did the ITPF World Cup take place in 2013?</t>
  </si>
  <si>
    <t>A) Pakistan, B) India, C) Oman, D) South Africa</t>
  </si>
  <si>
    <t>D) South Africa</t>
  </si>
  <si>
    <t>The inaugural ITPF World Cup, a major step in the sport's modernization, was held in Pretoria, South Africa.</t>
  </si>
  <si>
    <t>Why is it important for a horse to be trained to not fear the whip?</t>
  </si>
  <si>
    <t>A) So the rider can hit it harder, B) A horse that fears the whip may panic or bolt when it is used for cues, C) It is not important, D) So the whip can be used on other horses</t>
  </si>
  <si>
    <t>B) A horse that fears the whip may panic or bolt when it is used for cues</t>
  </si>
  <si>
    <t>The whip is a tool for guidance. A horse must be trained to respond to it as a signal, not to react with fear, which would make it uncontrollable.</t>
  </si>
  <si>
    <t>What does the "Indian File" event test in a team?</t>
  </si>
  <si>
    <t>A) The team's collective speed, B) Each rider's individual focus while riding in a tight formation, C) The team's ability to share a single lance, D) The beauty of the horses</t>
  </si>
  <si>
    <t>B) Each rider's individual focus while riding in a tight formation</t>
  </si>
  <si>
    <t>In this event, riders follow one after another, and each must concentrate on their own target without being distracted by the rider in front.</t>
  </si>
  <si>
    <t>What is the most common serious injury for a Tent Pegging rider?</t>
  </si>
  <si>
    <t>A) Wrist strain from the lance, B) Shoulder dislocation or injury from the force of the strike, C) Lower back strain, D) Leg fractures from falls</t>
  </si>
  <si>
    <t>B) Shoulder dislocation or injury from the force of the strike</t>
  </si>
  <si>
    <t>The immense force generated during the lance thrust, especially if the lance gets stuck, puts the shoulder joint at a high risk of injury.</t>
  </si>
  <si>
    <t>Which scoring error is most frequently challenged by riders?</t>
  </si>
  <si>
    <t>A) The timing of the run, B) The distinction between a "Drawn Peg" (2 points) and a miss (0 points), C) The horse stepping out of the track width, D) The weight of the lance</t>
  </si>
  <si>
    <t>B) The distinction between a "Drawn Peg" (2 points) and a miss (0 points)</t>
  </si>
  <si>
    <t>Determining whether the peg was slightly moved or fully dislodged from the ground is a common point of contention.</t>
  </si>
  <si>
    <t>What is the primary purpose of the "run-up" area before the start line?</t>
  </si>
  <si>
    <t>A) It is a waiting area for the riders, B) It allows the horse to build up to a steady and controlled gallop, C) It is for warming up the horse, D) It is for the spectators to see the horses</t>
  </si>
  <si>
    <t>B) It allows the horse to build up to a steady and controlled gallop</t>
  </si>
  <si>
    <t>A horse needs this space to accelerate and find its rhythm before the timed portion of the run begins.</t>
  </si>
  <si>
    <t>A rider is disqualified for using an "unorthodox" riding style. What might they have done?</t>
  </si>
  <si>
    <t>A) Ridden too fast, B) Held the lance with two hands during the strike, C) Shouted during the run, D) Worn the wrong color uniform</t>
  </si>
  <si>
    <t>B) Held the lance with two hands during the strike</t>
  </si>
  <si>
    <t>The sport requires proper one-handed equestrian form. Using two hands, standing on the saddle, or other non-standard postures are fouls.</t>
  </si>
  <si>
    <t>A) To toughen the riders, B) To improve the rider's core balance and leg grip, C) To prevent damage to expensive saddles, D) To increase the horse's stamina</t>
  </si>
  <si>
    <t>Which country is often credited with the modern revival and international promotion of Tent Pegging?</t>
  </si>
  <si>
    <t>A) Pakistan, B) Oman, C) India, D) South Africa</t>
  </si>
  <si>
    <t>B) Oman</t>
  </si>
  <si>
    <t>While the sport is popular in South Asia, the Sultanate of Oman has invested heavily in creating world-class facilities and hosting major international tournaments.</t>
  </si>
  <si>
    <t>What is the penalty for dropping the lance mid-run before reaching the peg?</t>
  </si>
  <si>
    <t>A) The run is replayed, B) The run is disqualified and scores zero, C) A 2-point deduction is applied, D) A verbal warning is issued</t>
  </si>
  <si>
    <t>B) The run is disqualified and scores zero</t>
  </si>
  <si>
    <t>A rider must maintain control of their weapon throughout the entire attempt for the run to be valid.</t>
  </si>
  <si>
    <t>What is the maximum height a peg can be placed above the soil according to ITPF rules?</t>
  </si>
  <si>
    <t>A) 8 cm, B) 10 cm, C) 15 cm, D) 20 cm</t>
  </si>
  <si>
    <t>C) 15 cm</t>
  </si>
  <si>
    <t>The peg's height is standardized (around 12-15 cm) to ensure visibility and a fair challenge for all riders.</t>
  </si>
  <si>
    <t>Which equestrian event shares the closest historical origin with Tent Pegging?</t>
  </si>
  <si>
    <t>A) Polo, B) Barrel Racing, C) Jousting, D) Dressage</t>
  </si>
  <si>
    <t>C) Jousting</t>
  </si>
  <si>
    <t>Both Tent Pegging and Jousting evolved from medieval cavalry drills that involved using a lance from horseback to strike a target.</t>
  </si>
  <si>
    <t>A) They receive bonus points for speed, B) A score of 0 is awarded, C) They get a 2-point deduction for the miss, D) A warning is issued</t>
  </si>
  <si>
    <t>B) A score of 0 is awarded</t>
  </si>
  <si>
    <t>Speed without accuracy has no reward in Tent Pegging. The primary objective is to successfully strike the target.</t>
  </si>
  <si>
    <t>What is the primary reason lances are not made of metal in modern competitions?</t>
  </si>
  <si>
    <t>What is the most enduring legacy of the game of jeu de paume?</t>
  </si>
  <si>
    <t>A) It is still a popular global sport, B) It provided the foundational rules, terminology, and concepts for modern sports like tennis and Pelota, C) It was the first sport to use a racket, D) It was an Olympic sport</t>
  </si>
  <si>
    <t>B) It provided the foundational rules, terminology, and concepts for modern sports like tennis and Pelota</t>
  </si>
  <si>
    <t>The ancient "game of the palm" is one of the most important ancestors in the history of sports, giving rise to many modern racket and ball games.</t>
  </si>
  <si>
    <t>During an outdoor Tambourin match, a player hits the ball, and it lands directly on the opponent's baseline. What is the referee's call?</t>
  </si>
  <si>
    <t>A) The ball is out, B) The point is replayed, C) The ball is in, D) It is a fault</t>
  </si>
  <si>
    <t>C) The ball is in</t>
  </si>
  <si>
    <t>The boundary lines are considered part of the playing court. A ball landing on any line is a valid, "in" shot.</t>
  </si>
  <si>
    <t>A server from Team A strikes the ball for a serve, but their foot touches the baseline before the ball is hit. What is the ruling?</t>
  </si>
  <si>
    <t>A) It is a legal serve, B) It is a "foot fault," and Team A loses the point, C) The server gets a second chance, D) A warning is issued</t>
  </si>
  <si>
    <t>B) It is a "foot fault," and Team A loses the point</t>
  </si>
  <si>
    <t>The server's feet must remain behind the baseline until the moment the ball has been struck. A foot fault results in the loss of the point.</t>
  </si>
  <si>
    <t>In a championship match, a player's tambourin breaks in the middle of a rally. What is the correct procedure?</t>
  </si>
  <si>
    <t>A) The player must continue with the broken tambourin, B) The player's team loses the point, C) The referee calls a "let," and the point is replayed, D) The player is disqualified</t>
  </si>
  <si>
    <t>C) The referee calls a "let," and the point is replayed</t>
  </si>
  <si>
    <t>If a player's equipment fails during a live point through no fault of their own, the point is immediately stopped and replayed to ensure fairness.</t>
  </si>
  <si>
    <t>A player hits a powerful shot that strikes an opponent's body before it bounces. What is the result?</t>
  </si>
  <si>
    <t>A) The point is replayed, B) The player who was hit loses the point, C) The player who hit the ball loses the point, D) A foul is called on the hitter</t>
  </si>
  <si>
    <t>B) The player who was hit loses the point</t>
  </si>
  <si>
    <t>The ball must be returned with the tambourin. If it hits a player's body, it is a fault, and that player's team loses the point.</t>
  </si>
  <si>
    <t>A team is leading a game 40-15. What is this score known as?</t>
  </si>
  <si>
    <t>A) Advantage, B) Set point, C) Triple game point, D) A clean sweep</t>
  </si>
  <si>
    <t>C) Triple game point</t>
  </si>
  <si>
    <t>"Triple game point" is the term for when a team has three consecutive opportunities to win the current game.</t>
  </si>
  <si>
    <t>During a match, a player from Team A is injured and cannot continue. The team has already used its three substitutions. What happens now?</t>
  </si>
  <si>
    <t>A) The team must continue with four players, B) The team must forfeit the match, C) The injured player can return later, D) The match is declared a draw</t>
  </si>
  <si>
    <t>A) The team must continue with four players</t>
  </si>
  <si>
    <t>Unlike some sports, a team is allowed to continue the match with fewer players if they have no more available substitutes.</t>
  </si>
  <si>
    <t>In an indoor match, a player hits the ball, and it bounces in the central "neutral zone." What is the ruling?</t>
  </si>
  <si>
    <t>A) It is a point for the team that hit it, B) It is a fault, and the team that hit it loses the point, C) The point is replayed, D) The ball is still in play</t>
  </si>
  <si>
    <t>B) It is a fault, and the team that hit it loses the point</t>
  </si>
  <si>
    <t>The neutral zone is a "dead" area. A team that causes the ball to land there loses the point.</t>
  </si>
  <si>
    <t>A player is found to be using a tambourin with a double layer of synthetic skin to create an illegal "trampoline" effect. What is the ruling?</t>
  </si>
  <si>
    <t>A) This is a legal innovation, B) The tambourin is illegal, and the player is disqualified, C) The player can use it but cannot score points, D) A warning is issued</t>
  </si>
  <si>
    <t>B) The tambourin is illegal, and the player is disqualified</t>
  </si>
  <si>
    <t>All equipment must conform to the official standards. Tampering with the tambourin to gain an unfair advantage is a major violation.</t>
  </si>
  <si>
    <t>A player serves, and the ball hits the ground just beyond the center line but before the 15-meter service line. What is the call?</t>
  </si>
  <si>
    <t>A) A legal serve, B) A fault; the serve is "short", C) The point is replayed, D) A warning is issued</t>
  </si>
  <si>
    <t>B) A fault; the serve is "short"</t>
  </si>
  <si>
    <t>The serve must land in the service reception area, which is the space between the 15-meter service line and the baseline.</t>
  </si>
  <si>
    <t>The score in a game is 40-40. What is this score called in French?</t>
  </si>
  <si>
    <t>A) Jeu, B) Quarante-A, C) Égalité, D) Balle de jeu</t>
  </si>
  <si>
    <t>C) Égalité</t>
  </si>
  <si>
    <t>"Égalité" is the French term for deuce, or 40-40. From this score, a team must win two consecutive points to win the game.</t>
  </si>
  <si>
    <t>A player hits a powerful shot that hits an overhanging tree branch before landing in the opponent's court. What is the ruling?</t>
  </si>
  <si>
    <t>A) The point is replayed due to interference, B) Play continues, C) It is a fault, and the player's team loses the point, D) It is a point for the hitting team</t>
  </si>
  <si>
    <t>C) It is a fault, and the player's team loses the point</t>
  </si>
  <si>
    <t>Any ball that hits an overhead obstruction like a tree branch or roof beam is immediately considered "out," and the team that hit it loses the point.</t>
  </si>
  <si>
    <t>A player is penalized for "prolonged contact" with the ball. What does this mean?</t>
  </si>
  <si>
    <t>A) They hit the ball twice, B) They caught or held the ball on the tambourin instead of striking it cleanly, C) They held onto the ball with their hand, D) They took too long to hit the ball</t>
  </si>
  <si>
    <t>B) They caught or held the ball on the tambourin instead of striking it cleanly</t>
  </si>
  <si>
    <t>The ball must be hit in a distinct, single motion. Scooping, carrying, or holding it on the tambourin is a foul.</t>
  </si>
  <si>
    <t>During a match, a player's coach steps onto the court to argue a call. What is the immediate consequence?</t>
  </si>
  <si>
    <t>A) The coach is given a warning, B) The coach's team is penalized a point for "third-party interference", C) The match is replayed, D) The coach is asked to leave</t>
  </si>
  <si>
    <t>B) The coach's team is penalized a point for "third-party interference"</t>
  </si>
  <si>
    <t>Only the players are allowed on the court. A coach entering the court during play is a serious foul that results in a penalty.</t>
  </si>
  <si>
    <t>What is the main characteristic that distinguishes the outdoor sport of Tambourin from tennis?</t>
  </si>
  <si>
    <t>A) It is played with a ball, B) It is a team sport, C) There is no physical net separating the two teams, D) It is played on a rectangular court</t>
  </si>
  <si>
    <t>C) There is no physical net separating the two teams</t>
  </si>
  <si>
    <t>The outdoor game is played over a simple line on the ground (la corde), not a raised net, which creates a unique set of tactics.</t>
  </si>
  <si>
    <t>A player is substituted out of the match in the first set. Can they return to the game in the second set?</t>
  </si>
  <si>
    <t>A) Yes, at any time, B) Yes, but only in the next set, C) No, a player who has been substituted out cannot re-enter the match, D) Only if another player gets injured</t>
  </si>
  <si>
    <t>C) No, a player who has been substituted out cannot re-enter the match</t>
  </si>
  <si>
    <t>Once a player is replaced by a substitute, they are finished for the remainder of that match.</t>
  </si>
  <si>
    <t>The referee issues a yellow card to a player. What does this signify?</t>
  </si>
  <si>
    <t>A) The end of the game, B) A formal warning for unsportsmanlike conduct, C) A point has been scored, D) A substitution is requested</t>
  </si>
  <si>
    <t>B) A formal warning for unsportsmanlike conduct</t>
  </si>
  <si>
    <t>A yellow card is a standard official warning. A second yellow card often results in a point penalty or a red card (disqualification).</t>
  </si>
  <si>
    <t>In an outdoor match, a player hits the ball, and it hits their own teammate after it has legally bounced in the opponent's court. What is the call?</t>
  </si>
  <si>
    <t>A) It is a fault on the first team, B) It is a point for the first team, as the opponent failed to play the ball after the bounce, C) The point is replayed, D) It is a fault on the opponent for not moving</t>
  </si>
  <si>
    <t>B) It is a point for the first team, as the opponent failed to play the ball after the bounce</t>
  </si>
  <si>
    <t>Once the ball has legally bounced in the opponent's court, the point is won. The subsequent accidental contact is irrelevant.</t>
  </si>
  <si>
    <t>What is the main role of the fond player?</t>
  </si>
  <si>
    <t>A) To play volleys at the front, B) To be the team captain, C) To play from the back of the court and use powerful shots, D) To serve for the team</t>
  </si>
  <si>
    <t>C) To play from the back of the court and use powerful shots</t>
  </si>
  <si>
    <t>The fond (back) is the team's powerhouse, responsible for the deep serves and powerful baseline strokes needed to control the 80-meter court.</t>
  </si>
  <si>
    <t>What is the ruling if a player throws their tambourin and hits the ball?</t>
  </si>
  <si>
    <t>A) It is a legal, if desperate, move, B) It is a foul for "throwing the bat", C) The point is replayed, D) The player is disqualified</t>
  </si>
  <si>
    <t>B) It is a foul for "throwing the bat"</t>
  </si>
  <si>
    <t>The tambourin must be held in the hand when striking the ball. Throwing it is a clear foul.</t>
  </si>
  <si>
    <t>In the indoor game, a player hits the ball off the side wall, and it then lands in the opponent's court. Is this a legal shot?</t>
  </si>
  <si>
    <t>A) Yes, in some versions the side walls are in play, B) No, it is a fault, C) The point is replayed, D) Only if it hits the back wall first</t>
  </si>
  <si>
    <t>A) Yes, in some versions the side walls are in play</t>
  </si>
  <si>
    <t>In some forms of indoor Tamburello (like "Tamburello a Muro"), the side walls are an integral part of the court, allowing for complex angle shots.</t>
  </si>
  <si>
    <t>A team captain respectfully asks the referee to explain a rule, not to dispute a call. What should the referee do?</t>
  </si>
  <si>
    <t>A) Ignore the captain, B) Penalize the captain for delaying the game, C) Briefly and calmly explain the application of the rule, D) Ask the opposing captain for their opinion</t>
  </si>
  <si>
    <t>C) Briefly and calmly explain the application of the rule</t>
  </si>
  <si>
    <t>The captain is the only player who can speak to the referee, and they have the right to request a rule clarification during a stoppage.</t>
  </si>
  <si>
    <t>A player is found to be wearing shoes with small spikes or cleats. Why is this a foul?</t>
  </si>
  <si>
    <t>A) It can damage the asphalt playing surface, B) It gives an unfair grip advantage, C) It is a safety hazard to other players, D) All of the above</t>
  </si>
  <si>
    <t>Spiked shoes are illegal as they damage the court, provide an unfair advantage, and pose a significant risk of injury during play.</t>
  </si>
  <si>
    <t>A player hits the ball and it strikes their own teammate before crossing the center line. What is the ruling?</t>
  </si>
  <si>
    <t>A) It is a fault, and the team loses the point, B) The point is replayed as it was an accident, C) Play continues, D) The player who was hit is penalized</t>
  </si>
  <si>
    <t>A) It is a fault, and the team loses the point</t>
  </si>
  <si>
    <t>The ball must travel into the opponent's court. If it hits a teammate first, the hitting team has made an error and loses the point.</t>
  </si>
  <si>
    <t>In a tie-break game, the score is 7-7. What must a team do to win?</t>
  </si>
  <si>
    <t>A) The next point wins, B) They must win by two clear points (e.g., 9-7), C) The game is a draw, D) The referee decides the winner</t>
  </si>
  <si>
    <t>B) They must win by two clear points (e.g., 9-7)</t>
  </si>
  <si>
    <t>As in tennis, a tie-break must be won by a two-point margin.</t>
  </si>
  <si>
    <t>A player is hit by a ball struck by an opponent, but the player was standing outside the court boundaries. Who wins the point?</t>
  </si>
  <si>
    <t>A) The player who was hit (their team), B) The player who hit the ball (their team), C) The point is replayed, D) A "let" is called</t>
  </si>
  <si>
    <t>A) The player who was hit (their team)</t>
  </si>
  <si>
    <t>If the ball strikes an opponent who is standing outside the playing court, the hitting team has hit the ball "out," and therefore loses the point.</t>
  </si>
  <si>
    <t>A serve hits the center line on the ground and bounces into the correct service area. What is the call?</t>
  </si>
  <si>
    <t>A) It is a fault, B) It is a "let" and the serve is replayed, C) It is a legal serve, D) The server loses the point</t>
  </si>
  <si>
    <t>C) It is a legal serve</t>
  </si>
  <si>
    <t>Unlike in tennis where a serve hitting the net is a "let," in Tambourin, a serve that hits the center line and lands in the correct service box is a live, legal serve.</t>
  </si>
  <si>
    <t>A player is penalized for an "illegal substitution." What might have happened?</t>
  </si>
  <si>
    <t>A) They substituted a player who was not on the roster, B) They made a substitution during a live rally, C) They exceeded their maximum of three substitutions, D) All of the above</t>
  </si>
  <si>
    <t>All of these are violations of the formal substitution rules and would result in a penalty.</t>
  </si>
  <si>
    <t>What is the ruling if a player hits the ball, and it hits the ground in their own court before going over the line?</t>
  </si>
  <si>
    <t>A) The point is replayed, B) It is a fault, and their team loses the point, C) Play continues, D) The opposing team gets to serve next</t>
  </si>
  <si>
    <t>B) It is a fault, and their team loses the point</t>
  </si>
  <si>
    <t>The ball must be struck directly into the opponent's court; it cannot bounce on the hitter's own side first.</t>
  </si>
  <si>
    <t>A team is leading a set 5-2. What is the current situation called?</t>
  </si>
  <si>
    <t>A) Game point, B) Triple Set Point, C) Match point, D) Advantage</t>
  </si>
  <si>
    <t>B) Triple Set Point</t>
  </si>
  <si>
    <t>"Set point" is when a team is one point away from winning the set. As they can win the set by winning any of the next three games, it is a "triple set point."</t>
  </si>
  <si>
    <t>A player is hit by a ball from an adjacent court. What is the referee's decision?</t>
  </si>
  <si>
    <t>A) The player who was hit loses the point, B) Play continues, C) The referee calls a "let" and the point is replayed, D) The team that hit the stray ball is penalized</t>
  </si>
  <si>
    <t>C) The referee calls a "let" and the point is replayed</t>
  </si>
  <si>
    <t>A ball entering from another court is a form of external interference, which requires the current point to be stopped and replayed.</t>
  </si>
  <si>
    <t>A player hits a shot that goes between the referee's legs and lands in the opponent's court. What is the ruling?</t>
  </si>
  <si>
    <t>A) The shot is legal and a point is scored, B) The point is replayed due to interference with the referee, C) It is a fault on the hitting player, D) The referee is penalized</t>
  </si>
  <si>
    <t>B) The point is replayed due to interference with the referee</t>
  </si>
  <si>
    <t>A ball passing through an official's legs, or hitting them, is considered interference. The only fair ruling is to replay the point.</t>
  </si>
  <si>
    <t>In an indoor match, a player serves, and the ball hits the ceiling before landing in the opponent's court. Is this a legal serve?</t>
  </si>
  <si>
    <t>A) Yes, B) No, it is a fault, C) The serve is replayed, D) Only if it lands in the service box</t>
  </si>
  <si>
    <t>B) No, it is a fault</t>
  </si>
  <si>
    <t>The ceiling and any overhead fixtures are considered out of play. A ball hitting them is a fault.</t>
  </si>
  <si>
    <t>Two players on the same team swing at the ball at the same time, and both hit it simultaneously. What is the ruling?</t>
  </si>
  <si>
    <t>A) It is a legal shot, B) It is a fault for a "double hit", C) The point is replayed, D) The team is given a warning</t>
  </si>
  <si>
    <t>A) It is a legal shot</t>
  </si>
  <si>
    <t>As long as the strike is a single, simultaneous action by two players, it is considered a legal, single hit.</t>
  </si>
  <si>
    <t>A player serves underhand. Is this a legal technique?</t>
  </si>
  <si>
    <t>A) No, all serves must be overhand, B) Yes, an underhand serve is perfectly legal, C) Only if the player is a junior, D) It is a fault</t>
  </si>
  <si>
    <t>B) Yes, an underhand serve is perfectly legal</t>
  </si>
  <si>
    <t>There is no rule that specifies the style of the serve. Both overhand and underhand deliveries are permitted.</t>
  </si>
  <si>
    <t>The referee issues a red card to a player. What does this mean?</t>
  </si>
  <si>
    <t>A) A formal warning, B) The player is ejected from the match, C) The team loses a point, D) The team must forfeit</t>
  </si>
  <si>
    <t>B) The player is ejected from the match</t>
  </si>
  <si>
    <t>A red card is the signal for a disqualification, usually given for a very serious foul or for accumulating multiple warnings.</t>
  </si>
  <si>
    <t>During a rally, a player's hat falls onto the court. What is the correct procedure?</t>
  </si>
  <si>
    <t>A) The point is immediately stopped and replayed, B) Play continues unless the hat interferes with the point, C) The player who dropped the hat loses the point, D) The player is given a warning</t>
  </si>
  <si>
    <t>B) Play continues unless the hat interferes with the point</t>
  </si>
  <si>
    <t>If an article of clothing falls off, play continues. It only becomes a "let" if the fallen object actually obstructs or affects the play.</t>
  </si>
  <si>
    <t>A player from Team A hits the ball. It hits the ground in Team B's court and then hits a player from Team B. What is the call?</t>
  </si>
  <si>
    <t>A) A point for Team A, B) A point for Team B, C) The point is replayed, D) A foul on the Team B player for not moving</t>
  </si>
  <si>
    <t>A) A point for Team A</t>
  </si>
  <si>
    <t>Once the ball has legally bounced in the opponent's court, the point is won by the hitting team. Subsequent contact with a player is irrelevant.</t>
  </si>
  <si>
    <t>In its essence, Balle au Tambourin is a test of what skills?</t>
  </si>
  <si>
    <t>A) Raw power and strength, B) Team strategy, coordination, and individual skill, C) Pure speed and agility, D) Only the ability to serve well</t>
  </si>
  <si>
    <t>B) Team strategy, coordination, and individual skill</t>
  </si>
  <si>
    <t>The sport requires a combination of individual technical skill (hitting, serving) and sophisticated team coordination and positioning to be played at a high level.</t>
  </si>
  <si>
    <t>A player is penalized for "verbal abuse." What might they have done?</t>
  </si>
  <si>
    <t>A) Shouted instructions to a teammate, B) Argued respectfully with the referee, C) Used insulting or offensive language towards an opponent or official, D) Celebrated a point loudly</t>
  </si>
  <si>
    <t>C) Used insulting or offensive language towards an opponent or official</t>
  </si>
  <si>
    <t>Verbal abuse is a serious breach of sportsmanship and is penalized with a point deduction or disqualification.</t>
  </si>
  <si>
    <t>What is the main reason for the strict rules regarding substitutions?</t>
  </si>
  <si>
    <t>A) To make the game harder, B) To ensure fairness and prevent teams from using substitutions for tactical stalling, C) To save time, D) To protect the players</t>
  </si>
  <si>
    <t>B) To ensure fairness and prevent teams from using substitutions for tactical stalling</t>
  </si>
  <si>
    <t>The rules are designed to allow for player changes due to injury or tactics, but not in a way that disrupts the flow or fairness of the game.</t>
  </si>
  <si>
    <t>A player hits the ball, and it hits their own teammate before crossing the center line. What is the call?</t>
  </si>
  <si>
    <t>A) It is a fault, and the team loses the point, B) The point is replayed, C) Play continues as it was an accident, D) The player who was hit is penalized</t>
  </si>
  <si>
    <t>If a player is struck by a ball hit by their own side (before it has been played by an opponent), it is a fault.</t>
  </si>
  <si>
    <t>What is the ruling if a player throws their tambourin to hit the ball?</t>
  </si>
  <si>
    <t>In the indoor game, a player hits the ball, and it hits the side wall before landing in the opponent's court. Is this a legal shot?</t>
  </si>
  <si>
    <t>In some forms of indoor Tamburello (like "Tamburello a Muro"), playing the ball off the side walls is a legal and strategic part of the game.</t>
  </si>
  <si>
    <t>What is the main role of the "Fédération Française de Jeu de Balle au Tambourin" (FFJST)?</t>
  </si>
  <si>
    <t>A) To provide equipment to the clubs, B) To be the official governing body that organizes championships and sets the rules, C) To pay the players, D) To promote the sport on television</t>
  </si>
  <si>
    <t>B) To be the official governing body that organizes championships and sets the rules</t>
  </si>
  <si>
    <t>The FFJST is the central authority for the sport in France, responsible for its administration and development.</t>
  </si>
  <si>
    <t>A team is penalized for receiving "coaching from outside the designated area." What does this mean?</t>
  </si>
  <si>
    <t>A) Their coach was shouting too loudly, B) Their coach was using a mobile phone, C) Someone other than the official coach was giving instructions, D) The coach had stepped outside of the marked coach's box</t>
  </si>
  <si>
    <t>D) The coach had stepped outside of the marked coach's box</t>
  </si>
  <si>
    <t>A coach must remain within their designated area while instructing their team during a match.</t>
  </si>
  <si>
    <t>A team has won the first set 6-2. They are leading the second set 5-5. A tie-break is played. If they win the tie-break, what is the final match score?</t>
  </si>
  <si>
    <t>A) 2 sets to 0, B) 1 set all, C) The match continues to a third set, D) The team wins the second set 6-5</t>
  </si>
  <si>
    <t>A) 2 sets to 0</t>
  </si>
  <si>
    <t>Winning the tie-break means they win the second set 6-5. Since they already won the first set, they win the match 2 sets to 0.</t>
  </si>
  <si>
    <t>What is the main purpose of the "tambourin" itself?</t>
  </si>
  <si>
    <t>A) It is a defensive shield, B) To provide a large, powerful surface for striking the ball, C) It is a musical instrument, D) It is a symbol of the sport</t>
  </si>
  <si>
    <t>B) To provide a large, powerful surface for striking the ball</t>
  </si>
  <si>
    <t>The tambourin is the bat of the sport, a unique implement designed to hit the ball with great force and control.</t>
  </si>
  <si>
    <t>What is the main reason for the court being so long (80 meters)?</t>
  </si>
  <si>
    <t>A) To accommodate a large number of players, B) To test the power and stamina of the players, C) It is a traditional size with no reason, D) To make the game safer</t>
  </si>
  <si>
    <t>B) To test the power and stamina of the players</t>
  </si>
  <si>
    <t>The large court requires players, especially the fond, to have incredible strength to hit the ball the full length of the court for an entire match.</t>
  </si>
  <si>
    <t>A player is found to be using a tambourin with a double layer of synthetic skin to create a "trampoline" effect. What is the ruling?</t>
  </si>
  <si>
    <t>What is the primary role of the tiers (thirds) players?</t>
  </si>
  <si>
    <t>A) They are the main servers, B) They are versatile players who control the mid-court, playing both offense and defense, C) They are defensive specialists who only block, D) They are substitutes</t>
  </si>
  <si>
    <t>B) They are versatile players who control the mid-court, playing both offense and defense</t>
  </si>
  <si>
    <t>The tiers are the all-rounders of the team, responsible for linking the play between the front and back of the court.</t>
  </si>
  <si>
    <t>In a tie-break game, how are points scored?</t>
  </si>
  <si>
    <t>A) With the 15-30-40 system, B) With sequential points (1, 2, 3, etc.), C) The first team to score wins, D) By a vote of the judges</t>
  </si>
  <si>
    <t>B) With sequential points (1, 2, 3, etc.)</t>
  </si>
  <si>
    <t>The tie-break uses a simple numerical scoring system, usually played to 7 or 8 points, to decide the set.</t>
  </si>
  <si>
    <t>A player is found to be wearing shoes with cleats or spikes. Why is this a foul?</t>
  </si>
  <si>
    <t>Spiked shoes are illegal as they damage the court, provide an unfair advantage, and pose a significant risk of injury to other players.</t>
  </si>
  <si>
    <t>What is the ruling if the ball hits the referee during a live rally?</t>
  </si>
  <si>
    <t>A) Play continues, B) The point is immediately stopped and replayed, C) It is a fault on the player who hit the referee, D) It is a point for the player who hit the referee</t>
  </si>
  <si>
    <t>B) The point is immediately stopped and replayed</t>
  </si>
  <si>
    <t>The referee is considered an outside interference. If the ball hits them, the point must be replayed to be fair.</t>
  </si>
  <si>
    <t>What is the main reason that the outdoor and indoor versions are considered different disciplines?</t>
  </si>
  <si>
    <t>A) The equipment is completely different, B) The core skills are different, C) The court size, team size, and ball create significantly different strategies and skills, D) One is professional, and one is amateur</t>
  </si>
  <si>
    <t>C) The court size, team size, and ball create significantly different strategies and skills</t>
  </si>
  <si>
    <t>The differences are so significant that players often specialize in one version of the sport over the other.</t>
  </si>
  <si>
    <t>A team is leading 6-5 in a set and the score in the current game is 40-30. If they win the next point, what happens?</t>
  </si>
  <si>
    <t>A) They win the set 7-5, B) The game continues to a tie-break, C) They win the game and the set 6-5, D) They must win the game by two points</t>
  </si>
  <si>
    <t>A) They win the set 7-5</t>
  </si>
  <si>
    <t>In a standard set, a team must win by two clear games. Therefore, winning this game would make the set score 7-5, ending the set.</t>
  </si>
  <si>
    <t>What is the primary role of the line judges (juges de ligne)?</t>
  </si>
  <si>
    <t>A) To keep the score, B) To assist the main referee by making calls on the boundary lines, C) To coach the players, D) To inspect the equipment</t>
  </si>
  <si>
    <t>B) To assist the main referee by making calls on the boundary lines</t>
  </si>
  <si>
    <t>Line judges are positioned to have a clear view of the lines and are responsible for signaling whether a ball is "in" or "out."</t>
  </si>
  <si>
    <t>A player hits the ball, and it hits their own teammate after it has crossed into the opponent's court and been hit back by them. What is the call?</t>
  </si>
  <si>
    <t>A) It is a fault on the first team, B) It is a point for the first team, as the opponent's return was unsuccessful, C) The point is replayed, D) It is a fault on the opponent</t>
  </si>
  <si>
    <t>B) It is a point for the first team, as the opponent's return was unsuccessful</t>
  </si>
  <si>
    <t>If the opponent hits the ball and it then strikes a player on the other team, the hitting team loses the point.</t>
  </si>
  <si>
    <t>What is a "let" or "balle à remettre"?</t>
  </si>
  <si>
    <t>A) A fault, B) A point that is replayed due to an unforeseen interference, C) The end of a game, D) A type of serve</t>
  </si>
  <si>
    <t>B) A point that is replayed due to an unforeseen interference</t>
  </si>
  <si>
    <t>A "let" is called when an external event (like a stray ball from another court) disrupts the point, which is then replayed.</t>
  </si>
  <si>
    <t>A player serves from the wrong side of the court. What is the ruling?</t>
  </si>
  <si>
    <t>A) The serve is legal, B) A fault is called, and the point is lost, C) The referee allows a re-serve from the correct side, D) A warning is issued</t>
  </si>
  <si>
    <t>B) A fault is called, and the point is lost</t>
  </si>
  <si>
    <t>The server must deliver the serve from the correct position as determined by the score. Serving from the wrong side is a fault.</t>
  </si>
  <si>
    <t>What is the maximum number of players a team can have on its roster for a match?</t>
  </si>
  <si>
    <t>A) 5, B) 6, C) 8, D) 10</t>
  </si>
  <si>
    <t>C) 8</t>
  </si>
  <si>
    <t>A team is composed of 5 on-field players and up to 3 substitutes, for a total of 8 players on the match sheet.</t>
  </si>
  <si>
    <t>A player is hit by a ball that was struck by an opponent, but the player was standing outside the court boundaries. Who wins the point?</t>
  </si>
  <si>
    <t>If the ball strikes an opponent who is outside the playing court, the hitting team has hit the ball "out," and therefore loses the point.</t>
  </si>
  <si>
    <t>The serve is delivered. It lands in the correct service box but does not bounce. What is the ruling?</t>
  </si>
  <si>
    <t>A) It is a legal serve, B) It is a fault, as the ball is too soft or under-pressurized, C) The server gets a second serve, D) The ball must be replaced</t>
  </si>
  <si>
    <t>B) It is a fault, as the ball is too soft or under-pressurized</t>
  </si>
  <si>
    <t>The ball must be pressurized correctly and have a standard bounce. A "dead" ball is a fault, and the ball is taken out of play.</t>
  </si>
  <si>
    <t>A player is penalized for an "illegal serve". Which of these is a valid reason?</t>
  </si>
  <si>
    <t>A) The serve was too fast, B) The server served underhand, C) The server's foot was on the baseline when they hit the ball, D) The serve was aimed at an opponent</t>
  </si>
  <si>
    <t>C) The server's foot was on the baseline when they hit the ball</t>
  </si>
  <si>
    <t>A "foot fault" is a common service error. The server must stay behind the baseline until the ball is struck.</t>
  </si>
  <si>
    <t>What is the main reason for the difference in rules between the indoor and outdoor games?</t>
  </si>
  <si>
    <t>A) The indoor game is older, B) The significantly smaller size of the indoor court requires changes to make the game playable, C) The indoor game is for amateurs only, D) The indoor game uses a heavier ball</t>
  </si>
  <si>
    <t>B) The significantly smaller size of the indoor court requires changes to make the game playable</t>
  </si>
  <si>
    <t>The rules for the indoor version (3 players, neutral zone, etc.) are all adaptations to the constraints of a smaller playing area.</t>
  </si>
  <si>
    <t>A team is leading a game 40-0. What is this situation called?</t>
  </si>
  <si>
    <t>A serve hits the ground and rolls, touching the opponent's service line. Is this serve good?</t>
  </si>
  <si>
    <t>A) No, it must land beyond the line, B) Yes, touching the line is good, C) The point is replayed, D) It is a fault</t>
  </si>
  <si>
    <t>A) No, it must land beyond the line</t>
  </si>
  <si>
    <t>Unlike boundary lines, the service line is not part of the valid reception area. The ball must land past it.</t>
  </si>
  <si>
    <t>In its essence, Balle au Tambourin is a type of what kind of game?</t>
  </si>
  <si>
    <t>A) A net and wall game, B) A bat and ball game, C) A goal game, D) A target game</t>
  </si>
  <si>
    <t>B) A bat and ball game</t>
  </si>
  <si>
    <t>It belongs to the family of bat and ball games, which includes tennis, cricket, and baseball.</t>
  </si>
  <si>
    <t>A) They hit the ball twice, B) They caught or held the ball on the tambourin instead of striking it cleanly, C) They held onto the ball with their hand, D) They took to long to hit the ball</t>
  </si>
  <si>
    <t>In a Basque Pelota match, a player serves the ball. It hits the front wall (frontis) but then bounces on the floor before the short service line (falta). What is the ruling?</t>
  </si>
  <si>
    <t>A) It is a legal serve, B) It is a "short" serve and a fault, C) The point is replayed, D) The opponent gets two points</t>
  </si>
  <si>
    <t>B) It is a "short" serve and a fault</t>
  </si>
  <si>
    <t>The serve must hit the front wall and then bounce within the designated service area, which is beyond the falta line.</t>
  </si>
  <si>
    <t>During a rally in a Jai Alai (Cesta Punta) match, a player catches the ball in their chistera but holds it for two full seconds before throwing. What is the referee's call?</t>
  </si>
  <si>
    <t>A) It is a legal and skillful move, B) It is a fault for holding the ball (atxiki), C) The player is given a warning, D) The point is replayed</t>
  </si>
  <si>
    <t>B) It is a fault for holding the ball (atxiki)</t>
  </si>
  <si>
    <t>The rules require the ball to be caught and thrown in one continuous, fluid motion. Holding or juggling the ball in the chistera is illegal.</t>
  </si>
  <si>
    <t>A player returns the ball, and it hits the low metal strip (chapa) at the bottom of the front wall. What is the result?</t>
  </si>
  <si>
    <t>A) It is a winning shot, B) The point is replayed, C) It is a fault, and the player who hit it loses the point, D) It is a "let"</t>
  </si>
  <si>
    <t>C) It is a fault, and the player who hit it loses the point</t>
  </si>
  <si>
    <t>The chapa marks the lower limit of the playing surface. Any ball hitting the chapa or the area below it is out.</t>
  </si>
  <si>
    <t>In a doubles match, Player A hits the ball. It strikes the front wall legally and is heading towards Player B when it accidentally hits Player A's own partner. What is the ruling?</t>
  </si>
  <si>
    <t>A) Play continues, B) The point is replayed, C) The opponents win the point, D) A warning is issued for poor positioning</t>
  </si>
  <si>
    <t>C) The opponents win the point</t>
  </si>
  <si>
    <t>A team loses the point if the ball, after they have hit it, makes contact with any of the players on their own team before the rally is over.</t>
  </si>
  <si>
    <t>A player in a main nue (bare hand) match is found to have a hidden hard plate inside their hand wrappings (tacos). What is the consequence?</t>
  </si>
  <si>
    <t>A) The player must remove the plate, B) A point penalty is given, C) Immediate disqualification for cheating, D) The match continues with a warning</t>
  </si>
  <si>
    <t>C) Immediate disqualification for cheating</t>
  </si>
  <si>
    <t>Tampering with protective gear to illegally harden the striking surface is a major violation and results in disqualification.</t>
  </si>
  <si>
    <t>During a rally, a player hits the ball, and it strikes the ceiling of the indoor fronton. What is the call?</t>
  </si>
  <si>
    <t>A) The ball is still in play, B) It is a fault, and the player who hit it loses the point, C) The point is replayed, D) It is a point for the player who hit it</t>
  </si>
  <si>
    <t>B) It is a fault, and the player who hit it loses the point</t>
  </si>
  <si>
    <t>The ceiling and any overhead fixtures are considered out of play. A ball hitting them is a fault against the player who last struck it.</t>
  </si>
  <si>
    <t>In a trinquet, a player hits the ball off the sloped gallery roof (tambor) along the side wall, and it flies off at an unpredictable angle. Is this a legal play?</t>
  </si>
  <si>
    <t>A) No, only the walls are legal surfaces, B) Yes, this is a legal and characteristic feature of the trinquet game, C) The point is replayed, D) It is a fault</t>
  </si>
  <si>
    <t>B) Yes, this is a legal and characteristic feature of the trinquet game</t>
  </si>
  <si>
    <t>The sloped gallery is an active part of the court in a trinquet, and using it to create difficult shots is a key part of the strategy.</t>
  </si>
  <si>
    <t>A player returns the ball, and it hits the front wall and then the left wall before bouncing on the floor. Is this a legal shot?</t>
  </si>
  <si>
    <t>A) No, it must only hit the front wall, B) Yes, this is a legal "two-wall" (dos paredes) shot, C) The point is replayed, D) It is a fault</t>
  </si>
  <si>
    <t>B) Yes, this is a legal "two-wall" (dos paredes) shot</t>
  </si>
  <si>
    <t>Using the side wall to create difficult angles for the opponent is a fundamental and legal part of the strategy.</t>
  </si>
  <si>
    <t>A player is hit by the ball before it has touched the floor. What is the ruling?</t>
  </si>
  <si>
    <t>A) The point is replayed, B) The player who was hit loses the point, C) The player who hit the ball loses the point, D) Play continues</t>
  </si>
  <si>
    <t>If the ball, after coming off the front wall, strikes a player before it has bounced, that player is considered "hit" and loses the point.</t>
  </si>
  <si>
    <t>A player's return shot is weak and does not reach the front wall. What is the result?</t>
  </si>
  <si>
    <t>A) The point is replayed, B) The player who hit the shot loses the point, C) The opponent must play the ball from where it is, D) A warning is issued for a weak shot</t>
  </si>
  <si>
    <t>B) The player who hit the shot loses the point</t>
  </si>
  <si>
    <t>To keep the rally going, every return must reach the front wall. Failure to do so results in the loss of the point.</t>
  </si>
  <si>
    <t>A player's chistera breaks in the middle of a point while they are attempting to catch the ball. What is the correct procedure?</t>
  </si>
  <si>
    <t>A) The player is disqualified for faulty equipment, B) The point is immediately stopped and replayed, C) The player must continue with the broken chistera, D) The opponent wins the point</t>
  </si>
  <si>
    <t>If a player's essential equipment breaks during a live rally through no fault of their own, the point is typically stopped and replayed to ensure fairness.</t>
  </si>
  <si>
    <t>A server in a Jai Alai match serves the ball, and it hits the front wall then bounces on the floor on the long service line (pasa). What is the call?</t>
  </si>
  <si>
    <t>A) A legal serve, B) A "long" serve, which is a fault, C) The point is replayed, D) The server gets a second serve</t>
  </si>
  <si>
    <t>B) A "long" serve, which is a fault</t>
  </si>
  <si>
    <t>The serve must bounce before the pasa line. A serve that lands on or beyond it is a fault, and the server loses the point.</t>
  </si>
  <si>
    <t>In a doubles match, both players on a team touch the ball with their rackets at the same time. What is the ruling?</t>
  </si>
  <si>
    <t>A) This is a legal hit, B) This is a fault for a "double hit", C) The point is replayed, D) The team is given a warning</t>
  </si>
  <si>
    <t>B) This is a fault for a "double hit"</t>
  </si>
  <si>
    <t>Only one player may strike the ball on a team's turn. If two players make contact, their team loses the point.</t>
  </si>
  <si>
    <t>A player hits the ball, and it goes out of the court and hits a spectator. What is the ruling?</t>
  </si>
  <si>
    <t>A) The point is replayed, B) The point is lost for the player who hit it out, C) The spectator is at fault, D) The player who hit it wins the point</t>
  </si>
  <si>
    <t>B) The point is lost for the player who hit it out</t>
  </si>
  <si>
    <t>Hitting the ball out of the defined playing area (the cancha) results in the loss of the point.</t>
  </si>
  <si>
    <t>In a main nue (bare hand) match, a player is found to have an illegally hardened substance under their hand wrappings. What is the consequence?</t>
  </si>
  <si>
    <t>A) A warning, B) Forfeiture of the match, C) A point penalty, D) The hand must be re-wrapped</t>
  </si>
  <si>
    <t>B) Forfeiture of the match</t>
  </si>
  <si>
    <t>Tampering with the protective taping to illegally harden the striking surface is a major act of cheating and would result in forfeiture.</t>
  </si>
  <si>
    <t>The ball hits the line between the front wall and the side wall. What is the call?</t>
  </si>
  <si>
    <t>A) It is a legal shot and in play, B) It is a fault, C) The point is replayed, D) It is the opponent's choice</t>
  </si>
  <si>
    <t>A) It is a legal shot and in play</t>
  </si>
  <si>
    <t>The corner where two playing surfaces meet (e.g., front wall and left wall) is considered "in." A ball hitting this corner is live.</t>
  </si>
  <si>
    <t>What is the ruling if the ball bounces twice on the floor before a player can return it?</t>
  </si>
  <si>
    <t>A) The point is replayed, B) The player who failed to return the ball loses the point, C) Play continues, D) The player who hit the ball loses the point</t>
  </si>
  <si>
    <t>B) The player who failed to return the ball loses the point</t>
  </si>
  <si>
    <t>As in squash or tennis, the ball is only allowed to bounce once on the floor before it must be played. A double bounce results in a lost point.</t>
  </si>
  <si>
    <t>A player is warned by the referee for "interference". What might they have done?</t>
  </si>
  <si>
    <t>A) Hit the ball too hard, B) Stood in a way that deliberately blocked the opponent's path to the ball, C) Spoken to their partner during the point, D) Questioned the referee's call</t>
  </si>
  <si>
    <t>B) Stood in a way that deliberately blocked the opponent's path to the ball</t>
  </si>
  <si>
    <t>A player cannot intentionally obstruct an opponent's movement or line of sight to the ball. This is a foul for interference.</t>
  </si>
  <si>
    <t>What is the main characteristic of the Xare modality?</t>
  </si>
  <si>
    <t>A) It is played with a solid wooden paddle, B) It is played with a stringed racket with a loose, net-like head, C) It is played with the bare hand, D) It is played with a large chistera</t>
  </si>
  <si>
    <t>B) It is played with a stringed racket with a loose, net-like head</t>
  </si>
  <si>
    <t>Xare (or "Argentine racket") uses a unique racket that looks like a lacrosse stick, used to catch and throw the soft ball with a great deal of spin.</t>
  </si>
  <si>
    <t>A player argues aggressively with the court judge (canchero) over a line call. What is the likely consequence?</t>
  </si>
  <si>
    <t>A) The point will be replayed, B) A warning, followed by a point penalty if the behavior continues, C) The judge will be replaced, D) The player will be praised for their passion</t>
  </si>
  <si>
    <t>B) A warning, followed by a point penalty if the behavior continues</t>
  </si>
  <si>
    <t>Dissent and unsportsmanlike conduct towards officials are penalized to maintain order and respect in the game.</t>
  </si>
  <si>
    <t>A player serves. The ball hits the front wall, then the side wall, then the floor. Is this a legal serve?</t>
  </si>
  <si>
    <t>A) No, it must hit the floor directly after the front wall, B) Yes, it is a legal serve, C) The point is replayed, D) It is a fault</t>
  </si>
  <si>
    <t>A) No, it must hit the floor directly after the front wall</t>
  </si>
  <si>
    <t>The serve has a specific, required sequence. Hitting the side wall before the first bounce on the floor is a service fault.</t>
  </si>
  <si>
    <t>What is the purpose of the red sash (faja) worn by players in a doubles match?</t>
  </si>
  <si>
    <t>A) It is purely decorative, B) It identifies which team a player is on (red vs. blue), C) It provides back support, D) It is a symbol of the player's rank</t>
  </si>
  <si>
    <t>B) It identifies which team a player is on (red vs. blue)</t>
  </si>
  <si>
    <t>In a doubles match, one team wears red sashes and the other wears blue sashes for clear identification by the referee and spectators.</t>
  </si>
  <si>
    <t>A player is bleeding from a scrape. What is the mandatory procedure according to official rules?</t>
  </si>
  <si>
    <t>A) The player can choose to continue playing if the bleeding is minor, B) The referee must stop the game for a "blood timeout" so the injury can be treated, C) The player must forfeit the match, D) The opponent gets a point</t>
  </si>
  <si>
    <t>B) The referee must stop the game for a "blood timeout" so the injury can be treated</t>
  </si>
  <si>
    <t>For safety and hygiene, any active bleeding requires an immediate stoppage so the injury can be treated and covered before play resumes.</t>
  </si>
  <si>
    <t>In a trinquet, a player hits the ball into the small hole in the front wall (xilo). What is the result?</t>
  </si>
  <si>
    <t>A) It is a fault, B) It is an automatic winning shot, C) The point is replayed, D) It is a lucky shot but scores only one point</t>
  </si>
  <si>
    <t>B) It is an automatic winning shot</t>
  </si>
  <si>
    <t>Hitting the ball into the xilo is an extremely difficult and instantly game-winning shot in modalities played in the trinquet.</t>
  </si>
  <si>
    <t>A player is found to have an illegally modified chistera that has a "trampoline" effect. What is the consequence?</t>
  </si>
  <si>
    <t>A) A warning is issued, B) Forfeiture of the match for cheating, C) A point penalty is applied, D) The chistera is simply replaced with a legal one</t>
  </si>
  <si>
    <t>B) Forfeiture of the match for cheating</t>
  </si>
  <si>
    <t>Tampering with the equipment to gain an unfair advantage is a major act of cheating and would result in the forfeiture of the game.</t>
  </si>
  <si>
    <t>A player is substituted into a match. Can the player who was substituted out return to the game later?</t>
  </si>
  <si>
    <t>A) Yes, at any time, B) Yes, but only in the next game, C) No, a player who has been substituted out cannot re-enter that match, D) Only if another player gets injured</t>
  </si>
  <si>
    <t>C) No, a player who has been substituted out cannot re-enter that match</t>
  </si>
  <si>
    <t>In official FIPV rules, once a player is replaced by a substitute, they are finished for the remainder of that match.</t>
  </si>
  <si>
    <t>What is the ruling if the ball, after being hit, gets stuck in the wire mesh screen that protects the spectators?</t>
  </si>
  <si>
    <t>A) The point is replayed, B) The player who hit it wins the point, C) The player who hit it loses the point, D) Play continues</t>
  </si>
  <si>
    <t>C) The player who hit it loses the point</t>
  </si>
  <si>
    <t>The protective screen is considered "out of play." A ball that becomes lodged in it is a fault against the player who hit it there.</t>
  </si>
  <si>
    <t>A player is penalized for a "foot fault" during a rally (not a serve). What might they have done?</t>
  </si>
  <si>
    <t>A) Stepped on the opponent's foot, B) Kicked the ball, C) Stepped over the line separating the front and back court players, D) Jumped too high</t>
  </si>
  <si>
    <t>B) Kicked the ball</t>
  </si>
  <si>
    <t>The ball can only be played with the designated implement (hand, pala, or chistera). Kicking the ball is an illegal action.</t>
  </si>
  <si>
    <t>A player has requested all of their three allowed timeouts. They request a fourth due to fatigue. What will the referee do?</t>
  </si>
  <si>
    <t>A) Grant the timeout, B) Deny the timeout and issue a warning for delay, C) Grant the timeout but penalize them a point, D) Forfeit the match for the team</t>
  </si>
  <si>
    <t>B) Deny the timeout and issue a warning for delay</t>
  </si>
  <si>
    <t>A team is only allowed a set number of timeouts. Requesting more is not permitted and can be penalized for delaying the game.</t>
  </si>
  <si>
    <t>In a doubles match, the ball is coming towards Player A. Their partner, Player B, shouts "Mine!" and plays the ball instead. Is this legal?</t>
  </si>
  <si>
    <t>A) No, Player A had the right to play it, B) Yes, communication and teamwork are key parts of the doubles game, C) It is a fault for distracting the opponents, D) The point is replayed</t>
  </si>
  <si>
    <t>B) Yes, communication and teamwork are key parts of the doubles game</t>
  </si>
  <si>
    <t>In doubles, either partner can legally play the ball on their team's turn. Verbal communication is essential for good teamwork.</t>
  </si>
  <si>
    <t>A player is warned for not wearing the correct uniform. What is the standard attire?</t>
  </si>
  <si>
    <t>A) A colorful shirt and shorts, B) Traditional Basque clothing, C) A white shirt, white trousers, and a colored sash (faja), D) Any athletic wear</t>
  </si>
  <si>
    <t>C) A white shirt, white trousers, and a colored sash (faja)</t>
  </si>
  <si>
    <t>The traditional and official uniform for Pelota is all-white attire, with a red or blue sash to distinguish the teams.</t>
  </si>
  <si>
    <t>A player's return shot is so powerful it breaks the ball, with the leather cover coming off. What is the ruling?</t>
  </si>
  <si>
    <t>A) The player who hit it wins the point, B) The point is replayed with a new ball, C) The player who hit it loses the point for breaking the ball, D) The match is stopped</t>
  </si>
  <si>
    <t>B) The point is replayed with a new ball</t>
  </si>
  <si>
    <t>If the ball becomes defective during a rally, the point is a "let" and is replayed with a new, approved ball.</t>
  </si>
  <si>
    <t>A player is penalized for "standing in the wrong position" during the serve. Where must the non-serving players stand?</t>
  </si>
  <si>
    <t>A) Anywhere on the court, B) Behind the server, C) In their designated positions, either front court or back court, D) Outside the court</t>
  </si>
  <si>
    <t>C) In their designated positions, either front court or back court</t>
  </si>
  <si>
    <t>In doubles, players have designated positions, and they cannot be in the wrong area during the service motion.</t>
  </si>
  <si>
    <t>What is the main reason that a helmet is mandatory in Jai Alai but not in Paleta Goma?</t>
  </si>
  <si>
    <t>A) The Jai Alai court is larger, B) The Jai Alai ball is extremely hard and fast, while the Paleta Goma ball is a softer rubber, C) Jai Alai players are more aggressive, D) It is a sponsor requirement</t>
  </si>
  <si>
    <t>B) The Jai Alai ball is extremely hard and fast, while the Paleta Goma ball is a softer rubber</t>
  </si>
  <si>
    <t>The rock-hard Jai Alai ball poses a lethal risk, making a helmet essential. The softer rubber ball of Paleta Goma is significantly less dangerous.</t>
  </si>
  <si>
    <t>A player is warned for using their chistera to block the opponent's view of the ball. Is this a foul?</t>
  </si>
  <si>
    <t>A) No, this is a clever tactic, B) Yes, this is a form of illegal interference, C) Only if the chistera touches the opponent, D) The point is replayed</t>
  </si>
  <si>
    <t>B) Yes, this is a a form of illegal interference</t>
  </si>
  <si>
    <t>A player cannot use their body or their equipment to intentionally obstruct an opponent's line of sight to the ball.</t>
  </si>
  <si>
    <t>The referee calls "Pasa!" on a serve. What does this mean?</t>
  </si>
  <si>
    <t>A) The serve was good, B) The serve was too short, C) The serve was too long, D) The point is replayed</t>
  </si>
  <si>
    <t>C) The serve was too long</t>
  </si>
  <si>
    <t>"Pasa" is the call for a "long" serve that bounces on or beyond the long service line, which is a fault.</t>
  </si>
  <si>
    <t>A player is found to have applied a sticky substance to the inside of their chistera. What is the likely penalty?</t>
  </si>
  <si>
    <t>A) A warning, B) Immediate disqualification, C) A point penalty, D) The chistera must be cleaned</t>
  </si>
  <si>
    <t>Applying any substance that would help a player illegally "hold" the ball in the chistera is a major cheating violation.</t>
  </si>
  <si>
    <t>In a doubles match, the ball hits the front wall, then the floor, and then the back wall. Which player is expected to return this shot?</t>
  </si>
  <si>
    <t>A) The front court player (delantero), B) The back court player (zaguero), C) Either player, D) The server</t>
  </si>
  <si>
    <t>B) The back court player (zaguero)</t>
  </si>
  <si>
    <t>A deep ball that comes off the back wall is the primary responsibility of the zaguero, who is positioned at the back of the court.</t>
  </si>
  <si>
    <t>A player's shot hits the ceiling, then the front wall, then the floor. What is the call?</t>
  </si>
  <si>
    <t>A) A legal shot, B) A fault for hitting the ceiling first, C) The point is replayed, D) A point for the hitting player</t>
  </si>
  <si>
    <t>B) A fault for hitting the ceiling first</t>
  </si>
  <si>
    <t>The ceiling is out of play. A ball that hits the ceiling at any point during a rally is a fault against the player who hit it.</t>
  </si>
  <si>
    <t>What is the primary role of the International Federation of Basque Pelota (FIPV)?</t>
  </si>
  <si>
    <t>A) To organize professional betting, B) To govern the sport, standardize rules, and organize World Championships, C) To coach the Spanish national team, D) To manufacture the equipment</t>
  </si>
  <si>
    <t>B) To govern the sport, standardize rules, and organize World Championships</t>
  </si>
  <si>
    <t>The FIPV is the global governing body responsible for the administration and promotion of all official modalities of the sport.</t>
  </si>
  <si>
    <t>A player is known for their powerful saque. What is this?</t>
  </si>
  <si>
    <t>A) Their forehand shot, B) Their backhand shot, C) Their serve, D) Their defensive block</t>
  </si>
  <si>
    <t>C) Their serve</t>
  </si>
  <si>
    <t>The saque is the Spanish word for the serve, the opening shot of every point.</t>
  </si>
  <si>
    <t>Why is the floor of a professional Jai Alai fronton often made of concrete or granite?</t>
  </si>
  <si>
    <t>A) It is cheap, B) It provides a very fast and consistent bounce for the hard ball, C) It is traditional, D) It is easy to clean</t>
  </si>
  <si>
    <t>B) It provides a very fast and consistent bounce for the hard ball</t>
  </si>
  <si>
    <t>The hard, smooth surface is essential for the high-speed, high-bounce nature of the game.</t>
  </si>
  <si>
    <t>A player's chistera breaks in the middle of a point. What happens?</t>
  </si>
  <si>
    <t>A) The player is disqualified, B) The point is immediately stopped and replayed, C) The player can try to continue the point with the broken chistera, D) The player can run to get a new one</t>
  </si>
  <si>
    <t>If a player's essential equipment breaks during a live rally through no fault of their own, the point is typically replayed.</t>
  </si>
  <si>
    <t>What is the main difference between paleta cuero and paleta goma?</t>
  </si>
  <si>
    <t>A) The size of the court, B) The type of ball used (a leather ball vs. a rubber ball), C) The number of players, D) The material of the paddle</t>
  </si>
  <si>
    <t>B) The type of ball used (a leather ball vs. a rubber ball)</t>
  </si>
  <si>
    <t>These are two different paddle modalities, one played with a traditional hard leather ball and the other with a bouncier rubber ball.</t>
  </si>
  <si>
    <t>A player is warned for "interference". What might they have done?</t>
  </si>
  <si>
    <t>A) Hit the ball too hard, B) Stood in a way that blocked the opponent's path to the ball, C) Spoken to their partner, D) Questioned the referee</t>
  </si>
  <si>
    <t>B) Stood in a way that blocked the opponent's path to the ball</t>
  </si>
  <si>
    <t>A player cannot intentionally obstruct an opponent's movement or line of sight to the ball. This is a foul.</t>
  </si>
  <si>
    <t>A player serves. The ball hits the front wall, then the floor in the correct service box, and then the back wall. Is this a legal serve?</t>
  </si>
  <si>
    <t>A) No, it must be returned before it hits the back wall, B) Yes, it is a legal serve, C) The point is replayed, D) It is a fault</t>
  </si>
  <si>
    <t>B) Yes, it is a legal serve</t>
  </si>
  <si>
    <t>As long as the serve hits the front wall and bounces in the correct area, it is a live ball, even if it hits the back wall afterward.</t>
  </si>
  <si>
    <t>In a doubles match, the ball is coming towards Player A. Their partner, Player B, shouts "¡Voy!" (I go!) and plays the ball. Is this legal?</t>
  </si>
  <si>
    <t>A) No, Player A had the right to play it, B) Yes, communication is a key part of the doubles game, C) It is a fault for distracting the opponents, D) The point is replayed</t>
  </si>
  <si>
    <t>B) Yes, communication is a key part of the doubles game</t>
  </si>
  <si>
    <t>A) A warning, B) Forfeiture of the match for cheating, C) A point penalty, D) The chistera is simply replaced</t>
  </si>
  <si>
    <t>What is the role of the red line, or chapa, on the bottom of the front wall?</t>
  </si>
  <si>
    <t>A) It is the target, B) It marks the out-of-bounds area; any shot hitting on or below it is a fault, C) It is a service line, D) It is decorative</t>
  </si>
  <si>
    <t>B) It marks the out-of-bounds area; any shot hitting on or below it is a fault</t>
  </si>
  <si>
    <t>The chapa is a metal strip that makes a loud noise when hit, clearly signaling that a shot was too low and is a fault.</t>
  </si>
  <si>
    <t>A player hits a shot that is so fast and well-placed that the opponent cannot touch it. What is this called?</t>
  </si>
  <si>
    <t>A) A fault, B) A good shot, C) A winner, D) A let</t>
  </si>
  <si>
    <t>C) A winner</t>
  </si>
  <si>
    <t>A "winner" is an offensive shot that is so effective that the opponent cannot even make contact with the ball.</t>
  </si>
  <si>
    <t>A player is hit by the ball during a rally. What is the ruling?</t>
  </si>
  <si>
    <t>A) The player who was hit loses the point, B) The point is replayed, C) The player who hit the ball loses the point, D) The player who was hit gets a penalty</t>
  </si>
  <si>
    <t>A) The player who was hit loses the point</t>
  </si>
  <si>
    <t>If the ball, after hitting the front wall, strikes a player before it has bounced on the floor, that player is considered "hit" and loses the point.</t>
  </si>
  <si>
    <t>B) Yes, this is a form of illegal interference</t>
  </si>
  <si>
    <t>What is a Pala Corta?</t>
  </si>
  <si>
    <t>A) A short chistera, B) A short, thick wooden paddle used for hitting a hard leather ball, C) A short game of Pelota, D) The front part of the court</t>
  </si>
  <si>
    <t>B) A short, thick wooden paddle used for hitting a hard leather ball</t>
  </si>
  <si>
    <t>Pala Corta ("short paddle") is a specific, powerful modality of the game, popular in Spain and France.</t>
  </si>
  <si>
    <t>A player serves, and the ball hits the line between the front wall and the side wall. What is the call?</t>
  </si>
  <si>
    <t>A) A legal serve, B) A fault, C) The point is replayed, D) It is the opponent's choice</t>
  </si>
  <si>
    <t>A) A legal serve</t>
  </si>
  <si>
    <t>Unlike the line on the floor, the corner where two playing surfaces meet is considered "in."</t>
  </si>
  <si>
    <t>A player is seen applying a sticky substance like pine resin to their hands before a main nue match. Why?</t>
  </si>
  <si>
    <t>A) It is an illegal substance, B) To get a better grip on the ball when hitting it, C) To protect their hands from injury, D) To make the ball curve</t>
  </si>
  <si>
    <t>B) To get a better grip on the ball when hitting it</t>
  </si>
  <si>
    <t>A small amount of resin can help the player get more friction on the ball, allowing them to impart more spin and control.</t>
  </si>
  <si>
    <t>A player serves, and the ball hits the line between the front wall and the floor. What is the call?</t>
  </si>
  <si>
    <t>B) A fault</t>
  </si>
  <si>
    <t>The ball must hit the front wall clearly above the floor. Hitting the line is a fault.</t>
  </si>
  <si>
    <t>A player is wearing a helmet during a Jai Alai match. Why is this a modern requirement?</t>
  </si>
  <si>
    <t>A) To look professional, B) The incredible speed of the ball can be lethal if it hits a player in the head, C) To protect from falls, D) It is a sponsor requirement</t>
  </si>
  <si>
    <t>B) The incredible speed of the ball can be lethal if it hits a player in the head</t>
  </si>
  <si>
    <t>With ball speeds exceeding 300 km/h, the helmet is an essential piece of safety equipment to prevent serious or fatal head injuries.</t>
  </si>
  <si>
    <t>A player returns the ball, and it hits the front wall, then the left wall, then the back wall, then bounces. Is this legal?</t>
  </si>
  <si>
    <t>A) No, it hit too many walls, B) Yes, this is a legal, if complex, sequence of play, C) The point is replayed, D) It is a fault</t>
  </si>
  <si>
    <t>B) Yes, this is a legal, if complex, sequence of play</t>
  </si>
  <si>
    <t>In a three-walled court, the ball can rebound off the walls in any order as long as it hits the front wall first and only bounces on the floor once.</t>
  </si>
  <si>
    <t>A player is penalized for an "out-of-court" foul. What might they have done?</t>
  </si>
  <si>
    <t>A) Hit the ball out of the court, B) Stepped out of the court to play a ball, C) Argued with the referee from the bench, D) Served from outside the service box</t>
  </si>
  <si>
    <t>D) Served from outside the service box</t>
  </si>
  <si>
    <t>A player must be inside the designated service area when they initiate the serve.</t>
  </si>
  <si>
    <t>In a main nue match, a player hits the ball with their knuckles instead of their palm. Is this legal?</t>
  </si>
  <si>
    <t>A) No, only the palm is allowed, B) Yes, different parts of the hand can be used, C) It is a fault, D) The point is replayed</t>
  </si>
  <si>
    <t>B) Yes, different parts of the hand can be used</t>
  </si>
  <si>
    <t>Skilled bare-handed players use different parts of their hand to impart different spins and speeds on the ball.</t>
  </si>
  <si>
    <t>The referee calls "Tanto!" What does this mean?</t>
  </si>
  <si>
    <t>A) A fault has been committed, B) The point is awarded, C) The game is over, D) A timeout is called</t>
  </si>
  <si>
    <t>B) The point is awarded</t>
  </si>
  <si>
    <t>Tanto is the traditional call made by the official to signify that a point has been won.</t>
  </si>
  <si>
    <t>A player uses a pala that is slightly heavier than the maximum regulation weight. What is the penalty?</t>
  </si>
  <si>
    <t>A) A warning, B) Disqualification, C) A point penalty, D) The paddle is replaced</t>
  </si>
  <si>
    <t>B) Disqualification</t>
  </si>
  <si>
    <t>Using illegal equipment that provides an unfair advantage is a major violation and results in disqualification from the match.</t>
  </si>
  <si>
    <t>What is the main reason that the chistera is made of woven wicker?</t>
  </si>
  <si>
    <t>A) It is the cheapest material, B) It is lightweight, strong, and slightly flexible, which is ideal for catching and throwing, C) It is traditional, D) It is waterproof</t>
  </si>
  <si>
    <t>B) It is lightweight, strong, and slightly flexible, which is ideal for catching and throwing</t>
  </si>
  <si>
    <t>Wicker provides the perfect combination of properties for the chistera's unique function.</t>
  </si>
  <si>
    <t>A player serves the ball and it hits the front wall, then bounces twice in the service area. What is the ruling?</t>
  </si>
  <si>
    <t>A) It is a legal serve, B) It is a fault for a double bounce, C) The point is replayed, D) The server loses the point</t>
  </si>
  <si>
    <t>D) The server loses the point</t>
  </si>
  <si>
    <t>The opponent must return the serve after the first bounce. If they fail to do so, the serving team wins the point.</t>
  </si>
  <si>
    <t>What is the primary difference between Cesta Punta and Joko Garbi?</t>
  </si>
  <si>
    <t>A) The court size, B) In Joko Garbi, the ball must be returned immediately without being held in the chistera, C) The number of players, D) Joko Garbi uses a softer ball</t>
  </si>
  <si>
    <t>B) In Joko Garbi, the ball must be returned immediately without being held in the chistera</t>
  </si>
  <si>
    <t>Joko Garbi ("clean game") uses a smaller chistera and a more continuous, volley-like style of play, without the "slingshot" throw of Cesta Punta.</t>
  </si>
  <si>
    <t>A player is warned for delaying the game. What might they have done?</t>
  </si>
  <si>
    <t>A) Taken too long to serve, B) Argued with the referee, C) Faked an injury, D) All of the above</t>
  </si>
  <si>
    <t>Any action that is seen by the referee as an intentional effort to slow down the pace of the match can be penalized.</t>
  </si>
  <si>
    <t>In a doubles match, the server's partner is standing in front of the short line (falta) during the serve. What is the call?</t>
  </si>
  <si>
    <t>A) It is a legal position, B) It is a fault, C) The point is replayed, D) A warning is issued</t>
  </si>
  <si>
    <t>B) It is a fault</t>
  </si>
  <si>
    <t>The server's partner must be in their designated position and cannot be in an illegal area during the service motion.</t>
  </si>
  <si>
    <t>What is the main characteristic of a "drop shot" or dejada?</t>
  </si>
  <si>
    <t>A) It is a very powerful shot, B) It is a soft shot that is hit with backspin to make it bounce low and die near the front wall, C) It is a shot that hits the back wall first, D) It is an illegal shot</t>
  </si>
  <si>
    <t>B) It is a soft shot that is hit with backspin to make it bounce low and die near the front wall</t>
  </si>
  <si>
    <t>The dejada is a finesse shot used to catch an opponent who is playing deep in the court off guard.</t>
  </si>
  <si>
    <t>A player's return shot hits the front wall and then becomes wedged in the corner between the front and side walls. What is the ruling?</t>
  </si>
  <si>
    <t>A) The player who hit it wins the point, B) The player who hit it loses the point, C) The point is replayed, D) The first player to touch the ball wins the point</t>
  </si>
  <si>
    <t>C) The point is replayed</t>
  </si>
  <si>
    <t>If the ball becomes stuck in a part of the court and is unplayable, the point is a "let" and is replayed.</t>
  </si>
  <si>
    <t>What is the main purpose of the leather covering on a pelota?</t>
  </si>
  <si>
    <t>A) To make it look nice, B) To protect the inner core and provide a durable, uniform striking surface, C) To make it softer, D) To add weight</t>
  </si>
  <si>
    <t>B) To protect the inner core and provide a durable, uniform striking surface</t>
  </si>
  <si>
    <t>The hand-stitched leather hide is the tough outer layer that has to withstand repeated high-speed impacts.</t>
  </si>
  <si>
    <t>A player appeals a referee's line call. If the tournament has video replay, what is the procedure?</t>
  </si>
  <si>
    <t>A) The referee's call stands, B) The video is reviewed by a head judge, and the call can be overturned, C) The players vote on the call, D) The point is automatically replayed</t>
  </si>
  <si>
    <t>B) The video is reviewed by a head judge, and the call can be overturned</t>
  </si>
  <si>
    <t>In modern tournaments with the technology, video replay is used to ensure the accuracy of close line calls.</t>
  </si>
  <si>
    <t>Why are players not allowed to wear jewelry during a match?</t>
  </si>
  <si>
    <t>A) It is a distraction, B) For safety, to prevent injuries to themselves or their opponents, C) It is considered unprofessional, D) It can damage the ball</t>
  </si>
  <si>
    <t>B) For safety, to prevent injuries to themselves or their opponents</t>
  </si>
  <si>
    <t>This is a standard safety rule in all combat and high-speed sports.</t>
  </si>
  <si>
    <t>A player is found to be using a chistera that has been illegally modified with a deeper pocket. Why is this a foul?</t>
  </si>
  <si>
    <t>A) It makes the chistera heavier, B) It allows the player to hold the ball longer, which is an unfair advantage, C) It is not traditional, D) It can damage the ball</t>
  </si>
  <si>
    <t>B) It allows the player to hold the ball longer, which is an unfair advantage</t>
  </si>
  <si>
    <t>The dimensions of the chistera are strictly regulated to ensure that the catch-and-throw motion is fluid and not a prolonged "hold."</t>
  </si>
  <si>
    <t>In a doubles match, the ball is traveling between two opponents. Can one of the partners legally stand in the way to block their view?</t>
  </si>
  <si>
    <t>A) Yes, this is a legal screen, B) No, this is illegal interference, C) Only if they do not move, D) It is up to the referee's discretion</t>
  </si>
  <si>
    <t>B) No, this is illegal interference</t>
  </si>
  <si>
    <t>A player cannot intentionally obstruct an opponent's line of sight to the ball.</t>
  </si>
  <si>
    <t>A player's return shot is so fast that it sticks in a crack in the front wall. What is the call?</t>
  </si>
  <si>
    <t>A) The player who hit it wins the point, B) The point is replayed, C) The player who hit it loses the point, D) The referee must retrieve the ball</t>
  </si>
  <si>
    <t>A) The player who hit it wins the point</t>
  </si>
  <si>
    <t>If a player's shot is so powerful that it results in the ball being unplayable by becoming stuck, it is considered a winning shot.</t>
  </si>
  <si>
    <t>What is the main reason that Basque Pelota is considered a family of sports, not a single sport?</t>
  </si>
  <si>
    <t>A) It is played in many different countries, B) It has many different modalities with different courts, equipment, and rules, C) It is played by both men and women, D) It is both an amateur and a professional sport</t>
  </si>
  <si>
    <t>B) It has many different modalities with different courts, equipment, and rules</t>
  </si>
  <si>
    <t>The term "Basque Pelota" is an umbrella for a wide range of related but distinct ball games.</t>
  </si>
  <si>
    <t>A player is penalized for "unsportsmanlike conduct." Which of these actions would qualify?</t>
  </si>
  <si>
    <t>A) Celebrating a point, B) Intentionally throwing their racket in anger, C) Questioning a call, D) Playing a defensive shot</t>
  </si>
  <si>
    <t>B) Intentionally throwing their racket in anger</t>
  </si>
  <si>
    <t>Actions that show a clear lack of respect for the opponent, officials, or the sport itself are penalized.</t>
  </si>
  <si>
    <t>A player serves, and the ball hits the front wall, then bounces in the correct service box. The opponent volleys the ball (hits it before it bounces again). Is this legal?</t>
  </si>
  <si>
    <t>A) No, they must let it bounce, B) Yes, a volley is a legal return, C) The point is replayed, D) It is a fault</t>
  </si>
  <si>
    <t>B) Yes, a volley is a legal return</t>
  </si>
  <si>
    <t>A player can choose to play the ball either off the bounce or directly in the air as a volley.</t>
  </si>
  <si>
    <t>In a doubles match, a player's shot is heading out of bounds, but it hits their opponent before it lands. Who wins the point?</t>
  </si>
  <si>
    <t>A) The team of the player who was hit, B) The team of the player who hit the shot, C) The point is replayed, D) It is a fault on both teams</t>
  </si>
  <si>
    <t>A) The team of the player who was hit</t>
  </si>
  <si>
    <t>The shot was going "out," so the hitting team would have lost the point. The fact that it hit the opponent does not change this result.</t>
  </si>
  <si>
    <t>A player's foot touches the chapa (low metal strip) on the front wall as they are hitting the ball. Is this a foul?</t>
  </si>
  <si>
    <t>A) No, B) Yes, C) Only if the ball also hits the chapa, D) It is a warning</t>
  </si>
  <si>
    <t>B) Yes</t>
  </si>
  <si>
    <t>A player cannot touch the front wall's "out" area during their hitting motion.</t>
  </si>
  <si>
    <t>What is the main reason for the strict rules on the composition and construction of the pelota (ball)?</t>
  </si>
  <si>
    <t>A) To keep the cost of the balls high, B) To ensure a consistent and predictable performance in terms of speed and bounce, C) To protect the players' hands, D) It is a secret guarded by the makers</t>
  </si>
  <si>
    <t>B) To ensure a consistent and predictable performance in terms of speed and bounce</t>
  </si>
  <si>
    <t>A standardized ball is essential for a fair and high-level competition.</t>
  </si>
  <si>
    <t>The referee calls "¡Falta!" during a serve. What does this mean?</t>
  </si>
  <si>
    <t>A) The serve was good, B) The serve was a fault, C) The point is a let, D) The game is over</t>
  </si>
  <si>
    <t>B) The serve was a fault</t>
  </si>
  <si>
    <t>Falta is the Spanish word for "fault," used by the referee to signal an illegal serve.</t>
  </si>
  <si>
    <t>What is the main purpose of the "rebound wall" or rebote?</t>
  </si>
  <si>
    <t>A) It is to stop the ball, B) It allows for longer rallies and requires players to have good endurance and positioning, C) It is for spectators, D) It is a traditional feature with no function</t>
  </si>
  <si>
    <t>B) It allows for longer rallies and requires players to have good endurance and positioning</t>
  </si>
  <si>
    <t>The back wall keeps the ball in play, creating a much more dynamic and physically demanding game.</t>
  </si>
  <si>
    <t>A player is warned for taking too long between points. What is the typical time limit?</t>
  </si>
  <si>
    <t>A) 10 seconds, B) 15 seconds, C) 25 seconds, D) There is no time limit</t>
  </si>
  <si>
    <t>C) 25 seconds</t>
  </si>
  <si>
    <t>Like in tennis, there is a time limit between points to ensure the match proceeds at a reasonable pace.</t>
  </si>
  <si>
    <t>In the modality of Paleta Goma, what is the ball made of?</t>
  </si>
  <si>
    <t>A) Leather, B) Wood, C) Solid, pressurized rubber, D) Cork</t>
  </si>
  <si>
    <t>C) Solid, pressurized rubber</t>
  </si>
  <si>
    <t>This modality uses a simple rubber ball, which is why it is one of the most accessible and widely played versions of the sport.</t>
  </si>
  <si>
    <t>What is the ruling if a player intentionally tries to distract an opponent by shouting during their swing?</t>
  </si>
  <si>
    <t>A) This is legal gamesmanship, B) It is a fault for unsportsmanlike conduct, C) The point is replayed, D) The player who shouted is warned</t>
  </si>
  <si>
    <t>B) It is a fault for unsportsmanlike conduct</t>
  </si>
  <si>
    <t>Deliberately interfering with an opponent's concentration during their shot is a violation of the rules.</t>
  </si>
  <si>
    <t>What is the ultimate goal of the International Federation of Basque Pelota (FIPV)?</t>
  </si>
  <si>
    <t>A) To make the sport professional worldwide, B) To have Pelota included as a permanent medal sport in the Olympic Games, C) To ban all other racket sports, D) To build a fronton in every country</t>
  </si>
  <si>
    <t>B) To have Pelota included as a permanent medal sport in the Olympic Games</t>
  </si>
  <si>
    <t>Gaining permanent Olympic status is the highest ambition of the sport's governing body.</t>
  </si>
  <si>
    <t>A player hits the ball and it gets stuck in the rafters of the ceiling. What is the call?</t>
  </si>
  <si>
    <t>A) The point is replayed, B) The player who hit it wins the point, C) The player who hit it loses the point, D) The first player to get the ball down wins</t>
  </si>
  <si>
    <t>The ceiling is out of play. A ball that becomes lodged in an overhead fixture is a fault against the player who hit it there.</t>
  </si>
  <si>
    <t>What is the "underhand" serve in Jai Alai?</t>
  </si>
  <si>
    <t>A) It is the only legal serve, B) It is an illegal serve, C) It is a softer, more controlled serve, as opposed to the powerful overhand serve, D) It is a serve used only by women</t>
  </si>
  <si>
    <t>C) It is a softer, more controlled serve, as opposed to the powerful overhand serve</t>
  </si>
  <si>
    <t>Players can choose between a powerful overhand motion or a more controlled underhand motion for their serve, depending on their strategy.</t>
  </si>
  <si>
    <t>A player is found to have an illegally modified chistera that has a deeper pocket than is allowed. Why is this a foul?</t>
  </si>
  <si>
    <t>What is the main reason Pelota has a much higher cultural status in the Basque Country than in other parts of the world?</t>
  </si>
  <si>
    <t>A) It is a symbol of their unique national and cultural identity, B) It is the only sport they play, C) The prize money is much higher there, D) The best players are all from there</t>
  </si>
  <si>
    <t>A) It is a symbol of their unique national and cultural identity</t>
  </si>
  <si>
    <t>Pelota is more than just a game; it is a cherished cultural treasure, a social institution, and a powerful expression of Basque heritage.</t>
  </si>
  <si>
    <t>The betting system in Jai Alai, the quiniela, involves betting on which teams will finish in what positions?</t>
  </si>
  <si>
    <t>A) First place only, B) First and second place (Win and Place), C) First, second, and third place (Trifecta), D) The last place team</t>
  </si>
  <si>
    <t>B) First and second place (Win and Place)</t>
  </si>
  <si>
    <t>The quiniela is a classic parimutuel betting system where the goal is to predict the top two finishers in the match.</t>
  </si>
  <si>
    <t>A player returns the ball, and it hits the front wall, then the back wall, then the floor. Is this a legal shot?</t>
  </si>
  <si>
    <t>A) No, it must bounce before hitting the back wall, B) Yes, this is a legal "carom" shot, C) The point is replayed, D) It is a fault</t>
  </si>
  <si>
    <t>B) Yes, this is a legal "carom" shot</t>
  </si>
  <si>
    <t>Using the back wall (rebote) is a key part of the strategy, especially in the three-walled fronton.</t>
  </si>
  <si>
    <t>In a trinquet, what is the xilo?</t>
  </si>
  <si>
    <t>A) The back wall, B) The net, C) A small hole in the front wall that is an automatic winning shot if hit, D) The side gallery</t>
  </si>
  <si>
    <t>C) A small hole in the front wall that is an automatic winning shot if hit</t>
  </si>
  <si>
    <t>Hitting the ball into the xilo (hole) is a difficult and instantly game-winning shot in some modalities.</t>
  </si>
  <si>
    <t>What is a "pelota school" or escuela de pelota?</t>
  </si>
  <si>
    <t>A) A university that studies the sport, B) A training academy for young players, C) The name of a famous book about the sport, D) A place where the balls are made</t>
  </si>
  <si>
    <t>B) A training academy for young players</t>
  </si>
  <si>
    <t>These schools are the heart of the sport's development, where young children learn the fundamentals from experienced coaches.</t>
  </si>
  <si>
    <t>What is a "dos paredes"?</t>
  </si>
  <si>
    <t>A) A shot that hits two walls, B) A type of serve, C) A defensive move, D) A term for a doubles match</t>
  </si>
  <si>
    <t>A) A shot that hits two walls</t>
  </si>
  <si>
    <t>A "two walls" shot is a common tactical play, where the ball is hit off the side wall and then the front wall, or vice versa, to create a difficult angle.</t>
  </si>
  <si>
    <t>In the game of Xare, what is the racket like?</t>
  </si>
  <si>
    <t>A) A solid wooden paddle, B) A woven basket, C) A stringed racket with a loose, net-like head, D) There is no racket</t>
  </si>
  <si>
    <t>C) A stringed racket with a loose, net-like head</t>
  </si>
  <si>
    <t>Xare (or "Argentine racket") uses a unique racket that looks like a lacrosse stick, used to catch and throw the soft ball.</t>
  </si>
  <si>
    <t>A player is found to have an illegally modified ball that is extra bouncy. What is the consequence?</t>
  </si>
  <si>
    <t>A) A warning, B) Forfeiture of the match, C) A point penalty, D) The ball is simply replaced</t>
  </si>
  <si>
    <t>Tampering with the ball to gain an unfair advantage is a major act of cheating and would result in the forfeiture of the game.</t>
  </si>
  <si>
    <t>The number on a Jai Alai player's back corresponds to what?</t>
  </si>
  <si>
    <t>A) Their age, B) Their rank, C) Their post position in the quiniela betting system, D) Their jersey size</t>
  </si>
  <si>
    <t>C) Their post position in the quiniela betting system</t>
  </si>
  <si>
    <t>The numbers 1 through 8 are used to identify the players or teams for the betting public.</t>
  </si>
  <si>
    <t>What is the primary role of the left wall (pared izquierda) in the game?</t>
  </si>
  <si>
    <t>A) To provide a surface for the ball to be legally played off of, creating complex angles, B) To separate the players from the spectators, C) It is out of bounds, D) It is where the score is kept</t>
  </si>
  <si>
    <t>A) To provide a surface for the ball to be legally played off of, creating complex angles</t>
  </si>
  <si>
    <t>The side wall is a fundamental part of the game, allowing for carom shots and defensive plays that are not possible in a two-walled game.</t>
  </si>
  <si>
    <t>What is the main reason Pelota has a much higher cultural status in the Basque Country than elsewhere?</t>
  </si>
  <si>
    <t>During a Gouren match, Wrestler Ruz executes a perfect throw, and Wrestler Gwer lands flat on their back with both shoulder blades touching the mat simultaneously. What is the immediate result?</t>
  </si>
  <si>
    <t>A) Ruz is awarded a Kostin, B) Ruz wins the match instantly by a Lamm, C) The match continues, D) The round ends and goes to points</t>
  </si>
  <si>
    <t>B) Ruz wins the match instantly by a Lamm</t>
  </si>
  <si>
    <t>The Lamm is the perfect fall and the ultimate objective in Gouren. Achieving it results in an immediate victory, regardless of the time or score.</t>
  </si>
  <si>
    <t>A wrestler performs a throw, but their opponent lands on their side and one shoulder blade. What is the result of this action?</t>
  </si>
  <si>
    <t>A) A Lamm (perfect fall), B) A Kostin (partial fall), C) A Kein (advantage), D) A Netra (no result)</t>
  </si>
  <si>
    <t>B) A Kostin (partial fall)</t>
  </si>
  <si>
    <t>A Kostin is awarded for a fall that is not perfect but is still a significant result, such as landing on one shoulder or the upper back.</t>
  </si>
  <si>
    <t>Before the tournament begins, all wrestlers stand in the circle and recite an oath together. What are they pledging to do?</t>
  </si>
  <si>
    <t>A) To win at all costs, B) To fight with fairness, loyalty, and without brutality, C) To obey their coaches, D) To entertain the crowd</t>
  </si>
  <si>
    <t>B) To fight with fairness, loyalty, and without brutality</t>
  </si>
  <si>
    <t>The wrestler's oath (serment) is a mandatory ritual that sets the ethical and sportsmanlike tone for the competition.</t>
  </si>
  <si>
    <t>During a bout, a wrestler is penalized for grabbing their opponent's trousers (bragoù). What is the correct ruling for this action?</t>
  </si>
  <si>
    <t>A) It is a legal grip, B) The referee issues a warning (Diwall), C) It is a Fazi (foul), D) The wrestler is disqualified</t>
  </si>
  <si>
    <t>C) It is a Fazi (foul)</t>
  </si>
  <si>
    <t>Gouren is a jacket-wrestling style. All grips must be on the roched (jacket) above the belt. Grabbing the trousers is illegal.</t>
  </si>
  <si>
    <t>A wrestler receives a second warning (Diwall) for the same minor foul. What is the immediate consequence?</t>
  </si>
  <si>
    <t>A) They are disqualified, B) Nothing happens, it is just another warning, C) Their opponent is awarded a Poent (point/advantage), D) The match is restarted</t>
  </si>
  <si>
    <t>C) Their opponent is awarded a Poent (point/advantage)</t>
  </si>
  <si>
    <t>The penalty system escalates. Two warnings for minor fouls result in a Poent being awarded to the opponent.</t>
  </si>
  <si>
    <t>A match ends. The score is tied with one Kostin each. The overtime period (astenn) also ends with no further results. How is a winner decided?</t>
  </si>
  <si>
    <t>A) The match is a draw, B) The referees award a Kein (advantage) to the more aggressive wrestler, C) By a coin toss, D) The last wrestler to score wins</t>
  </si>
  <si>
    <t>B) The referees award a Kein (advantage) to the more aggressive wrestler</t>
  </si>
  <si>
    <t>If overtime ends without a score, the referees can award a Kein to the wrestler who showed more offensive action, thus breaking the tie.</t>
  </si>
  <si>
    <t>Wrestler Ruz accumulates three Fazi (penalties) during a single match. What is the outcome?</t>
  </si>
  <si>
    <t>A) They receive a final warning, B) They lose by disqualification, C) They get a 3-point deduction, D) The match continues</t>
  </si>
  <si>
    <t>B) They lose by disqualification</t>
  </si>
  <si>
    <t>The "three strikes" rule is absolute. Accumulating three penalties for fouls results in an automatic loss of the match.</t>
  </si>
  <si>
    <t>Wrestler Gwer is thrown, but they land on their chest and stomach. What is the referee's call?</t>
  </si>
  <si>
    <t>A) A Kostin for Gwer's opponent, B) A Netra (no result), C) A Lamm for Gwer's opponent, D) A Kein for Gwer's opponent</t>
  </si>
  <si>
    <t>B) A Netra (no result)</t>
  </si>
  <si>
    <t>A score can only be achieved by making the opponent fall on their back or shoulders. A fall to the front is a neutral result, and the match is reset.</t>
  </si>
  <si>
    <t>What is the name of the traditional open-weight tournament where the grand prize is a live ram (maout)?</t>
  </si>
  <si>
    <t>A) The Brittany Championship, B) The Mod-Kozh tournament, C) The Celtic Cup, D) The Quimperlé Challenge</t>
  </si>
  <si>
    <t>B) The Mod-Kozh tournament</t>
  </si>
  <si>
    <t>The "old-style" (mod-kozh) tournament is a special event that preserves the ancient challenge format and the traditional ram prize.</t>
  </si>
  <si>
    <t>A wrestler is disqualified from the entire tournament for a single, grave offense like insulting an official. What is this severe penalty called?</t>
  </si>
  <si>
    <t>A) Fazi Vraz, B) Lamm, C) Divrud, D) Kostin</t>
  </si>
  <si>
    <t>C) Divrud</t>
  </si>
  <si>
    <t>A Divrud is the most severe sanction, reserved for grave offenses, resulting in the wrestler's expulsion from the whole event.</t>
  </si>
  <si>
    <t>Before a bout, the wrestlers perform the dornad. What does this involve?</t>
  </si>
  <si>
    <t>A) A ceremonial dance, B) Reciting the oath, C) A specific handshake where they intertwine fingers and grip each other's jackets, D) A bow to the referees</t>
  </si>
  <si>
    <t>C) A specific handshake where they intertwine fingers and grip each other's jackets</t>
  </si>
  <si>
    <t>The dornad is both a ritual of respect and the technical starting grip from which all action in the match begins.</t>
  </si>
  <si>
    <t>A wrestler is barefoot, wearing a white jacket (roched) and black trousers (bragoù). Is their attire correct for competition?</t>
  </si>
  <si>
    <t>A) No, they must wear shoes, B) No, the trousers must be white, C) Yes, this is the correct official uniform, D) No, the jacket must be black</t>
  </si>
  <si>
    <t>C) Yes, this is the correct official uniform</t>
  </si>
  <si>
    <t>The Gouren uniform is very specific: a white roched fastened with a belt, mid-length black bragoù, and bare feet.</t>
  </si>
  <si>
    <t>The standard duration for a senior men's match is 3 minutes. How long is the overtime period (astenn)?</t>
  </si>
  <si>
    <t>A) 3 minutes, B) 1 minute 30 seconds, C) 5 minutes, D) 2 minutes</t>
  </si>
  <si>
    <t>B) 1 minute 30 seconds</t>
  </si>
  <si>
    <t>The overtime period is always half the duration of the standard round.</t>
  </si>
  <si>
    <t>Wrestler Ruz attempts a throw, but Wrestler Gwer manages to put a hand on the mat to stop the fall. What is the ruling?</t>
  </si>
  <si>
    <t>A) It is a legal defense, B) It is a foul on Wrestler Gwer for blocking the throw, C) The match continues, D) The throw is re-attempted</t>
  </si>
  <si>
    <t>B) It is a foul on Wrestler Gwer for blocking the throw</t>
  </si>
  <si>
    <t>A wrestler cannot use their hand on the mat to prevent a fall. This action is a foul (fazi) for illegal defense.</t>
  </si>
  <si>
    <t>During a Mod-Kozh tournament, a wrestler wants to challenge the current champion. What is the traditional way to do this?</t>
  </si>
  <si>
    <t>A) Shouting their name, B) Raising their hand, C) Walking up and touching the champion's shoulder, D) Informing the referee</t>
  </si>
  <si>
    <t>C) Walking up and touching the champion's shoulder</t>
  </si>
  <si>
    <t>The traditional method of challenge is a simple, respectful tap on the shoulder of the wrestler they wish to fight.</t>
  </si>
  <si>
    <t>The International Federation of Celtic Wrestling (FILC) includes Gouren and which other major style?</t>
  </si>
  <si>
    <t>A) Sumo from Japan, B) Cornish Wrestling from Great Britain, C) Glima from Iceland, D) Both B and C</t>
  </si>
  <si>
    <t>D) Both B and C</t>
  </si>
  <si>
    <t>The FILC unites the wrestling traditions of the Celtic and Nordic nations, including Cornish, Scottish, and Icelandic styles alongside Gouren.</t>
  </si>
  <si>
    <t>A wrestler performs a throw that results in a Kostin. What does this mean for the match's progression?</t>
  </si>
  <si>
    <t>A) The wrestler wins the match immediately, B) The match is a draw, C) The wrestler is now winning and can only be defeated if their opponent scores a Lamm, D) The wrestler loses the round</t>
  </si>
  <si>
    <t>C) The wrestler is now winning and can only be defeated if their opponent scores a Lamm</t>
  </si>
  <si>
    <t>A Kostin is a strong result that puts a wrestler in the lead. A lesser result (like a Kein) by the opponent will not be enough to win.</t>
  </si>
  <si>
    <t>What is the role of the skoliou (Gouren schools) in a large tournament?</t>
  </si>
  <si>
    <t>A) To provide medical staff, B) To act as referees, C) To strategically manage their wrestlers in the bracket to avoid them fighting each other early on, D) To sell tickets</t>
  </si>
  <si>
    <t>C) To strategically manage their wrestlers in the bracket to avoid them fighting each other early on</t>
  </si>
  <si>
    <t>This is a key part of the team strategy, ensuring the school has the best chance of getting a wrestler into the final rounds.</t>
  </si>
  <si>
    <t>A wrestler is penalized for using their knee to block an opponent's leg sweep. Is this a correct call?</t>
  </si>
  <si>
    <t>A) No, this is a legal block, B) Yes, using the knee as a "hard point" to strike or block is illegal, C) Only if it causes an injury, D) Only if the referee sees it</t>
  </si>
  <si>
    <t>B) Yes, using the knee as a "hard point" to strike or block is illegal</t>
  </si>
  <si>
    <t>A wrestler must use their feet and the motion of their legs for sweeps and blocks, not the point of the knee.</t>
  </si>
  <si>
    <t>If a wrestler is injured due to a legal throw by their opponent and cannot continue, what is the outcome?</t>
  </si>
  <si>
    <t>A) The opponent is penalized, B) The injured wrestler wins the match, C) The injured wrestler loses the match by retirement, D) The match is declared a draw</t>
  </si>
  <si>
    <t>C) The injured wrestler loses the match by retirement</t>
  </si>
  <si>
    <t>If a wrestler is unable to continue due to an injury sustained from a legal technique, they must retire, and their opponent is declared the winner.</t>
  </si>
  <si>
    <t>A wrestler is found to have tape on their hands that has been illegally hardened with glue. What is the consequence?</t>
  </si>
  <si>
    <t>A) The tape is removed, and a warning is issued, B) The wrestler is immediately disqualified for cheating, C) The opponent is awarded 5 points, D) The round is replayed</t>
  </si>
  <si>
    <t>B) The wrestler is immediately disqualified for cheating</t>
  </si>
  <si>
    <t>Tampering with any equipment or taping to create a weapon or an unfair advantage is a major violation and results in disqualification.</t>
  </si>
  <si>
    <t>Why is ground wrestling not a part of Gouren?</t>
  </si>
  <si>
    <t>A) The mats are too hard, B) It is considered less skillful, C) The tradition is based on military combat, where going to the ground was often fatal, D) It would make the matches too long</t>
  </si>
  <si>
    <t>C) The tradition is based on military combat, where going to the ground was often fatal</t>
  </si>
  <si>
    <t>The objective was to throw an opponent and remain standing, ready to face the next adversary. Being on the ground was a position of extreme vulnerability in battle.</t>
  </si>
  <si>
    <t>A wrestler executes a perfect Lamm, but their own foot was on the boundary line of the mat (pallenn). What is the outcome?</t>
  </si>
  <si>
    <t>A) The Lamm is valid, B) The throw is invalid due to the boundary violation, and the match is reset, C) A Kostin is awarded instead, D) The match is replayed</t>
  </si>
  <si>
    <t>B) The throw is invalid due to the boundary violation, and the match is reset</t>
  </si>
  <si>
    <t>All scoring actions must be completed while both wrestlers are fully inside the designated combat area.</t>
  </si>
  <si>
    <t>The central referee signals a Lamm, but one corner judge signals a Kostin and the other signals a Netra. What is the final decision?</t>
  </si>
  <si>
    <t>A) It is a Lamm, as the central referee is the head, B) It is a Kostin, based on the majority vote, C) The match is replayed, D) The throw is a Netra (no result)</t>
  </si>
  <si>
    <t>B) It is a Kostin, based on the majority vote</t>
  </si>
  <si>
    <t>The final decision is determined by a majority vote of the three officials. In this case, two of the three did not see a perfect fall, so the result is a Kostin.</t>
  </si>
  <si>
    <t>After a loss, a wrestler refuses to perform the post-match dornad with the winner. What is a possible consequence?</t>
  </si>
  <si>
    <t>A) Nothing, it is their choice, B) The referee can issue a Divrud (tournament disqualification) for gross disrespect, C) The match result is overturned, D) The wrestler must pay a fine</t>
  </si>
  <si>
    <t>B) The referee can issue a Divrud (tournament disqualification) for gross disrespect</t>
  </si>
  <si>
    <t>The dornad is a mandatory sign of respect. Refusing it is a serious breach of the sport's ethical code and can result in expulsion.</t>
  </si>
  <si>
    <t>What is the main characteristic of a kliked?</t>
  </si>
  <si>
    <t>A) It is a leg sweep, B) It is a powerful winding or rolling throw, C) It is a defensive move, D) It is a lift from the ground</t>
  </si>
  <si>
    <t>B) It is a powerful winding or rolling throw</t>
  </si>
  <si>
    <t>The kliked is a dynamic rotational throw that is one of the signature techniques of Gouren, requiring great skill to execute.</t>
  </si>
  <si>
    <t>A wrestler is warned for using their opponent's roched to choke them. Is this a correct call?</t>
  </si>
  <si>
    <t>A) No, this is a legal "lapel choke" technique, B) Yes, using the uniform to strangle an opponent is an illegal and dangerous foul, C) Only if the opponent loses consciousness, D) It is legal but frowned upon</t>
  </si>
  <si>
    <t>B) Yes, using the uniform to strangle an opponent is an illegal and dangerous foul</t>
  </si>
  <si>
    <t>The jacket is for gripping and throwing only. Using it as a ligature to choke an opponent is a major foul.</t>
  </si>
  <si>
    <t>What is the main reason for the specific, mid-length cut of the bragoù (trousers)?</t>
  </si>
  <si>
    <t>A) It is a modern fashion, B) To ensure that the wrestlers' legs and feet are visible for judging leg techniques, C) It is cooler in the summer, D) It saves on material</t>
  </si>
  <si>
    <t>B) To ensure that the wrestlers' legs and feet are visible for judging leg techniques</t>
  </si>
  <si>
    <t>The length of the trousers is specified to allow the referees to have a clear view of the complex and legal leg-sweeping and tripping actions.</t>
  </si>
  <si>
    <t>A wrestler is penalized for being too passive. What must they do to avoid further penalties?</t>
  </si>
  <si>
    <t>A) Defend more effectively, B) Make more attempts to execute a throw, C) Communicate with the referee, D) Push their opponent</t>
  </si>
  <si>
    <t>B) Make more attempts to execute a throw</t>
  </si>
  <si>
    <t>To avoid being penalized for passivity, a wrestler must demonstrate clear offensive intent by actively trying to unbalance and throw their opponent.</t>
  </si>
  <si>
    <t>The final of a tournament is between two wrestlers from the same skol (club). What is a likely outcome?</t>
  </si>
  <si>
    <t>A) They will be disqualified, B) They might decide to share the prize rather than fight a teammate, C) The match will be more aggressive than usual, D) The rules are different for teammates</t>
  </si>
  <si>
    <t>B) They might decide to share the prize rather than fight a teammate</t>
  </si>
  <si>
    <t>It is a common and respected tradition for wrestlers from the same school to decline to fight each other in a final, often sharing the honor and the prize.</t>
  </si>
  <si>
    <t>A wrestler executes a throw, and the opponent lands on their side, not their back. What is the ruling?</t>
  </si>
  <si>
    <t>A) A full lamm is awarded, B) No points are awarded; the match is reset, C) A partial score is awarded, D) The throw must be re-done</t>
  </si>
  <si>
    <t>B) No points are awarded; the match is reset</t>
  </si>
  <si>
    <t>To win, the throw must result in the opponent's back, specifically both shoulder blades, hitting the ground. A side fall does not count.</t>
  </si>
  <si>
    <t>A wrestler is warned for using their free hand to grab the opponent's wrist. Is this a foul?</t>
  </si>
  <si>
    <t>A) No, this is a legal move to control the opponent, B) Yes, the free hand cannot be used to grip the opponent, C) Only if the grip is held for more than 3 seconds, D) It is not a foul, but it is poor sportsmanship</t>
  </si>
  <si>
    <t>B) Yes, the free hand cannot be used to grip the opponent</t>
  </si>
  <si>
    <t>The free hand is for balance and blocking, not for illegal gripping of the opponent's limbs.</t>
  </si>
  <si>
    <t>What is the ruling if a wrestler is injured due to a legal throw by their opponent?</t>
  </si>
  <si>
    <t>A) The opponent is penalized, B) The injured wrestler wins the match, C) The injured wrestler loses the match by retirement, D) The match is a draw</t>
  </si>
  <si>
    <t>What is the main purpose of the modern, thick wrestling mat (pallenn)?</t>
  </si>
  <si>
    <t>A) To define the playing area, B) To provide a safe, cushioned surface to absorb the impact of throws, C) To keep the wrestlers clean, D) It is for sponsors' logos</t>
  </si>
  <si>
    <t>B) To provide a safe, cushioned surface to absorb the impact of throws</t>
  </si>
  <si>
    <t>The mat is the most important piece of safety equipment in the modern sport, replacing the traditional grass or sand pits.</t>
  </si>
  <si>
    <t>A wrestler wins a perfect Lamm. The opponent's coach protests. On what grounds could a protest be valid?</t>
  </si>
  <si>
    <t>A) The throw was too powerful, B) The winning wrestler made a foul (e.g., grabbed the leg) during the throw, C) The coach did not like the result, D) The winning wrestler celebrated too much</t>
  </si>
  <si>
    <t>B) The winning wrestler made a foul (e.g., grabbed the leg) during the throw</t>
  </si>
  <si>
    <t>A protest can only be lodged based on a technical violation of the rules, not on a judgment of style or force.</t>
  </si>
  <si>
    <t>The modern Gouren federation is affiliated with which larger French sporting body?</t>
  </si>
  <si>
    <t>A) The French Football Federation, B) The French Judo Federation, C) The French Wrestling Federation (FFL), D) The French Olympic Committee</t>
  </si>
  <si>
    <t>C) The French Wrestling Federation (FFL)</t>
  </si>
  <si>
    <t>Gouren is officially recognized and administered as a regional wrestling style under the umbrella of the main French Wrestling Federation.</t>
  </si>
  <si>
    <t>In the FILC, which country's wrestling style is known as Back-hold?</t>
  </si>
  <si>
    <t>A) Ireland, B) Brittany, C) Cornwall, D) Scotland</t>
  </si>
  <si>
    <t>D) Scotland</t>
  </si>
  <si>
    <t>Scottish Back-hold wrestling is another of the Celtic styles, known for its distinctive starting chest-to-chest grip.</t>
  </si>
  <si>
    <t>A wrestler wins a throw, and the result is a kostin. What does this mean?</t>
  </si>
  <si>
    <t>A) The opponent was injured, B) The throw was perfect, C) The throw was only partially successful, with both wrestlers falling, D) The wrestler cheated</t>
  </si>
  <si>
    <t>C) The throw was only partially successful, with both wrestlers falling</t>
  </si>
  <si>
    <t>A kostin is a result where the attacker also loses their balance and falls, which is a lesser result than a clean Lamm.</t>
  </si>
  <si>
    <t>A wrestler is penalized for grabbing the opponent's bragoù (trousers). Is this a correct call?</t>
  </si>
  <si>
    <t>A) No, this is a legal part of jacket wrestling, B) Yes, all grips must be on the upper body roched (shirt), C) Only if the trousers tear, D) Only if it is a major tournament</t>
  </si>
  <si>
    <t>B) Yes, all grips must be on the upper body roched (shirt)</t>
  </si>
  <si>
    <t>Gouren rules are specific: the grip is restricted to the opponent's wrestling jacket. Grabbing the trousers is a foul.</t>
  </si>
  <si>
    <t>What is the term for a perfect fall which is the highest achievement in gouren?</t>
  </si>
  <si>
    <t>A) Lamm, B) Kostin, C) Kein, D) Netra</t>
  </si>
  <si>
    <t>A) Lamm</t>
  </si>
  <si>
    <t>The Lamm is the ultimate goal, a perfect throw where the opponent is thrown to the ground so both their shoulder blades hit the ground simultaneously.</t>
  </si>
  <si>
    <t>A) No, this is a legal "lapel choke", B) Yes, using the uniform to strangle an opponent is an illegal and dangerous foul, C) Only if the opponent loses consciousness, D) It is legal but frowned upon</t>
  </si>
  <si>
    <t>What is the main reason that strikes (punches and kicks) are forbidden in Gouren?</t>
  </si>
  <si>
    <t>A) It is a purely grappling art, focused on throws and balance, B) It would be too dangerous without gloves, C) The wrestlers need their hands for gripping, D) All of the above</t>
  </si>
  <si>
    <t>Gouren's rules were codified to make it a safe and technical sport of pure grappling, distinct from striking arts.</t>
  </si>
  <si>
    <t>A wrestler is found to have tape on their hands that has been illegally hardened. What is the consequence?</t>
  </si>
  <si>
    <t>Tampering with any equipment or taping to create a weapon or an unfair advantage is a major violation.</t>
  </si>
  <si>
    <t>What is the referee's command to restart the wrestlers in the center after a stop?</t>
  </si>
  <si>
    <t>A) "En garde!", B) "Reprenez!" (Resume!), C) "Dornad!", D) "Allez!" (Go!)</t>
  </si>
  <si>
    <t>C) "Dornad!"</t>
  </si>
  <si>
    <t>The wrestlers are ordered to restart with the traditional dornad handshake and grip.</t>
  </si>
  <si>
    <t>A wrestler is found to have applied a sticky substance to their hands to improve their grip. What is the ruling?</t>
  </si>
  <si>
    <t>A) This is legal, B) The wrestler is disqualified for cheating, C) The wrestler is told to wash their hands and is warned, D) The opponent gets a point</t>
  </si>
  <si>
    <t>B) The wrestler is disqualified for cheating</t>
  </si>
  <si>
    <t>Using any artificial substance to gain an unfair advantage is a major violation and results in disqualification.</t>
  </si>
  <si>
    <t>In its essence, Gouren is a test of a wrestler's ability to do what?</t>
  </si>
  <si>
    <t>A) To out-muscle their opponent, B) To control their opponent's balance while maintaining their own, C) To endure pain, D) To follow the referee's commands</t>
  </si>
  <si>
    <t>B) To control their opponent's balance while maintaining their own</t>
  </si>
  <si>
    <t>The entire art is based on the dynamic interplay of balance, with the goal of breaking the opponent's stability while perfecting your own.</t>
  </si>
  <si>
    <t>What is the main purpose of the thick wrestling mat (pallenn)?</t>
  </si>
  <si>
    <t>The mat is the most important piece of safety equipment in the modern sport.</t>
  </si>
  <si>
    <t>What is the main difference between Gouren and Icelandic Glima?</t>
  </si>
  <si>
    <t>A) Glima uses a belt system for grips, B) Gouren is older, C) Glima involves striking, D) There is no difference</t>
  </si>
  <si>
    <t>A) Glima uses a belt system for grips</t>
  </si>
  <si>
    <t>Glima is a form of belt wrestling, which is fundamentally different from the jacket wrestling style of Gouren.</t>
  </si>
  <si>
    <t>What is the main difference between Gouren and Swiss Schwingen?</t>
  </si>
  <si>
    <t>A) Schwingen is older, B) Schwingen wrestlers wear special canvas shorts for gripping, while Gouren uses a jacket, C) Schwingen is a team sport, D) Gouren is more popular</t>
  </si>
  <si>
    <t>B) Schwingen wrestlers wear special canvas shorts for gripping, while Gouren uses a jacket</t>
  </si>
  <si>
    <t>Both are European folk wrestling styles, but their rules and gripping methods are distinct. Schwingen focuses on grips on the opponent's shorts.</t>
  </si>
  <si>
    <t>A wrestler is penalized for grabbing the opponent below the belt. Is this a correct call?</t>
  </si>
  <si>
    <t>A) No, all holds are allowed, B) Yes, all grips must be on the roched (jacket) above the belt, C) Only if it is a major tournament, D) Only if the opponent complains</t>
  </si>
  <si>
    <t>B) Yes, all grips must be on the roched (jacket) above the belt</t>
  </si>
  <si>
    <t>The rules of Gouren are very specific about the legal grip area, which is restricted to the opponent's wrestling jacket.</t>
  </si>
  <si>
    <t>A kostin is a result where the attacker also loses their balance and falls, which is a lesser result than a clean lamm.</t>
  </si>
  <si>
    <t>What is the role of the skoliou in gouren competitions?</t>
  </si>
  <si>
    <t>A) To avoid clashes between wrestlers from the same club, B) To organize fights, C) To increase the duration of fights, D) To enforce the rules</t>
  </si>
  <si>
    <t>A) To avoid clashes between wrestlers from the same club</t>
  </si>
  <si>
    <t>This is a strategic part of the tournament, ensuring that teammates do not eliminate each other prematurely.</t>
  </si>
  <si>
    <t>What is the term for a fall on the back that is assessed during overtime?</t>
  </si>
  <si>
    <t>A) Kein, B) Lamm, C) Kostin, D) Netra</t>
  </si>
  <si>
    <t>A) Kein</t>
  </si>
  <si>
    <t>If no major result occurs in overtime, a Kein (advantage) can be awarded for a near-fall to decide the winner.</t>
  </si>
  <si>
    <t>What is the term for a penalty awarded after an accumulation of fouls?</t>
  </si>
  <si>
    <t>A) Poent, B) Fazi, C) Diwall, D) Fazi Vraz</t>
  </si>
  <si>
    <t>A) Poent</t>
  </si>
  <si>
    <t>A Poent is the "point" or advantage given to a wrestler after their opponent has committed two fouls.</t>
  </si>
  <si>
    <t>What is the term for a perfect victory in a gouren fight?</t>
  </si>
  <si>
    <t>The Lamm is the perfect fall and the ultimate objective in Gouren.</t>
  </si>
  <si>
    <t>A wrestler is disqualified from the tournament for a serious foul. What is this called?</t>
  </si>
  <si>
    <t>A) Divrud, B) Fazi, C) Poent, D) Fazi Vraz</t>
  </si>
  <si>
    <t>A) Divrud</t>
  </si>
  <si>
    <t>A Divrud is the most severe sanction, resulting in a wrestler's expulsion from the whole competition for acts like fighting outside the match.</t>
  </si>
  <si>
    <t>A wrestler is given a warning for a minor foul. What is this called?</t>
  </si>
  <si>
    <t>A) Fazi, B) Poent, C) Diwall, D) Lamm</t>
  </si>
  <si>
    <t>C) Diwall</t>
  </si>
  <si>
    <t>For the first minor infraction, the referee will issue a Diwall (warning).</t>
  </si>
  <si>
    <t>A wrestler commits a second minor foul. What is the consequence?</t>
  </si>
  <si>
    <t>A) A Fazi is awarded to the opponent, B) A Poent is awarded to the opponent, C) A Diwall is given, D) A Kostin is awarded</t>
  </si>
  <si>
    <t>A) A Fazi is awarded to the opponent</t>
  </si>
  <si>
    <t>The first foul is a warning (Diwall). The second foul is a Fazi. The third Fazi results in disqualification.</t>
  </si>
  <si>
    <t>The match is tied, and in overtime, one wrestler is more offensive. What result might they be awarded?</t>
  </si>
  <si>
    <t>C) Kein</t>
  </si>
  <si>
    <t>If no fall occurs in overtime, the referees can award a Kein (advantage) to the more active wrestler to decide the winner.</t>
  </si>
  <si>
    <t>A wrestler is penalized for using their free hand to grab the opponent's wrist. Is this a foul?</t>
  </si>
  <si>
    <t>A) No, this is a legal move, B) Yes, the free hand cannot be used to grip the opponent, C) Only if the grip is held for more than 3 seconds, D) It is not a foul, but it is poor sportsmanship</t>
  </si>
  <si>
    <t>The wrestler's oath, "I swear to fight with full loyalty," primarily forbids what?</t>
  </si>
  <si>
    <t>A) Losing the match, B) Any form of treachery or "cheap shots," C) Speaking during the match, D) Attacking the legs</t>
  </si>
  <si>
    <t>B) Any form of treachery or "cheap shots,"</t>
  </si>
  <si>
    <t>The oath is a commitment to an honorable fight, explicitly forbidding any action that is not based on fair and open skill.</t>
  </si>
  <si>
    <t>A wrestler is known for their powerful "click" (kliked). What is this technique?</t>
  </si>
  <si>
    <t>A) A type of hip throw, B) A powerful winding or rolling throw, C) A defensive foot-block, D) The name for the wrestler's belt</t>
  </si>
  <si>
    <t>B) A powerful winding or rolling throw</t>
  </si>
  <si>
    <t>The kliked is one of the most characteristic and effective throws in the sport, involving a powerful turning motion to unbalance the opponent.</t>
  </si>
  <si>
    <t>A wrestler is disqualified from the entire tournament for a grave offense. What is this penalty called?</t>
  </si>
  <si>
    <t>A Divrud is the most severe sanction, resulting in a wrestler's expulsion from the whole competition for acts like fighting outside the match or gross disrespect.</t>
  </si>
  <si>
    <t>What is the official name for the wrestling circle on the mat?</t>
  </si>
  <si>
    <t>A) The Pallenn, B) The Akhara, C) The Kelc'h, D) The Ring</t>
  </si>
  <si>
    <t>C) The Kelc'h</t>
  </si>
  <si>
    <t>Kelc'h is the Breton word for "circle," and it is the official term for the competition area.</t>
  </si>
  <si>
    <t>Is it legal for a wrestler to use their opponent's momentum against them?</t>
  </si>
  <si>
    <t>A) No, a wrestler must use their own strength, B) Yes, this is a fundamental principle of the art, C) Only if the opponent is larger, D) It is considered a cheap trick</t>
  </si>
  <si>
    <t>B) Yes, this is a fundamental principle of the art</t>
  </si>
  <si>
    <t>Gouren, like Judo, relies heavily on using an opponent's force and momentum to execute throws, emphasizing technique over brute strength.</t>
  </si>
  <si>
    <t>A wrestler is warned for "brutality." What does this mean?</t>
  </si>
  <si>
    <t>A) They shouted too loudly, B) They executed a throw with the clear intention of injuring the opponent, C) They won the match too quickly, D) They committed too many fouls</t>
  </si>
  <si>
    <t>B) They executed a throw with the clear intention of injuring the opponent</t>
  </si>
  <si>
    <t>The wrestler's oath forbids brutality. Any action deemed to have malicious intent is a serious foul.</t>
  </si>
  <si>
    <t>What is the main reason that ground wrestling is not allowed in Gouren?</t>
  </si>
  <si>
    <t>A) The mat is too hard, B) It is considered less skillful than standing wrestling, C) The tradition of the sport is based on remaining on one's feet, ready for combat, D) It would make the matches too long</t>
  </si>
  <si>
    <t>C) The tradition of the sport is based on remaining on one's feet, ready for combat</t>
  </si>
  <si>
    <t>The art's military origins emphasized throwing an opponent to the ground while staying upright yourself, as going to the ground in a battle was often fatal.</t>
  </si>
  <si>
    <t>What is the primary role of the two corner judges?</t>
  </si>
  <si>
    <t>A) To keep time, B) To assist the central referee in observing the action and to vote on decisions, C) To coach the wrestlers from the corners, D) To act as medical staff</t>
  </si>
  <si>
    <t>B) To assist the central referee in observing the action and to vote on decisions</t>
  </si>
  <si>
    <t>The corner judges provide additional viewpoints, especially for determining the quality of a fall (Lamm vs. Kostin), and their votes are combined with the referee's for a majority decision.</t>
  </si>
  <si>
    <t>What is the ruling if a wrestler is thrown, and their back hits the ground, but they were already outside the circle?</t>
  </si>
  <si>
    <t>A) It is a valid Lamm, B) No score is awarded because the action finished out of bounds, C) The wrestler who was thrown is penalized, D) The match is replayed</t>
  </si>
  <si>
    <t>B) No score is awarded because the action finished out of bounds</t>
  </si>
  <si>
    <t>All scoring actions must be completed while both wrestlers are entirely inside the designated combat area.</t>
  </si>
  <si>
    <t>The jacket is for gripping and throwing only. Using it as a ligature for a choke is a major foul.</t>
  </si>
  <si>
    <t>What is the main purpose of the wrestler's belt?</t>
  </si>
  <si>
    <t>A) It is the primary gripping point, B) It is to hold the roched (jacket) down and keep it from riding up, C) It is purely decorative and indicates rank, D) It is a weapon to be used</t>
  </si>
  <si>
    <t>B) It is to hold the roched (jacket) down and keep it from riding up</t>
  </si>
  <si>
    <t>The belt ensures the wrestling jacket stays in place, providing a consistent and fair gripping surface for the wrestlers.</t>
  </si>
  <si>
    <t>In a tie-breaker, the referee awards a Kein (advantage). What is this decision based on?</t>
  </si>
  <si>
    <t>A) The wrestler who scored the last point, B) The wrestler who demonstrated the most attacks and offensive actions during overtime, C) The wrestler who is lighter, D) A vote by the audience</t>
  </si>
  <si>
    <t>B) The wrestler who demonstrated the most attacks and offensive actions during overtime</t>
  </si>
  <si>
    <t>The Kein is a judgment call that rewards the wrestler who was more actively trying to win the match during the overtime period.</t>
  </si>
  <si>
    <t>What is the name of the wrestling surface?</t>
  </si>
  <si>
    <t>A) The Tatami, B) The Mat, C) The Pallenn, D) The Ring</t>
  </si>
  <si>
    <t>C) The Pallenn</t>
  </si>
  <si>
    <t>The modern wrestling surface is a mat called the pallenn, which is typically 8 meters in diameter.</t>
  </si>
  <si>
    <t>Is a wrestler allowed to grab the belt that holds the roched in place?</t>
  </si>
  <si>
    <t>A) Yes, it is the primary target, B) No, all grips must be on the fabric of the jacket itself, C) Only for a specific throw, D) Only with one hand</t>
  </si>
  <si>
    <t>B) No, all grips must be on the fabric of the jacket itself</t>
  </si>
  <si>
    <t>Unlike in Malakhra or Schwingen, the belt is not a legal gripping point. All holds must be on the jacket.</t>
  </si>
  <si>
    <t>What is the minimum age to compete in the senior category?</t>
  </si>
  <si>
    <t>A) 16, B) 18, C) 20, D) 21</t>
  </si>
  <si>
    <t>B) 18</t>
  </si>
  <si>
    <t>The senior category is for adult wrestlers, typically starting at the age of 18.</t>
  </si>
  <si>
    <t>What is the word roched refer to what piece of the wrestler's attire?</t>
  </si>
  <si>
    <t>A) The trousers, B) The belt, C) The tough, short-sleeved white shirt or jacket, D) The shoes</t>
  </si>
  <si>
    <t>C) The tough, short-sleeved white shirt or jacket</t>
  </si>
  <si>
    <t>The roched is the heavy-duty linen or canvas jacket that the wrestlers grip during the match.</t>
  </si>
  <si>
    <t>What is the main difference between Gouren and modern Olympic Freestyle wrestling?</t>
  </si>
  <si>
    <t>A) Gouren wrestlers wear a jacket (roched), while freestyle wrestlers wear a singlet, B) Gouren is a standing-only style, C) Gouren has a different victory condition (lamm), D) All of the above</t>
  </si>
  <si>
    <t>Gouren is a completely different style of wrestling, with its own unique uniform, rules, and victory conditions.</t>
  </si>
  <si>
    <t>A) It is a purely grappling art, focused on throws and balance, B) It would be too dangerous, C) The wrestlers do not wear gloves, D) All of the above</t>
  </si>
  <si>
    <t>What is the primary role of the skoliou (Gouren schools) today?</t>
  </si>
  <si>
    <t>A) To produce professional champions, B) To teach the sport and its ethical values to a new generation, including children, C) To be a social club for adults, D) To make money for the federation</t>
  </si>
  <si>
    <t>B) To teach the sport and its ethical values to a new generation, including children</t>
  </si>
  <si>
    <t>The schools are the grassroots of the sport, focused on education, cultural preservation, and the personal development of their students.</t>
  </si>
  <si>
    <t>During a Course Camarguaise in Arles, a razeteur performs a perfect run and snatches the cocarde from the bull's forehead. What is the immediate result?</t>
  </si>
  <si>
    <t>A) The bull is retired from the match, B) The razeteur wins the match, C) The razeteur wins the prize money associated with the cocarde, D) The match ends</t>
  </si>
  <si>
    <t>C) The razeteur wins the prize money associated with the cocarde</t>
  </si>
  <si>
    <t>The objective is to collect attributes for prize money (primes). Taking the cocarde is a successful action, but the race continues for the other attributes.</t>
  </si>
  <si>
    <t>A famous bull (cocardier) is in the ring. After a particularly brave raset, the arena's band begins to play the overture from the opera Carmen. What does this signify?</t>
  </si>
  <si>
    <t>A) The end of the race, B) A foul has been committed, C) A tribute to an act of exceptional bravery by the bull or the razeteur, D) A commercial break</t>
  </si>
  <si>
    <t>C) A tribute to an act of exceptional bravery by the bull or the razeteur</t>
  </si>
  <si>
    <t>The playing of the Carmen music is a high honor, used by the President of the race to acknowledge a moment of spectacular skill or courage.</t>
  </si>
  <si>
    <t>A razeteur is pursued by the bull and leaps onto the red barrier. The bull, in its pursuit, hits the barrier hard with its horns directly below the man. What is this action called?</t>
  </si>
  <si>
    <t>A) A foul by the bull, B) A "coup de barrière," a celebrated act of bravery by the bull, C) An attempt to end the race, D) A sign of an untrained bull</t>
  </si>
  <si>
    <t>B) A "coup de barrière," a celebrated act of bravery by the bull</t>
  </si>
  <si>
    <t>A bull that is brave enough to follow the man all the way to the barrier and strike it is highly prized for its combativeness and intelligence.</t>
  </si>
  <si>
    <t>During a race in Nîmes, a bull is seen to anticipate a razeteur's run, cutting off his path before he can get close. This demonstrates which key trait of a top cocardier?</t>
  </si>
  <si>
    <t>A) Aggression, B) Speed, C) Intelligence and the ability to learn, D) Size</t>
  </si>
  <si>
    <t>C) Intelligence and the ability to learn</t>
  </si>
  <si>
    <t>Great bulls are not just powerful; they are intelligent athletes who learn to anticipate the runners' tactics and actively defend their attributes.</t>
  </si>
  <si>
    <t>A young bull is in the arena for its first race. After 15 minutes, none of its attributes have been taken. What happens to the bull?</t>
  </si>
  <si>
    <t>A) It is declared the winner, B) It is returned to the pasture with its honor intact, C) It is sold, D) It is penalized for being too defensive</t>
  </si>
  <si>
    <t>B) It is returned to the pasture with its honor intact</t>
  </si>
  <si>
    <t>Unlike in Spanish bullfighting, the bull's life is never at risk. If it successfully defends its attributes, it returns to the manade as a hero.</t>
  </si>
  <si>
    <t>A razeteur is found to be using a crochet (hook) that is longer than the regulation size. What is the immediate consequence?</t>
  </si>
  <si>
    <t>A) A warning is issued, B) The razeteur is disqualified from the race, C) The crochet is confiscated, and the race continues, D) The razeteur can continue but scores half points</t>
  </si>
  <si>
    <t>B) The razeteur is disqualified from the race</t>
  </si>
  <si>
    <t>Using non-regulation equipment that provides an unfair advantage is a serious foul that results in immediate disqualification.</t>
  </si>
  <si>
    <t>What is the primary role of the tourneur in the arena?</t>
  </si>
  <si>
    <t>A) To protect the crowd, B) To distract and position the bull so the razeteur has a favorable line of attack, C) To be a substitute razeteur, D) To keep the official score</t>
  </si>
  <si>
    <t>B) To distract and position the bull so the razeteur has a favorable line of attack</t>
  </si>
  <si>
    <t>The tourneurs are the razeteur's crucial teammates, whose expert positioning of the bull is essential for setting up a successful raset.</t>
  </si>
  <si>
    <t>Before the race, a procession of gardians (cowboys) on horseback run the bulls through the streets to the arena. What is this famous tradition called?</t>
  </si>
  <si>
    <t>A) The Bandido, B) The Ferrade, C) The Encierro, D) The Abrivado</t>
  </si>
  <si>
    <t>D) The Abrivado</t>
  </si>
  <si>
    <t>The abrivado is the thrilling and dangerous tradition where mounted gardians escort the bulls through the town to the arena.</t>
  </si>
  <si>
    <t>After a race, the bulls are run back through the streets to their pastures. What is this event called?</t>
  </si>
  <si>
    <t>A) The Abrivado, B) The Bandido, C) The Return, D) The Gardian's Run</t>
  </si>
  <si>
    <t>B) The Bandido</t>
  </si>
  <si>
    <t>The bandido is the reverse of the abrivado and is often even more chaotic, as the bulls are now agitated from their time in the arena.</t>
  </si>
  <si>
    <t>The prize money for the final string (ficelle) on a famous bull's horn has been raised by public auction to €1,000. Why is this string so valuable?</t>
  </si>
  <si>
    <t>A) It is made of a special material, B) It is the last and most difficult attribute to take from a tired and wise bull, C) It is a tradition, D) The money goes to charity</t>
  </si>
  <si>
    <t>B) It is the last and most difficult attribute to take from a tired and wise bull</t>
  </si>
  <si>
    <t>The final string requires the most courage, as the bull is by then fully engaged and has learned the razeteurs' patterns.</t>
  </si>
  <si>
    <t>A razeteur performs a run, but the referee declares it "boulevardié." What does this foul mean?</t>
  </si>
  <si>
    <t>A) The run was too slow, B) The run was too straight and not a proper curved raset, C) The razeteur ran outside the arena, D) The run was too fast</t>
  </si>
  <si>
    <t>B) The run was too straight and not a proper curved raset</t>
  </si>
  <si>
    <t>A legal raset must have a distinct curve as the runner intercepts the bull's path. A straight run is an illegal shortcut.</t>
  </si>
  <si>
    <t>A legendary bull is retired from its career in the arena. What tribute is often paid to such an animal?</t>
  </si>
  <si>
    <t>A) It is sold for a high price, B) It is given a special brand, C) A statue of the bull is erected in its home village, D) It is forgotten</t>
  </si>
  <si>
    <t>C) A statue of the bull is erected in its home village</t>
  </si>
  <si>
    <t>The greatest bulls, like "Vovo" and "Goya," are immortalized with statues, a testament to their status as celebrated heroes.</t>
  </si>
  <si>
    <t>A razeteur is wearing a shirt with a large sponsor's logo on it. Their name on the back is written in red. What is this person's role?</t>
  </si>
  <si>
    <t>A) A razeteur, B) A tourneur, C) The referee, D) A gardian</t>
  </si>
  <si>
    <t>B) A tourneur</t>
  </si>
  <si>
    <t>According to the rules, the names of the tourneurs (turners) must be written in red, while the razeteurs have their names in black.</t>
  </si>
  <si>
    <t>What is the name of the prestigious championship trophy awarded to the best bull of the entire season?</t>
  </si>
  <si>
    <t>A) The Cocarde d'Or, B) The Trophée des As, C) The Palme d'Or, D) The Biòu d'Or</t>
  </si>
  <si>
    <t>D) The Biòu d'Or</t>
  </si>
  <si>
    <t>The "Golden Bull" is the most coveted prize for a bull, decided by a vote of judges at the end of the season based on its performance.</t>
  </si>
  <si>
    <t>What is the name of the championship for the best razeteur of the season?</t>
  </si>
  <si>
    <t>A) The Biòu d'Or, B) The Trophée des As, C) The Cocarde d'Or, D) The Palme d'Or</t>
  </si>
  <si>
    <t>B) The Trophée des As</t>
  </si>
  <si>
    <t>The "Trophy of the Aces" is the elite, season-long championship that crowns the best razeteur of the year.</t>
  </si>
  <si>
    <t>A razeteur leaps to the barrier to escape, but is still on top of the wall when the bull's horn grazes their leg. What happens next?</t>
  </si>
  <si>
    <t>A) The bull is penalized, B) The razeteur is considered injured and must leave the race, C) The tourneurs must distract the bull so the razeteur can get down safely, D) The point is replayed</t>
  </si>
  <si>
    <t>C) The tourneurs must distract the bull so the razeteur can get down safely</t>
  </si>
  <si>
    <t>This is a dangerous situation. The other men in the ring have a duty to create a diversion to ensure their teammate's safety.</t>
  </si>
  <si>
    <t>What is the primary reason for the razeteurs' white trousers being so tight-fitting?</t>
  </si>
  <si>
    <t>A) It is a modern fashion trend, B) To prevent the bull's horn from getting caught in loose fabric, C) To show off the razeteur's muscles, D) To improve aerodynamics</t>
  </si>
  <si>
    <t>B) To prevent the bull's horn from getting caught in loose fabric</t>
  </si>
  <si>
    <t>This is a key safety feature of the uniform, minimizing the risk of a horn getting snagged in the clothing during a close pass.</t>
  </si>
  <si>
    <t>A razeteur successfully takes the final string (ficelle) from a bull's horn. What happens next?</t>
  </si>
  <si>
    <t>A) The bull is immediately returned to its pen (toril), B) A new set of attributes is placed on the bull, C) The razeteur wins the race, D) The bull is given a rest period</t>
  </si>
  <si>
    <t>A) The bull is immediately returned to its pen (toril)</t>
  </si>
  <si>
    <t>The bull's "job" is done once all its attributes have been taken. It is honored with music and allowed to leave the arena, even if its 15 minutes are not up.</t>
  </si>
  <si>
    <t>What is the purpose of the white lines painted on the track of the arena?</t>
  </si>
  <si>
    <t>A) They are for decoration, B) They help the razeteurs judge their distance and position relative to the bull, C) They mark the boundary for the bull, D) They are service lines</t>
  </si>
  <si>
    <t>B) They help the razeteurs judge their distance and position relative to the bull</t>
  </si>
  <si>
    <t>The lines are a visual aid for the razeteurs to help them time their run and their leap to the barrier.</t>
  </si>
  <si>
    <t>A bull has a reputation for being a "jumper" (sauteur). What does this mean?</t>
  </si>
  <si>
    <t>A) It is very energetic, B) It has a habit of jumping the barrier in pursuit of the razeteurs, C) It jumps over the razeteurs, D) It is a young bull</t>
  </si>
  <si>
    <t>B) It has a habit of jumping the barrier in pursuit of the razeteurs</t>
  </si>
  <si>
    <t>This is a trait that makes a bull both dangerous and highly spectacular, and it is very popular with the crowds.</t>
  </si>
  <si>
    <t>What is the ruling if a razeteur grabs the bull's horn with their free hand to steady themselves?</t>
  </si>
  <si>
    <t>A) It is a legal move to gain stability, B) It is a major foul, and the razeteur is penalized, C) It is allowed if the bull is being aggressive, D) The point is replayed</t>
  </si>
  <si>
    <t>B) It is a major foul, and the razeteur is penalized</t>
  </si>
  <si>
    <t>A razeteur is strictly forbidden from touching the bull with any part of their body or with their free hand.</t>
  </si>
  <si>
    <t>A bull is praised for its "sense of the barrier." What does this mean?</t>
  </si>
  <si>
    <t>A) It is afraid of the barrier, B) It intelligently uses the barrier to corner a razeteur, C) It often tries to jump over the barrier, D) It stays in the center of the arena</t>
  </si>
  <si>
    <t>B) It intelligently uses the barrier to corner a razeteur</t>
  </si>
  <si>
    <t>A smart bull learns to use the geography of the arena, pinning the man against the wall to prevent him from escaping or taking an attribute.</t>
  </si>
  <si>
    <t>A spectator runs onto the track during a race. What is the correct procedure?</t>
  </si>
  <si>
    <t>A) The race continues, B) The referee must immediately stop the race, C) The spectator is allowed to try to take an attribute, D) The team supported by the spectator is penalized</t>
  </si>
  <si>
    <t>B) The referee must immediately stop the race</t>
  </si>
  <si>
    <t>The safety of the participants and the public is paramount. Any such interference requires an immediate stoppage.</t>
  </si>
  <si>
    <t>A razeteur is known as a "left-hander" (gaucher). What is their main advantage?</t>
  </si>
  <si>
    <t>A) They are stronger, B) They approach the bull from an unusual angle, which can confuse the bull's defense, C) They are faster, D) They have better equipment</t>
  </si>
  <si>
    <t>B) They approach the bull from an unusual angle, which can confuse the bull's defense</t>
  </si>
  <si>
    <t>A left-hander presents a different and often more difficult challenge for the bull, who is more accustomed to right-handed razeteurs.</t>
  </si>
  <si>
    <t>A bull is taken out of the arena before its 15 minutes are up. Which of these is a likely reason?</t>
  </si>
  <si>
    <t>A) It is showing signs of injury or is not participating in the game, B) It has lost all its attributes, C) The crowd is bored, D) Both A and B</t>
  </si>
  <si>
    <t>D) Both A and B</t>
  </si>
  <si>
    <t>A bull's time can be cut short for its own welfare if it is injured, if it is not engaging, or if it has been "stripped" of all its prizes.</t>
  </si>
  <si>
    <t>During an abrivado, a young man from the crowd manages to break through the line of horses and touch the bull. What is this considered?</t>
  </si>
  <si>
    <t>A) A foul, B) A celebrated act of youthful bravery (attrapaïre), C) A reason to stop the event, D) A sign of poor horsemanship by the gardians</t>
  </si>
  <si>
    <t>B) A celebrated act of youthful bravery (attrapaïre)</t>
  </si>
  <si>
    <t>While dangerous, the attempt by young men (attrapaïres) to stop or divert the bulls during the street run is a traditional and admired part of the festival.</t>
  </si>
  <si>
    <t>What is the main characteristic of the Camargue breed of horse?</t>
  </si>
  <si>
    <t>A) It is very large and strong, B) It is a small, hardy, and agile white horse adapted to the wetlands, C) It is a fast racing horse like a Thoroughbred, D) It is a draft horse</t>
  </si>
  <si>
    <t>B) It is a small, hardy, and agile white horse adapted to the wetlands</t>
  </si>
  <si>
    <t>The famous white horses of the Camargue are a unique and ancient breed, perfectly suited to their environment and the work of the gardians.</t>
  </si>
  <si>
    <t>How does a razeteur learn their trade?</t>
  </si>
  <si>
    <t>A) From watching videos, B) By attending a specialized école de raseteurs (razeteur school) at a young age, C) They are self-taught from books, D) They must come from a family of razeteurs</t>
  </si>
  <si>
    <t>B) By attending a specialized école de raseteurs (razeteur school) at a young age</t>
  </si>
  <si>
    <t>Aspiring razeteurs go through years of intensive training at specialized schools to learn the dangerous and highly technical skills required.</t>
  </si>
  <si>
    <t>A bull is praised for its "générosité" (generosity). What does this mean?</t>
  </si>
  <si>
    <t>A) It is a very large bull, B) It charges readily and participates actively in the game, C) It does not attack the razeteurs, D) It gives up its attributes easily</t>
  </si>
  <si>
    <t>B) It charges readily and participates actively in the game</t>
  </si>
  <si>
    <t>A "generous" bull is one that provides a great spectacle by engaging honestly and bravely with the razeteurs, rather than being passive or defensive.</t>
  </si>
  <si>
    <t>In its essence, the Course Camarguaise is a sport that pits what against what?</t>
  </si>
  <si>
    <t>A) Man against beast, B) The razeteur's intelligence and agility against the bull's power and instinct, C) Good against evil, D) Two rival villages against each other</t>
  </si>
  <si>
    <t>B) The razeteur's intelligence and agility against the bull's power and instinct</t>
  </si>
  <si>
    <t>The sport is a non-bloody duel that celebrates the skill of the human athlete and the power and intelligence of the animal athlete.</t>
  </si>
  <si>
    <t>A razeteur successfully takes an attribute, but the President of the Race does not validate the point. What is a possible reason?</t>
  </si>
  <si>
    <t>A) The President blinked and missed it, B) The President judged that the raset was performed after the bull had already turned away, C) The razeteur did not celebrate enough, D) The crowd booed the run</t>
  </si>
  <si>
    <t>B) The President judged that the raset was performed after the bull had already turned away</t>
  </si>
  <si>
    <t>The President has the final say. A point can be refused if the raset is deemed to have been made on the bull's "exit" rather than during a proper "entry" engagement.</t>
  </si>
  <si>
    <t>The prize money for the cocarde is €100. A wealthy spectator shouts "Plus cinquante!" (€50 more). What happens now?</t>
  </si>
  <si>
    <t>A) The spectator is ejected, B) The announcer officially raises the prize to €150, C) The money is collected after the race, D) The original prize money stands</t>
  </si>
  <si>
    <t>B) The announcer officially raises the prize to €150</t>
  </si>
  <si>
    <t>This is how the prize money is increased during the race. Public pledges are announced, raising the stakes and excitement for the next successful raset.</t>
  </si>
  <si>
    <t>A razeteur makes a run at the bull. What is the immediate role of the other razeteurs and tourneurs?</t>
  </si>
  <si>
    <t>A) To cheer for their teammate, B) To position themselves strategically to protect the runner on their escape to the barrier, C) To prepare for their own run, D) To distract the referee</t>
  </si>
  <si>
    <t>B) To position themselves strategically to protect the runner on their escape to the barrier</t>
  </si>
  <si>
    <t>Teamwork is crucial for safety. The other men in the ring will move to intercept or distract the bull if the runner gets into a dangerous situation after the pass.</t>
  </si>
  <si>
    <t>A young, promising bull performs well in a "course de protection". What is the next step in its career?</t>
  </si>
  <si>
    <t>A) It is immediately entered into the Trophée des As, B) It is retired, C) It progresses to a higher level of competition, like the Trophée de l'Avenir, D) It is sold</t>
  </si>
  <si>
    <t>C) It progresses to a higher level of competition, like the Trophée de l'Avenir</t>
  </si>
  <si>
    <t>Bulls, like razeteurs, have a career path. They start in junior-level races and move up to the elite level based on their performance.</t>
  </si>
  <si>
    <t>A gardian is seen using a trident. What is the purpose of this tool?</t>
  </si>
  <si>
    <t>A) It is a weapon for fighting the bull, B) It is a ceremonial object with no practical use, C) It is a long pole used from horseback to guide and separate the bulls, D) It is used to mark the bulls</t>
  </si>
  <si>
    <t>C) It is a long pole used from horseback to guide and separate the bulls</t>
  </si>
  <si>
    <t>The trident is the traditional and symbolic tool of the Camargue cowboy, used to manage the semi-wild herds.</t>
  </si>
  <si>
    <t>The arena is cleared, and a bull is led out with a special garland. The crowd applauds. What is likely happening?</t>
  </si>
  <si>
    <t>A) The start of the race, B) A "jubilee" or farewell ceremony for a legendary bull that is being retired, C) The bull is being judged for its beauty, D) The bull has been sold</t>
  </si>
  <si>
    <t>B) A "jubilee" or farewell ceremony for a legendary bull that is being retired</t>
  </si>
  <si>
    <t>Great cocardiers are given a formal and emotional farewell ceremony at the end of their long and celebrated careers.</t>
  </si>
  <si>
    <t>A razeteur makes a run, but the bull stands its ground and does not charge. The razeteur is unable to take an attribute. What happens next?</t>
  </si>
  <si>
    <t>A) The razeteur loses a point, B) The bull is penalized, C) The razeteur must try a different approach to provoke a charge, D) The race is paused</t>
  </si>
  <si>
    <t>C) The razeteur must try a different approach to provoke a charge</t>
  </si>
  <si>
    <t>The sport is a duet. If the bull does not engage, the razeteur and his tourneurs must work to provoke a proper charge to make a valid raset.</t>
  </si>
  <si>
    <t>A razeteur is seen with a bloody scrape on their arm after leaping to the barrier. What is the likely cause?</t>
  </si>
  <si>
    <t>A) The bull's horn grazed them, B) They scraped their arm on the rough wood of the barrier during their escape, C) Another razeteur hit them, D) The crochet slipped and cut them</t>
  </si>
  <si>
    <t>B) They scraped their arm on the rough wood of the barrier during their escape</t>
  </si>
  <si>
    <t>Leaping the barrier at full speed is dangerous, and scrapes and bruises from the rough wooden planks are a very common injury.</t>
  </si>
  <si>
    <t>A bull is described as being good at "finishing" at the barrier (finit aux planches). What does this mean?</t>
  </si>
  <si>
    <t>A) It stops before it reaches the barrier, B) It pursues the razeteur right up to the barrier with great determination, C) It often breaks the barrier, D) It is afraid of the barrier</t>
  </si>
  <si>
    <t>B) It pursues the razeteur right up to the barrier with great determination</t>
  </si>
  <si>
    <t>This is a highly prized trait, as it shows the bull's courage and commitment to the chase, creating a more spectacular and dangerous contest.</t>
  </si>
  <si>
    <t>Why is the physical fitness of a tourneur almost as important as that of a razeteur?</t>
  </si>
  <si>
    <t>A) They must also run from the bull, B) They must be able to lift the razeteur, C) They are constantly running to position the bull, requiring great stamina, D) It is not important</t>
  </si>
  <si>
    <t>C) They are constantly running to position the bull, requiring great stamina</t>
  </si>
  <si>
    <t>The tourneurs are in constant motion for the full 15 minutes, using their agility and endurance to guide the bull for their teammates.</t>
  </si>
  <si>
    <t>A razeteur successfully cuts a string (ficelle), but it remains on the horn. The referee does not award the points. Why?</t>
  </si>
  <si>
    <t>A) The string must be completely removed from the horn, B) The referee missed the cut, C) The string was not cut cleanly, D) The bull was not charging</t>
  </si>
  <si>
    <t>A) The string must be completely removed from the horn</t>
  </si>
  <si>
    <t>It is not enough to simply sever the string. The razeteur must physically collect and remove it from the bull's horn to win the prize.</t>
  </si>
  <si>
    <t>The race is held in a small village arena. The barrier is lower than the regulation height. What is the main risk?</t>
  </si>
  <si>
    <t>A) The bull can more easily jump out of the arena, B) The razeteurs will not be able to escape, C) The spectators cannot see, D) It is harder to score points</t>
  </si>
  <si>
    <t>A) The bull can more easily jump out of the arena</t>
  </si>
  <si>
    <t>A lower barrier increases the risk of a "jumper" bull escaping the ring, which is a major safety concern for the crowd.</t>
  </si>
  <si>
    <t>A razeteur is penalized for a "dangerous leap" at the barrier. What might they have done?</t>
  </si>
  <si>
    <t>A) They jumped too high, B) They leaped over the barrier in a way that endangered spectators or other razeteurs, C) They did not jump, D) They used a trampoline</t>
  </si>
  <si>
    <t>B) They leaped over the barrier in a way that endangered spectators or other razeteurs</t>
  </si>
  <si>
    <t>While spectacular, the escape must be performed safely. A reckless leap that puts others at risk is a foul.</t>
  </si>
  <si>
    <t>A bull is seen to ignore the tourneurs and focus only on one specific razeteur. What does this demonstrate?</t>
  </si>
  <si>
    <t>A) The bull is confused, B) The bull has identified that razeteur as the main threat or challenger, C) The bull is tired, D) The other razeteurs are not trying</t>
  </si>
  <si>
    <t>B) The bull has identified that razeteur as the main threat or challenger</t>
  </si>
  <si>
    <t>An intelligent bull will often "lock on" to the most skillful or aggressive man in the ring, creating a personal duel.</t>
  </si>
  <si>
    <t>The "Trophée de la Mer" (Trophy of the Sea) is a major tournament held in which seaside town?</t>
  </si>
  <si>
    <t>A) Sète, B) Marseille, C) Le Grau-du-Roi, D) Agde</t>
  </si>
  <si>
    <t>C) Le Grau-du-Roi</t>
  </si>
  <si>
    <t>This is one of the most famous and prestigious tournaments of the Trophée des As season, held in the fishing port of Le Grau-du-Roi.</t>
  </si>
  <si>
    <t>A razeteur makes a run, but the bull turns away at the last second. The razeteur does not get an attribute. What happens next?</t>
  </si>
  <si>
    <t>A) The razeteur loses a point, B) The bull is penalized for avoiding the contest, C) The run is considered a miss, and the race continues, D) The point is replayed</t>
  </si>
  <si>
    <t>C) The run is considered a miss, and the race continues</t>
  </si>
  <si>
    <t>If the bull outsmarts the man and evades the raset, it is a victory for the bull, but no points are lost or gained. The game simply continues.</t>
  </si>
  <si>
    <t>What is the main reason that the razeteurs' shoes are very light and flexible?</t>
  </si>
  <si>
    <t>A) For fashion, B) To allow for maximum sprinting speed and agility when leaping to the barrier, C) They are cheaper, D) They provide more protection</t>
  </si>
  <si>
    <t>B) To allow for maximum sprinting speed and agility when leaping to the barrier</t>
  </si>
  <si>
    <t>The footwear is specialized athletic gear, similar to track spikes, designed for explosive speed.</t>
  </si>
  <si>
    <t>A razeteur takes the cocarde, but the referee rules that another razeteur illegally blocked the bull's path. What is the call?</t>
  </si>
  <si>
    <t>A) The point is valid, B) The point is nullified due to the foul by the teammate, C) The point is replayed, D) The teammate is disqualified</t>
  </si>
  <si>
    <t>B) The point is nullified due to the foul by the teammate</t>
  </si>
  <si>
    <t>A point can only be scored through a legal team action. A foul by a teammate that aids in the capture will void the score.</t>
  </si>
  <si>
    <t>What is the "course de nuit" (night race)?</t>
  </si>
  <si>
    <t>A) An illegal, unofficial race, B) A spectacular version of the sport held under floodlights, famously in the town of Agde, C) A race where the bulls are painted with glowing paint, D) A race for young bulls only</t>
  </si>
  <si>
    <t>B) A spectacular version of the sport held under floodlights, famously in the town of Agde</t>
  </si>
  <si>
    <t>The night races are a special and very popular type of event, creating a unique and dramatic atmosphere.</t>
  </si>
  <si>
    <t>In its essence, the Course Camarguaise is a sport that celebrates what?</t>
  </si>
  <si>
    <t>A) The death of the bull, B) The absolute dominance of man over nature, C) The bravery, intelligence, and athleticism of both the bull and the men, D) The wealth of the sponsors</t>
  </si>
  <si>
    <t>C) The bravery, intelligence, and athleticism of both the bull and the men</t>
  </si>
  <si>
    <t>The sport is a unique duel that honors the qualities of both the human and animal participants.</t>
  </si>
  <si>
    <t>A razeteur is penalized for a "coup de crochet" (hit with the hook). What did they do?</t>
  </si>
  <si>
    <t>A) They took an attribute, B) They illegally struck the bull with their crochet instead of just snagging the string, C) They hooked another razeteur's arm, D) They hooked the barrier</t>
  </si>
  <si>
    <t>B) They illegally struck the bull with their crochet instead of just snagging the string</t>
  </si>
  <si>
    <t>The crochet is a tool for cutting the string, not for hitting or prodding the bull. Using it to strike the animal is a foul.</t>
  </si>
  <si>
    <t>A bull is known for its "anticipation." How would a razeteur have to adapt their strategy?</t>
  </si>
  <si>
    <t>A) By being faster, B) By using more deceptive movements and fakes to trick the bull, C) By being more aggressive, D) By not running at that bull</t>
  </si>
  <si>
    <t>B) By using more deceptive movements and fakes to trick the bull</t>
  </si>
  <si>
    <t>To defeat an intelligent bull that anticipates the run, a razeteur must be equally intelligent and use feints to disguise their true intentions.</t>
  </si>
  <si>
    <t>A team of razeteurs is working against a particularly difficult bull. What is their main goal as a team?</t>
  </si>
  <si>
    <t>A) To tire the bull out through coordinated runs, forcing it to make a mistake, B) To have only their best razeteur run at it, C) To try and corner the bull, D) To ask for a different bull</t>
  </si>
  <si>
    <t>A) To tire the bull out through coordinated runs, forcing it to make a mistake</t>
  </si>
  <si>
    <t>A key team strategy against a great bull is to use a series of relentless, well-executed rasets to gradually wear down its defense.</t>
  </si>
  <si>
    <t>What is the ruling if a bull's horn breaks off during the race (a rare event)?</t>
  </si>
  <si>
    <t>A) The race is immediately stopped for the bull's safety, B) The race continues, C) The razeteurs can take the broken horn as a trophy, D) The breeder is fined</t>
  </si>
  <si>
    <t>A) The race is immediately stopped for the bull's safety</t>
  </si>
  <si>
    <t>The bull's horns are its primary weapon and a source of pride. Any serious injury, such as a broken horn, would result in an immediate stoppage.</t>
  </si>
  <si>
    <t>A razeteur takes a tassel (gland) but is found to have used their free hand to push off the bull's head. What is the ruling?</t>
  </si>
  <si>
    <t>A) The score is valid, B) The score is nullified due to the illegal hand contact, C) The razeteur is warned, D) The point is replayed</t>
  </si>
  <si>
    <t>B) The score is nullified due to the illegal hand contact</t>
  </si>
  <si>
    <t>Pushing off the bull with the free hand is a major foul that gives the runner an illegal advantage and invalidates the score.</t>
  </si>
  <si>
    <t>What is a "biòu de l'avenir"?</t>
  </si>
  <si>
    <t>A) A retired champion bull, B) A young bull with the potential to become a future champion, C) The bull that has won the Biòu d'Or, D) A bull that is for sale</t>
  </si>
  <si>
    <t>B) A young bull with the potential to become a future champion</t>
  </si>
  <si>
    <t>This "bull of the future" is a young animal that shows great promise in the early stages of its career.</t>
  </si>
  <si>
    <t>A razeteur is penalized for a raset rasant (grazing raset). What does this mean?</t>
  </si>
  <si>
    <t>A) The run was too close to the bull, B) The run was too far from the bull, C) The razeteur did not perform the run with enough speed, D) The razeteur grazed the bull with their body</t>
  </si>
  <si>
    <t>A) The run was too close to the bull</t>
  </si>
  <si>
    <t>A razeteur must maintain a slight distance. A run that is so close that the man's body brushes against the bull is a foul for being poorly executed.</t>
  </si>
  <si>
    <t>Why are the bulls for a major race chosen weeks or months in advance?</t>
  </si>
  <si>
    <t>A) To allow time for them to be trained, B) To allow the race to be marketed and promoted with the names of the famous bulls, C) To give them a special diet, D) To make sure they are available</t>
  </si>
  <si>
    <t>B) To allow the race to be marketed and promoted with the names of the famous bulls</t>
  </si>
  <si>
    <t>The bulls are the stars. Announcing the lineup of famous cocardiers is the main way to attract spectators to a major race.</t>
  </si>
  <si>
    <t>A razeteur is attempting a run. A tourneur places himself directly in the bull's path, forcing it to turn. Is this legal?</t>
  </si>
  <si>
    <t>A) Yes, this is the tourneur's job, B) No, a tourneur can only attract the bull's attention, not physically block it, C) Only if the bull is being passive, D) Only if the razeteur is in danger</t>
  </si>
  <si>
    <t>B) No, a tourneur can only attract the bull's attention, not physically block it</t>
  </si>
  <si>
    <t>A tourneur uses movement and voice to guide the bull's attention. Using their body as a physical barrier is an illegal form of interference.</t>
  </si>
  <si>
    <t>In its essence, what is the role of the bull in the Course Camarguaise?</t>
  </si>
  <si>
    <t>A) It is a victim, B) It is a respected and celebrated athlete, C) It is a simple farm animal, D) It is a training tool for the men</t>
  </si>
  <si>
    <t>B) It is a respected and celebrated athlete</t>
  </si>
  <si>
    <t>The entire sport is structured around the principle that the bull is the star of the show, a heroic figure to be admired for its bravery and skill.</t>
  </si>
  <si>
    <t>A razeteur is injured and a doctor is called into the arena. What is the protocol for the bull?</t>
  </si>
  <si>
    <t>A) It is left in the arena, B) It is immediately and safely returned to the toril, C) It is held in a corner by the tourneurs, D) The gardians enter the arena to control it</t>
  </si>
  <si>
    <t>B) It is immediately and safely returned to the toril</t>
  </si>
  <si>
    <t>The first step in any injury situation is to secure the arena by removing the bull, ensuring the safety of the injured man and the medical personnel.</t>
  </si>
  <si>
    <t>A bull is known for its "anticipation." How would a razeteur try to counter this?</t>
  </si>
  <si>
    <t>A) By running faster, B) By using fakes and feints to disguise their intended running path, C) By running directly at the bull, D) By waiting for the bull to get tired</t>
  </si>
  <si>
    <t>B) By using fakes and feints to disguise their intended running path</t>
  </si>
  <si>
    <t>To outsmart an intelligent bull, a razeteur must be equally clever, using deceptive movements to prevent the bull from reading their intentions.</t>
  </si>
  <si>
    <t>The final string on a bull's horn is valued at €1000. A razeteur cuts the string, but it falls to the ground. What is the ruling?</t>
  </si>
  <si>
    <t>A) The prize money is awarded, B) The prize money is not awarded as the string was not collected, C) The prize money is split between all the razeteurs, D) The point is replayed</t>
  </si>
  <si>
    <t>B) The prize money is not awarded as the string was not collected</t>
  </si>
  <si>
    <t>It is not enough to simply sever the string with the crochet. The razeteur must physically snatch and retrieve it to claim the prize.</t>
  </si>
  <si>
    <t>What is a fête votive?</t>
  </si>
  <si>
    <t>A) A national holiday, B) A local festival in honor of a village's patron saint, where the Course Camarguaise is the main event, C) A music festival, D) A food festival</t>
  </si>
  <si>
    <t>B) A local festival in honor of a village's patron saint, where the Course Camarguaise is the main event</t>
  </si>
  <si>
    <t>The Course Camarguaise is the central part of the annual fête votive in nearly every village in its home region.</t>
  </si>
  <si>
    <t>The razeteur's crochet has a specific design. What is a key safety feature?</t>
  </si>
  <si>
    <t>A) It is very sharp, B) It has no sharp edges and is designed only to hook the string, C) It has a long handle, D) It is made of rubber</t>
  </si>
  <si>
    <t>B) It has no sharp edges and is designed only to hook the string</t>
  </si>
  <si>
    <t>The crochet is not a weapon. It is a specialized tool designed to be effective at its job without posing an unnecessary risk of injuring the bull.</t>
  </si>
  <si>
    <t>A bull is very aggressive and ignores the tourneurs, focusing only on the razeteurs. Why is this a prized trait?</t>
  </si>
  <si>
    <t>A) It makes the bull easier to control, B) It shows the bull understands the game and is focused on its true adversaries, C) It makes the race safer, D) It is not a prized trait</t>
  </si>
  <si>
    <t>B) It shows the bull understands the game and is focused on its true adversaries</t>
  </si>
  <si>
    <t>A great cocardier is one that is not easily distracted and concentrates its defense and attacks on the men trying to take its attributes.</t>
  </si>
  <si>
    <t>What is the main reason for the strict rules about the placement and tying of the attributes on the bull's horns?</t>
  </si>
  <si>
    <t>A) To make the bull look good, B) To ensure fairness and a consistent level of difficulty for the razeteurs, C) To protect the bull's horns, D) To satisfy the sponsors</t>
  </si>
  <si>
    <t>B) To ensure fairness and a consistent level of difficulty for the razeteurs</t>
  </si>
  <si>
    <t>The way the attributes are attached is carefully standardized so that the challenge is the same for every participant in every race.</t>
  </si>
  <si>
    <t>A razeteur successfully takes an attribute. What is the first thing they must do to complete the scoring action?</t>
  </si>
  <si>
    <t>A) Leap to the barrier, B) Raise their hand to show the attribute to the President of the race, C) Celebrate with the crowd, D) Return the attribute to the bull's owner</t>
  </si>
  <si>
    <t>B) Raise their hand to show the attribute to the President of the race</t>
  </si>
  <si>
    <t>The razeteur must clearly display the captured attribute to the jury president to have the point officially validated and the prize money awarded.</t>
  </si>
  <si>
    <t>In its essence, what is a raset?</t>
  </si>
  <si>
    <t>A) A direct charge at the bull, B) A moment of intersection on a curved path between the man and the bull, C) A jump over the bull, D) A defensive retreat</t>
  </si>
  <si>
    <t>B) A moment of intersection on a curved path between the man and the bull</t>
  </si>
  <si>
    <t>The art of the raset is for the runner to time their curved path so that they arrive at the bull's head at the precise moment to take an attribute and then escape.</t>
  </si>
  <si>
    <t>What is the ultimate sign of respect for a legendary bull after its death?</t>
  </si>
  <si>
    <t>A) Its horns are displayed in a museum, B) It is buried in the pastures of its home manade, often with a headstone, C) A special race is held in its memory, D) All of the above</t>
  </si>
  <si>
    <t>A great cocardier is honored in death as a true hero, with its horns preserved, its memory celebrated, and its body laid to rest on its home soil.</t>
  </si>
  <si>
    <t>A razeteur is penalized for a coup de crochet (hit with the hook). What did they do?</t>
  </si>
  <si>
    <t>A) By running faster, B) By using fakes and feints to disguise their intended running path, C) By being more aggressive, D) By not running at that bull</t>
  </si>
  <si>
    <t>What is the main reason a razeteur must have excellent cardiovascular fitness?</t>
  </si>
  <si>
    <t>A) To be able to run if unhorsed, B) The sport requires repeated, explosive sprints and acrobatic leaps for 15 minutes, C) To be able to hold their breath for a long time, D) It is not important</t>
  </si>
  <si>
    <t>B) The sport requires repeated, explosive sprints and acrobatic leaps for 15 minutes</t>
  </si>
  <si>
    <t>The physical demands of the sport are extremely high, requiring the endurance of a track and field athlete.</t>
  </si>
  <si>
    <t>What is the ruling if a razeteur is injured by the bull during a legal raset?</t>
  </si>
  <si>
    <t>A) The bull is penalized, B) The razeteur wins the point automatically, C) The race is paused for medical attention; no points are awarded, D) The razeteur is disqualified</t>
  </si>
  <si>
    <t>C) The race is paused for medical attention; no points are awarded</t>
  </si>
  <si>
    <t>The risk of injury is inherent to the sport. If a razeteur is injured, the race is stopped for safety, but no score is given.</t>
  </si>
  <si>
    <t>A razeteur is penalized for a "refus de raset" (refusal to run). What does this mean?</t>
  </si>
  <si>
    <t>A) They refused to enter the arena, B) They are showing fear and are not attempting to run at the bull, C) They refused to accept a prize, D) They refused to wear the white uniform</t>
  </si>
  <si>
    <t>B) They are showing fear and are not attempting to run at the bull</t>
  </si>
  <si>
    <t>A razeteur is expected to show courage. If they consistently fail to engage with the bull, the President can penalize them.</t>
  </si>
  <si>
    <t>A bull is said to have "seen" a razeteur. What does this mean?</t>
  </si>
  <si>
    <t>A) The bull has good eyesight, B) The bull has identified and is focusing on a specific razeteur who is preparing to run, C) The bull is scared, D) The bull is ready to leave the arena</t>
  </si>
  <si>
    <t>B) The bull has identified and is focusing on a specific razeteur who is preparing to run</t>
  </si>
  <si>
    <t>This is a crucial moment where the bull locks its attention onto its target, setting up the charge for the raset.</t>
  </si>
  <si>
    <t>What is the penalty for a tourneur who illegally obstructs the bull?</t>
  </si>
  <si>
    <t>A) There is no penalty, B) The tourneur is warned or penalized, and any point scored is nullified, C) The razeteur is penalized, D) The bull is given a rest</t>
  </si>
  <si>
    <t>B) The tourneur is warned or penalized, and any point scored is nullified</t>
  </si>
  <si>
    <t>The tourneurs can only position the bull, not physically interfere with it. Illegal obstruction is a team foul.</t>
  </si>
  <si>
    <t>A bull is taken out of the arena before its 15 minutes are up. What is the most likely reason?</t>
  </si>
  <si>
    <t>A) It has lost all its attributes, B) It is showing signs of injury or excessive fatigue, C) It is not being aggressive enough, D) Both B and C</t>
  </si>
  <si>
    <t>A bull's time can be cut short for its own welfare if it is injured, or if it is not participating in the game and providing a good contest.</t>
  </si>
  <si>
    <t>A razeteur takes the cocarde, but the referee declares the raset was "boulevardié". What does this foul mean?</t>
  </si>
  <si>
    <t>A) The run was too straight and not a proper curved raset, B) The razeteur ran outside the arena, C) The run was too slow, D) The run was too fast</t>
  </si>
  <si>
    <t>A) The run was too straight and not a proper curved raset</t>
  </si>
  <si>
    <t>A legal raset must have a distinct curve. A straight run is an illegal shortcut and any points scored are nullified.</t>
  </si>
  <si>
    <t>What is the main reason for the razeteurs' white trousers being so tight-fitting?</t>
  </si>
  <si>
    <t>A) It is a modern fashion, B) To prevent the bull's horn from getting caught in loose fabric, C) To show off the razeteur's muscles, D) To improve aerodynamics</t>
  </si>
  <si>
    <t>This is a key safety feature of the uniform, minimizing the risk of a horn getting snagged in the clothing.</t>
  </si>
  <si>
    <t>A) The bull is immediately returned to the toril, even if its 15 minutes are not up, B) A new set of attributes is placed on the bull, C) The razeteur wins the race, D) The bull is given a rest</t>
  </si>
  <si>
    <t>A) The bull is immediately returned to the toril, even if its 15 minutes are not up</t>
  </si>
  <si>
    <t>The bull's "job" is done once all of its attributes have been taken. It is honored with music and sent back to its pen.</t>
  </si>
  <si>
    <t>B) They help the razeteur to judge their distance and position relative to the bull</t>
  </si>
  <si>
    <t>What is the ruling if a razeteur grabs the bull's horn with their free hand?</t>
  </si>
  <si>
    <t>What is the main role of the "délégué de la FFCC" (Federation Delegate) at a race?</t>
  </si>
  <si>
    <t>A) To be the main referee, B) To be the official representative of the federation, ensuring all rules and procedures are correctly followed, C) To be the scorer, D) To be the event organizer</t>
  </si>
  <si>
    <t>B) To be the official representative of the federation, ensuring all rules and procedures are correctly followed</t>
  </si>
  <si>
    <t>The delegate is the highest authority from the governing body, there to supervise the entire event.</t>
  </si>
  <si>
    <t>A bull is known as a "cocardier difficile" (a difficult bull). What does this imply?</t>
  </si>
  <si>
    <t>A) The bull is very aggressive, B) The bull is very intelligent and hard to trick, making it difficult to take its attributes, C) The bull is old, D) The bull refuses to charge</t>
  </si>
  <si>
    <t>B) The bull is very intelligent and hard to trick, making it difficult to take its attributes</t>
  </si>
  <si>
    <t>A "difficult" bull is a smart one that defends its attributes well, providing a greater challenge and a better spectacle.</t>
  </si>
  <si>
    <t>What is the role of the red-painted wooden barrier (barricade)?</t>
  </si>
  <si>
    <t>A) To keep the bull inside the arena, B) To be a safety refuge for the razeteurs, C) To separate the razeteurs from the crowd, D) All of the above</t>
  </si>
  <si>
    <t>The barrier serves all these functions: it contains the action, acts as the escape route for the men, and protects the spectators.</t>
  </si>
  <si>
    <t>What is the maximum number of razeteurs that can be in the "raseteur's passage" (the area between the two barriers) at one time?</t>
  </si>
  <si>
    <t>A) One, B) Two, C) There is no limit, D) It is not allowed</t>
  </si>
  <si>
    <t>A) One</t>
  </si>
  <si>
    <t>For safety, only one razeteur is allowed in this narrow corridor at a time.</t>
  </si>
  <si>
    <t>In its essence, the Course Camarguaise is a sport that celebrates the relationship between what three elements?</t>
  </si>
  <si>
    <t>A) The man, the horse, and the sea, B) The bull, the horse, and the gardian, C) The bull, the razeteur, and the unique landscape of the Camargue, D) The razeteur, the referee, and the crowd</t>
  </si>
  <si>
    <t>C) The bull, the razeteur, and the unique landscape of the Camargue</t>
  </si>
  <si>
    <t>The sport is an expression of the deep cultural connection between the people, the animals, and the specific environment of the Camargue.</t>
  </si>
  <si>
    <t>What is the "Coupe des manadiers" (Breeders' Cup)?</t>
  </si>
  <si>
    <t>A) A race for the razeteurs, B) A competition where the breeders (manadiers) themselves compete, C) A prestigious tournament where herds (manades) compete against each other, D) A horse race</t>
  </si>
  <si>
    <t>C) A prestigious tournament where herds (manades) compete against each other</t>
  </si>
  <si>
    <t>This is a special competition where the pride of the different breeding ranches is on the line, showcasing the quality of their bulls.</t>
  </si>
  <si>
    <t>A "generous" bull is one that provides a great spectacle by engaging honestly and bravely with the razeteurs.</t>
  </si>
  <si>
    <t>A razeteur is found to be using a crochet that is longer than the regulation size. What is the penalty?</t>
  </si>
  <si>
    <t>A) A warning is issued, B) The razeteur is disqualified from the race, C) The crochet is confiscated, D) The razeteur can continue but scores half points</t>
  </si>
  <si>
    <t>Using non-regulation equipment that provides an unfair advantage is a serious foul.</t>
  </si>
  <si>
    <t>B) It has a habit of jumping the barrier in pursuit of the razeteur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</si>
</sst>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bottom" wrapText="0"/>
    </xf>
    <xf borderId="0" fillId="0" fontId="2" numFmtId="0" xfId="0" applyAlignment="1" applyFont="1">
      <alignment horizontal="left" readingOrder="0" shrinkToFit="0" vertical="center" wrapText="0"/>
    </xf>
    <xf borderId="0" fillId="0" fontId="1" numFmtId="0" xfId="0" applyAlignment="1" applyFont="1">
      <alignment horizontal="right" shrinkToFit="0" vertical="bottom" wrapText="0"/>
    </xf>
    <xf borderId="0" fillId="0" fontId="1" numFmtId="0" xfId="0" applyAlignment="1" applyFont="1">
      <alignment shrinkToFit="0" vertical="bottom" wrapText="0"/>
    </xf>
    <xf borderId="0" fillId="0" fontId="2" numFmtId="0" xfId="0" applyAlignment="1" applyFont="1">
      <alignment shrinkToFit="0" vertical="center" wrapText="0"/>
    </xf>
    <xf borderId="0" fillId="0" fontId="1" numFmtId="0" xfId="0" applyAlignment="1" applyFont="1">
      <alignment horizontal="left" readingOrder="0" shrinkToFit="0" vertical="bottom"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0">
    <tableStyle count="4" pivot="0" name="Joutes-style">
      <tableStyleElement dxfId="1" type="headerRow"/>
      <tableStyleElement dxfId="2" type="firstRowStripe"/>
      <tableStyleElement dxfId="3" type="secondRowStripe"/>
      <tableStyleElement dxfId="4" size="0" type="wholeTable"/>
    </tableStyle>
    <tableStyle count="4" pivot="0" name="Joutes-style 2">
      <tableStyleElement dxfId="1" type="headerRow"/>
      <tableStyleElement dxfId="2" type="firstRowStripe"/>
      <tableStyleElement dxfId="3" type="secondRowStripe"/>
      <tableStyleElement dxfId="4" size="0" type="wholeTable"/>
    </tableStyle>
    <tableStyle count="4" pivot="0" name="Tambourin-style">
      <tableStyleElement dxfId="1" type="headerRow"/>
      <tableStyleElement dxfId="2" type="firstRowStripe"/>
      <tableStyleElement dxfId="3" type="secondRowStripe"/>
      <tableStyleElement dxfId="4" size="0" type="wholeTable"/>
    </tableStyle>
    <tableStyle count="4" pivot="0" name="Tambourin-style 2">
      <tableStyleElement dxfId="1" type="headerRow"/>
      <tableStyleElement dxfId="2" type="firstRowStripe"/>
      <tableStyleElement dxfId="3" type="secondRowStripe"/>
      <tableStyleElement dxfId="4" size="0" type="wholeTable"/>
    </tableStyle>
    <tableStyle count="4" pivot="0" name="Pelota-style">
      <tableStyleElement dxfId="1" type="headerRow"/>
      <tableStyleElement dxfId="2" type="firstRowStripe"/>
      <tableStyleElement dxfId="3" type="secondRowStripe"/>
      <tableStyleElement dxfId="4" size="0" type="wholeTable"/>
    </tableStyle>
    <tableStyle count="4" pivot="0" name="Pelota-style 2">
      <tableStyleElement dxfId="1" type="headerRow"/>
      <tableStyleElement dxfId="2" type="firstRowStripe"/>
      <tableStyleElement dxfId="3" type="secondRowStripe"/>
      <tableStyleElement dxfId="4" size="0" type="wholeTable"/>
    </tableStyle>
    <tableStyle count="4" pivot="0" name="Gouren-style">
      <tableStyleElement dxfId="1" type="headerRow"/>
      <tableStyleElement dxfId="2" type="firstRowStripe"/>
      <tableStyleElement dxfId="3" type="secondRowStripe"/>
      <tableStyleElement dxfId="4" size="0" type="wholeTable"/>
    </tableStyle>
    <tableStyle count="4" pivot="0" name="Gouren-style 2">
      <tableStyleElement dxfId="1" type="headerRow"/>
      <tableStyleElement dxfId="2" type="firstRowStripe"/>
      <tableStyleElement dxfId="3" type="secondRowStripe"/>
      <tableStyleElement dxfId="4" size="0" type="wholeTable"/>
    </tableStyle>
    <tableStyle count="4" pivot="0" name="Camarague-style">
      <tableStyleElement dxfId="1" type="headerRow"/>
      <tableStyleElement dxfId="2" type="firstRowStripe"/>
      <tableStyleElement dxfId="3" type="secondRowStripe"/>
      <tableStyleElement dxfId="4" size="0" type="wholeTable"/>
    </tableStyle>
    <tableStyle count="4" pivot="0" name="Camarague-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E151" displayName="Table1" name="Table1" id="1">
  <tableColumns count="5">
    <tableColumn name="Question No." id="1"/>
    <tableColumn name="Question" id="2"/>
    <tableColumn name="Options" id="3"/>
    <tableColumn name="Answer" id="4"/>
    <tableColumn name="Description" id="5"/>
  </tableColumns>
  <tableStyleInfo name="Joutes-style" showColumnStripes="0" showFirstColumn="1" showLastColumn="1" showRowStripes="1"/>
</table>
</file>

<file path=xl/tables/table2.xml><?xml version="1.0" encoding="utf-8"?>
<table xmlns="http://schemas.openxmlformats.org/spreadsheetml/2006/main" ref="G1:K151" displayName="Table2" name="Table2" id="2">
  <tableColumns count="5">
    <tableColumn name="Question n°" id="1"/>
    <tableColumn name="Question2" id="2"/>
    <tableColumn name="Options2" id="3"/>
    <tableColumn name="Répondre" id="4"/>
    <tableColumn name="Description" id="5"/>
  </tableColumns>
  <tableStyleInfo name="Joutes-style 2" showColumnStripes="0" showFirstColumn="1" showLastColumn="1" showRowStripes="1"/>
</table>
</file>

<file path=xl/tables/table3.xml><?xml version="1.0" encoding="utf-8"?>
<table xmlns="http://schemas.openxmlformats.org/spreadsheetml/2006/main" ref="A1:E151" displayName="Table3" name="Table3" id="3">
  <tableColumns count="5">
    <tableColumn name="Question No." id="1"/>
    <tableColumn name="Question" id="2"/>
    <tableColumn name="Options" id="3"/>
    <tableColumn name="Answer" id="4"/>
    <tableColumn name="Description" id="5"/>
  </tableColumns>
  <tableStyleInfo name="Tambourin-style" showColumnStripes="0" showFirstColumn="1" showLastColumn="1" showRowStripes="1"/>
</table>
</file>

<file path=xl/tables/table4.xml><?xml version="1.0" encoding="utf-8"?>
<table xmlns="http://schemas.openxmlformats.org/spreadsheetml/2006/main" ref="G1:K151" displayName="Table4" name="Table4" id="4">
  <tableColumns count="5">
    <tableColumn name="Question n°" id="1"/>
    <tableColumn name="Question2" id="2"/>
    <tableColumn name="Options2" id="3"/>
    <tableColumn name="Répondre" id="4"/>
    <tableColumn name="Description" id="5"/>
  </tableColumns>
  <tableStyleInfo name="Tambourin-style 2" showColumnStripes="0" showFirstColumn="1" showLastColumn="1" showRowStripes="1"/>
</table>
</file>

<file path=xl/tables/table5.xml><?xml version="1.0" encoding="utf-8"?>
<table xmlns="http://schemas.openxmlformats.org/spreadsheetml/2006/main" ref="A1:E151" displayName="Table5" name="Table5" id="5">
  <tableColumns count="5">
    <tableColumn name="Question No." id="1"/>
    <tableColumn name="Question" id="2"/>
    <tableColumn name="Options" id="3"/>
    <tableColumn name="Answer" id="4"/>
    <tableColumn name="Description" id="5"/>
  </tableColumns>
  <tableStyleInfo name="Pelota-style" showColumnStripes="0" showFirstColumn="1" showLastColumn="1" showRowStripes="1"/>
</table>
</file>

<file path=xl/tables/table6.xml><?xml version="1.0" encoding="utf-8"?>
<table xmlns="http://schemas.openxmlformats.org/spreadsheetml/2006/main" ref="G1:K151" displayName="Table6" name="Table6" id="6">
  <tableColumns count="5">
    <tableColumn name="Question n°" id="1"/>
    <tableColumn name="Question2" id="2"/>
    <tableColumn name="Options2" id="3"/>
    <tableColumn name="Répondre" id="4"/>
    <tableColumn name="Description" id="5"/>
  </tableColumns>
  <tableStyleInfo name="Pelota-style 2" showColumnStripes="0" showFirstColumn="1" showLastColumn="1" showRowStripes="1"/>
</table>
</file>

<file path=xl/tables/table7.xml><?xml version="1.0" encoding="utf-8"?>
<table xmlns="http://schemas.openxmlformats.org/spreadsheetml/2006/main" ref="A1:E151" displayName="Table7" name="Table7" id="7">
  <tableColumns count="5">
    <tableColumn name="Question No." id="1"/>
    <tableColumn name="Question" id="2"/>
    <tableColumn name="Options" id="3"/>
    <tableColumn name="Answer" id="4"/>
    <tableColumn name="Description" id="5"/>
  </tableColumns>
  <tableStyleInfo name="Gouren-style" showColumnStripes="0" showFirstColumn="1" showLastColumn="1" showRowStripes="1"/>
</table>
</file>

<file path=xl/tables/table8.xml><?xml version="1.0" encoding="utf-8"?>
<table xmlns="http://schemas.openxmlformats.org/spreadsheetml/2006/main" ref="G1:K151" displayName="Table8" name="Table8" id="8">
  <tableColumns count="5">
    <tableColumn name="Question n°" id="1"/>
    <tableColumn name="Question2" id="2"/>
    <tableColumn name="Options2" id="3"/>
    <tableColumn name="Répondre" id="4"/>
    <tableColumn name="Description" id="5"/>
  </tableColumns>
  <tableStyleInfo name="Gouren-style 2" showColumnStripes="0" showFirstColumn="1" showLastColumn="1" showRowStripes="1"/>
</table>
</file>

<file path=xl/tables/table9.xml><?xml version="1.0" encoding="utf-8"?>
<table xmlns="http://schemas.openxmlformats.org/spreadsheetml/2006/main" ref="A1:E151" displayName="Table9" name="Table9" id="9">
  <tableColumns count="5">
    <tableColumn name="Question No." id="1"/>
    <tableColumn name="Question" id="2"/>
    <tableColumn name="Options" id="3"/>
    <tableColumn name="Answer" id="4"/>
    <tableColumn name="Description" id="5"/>
  </tableColumns>
  <tableStyleInfo name="Camarague-style" showColumnStripes="0" showFirstColumn="1" showLastColumn="1" showRowStripes="1"/>
</table>
</file>

<file path=xl/tables/table10.xml><?xml version="1.0" encoding="utf-8"?>
<table xmlns="http://schemas.openxmlformats.org/spreadsheetml/2006/main" ref="G1:K151" displayName="Table10" name="Table10" id="10">
  <tableColumns count="5">
    <tableColumn name="Question n°" id="1"/>
    <tableColumn name="Question2" id="2"/>
    <tableColumn name="Options2" id="3"/>
    <tableColumn name="Répondre" id="4"/>
    <tableColumn name="Description" id="5"/>
  </tableColumns>
  <tableStyleInfo name="Camarague-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3.xml"/><Relationship Id="rId5"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5.xml"/><Relationship Id="rId5" Type="http://schemas.openxmlformats.org/officeDocument/2006/relationships/table" Target="../tables/table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7.xml"/><Relationship Id="rId5" Type="http://schemas.openxmlformats.org/officeDocument/2006/relationships/table" Target="../tables/table8.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9.xml"/><Relationship Id="rId5"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5" width="37.63"/>
    <col customWidth="1" min="7" max="7" width="14.13"/>
    <col customWidth="1" min="8" max="11" width="37.63"/>
  </cols>
  <sheetData>
    <row r="1" ht="22.5" customHeight="1">
      <c r="A1" s="1" t="s">
        <v>0</v>
      </c>
      <c r="B1" s="1" t="s">
        <v>1</v>
      </c>
      <c r="C1" s="1" t="s">
        <v>2</v>
      </c>
      <c r="D1" s="1" t="s">
        <v>3</v>
      </c>
      <c r="E1" s="1" t="s">
        <v>4</v>
      </c>
      <c r="G1" s="2" t="s">
        <v>5</v>
      </c>
      <c r="H1" s="2" t="s">
        <v>6</v>
      </c>
      <c r="I1" s="2" t="s">
        <v>7</v>
      </c>
      <c r="J1" s="2" t="s">
        <v>8</v>
      </c>
      <c r="K1" s="2" t="s">
        <v>4</v>
      </c>
    </row>
    <row r="2" ht="22.5" customHeight="1">
      <c r="A2" s="3">
        <v>1.0</v>
      </c>
      <c r="B2" s="4" t="s">
        <v>9</v>
      </c>
      <c r="C2" s="4" t="s">
        <v>10</v>
      </c>
      <c r="D2" s="4" t="s">
        <v>11</v>
      </c>
      <c r="E2" s="4" t="s">
        <v>12</v>
      </c>
      <c r="G2" s="5" t="str">
        <f>IFERROR(__xludf.DUMMYFUNCTION("GOOGLETRANSLATE(A2, ""en"", ""fr"")"),"1")</f>
        <v>1</v>
      </c>
      <c r="H2" s="5" t="str">
        <f>IFERROR(__xludf.DUMMYFUNCTION("GOOGLETRANSLATE(B2, ""en"", ""fr"")"),"Lors d'une passe finale, un jouteur fait tomber son adversaire à l'eau, mais perd l'équilibre et tombe lui-même quelques instants plus tard. Quelle est la décision de l'arbitre ?")</f>
        <v>Lors d'une passe finale, un jouteur fait tomber son adversaire à l'eau, mais perd l'équilibre et tombe lui-même quelques instants plus tard. Quelle est la décision de l'arbitre ?</v>
      </c>
      <c r="I2" s="5" t="str">
        <f>IFERROR(__xludf.DUMMYFUNCTION("GOOGLETRANSLATE(C2, ""en"", ""fr"")"),"A) Le premier à tomber perd, B) La passe est nulle et doit être rejouée, C) Le jouteur tombé en dernier gagne, D) Les deux jouteurs sont éliminés")</f>
        <v>A) Le premier à tomber perd, B) La passe est nulle et doit être rejouée, C) Le jouteur tombé en dernier gagne, D) Les deux jouteurs sont éliminés</v>
      </c>
      <c r="J2" s="5" t="str">
        <f>IFERROR(__xludf.DUMMYFUNCTION("GOOGLETRANSLATE(D2, ""en"", ""fr"")"),"B) La passe est nulle et doit être rejouée.")</f>
        <v>B) La passe est nulle et doit être rejouée.</v>
      </c>
      <c r="K2" s="5" t="str">
        <f>IFERROR(__xludf.DUMMYFUNCTION("GOOGLETRANSLATE(E2, ""en"", ""fr"")"),"Si aucun des deux jouteurs ne peut rester sur sa plateforme (tintaine), la passe est considérée comme nulle, peu importe qui est tombé en premier.")</f>
        <v>Si aucun des deux jouteurs ne peut rester sur sa plateforme (tintaine), la passe est considérée comme nulle, peu importe qui est tombé en premier.</v>
      </c>
    </row>
    <row r="3" ht="22.5" customHeight="1">
      <c r="A3" s="3">
        <v>2.0</v>
      </c>
      <c r="B3" s="4" t="s">
        <v>13</v>
      </c>
      <c r="C3" s="4" t="s">
        <v>14</v>
      </c>
      <c r="D3" s="4" t="s">
        <v>15</v>
      </c>
      <c r="E3" s="4" t="s">
        <v>16</v>
      </c>
      <c r="G3" s="5" t="str">
        <f>IFERROR(__xludf.DUMMYFUNCTION("GOOGLETRANSLATE(A3, ""en"", ""fr"")"),"2")</f>
        <v>2</v>
      </c>
      <c r="H3" s="5" t="str">
        <f>IFERROR(__xludf.DUMMYFUNCTION("GOOGLETRANSLATE(B3, ""en"", ""fr"")"),"Un jouteur du bateau rouge parvient à désarçonner le jouteur du bateau bleu. Quel est le signal de l'arbitre pour confirmer la victoire ?")</f>
        <v>Un jouteur du bateau rouge parvient à désarçonner le jouteur du bateau bleu. Quel est le signal de l'arbitre pour confirmer la victoire ?</v>
      </c>
      <c r="I3" s="5" t="str">
        <f>IFERROR(__xludf.DUMMYFUNCTION("GOOGLETRANSLATE(C3, ""en"", ""fr"")"),"A) Ils sifflent, B) Ils hissent un drapeau rouge, C) Ils hissent un drapeau bleu, D) Ils tirent un coup de pistolet cérémoniel")</f>
        <v>A) Ils sifflent, B) Ils hissent un drapeau rouge, C) Ils hissent un drapeau bleu, D) Ils tirent un coup de pistolet cérémoniel</v>
      </c>
      <c r="J3" s="5" t="str">
        <f>IFERROR(__xludf.DUMMYFUNCTION("GOOGLETRANSLATE(D3, ""en"", ""fr"")"),"B) Ils tirent la sonnette d'alarme")</f>
        <v>B) Ils tirent la sonnette d'alarme</v>
      </c>
      <c r="K3" s="5" t="str">
        <f>IFERROR(__xludf.DUMMYFUNCTION("GOOGLETRANSLATE(E3, ""en"", ""fr"")"),"L'arbitre et les juges utilisent des drapeaux de couleur correspondant aux couleurs des bateaux pour indiquer clairement le vainqueur de la manche.")</f>
        <v>L'arbitre et les juges utilisent des drapeaux de couleur correspondant aux couleurs des bateaux pour indiquer clairement le vainqueur de la manche.</v>
      </c>
    </row>
    <row r="4" ht="22.5" customHeight="1">
      <c r="A4" s="3">
        <v>3.0</v>
      </c>
      <c r="B4" s="4" t="s">
        <v>17</v>
      </c>
      <c r="C4" s="4" t="s">
        <v>18</v>
      </c>
      <c r="D4" s="4" t="s">
        <v>19</v>
      </c>
      <c r="E4" s="4" t="s">
        <v>20</v>
      </c>
      <c r="G4" s="5" t="str">
        <f>IFERROR(__xludf.DUMMYFUNCTION("GOOGLETRANSLATE(A4, ""en"", ""fr"")"),"3")</f>
        <v>3</v>
      </c>
      <c r="H4" s="5" t="str">
        <f>IFERROR(__xludf.DUMMYFUNCTION("GOOGLETRANSLATE(B4, ""en"", ""fr"")"),"Lors d'un tournoi, un jouteur est surpris à utiliser une lance dont la longueur dépasse la limite autorisée pour sa catégorie de poids. Quelle en est la conséquence ?")</f>
        <v>Lors d'un tournoi, un jouteur est surpris à utiliser une lance dont la longueur dépasse la limite autorisée pour sa catégorie de poids. Quelle en est la conséquence ?</v>
      </c>
      <c r="I4" s="5" t="str">
        <f>IFERROR(__xludf.DUMMYFUNCTION("GOOGLETRANSLATE(C4, ""en"", ""fr"")"),"A) Ils reçoivent un avertissement, B) Ils sont disqualifiés du match, C) Ils peuvent continuer mais ne peuvent pas marquer de points, D) Ils doivent changer de lance.")</f>
        <v>A) Ils reçoivent un avertissement, B) Ils sont disqualifiés du match, C) Ils peuvent continuer mais ne peuvent pas marquer de points, D) Ils doivent changer de lance.</v>
      </c>
      <c r="J4" s="5" t="str">
        <f>IFERROR(__xludf.DUMMYFUNCTION("GOOGLETRANSLATE(D4, ""en"", ""fr"")"),"B) Ils sont disqualifiés du match")</f>
        <v>B) Ils sont disqualifiés du match</v>
      </c>
      <c r="K4" s="5" t="str">
        <f>IFERROR(__xludf.DUMMYFUNCTION("GOOGLETRANSLATE(E4, ""en"", ""fr"")"),"L'utilisation d'équipements non conformes à la réglementation, conférant un avantage indu, constitue une infraction grave et entraîne la disqualification.")</f>
        <v>L'utilisation d'équipements non conformes à la réglementation, conférant un avantage indu, constitue une infraction grave et entraîne la disqualification.</v>
      </c>
    </row>
    <row r="5" ht="22.5" customHeight="1">
      <c r="A5" s="3">
        <v>4.0</v>
      </c>
      <c r="B5" s="4" t="s">
        <v>21</v>
      </c>
      <c r="C5" s="4" t="s">
        <v>22</v>
      </c>
      <c r="D5" s="4" t="s">
        <v>23</v>
      </c>
      <c r="E5" s="4" t="s">
        <v>24</v>
      </c>
      <c r="G5" s="5" t="str">
        <f>IFERROR(__xludf.DUMMYFUNCTION("GOOGLETRANSLATE(A5, ""en"", ""fr"")"),"4")</f>
        <v>4</v>
      </c>
      <c r="H5" s="5" t="str">
        <f>IFERROR(__xludf.DUMMYFUNCTION("GOOGLETRANSLATE(B5, ""en"", ""fr"")"),"Un jouteur est en position sur la tintaine, mais son pied arrière touche le bois à l'extérieur de l'empreinte blanche marquée. Comment appelle-t-on cette faute ?")</f>
        <v>Un jouteur est en position sur la tintaine, mais son pied arrière touche le bois à l'extérieur de l'empreinte blanche marquée. Comment appelle-t-on cette faute ?</v>
      </c>
      <c r="I5" s="5" t="str">
        <f>IFERROR(__xludf.DUMMYFUNCTION("GOOGLETRANSLATE(C5, ""en"", ""fr"")"),"A) Un faux départ, B) Une garde incorrecte, C) Un glissement, D) Il n'y a pas de faute")</f>
        <v>A) Un faux départ, B) Une garde incorrecte, C) Un glissement, D) Il n'y a pas de faute</v>
      </c>
      <c r="J5" s="5" t="str">
        <f>IFERROR(__xludf.DUMMYFUNCTION("GOOGLETRANSLATE(D5, ""en"", ""fr"")"),"B) Une garde incorrecte")</f>
        <v>B) Une garde incorrecte</v>
      </c>
      <c r="K5" s="5" t="str">
        <f>IFERROR(__xludf.DUMMYFUNCTION("GOOGLETRANSLATE(E5, ""en"", ""fr"")"),"Le règlement exige que le jouteur garde ses pieds entièrement à l'intérieur des zones peintes désignées sur la tintaine pendant la passe.")</f>
        <v>Le règlement exige que le jouteur garde ses pieds entièrement à l'intérieur des zones peintes désignées sur la tintaine pendant la passe.</v>
      </c>
    </row>
    <row r="6" ht="22.5" customHeight="1">
      <c r="A6" s="3">
        <v>5.0</v>
      </c>
      <c r="B6" s="4" t="s">
        <v>25</v>
      </c>
      <c r="C6" s="4" t="s">
        <v>26</v>
      </c>
      <c r="D6" s="4" t="s">
        <v>27</v>
      </c>
      <c r="E6" s="4" t="s">
        <v>28</v>
      </c>
      <c r="G6" s="5" t="str">
        <f>IFERROR(__xludf.DUMMYFUNCTION("GOOGLETRANSLATE(A6, ""en"", ""fr"")"),"5")</f>
        <v>5</v>
      </c>
      <c r="H6" s="5" t="str">
        <f>IFERROR(__xludf.DUMMYFUNCTION("GOOGLETRANSLATE(B6, ""en"", ""fr"")"),"Lors d'une passe, la lance d'un jouteur se brise à l'impact avec le bouclier de son adversaire, mais aucun des deux jouteurs ne tombe. Quelle est la décision ?")</f>
        <v>Lors d'une passe, la lance d'un jouteur se brise à l'impact avec le bouclier de son adversaire, mais aucun des deux jouteurs ne tombe. Quelle est la décision ?</v>
      </c>
      <c r="I6" s="5" t="str">
        <f>IFERROR(__xludf.DUMMYFUNCTION("GOOGLETRANSLATE(C6, ""en"", ""fr"")"),"A) Le jouteur à la lance brisée gagne, B) Le jouteur à la lance brisée perd, C) Le duel est nul et est rejoué, D) Le combat continue avec les lances brisées")</f>
        <v>A) Le jouteur à la lance brisée gagne, B) Le jouteur à la lance brisée perd, C) Le duel est nul et est rejoué, D) Le combat continue avec les lances brisées</v>
      </c>
      <c r="J6" s="5" t="str">
        <f>IFERROR(__xludf.DUMMYFUNCTION("GOOGLETRANSLATE(D6, ""en"", ""fr"")"),"C) La passe est nulle et est rejouée.")</f>
        <v>C) La passe est nulle et est rejouée.</v>
      </c>
      <c r="K6" s="5" t="str">
        <f>IFERROR(__xludf.DUMMYFUNCTION("GOOGLETRANSLATE(E6, ""en"", ""fr"")"),"Il est fréquent qu'une lance se brise. Si personne ne tombe, la passe est considérée comme nulle et est rejouée avec de nouvelles lances.")</f>
        <v>Il est fréquent qu'une lance se brise. Si personne ne tombe, la passe est considérée comme nulle et est rejouée avec de nouvelles lances.</v>
      </c>
    </row>
    <row r="7" ht="22.5" customHeight="1">
      <c r="A7" s="3">
        <v>6.0</v>
      </c>
      <c r="B7" s="4" t="s">
        <v>29</v>
      </c>
      <c r="C7" s="4" t="s">
        <v>30</v>
      </c>
      <c r="D7" s="4" t="s">
        <v>31</v>
      </c>
      <c r="E7" s="4" t="s">
        <v>32</v>
      </c>
      <c r="G7" s="5" t="str">
        <f>IFERROR(__xludf.DUMMYFUNCTION("GOOGLETRANSLATE(A7, ""en"", ""fr"")"),"6")</f>
        <v>6</v>
      </c>
      <c r="H7" s="5" t="str">
        <f>IFERROR(__xludf.DUMMYFUNCTION("GOOGLETRANSLATE(B7, ""en"", ""fr"")"),"On voit un jouteur tenir sa lance à deux mains pour amortir l'impact. Pourquoi est-ce une faute ?")</f>
        <v>On voit un jouteur tenir sa lance à deux mains pour amortir l'impact. Pourquoi est-ce une faute ?</v>
      </c>
      <c r="I7" s="5" t="str">
        <f>IFERROR(__xludf.DUMMYFUNCTION("GOOGLETRANSLATE(C7, ""en"", ""fr"")"),"A) Ce n'est pas une faute, B) Cela peut endommager la lance, C) Cela procure un avantage injuste et enfreint la règle de l'utilisation d'une seule main, D) C'est considéré comme un manque de respect")</f>
        <v>A) Ce n'est pas une faute, B) Cela peut endommager la lance, C) Cela procure un avantage injuste et enfreint la règle de l'utilisation d'une seule main, D) C'est considéré comme un manque de respect</v>
      </c>
      <c r="J7" s="5" t="str">
        <f>IFERROR(__xludf.DUMMYFUNCTION("GOOGLETRANSLATE(D7, ""en"", ""fr"")"),"C) Elle procure un avantage indu et enfreint la règle de l'unilatéralité")</f>
        <v>C) Elle procure un avantage indu et enfreint la règle de l'unilatéralité</v>
      </c>
      <c r="K7" s="5" t="str">
        <f>IFERROR(__xludf.DUMMYFUNCTION("GOOGLETRANSLATE(E7, ""en"", ""fr"")"),"Ce sport met à l'épreuve la force et l'adresse d'une seule main. Utiliser les deux mains sur la lance est une manœuvre illégale qui entraîne la perte de la passe.")</f>
        <v>Ce sport met à l'épreuve la force et l'adresse d'une seule main. Utiliser les deux mains sur la lance est une manœuvre illégale qui entraîne la perte de la passe.</v>
      </c>
    </row>
    <row r="8" ht="22.5" customHeight="1">
      <c r="A8" s="3">
        <v>7.0</v>
      </c>
      <c r="B8" s="4" t="s">
        <v>33</v>
      </c>
      <c r="C8" s="4" t="s">
        <v>34</v>
      </c>
      <c r="D8" s="4" t="s">
        <v>35</v>
      </c>
      <c r="E8" s="4" t="s">
        <v>36</v>
      </c>
      <c r="G8" s="5" t="str">
        <f>IFERROR(__xludf.DUMMYFUNCTION("GOOGLETRANSLATE(A8, ""en"", ""fr"")"),"7")</f>
        <v>7</v>
      </c>
      <c r="H8" s="5" t="str">
        <f>IFERROR(__xludf.DUMMYFUNCTION("GOOGLETRANSLATE(B8, ""en"", ""fr"")"),"Un jouteur parvient à faire tomber son adversaire mais, ce faisant, touche la plateforme (la tintaine) de sa main libre pour garder l'équilibre. Quel est le signal ?")</f>
        <v>Un jouteur parvient à faire tomber son adversaire mais, ce faisant, touche la plateforme (la tintaine) de sa main libre pour garder l'équilibre. Quel est le signal ?</v>
      </c>
      <c r="I8" s="5" t="str">
        <f>IFERROR(__xludf.DUMMYFUNCTION("GOOGLETRANSLATE(C8, ""en"", ""fr"")"),"A) La victoire est valide, B) Le jouteur est déclaré « mouillé » pour avoir touché le plateau, et la passe est nulle, C) Une pénalité d'un point est accordée, D) Le jouteur est félicité pour son redressement")</f>
        <v>A) La victoire est valide, B) Le jouteur est déclaré « mouillé » pour avoir touché le plateau, et la passe est nulle, C) Une pénalité d'un point est accordée, D) Le jouteur est félicité pour son redressement</v>
      </c>
      <c r="J8" s="5" t="str">
        <f>IFERROR(__xludf.DUMMYFUNCTION("GOOGLETRANSLATE(D8, ""en"", ""fr"")"),"B) Le jouteur est déclaré « mouillé » pour avoir touché la plateforme, et la passe est nulle.")</f>
        <v>B) Le jouteur est déclaré « mouillé » pour avoir touché la plateforme, et la passe est nulle.</v>
      </c>
      <c r="K8" s="5" t="str">
        <f>IFERROR(__xludf.DUMMYFUNCTION("GOOGLETRANSLATE(E8, ""en"", ""fr"")"),"Un jouteur ne doit pas s'appuyer sur ses mains pour garder l'équilibre. Toucher la plateforme, même un instant, constitue une faute qui invalide sa victoire.")</f>
        <v>Un jouteur ne doit pas s'appuyer sur ses mains pour garder l'équilibre. Toucher la plateforme, même un instant, constitue une faute qui invalide sa victoire.</v>
      </c>
    </row>
    <row r="9" ht="22.5" customHeight="1">
      <c r="A9" s="3">
        <v>8.0</v>
      </c>
      <c r="B9" s="4" t="s">
        <v>37</v>
      </c>
      <c r="C9" s="4" t="s">
        <v>38</v>
      </c>
      <c r="D9" s="4" t="s">
        <v>39</v>
      </c>
      <c r="E9" s="4" t="s">
        <v>40</v>
      </c>
      <c r="G9" s="5" t="str">
        <f>IFERROR(__xludf.DUMMYFUNCTION("GOOGLETRANSLATE(A9, ""en"", ""fr"")"),"8")</f>
        <v>8</v>
      </c>
      <c r="H9" s="5" t="str">
        <f>IFERROR(__xludf.DUMMYFUNCTION("GOOGLETRANSLATE(B9, ""en"", ""fr"")"),"Lors d'une finale par équipes, le score final est à égalité après toutes les passes prévues. Quelle est la procédure la plus courante pour départager les équipes ?")</f>
        <v>Lors d'une finale par équipes, le score final est à égalité après toutes les passes prévues. Quelle est la procédure la plus courante pour départager les équipes ?</v>
      </c>
      <c r="I9" s="5" t="str">
        <f>IFERROR(__xludf.DUMMYFUNCTION("GOOGLETRANSLATE(C9, ""en"", ""fr"")"),"A) L'équipe ayant commis le moins de fautes gagne. B) Une passe finale de départage est organisée entre les meilleurs jouteurs de chaque équipe. C) Le match est déclaré nul. D) On tire à pile ou face.")</f>
        <v>A) L'équipe ayant commis le moins de fautes gagne. B) Une passe finale de départage est organisée entre les meilleurs jouteurs de chaque équipe. C) Le match est déclaré nul. D) On tire à pile ou face.</v>
      </c>
      <c r="J9" s="5" t="str">
        <f>IFERROR(__xludf.DUMMYFUNCTION("GOOGLETRANSLATE(D9, ""en"", ""fr"")"),"B) Une manche finale de départage est organisée entre les meilleurs jouteurs de chaque équipe.")</f>
        <v>B) Une manche finale de départage est organisée entre les meilleurs jouteurs de chaque équipe.</v>
      </c>
      <c r="K9" s="5" t="str">
        <f>IFERROR(__xludf.DUMMYFUNCTION("GOOGLETRANSLATE(E9, ""en"", ""fr"")"),"En cas d'égalité lors d'un match par équipes, le départage se fait généralement par un « barrage » ou une passe décisive entre les meilleurs jouteurs de chaque société.")</f>
        <v>En cas d'égalité lors d'un match par équipes, le départage se fait généralement par un « barrage » ou une passe décisive entre les meilleurs jouteurs de chaque société.</v>
      </c>
    </row>
    <row r="10" ht="22.5" customHeight="1">
      <c r="A10" s="3">
        <v>9.0</v>
      </c>
      <c r="B10" s="4" t="s">
        <v>41</v>
      </c>
      <c r="C10" s="4" t="s">
        <v>42</v>
      </c>
      <c r="D10" s="4" t="s">
        <v>43</v>
      </c>
      <c r="E10" s="4" t="s">
        <v>44</v>
      </c>
      <c r="G10" s="5" t="str">
        <f>IFERROR(__xludf.DUMMYFUNCTION("GOOGLETRANSLATE(A10, ""en"", ""fr"")"),"9")</f>
        <v>9</v>
      </c>
      <c r="H10" s="5" t="str">
        <f>IFERROR(__xludf.DUMMYFUNCTION("GOOGLETRANSLATE(B10, ""en"", ""fr"")"),"Un jouteur est averti pour avoir touché une cible illégale. Où, sur le corps de son adversaire, a-t-il bien pu viser ?")</f>
        <v>Un jouteur est averti pour avoir touché une cible illégale. Où, sur le corps de son adversaire, a-t-il bien pu viser ?</v>
      </c>
      <c r="I10" s="5" t="str">
        <f>IFERROR(__xludf.DUMMYFUNCTION("GOOGLETRANSLATE(C10, ""en"", ""fr"")"),"A) Le centre du bouclier, B) La lance de l'adversaire, C) Le corps ou la tête de l'adversaire, D) Le bord du bouclier")</f>
        <v>A) Le centre du bouclier, B) La lance de l'adversaire, C) Le corps ou la tête de l'adversaire, D) Le bord du bouclier</v>
      </c>
      <c r="J10" s="5" t="str">
        <f>IFERROR(__xludf.DUMMYFUNCTION("GOOGLETRANSLATE(D10, ""en"", ""fr"")"),"C) Le corps ou la tête de l'adversaire")</f>
        <v>C) Le corps ou la tête de l'adversaire</v>
      </c>
      <c r="K10" s="5" t="str">
        <f>IFERROR(__xludf.DUMMYFUNCTION("GOOGLETRANSLATE(E10, ""en"", ""fr"")"),"Les règles sont très strictes : un jouteur ne doit viser que le bouclier (pavois) de son adversaire. Frapper intentionnellement son corps constitue une faute grave.")</f>
        <v>Les règles sont très strictes : un jouteur ne doit viser que le bouclier (pavois) de son adversaire. Frapper intentionnellement son corps constitue une faute grave.</v>
      </c>
    </row>
    <row r="11" ht="22.5" customHeight="1">
      <c r="A11" s="3">
        <v>10.0</v>
      </c>
      <c r="B11" s="4" t="s">
        <v>45</v>
      </c>
      <c r="C11" s="4" t="s">
        <v>46</v>
      </c>
      <c r="D11" s="4" t="s">
        <v>47</v>
      </c>
      <c r="E11" s="4" t="s">
        <v>48</v>
      </c>
      <c r="G11" s="5" t="str">
        <f>IFERROR(__xludf.DUMMYFUNCTION("GOOGLETRANSLATE(A11, ""en"", ""fr"")"),"10")</f>
        <v>10</v>
      </c>
      <c r="H11" s="5" t="str">
        <f>IFERROR(__xludf.DUMMYFUNCTION("GOOGLETRANSLATE(B11, ""en"", ""fr"")"),"La musique de la peña s'arrête brusquement en plein passage. Que doivent faire les rameurs des deux bateaux ?")</f>
        <v>La musique de la peña s'arrête brusquement en plein passage. Que doivent faire les rameurs des deux bateaux ?</v>
      </c>
      <c r="I11" s="5" t="str">
        <f>IFERROR(__xludf.DUMMYFUNCTION("GOOGLETRANSLATE(C11, ""en"", ""fr"")"),"A) Arrêtez immédiatement de ramer, B) Continuez à ramer jusqu'à ce que la passe soit terminée ou que l'arbitre signale l'arrêt, C) Ramez plus vite pour terminer la passe rapidement, D) Ramez en arrière pour réinitialiser")</f>
        <v>A) Arrêtez immédiatement de ramer, B) Continuez à ramer jusqu'à ce que la passe soit terminée ou que l'arbitre signale l'arrêt, C) Ramez plus vite pour terminer la passe rapidement, D) Ramez en arrière pour réinitialiser</v>
      </c>
      <c r="J11" s="5" t="str">
        <f>IFERROR(__xludf.DUMMYFUNCTION("GOOGLETRANSLATE(D11, ""en"", ""fr"")"),"B) Continuez à ramer jusqu'à ce que le passage soit terminé ou que l'arbitre signale l'arrêt.")</f>
        <v>B) Continuez à ramer jusqu'à ce que le passage soit terminé ou que l'arbitre signale l'arrêt.</v>
      </c>
      <c r="K11" s="5" t="str">
        <f>IFERROR(__xludf.DUMMYFUNCTION("GOOGLETRANSLATE(E11, ""en"", ""fr"")"),"La musique donne le rythme, mais le coup de sifflet de l'arbitre est le seul signal officiel. Les rameurs doivent maintenir leur cadence jusqu'à la fin du passage.")</f>
        <v>La musique donne le rythme, mais le coup de sifflet de l'arbitre est le seul signal officiel. Les rameurs doivent maintenir leur cadence jusqu'à la fin du passage.</v>
      </c>
    </row>
    <row r="12" ht="22.5" customHeight="1">
      <c r="A12" s="3">
        <v>11.0</v>
      </c>
      <c r="B12" s="4" t="s">
        <v>49</v>
      </c>
      <c r="C12" s="4" t="s">
        <v>50</v>
      </c>
      <c r="D12" s="4" t="s">
        <v>51</v>
      </c>
      <c r="E12" s="4" t="s">
        <v>52</v>
      </c>
      <c r="G12" s="5" t="str">
        <f>IFERROR(__xludf.DUMMYFUNCTION("GOOGLETRANSLATE(A12, ""en"", ""fr"")"),"11")</f>
        <v>11</v>
      </c>
      <c r="H12" s="5" t="str">
        <f>IFERROR(__xludf.DUMMYFUNCTION("GOOGLETRANSLATE(B12, ""en"", ""fr"")"),"On voit un jouteur « pomper » sa lance de haut en bas avant l'impact. Pourquoi est-ce une faute ?")</f>
        <v>On voit un jouteur « pomper » sa lance de haut en bas avant l'impact. Pourquoi est-ce une faute ?</v>
      </c>
      <c r="I12" s="5" t="str">
        <f>IFERROR(__xludf.DUMMYFUNCTION("GOOGLETRANSLATE(C12, ""en"", ""fr"")"),"A) Ce n'est pas une faute, B) Cela peut créer un avantage injuste et ne constitue pas une garde stable, C) C'est un signe d'irrespect, D) Cela peut distraire l'adversaire")</f>
        <v>A) Ce n'est pas une faute, B) Cela peut créer un avantage injuste et ne constitue pas une garde stable, C) C'est un signe d'irrespect, D) Cela peut distraire l'adversaire</v>
      </c>
      <c r="J12" s="5" t="str">
        <f>IFERROR(__xludf.DUMMYFUNCTION("GOOGLETRANSLATE(D12, ""en"", ""fr"")"),"B) Cela peut engendrer un élan injuste et ne constitue pas une garde stable")</f>
        <v>B) Cela peut engendrer un élan injuste et ne constitue pas une garde stable</v>
      </c>
      <c r="K12" s="5" t="str">
        <f>IFERROR(__xludf.DUMMYFUNCTION("GOOGLETRANSLATE(E12, ""en"", ""fr"")"),"La lance doit être maintenue immobile et horizontale. La pomper est une méthode illégale pour augmenter la force de poussée.")</f>
        <v>La lance doit être maintenue immobile et horizontale. La pomper est une méthode illégale pour augmenter la force de poussée.</v>
      </c>
    </row>
    <row r="13" ht="22.5" customHeight="1">
      <c r="A13" s="3">
        <v>12.0</v>
      </c>
      <c r="B13" s="4" t="s">
        <v>53</v>
      </c>
      <c r="C13" s="4" t="s">
        <v>54</v>
      </c>
      <c r="D13" s="4" t="s">
        <v>55</v>
      </c>
      <c r="E13" s="4" t="s">
        <v>56</v>
      </c>
      <c r="G13" s="5" t="str">
        <f>IFERROR(__xludf.DUMMYFUNCTION("GOOGLETRANSLATE(A13, ""en"", ""fr"")"),"12")</f>
        <v>12</v>
      </c>
      <c r="H13" s="5" t="str">
        <f>IFERROR(__xludf.DUMMYFUNCTION("GOOGLETRANSLATE(B13, ""en"", ""fr"")"),"Lors d'une passe, une grosse vague frappe le flanc du bateau rouge, faisant perdre l'équilibre à son jouteur qui chute. Quelle est la décision ?")</f>
        <v>Lors d'une passe, une grosse vague frappe le flanc du bateau rouge, faisant perdre l'équilibre à son jouteur qui chute. Quelle est la décision ?</v>
      </c>
      <c r="I13" s="5" t="str">
        <f>IFERROR(__xludf.DUMMYFUNCTION("GOOGLETRANSLATE(C13, ""en"", ""fr"")"),"A) La manche est rejouée en raison d'une interférence extérieure, B) Le jouteur du bateau bleu gagne, C) La manche se termine par un match nul, D) L'équipe rouge est disqualifiée")</f>
        <v>A) La manche est rejouée en raison d'une interférence extérieure, B) Le jouteur du bateau bleu gagne, C) La manche se termine par un match nul, D) L'équipe rouge est disqualifiée</v>
      </c>
      <c r="J13" s="5" t="str">
        <f>IFERROR(__xludf.DUMMYFUNCTION("GOOGLETRANSLATE(D13, ""en"", ""fr"")"),"B) Le jouteur du bateau bleu gagne")</f>
        <v>B) Le jouteur du bateau bleu gagne</v>
      </c>
      <c r="K13" s="5" t="str">
        <f>IFERROR(__xludf.DUMMYFUNCTION("GOOGLETRANSLATE(E13, ""en"", ""fr"")"),"Les conditions naturelles, comme les vagues, font partie intégrante du défi. Une chute est une chute, quelle qu'en soit la cause ; le jouteur bleu remporte donc le passage.")</f>
        <v>Les conditions naturelles, comme les vagues, font partie intégrante du défi. Une chute est une chute, quelle qu'en soit la cause ; le jouteur bleu remporte donc le passage.</v>
      </c>
    </row>
    <row r="14" ht="22.5" customHeight="1">
      <c r="A14" s="3">
        <v>13.0</v>
      </c>
      <c r="B14" s="4" t="s">
        <v>57</v>
      </c>
      <c r="C14" s="4" t="s">
        <v>58</v>
      </c>
      <c r="D14" s="4" t="s">
        <v>59</v>
      </c>
      <c r="E14" s="4" t="s">
        <v>60</v>
      </c>
      <c r="G14" s="5" t="str">
        <f>IFERROR(__xludf.DUMMYFUNCTION("GOOGLETRANSLATE(A14, ""en"", ""fr"")"),"13")</f>
        <v>13</v>
      </c>
      <c r="H14" s="5" t="str">
        <f>IFERROR(__xludf.DUMMYFUNCTION("GOOGLETRANSLATE(B14, ""en"", ""fr"")"),"Le pavois d'un jouteur se brise sous l'effet d'un impact réglementaire, mais le jouteur reste sur l'estrade tandis que son adversaire tombe. Quel est le résultat ?")</f>
        <v>Le pavois d'un jouteur se brise sous l'effet d'un impact réglementaire, mais le jouteur reste sur l'estrade tandis que son adversaire tombe. Quel est le résultat ?</v>
      </c>
      <c r="I14" s="5" t="str">
        <f>IFERROR(__xludf.DUMMYFUNCTION("GOOGLETRANSLATE(C14, ""en"", ""fr"")"),"A) Le duel se termine par un match nul en raison d'une panne d'équipement. B) Le jouteur au bouclier brisé perd. C) Le jouteur au bouclier brisé remporte le duel. D) Le duel doit être rejoué avec de nouveaux boucliers.")</f>
        <v>A) Le duel se termine par un match nul en raison d'une panne d'équipement. B) Le jouteur au bouclier brisé perd. C) Le jouteur au bouclier brisé remporte le duel. D) Le duel doit être rejoué avec de nouveaux boucliers.</v>
      </c>
      <c r="J14" s="5" t="str">
        <f>IFERROR(__xludf.DUMMYFUNCTION("GOOGLETRANSLATE(D14, ""en"", ""fr"")"),"C) Le jouteur dont le bouclier est brisé remporte le passage.")</f>
        <v>C) Le jouteur dont le bouclier est brisé remporte le passage.</v>
      </c>
      <c r="K14" s="5" t="str">
        <f>IFERROR(__xludf.DUMMYFUNCTION("GOOGLETRANSLATE(E14, ""en"", ""fr"")"),"L'objectif est de faire tomber l'adversaire. L'état de son propre équipement importe peu, pourvu que la victoire soit obtenue de manière licite.")</f>
        <v>L'objectif est de faire tomber l'adversaire. L'état de son propre équipement importe peu, pourvu que la victoire soit obtenue de manière licite.</v>
      </c>
    </row>
    <row r="15" ht="22.5" customHeight="1">
      <c r="A15" s="3">
        <v>14.0</v>
      </c>
      <c r="B15" s="4" t="s">
        <v>61</v>
      </c>
      <c r="C15" s="4" t="s">
        <v>62</v>
      </c>
      <c r="D15" s="4" t="s">
        <v>63</v>
      </c>
      <c r="E15" s="4" t="s">
        <v>64</v>
      </c>
      <c r="G15" s="5" t="str">
        <f>IFERROR(__xludf.DUMMYFUNCTION("GOOGLETRANSLATE(A15, ""en"", ""fr"")"),"14")</f>
        <v>14</v>
      </c>
      <c r="H15" s="5" t="str">
        <f>IFERROR(__xludf.DUMMYFUNCTION("GOOGLETRANSLATE(B15, ""en"", ""fr"")"),"Quel est le rôle principal des plongeurs de sécurité dans l'eau ?")</f>
        <v>Quel est le rôle principal des plongeurs de sécurité dans l'eau ?</v>
      </c>
      <c r="I15" s="5" t="str">
        <f>IFERROR(__xludf.DUMMYFUNCTION("GOOGLETRANSLATE(C15, ""en"", ""fr"")"),"A) Juger de la qualité d'une chute, B) Assurer la sécurité immédiate d'un jouteur tombé et récupérer son équipement, C) Remettre les bateaux en place, D) Éclabousser le public pour le divertissement")</f>
        <v>A) Juger de la qualité d'une chute, B) Assurer la sécurité immédiate d'un jouteur tombé et récupérer son équipement, C) Remettre les bateaux en place, D) Éclabousser le public pour le divertissement</v>
      </c>
      <c r="J15" s="5" t="str">
        <f>IFERROR(__xludf.DUMMYFUNCTION("GOOGLETRANSLATE(D15, ""en"", ""fr"")"),"B) Assurer la sécurité immédiate d'un jouteur tombé et récupérer son équipement")</f>
        <v>B) Assurer la sécurité immédiate d'un jouteur tombé et récupérer son équipement</v>
      </c>
      <c r="K15" s="5" t="str">
        <f>IFERROR(__xludf.DUMMYFUNCTION("GOOGLETRANSLATE(E15, ""en"", ""fr"")"),"Les plongeurs constituent le personnel officiel de sécurité et de sauvetage, une composante obligatoire de tout tournoi officiel.")</f>
        <v>Les plongeurs constituent le personnel officiel de sécurité et de sauvetage, une composante obligatoire de tout tournoi officiel.</v>
      </c>
    </row>
    <row r="16" ht="22.5" customHeight="1">
      <c r="A16" s="3">
        <v>15.0</v>
      </c>
      <c r="B16" s="4" t="s">
        <v>65</v>
      </c>
      <c r="C16" s="4" t="s">
        <v>66</v>
      </c>
      <c r="D16" s="4" t="s">
        <v>67</v>
      </c>
      <c r="E16" s="4" t="s">
        <v>68</v>
      </c>
      <c r="G16" s="5" t="str">
        <f>IFERROR(__xludf.DUMMYFUNCTION("GOOGLETRANSLATE(A16, ""en"", ""fr"")"),"15")</f>
        <v>15</v>
      </c>
      <c r="H16" s="5" t="str">
        <f>IFERROR(__xludf.DUMMYFUNCTION("GOOGLETRANSLATE(B16, ""en"", ""fr"")"),"Dans la méthode languedocienne, les bateaux doivent se croiser de quel côté ?")</f>
        <v>Dans la méthode languedocienne, les bateaux doivent se croiser de quel côté ?</v>
      </c>
      <c r="I16" s="5" t="str">
        <f>IFERROR(__xludf.DUMMYFUNCTION("GOOGLETRANSLATE(C16, ""en"", ""fr"")"),"A) À droite (tribord à tribord), B) À gauche (bâbord à bâbord), C) Cela alterne à chaque passage, D) Les timoniers décident avant chaque passage")</f>
        <v>A) À droite (tribord à tribord), B) À gauche (bâbord à bâbord), C) Cela alterne à chaque passage, D) Les timoniers décident avant chaque passage</v>
      </c>
      <c r="J16" s="5" t="str">
        <f>IFERROR(__xludf.DUMMYFUNCTION("GOOGLETRANSLATE(D16, ""en"", ""fr"")"),"A) Du côté droit (tribord à tribord)")</f>
        <v>A) Du côté droit (tribord à tribord)</v>
      </c>
      <c r="K16" s="5" t="str">
        <f>IFERROR(__xludf.DUMMYFUNCTION("GOOGLETRANSLATE(E16, ""en"", ""fr"")"),"Les règles de cette méthode sont strictes : les deux bateaux doivent toujours se croiser par la droite, ce qui signifie que les jouteurs se trouvent à droite de leurs bateaux respectifs.")</f>
        <v>Les règles de cette méthode sont strictes : les deux bateaux doivent toujours se croiser par la droite, ce qui signifie que les jouteurs se trouvent à droite de leurs bateaux respectifs.</v>
      </c>
    </row>
    <row r="17" ht="22.5" customHeight="1">
      <c r="A17" s="3">
        <v>16.0</v>
      </c>
      <c r="B17" s="4" t="s">
        <v>69</v>
      </c>
      <c r="C17" s="4" t="s">
        <v>70</v>
      </c>
      <c r="D17" s="4" t="s">
        <v>71</v>
      </c>
      <c r="E17" s="4" t="s">
        <v>72</v>
      </c>
      <c r="G17" s="5" t="str">
        <f>IFERROR(__xludf.DUMMYFUNCTION("GOOGLETRANSLATE(A17, ""en"", ""fr"")"),"16")</f>
        <v>16</v>
      </c>
      <c r="H17" s="5" t="str">
        <f>IFERROR(__xludf.DUMMYFUNCTION("GOOGLETRANSLATE(B17, ""en"", ""fr"")"),"Un jouteur est sur le point de tomber, mais il s'agrippe à la lance de son adversaire pour rester sur l'estrade. Quelle est la décision ?")</f>
        <v>Un jouteur est sur le point de tomber, mais il s'agrippe à la lance de son adversaire pour rester sur l'estrade. Quelle est la décision ?</v>
      </c>
      <c r="I17" s="5" t="str">
        <f>IFERROR(__xludf.DUMMYFUNCTION("GOOGLETRANSLATE(C17, ""en"", ""fr"")"),"A) C'est une manœuvre astucieuse et ils sont en sécurité. B) C'est une faute ; le jouteur qui a saisi la lance est déclaré perdant de la passe. C) La passe est rejouée. D) Les deux jouteurs sont disqualifiés.")</f>
        <v>A) C'est une manœuvre astucieuse et ils sont en sécurité. B) C'est une faute ; le jouteur qui a saisi la lance est déclaré perdant de la passe. C) La passe est rejouée. D) Les deux jouteurs sont disqualifiés.</v>
      </c>
      <c r="J17" s="5" t="str">
        <f>IFERROR(__xludf.DUMMYFUNCTION("GOOGLETRANSLATE(D17, ""en"", ""fr"")"),"B) C'est une faute ; le jouteur qui a saisi la lance est déclaré perdant de la passe.")</f>
        <v>B) C'est une faute ; le jouteur qui a saisi la lance est déclaré perdant de la passe.</v>
      </c>
      <c r="K17" s="5" t="str">
        <f>IFERROR(__xludf.DUMMYFUNCTION("GOOGLETRANSLATE(E17, ""en"", ""fr"")"),"Un jouteur ne peut toucher son adversaire ni sa lance avec les mains. Il s'agit d'une faute entraînant une défaite immédiate.")</f>
        <v>Un jouteur ne peut toucher son adversaire ni sa lance avec les mains. Il s'agit d'une faute entraînant une défaite immédiate.</v>
      </c>
    </row>
    <row r="18" ht="22.5" customHeight="1">
      <c r="A18" s="3">
        <v>17.0</v>
      </c>
      <c r="B18" s="4" t="s">
        <v>73</v>
      </c>
      <c r="C18" s="4" t="s">
        <v>74</v>
      </c>
      <c r="D18" s="4" t="s">
        <v>75</v>
      </c>
      <c r="E18" s="4" t="s">
        <v>76</v>
      </c>
      <c r="G18" s="5" t="str">
        <f>IFERROR(__xludf.DUMMYFUNCTION("GOOGLETRANSLATE(A18, ""en"", ""fr"")"),"17")</f>
        <v>17</v>
      </c>
      <c r="H18" s="5" t="str">
        <f>IFERROR(__xludf.DUMMYFUNCTION("GOOGLETRANSLATE(B18, ""en"", ""fr"")"),"La victoire d'un jouteur est contestée. L'examen vidéo révèle que le pied du vainqueur se trouvait légèrement à l'extérieur de l'empreinte marquée sur la tintaine. Quelle est la décision probable ?")</f>
        <v>La victoire d'un jouteur est contestée. L'examen vidéo révèle que le pied du vainqueur se trouvait légèrement à l'extérieur de l'empreinte marquée sur la tintaine. Quelle est la décision probable ?</v>
      </c>
      <c r="I18" s="5" t="str">
        <f>IFERROR(__xludf.DUMMYFUNCTION("GOOGLETRANSLATE(C18, ""en"", ""fr"")"),"A) La victoire est maintenue, l'infraction étant mineure. B) La victoire est annulée et le match est déclaré nul. C) Le vainqueur reçoit un avertissement. D) La décision du jury est définitive.")</f>
        <v>A) La victoire est maintenue, l'infraction étant mineure. B) La victoire est annulée et le match est déclaré nul. C) Le vainqueur reçoit un avertissement. D) La décision du jury est définitive.</v>
      </c>
      <c r="J18" s="5" t="str">
        <f>IFERROR(__xludf.DUMMYFUNCTION("GOOGLETRANSLATE(D18, ""en"", ""fr"")"),"B) La victoire est annulée et la passe est déclarée nulle.")</f>
        <v>B) La victoire est annulée et la passe est déclarée nulle.</v>
      </c>
      <c r="K18" s="5" t="str">
        <f>IFERROR(__xludf.DUMMYFUNCTION("GOOGLETRANSLATE(E18, ""en"", ""fr"")"),"La règle exigeant que les pieds soient à l'intérieur des marques est absolue. Un arbitrage vidéo prouvant une faute annulerait la victoire.")</f>
        <v>La règle exigeant que les pieds soient à l'intérieur des marques est absolue. Un arbitrage vidéo prouvant une faute annulerait la victoire.</v>
      </c>
    </row>
    <row r="19" ht="22.5" customHeight="1">
      <c r="A19" s="3">
        <v>18.0</v>
      </c>
      <c r="B19" s="4" t="s">
        <v>77</v>
      </c>
      <c r="C19" s="4" t="s">
        <v>78</v>
      </c>
      <c r="D19" s="4" t="s">
        <v>79</v>
      </c>
      <c r="E19" s="4" t="s">
        <v>80</v>
      </c>
      <c r="G19" s="5" t="str">
        <f>IFERROR(__xludf.DUMMYFUNCTION("GOOGLETRANSLATE(A19, ""en"", ""fr"")"),"18")</f>
        <v>18</v>
      </c>
      <c r="H19" s="5" t="str">
        <f>IFERROR(__xludf.DUMMYFUNCTION("GOOGLETRANSLATE(B19, ""en"", ""fr"")"),"Dans la méthode de joute alsacienne, les jouteurs sont attachés au bateau. Pourquoi procède-t-on ainsi ?")</f>
        <v>Dans la méthode de joute alsacienne, les jouteurs sont attachés au bateau. Pourquoi procède-t-on ainsi ?</v>
      </c>
      <c r="I19" s="5" t="str">
        <f>IFERROR(__xludf.DUMMYFUNCTION("GOOGLETRANSLATE(C19, ""en"", ""fr"")"),"A) Pour éviter qu'ils ne tombent, ce qui n'est pas l'objectif ; B) C'est une mesure de sécurité pour les débutants ; C) Pour leur permettre de manipuler les lances extrêmement longues et lourdes utilisées dans ce style ; D) Ce n'est pas une véritable règl"&amp;"e.")</f>
        <v>A) Pour éviter qu'ils ne tombent, ce qui n'est pas l'objectif ; B) C'est une mesure de sécurité pour les débutants ; C) Pour leur permettre de manipuler les lances extrêmement longues et lourdes utilisées dans ce style ; D) Ce n'est pas une véritable règle.</v>
      </c>
      <c r="J19" s="5" t="str">
        <f>IFERROR(__xludf.DUMMYFUNCTION("GOOGLETRANSLATE(D19, ""en"", ""fr"")"),"C) Pour leur permettre de manier les lances extrêmement longues et lourdes utilisées dans ce style")</f>
        <v>C) Pour leur permettre de manier les lances extrêmement longues et lourdes utilisées dans ce style</v>
      </c>
      <c r="K19" s="5" t="str">
        <f>IFERROR(__xludf.DUMMYFUNCTION("GOOGLETRANSLATE(E19, ""en"", ""fr"")"),"Le style alsacien est une épreuve de force de poussée pure avec un équipement très lourd, et les jouteurs doivent être solidement attachés au bateau pour maîtriser les forces en jeu.")</f>
        <v>Le style alsacien est une épreuve de force de poussée pure avec un équipement très lourd, et les jouteurs doivent être solidement attachés au bateau pour maîtriser les forces en jeu.</v>
      </c>
    </row>
    <row r="20" ht="22.5" customHeight="1">
      <c r="A20" s="3">
        <v>19.0</v>
      </c>
      <c r="B20" s="4" t="s">
        <v>81</v>
      </c>
      <c r="C20" s="4" t="s">
        <v>82</v>
      </c>
      <c r="D20" s="4" t="s">
        <v>83</v>
      </c>
      <c r="E20" s="4" t="s">
        <v>84</v>
      </c>
      <c r="G20" s="5" t="str">
        <f>IFERROR(__xludf.DUMMYFUNCTION("GOOGLETRANSLATE(A20, ""en"", ""fr"")"),"19")</f>
        <v>19</v>
      </c>
      <c r="H20" s="5" t="str">
        <f>IFERROR(__xludf.DUMMYFUNCTION("GOOGLETRANSLATE(B20, ""en"", ""fr"")"),"L'embarcation d'une équipe ne compte que 9 rameurs au lieu des 10 requis. Quelle en est la conséquence ?")</f>
        <v>L'embarcation d'une équipe ne compte que 9 rameurs au lieu des 10 requis. Quelle en est la conséquence ?</v>
      </c>
      <c r="I20" s="5" t="str">
        <f>IFERROR(__xludf.DUMMYFUNCTION("GOOGLETRANSLATE(C20, ""en"", ""fr"")"),"A) Ils sont autorisés à concourir malgré un désavantage, B) Ils ne sont pas autorisés à initier la passe, C) Ils reçoivent une pénalité d'un point, D) Ils peuvent utiliser un moteur pour compenser")</f>
        <v>A) Ils sont autorisés à concourir malgré un désavantage, B) Ils ne sont pas autorisés à initier la passe, C) Ils reçoivent une pénalité d'un point, D) Ils peuvent utiliser un moteur pour compenser</v>
      </c>
      <c r="J20" s="5" t="str">
        <f>IFERROR(__xludf.DUMMYFUNCTION("GOOGLETRANSLATE(D20, ""en"", ""fr"")"),"B) Ils ne sont pas autorisés à commencer la passe")</f>
        <v>B) Ils ne sont pas autorisés à commencer la passe</v>
      </c>
      <c r="K20" s="5" t="str">
        <f>IFERROR(__xludf.DUMMYFUNCTION("GOOGLETRANSLATE(E20, ""en"", ""fr"")"),"Les règles relatives à la composition des équipages sont strictes afin de garantir l'équité. Une équipe à laquelle il manque un rameur ne peut pas prendre le départ.")</f>
        <v>Les règles relatives à la composition des équipages sont strictes afin de garantir l'équité. Une équipe à laquelle il manque un rameur ne peut pas prendre le départ.</v>
      </c>
    </row>
    <row r="21" ht="22.5" customHeight="1">
      <c r="A21" s="3">
        <v>20.0</v>
      </c>
      <c r="B21" s="4" t="s">
        <v>85</v>
      </c>
      <c r="C21" s="4" t="s">
        <v>86</v>
      </c>
      <c r="D21" s="4" t="s">
        <v>87</v>
      </c>
      <c r="E21" s="4" t="s">
        <v>88</v>
      </c>
      <c r="G21" s="5" t="str">
        <f>IFERROR(__xludf.DUMMYFUNCTION("GOOGLETRANSLATE(A21, ""en"", ""fr"")"),"20")</f>
        <v>20</v>
      </c>
      <c r="H21" s="5" t="str">
        <f>IFERROR(__xludf.DUMMYFUNCTION("GOOGLETRANSLATE(B21, ""en"", ""fr"")"),"Un jouteur est averti pour ne pas avoir tenu correctement sa lance en position de garde initiale. Quelle est la position correcte ?")</f>
        <v>Un jouteur est averti pour ne pas avoir tenu correctement sa lance en position de garde initiale. Quelle est la position correcte ?</v>
      </c>
      <c r="I21" s="5" t="str">
        <f>IFERROR(__xludf.DUMMYFUNCTION("GOOGLETRANSLATE(C21, ""en"", ""fr"")"),"A) Pointant droit vers le haut, B) Pointant vers le bas, en direction de l'eau, C) Tenu horizontalement, parallèlement à l'eau, D) Reposant sur l'épaule")</f>
        <v>A) Pointant droit vers le haut, B) Pointant vers le bas, en direction de l'eau, C) Tenu horizontalement, parallèlement à l'eau, D) Reposant sur l'épaule</v>
      </c>
      <c r="J21" s="5" t="str">
        <f>IFERROR(__xludf.DUMMYFUNCTION("GOOGLETRANSLATE(D21, ""en"", ""fr"")"),"C) Tenu horizontalement, parallèlement à l'eau")</f>
        <v>C) Tenu horizontalement, parallèlement à l'eau</v>
      </c>
      <c r="K21" s="5" t="str">
        <f>IFERROR(__xludf.DUMMYFUNCTION("GOOGLETRANSLATE(E21, ""en"", ""fr"")"),"La lance doit être tenue dans une position stable et horizontale « en garde » pour assurer un engagement sûr et équitable avec l'adversaire.")</f>
        <v>La lance doit être tenue dans une position stable et horizontale « en garde » pour assurer un engagement sûr et équitable avec l'adversaire.</v>
      </c>
    </row>
    <row r="22" ht="22.5" customHeight="1">
      <c r="A22" s="3">
        <v>21.0</v>
      </c>
      <c r="B22" s="4" t="s">
        <v>89</v>
      </c>
      <c r="C22" s="4" t="s">
        <v>90</v>
      </c>
      <c r="D22" s="4" t="s">
        <v>91</v>
      </c>
      <c r="E22" s="4" t="s">
        <v>92</v>
      </c>
      <c r="G22" s="5" t="str">
        <f>IFERROR(__xludf.DUMMYFUNCTION("GOOGLETRANSLATE(A22, ""en"", ""fr"")"),"21")</f>
        <v>21</v>
      </c>
      <c r="H22" s="5" t="str">
        <f>IFERROR(__xludf.DUMMYFUNCTION("GOOGLETRANSLATE(B22, ""en"", ""fr"")"),"Quelle est la décision à prendre si un jouteur tombe, mais que l'on constate que la lance de son adversaire l'a touché au corps plutôt qu'au bouclier ?")</f>
        <v>Quelle est la décision à prendre si un jouteur tombe, mais que l'on constate que la lance de son adversaire l'a touché au corps plutôt qu'au bouclier ?</v>
      </c>
      <c r="I22" s="5" t="str">
        <f>IFERROR(__xludf.DUMMYFUNCTION("GOOGLETRANSLATE(C22, ""en"", ""fr"")"),"A) La chute est valide et l'adversaire remporte le duel. B) L'adversaire est disqualifié pour faute grave et le jouteur tombé remporte le duel. C) Le duel est rejoué. D) Les deux jouteurs sont disqualifiés.")</f>
        <v>A) La chute est valide et l'adversaire remporte le duel. B) L'adversaire est disqualifié pour faute grave et le jouteur tombé remporte le duel. C) Le duel est rejoué. D) Les deux jouteurs sont disqualifiés.</v>
      </c>
      <c r="J22" s="5" t="str">
        <f>IFERROR(__xludf.DUMMYFUNCTION("GOOGLETRANSLATE(D22, ""en"", ""fr"")"),"B) L'adversaire est disqualifié pour une faute dangereuse, et le jouteur tombé remporte le passage.")</f>
        <v>B) L'adversaire est disqualifié pour une faute dangereuse, et le jouteur tombé remporte le passage.</v>
      </c>
      <c r="K22" s="5" t="str">
        <f>IFERROR(__xludf.DUMMYFUNCTION("GOOGLETRANSLATE(E22, ""en"", ""fr"")"),"Un coup porté au corps constitue une faute grave. S'il provoque une chute, le joueur fautif est pénalisé et la victime remporte le match.")</f>
        <v>Un coup porté au corps constitue une faute grave. S'il provoque une chute, le joueur fautif est pénalisé et la victime remporte le match.</v>
      </c>
    </row>
    <row r="23" ht="22.5" customHeight="1">
      <c r="A23" s="3">
        <v>22.0</v>
      </c>
      <c r="B23" s="4" t="s">
        <v>93</v>
      </c>
      <c r="C23" s="4" t="s">
        <v>94</v>
      </c>
      <c r="D23" s="4" t="s">
        <v>95</v>
      </c>
      <c r="E23" s="4" t="s">
        <v>96</v>
      </c>
      <c r="G23" s="5" t="str">
        <f>IFERROR(__xludf.DUMMYFUNCTION("GOOGLETRANSLATE(A23, ""en"", ""fr"")"),"22")</f>
        <v>22</v>
      </c>
      <c r="H23" s="5" t="str">
        <f>IFERROR(__xludf.DUMMYFUNCTION("GOOGLETRANSLATE(B23, ""en"", ""fr"")"),"Un jouteur parvient à désarçonner son adversaire, mais ce faisant, son pied glisse hors de l'empreinte marquée sur la tintaine. Quelle est la décision ?")</f>
        <v>Un jouteur parvient à désarçonner son adversaire, mais ce faisant, son pied glisse hors de l'empreinte marquée sur la tintaine. Quelle est la décision ?</v>
      </c>
      <c r="I23" s="5" t="str">
        <f>IFERROR(__xludf.DUMMYFUNCTION("GOOGLETRANSLATE(C23, ""en"", ""fr"")"),"A) La victoire est valable. B) Il y a faute ; la passe est nulle et doit être rejouée. C) Le jouteur qui a glissé est disqualifié. D) Le point est attribué à l'adversaire.")</f>
        <v>A) La victoire est valable. B) Il y a faute ; la passe est nulle et doit être rejouée. C) Le jouteur qui a glissé est disqualifié. D) Le point est attribué à l'adversaire.</v>
      </c>
      <c r="J23" s="5" t="str">
        <f>IFERROR(__xludf.DUMMYFUNCTION("GOOGLETRANSLATE(D23, ""en"", ""fr"")"),"B) C'est une faute ; la passe est nulle et doit être rejouée.")</f>
        <v>B) C'est une faute ; la passe est nulle et doit être rejouée.</v>
      </c>
      <c r="K23" s="5" t="str">
        <f>IFERROR(__xludf.DUMMYFUNCTION("GOOGLETRANSLATE(E23, ""en"", ""fr"")"),"Pour être déclaré vainqueur, un jouteur doit respecter scrupuleusement les règles. Une faute de pied au moment de la victoire annule celle-ci.")</f>
        <v>Pour être déclaré vainqueur, un jouteur doit respecter scrupuleusement les règles. Une faute de pied au moment de la victoire annule celle-ci.</v>
      </c>
    </row>
    <row r="24" ht="22.5" customHeight="1">
      <c r="A24" s="3">
        <v>23.0</v>
      </c>
      <c r="B24" s="4" t="s">
        <v>97</v>
      </c>
      <c r="C24" s="4" t="s">
        <v>98</v>
      </c>
      <c r="D24" s="4" t="s">
        <v>99</v>
      </c>
      <c r="E24" s="4" t="s">
        <v>100</v>
      </c>
      <c r="G24" s="5" t="str">
        <f>IFERROR(__xludf.DUMMYFUNCTION("GOOGLETRANSLATE(A24, ""en"", ""fr"")"),"23")</f>
        <v>23</v>
      </c>
      <c r="H24" s="5" t="str">
        <f>IFERROR(__xludf.DUMMYFUNCTION("GOOGLETRANSLATE(B24, ""en"", ""fr"")"),"Lors d'une inspection d'avant-tournoi, le bateau d'une équipe s'avère plus léger que le poids minimum requis. Quelle en est la conséquence la plus probable ?")</f>
        <v>Lors d'une inspection d'avant-tournoi, le bateau d'une équipe s'avère plus léger que le poids minimum requis. Quelle en est la conséquence la plus probable ?</v>
      </c>
      <c r="I24" s="5" t="str">
        <f>IFERROR(__xludf.DUMMYFUNCTION("GOOGLETRANSLATE(C24, ""en"", ""fr"")"),"A) Ils sont autorisés à concourir avec le bateau le plus léger, B) Ils sont disqualifiés du tournoi, C) Ils doivent ajouter des poids au bateau pour atteindre le poids minimum requis, D) Ils reçoivent une pénalité d'un point à chaque match")</f>
        <v>A) Ils sont autorisés à concourir avec le bateau le plus léger, B) Ils sont disqualifiés du tournoi, C) Ils doivent ajouter des poids au bateau pour atteindre le poids minimum requis, D) Ils reçoivent une pénalité d'un point à chaque match</v>
      </c>
      <c r="J24" s="5" t="str">
        <f>IFERROR(__xludf.DUMMYFUNCTION("GOOGLETRANSLATE(D24, ""en"", ""fr"")"),"C) Ils doivent ajouter des poids au bateau pour satisfaire aux exigences minimales")</f>
        <v>C) Ils doivent ajouter des poids au bateau pour satisfaire aux exigences minimales</v>
      </c>
      <c r="K24" s="5" t="str">
        <f>IFERROR(__xludf.DUMMYFUNCTION("GOOGLETRANSLATE(E24, ""en"", ""fr"")"),"Avant toute disqualification, une équipe a généralement la possibilité de mettre son équipement en conformité avec le règlement.")</f>
        <v>Avant toute disqualification, une équipe a généralement la possibilité de mettre son équipement en conformité avec le règlement.</v>
      </c>
    </row>
    <row r="25" ht="22.5" customHeight="1">
      <c r="A25" s="3">
        <v>24.0</v>
      </c>
      <c r="B25" s="4" t="s">
        <v>101</v>
      </c>
      <c r="C25" s="4" t="s">
        <v>102</v>
      </c>
      <c r="D25" s="4" t="s">
        <v>103</v>
      </c>
      <c r="E25" s="4" t="s">
        <v>104</v>
      </c>
      <c r="G25" s="5" t="str">
        <f>IFERROR(__xludf.DUMMYFUNCTION("GOOGLETRANSLATE(A25, ""en"", ""fr"")"),"24")</f>
        <v>24</v>
      </c>
      <c r="H25" s="5" t="str">
        <f>IFERROR(__xludf.DUMMYFUNCTION("GOOGLETRANSLATE(B25, ""en"", ""fr"")"),"Un jouteur est pénalisé pour un coup de travers. Qu'est-ce que cela signifie ?")</f>
        <v>Un jouteur est pénalisé pour un coup de travers. Qu'est-ce que cela signifie ?</v>
      </c>
      <c r="I25" s="5" t="str">
        <f>IFERROR(__xludf.DUMMYFUNCTION("GOOGLETRANSLATE(C25, ""en"", ""fr"")"),"A) Ils ont frappé le bouclier d'un mouvement latéral et tranchant au lieu d'une poussée directe, B) Ils ont frappé le corps de l'adversaire, C) Ils ont touché le bateau, D) Ils ont cassé leur lance")</f>
        <v>A) Ils ont frappé le bouclier d'un mouvement latéral et tranchant au lieu d'une poussée directe, B) Ils ont frappé le corps de l'adversaire, C) Ils ont touché le bateau, D) Ils ont cassé leur lance</v>
      </c>
      <c r="J25" s="5" t="str">
        <f>IFERROR(__xludf.DUMMYFUNCTION("GOOGLETRANSLATE(D25, ""en"", ""fr"")"),"A) Ils ont frappé le bouclier avec un mouvement latéral et tranchant au lieu d'une poussée directe.")</f>
        <v>A) Ils ont frappé le bouclier avec un mouvement latéral et tranchant au lieu d'une poussée directe.</v>
      </c>
      <c r="K25" s="5" t="str">
        <f>IFERROR(__xludf.DUMMYFUNCTION("GOOGLETRANSLATE(E25, ""en"", ""fr"")"),"Le coup doit être une poussée directe vers l'avant. Un coup latéral ou circulaire est une technique illégale et constitue une faute.")</f>
        <v>Le coup doit être une poussée directe vers l'avant. Un coup latéral ou circulaire est une technique illégale et constitue une faute.</v>
      </c>
    </row>
    <row r="26" ht="22.5" customHeight="1">
      <c r="A26" s="3">
        <v>25.0</v>
      </c>
      <c r="B26" s="4" t="s">
        <v>105</v>
      </c>
      <c r="C26" s="4" t="s">
        <v>106</v>
      </c>
      <c r="D26" s="4" t="s">
        <v>107</v>
      </c>
      <c r="E26" s="4" t="s">
        <v>108</v>
      </c>
      <c r="G26" s="5" t="str">
        <f>IFERROR(__xludf.DUMMYFUNCTION("GOOGLETRANSLATE(A26, ""en"", ""fr"")"),"25")</f>
        <v>25</v>
      </c>
      <c r="H26" s="5" t="str">
        <f>IFERROR(__xludf.DUMMYFUNCTION("GOOGLETRANSLATE(B26, ""en"", ""fr"")"),"Un jouteur remporte le passage, mais l'arbitre déclare qu'il s'agit d'une « victoire administrative ». Que s'est-il probablement passé ?")</f>
        <v>Un jouteur remporte le passage, mais l'arbitre déclare qu'il s'agit d'une « victoire administrative ». Que s'est-il probablement passé ?</v>
      </c>
      <c r="I26" s="5" t="str">
        <f>IFERROR(__xludf.DUMMYFUNCTION("GOOGLETRANSLATE(C26, ""en"", ""fr"")"),"A) L'adversaire a été disqualifié pour faute avant le début de la joute. B) L'adversaire était le seul présent. C) L'adversaire s'est blessé lors d'un tour précédent. D) Le vainqueur a été choisi par le jury.")</f>
        <v>A) L'adversaire a été disqualifié pour faute avant le début de la joute. B) L'adversaire était le seul présent. C) L'adversaire s'est blessé lors d'un tour précédent. D) Le vainqueur a été choisi par le jury.</v>
      </c>
      <c r="J26" s="5" t="str">
        <f>IFERROR(__xludf.DUMMYFUNCTION("GOOGLETRANSLATE(D26, ""en"", ""fr"")"),"A) L'adversaire a été disqualifié pour faute avant le début de la joute.")</f>
        <v>A) L'adversaire a été disqualifié pour faute avant le début de la joute.</v>
      </c>
      <c r="K26" s="5" t="str">
        <f>IFERROR(__xludf.DUMMYFUNCTION("GOOGLETRANSLATE(E26, ""en"", ""fr"")"),"Une victoire administrative est accordée lorsque l'adversaire est disqualifié pour un motif de procédure (par exemple, faux départ, équipement non conforme) avant la fin du passage.")</f>
        <v>Une victoire administrative est accordée lorsque l'adversaire est disqualifié pour un motif de procédure (par exemple, faux départ, équipement non conforme) avant la fin du passage.</v>
      </c>
    </row>
    <row r="27" ht="22.5" customHeight="1">
      <c r="A27" s="3">
        <v>26.0</v>
      </c>
      <c r="B27" s="4" t="s">
        <v>109</v>
      </c>
      <c r="C27" s="4" t="s">
        <v>110</v>
      </c>
      <c r="D27" s="4" t="s">
        <v>111</v>
      </c>
      <c r="E27" s="4" t="s">
        <v>112</v>
      </c>
      <c r="G27" s="5" t="str">
        <f>IFERROR(__xludf.DUMMYFUNCTION("GOOGLETRANSLATE(A27, ""en"", ""fr"")"),"26")</f>
        <v>26</v>
      </c>
      <c r="H27" s="5" t="str">
        <f>IFERROR(__xludf.DUMMYFUNCTION("GOOGLETRANSLATE(B27, ""en"", ""fr"")"),"Pourquoi un jouteur doit-il garder le dos droit et la poitrine en avant pendant la passe ?")</f>
        <v>Pourquoi un jouteur doit-il garder le dos droit et la poitrine en avant pendant la passe ?</v>
      </c>
      <c r="I27" s="5" t="str">
        <f>IFERROR(__xludf.DUMMYFUNCTION("GOOGLETRANSLATE(C27, ""en"", ""fr"")"),"A) C'est pour des raisons esthétiques, B) C'est la position biomécanique la plus efficace pour absorber les chocs et transmettre la force, C) Cela les rend plus vulnérables, D) C'est une règle de bienséance")</f>
        <v>A) C'est pour des raisons esthétiques, B) C'est la position biomécanique la plus efficace pour absorber les chocs et transmettre la force, C) Cela les rend plus vulnérables, D) C'est une règle de bienséance</v>
      </c>
      <c r="J27" s="5" t="str">
        <f>IFERROR(__xludf.DUMMYFUNCTION("GOOGLETRANSLATE(D27, ""en"", ""fr"")"),"B) C'est la position biomécanique la plus efficace pour absorber les chocs et transmettre la force.")</f>
        <v>B) C'est la position biomécanique la plus efficace pour absorber les chocs et transmettre la force.</v>
      </c>
      <c r="K27" s="5" t="str">
        <f>IFERROR(__xludf.DUMMYFUNCTION("GOOGLETRANSLATE(E27, ""en"", ""fr"")"),"Cette posture classique est essentielle pour maintenir l'équilibre et canaliser toute la puissance du corps à travers la lance.")</f>
        <v>Cette posture classique est essentielle pour maintenir l'équilibre et canaliser toute la puissance du corps à travers la lance.</v>
      </c>
    </row>
    <row r="28" ht="22.5" customHeight="1">
      <c r="A28" s="3">
        <v>27.0</v>
      </c>
      <c r="B28" s="4" t="s">
        <v>113</v>
      </c>
      <c r="C28" s="4" t="s">
        <v>114</v>
      </c>
      <c r="D28" s="4" t="s">
        <v>115</v>
      </c>
      <c r="E28" s="4" t="s">
        <v>116</v>
      </c>
      <c r="G28" s="5" t="str">
        <f>IFERROR(__xludf.DUMMYFUNCTION("GOOGLETRANSLATE(A28, ""en"", ""fr"")"),"27")</f>
        <v>27</v>
      </c>
      <c r="H28" s="5" t="str">
        <f>IFERROR(__xludf.DUMMYFUNCTION("GOOGLETRANSLATE(B28, ""en"", ""fr"")"),"Un jouteur est pénalisé pour avoir les pieds levés. Qu'est-ce que cela signifie ?")</f>
        <v>Un jouteur est pénalisé pour avoir les pieds levés. Qu'est-ce que cela signifie ?</v>
      </c>
      <c r="I28" s="5" t="str">
        <f>IFERROR(__xludf.DUMMYFUNCTION("GOOGLETRANSLATE(C28, ""en"", ""fr"")"),"A) Ils ont complètement décollé les pieds de la tranchée lors de l'impact. B) Ils ne portaient pas les chaussures appropriées. C) Ils ont donné un coup de pied à leur adversaire. D) Ils ont sauté dans l'eau.")</f>
        <v>A) Ils ont complètement décollé les pieds de la tranchée lors de l'impact. B) Ils ne portaient pas les chaussures appropriées. C) Ils ont donné un coup de pied à leur adversaire. D) Ils ont sauté dans l'eau.</v>
      </c>
      <c r="J28" s="5" t="str">
        <f>IFERROR(__xludf.DUMMYFUNCTION("GOOGLETRANSLATE(D28, ""en"", ""fr"")"),"A) Ils ont complètement soulevé les pieds de la tôle lors de l'impact.")</f>
        <v>A) Ils ont complètement soulevé les pieds de la tôle lors de l'impact.</v>
      </c>
      <c r="K28" s="5" t="str">
        <f>IFERROR(__xludf.DUMMYFUNCTION("GOOGLETRANSLATE(E28, ""en"", ""fr"")"),"Un jouteur doit amortir le choc en gardant les pieds bien ancrés au sol. Lever les pieds de la plateforme au moment de l'impact constitue une faute.")</f>
        <v>Un jouteur doit amortir le choc en gardant les pieds bien ancrés au sol. Lever les pieds de la plateforme au moment de l'impact constitue une faute.</v>
      </c>
    </row>
    <row r="29" ht="22.5" customHeight="1">
      <c r="A29" s="3">
        <v>28.0</v>
      </c>
      <c r="B29" s="4" t="s">
        <v>117</v>
      </c>
      <c r="C29" s="4" t="s">
        <v>118</v>
      </c>
      <c r="D29" s="4" t="s">
        <v>119</v>
      </c>
      <c r="E29" s="4" t="s">
        <v>120</v>
      </c>
      <c r="G29" s="5" t="str">
        <f>IFERROR(__xludf.DUMMYFUNCTION("GOOGLETRANSLATE(A29, ""en"", ""fr"")"),"28")</f>
        <v>28</v>
      </c>
      <c r="H29" s="5" t="str">
        <f>IFERROR(__xludf.DUMMYFUNCTION("GOOGLETRANSLATE(B29, ""en"", ""fr"")"),"Pourquoi est-il de règle que les rameurs doivent cesser de ramer dès que les jouteurs entrent en contact ?")</f>
        <v>Pourquoi est-il de règle que les rameurs doivent cesser de ramer dès que les jouteurs entrent en contact ?</v>
      </c>
      <c r="I29" s="5" t="str">
        <f>IFERROR(__xludf.DUMMYFUNCTION("GOOGLETRANSLATE(C29, ""en"", ""fr"")"),"A) Pour économiser de l'énergie, B) Pour éviter que le bateau ne s'écrase contre le quai, C) Pour que l'issue du duel soit déterminée par le duel lui-même et non par la poussée continue des rameurs, D) Ce n'est pas une règle")</f>
        <v>A) Pour économiser de l'énergie, B) Pour éviter que le bateau ne s'écrase contre le quai, C) Pour que l'issue du duel soit déterminée par le duel lui-même et non par la poussée continue des rameurs, D) Ce n'est pas une règle</v>
      </c>
      <c r="J29" s="5" t="str">
        <f>IFERROR(__xludf.DUMMYFUNCTION("GOOGLETRANSLATE(D29, ""en"", ""fr"")"),"C) Pour que l'issue du duel soit déterminée par la joute elle-même, et non par la poussée continue des rameurs")</f>
        <v>C) Pour que l'issue du duel soit déterminée par la joute elle-même, et non par la poussée continue des rameurs</v>
      </c>
      <c r="K29" s="5" t="str">
        <f>IFERROR(__xludf.DUMMYFUNCTION("GOOGLETRANSLATE(E29, ""en"", ""fr"")"),"Les rameurs fournissent l'élan initial, mais le résultat de la passe dépend de l'habileté et de la force des jouteurs au moment de l'impact.")</f>
        <v>Les rameurs fournissent l'élan initial, mais le résultat de la passe dépend de l'habileté et de la force des jouteurs au moment de l'impact.</v>
      </c>
    </row>
    <row r="30" ht="22.5" customHeight="1">
      <c r="A30" s="3">
        <v>29.0</v>
      </c>
      <c r="B30" s="4" t="s">
        <v>121</v>
      </c>
      <c r="C30" s="4" t="s">
        <v>122</v>
      </c>
      <c r="D30" s="4" t="s">
        <v>123</v>
      </c>
      <c r="E30" s="4" t="s">
        <v>124</v>
      </c>
      <c r="G30" s="5" t="str">
        <f>IFERROR(__xludf.DUMMYFUNCTION("GOOGLETRANSLATE(A30, ""en"", ""fr"")"),"29")</f>
        <v>29</v>
      </c>
      <c r="H30" s="5" t="str">
        <f>IFERROR(__xludf.DUMMYFUNCTION("GOOGLETRANSLATE(B30, ""en"", ""fr"")"),"Un jouteur est surpris à porter un gilet lesté sous son uniforme. Quelle en est la conséquence ?")</f>
        <v>Un jouteur est surpris à porter un gilet lesté sous son uniforme. Quelle en est la conséquence ?</v>
      </c>
      <c r="I30" s="5" t="str">
        <f>IFERROR(__xludf.DUMMYFUNCTION("GOOGLETRANSLATE(C30, ""en"", ""fr"")"),"A) Ils sont autorisés à participer, B) Ils sont disqualifiés pour tricherie, C) Ils sont transférés dans une catégorie de poids supérieure, D) Ils reçoivent un avertissement")</f>
        <v>A) Ils sont autorisés à participer, B) Ils sont disqualifiés pour tricherie, C) Ils sont transférés dans une catégorie de poids supérieure, D) Ils reçoivent un avertissement</v>
      </c>
      <c r="J30" s="5" t="str">
        <f>IFERROR(__xludf.DUMMYFUNCTION("GOOGLETRANSLATE(D30, ""en"", ""fr"")"),"B) Ils sont disqualifiés pour tricherie")</f>
        <v>B) Ils sont disqualifiés pour tricherie</v>
      </c>
      <c r="K30" s="5" t="str">
        <f>IFERROR(__xludf.DUMMYFUNCTION("GOOGLETRANSLATE(E30, ""en"", ""fr"")"),"Modifier artificiellement son poids pour obtenir un avantage dans une catégorie spécifique constitue une violation grave du règlement.")</f>
        <v>Modifier artificiellement son poids pour obtenir un avantage dans une catégorie spécifique constitue une violation grave du règlement.</v>
      </c>
    </row>
    <row r="31" ht="22.5" customHeight="1">
      <c r="A31" s="3">
        <v>30.0</v>
      </c>
      <c r="B31" s="4" t="s">
        <v>125</v>
      </c>
      <c r="C31" s="4" t="s">
        <v>126</v>
      </c>
      <c r="D31" s="4" t="s">
        <v>127</v>
      </c>
      <c r="E31" s="4" t="s">
        <v>128</v>
      </c>
      <c r="G31" s="5" t="str">
        <f>IFERROR(__xludf.DUMMYFUNCTION("GOOGLETRANSLATE(A31, ""en"", ""fr"")"),"30")</f>
        <v>30</v>
      </c>
      <c r="H31" s="5" t="str">
        <f>IFERROR(__xludf.DUMMYFUNCTION("GOOGLETRANSLATE(B31, ""en"", ""fr"")"),"Quelle est la décision à prendre si la lance brisée d'un jouteur heurte un spectateur ?")</f>
        <v>Quelle est la décision à prendre si la lance brisée d'un jouteur heurte un spectateur ?</v>
      </c>
      <c r="I31" s="5" t="str">
        <f>IFERROR(__xludf.DUMMYFUNCTION("GOOGLETRANSLATE(C31, ""en"", ""fr"")"),"A) Le jouteur est disqualifié. B) Le match est immédiatement arrêté et des soins médicaux sont prodigués. C) Le spectateur est en faute pour s'être approché trop près. D) Le match continue.")</f>
        <v>A) Le jouteur est disqualifié. B) Le match est immédiatement arrêté et des soins médicaux sont prodigués. C) Le spectateur est en faute pour s'être approché trop près. D) Le match continue.</v>
      </c>
      <c r="J31" s="5" t="str">
        <f>IFERROR(__xludf.DUMMYFUNCTION("GOOGLETRANSLATE(D31, ""en"", ""fr"")"),"B) Le match est immédiatement arrêté et une assistance médicale est fournie.")</f>
        <v>B) Le match est immédiatement arrêté et une assistance médicale est fournie.</v>
      </c>
      <c r="K31" s="5" t="str">
        <f>IFERROR(__xludf.DUMMYFUNCTION("GOOGLETRANSLATE(E31, ""en"", ""fr"")"),"La sécurité du public est une préoccupation primordiale, et tout incident de ce type nécessiterait l'arrêt immédiat de la compétition.")</f>
        <v>La sécurité du public est une préoccupation primordiale, et tout incident de ce type nécessiterait l'arrêt immédiat de la compétition.</v>
      </c>
    </row>
    <row r="32" ht="22.5" customHeight="1">
      <c r="A32" s="3">
        <v>31.0</v>
      </c>
      <c r="B32" s="4" t="s">
        <v>129</v>
      </c>
      <c r="C32" s="4" t="s">
        <v>130</v>
      </c>
      <c r="D32" s="4" t="s">
        <v>131</v>
      </c>
      <c r="E32" s="4" t="s">
        <v>132</v>
      </c>
      <c r="G32" s="5" t="str">
        <f>IFERROR(__xludf.DUMMYFUNCTION("GOOGLETRANSLATE(A32, ""en"", ""fr"")"),"31")</f>
        <v>31</v>
      </c>
      <c r="H32" s="5" t="str">
        <f>IFERROR(__xludf.DUMMYFUNCTION("GOOGLETRANSLATE(B32, ""en"", ""fr"")"),"Dans la méthode lyonnaise, les bateaux sont propulsés par un moteur électrique. Qui contrôle la vitesse du bateau ?")</f>
        <v>Dans la méthode lyonnaise, les bateaux sont propulsés par un moteur électrique. Qui contrôle la vitesse du bateau ?</v>
      </c>
      <c r="I32" s="5" t="str">
        <f>IFERROR(__xludf.DUMMYFUNCTION("GOOGLETRANSLATE(C32, ""en"", ""fr"")"),"A) Le jouteur, B) Le timonier (patron), C) Un opérateur dédié au moteur, D) Il est réglé à une vitesse constante")</f>
        <v>A) Le jouteur, B) Le timonier (patron), C) Un opérateur dédié au moteur, D) Il est réglé à une vitesse constante</v>
      </c>
      <c r="J32" s="5" t="str">
        <f>IFERROR(__xludf.DUMMYFUNCTION("GOOGLETRANSLATE(D32, ""en"", ""fr"")"),"C) Un opérateur dédié au moteur")</f>
        <v>C) Un opérateur dédié au moteur</v>
      </c>
      <c r="K32" s="5" t="str">
        <f>IFERROR(__xludf.DUMMYFUNCTION("GOOGLETRANSLATE(E32, ""en"", ""fr"")"),"Dans cette version moderne, un spécialiste à bord est chargé de gérer le moteur afin d'assurer la vitesse et le timing corrects pour le passage.")</f>
        <v>Dans cette version moderne, un spécialiste à bord est chargé de gérer le moteur afin d'assurer la vitesse et le timing corrects pour le passage.</v>
      </c>
    </row>
    <row r="33" ht="22.5" customHeight="1">
      <c r="A33" s="3">
        <v>32.0</v>
      </c>
      <c r="B33" s="4" t="s">
        <v>133</v>
      </c>
      <c r="C33" s="4" t="s">
        <v>134</v>
      </c>
      <c r="D33" s="4" t="s">
        <v>135</v>
      </c>
      <c r="E33" s="4" t="s">
        <v>136</v>
      </c>
      <c r="G33" s="5" t="str">
        <f>IFERROR(__xludf.DUMMYFUNCTION("GOOGLETRANSLATE(A33, ""en"", ""fr"")"),"32")</f>
        <v>32</v>
      </c>
      <c r="H33" s="5" t="str">
        <f>IFERROR(__xludf.DUMMYFUNCTION("GOOGLETRANSLATE(B33, ""en"", ""fr"")"),"Un jouteur est disqualifié s'il porte un « pavois non conforme ». Quel est le problème ?")</f>
        <v>Un jouteur est disqualifié s'il porte un « pavois non conforme ». Quel est le problème ?</v>
      </c>
      <c r="I33" s="5" t="str">
        <f>IFERROR(__xludf.DUMMYFUNCTION("GOOGLETRANSLATE(C33, ""en"", ""fr"")"),"A) Sa couleur est inappropriée, B) Il est trop lourd ou possède une surface illégale conçue pour repousser la lance, C) Il est trop vieux, D) Il n'est pas décoré")</f>
        <v>A) Sa couleur est inappropriée, B) Il est trop lourd ou possède une surface illégale conçue pour repousser la lance, C) Il est trop vieux, D) Il n'est pas décoré</v>
      </c>
      <c r="J33" s="5" t="str">
        <f>IFERROR(__xludf.DUMMYFUNCTION("GOOGLETRANSLATE(D33, ""en"", ""fr"")"),"B) Il est trop lourd ou possède une surface illégale conçue pour repousser la lance")</f>
        <v>B) Il est trop lourd ou possède une surface illégale conçue pour repousser la lance</v>
      </c>
      <c r="K33" s="5" t="str">
        <f>IFERROR(__xludf.DUMMYFUNCTION("GOOGLETRANSLATE(E33, ""en"", ""fr"")"),"Le bouclier doit répondre à des spécifications strictes en matière de dimensions, de poids et de matériau afin de garantir un combat équitable pour les deux jouteurs.")</f>
        <v>Le bouclier doit répondre à des spécifications strictes en matière de dimensions, de poids et de matériau afin de garantir un combat équitable pour les deux jouteurs.</v>
      </c>
    </row>
    <row r="34" ht="22.5" customHeight="1">
      <c r="A34" s="3">
        <v>33.0</v>
      </c>
      <c r="B34" s="4" t="s">
        <v>137</v>
      </c>
      <c r="C34" s="4" t="s">
        <v>138</v>
      </c>
      <c r="D34" s="4" t="s">
        <v>139</v>
      </c>
      <c r="E34" s="4" t="s">
        <v>140</v>
      </c>
      <c r="G34" s="5" t="str">
        <f>IFERROR(__xludf.DUMMYFUNCTION("GOOGLETRANSLATE(A34, ""en"", ""fr"")"),"33")</f>
        <v>33</v>
      </c>
      <c r="H34" s="5" t="str">
        <f>IFERROR(__xludf.DUMMYFUNCTION("GOOGLETRANSLATE(B34, ""en"", ""fr"")"),"Quelle est la principale caractéristique de la méthode de joute « Givordine » ?")</f>
        <v>Quelle est la principale caractéristique de la méthode de joute « Givordine » ?</v>
      </c>
      <c r="I34" s="5" t="str">
        <f>IFERROR(__xludf.DUMMYFUNCTION("GOOGLETRANSLATE(C34, ""en"", ""fr"")"),"A) Les bateaux se croisent par la gauche, B) Les jouteurs sont assis, C) Les bateaux sont propulsés par un système de câbles, D) Il s'agit d'une version sans contact de ce sport")</f>
        <v>A) Les bateaux se croisent par la gauche, B) Les jouteurs sont assis, C) Les bateaux sont propulsés par un système de câbles, D) Il s'agit d'une version sans contact de ce sport</v>
      </c>
      <c r="J34" s="5" t="str">
        <f>IFERROR(__xludf.DUMMYFUNCTION("GOOGLETRANSLATE(D34, ""en"", ""fr"")"),"A) Les bateaux se croisent par la gauche.")</f>
        <v>A) Les bateaux se croisent par la gauche.</v>
      </c>
      <c r="K34" s="5" t="str">
        <f>IFERROR(__xludf.DUMMYFUNCTION("GOOGLETRANSLATE(E34, ""en"", ""fr"")"),"C’est là la règle distinctive clé du style Givors, par opposition au style Sète où les bateaux doivent passer par la droite.")</f>
        <v>C’est là la règle distinctive clé du style Givors, par opposition au style Sète où les bateaux doivent passer par la droite.</v>
      </c>
    </row>
    <row r="35" ht="22.5" customHeight="1">
      <c r="A35" s="3">
        <v>34.0</v>
      </c>
      <c r="B35" s="4" t="s">
        <v>141</v>
      </c>
      <c r="C35" s="4" t="s">
        <v>142</v>
      </c>
      <c r="D35" s="4" t="s">
        <v>143</v>
      </c>
      <c r="E35" s="4" t="s">
        <v>144</v>
      </c>
      <c r="G35" s="5" t="str">
        <f>IFERROR(__xludf.DUMMYFUNCTION("GOOGLETRANSLATE(A35, ""en"", ""fr"")"),"34")</f>
        <v>34</v>
      </c>
      <c r="H35" s="5" t="str">
        <f>IFERROR(__xludf.DUMMYFUNCTION("GOOGLETRANSLATE(B35, ""en"", ""fr"")"),"Un jouteur est pénalisé pour ne pas avoir salué le jury après une passe gagnante. Cette décision est-elle justifiée ?")</f>
        <v>Un jouteur est pénalisé pour ne pas avoir salué le jury après une passe gagnante. Cette décision est-elle justifiée ?</v>
      </c>
      <c r="I35" s="5" t="str">
        <f>IFERROR(__xludf.DUMMYFUNCTION("GOOGLETRANSLATE(C35, ""en"", ""fr"")"),"A) Non, saluer est facultatif. B) Oui, le respect des règles de bienséance et les salutations font partie intégrante du règlement officiel. C) Uniquement si le jury s'y oppose. D) Uniquement lors de la finale.")</f>
        <v>A) Non, saluer est facultatif. B) Oui, le respect des règles de bienséance et les salutations font partie intégrante du règlement officiel. C) Uniquement si le jury s'y oppose. D) Uniquement lors de la finale.</v>
      </c>
      <c r="J35" s="5" t="str">
        <f>IFERROR(__xludf.DUMMYFUNCTION("GOOGLETRANSLATE(D35, ""en"", ""fr"")"),"B) Oui, le respect des règles de bienséance et des salutations est une composante obligatoire du règlement officiel.")</f>
        <v>B) Oui, le respect des règles de bienséance et des salutations est une composante obligatoire du règlement officiel.</v>
      </c>
      <c r="K35" s="5" t="str">
        <f>IFERROR(__xludf.DUMMYFUNCTION("GOOGLETRANSLATE(E35, ""en"", ""fr"")"),"L'esprit sportif et le respect des officiels sont inscrits dans le règlement, et le fait de ne pas saluer constitue une infraction punissable.")</f>
        <v>L'esprit sportif et le respect des officiels sont inscrits dans le règlement, et le fait de ne pas saluer constitue une infraction punissable.</v>
      </c>
    </row>
    <row r="36" ht="22.5" customHeight="1">
      <c r="A36" s="3">
        <v>35.0</v>
      </c>
      <c r="B36" s="4" t="s">
        <v>145</v>
      </c>
      <c r="C36" s="4" t="s">
        <v>146</v>
      </c>
      <c r="D36" s="4" t="s">
        <v>147</v>
      </c>
      <c r="E36" s="4" t="s">
        <v>148</v>
      </c>
      <c r="G36" s="5" t="str">
        <f>IFERROR(__xludf.DUMMYFUNCTION("GOOGLETRANSLATE(A36, ""en"", ""fr"")"),"35")</f>
        <v>35</v>
      </c>
      <c r="H36" s="5" t="str">
        <f>IFERROR(__xludf.DUMMYFUNCTION("GOOGLETRANSLATE(B36, ""en"", ""fr"")"),"Un jouteur est touché et tombe. La lance de son adversaire a une pointe plus acérée que la norme. Quelle est la décision ?")</f>
        <v>Un jouteur est touché et tombe. La lance de son adversaire a une pointe plus acérée que la norme. Quelle est la décision ?</v>
      </c>
      <c r="I36" s="5" t="str">
        <f>IFERROR(__xludf.DUMMYFUNCTION("GOOGLETRANSLATE(C36, ""en"", ""fr"")"),"A) La chute est valide. B) L'adversaire est disqualifié pour équipement non conforme et la passe est accordée au jouteur tombé. C) La passe est rejouée avec une lance conforme. D) L'adversaire reçoit un avertissement.")</f>
        <v>A) La chute est valide. B) L'adversaire est disqualifié pour équipement non conforme et la passe est accordée au jouteur tombé. C) La passe est rejouée avec une lance conforme. D) L'adversaire reçoit un avertissement.</v>
      </c>
      <c r="J36" s="5" t="str">
        <f>IFERROR(__xludf.DUMMYFUNCTION("GOOGLETRANSLATE(D36, ""en"", ""fr"")"),"B) L'adversaire est disqualifié pour équipement non conforme, et le passage est attribué au jouteur déchu.")</f>
        <v>B) L'adversaire est disqualifié pour équipement non conforme, et le passage est attribué au jouteur déchu.</v>
      </c>
      <c r="K36" s="5" t="str">
        <f>IFERROR(__xludf.DUMMYFUNCTION("GOOGLETRANSLATE(E36, ""en"", ""fr"")"),"L'utilisation d'une arme illégalement affûtée ou modifiée constitue une violation majeure des règles de sécurité et entraîne la disqualification.")</f>
        <v>L'utilisation d'une arme illégalement affûtée ou modifiée constitue une violation majeure des règles de sécurité et entraîne la disqualification.</v>
      </c>
    </row>
    <row r="37" ht="22.5" customHeight="1">
      <c r="A37" s="3">
        <v>36.0</v>
      </c>
      <c r="B37" s="4" t="s">
        <v>149</v>
      </c>
      <c r="C37" s="4" t="s">
        <v>150</v>
      </c>
      <c r="D37" s="4" t="s">
        <v>151</v>
      </c>
      <c r="E37" s="4" t="s">
        <v>152</v>
      </c>
      <c r="G37" s="5" t="str">
        <f>IFERROR(__xludf.DUMMYFUNCTION("GOOGLETRANSLATE(A37, ""en"", ""fr"")"),"36")</f>
        <v>36</v>
      </c>
      <c r="H37" s="5" t="str">
        <f>IFERROR(__xludf.DUMMYFUNCTION("GOOGLETRANSLATE(B37, ""en"", ""fr"")"),"L'arbitre déclare la passe « nulle ». Que s'est-il passé ?")</f>
        <v>L'arbitre déclare la passe « nulle ». Que s'est-il passé ?</v>
      </c>
      <c r="I37" s="5" t="str">
        <f>IFERROR(__xludf.DUMMYFUNCTION("GOOGLETRANSLATE(C37, ""en"", ""fr"")"),"A) Un joueur est tombé, B) Les deux joueurs sont tombés, C) Un obstacle extérieur majeur (par exemple, le passage d'un bateau de spectateur) a rendu la passe dangereuse ou impossible, D) Un joueur a cassé sa lance")</f>
        <v>A) Un joueur est tombé, B) Les deux joueurs sont tombés, C) Un obstacle extérieur majeur (par exemple, le passage d'un bateau de spectateur) a rendu la passe dangereuse ou impossible, D) Un joueur a cassé sa lance</v>
      </c>
      <c r="J37" s="5" t="str">
        <f>IFERROR(__xludf.DUMMYFUNCTION("GOOGLETRANSLATE(D37, ""en"", ""fr"")"),"C) Une perturbation extérieure majeure (par exemple, le passage d'un bateau de spectateur) a rendu le passage dangereux ou impossible.")</f>
        <v>C) Une perturbation extérieure majeure (par exemple, le passage d'un bateau de spectateur) a rendu le passage dangereux ou impossible.</v>
      </c>
      <c r="K37" s="5" t="str">
        <f>IFERROR(__xludf.DUMMYFUNCTION("GOOGLETRANSLATE(E37, ""en"", ""fr"")"),"Si une situation indépendante de la volonté des jouteurs empêche une passe régulière, l'arbitre peut la déclarer nulle et ordonner une nouvelle exécution.")</f>
        <v>Si une situation indépendante de la volonté des jouteurs empêche une passe régulière, l'arbitre peut la déclarer nulle et ordonner une nouvelle exécution.</v>
      </c>
    </row>
    <row r="38" ht="22.5" customHeight="1">
      <c r="A38" s="3">
        <v>37.0</v>
      </c>
      <c r="B38" s="4" t="s">
        <v>153</v>
      </c>
      <c r="C38" s="4" t="s">
        <v>154</v>
      </c>
      <c r="D38" s="4" t="s">
        <v>155</v>
      </c>
      <c r="E38" s="4" t="s">
        <v>156</v>
      </c>
      <c r="G38" s="5" t="str">
        <f>IFERROR(__xludf.DUMMYFUNCTION("GOOGLETRANSLATE(A38, ""en"", ""fr"")"),"37")</f>
        <v>37</v>
      </c>
      <c r="H38" s="5" t="str">
        <f>IFERROR(__xludf.DUMMYFUNCTION("GOOGLETRANSLATE(B38, ""en"", ""fr"")"),"Un jouteur est averti pour avoir utilisé son bouclier afin de frapper la lance de son adversaire. Pourquoi cela constitue-t-il une faute ?")</f>
        <v>Un jouteur est averti pour avoir utilisé son bouclier afin de frapper la lance de son adversaire. Pourquoi cela constitue-t-il une faute ?</v>
      </c>
      <c r="I38" s="5" t="str">
        <f>IFERROR(__xludf.DUMMYFUNCTION("GOOGLETRANSLATE(C38, ""en"", ""fr"")"),"A) Ce n'est pas une faute, B) Cela peut endommager la lance de l'adversaire, C) Le bouclier est uniquement destiné à la défense ; il ne peut pas être utilisé comme une arme offensive, D) C'est considéré comme un manque de fair-play.")</f>
        <v>A) Ce n'est pas une faute, B) Cela peut endommager la lance de l'adversaire, C) Le bouclier est uniquement destiné à la défense ; il ne peut pas être utilisé comme une arme offensive, D) C'est considéré comme un manque de fair-play.</v>
      </c>
      <c r="J38" s="5" t="str">
        <f>IFERROR(__xludf.DUMMYFUNCTION("GOOGLETRANSLATE(D38, ""en"", ""fr"")"),"C) Le bouclier est uniquement destiné à la défense ; il ne peut être utilisé comme une arme offensive.")</f>
        <v>C) Le bouclier est uniquement destiné à la défense ; il ne peut être utilisé comme une arme offensive.</v>
      </c>
      <c r="K38" s="5" t="str">
        <f>IFERROR(__xludf.DUMMYFUNCTION("GOOGLETRANSLATE(E38, ""en"", ""fr"")"),"Un jouteur ne peut pas utiliser son bouclier pour frapper activement la lance de son adversaire ou interférer avec elle ; il ne peut l'utiliser que pour encaisser le coup.")</f>
        <v>Un jouteur ne peut pas utiliser son bouclier pour frapper activement la lance de son adversaire ou interférer avec elle ; il ne peut l'utiliser que pour encaisser le coup.</v>
      </c>
    </row>
    <row r="39" ht="22.5" customHeight="1">
      <c r="A39" s="3">
        <v>38.0</v>
      </c>
      <c r="B39" s="4" t="s">
        <v>157</v>
      </c>
      <c r="C39" s="4" t="s">
        <v>158</v>
      </c>
      <c r="D39" s="4" t="s">
        <v>159</v>
      </c>
      <c r="E39" s="4" t="s">
        <v>160</v>
      </c>
      <c r="G39" s="5" t="str">
        <f>IFERROR(__xludf.DUMMYFUNCTION("GOOGLETRANSLATE(A39, ""en"", ""fr"")"),"38")</f>
        <v>38</v>
      </c>
      <c r="H39" s="5" t="str">
        <f>IFERROR(__xludf.DUMMYFUNCTION("GOOGLETRANSLATE(B39, ""en"", ""fr"")"),"Quel est le rôle principal du « délégué » de la Fédération lors d'un tournoi majeur ?")</f>
        <v>Quel est le rôle principal du « délégué » de la Fédération lors d'un tournoi majeur ?</v>
      </c>
      <c r="I39" s="5" t="str">
        <f>IFERROR(__xludf.DUMMYFUNCTION("GOOGLETRANSLATE(C39, ""en"", ""fr"")"),"A) Être l'arbitre principal, B) Agir en tant qu'autorité suprême, en veillant à la bonne application de toutes les règles ITPF/FFJSN, C) Être le marqueur officiel, D) Être l'organisateur de l'événement")</f>
        <v>A) Être l'arbitre principal, B) Agir en tant qu'autorité suprême, en veillant à la bonne application de toutes les règles ITPF/FFJSN, C) Être le marqueur officiel, D) Être l'organisateur de l'événement</v>
      </c>
      <c r="J39" s="5" t="str">
        <f>IFERROR(__xludf.DUMMYFUNCTION("GOOGLETRANSLATE(D39, ""en"", ""fr"")"),"B) Agir en tant qu'autorité suprême, en veillant à la bonne application de toutes les règles ITPF/FFJSN")</f>
        <v>B) Agir en tant qu'autorité suprême, en veillant à la bonne application de toutes les règles ITPF/FFJSN</v>
      </c>
      <c r="K39" s="5" t="str">
        <f>IFERROR(__xludf.DUMMYFUNCTION("GOOGLETRANSLATE(E39, ""en"", ""fr"")"),"Le délégué de la Fédération est le plus haut responsable, chargé de superviser l'ensemble de l'événement et de statuer sur les manifestations majeures.")</f>
        <v>Le délégué de la Fédération est le plus haut responsable, chargé de superviser l'ensemble de l'événement et de statuer sur les manifestations majeures.</v>
      </c>
    </row>
    <row r="40" ht="22.5" customHeight="1">
      <c r="A40" s="3">
        <v>39.0</v>
      </c>
      <c r="B40" s="4" t="s">
        <v>161</v>
      </c>
      <c r="C40" s="4" t="s">
        <v>162</v>
      </c>
      <c r="D40" s="4" t="s">
        <v>163</v>
      </c>
      <c r="E40" s="4" t="s">
        <v>164</v>
      </c>
      <c r="G40" s="5" t="str">
        <f>IFERROR(__xludf.DUMMYFUNCTION("GOOGLETRANSLATE(A40, ""en"", ""fr"")"),"39")</f>
        <v>39</v>
      </c>
      <c r="H40" s="5" t="str">
        <f>IFERROR(__xludf.DUMMYFUNCTION("GOOGLETRANSLATE(B40, ""en"", ""fr"")"),"Un jouteur est surpris à concourir dans une catégorie de poids inférieure à son poids réel. Quelle en est la conséquence ?")</f>
        <v>Un jouteur est surpris à concourir dans une catégorie de poids inférieure à son poids réel. Quelle en est la conséquence ?</v>
      </c>
      <c r="I40" s="5" t="str">
        <f>IFERROR(__xludf.DUMMYFUNCTION("GOOGLETRANSLATE(C40, ""en"", ""fr"")"),"A) Ils sont transférés dans la classe appropriée, B) Ils sont disqualifiés du tournoi pour tricherie, C) Ils sont autorisés à continuer avec une pénalité, D) Le résultat de leur dernière passe est annulé")</f>
        <v>A) Ils sont transférés dans la classe appropriée, B) Ils sont disqualifiés du tournoi pour tricherie, C) Ils sont autorisés à continuer avec une pénalité, D) Le résultat de leur dernière passe est annulé</v>
      </c>
      <c r="J40" s="5" t="str">
        <f>IFERROR(__xludf.DUMMYFUNCTION("GOOGLETRANSLATE(D40, ""en"", ""fr"")"),"B) Ils sont disqualifiés du tournoi pour tricherie.")</f>
        <v>B) Ils sont disqualifiés du tournoi pour tricherie.</v>
      </c>
      <c r="K40" s="5" t="str">
        <f>IFERROR(__xludf.DUMMYFUNCTION("GOOGLETRANSLATE(E40, ""en"", ""fr"")"),"Le respect du poids requis est une règle fondamentale des sports à catégories. Concourir dans la mauvaise catégorie constitue une infraction grave.")</f>
        <v>Le respect du poids requis est une règle fondamentale des sports à catégories. Concourir dans la mauvaise catégorie constitue une infraction grave.</v>
      </c>
    </row>
    <row r="41" ht="22.5" customHeight="1">
      <c r="A41" s="3">
        <v>40.0</v>
      </c>
      <c r="B41" s="4" t="s">
        <v>165</v>
      </c>
      <c r="C41" s="4" t="s">
        <v>166</v>
      </c>
      <c r="D41" s="4" t="s">
        <v>167</v>
      </c>
      <c r="E41" s="4" t="s">
        <v>168</v>
      </c>
      <c r="G41" s="5" t="str">
        <f>IFERROR(__xludf.DUMMYFUNCTION("GOOGLETRANSLATE(A41, ""en"", ""fr"")"),"40")</f>
        <v>40</v>
      </c>
      <c r="H41" s="5" t="str">
        <f>IFERROR(__xludf.DUMMYFUNCTION("GOOGLETRANSLATE(B41, ""en"", ""fr"")"),"Lors d'une épreuve par équipes, le score final est à égalité. Les deux équipes décident de partager la victoire. Est-ce autorisé ?")</f>
        <v>Lors d'une épreuve par équipes, le score final est à égalité. Les deux équipes décident de partager la victoire. Est-ce autorisé ?</v>
      </c>
      <c r="I41" s="5" t="str">
        <f>IFERROR(__xludf.DUMMYFUNCTION("GOOGLETRANSLATE(C41, ""en"", ""fr"")"),"A) Oui, d'un commun accord. B) Non, un barrage ou une manche décisive doit être organisé. C) Uniquement si le jury est d'accord. D) Uniquement lors d'un match amical.")</f>
        <v>A) Oui, d'un commun accord. B) Non, un barrage ou une manche décisive doit être organisé. C) Uniquement si le jury est d'accord. D) Uniquement lors d'un match amical.</v>
      </c>
      <c r="J41" s="5" t="str">
        <f>IFERROR(__xludf.DUMMYFUNCTION("GOOGLETRANSLATE(D41, ""en"", ""fr"")"),"B) Non, un passage de départage doit être effectué.")</f>
        <v>B) Non, un passage de départage doit être effectué.</v>
      </c>
      <c r="K41" s="5" t="str">
        <f>IFERROR(__xludf.DUMMYFUNCTION("GOOGLETRANSLATE(E41, ""en"", ""fr"")"),"Dans un tournoi officiel, un vainqueur clair doit être désigné pour chaque match, et un match de départage est une procédure obligatoire.")</f>
        <v>Dans un tournoi officiel, un vainqueur clair doit être désigné pour chaque match, et un match de départage est une procédure obligatoire.</v>
      </c>
    </row>
    <row r="42" ht="22.5" customHeight="1">
      <c r="A42" s="3">
        <v>41.0</v>
      </c>
      <c r="B42" s="4" t="s">
        <v>169</v>
      </c>
      <c r="C42" s="4" t="s">
        <v>170</v>
      </c>
      <c r="D42" s="4" t="s">
        <v>171</v>
      </c>
      <c r="E42" s="4" t="s">
        <v>172</v>
      </c>
      <c r="G42" s="5" t="str">
        <f>IFERROR(__xludf.DUMMYFUNCTION("GOOGLETRANSLATE(A42, ""en"", ""fr"")"),"41")</f>
        <v>41</v>
      </c>
      <c r="H42" s="5" t="str">
        <f>IFERROR(__xludf.DUMMYFUNCTION("GOOGLETRANSLATE(B42, ""en"", ""fr"")"),"Un jouteur tient sa lance en position de « garde haute », la pointe dirigée vers le haut. Pourquoi est-ce une faute ?")</f>
        <v>Un jouteur tient sa lance en position de « garde haute », la pointe dirigée vers le haut. Pourquoi est-ce une faute ?</v>
      </c>
      <c r="I42" s="5" t="str">
        <f>IFERROR(__xludf.DUMMYFUNCTION("GOOGLETRANSLATE(C42, ""en"", ""fr"")"),"A) C'est un signe d'irrespect, B) C'est une violation des règles de sécurité, car cela crée un risque de frapper la tête de l'adversaire, C) Cela rend la lance plus difficile à contrôler, D) Ce n'est pas une faute")</f>
        <v>A) C'est un signe d'irrespect, B) C'est une violation des règles de sécurité, car cela crée un risque de frapper la tête de l'adversaire, C) Cela rend la lance plus difficile à contrôler, D) Ce n'est pas une faute</v>
      </c>
      <c r="J42" s="5" t="str">
        <f>IFERROR(__xludf.DUMMYFUNCTION("GOOGLETRANSLATE(D42, ""en"", ""fr"")"),"B) Il s'agit d'une infraction aux règles de sécurité, car elle crée un risque de heurter la tête de l'adversaire.")</f>
        <v>B) Il s'agit d'une infraction aux règles de sécurité, car elle crée un risque de heurter la tête de l'adversaire.</v>
      </c>
      <c r="K42" s="5" t="str">
        <f>IFERROR(__xludf.DUMMYFUNCTION("GOOGLETRANSLATE(E42, ""en"", ""fr"")"),"La lance doit être tenue horizontalement pour s'assurer que la force est dirigée vers le bouclier et non vers le visage.")</f>
        <v>La lance doit être tenue horizontalement pour s'assurer que la force est dirigée vers le bouclier et non vers le visage.</v>
      </c>
    </row>
    <row r="43" ht="22.5" customHeight="1">
      <c r="A43" s="3">
        <v>42.0</v>
      </c>
      <c r="B43" s="4" t="s">
        <v>173</v>
      </c>
      <c r="C43" s="4" t="s">
        <v>174</v>
      </c>
      <c r="D43" s="4" t="s">
        <v>175</v>
      </c>
      <c r="E43" s="4" t="s">
        <v>176</v>
      </c>
      <c r="G43" s="5" t="str">
        <f>IFERROR(__xludf.DUMMYFUNCTION("GOOGLETRANSLATE(A43, ""en"", ""fr"")"),"42")</f>
        <v>42</v>
      </c>
      <c r="H43" s="5" t="str">
        <f>IFERROR(__xludf.DUMMYFUNCTION("GOOGLETRANSLATE(B43, ""en"", ""fr"")"),"Quelle est la règle si la rame d'un rameur se casse en plein passage, ce qui ralentit le bateau et entraîne la défaite du jouteur ?")</f>
        <v>Quelle est la règle si la rame d'un rameur se casse en plein passage, ce qui ralentit le bateau et entraîne la défaite du jouteur ?</v>
      </c>
      <c r="I43" s="5" t="str">
        <f>IFERROR(__xludf.DUMMYFUNCTION("GOOGLETRANSLATE(C43, ""en"", ""fr"")"),"A) La passe est rejouée en raison d'une panne de matériel. B) La défaite est maintenue, car elle fait partie du jeu. C) L'équipe est disqualifiée. D) L'équipe adverse reçoit des points bonus.")</f>
        <v>A) La passe est rejouée en raison d'une panne de matériel. B) La défaite est maintenue, car elle fait partie du jeu. C) L'équipe est disqualifiée. D) L'équipe adverse reçoit des points bonus.</v>
      </c>
      <c r="J43" s="5" t="str">
        <f>IFERROR(__xludf.DUMMYFUNCTION("GOOGLETRANSLATE(D43, ""en"", ""fr"")"),"B) La défaite est acceptée, car elle fait partie des défis du sport.")</f>
        <v>B) La défaite est acceptée, car elle fait partie des défis du sport.</v>
      </c>
      <c r="K43" s="5" t="str">
        <f>IFERROR(__xludf.DUMMYFUNCTION("GOOGLETRANSLATE(E43, ""en"", ""fr"")"),"Une panne de matériel de la part de l'équipe (comme une rame cassée) est considérée comme faisant partie des « aléas de la guerre » et ne justifie généralement pas une nouvelle tentative.")</f>
        <v>Une panne de matériel de la part de l'équipe (comme une rame cassée) est considérée comme faisant partie des « aléas de la guerre » et ne justifie généralement pas une nouvelle tentative.</v>
      </c>
    </row>
    <row r="44" ht="22.5" customHeight="1">
      <c r="A44" s="3">
        <v>43.0</v>
      </c>
      <c r="B44" s="4" t="s">
        <v>177</v>
      </c>
      <c r="C44" s="4" t="s">
        <v>178</v>
      </c>
      <c r="D44" s="4" t="s">
        <v>179</v>
      </c>
      <c r="E44" s="4" t="s">
        <v>180</v>
      </c>
      <c r="G44" s="5" t="str">
        <f>IFERROR(__xludf.DUMMYFUNCTION("GOOGLETRANSLATE(A44, ""en"", ""fr"")"),"43")</f>
        <v>43</v>
      </c>
      <c r="H44" s="5" t="str">
        <f>IFERROR(__xludf.DUMMYFUNCTION("GOOGLETRANSLATE(B44, ""en"", ""fr"")"),"Un jouteur remporte une passe. L'arbitre lève un drapeau vert, mais un juge lève un drapeau rouge. Comment ce désaccord est-il résolu ?")</f>
        <v>Un jouteur remporte une passe. L'arbitre lève un drapeau vert, mais un juge lève un drapeau rouge. Comment ce désaccord est-il résolu ?</v>
      </c>
      <c r="I44" s="5" t="str">
        <f>IFERROR(__xludf.DUMMYFUNCTION("GOOGLETRANSLATE(C44, ""en"", ""fr"")"),"A) La décision de l'arbitre est définitive, B) La passe est rejouée, C) La décision est prise à la majorité des voix du jury et des arbitres, D) Le jouteur qui a chuté décide")</f>
        <v>A) La décision de l'arbitre est définitive, B) La passe est rejouée, C) La décision est prise à la majorité des voix du jury et des arbitres, D) Le jouteur qui a chuté décide</v>
      </c>
      <c r="J44" s="5" t="str">
        <f>IFERROR(__xludf.DUMMYFUNCTION("GOOGLETRANSLATE(D44, ""en"", ""fr"")"),"C) La décision est prise à la majorité des voix du jury et des arbitres.")</f>
        <v>C) La décision est prise à la majorité des voix du jury et des arbitres.</v>
      </c>
      <c r="K44" s="5" t="str">
        <f>IFERROR(__xludf.DUMMYFUNCTION("GOOGLETRANSLATE(E44, ""en"", ""fr"")"),"La décision finale ne dépend pas d'une seule personne, mais est déterminée par l'avis majoritaire de l'ensemble du panel arbitral.")</f>
        <v>La décision finale ne dépend pas d'une seule personne, mais est déterminée par l'avis majoritaire de l'ensemble du panel arbitral.</v>
      </c>
    </row>
    <row r="45" ht="22.5" customHeight="1">
      <c r="A45" s="3">
        <v>44.0</v>
      </c>
      <c r="B45" s="4" t="s">
        <v>181</v>
      </c>
      <c r="C45" s="4" t="s">
        <v>182</v>
      </c>
      <c r="D45" s="4" t="s">
        <v>183</v>
      </c>
      <c r="E45" s="4" t="s">
        <v>184</v>
      </c>
      <c r="G45" s="5" t="str">
        <f>IFERROR(__xludf.DUMMYFUNCTION("GOOGLETRANSLATE(A45, ""en"", ""fr"")"),"44")</f>
        <v>44</v>
      </c>
      <c r="H45" s="5" t="str">
        <f>IFERROR(__xludf.DUMMYFUNCTION("GOOGLETRANSLATE(B45, ""en"", ""fr"")"),"Pourquoi la main libre du jouteur doit-elle rester ouverte et non fermée en poing ?")</f>
        <v>Pourquoi la main libre du jouteur doit-elle rester ouverte et non fermée en poing ?</v>
      </c>
      <c r="I45" s="5" t="str">
        <f>IFERROR(__xludf.DUMMYFUNCTION("GOOGLETRANSLATE(C45, ""en"", ""fr"")"),"A) C'est plus confortable, B) Pour éviter la tentation de frapper illégalement l'adversaire, C) Pour faciliter l'équilibre, D) Ce n'est pas une règle")</f>
        <v>A) C'est plus confortable, B) Pour éviter la tentation de frapper illégalement l'adversaire, C) Pour faciliter l'équilibre, D) Ce n'est pas une règle</v>
      </c>
      <c r="J45" s="5" t="str">
        <f>IFERROR(__xludf.DUMMYFUNCTION("GOOGLETRANSLATE(D45, ""en"", ""fr"")"),"B) Pour éviter la tentation de frapper illégalement l'adversaire")</f>
        <v>B) Pour éviter la tentation de frapper illégalement l'adversaire</v>
      </c>
      <c r="K45" s="5" t="str">
        <f>IFERROR(__xludf.DUMMYFUNCTION("GOOGLETRANSLATE(E45, ""en"", ""fr"")"),"Il s'agit d'une règle de conduite spécifique visant à garantir que le concours reste une joute et ne dégénère pas en bagarre.")</f>
        <v>Il s'agit d'une règle de conduite spécifique visant à garantir que le concours reste une joute et ne dégénère pas en bagarre.</v>
      </c>
    </row>
    <row r="46" ht="22.5" customHeight="1">
      <c r="A46" s="3">
        <v>45.0</v>
      </c>
      <c r="B46" s="4" t="s">
        <v>185</v>
      </c>
      <c r="C46" s="4" t="s">
        <v>186</v>
      </c>
      <c r="D46" s="4" t="s">
        <v>187</v>
      </c>
      <c r="E46" s="4" t="s">
        <v>188</v>
      </c>
      <c r="G46" s="5" t="str">
        <f>IFERROR(__xludf.DUMMYFUNCTION("GOOGLETRANSLATE(A46, ""en"", ""fr"")"),"45")</f>
        <v>45</v>
      </c>
      <c r="H46" s="5" t="str">
        <f>IFERROR(__xludf.DUMMYFUNCTION("GOOGLETRANSLATE(B46, ""en"", ""fr"")"),"Un jouteur parvient à faire tomber son adversaire, mais sa victoire est contestée. Le jury juge que la tintaine du vainqueur était illégalement large, lui conférant un avantage indu. Quel est le verdict ?")</f>
        <v>Un jouteur parvient à faire tomber son adversaire, mais sa victoire est contestée. Le jury juge que la tintaine du vainqueur était illégalement large, lui conférant un avantage indu. Quel est le verdict ?</v>
      </c>
      <c r="I46" s="5" t="str">
        <f>IFERROR(__xludf.DUMMYFUNCTION("GOOGLETRANSLATE(C46, ""en"", ""fr"")"),"A) La victoire est validée, mais l'équipe est condamnée à une amende. B) Le vainqueur est disqualifié et la victoire est attribuée à l'équipe adverse. C) La passe est rejouée. D) La protestation est ignorée.")</f>
        <v>A) La victoire est validée, mais l'équipe est condamnée à une amende. B) Le vainqueur est disqualifié et la victoire est attribuée à l'équipe adverse. C) La passe est rejouée. D) La protestation est ignorée.</v>
      </c>
      <c r="J46" s="5" t="str">
        <f>IFERROR(__xludf.DUMMYFUNCTION("GOOGLETRANSLATE(D46, ""en"", ""fr"")"),"B) Le vainqueur est disqualifié et la victoire est attribuée à l'adversaire.")</f>
        <v>B) Le vainqueur est disqualifié et la victoire est attribuée à l'adversaire.</v>
      </c>
      <c r="K46" s="5" t="str">
        <f>IFERROR(__xludf.DUMMYFUNCTION("GOOGLETRANSLATE(E46, ""en"", ""fr"")"),"Une victoire obtenue grâce à un équipement illégal est annulée, et la victoire est attribuée à l'autre jouteur.")</f>
        <v>Une victoire obtenue grâce à un équipement illégal est annulée, et la victoire est attribuée à l'autre jouteur.</v>
      </c>
    </row>
    <row r="47" ht="22.5" customHeight="1">
      <c r="A47" s="3">
        <v>46.0</v>
      </c>
      <c r="B47" s="4" t="s">
        <v>189</v>
      </c>
      <c r="C47" s="4" t="s">
        <v>190</v>
      </c>
      <c r="D47" s="4" t="s">
        <v>191</v>
      </c>
      <c r="E47" s="4" t="s">
        <v>192</v>
      </c>
      <c r="G47" s="5" t="str">
        <f>IFERROR(__xludf.DUMMYFUNCTION("GOOGLETRANSLATE(A47, ""en"", ""fr"")"),"46")</f>
        <v>46</v>
      </c>
      <c r="H47" s="5" t="str">
        <f>IFERROR(__xludf.DUMMYFUNCTION("GOOGLETRANSLATE(B47, ""en"", ""fr"")"),"Quelle est la principale raison pour laquelle les bateaux sont si richement décorés pour une fête majeure ?")</f>
        <v>Quelle est la principale raison pour laquelle les bateaux sont si richement décorés pour une fête majeure ?</v>
      </c>
      <c r="I47" s="5" t="str">
        <f>IFERROR(__xludf.DUMMYFUNCTION("GOOGLETRANSLATE(C47, ""en"", ""fr"")"),"A) Pour les rendre plus aérodynamiques, B) C'est une démonstration de la fierté, de la richesse et de la tradition de la société de joutes, C) Pour faciliter leur observation par les juges, D) C'est une exigence des sponsors")</f>
        <v>A) Pour les rendre plus aérodynamiques, B) C'est une démonstration de la fierté, de la richesse et de la tradition de la société de joutes, C) Pour faciliter leur observation par les juges, D) C'est une exigence des sponsors</v>
      </c>
      <c r="J47" s="5" t="str">
        <f>IFERROR(__xludf.DUMMYFUNCTION("GOOGLETRANSLATE(D47, ""en"", ""fr"")"),"B) C'est une démonstration de la fierté, de la richesse et de la tradition de la société de joutes")</f>
        <v>B) C'est une démonstration de la fierté, de la richesse et de la tradition de la société de joutes</v>
      </c>
      <c r="K47" s="5" t="str">
        <f>IFERROR(__xludf.DUMMYFUNCTION("GOOGLETRANSLATE(E47, ""en"", ""fr"")"),"Le faste et la décoration des bateaux sont un élément clé du spectacle culturel et de la rivalité entre les clubs.")</f>
        <v>Le faste et la décoration des bateaux sont un élément clé du spectacle culturel et de la rivalité entre les clubs.</v>
      </c>
    </row>
    <row r="48" ht="22.5" customHeight="1">
      <c r="A48" s="3">
        <v>47.0</v>
      </c>
      <c r="B48" s="4" t="s">
        <v>193</v>
      </c>
      <c r="C48" s="4" t="s">
        <v>194</v>
      </c>
      <c r="D48" s="4" t="s">
        <v>195</v>
      </c>
      <c r="E48" s="4" t="s">
        <v>196</v>
      </c>
      <c r="G48" s="5" t="str">
        <f>IFERROR(__xludf.DUMMYFUNCTION("GOOGLETRANSLATE(A48, ""en"", ""fr"")"),"47")</f>
        <v>47</v>
      </c>
      <c r="H48" s="5" t="str">
        <f>IFERROR(__xludf.DUMMYFUNCTION("GOOGLETRANSLATE(B48, ""en"", ""fr"")"),"Un jouteur est disqualifié s'il est membre de deux sociétés de joutes différentes simultanément. Est-ce une règle réelle ?")</f>
        <v>Un jouteur est disqualifié s'il est membre de deux sociétés de joutes différentes simultanément. Est-ce une règle réelle ?</v>
      </c>
      <c r="I48" s="5" t="str">
        <f>IFERROR(__xludf.DUMMYFUNCTION("GOOGLETRANSLATE(C48, ""en"", ""fr"")"),"A) Non, un jouteur peut appartenir à plusieurs clubs. B) Oui, un jouteur doit être licencié auprès d'une seule société pour une saison. C) Uniquement si les clubs sont rivaux. D) Uniquement pour les jouteurs professionnels.")</f>
        <v>A) Non, un jouteur peut appartenir à plusieurs clubs. B) Oui, un jouteur doit être licencié auprès d'une seule société pour une saison. C) Uniquement si les clubs sont rivaux. D) Uniquement pour les jouteurs professionnels.</v>
      </c>
      <c r="J48" s="5" t="str">
        <f>IFERROR(__xludf.DUMMYFUNCTION("GOOGLETRANSLATE(D48, ""en"", ""fr"")"),"B) Oui, un jouteur doit être agréé par une seule société pour une saison.")</f>
        <v>B) Oui, un jouteur doit être agréé par une seule société pour une saison.</v>
      </c>
      <c r="K48" s="5" t="str">
        <f>IFERROR(__xludf.DUMMYFUNCTION("GOOGLETRANSLATE(E48, ""en"", ""fr"")"),"Comme dans la plupart des sports organisés, un joueur doit être officiellement inscrit auprès d'un club pour participer aux championnats de la fédération.")</f>
        <v>Comme dans la plupart des sports organisés, un joueur doit être officiellement inscrit auprès d'un club pour participer aux championnats de la fédération.</v>
      </c>
    </row>
    <row r="49" ht="22.5" customHeight="1">
      <c r="A49" s="3">
        <v>48.0</v>
      </c>
      <c r="B49" s="4" t="s">
        <v>197</v>
      </c>
      <c r="C49" s="4" t="s">
        <v>198</v>
      </c>
      <c r="D49" s="4" t="s">
        <v>199</v>
      </c>
      <c r="E49" s="4" t="s">
        <v>200</v>
      </c>
      <c r="G49" s="5" t="str">
        <f>IFERROR(__xludf.DUMMYFUNCTION("GOOGLETRANSLATE(A49, ""en"", ""fr"")"),"48")</f>
        <v>48</v>
      </c>
      <c r="H49" s="5" t="str">
        <f>IFERROR(__xludf.DUMMYFUNCTION("GOOGLETRANSLATE(B49, ""en"", ""fr"")"),"Quelle est la règle si un jouteur est si puissant que son impact brise le bouclier de son adversaire, mais que ce dernier reste sur l'estrade ?")</f>
        <v>Quelle est la règle si un jouteur est si puissant que son impact brise le bouclier de son adversaire, mais que ce dernier reste sur l'estrade ?</v>
      </c>
      <c r="I49" s="5" t="str">
        <f>IFERROR(__xludf.DUMMYFUNCTION("GOOGLETRANSLATE(C49, ""en"", ""fr"")"),"A) L'attaquant gagne en brisant le bouclier, B) La passe est nulle, C) Le défenseur gagne grâce à sa stabilité, D) La passe est rejouée avec un nouvel équipement")</f>
        <v>A) L'attaquant gagne en brisant le bouclier, B) La passe est nulle, C) Le défenseur gagne grâce à sa stabilité, D) La passe est rejouée avec un nouvel équipement</v>
      </c>
      <c r="J49" s="5" t="str">
        <f>IFERROR(__xludf.DUMMYFUNCTION("GOOGLETRANSLATE(D49, ""en"", ""fr"")"),"B) La passe est nulle")</f>
        <v>B) La passe est nulle</v>
      </c>
      <c r="K49" s="5" t="str">
        <f>IFERROR(__xludf.DUMMYFUNCTION("GOOGLETRANSLATE(E49, ""en"", ""fr"")"),"L'objectif est de faire tomber l'adversaire. Briser son équipement, aussi impressionnant que cela puisse paraître, ne garantit pas la victoire s'il reste sur la tonneau.")</f>
        <v>L'objectif est de faire tomber l'adversaire. Briser son équipement, aussi impressionnant que cela puisse paraître, ne garantit pas la victoire s'il reste sur la tonneau.</v>
      </c>
    </row>
    <row r="50" ht="22.5" customHeight="1">
      <c r="A50" s="3">
        <v>49.0</v>
      </c>
      <c r="B50" s="4" t="s">
        <v>201</v>
      </c>
      <c r="C50" s="4" t="s">
        <v>202</v>
      </c>
      <c r="D50" s="4" t="s">
        <v>203</v>
      </c>
      <c r="E50" s="4" t="s">
        <v>204</v>
      </c>
      <c r="G50" s="5" t="str">
        <f>IFERROR(__xludf.DUMMYFUNCTION("GOOGLETRANSLATE(A50, ""en"", ""fr"")"),"49")</f>
        <v>49</v>
      </c>
      <c r="H50" s="5" t="str">
        <f>IFERROR(__xludf.DUMMYFUNCTION("GOOGLETRANSLATE(B50, ""en"", ""fr"")"),"Quel est le rôle principal du président du jury ?")</f>
        <v>Quel est le rôle principal du président du jury ?</v>
      </c>
      <c r="I50" s="5" t="str">
        <f>IFERROR(__xludf.DUMMYFUNCTION("GOOGLETRANSLATE(C50, ""en"", ""fr"")"),"A) Être le sponsor principal, B) Être le responsable du tournoi et avoir le dernier mot sur toutes les réclamations et l'interprétation des règles, C) Être le capitaine de l'équipe gagnante, D) Être le maire de la ville hôte")</f>
        <v>A) Être le sponsor principal, B) Être le responsable du tournoi et avoir le dernier mot sur toutes les réclamations et l'interprétation des règles, C) Être le capitaine de l'équipe gagnante, D) Être le maire de la ville hôte</v>
      </c>
      <c r="J50" s="5" t="str">
        <f>IFERROR(__xludf.DUMMYFUNCTION("GOOGLETRANSLATE(D50, ""en"", ""fr"")"),"B) Être le principal responsable du tournoi, ayant le dernier mot sur toutes les réclamations et les interprétations des règles.")</f>
        <v>B) Être le principal responsable du tournoi, ayant le dernier mot sur toutes les réclamations et les interprétations des règles.</v>
      </c>
      <c r="K50" s="5" t="str">
        <f>IFERROR(__xludf.DUMMYFUNCTION("GOOGLETRANSLATE(E50, ""en"", ""fr"")"),"Il s'agit du plus haut responsable de l'événement, chargé de superviser l'ensemble de la compétition et de prendre les décisions finales.")</f>
        <v>Il s'agit du plus haut responsable de l'événement, chargé de superviser l'ensemble de la compétition et de prendre les décisions finales.</v>
      </c>
    </row>
    <row r="51" ht="22.5" customHeight="1">
      <c r="A51" s="3">
        <v>50.0</v>
      </c>
      <c r="B51" s="4" t="s">
        <v>205</v>
      </c>
      <c r="C51" s="4" t="s">
        <v>206</v>
      </c>
      <c r="D51" s="4" t="s">
        <v>207</v>
      </c>
      <c r="E51" s="4" t="s">
        <v>208</v>
      </c>
      <c r="G51" s="5" t="str">
        <f>IFERROR(__xludf.DUMMYFUNCTION("GOOGLETRANSLATE(A51, ""en"", ""fr"")"),"50")</f>
        <v>50</v>
      </c>
      <c r="H51" s="5" t="str">
        <f>IFERROR(__xludf.DUMMYFUNCTION("GOOGLETRANSLATE(B51, ""en"", ""fr"")"),"En substance, les joutes nautiques sont un duel formel. Quel est leur but ultime ?")</f>
        <v>En substance, les joutes nautiques sont un duel formel. Quel est leur but ultime ?</v>
      </c>
      <c r="I51" s="5" t="str">
        <f>IFERROR(__xludf.DUMMYFUNCTION("GOOGLETRANSLATE(C51, ""en"", ""fr"")"),"A) Pour démontrer quelle équipe possède les rameurs les plus rapides, B) Pour prouver son courage, son habileté et son équilibre en désarçonnant un adversaire, C) Pour briser le plus de lances possible, D) Pour divertir la famille royale")</f>
        <v>A) Pour démontrer quelle équipe possède les rameurs les plus rapides, B) Pour prouver son courage, son habileté et son équilibre en désarçonnant un adversaire, C) Pour briser le plus de lances possible, D) Pour divertir la famille royale</v>
      </c>
      <c r="J51" s="5" t="str">
        <f>IFERROR(__xludf.DUMMYFUNCTION("GOOGLETRANSLATE(D51, ""en"", ""fr"")"),"B) Prouver son courage, son habileté et son équilibre en désarçonnant un adversaire")</f>
        <v>B) Prouver son courage, son habileté et son équilibre en désarçonnant un adversaire</v>
      </c>
      <c r="K51" s="5" t="str">
        <f>IFERROR(__xludf.DUMMYFUNCTION("GOOGLETRANSLATE(E51, ""en"", ""fr"")"),"Ce sport est une forme ritualisée et non létale de duel chevaleresque, un affrontement en face à face d'adresse et de bravoure.")</f>
        <v>Ce sport est une forme ritualisée et non létale de duel chevaleresque, un affrontement en face à face d'adresse et de bravoure.</v>
      </c>
    </row>
    <row r="52" ht="22.5" customHeight="1">
      <c r="A52" s="3">
        <v>51.0</v>
      </c>
      <c r="B52" s="4" t="s">
        <v>209</v>
      </c>
      <c r="C52" s="4" t="s">
        <v>210</v>
      </c>
      <c r="D52" s="4" t="s">
        <v>211</v>
      </c>
      <c r="E52" s="4" t="s">
        <v>212</v>
      </c>
      <c r="G52" s="5" t="str">
        <f>IFERROR(__xludf.DUMMYFUNCTION("GOOGLETRANSLATE(A52, ""en"", ""fr"")"),"51")</f>
        <v>51</v>
      </c>
      <c r="H52" s="5" t="str">
        <f>IFERROR(__xludf.DUMMYFUNCTION("GOOGLETRANSLATE(B52, ""en"", ""fr"")"),"Un jouteur tient sa lance, la pointe dirigée vers l'eau, avant la passe. Pourquoi est-ce une faute ?")</f>
        <v>Un jouteur tient sa lance, la pointe dirigée vers l'eau, avant la passe. Pourquoi est-ce une faute ?</v>
      </c>
      <c r="I52" s="5" t="str">
        <f>IFERROR(__xludf.DUMMYFUNCTION("GOOGLETRANSLATE(C52, ""en"", ""fr"")"),"A) Cela peut endommager la pointe de la lance, B) C'est un signe d'irrespect, C) C'est une violation des règles de sécurité et une position de départ incorrecte, D) Cela peut effrayer les poissons")</f>
        <v>A) Cela peut endommager la pointe de la lance, B) C'est un signe d'irrespect, C) C'est une violation des règles de sécurité et une position de départ incorrecte, D) Cela peut effrayer les poissons</v>
      </c>
      <c r="J52" s="5" t="str">
        <f>IFERROR(__xludf.DUMMYFUNCTION("GOOGLETRANSLATE(D52, ""en"", ""fr"")"),"C) Il s'agit d'une infraction aux règles de sécurité et d'une position de départ incorrecte.")</f>
        <v>C) Il s'agit d'une infraction aux règles de sécurité et d'une position de départ incorrecte.</v>
      </c>
      <c r="K52" s="5" t="str">
        <f>IFERROR(__xludf.DUMMYFUNCTION("GOOGLETRANSLATE(E52, ""en"", ""fr"")"),"La lance doit être tenue horizontalement pour garantir un engagement sûr et équitable. La pointer vers le bas constitue une « garde basse » illégale.")</f>
        <v>La lance doit être tenue horizontalement pour garantir un engagement sûr et équitable. La pointer vers le bas constitue une « garde basse » illégale.</v>
      </c>
    </row>
    <row r="53" ht="22.5" customHeight="1">
      <c r="A53" s="3">
        <v>52.0</v>
      </c>
      <c r="B53" s="4" t="s">
        <v>213</v>
      </c>
      <c r="C53" s="4" t="s">
        <v>214</v>
      </c>
      <c r="D53" s="4" t="s">
        <v>215</v>
      </c>
      <c r="E53" s="4" t="s">
        <v>216</v>
      </c>
      <c r="G53" s="5" t="str">
        <f>IFERROR(__xludf.DUMMYFUNCTION("GOOGLETRANSLATE(A53, ""en"", ""fr"")"),"52")</f>
        <v>52</v>
      </c>
      <c r="H53" s="5" t="str">
        <f>IFERROR(__xludf.DUMMYFUNCTION("GOOGLETRANSLATE(B53, ""en"", ""fr"")"),"Quelle est la règle si un jouteur est poussé de la tintaine par le corps de son adversaire et non par sa lance ?")</f>
        <v>Quelle est la règle si un jouteur est poussé de la tintaine par le corps de son adversaire et non par sa lance ?</v>
      </c>
      <c r="I53" s="5" t="str">
        <f>IFERROR(__xludf.DUMMYFUNCTION("GOOGLETRANSLATE(C53, ""en"", ""fr"")"),"A) Le jouteur qui a été poussé perd. B) Le jouteur qui a poussé commet une faute et perd la passe. C) La passe est rejouée. D) Les deux jouteurs sont disqualifiés.")</f>
        <v>A) Le jouteur qui a été poussé perd. B) Le jouteur qui a poussé commet une faute et perd la passe. C) La passe est rejouée. D) Les deux jouteurs sont disqualifiés.</v>
      </c>
      <c r="J53" s="5" t="str">
        <f>IFERROR(__xludf.DUMMYFUNCTION("GOOGLETRANSLATE(D53, ""en"", ""fr"")"),"B) C'est une faute pour le jouteur qui a poussé, et il perd la passe.")</f>
        <v>B) C'est une faute pour le jouteur qui a poussé, et il perd la passe.</v>
      </c>
      <c r="K53" s="5" t="str">
        <f>IFERROR(__xludf.DUMMYFUNCTION("GOOGLETRANSLATE(E53, ""en"", ""fr"")"),"Le contact doit se faire uniquement lance contre bouclier. Tout contact corporel intentionnel constitue une faute grave.")</f>
        <v>Le contact doit se faire uniquement lance contre bouclier. Tout contact corporel intentionnel constitue une faute grave.</v>
      </c>
    </row>
    <row r="54" ht="22.5" customHeight="1">
      <c r="A54" s="3">
        <v>53.0</v>
      </c>
      <c r="B54" s="4" t="s">
        <v>217</v>
      </c>
      <c r="C54" s="4" t="s">
        <v>218</v>
      </c>
      <c r="D54" s="4" t="s">
        <v>219</v>
      </c>
      <c r="E54" s="4" t="s">
        <v>220</v>
      </c>
      <c r="G54" s="5" t="str">
        <f>IFERROR(__xludf.DUMMYFUNCTION("GOOGLETRANSLATE(A54, ""en"", ""fr"")"),"53")</f>
        <v>53</v>
      </c>
      <c r="H54" s="5" t="str">
        <f>IFERROR(__xludf.DUMMYFUNCTION("GOOGLETRANSLATE(B54, ""en"", ""fr"")"),"En pleine traversée, le bateau d'un jouteur est heurté par un gros débris flottant, ce qui entraîne sa défaite. Quelle est la décision probable ?")</f>
        <v>En pleine traversée, le bateau d'un jouteur est heurté par un gros débris flottant, ce qui entraîne sa défaite. Quelle est la décision probable ?</v>
      </c>
      <c r="I54" s="5" t="str">
        <f>IFERROR(__xludf.DUMMYFUNCTION("GOOGLETRANSLATE(C54, ""en"", ""fr"")"),"A) La défaite est maintenue. B) La passe est rejouée en raison d'une interférence extérieure. C) L'équipe adverse est pénalisée. D) Le bateau est inspecté pour vérifier s'il a subi des dommages.")</f>
        <v>A) La défaite est maintenue. B) La passe est rejouée en raison d'une interférence extérieure. C) L'équipe adverse est pénalisée. D) Le bateau est inspecté pour vérifier s'il a subi des dommages.</v>
      </c>
      <c r="J54" s="5" t="str">
        <f>IFERROR(__xludf.DUMMYFUNCTION("GOOGLETRANSLATE(D54, ""en"", ""fr"")"),"B) La passe est rejouée en raison d'interférences externes.")</f>
        <v>B) La passe est rejouée en raison d'interférences externes.</v>
      </c>
      <c r="K54" s="5" t="str">
        <f>IFERROR(__xludf.DUMMYFUNCTION("GOOGLETRANSLATE(E54, ""en"", ""fr"")"),"Un événement extérieur aléatoire rendant impossible un tournoi équitable justifie une nouvelle épreuve.")</f>
        <v>Un événement extérieur aléatoire rendant impossible un tournoi équitable justifie une nouvelle épreuve.</v>
      </c>
    </row>
    <row r="55" ht="22.5" customHeight="1">
      <c r="A55" s="3">
        <v>54.0</v>
      </c>
      <c r="B55" s="4" t="s">
        <v>221</v>
      </c>
      <c r="C55" s="4" t="s">
        <v>222</v>
      </c>
      <c r="D55" s="4" t="s">
        <v>223</v>
      </c>
      <c r="E55" s="4" t="s">
        <v>224</v>
      </c>
      <c r="G55" s="5" t="str">
        <f>IFERROR(__xludf.DUMMYFUNCTION("GOOGLETRANSLATE(A55, ""en"", ""fr"")"),"54")</f>
        <v>54</v>
      </c>
      <c r="H55" s="5" t="str">
        <f>IFERROR(__xludf.DUMMYFUNCTION("GOOGLETRANSLATE(B55, ""en"", ""fr"")"),"Pourquoi est-il obligatoire que tous les rameurs soient tournés vers l'avant, dos à la direction du déplacement ?")</f>
        <v>Pourquoi est-il obligatoire que tous les rameurs soient tournés vers l'avant, dos à la direction du déplacement ?</v>
      </c>
      <c r="I55" s="5" t="str">
        <f>IFERROR(__xludf.DUMMYFUNCTION("GOOGLETRANSLATE(C55, ""en"", ""fr"")"),"A) C'est plus confortable pour eux, B) C'est la méthode de rame traditionnelle et la plus efficace pour ce type d'embarcation, C) Pour éviter qu'ils ne distraient le jouteur, D) Pour qu'ils ne voient pas l'impact")</f>
        <v>A) C'est plus confortable pour eux, B) C'est la méthode de rame traditionnelle et la plus efficace pour ce type d'embarcation, C) Pour éviter qu'ils ne distraient le jouteur, D) Pour qu'ils ne voient pas l'impact</v>
      </c>
      <c r="J55" s="5" t="str">
        <f>IFERROR(__xludf.DUMMYFUNCTION("GOOGLETRANSLATE(D55, ""en"", ""fr"")"),"B) Il s'agit de la méthode de rame traditionnelle et la plus efficace pour ce type d'embarcation.")</f>
        <v>B) Il s'agit de la méthode de rame traditionnelle et la plus efficace pour ce type d'embarcation.</v>
      </c>
      <c r="K55" s="5" t="str">
        <f>IFERROR(__xludf.DUMMYFUNCTION("GOOGLETRANSLATE(E55, ""en"", ""fr"")"),"Il s'agit du style d'aviron méditerranéen classique, où les rameurs poussent sur les rames en position debout et face à l'avant pour générer une puissance maximale.")</f>
        <v>Il s'agit du style d'aviron méditerranéen classique, où les rameurs poussent sur les rames en position debout et face à l'avant pour générer une puissance maximale.</v>
      </c>
    </row>
    <row r="56" ht="22.5" customHeight="1">
      <c r="A56" s="3">
        <v>55.0</v>
      </c>
      <c r="B56" s="4" t="s">
        <v>113</v>
      </c>
      <c r="C56" s="4" t="s">
        <v>114</v>
      </c>
      <c r="D56" s="4" t="s">
        <v>115</v>
      </c>
      <c r="E56" s="4" t="s">
        <v>116</v>
      </c>
      <c r="G56" s="5" t="str">
        <f>IFERROR(__xludf.DUMMYFUNCTION("GOOGLETRANSLATE(A56, ""en"", ""fr"")"),"55")</f>
        <v>55</v>
      </c>
      <c r="H56" s="5" t="str">
        <f>IFERROR(__xludf.DUMMYFUNCTION("GOOGLETRANSLATE(B56, ""en"", ""fr"")"),"Un jouteur est pénalisé pour avoir les pieds levés. Qu'est-ce que cela signifie ?")</f>
        <v>Un jouteur est pénalisé pour avoir les pieds levés. Qu'est-ce que cela signifie ?</v>
      </c>
      <c r="I56" s="5" t="str">
        <f>IFERROR(__xludf.DUMMYFUNCTION("GOOGLETRANSLATE(C56, ""en"", ""fr"")"),"A) Ils ont complètement décollé les pieds de la tranchée lors de l'impact. B) Ils ne portaient pas les chaussures appropriées. C) Ils ont donné un coup de pied à leur adversaire. D) Ils ont sauté dans l'eau.")</f>
        <v>A) Ils ont complètement décollé les pieds de la tranchée lors de l'impact. B) Ils ne portaient pas les chaussures appropriées. C) Ils ont donné un coup de pied à leur adversaire. D) Ils ont sauté dans l'eau.</v>
      </c>
      <c r="J56" s="5" t="str">
        <f>IFERROR(__xludf.DUMMYFUNCTION("GOOGLETRANSLATE(D56, ""en"", ""fr"")"),"A) Ils ont complètement soulevé les pieds de la tôle lors de l'impact.")</f>
        <v>A) Ils ont complètement soulevé les pieds de la tôle lors de l'impact.</v>
      </c>
      <c r="K56" s="5" t="str">
        <f>IFERROR(__xludf.DUMMYFUNCTION("GOOGLETRANSLATE(E56, ""en"", ""fr"")"),"Un jouteur doit amortir le choc en gardant les pieds bien ancrés au sol. Lever les pieds de la plateforme au moment de l'impact constitue une faute.")</f>
        <v>Un jouteur doit amortir le choc en gardant les pieds bien ancrés au sol. Lever les pieds de la plateforme au moment de l'impact constitue une faute.</v>
      </c>
    </row>
    <row r="57" ht="22.5" customHeight="1">
      <c r="A57" s="3">
        <v>56.0</v>
      </c>
      <c r="B57" s="4" t="s">
        <v>225</v>
      </c>
      <c r="C57" s="4" t="s">
        <v>226</v>
      </c>
      <c r="D57" s="4" t="s">
        <v>227</v>
      </c>
      <c r="E57" s="4" t="s">
        <v>228</v>
      </c>
      <c r="G57" s="5" t="str">
        <f>IFERROR(__xludf.DUMMYFUNCTION("GOOGLETRANSLATE(A57, ""en"", ""fr"")"),"56")</f>
        <v>56</v>
      </c>
      <c r="H57" s="5" t="str">
        <f>IFERROR(__xludf.DUMMYFUNCTION("GOOGLETRANSLATE(B57, ""en"", ""fr"")"),"Le bateau d'une équipe est jugé plus lourd que le poids maximal autorisé. Quelle en est la conséquence ?")</f>
        <v>Le bateau d'une équipe est jugé plus lourd que le poids maximal autorisé. Quelle en est la conséquence ?</v>
      </c>
      <c r="I57" s="5" t="str">
        <f>IFERROR(__xludf.DUMMYFUNCTION("GOOGLETRANSLATE(C57, ""en"", ""fr"")"),"A) Ils sont autorisés à participer, B) Ils sont disqualifiés, C) Ils sont handicapés, D) L'équipe adverse bénéficie d'un avantage.")</f>
        <v>A) Ils sont autorisés à participer, B) Ils sont disqualifiés, C) Ils sont handicapés, D) L'équipe adverse bénéficie d'un avantage.</v>
      </c>
      <c r="J57" s="5" t="str">
        <f>IFERROR(__xludf.DUMMYFUNCTION("GOOGLETRANSLATE(D57, ""en"", ""fr"")"),"B) Ils sont disqualifiés")</f>
        <v>B) Ils sont disqualifiés</v>
      </c>
      <c r="K57" s="5" t="str">
        <f>IFERROR(__xludf.DUMMYFUNCTION("GOOGLETRANSLATE(E57, ""en"", ""fr"")"),"Le poids des bateaux est standardisé. Un bateau plus lourd aurait une plus grande inertie, ce qui constituerait un avantage illégal.")</f>
        <v>Le poids des bateaux est standardisé. Un bateau plus lourd aurait une plus grande inertie, ce qui constituerait un avantage illégal.</v>
      </c>
    </row>
    <row r="58" ht="22.5" customHeight="1">
      <c r="A58" s="3">
        <v>57.0</v>
      </c>
      <c r="B58" s="4" t="s">
        <v>229</v>
      </c>
      <c r="C58" s="4" t="s">
        <v>230</v>
      </c>
      <c r="D58" s="4" t="s">
        <v>231</v>
      </c>
      <c r="E58" s="4" t="s">
        <v>232</v>
      </c>
      <c r="G58" s="5" t="str">
        <f>IFERROR(__xludf.DUMMYFUNCTION("GOOGLETRANSLATE(A58, ""en"", ""fr"")"),"57")</f>
        <v>57</v>
      </c>
      <c r="H58" s="5" t="str">
        <f>IFERROR(__xludf.DUMMYFUNCTION("GOOGLETRANSLATE(B58, ""en"", ""fr"")"),"Un jouteur tient son bouclier trop haut, exposant le bas de son torse. Que fera probablement l'arbitre ?")</f>
        <v>Un jouteur tient son bouclier trop haut, exposant le bas de son torse. Que fera probablement l'arbitre ?</v>
      </c>
      <c r="I58" s="5" t="str">
        <f>IFERROR(__xludf.DUMMYFUNCTION("GOOGLETRANSLATE(C58, ""en"", ""fr"")"),"A) Rien, c'est aux risques et périls du jouteur. B) Interrompre la passe et donner un avertissement pour « garde incorrecte ». C) Attribuer un point à l'adversaire. D) Laisser la passe se poursuivre.")</f>
        <v>A) Rien, c'est aux risques et périls du jouteur. B) Interrompre la passe et donner un avertissement pour « garde incorrecte ». C) Attribuer un point à l'adversaire. D) Laisser la passe se poursuivre.</v>
      </c>
      <c r="J58" s="5" t="str">
        <f>IFERROR(__xludf.DUMMYFUNCTION("GOOGLETRANSLATE(D58, ""en"", ""fr"")"),"B) Interrompez la passe et émettez un avertissement pour « garde incorrecte »,")</f>
        <v>B) Interrompez la passe et émettez un avertissement pour « garde incorrecte »,</v>
      </c>
      <c r="K58" s="5" t="str">
        <f>IFERROR(__xludf.DUMMYFUNCTION("GOOGLETRANSLATE(E58, ""en"", ""fr"")"),"L'arbitre est responsable de la sécurité et veillera au respect des règles exigeant que le bouclier soit tenu dans la position de protection correcte.")</f>
        <v>L'arbitre est responsable de la sécurité et veillera au respect des règles exigeant que le bouclier soit tenu dans la position de protection correcte.</v>
      </c>
    </row>
    <row r="59" ht="22.5" customHeight="1">
      <c r="A59" s="3">
        <v>58.0</v>
      </c>
      <c r="B59" s="4" t="s">
        <v>233</v>
      </c>
      <c r="C59" s="4" t="s">
        <v>234</v>
      </c>
      <c r="D59" s="4" t="s">
        <v>235</v>
      </c>
      <c r="E59" s="4" t="s">
        <v>236</v>
      </c>
      <c r="G59" s="5" t="str">
        <f>IFERROR(__xludf.DUMMYFUNCTION("GOOGLETRANSLATE(A59, ""en"", ""fr"")"),"58")</f>
        <v>58</v>
      </c>
      <c r="H59" s="5" t="str">
        <f>IFERROR(__xludf.DUMMYFUNCTION("GOOGLETRANSLATE(B59, ""en"", ""fr"")"),"Un jouteur parvient à faire tomber son adversaire, mais on découvre qu'il utilise une lance anormalement flexible. Quelle est la décision ?")</f>
        <v>Un jouteur parvient à faire tomber son adversaire, mais on découvre qu'il utilise une lance anormalement flexible. Quelle est la décision ?</v>
      </c>
      <c r="I59" s="5" t="str">
        <f>IFERROR(__xludf.DUMMYFUNCTION("GOOGLETRANSLATE(C59, ""en"", ""fr"")"),"A) La victoire est valide. B) La victoire est annulée pour cause d'équipement illégal et l'adversaire remporte la passe. C) La passe est rejouée. D) Une pénalité est accordée.")</f>
        <v>A) La victoire est valide. B) La victoire est annulée pour cause d'équipement illégal et l'adversaire remporte la passe. C) La passe est rejouée. D) Une pénalité est accordée.</v>
      </c>
      <c r="J59" s="5" t="str">
        <f>IFERROR(__xludf.DUMMYFUNCTION("GOOGLETRANSLATE(D59, ""en"", ""fr"")"),"B) La victoire est annulée pour cause d'équipement illégal, et l'adversaire remporte le passage.")</f>
        <v>B) La victoire est annulée pour cause d'équipement illégal, et l'adversaire remporte le passage.</v>
      </c>
      <c r="K59" s="5" t="str">
        <f>IFERROR(__xludf.DUMMYFUNCTION("GOOGLETRANSLATE(E59, ""en"", ""fr"")"),"Une lance trop flexible peut créer un effet de « catapulte », ce qui constitue un avantage illégal.")</f>
        <v>Une lance trop flexible peut créer un effet de « catapulte », ce qui constitue un avantage illégal.</v>
      </c>
    </row>
    <row r="60" ht="22.5" customHeight="1">
      <c r="A60" s="3">
        <v>59.0</v>
      </c>
      <c r="B60" s="4" t="s">
        <v>237</v>
      </c>
      <c r="C60" s="4" t="s">
        <v>238</v>
      </c>
      <c r="D60" s="4" t="s">
        <v>239</v>
      </c>
      <c r="E60" s="4" t="s">
        <v>204</v>
      </c>
      <c r="G60" s="5" t="str">
        <f>IFERROR(__xludf.DUMMYFUNCTION("GOOGLETRANSLATE(A60, ""en"", ""fr"")"),"59")</f>
        <v>59</v>
      </c>
      <c r="H60" s="5" t="str">
        <f>IFERROR(__xludf.DUMMYFUNCTION("GOOGLETRANSLATE(B60, ""en"", ""fr"")"),"Quel est le rôle principal du « président du jury » ?")</f>
        <v>Quel est le rôle principal du « président du jury » ?</v>
      </c>
      <c r="I60" s="5" t="str">
        <f>IFERROR(__xludf.DUMMYFUNCTION("GOOGLETRANSLATE(C60, ""en"", ""fr"")"),"A) Être le sponsor principal, B) Être le responsable ayant le dernier mot sur toutes les contestations et interprétations des règles, C) Être le capitaine de l'équipe gagnante, D) Être le maire de la ville hôte")</f>
        <v>A) Être le sponsor principal, B) Être le responsable ayant le dernier mot sur toutes les contestations et interprétations des règles, C) Être le capitaine de l'équipe gagnante, D) Être le maire de la ville hôte</v>
      </c>
      <c r="J60" s="5" t="str">
        <f>IFERROR(__xludf.DUMMYFUNCTION("GOOGLETRANSLATE(D60, ""en"", ""fr"")"),"B) Être le principal responsable ayant le dernier mot sur toutes les protestations et les interprétations des règles.")</f>
        <v>B) Être le principal responsable ayant le dernier mot sur toutes les protestations et les interprétations des règles.</v>
      </c>
      <c r="K60" s="5" t="str">
        <f>IFERROR(__xludf.DUMMYFUNCTION("GOOGLETRANSLATE(E60, ""en"", ""fr"")"),"Il s'agit du plus haut responsable de l'événement, chargé de superviser l'ensemble de la compétition et de prendre les décisions finales.")</f>
        <v>Il s'agit du plus haut responsable de l'événement, chargé de superviser l'ensemble de la compétition et de prendre les décisions finales.</v>
      </c>
    </row>
    <row r="61" ht="22.5" customHeight="1">
      <c r="A61" s="3">
        <v>60.0</v>
      </c>
      <c r="B61" s="4" t="s">
        <v>205</v>
      </c>
      <c r="C61" s="4" t="s">
        <v>206</v>
      </c>
      <c r="D61" s="4" t="s">
        <v>207</v>
      </c>
      <c r="E61" s="4" t="s">
        <v>208</v>
      </c>
      <c r="G61" s="5" t="str">
        <f>IFERROR(__xludf.DUMMYFUNCTION("GOOGLETRANSLATE(A61, ""en"", ""fr"")"),"60")</f>
        <v>60</v>
      </c>
      <c r="H61" s="5" t="str">
        <f>IFERROR(__xludf.DUMMYFUNCTION("GOOGLETRANSLATE(B61, ""en"", ""fr"")"),"En substance, les joutes nautiques sont un duel formel. Quel est leur but ultime ?")</f>
        <v>En substance, les joutes nautiques sont un duel formel. Quel est leur but ultime ?</v>
      </c>
      <c r="I61" s="5" t="str">
        <f>IFERROR(__xludf.DUMMYFUNCTION("GOOGLETRANSLATE(C61, ""en"", ""fr"")"),"A) Pour démontrer quelle équipe possède les rameurs les plus rapides, B) Pour prouver son courage, son habileté et son équilibre en désarçonnant un adversaire, C) Pour briser le plus de lances possible, D) Pour divertir la famille royale")</f>
        <v>A) Pour démontrer quelle équipe possède les rameurs les plus rapides, B) Pour prouver son courage, son habileté et son équilibre en désarçonnant un adversaire, C) Pour briser le plus de lances possible, D) Pour divertir la famille royale</v>
      </c>
      <c r="J61" s="5" t="str">
        <f>IFERROR(__xludf.DUMMYFUNCTION("GOOGLETRANSLATE(D61, ""en"", ""fr"")"),"B) Prouver son courage, son habileté et son équilibre en désarçonnant un adversaire")</f>
        <v>B) Prouver son courage, son habileté et son équilibre en désarçonnant un adversaire</v>
      </c>
      <c r="K61" s="5" t="str">
        <f>IFERROR(__xludf.DUMMYFUNCTION("GOOGLETRANSLATE(E61, ""en"", ""fr"")"),"Ce sport est une forme ritualisée et non létale de duel chevaleresque, un affrontement en face à face d'adresse et de bravoure.")</f>
        <v>Ce sport est une forme ritualisée et non létale de duel chevaleresque, un affrontement en face à face d'adresse et de bravoure.</v>
      </c>
    </row>
    <row r="62" ht="22.5" customHeight="1">
      <c r="A62" s="3">
        <v>61.0</v>
      </c>
      <c r="B62" s="4" t="s">
        <v>121</v>
      </c>
      <c r="C62" s="4" t="s">
        <v>122</v>
      </c>
      <c r="D62" s="4" t="s">
        <v>123</v>
      </c>
      <c r="E62" s="4" t="s">
        <v>124</v>
      </c>
      <c r="G62" s="5" t="str">
        <f>IFERROR(__xludf.DUMMYFUNCTION("GOOGLETRANSLATE(A62, ""en"", ""fr"")"),"61")</f>
        <v>61</v>
      </c>
      <c r="H62" s="5" t="str">
        <f>IFERROR(__xludf.DUMMYFUNCTION("GOOGLETRANSLATE(B62, ""en"", ""fr"")"),"Un jouteur est surpris à porter un gilet lesté sous son uniforme. Quelle en est la conséquence ?")</f>
        <v>Un jouteur est surpris à porter un gilet lesté sous son uniforme. Quelle en est la conséquence ?</v>
      </c>
      <c r="I62" s="5" t="str">
        <f>IFERROR(__xludf.DUMMYFUNCTION("GOOGLETRANSLATE(C62, ""en"", ""fr"")"),"A) Ils sont autorisés à participer, B) Ils sont disqualifiés pour tricherie, C) Ils sont transférés dans une catégorie de poids supérieure, D) Ils reçoivent un avertissement")</f>
        <v>A) Ils sont autorisés à participer, B) Ils sont disqualifiés pour tricherie, C) Ils sont transférés dans une catégorie de poids supérieure, D) Ils reçoivent un avertissement</v>
      </c>
      <c r="J62" s="5" t="str">
        <f>IFERROR(__xludf.DUMMYFUNCTION("GOOGLETRANSLATE(D62, ""en"", ""fr"")"),"B) Ils sont disqualifiés pour tricherie")</f>
        <v>B) Ils sont disqualifiés pour tricherie</v>
      </c>
      <c r="K62" s="5" t="str">
        <f>IFERROR(__xludf.DUMMYFUNCTION("GOOGLETRANSLATE(E62, ""en"", ""fr"")"),"Modifier artificiellement son poids pour obtenir un avantage dans une catégorie spécifique constitue une violation grave du règlement.")</f>
        <v>Modifier artificiellement son poids pour obtenir un avantage dans une catégorie spécifique constitue une violation grave du règlement.</v>
      </c>
    </row>
    <row r="63" ht="22.5" customHeight="1">
      <c r="A63" s="3">
        <v>62.0</v>
      </c>
      <c r="B63" s="4" t="s">
        <v>117</v>
      </c>
      <c r="C63" s="4" t="s">
        <v>118</v>
      </c>
      <c r="D63" s="4" t="s">
        <v>119</v>
      </c>
      <c r="E63" s="4" t="s">
        <v>120</v>
      </c>
      <c r="G63" s="5" t="str">
        <f>IFERROR(__xludf.DUMMYFUNCTION("GOOGLETRANSLATE(A63, ""en"", ""fr"")"),"62")</f>
        <v>62</v>
      </c>
      <c r="H63" s="5" t="str">
        <f>IFERROR(__xludf.DUMMYFUNCTION("GOOGLETRANSLATE(B63, ""en"", ""fr"")"),"Pourquoi est-il de règle que les rameurs doivent cesser de ramer dès que les jouteurs entrent en contact ?")</f>
        <v>Pourquoi est-il de règle que les rameurs doivent cesser de ramer dès que les jouteurs entrent en contact ?</v>
      </c>
      <c r="I63" s="5" t="str">
        <f>IFERROR(__xludf.DUMMYFUNCTION("GOOGLETRANSLATE(C63, ""en"", ""fr"")"),"A) Pour économiser de l'énergie, B) Pour éviter que le bateau ne s'écrase contre le quai, C) Pour que l'issue du duel soit déterminée par le duel lui-même et non par la poussée continue des rameurs, D) Ce n'est pas une règle")</f>
        <v>A) Pour économiser de l'énergie, B) Pour éviter que le bateau ne s'écrase contre le quai, C) Pour que l'issue du duel soit déterminée par le duel lui-même et non par la poussée continue des rameurs, D) Ce n'est pas une règle</v>
      </c>
      <c r="J63" s="5" t="str">
        <f>IFERROR(__xludf.DUMMYFUNCTION("GOOGLETRANSLATE(D63, ""en"", ""fr"")"),"C) Pour que l'issue du duel soit déterminée par la joute elle-même, et non par la poussée continue des rameurs")</f>
        <v>C) Pour que l'issue du duel soit déterminée par la joute elle-même, et non par la poussée continue des rameurs</v>
      </c>
      <c r="K63" s="5" t="str">
        <f>IFERROR(__xludf.DUMMYFUNCTION("GOOGLETRANSLATE(E63, ""en"", ""fr"")"),"Les rameurs fournissent l'élan initial, mais le résultat de la passe dépend de l'habileté et de la force des jouteurs au moment de l'impact.")</f>
        <v>Les rameurs fournissent l'élan initial, mais le résultat de la passe dépend de l'habileté et de la force des jouteurs au moment de l'impact.</v>
      </c>
    </row>
    <row r="64" ht="22.5" customHeight="1">
      <c r="A64" s="3">
        <v>63.0</v>
      </c>
      <c r="B64" s="4" t="s">
        <v>240</v>
      </c>
      <c r="C64" s="4" t="s">
        <v>186</v>
      </c>
      <c r="D64" s="4" t="s">
        <v>187</v>
      </c>
      <c r="E64" s="4" t="s">
        <v>188</v>
      </c>
      <c r="G64" s="5" t="str">
        <f>IFERROR(__xludf.DUMMYFUNCTION("GOOGLETRANSLATE(A64, ""en"", ""fr"")"),"63")</f>
        <v>63</v>
      </c>
      <c r="H64" s="5" t="str">
        <f>IFERROR(__xludf.DUMMYFUNCTION("GOOGLETRANSLATE(B64, ""en"", ""fr"")"),"La victoire d'un jouteur est contestée. Le jury statue que la tintaine du vainqueur était illégalement large, lui conférant un avantage indu. Quel est le verdict ?")</f>
        <v>La victoire d'un jouteur est contestée. Le jury statue que la tintaine du vainqueur était illégalement large, lui conférant un avantage indu. Quel est le verdict ?</v>
      </c>
      <c r="I64" s="5" t="str">
        <f>IFERROR(__xludf.DUMMYFUNCTION("GOOGLETRANSLATE(C64, ""en"", ""fr"")"),"A) La victoire est validée, mais l'équipe est condamnée à une amende. B) Le vainqueur est disqualifié et la victoire est attribuée à l'équipe adverse. C) La passe est rejouée. D) La protestation est ignorée.")</f>
        <v>A) La victoire est validée, mais l'équipe est condamnée à une amende. B) Le vainqueur est disqualifié et la victoire est attribuée à l'équipe adverse. C) La passe est rejouée. D) La protestation est ignorée.</v>
      </c>
      <c r="J64" s="5" t="str">
        <f>IFERROR(__xludf.DUMMYFUNCTION("GOOGLETRANSLATE(D64, ""en"", ""fr"")"),"B) Le vainqueur est disqualifié et la victoire est attribuée à l'adversaire.")</f>
        <v>B) Le vainqueur est disqualifié et la victoire est attribuée à l'adversaire.</v>
      </c>
      <c r="K64" s="5" t="str">
        <f>IFERROR(__xludf.DUMMYFUNCTION("GOOGLETRANSLATE(E64, ""en"", ""fr"")"),"Une victoire obtenue grâce à un équipement illégal est annulée, et la victoire est attribuée à l'autre jouteur.")</f>
        <v>Une victoire obtenue grâce à un équipement illégal est annulée, et la victoire est attribuée à l'autre jouteur.</v>
      </c>
    </row>
    <row r="65" ht="22.5" customHeight="1">
      <c r="A65" s="3">
        <v>64.0</v>
      </c>
      <c r="B65" s="4" t="s">
        <v>189</v>
      </c>
      <c r="C65" s="4" t="s">
        <v>190</v>
      </c>
      <c r="D65" s="4" t="s">
        <v>191</v>
      </c>
      <c r="E65" s="4" t="s">
        <v>192</v>
      </c>
      <c r="G65" s="5" t="str">
        <f>IFERROR(__xludf.DUMMYFUNCTION("GOOGLETRANSLATE(A65, ""en"", ""fr"")"),"64")</f>
        <v>64</v>
      </c>
      <c r="H65" s="5" t="str">
        <f>IFERROR(__xludf.DUMMYFUNCTION("GOOGLETRANSLATE(B65, ""en"", ""fr"")"),"Quelle est la principale raison pour laquelle les bateaux sont si richement décorés pour une fête majeure ?")</f>
        <v>Quelle est la principale raison pour laquelle les bateaux sont si richement décorés pour une fête majeure ?</v>
      </c>
      <c r="I65" s="5" t="str">
        <f>IFERROR(__xludf.DUMMYFUNCTION("GOOGLETRANSLATE(C65, ""en"", ""fr"")"),"A) Pour les rendre plus aérodynamiques, B) C'est une démonstration de la fierté, de la richesse et de la tradition de la société de joutes, C) Pour faciliter leur observation par les juges, D) C'est une exigence des sponsors")</f>
        <v>A) Pour les rendre plus aérodynamiques, B) C'est une démonstration de la fierté, de la richesse et de la tradition de la société de joutes, C) Pour faciliter leur observation par les juges, D) C'est une exigence des sponsors</v>
      </c>
      <c r="J65" s="5" t="str">
        <f>IFERROR(__xludf.DUMMYFUNCTION("GOOGLETRANSLATE(D65, ""en"", ""fr"")"),"B) C'est une démonstration de la fierté, de la richesse et de la tradition de la société de joutes")</f>
        <v>B) C'est une démonstration de la fierté, de la richesse et de la tradition de la société de joutes</v>
      </c>
      <c r="K65" s="5" t="str">
        <f>IFERROR(__xludf.DUMMYFUNCTION("GOOGLETRANSLATE(E65, ""en"", ""fr"")"),"Le faste et la décoration des bateaux sont un élément clé du spectacle culturel et de la rivalité entre les clubs.")</f>
        <v>Le faste et la décoration des bateaux sont un élément clé du spectacle culturel et de la rivalité entre les clubs.</v>
      </c>
    </row>
    <row r="66" ht="22.5" customHeight="1">
      <c r="A66" s="3">
        <v>65.0</v>
      </c>
      <c r="B66" s="4" t="s">
        <v>193</v>
      </c>
      <c r="C66" s="4" t="s">
        <v>194</v>
      </c>
      <c r="D66" s="4" t="s">
        <v>195</v>
      </c>
      <c r="E66" s="4" t="s">
        <v>196</v>
      </c>
      <c r="G66" s="5" t="str">
        <f>IFERROR(__xludf.DUMMYFUNCTION("GOOGLETRANSLATE(A66, ""en"", ""fr"")"),"65")</f>
        <v>65</v>
      </c>
      <c r="H66" s="5" t="str">
        <f>IFERROR(__xludf.DUMMYFUNCTION("GOOGLETRANSLATE(B66, ""en"", ""fr"")"),"Un jouteur est disqualifié s'il est membre de deux sociétés de joutes différentes simultanément. Est-ce une règle réelle ?")</f>
        <v>Un jouteur est disqualifié s'il est membre de deux sociétés de joutes différentes simultanément. Est-ce une règle réelle ?</v>
      </c>
      <c r="I66" s="5" t="str">
        <f>IFERROR(__xludf.DUMMYFUNCTION("GOOGLETRANSLATE(C66, ""en"", ""fr"")"),"A) Non, un jouteur peut appartenir à plusieurs clubs. B) Oui, un jouteur doit être licencié auprès d'une seule société pour une saison. C) Uniquement si les clubs sont rivaux. D) Uniquement pour les jouteurs professionnels.")</f>
        <v>A) Non, un jouteur peut appartenir à plusieurs clubs. B) Oui, un jouteur doit être licencié auprès d'une seule société pour une saison. C) Uniquement si les clubs sont rivaux. D) Uniquement pour les jouteurs professionnels.</v>
      </c>
      <c r="J66" s="5" t="str">
        <f>IFERROR(__xludf.DUMMYFUNCTION("GOOGLETRANSLATE(D66, ""en"", ""fr"")"),"B) Oui, un jouteur doit être agréé par une seule société pour une saison.")</f>
        <v>B) Oui, un jouteur doit être agréé par une seule société pour une saison.</v>
      </c>
      <c r="K66" s="5" t="str">
        <f>IFERROR(__xludf.DUMMYFUNCTION("GOOGLETRANSLATE(E66, ""en"", ""fr"")"),"Comme dans la plupart des sports organisés, un joueur doit être officiellement inscrit auprès d'un club pour participer aux championnats de la fédération.")</f>
        <v>Comme dans la plupart des sports organisés, un joueur doit être officiellement inscrit auprès d'un club pour participer aux championnats de la fédération.</v>
      </c>
    </row>
    <row r="67" ht="22.5" customHeight="1">
      <c r="A67" s="3">
        <v>66.0</v>
      </c>
      <c r="B67" s="4" t="s">
        <v>201</v>
      </c>
      <c r="C67" s="4" t="s">
        <v>238</v>
      </c>
      <c r="D67" s="4" t="s">
        <v>239</v>
      </c>
      <c r="E67" s="4" t="s">
        <v>204</v>
      </c>
      <c r="G67" s="5" t="str">
        <f>IFERROR(__xludf.DUMMYFUNCTION("GOOGLETRANSLATE(A67, ""en"", ""fr"")"),"66")</f>
        <v>66</v>
      </c>
      <c r="H67" s="5" t="str">
        <f>IFERROR(__xludf.DUMMYFUNCTION("GOOGLETRANSLATE(B67, ""en"", ""fr"")"),"Quel est le rôle principal du président du jury ?")</f>
        <v>Quel est le rôle principal du président du jury ?</v>
      </c>
      <c r="I67" s="5" t="str">
        <f>IFERROR(__xludf.DUMMYFUNCTION("GOOGLETRANSLATE(C67, ""en"", ""fr"")"),"A) Être le sponsor principal, B) Être le responsable ayant le dernier mot sur toutes les contestations et interprétations des règles, C) Être le capitaine de l'équipe gagnante, D) Être le maire de la ville hôte")</f>
        <v>A) Être le sponsor principal, B) Être le responsable ayant le dernier mot sur toutes les contestations et interprétations des règles, C) Être le capitaine de l'équipe gagnante, D) Être le maire de la ville hôte</v>
      </c>
      <c r="J67" s="5" t="str">
        <f>IFERROR(__xludf.DUMMYFUNCTION("GOOGLETRANSLATE(D67, ""en"", ""fr"")"),"B) Être le principal responsable ayant le dernier mot sur toutes les protestations et les interprétations des règles.")</f>
        <v>B) Être le principal responsable ayant le dernier mot sur toutes les protestations et les interprétations des règles.</v>
      </c>
      <c r="K67" s="5" t="str">
        <f>IFERROR(__xludf.DUMMYFUNCTION("GOOGLETRANSLATE(E67, ""en"", ""fr"")"),"Il s'agit du plus haut responsable de l'événement, chargé de superviser l'ensemble de la compétition et de prendre les décisions finales.")</f>
        <v>Il s'agit du plus haut responsable de l'événement, chargé de superviser l'ensemble de la compétition et de prendre les décisions finales.</v>
      </c>
    </row>
    <row r="68" ht="22.5" customHeight="1">
      <c r="A68" s="3">
        <v>67.0</v>
      </c>
      <c r="B68" s="4" t="s">
        <v>241</v>
      </c>
      <c r="C68" s="4" t="s">
        <v>242</v>
      </c>
      <c r="D68" s="4" t="s">
        <v>243</v>
      </c>
      <c r="E68" s="4" t="s">
        <v>244</v>
      </c>
      <c r="G68" s="5" t="str">
        <f>IFERROR(__xludf.DUMMYFUNCTION("GOOGLETRANSLATE(A68, ""en"", ""fr"")"),"67")</f>
        <v>67</v>
      </c>
      <c r="H68" s="5" t="str">
        <f>IFERROR(__xludf.DUMMYFUNCTION("GOOGLETRANSLATE(B68, ""en"", ""fr"")"),"Un jouteur est surpris en possession d'une lance à pointe modifiée illégalement et extrêmement acérée. Quelle est la conséquence immédiate ?")</f>
        <v>Un jouteur est surpris en possession d'une lance à pointe modifiée illégalement et extrêmement acérée. Quelle est la conséquence immédiate ?</v>
      </c>
      <c r="I68" s="5" t="str">
        <f>IFERROR(__xludf.DUMMYFUNCTION("GOOGLETRANSLATE(C68, ""en"", ""fr"")"),"A) La pointe est émoussée et un avertissement est donné. B) Le jouteur est disqualifié du tournoi pour une infraction grave aux règles de sécurité. C) Le jouteur perd son passage. D) Une pénalité de 6 points est appliquée.")</f>
        <v>A) La pointe est émoussée et un avertissement est donné. B) Le jouteur est disqualifié du tournoi pour une infraction grave aux règles de sécurité. C) Le jouteur perd son passage. D) Une pénalité de 6 points est appliquée.</v>
      </c>
      <c r="J68" s="5" t="str">
        <f>IFERROR(__xludf.DUMMYFUNCTION("GOOGLETRANSLATE(D68, ""en"", ""fr"")"),"B) Le jouteur est disqualifié du tournoi pour une infraction grave aux règles de sécurité.")</f>
        <v>B) Le jouteur est disqualifié du tournoi pour une infraction grave aux règles de sécurité.</v>
      </c>
      <c r="K68" s="5" t="str">
        <f>IFERROR(__xludf.DUMMYFUNCTION("GOOGLETRANSLATE(E68, ""en"", ""fr"")"),"Toute modification de l'arme visant à la rendre plus dangereuse constitue une infraction grave au règlement et entraîne l'exclusion immédiate.")</f>
        <v>Toute modification de l'arme visant à la rendre plus dangereuse constitue une infraction grave au règlement et entraîne l'exclusion immédiate.</v>
      </c>
    </row>
    <row r="69" ht="22.5" customHeight="1">
      <c r="A69" s="3">
        <v>68.0</v>
      </c>
      <c r="B69" s="4" t="s">
        <v>245</v>
      </c>
      <c r="C69" s="4" t="s">
        <v>246</v>
      </c>
      <c r="D69" s="4" t="s">
        <v>247</v>
      </c>
      <c r="E69" s="4" t="s">
        <v>248</v>
      </c>
      <c r="G69" s="5" t="str">
        <f>IFERROR(__xludf.DUMMYFUNCTION("GOOGLETRANSLATE(A69, ""en"", ""fr"")"),"68")</f>
        <v>68</v>
      </c>
      <c r="H69" s="5" t="str">
        <f>IFERROR(__xludf.DUMMYFUNCTION("GOOGLETRANSLATE(B69, ""en"", ""fr"")"),"Quelle est la décision à prendre si un jouteur est manifestement ivre avant son passage ?")</f>
        <v>Quelle est la décision à prendre si un jouteur est manifestement ivre avant son passage ?</v>
      </c>
      <c r="I69" s="5" t="str">
        <f>IFERROR(__xludf.DUMMYFUNCTION("GOOGLETRANSLATE(C69, ""en"", ""fr"")"),"A) Ils sont autorisés à concourir à leurs propres risques, B) Ils sont immédiatement disqualifiés par l'arbitre ou le jury, C) Ils reçoivent un avertissement et sont invités à boire de l'eau, D) Le passage est reporté")</f>
        <v>A) Ils sont autorisés à concourir à leurs propres risques, B) Ils sont immédiatement disqualifiés par l'arbitre ou le jury, C) Ils reçoivent un avertissement et sont invités à boire de l'eau, D) Le passage est reporté</v>
      </c>
      <c r="J69" s="5" t="str">
        <f>IFERROR(__xludf.DUMMYFUNCTION("GOOGLETRANSLATE(D69, ""en"", ""fr"")"),"B) Ils sont immédiatement disqualifiés par l'arbitre ou le jury.")</f>
        <v>B) Ils sont immédiatement disqualifiés par l'arbitre ou le jury.</v>
      </c>
      <c r="K69" s="5" t="str">
        <f>IFERROR(__xludf.DUMMYFUNCTION("GOOGLETRANSLATE(E69, ""en"", ""fr"")"),"Pour la sécurité de tous, un concurrent sous l'influence de l'alcool ou de drogues n'est pas autorisé à participer.")</f>
        <v>Pour la sécurité de tous, un concurrent sous l'influence de l'alcool ou de drogues n'est pas autorisé à participer.</v>
      </c>
    </row>
    <row r="70" ht="22.5" customHeight="1">
      <c r="A70" s="3">
        <v>69.0</v>
      </c>
      <c r="B70" s="4" t="s">
        <v>249</v>
      </c>
      <c r="C70" s="4" t="s">
        <v>250</v>
      </c>
      <c r="D70" s="4" t="s">
        <v>251</v>
      </c>
      <c r="E70" s="4" t="s">
        <v>252</v>
      </c>
      <c r="G70" s="5" t="str">
        <f>IFERROR(__xludf.DUMMYFUNCTION("GOOGLETRANSLATE(A70, ""en"", ""fr"")"),"69")</f>
        <v>69</v>
      </c>
      <c r="H70" s="5" t="str">
        <f>IFERROR(__xludf.DUMMYFUNCTION("GOOGLETRANSLATE(B70, ""en"", ""fr"")"),"Un jouteur est averti pour ne pas avoir porté correctement son plastron (protection de poitrine). Cet avertissement est-il justifié ?")</f>
        <v>Un jouteur est averti pour ne pas avoir porté correctement son plastron (protection de poitrine). Cet avertissement est-il justifié ?</v>
      </c>
      <c r="I70" s="5" t="str">
        <f>IFERROR(__xludf.DUMMYFUNCTION("GOOGLETRANSLATE(C70, ""en"", ""fr"")"),"A) Non, le plastron est facultatif. B) Oui, tout l'équipement de sécurité doit être porté conformément au règlement. C) Uniquement si l'adversaire se plaint. D) Uniquement dans la catégorie poids lourds.")</f>
        <v>A) Non, le plastron est facultatif. B) Oui, tout l'équipement de sécurité doit être porté conformément au règlement. C) Uniquement si l'adversaire se plaint. D) Uniquement dans la catégorie poids lourds.</v>
      </c>
      <c r="J70" s="5" t="str">
        <f>IFERROR(__xludf.DUMMYFUNCTION("GOOGLETRANSLATE(D70, ""en"", ""fr"")"),"B) Oui, tous les équipements de sécurité doivent être portés conformément à la réglementation.")</f>
        <v>B) Oui, tous les équipements de sécurité doivent être portés conformément à la réglementation.</v>
      </c>
      <c r="K70" s="5" t="str">
        <f>IFERROR(__xludf.DUMMYFUNCTION("GOOGLETRANSLATE(E70, ""en"", ""fr"")"),"Le plastron en bois est un élément essentiel de l'équipement de sécurité, et l'arbitre doit s'assurer qu'il est correctement ajusté.")</f>
        <v>Le plastron en bois est un élément essentiel de l'équipement de sécurité, et l'arbitre doit s'assurer qu'il est correctement ajusté.</v>
      </c>
    </row>
    <row r="71" ht="22.5" customHeight="1">
      <c r="A71" s="3">
        <v>70.0</v>
      </c>
      <c r="B71" s="4" t="s">
        <v>205</v>
      </c>
      <c r="C71" s="4" t="s">
        <v>206</v>
      </c>
      <c r="D71" s="4" t="s">
        <v>207</v>
      </c>
      <c r="E71" s="4" t="s">
        <v>208</v>
      </c>
      <c r="G71" s="5" t="str">
        <f>IFERROR(__xludf.DUMMYFUNCTION("GOOGLETRANSLATE(A71, ""en"", ""fr"")"),"70")</f>
        <v>70</v>
      </c>
      <c r="H71" s="5" t="str">
        <f>IFERROR(__xludf.DUMMYFUNCTION("GOOGLETRANSLATE(B71, ""en"", ""fr"")"),"En substance, les joutes nautiques sont un duel formel. Quel est leur but ultime ?")</f>
        <v>En substance, les joutes nautiques sont un duel formel. Quel est leur but ultime ?</v>
      </c>
      <c r="I71" s="5" t="str">
        <f>IFERROR(__xludf.DUMMYFUNCTION("GOOGLETRANSLATE(C71, ""en"", ""fr"")"),"A) Pour démontrer quelle équipe possède les rameurs les plus rapides, B) Pour prouver son courage, son habileté et son équilibre en désarçonnant un adversaire, C) Pour briser le plus de lances possible, D) Pour divertir la famille royale")</f>
        <v>A) Pour démontrer quelle équipe possède les rameurs les plus rapides, B) Pour prouver son courage, son habileté et son équilibre en désarçonnant un adversaire, C) Pour briser le plus de lances possible, D) Pour divertir la famille royale</v>
      </c>
      <c r="J71" s="5" t="str">
        <f>IFERROR(__xludf.DUMMYFUNCTION("GOOGLETRANSLATE(D71, ""en"", ""fr"")"),"B) Prouver son courage, son habileté et son équilibre en désarçonnant un adversaire")</f>
        <v>B) Prouver son courage, son habileté et son équilibre en désarçonnant un adversaire</v>
      </c>
      <c r="K71" s="5" t="str">
        <f>IFERROR(__xludf.DUMMYFUNCTION("GOOGLETRANSLATE(E71, ""en"", ""fr"")"),"Ce sport est une forme ritualisée et non létale de duel chevaleresque, un affrontement en face à face d'adresse et de bravoure.")</f>
        <v>Ce sport est une forme ritualisée et non létale de duel chevaleresque, un affrontement en face à face d'adresse et de bravoure.</v>
      </c>
    </row>
    <row r="72" ht="22.5" customHeight="1">
      <c r="A72" s="3">
        <v>71.0</v>
      </c>
      <c r="B72" s="4" t="s">
        <v>253</v>
      </c>
      <c r="C72" s="4" t="s">
        <v>254</v>
      </c>
      <c r="D72" s="4" t="s">
        <v>255</v>
      </c>
      <c r="E72" s="4" t="s">
        <v>256</v>
      </c>
      <c r="G72" s="5" t="str">
        <f>IFERROR(__xludf.DUMMYFUNCTION("GOOGLETRANSLATE(A72, ""en"", ""fr"")"),"71")</f>
        <v>71</v>
      </c>
      <c r="H72" s="5" t="str">
        <f>IFERROR(__xludf.DUMMYFUNCTION("GOOGLETRANSLATE(B72, ""en"", ""fr"")"),"Qu'est-ce que la «Coupe de France» ?")</f>
        <v>Qu'est-ce que la «Coupe de France» ?</v>
      </c>
      <c r="I72" s="5" t="str">
        <f>IFERROR(__xludf.DUMMYFUNCTION("GOOGLETRANSLATE(C72, ""en"", ""fr"")"),"A) Le championnat principal de la saison, B) Un tournoi national prestigieux à élimination directe, C) Un tournoi pour les jeunes jouteurs, D) Un événement cérémoniel")</f>
        <v>A) Le championnat principal de la saison, B) Un tournoi national prestigieux à élimination directe, C) Un tournoi pour les jeunes jouteurs, D) Un événement cérémoniel</v>
      </c>
      <c r="J72" s="5" t="str">
        <f>IFERROR(__xludf.DUMMYFUNCTION("GOOGLETRANSLATE(D72, ""en"", ""fr"")"),"B) Un prestigieux tournoi national à élimination directe")</f>
        <v>B) Un prestigieux tournoi national à élimination directe</v>
      </c>
      <c r="K72" s="5" t="str">
        <f>IFERROR(__xludf.DUMMYFUNCTION("GOOGLETRANSLATE(E72, ""en"", ""fr"")"),"La Coupe de France est une compétition majeure de coupe à élimination directe, distincte du championnat organisé sous forme de ligue.")</f>
        <v>La Coupe de France est une compétition majeure de coupe à élimination directe, distincte du championnat organisé sous forme de ligue.</v>
      </c>
    </row>
    <row r="73" ht="22.5" customHeight="1">
      <c r="A73" s="3">
        <v>72.0</v>
      </c>
      <c r="B73" s="4" t="s">
        <v>257</v>
      </c>
      <c r="C73" s="4" t="s">
        <v>258</v>
      </c>
      <c r="D73" s="4" t="s">
        <v>259</v>
      </c>
      <c r="E73" s="4" t="s">
        <v>260</v>
      </c>
      <c r="G73" s="5" t="str">
        <f>IFERROR(__xludf.DUMMYFUNCTION("GOOGLETRANSLATE(A73, ""en"", ""fr"")"),"72")</f>
        <v>72</v>
      </c>
      <c r="H73" s="5" t="str">
        <f>IFERROR(__xludf.DUMMYFUNCTION("GOOGLETRANSLATE(B73, ""en"", ""fr"")"),"Le bouclier (pavois) d'un jouteur présente une petite bosse suite à un précédent passage. Peut-il encore être utilisé ?")</f>
        <v>Le bouclier (pavois) d'un jouteur présente une petite bosse suite à un précédent passage. Peut-il encore être utilisé ?</v>
      </c>
      <c r="I73" s="5" t="str">
        <f>IFERROR(__xludf.DUMMYFUNCTION("GOOGLETRANSLATE(C73, ""en"", ""fr"")"),"A) Non, il doit être remplacé. B) Oui, à condition qu'il soit structurellement sain. C) Uniquement si l'adversaire est d'accord. D) Ils recevront un point de pénalité.")</f>
        <v>A) Non, il doit être remplacé. B) Oui, à condition qu'il soit structurellement sain. C) Uniquement si l'adversaire est d'accord. D) Ils recevront un point de pénalité.</v>
      </c>
      <c r="J73" s="5" t="str">
        <f>IFERROR(__xludf.DUMMYFUNCTION("GOOGLETRANSLATE(D73, ""en"", ""fr"")"),"B) Oui, à condition qu'elle soit structurellement saine")</f>
        <v>B) Oui, à condition qu'elle soit structurellement saine</v>
      </c>
      <c r="K73" s="5" t="str">
        <f>IFERROR(__xludf.DUMMYFUNCTION("GOOGLETRANSLATE(E73, ""en"", ""fr"")"),"De légers dommages esthétiques sont normaux. Le bouclier n'est remplacé que s'il est brisé ou endommagé de manière à compromettre la sécurité ou l'équité.")</f>
        <v>De légers dommages esthétiques sont normaux. Le bouclier n'est remplacé que s'il est brisé ou endommagé de manière à compromettre la sécurité ou l'équité.</v>
      </c>
    </row>
    <row r="74" ht="22.5" customHeight="1">
      <c r="A74" s="3">
        <v>73.0</v>
      </c>
      <c r="B74" s="4" t="s">
        <v>261</v>
      </c>
      <c r="C74" s="4" t="s">
        <v>262</v>
      </c>
      <c r="D74" s="4" t="s">
        <v>263</v>
      </c>
      <c r="E74" s="4" t="s">
        <v>264</v>
      </c>
      <c r="G74" s="5" t="str">
        <f>IFERROR(__xludf.DUMMYFUNCTION("GOOGLETRANSLATE(A74, ""en"", ""fr"")"),"73")</f>
        <v>73</v>
      </c>
      <c r="H74" s="5" t="str">
        <f>IFERROR(__xludf.DUMMYFUNCTION("GOOGLETRANSLATE(B74, ""en"", ""fr"")"),"Quel est le nom de la compétition pour les jouteurs de la catégorie des poids les plus légers ?")</f>
        <v>Quel est le nom de la compétition pour les jouteurs de la catégorie des poids les plus légers ?</v>
      </c>
      <c r="I74" s="5" t="str">
        <f>IFERROR(__xludf.DUMMYFUNCTION("GOOGLETRANSLATE(C74, ""en"", ""fr"")"),"A) Poids plumes, B) Juniors, C) Poids légers, D) Cadets")</f>
        <v>A) Poids plumes, B) Juniors, C) Poids légers, D) Cadets</v>
      </c>
      <c r="J74" s="5" t="str">
        <f>IFERROR(__xludf.DUMMYFUNCTION("GOOGLETRANSLATE(D74, ""en"", ""fr"")"),"C) Légers")</f>
        <v>C) Légers</v>
      </c>
      <c r="K74" s="5" t="str">
        <f>IFERROR(__xludf.DUMMYFUNCTION("GOOGLETRANSLATE(E74, ""en"", ""fr"")"),"La compétition senior est divisée en plusieurs catégories de poids, notamment les poids légers, moyens et lourds.")</f>
        <v>La compétition senior est divisée en plusieurs catégories de poids, notamment les poids légers, moyens et lourds.</v>
      </c>
    </row>
    <row r="75" ht="22.5" customHeight="1">
      <c r="A75" s="3">
        <v>74.0</v>
      </c>
      <c r="B75" s="4" t="s">
        <v>265</v>
      </c>
      <c r="C75" s="4" t="s">
        <v>94</v>
      </c>
      <c r="D75" s="4" t="s">
        <v>95</v>
      </c>
      <c r="E75" s="4" t="s">
        <v>96</v>
      </c>
      <c r="G75" s="5" t="str">
        <f>IFERROR(__xludf.DUMMYFUNCTION("GOOGLETRANSLATE(A75, ""en"", ""fr"")"),"74")</f>
        <v>74</v>
      </c>
      <c r="H75" s="5" t="str">
        <f>IFERROR(__xludf.DUMMYFUNCTION("GOOGLETRANSLATE(B75, ""en"", ""fr"")"),"Un jouteur parvient à faire tomber son adversaire, mais son propre pied glisse hors de l'empreinte marquée sur la tintaine. Quelle est la décision ?")</f>
        <v>Un jouteur parvient à faire tomber son adversaire, mais son propre pied glisse hors de l'empreinte marquée sur la tintaine. Quelle est la décision ?</v>
      </c>
      <c r="I75" s="5" t="str">
        <f>IFERROR(__xludf.DUMMYFUNCTION("GOOGLETRANSLATE(C75, ""en"", ""fr"")"),"A) La victoire est valable. B) Il y a faute ; la passe est nulle et doit être rejouée. C) Le jouteur qui a glissé est disqualifié. D) Le point est attribué à l'adversaire.")</f>
        <v>A) La victoire est valable. B) Il y a faute ; la passe est nulle et doit être rejouée. C) Le jouteur qui a glissé est disqualifié. D) Le point est attribué à l'adversaire.</v>
      </c>
      <c r="J75" s="5" t="str">
        <f>IFERROR(__xludf.DUMMYFUNCTION("GOOGLETRANSLATE(D75, ""en"", ""fr"")"),"B) C'est une faute ; la passe est nulle et doit être rejouée.")</f>
        <v>B) C'est une faute ; la passe est nulle et doit être rejouée.</v>
      </c>
      <c r="K75" s="5" t="str">
        <f>IFERROR(__xludf.DUMMYFUNCTION("GOOGLETRANSLATE(E75, ""en"", ""fr"")"),"Pour être déclaré vainqueur, un jouteur doit respecter scrupuleusement les règles. Une faute de pied au moment de la victoire annule celle-ci.")</f>
        <v>Pour être déclaré vainqueur, un jouteur doit respecter scrupuleusement les règles. Une faute de pied au moment de la victoire annule celle-ci.</v>
      </c>
    </row>
    <row r="76" ht="22.5" customHeight="1">
      <c r="A76" s="3">
        <v>75.0</v>
      </c>
      <c r="B76" s="4" t="s">
        <v>81</v>
      </c>
      <c r="C76" s="4" t="s">
        <v>82</v>
      </c>
      <c r="D76" s="4" t="s">
        <v>83</v>
      </c>
      <c r="E76" s="4" t="s">
        <v>266</v>
      </c>
      <c r="G76" s="5" t="str">
        <f>IFERROR(__xludf.DUMMYFUNCTION("GOOGLETRANSLATE(A76, ""en"", ""fr"")"),"75")</f>
        <v>75</v>
      </c>
      <c r="H76" s="5" t="str">
        <f>IFERROR(__xludf.DUMMYFUNCTION("GOOGLETRANSLATE(B76, ""en"", ""fr"")"),"L'embarcation d'une équipe ne compte que 9 rameurs au lieu des 10 requis. Quelle en est la conséquence ?")</f>
        <v>L'embarcation d'une équipe ne compte que 9 rameurs au lieu des 10 requis. Quelle en est la conséquence ?</v>
      </c>
      <c r="I76" s="5" t="str">
        <f>IFERROR(__xludf.DUMMYFUNCTION("GOOGLETRANSLATE(C76, ""en"", ""fr"")"),"A) Ils sont autorisés à concourir malgré un désavantage, B) Ils ne sont pas autorisés à initier la passe, C) Ils reçoivent une pénalité d'un point, D) Ils peuvent utiliser un moteur pour compenser")</f>
        <v>A) Ils sont autorisés à concourir malgré un désavantage, B) Ils ne sont pas autorisés à initier la passe, C) Ils reçoivent une pénalité d'un point, D) Ils peuvent utiliser un moteur pour compenser</v>
      </c>
      <c r="J76" s="5" t="str">
        <f>IFERROR(__xludf.DUMMYFUNCTION("GOOGLETRANSLATE(D76, ""en"", ""fr"")"),"B) Ils ne sont pas autorisés à commencer la passe")</f>
        <v>B) Ils ne sont pas autorisés à commencer la passe</v>
      </c>
      <c r="K76" s="5" t="str">
        <f>IFERROR(__xludf.DUMMYFUNCTION("GOOGLETRANSLATE(E76, ""en"", ""fr"")"),"Les règles relatives à la composition des équipages sont strictes afin de garantir l'équité. Une équipe à laquelle il manque un rameur ne peut pas participer.")</f>
        <v>Les règles relatives à la composition des équipages sont strictes afin de garantir l'équité. Une équipe à laquelle il manque un rameur ne peut pas participer.</v>
      </c>
    </row>
    <row r="77" ht="22.5" customHeight="1">
      <c r="A77" s="3">
        <v>76.0</v>
      </c>
      <c r="B77" s="4" t="s">
        <v>267</v>
      </c>
      <c r="C77" s="4" t="s">
        <v>268</v>
      </c>
      <c r="D77" s="4" t="s">
        <v>269</v>
      </c>
      <c r="E77" s="4" t="s">
        <v>270</v>
      </c>
      <c r="G77" s="5" t="str">
        <f>IFERROR(__xludf.DUMMYFUNCTION("GOOGLETRANSLATE(A77, ""en"", ""fr"")"),"76")</f>
        <v>76</v>
      </c>
      <c r="H77" s="5" t="str">
        <f>IFERROR(__xludf.DUMMYFUNCTION("GOOGLETRANSLATE(B77, ""en"", ""fr"")"),"Un jouteur utilise une lance légèrement courbée. Est-ce autorisé ?")</f>
        <v>Un jouteur utilise une lance légèrement courbée. Est-ce autorisé ?</v>
      </c>
      <c r="I77" s="5" t="str">
        <f>IFERROR(__xludf.DUMMYFUNCTION("GOOGLETRANSLATE(C77, ""en"", ""fr"")"),"A) Oui, si cela les aide à mieux viser, B) Non, la lance doit être parfaitement droite, C) Seulement si l'adversaire est d'accord, D) Uniquement dans la catégorie junior")</f>
        <v>A) Oui, si cela les aide à mieux viser, B) Non, la lance doit être parfaitement droite, C) Seulement si l'adversaire est d'accord, D) Uniquement dans la catégorie junior</v>
      </c>
      <c r="J77" s="5" t="str">
        <f>IFERROR(__xludf.DUMMYFUNCTION("GOOGLETRANSLATE(D77, ""en"", ""fr"")"),"B) Non, la lance doit être parfaitement droite.")</f>
        <v>B) Non, la lance doit être parfaitement droite.</v>
      </c>
      <c r="K77" s="5" t="str">
        <f>IFERROR(__xludf.DUMMYFUNCTION("GOOGLETRANSLATE(E77, ""en"", ""fr"")"),"L'équipement est standardisé, et une lance courbe serait illégale car elle pourrait procurer un avantage injuste ou être imprévisible.")</f>
        <v>L'équipement est standardisé, et une lance courbe serait illégale car elle pourrait procurer un avantage injuste ou être imprévisible.</v>
      </c>
    </row>
    <row r="78" ht="22.5" customHeight="1">
      <c r="A78" s="3">
        <v>77.0</v>
      </c>
      <c r="B78" s="4" t="s">
        <v>137</v>
      </c>
      <c r="C78" s="4" t="s">
        <v>271</v>
      </c>
      <c r="D78" s="4" t="s">
        <v>272</v>
      </c>
      <c r="E78" s="4" t="s">
        <v>140</v>
      </c>
      <c r="G78" s="5" t="str">
        <f>IFERROR(__xludf.DUMMYFUNCTION("GOOGLETRANSLATE(A78, ""en"", ""fr"")"),"77")</f>
        <v>77</v>
      </c>
      <c r="H78" s="5" t="str">
        <f>IFERROR(__xludf.DUMMYFUNCTION("GOOGLETRANSLATE(B78, ""en"", ""fr"")"),"Quelle est la principale caractéristique de la méthode de joute « Givordine » ?")</f>
        <v>Quelle est la principale caractéristique de la méthode de joute « Givordine » ?</v>
      </c>
      <c r="I78" s="5" t="str">
        <f>IFERROR(__xludf.DUMMYFUNCTION("GOOGLETRANSLATE(C78, ""en"", ""fr"")"),"A) Les bateaux passent par la gauche, B) Les jouteurs sont assis, C) Les bateaux sont propulsés par un système de câbles, D) C'est une version sans contact")</f>
        <v>A) Les bateaux passent par la gauche, B) Les jouteurs sont assis, C) Les bateaux sont propulsés par un système de câbles, D) C'est une version sans contact</v>
      </c>
      <c r="J78" s="5" t="str">
        <f>IFERROR(__xludf.DUMMYFUNCTION("GOOGLETRANSLATE(D78, ""en"", ""fr"")"),"A) Les bateaux passent sur le côté gauche")</f>
        <v>A) Les bateaux passent sur le côté gauche</v>
      </c>
      <c r="K78" s="5" t="str">
        <f>IFERROR(__xludf.DUMMYFUNCTION("GOOGLETRANSLATE(E78, ""en"", ""fr"")"),"C’est là la règle distinctive clé du style Givors, par opposition au style Sète où les bateaux doivent passer par la droite.")</f>
        <v>C’est là la règle distinctive clé du style Givors, par opposition au style Sète où les bateaux doivent passer par la droite.</v>
      </c>
    </row>
    <row r="79" ht="22.5" customHeight="1">
      <c r="A79" s="3">
        <v>78.0</v>
      </c>
      <c r="B79" s="4" t="s">
        <v>273</v>
      </c>
      <c r="C79" s="4" t="s">
        <v>274</v>
      </c>
      <c r="D79" s="4" t="s">
        <v>275</v>
      </c>
      <c r="E79" s="4" t="s">
        <v>276</v>
      </c>
      <c r="G79" s="5" t="str">
        <f>IFERROR(__xludf.DUMMYFUNCTION("GOOGLETRANSLATE(A79, ""en"", ""fr"")"),"78")</f>
        <v>78</v>
      </c>
      <c r="H79" s="5" t="str">
        <f>IFERROR(__xludf.DUMMYFUNCTION("GOOGLETRANSLATE(B79, ""en"", ""fr"")"),"Un jouteur parvient à désarçonner son adversaire. À qui revient la gloire de la victoire ?")</f>
        <v>Un jouteur parvient à désarçonner son adversaire. À qui revient la gloire de la victoire ?</v>
      </c>
      <c r="I79" s="5" t="str">
        <f>IFERROR(__xludf.DUMMYFUNCTION("GOOGLETRANSLATE(C79, ""en"", ""fr"")"),"A) Uniquement au jouteur, B) Au jouteur, aux rameurs, au timonier et à toute leur société, C) Au constructeur de bateaux, D) Au maire de la ville")</f>
        <v>A) Uniquement au jouteur, B) Au jouteur, aux rameurs, au timonier et à toute leur société, C) Au constructeur de bateaux, D) Au maire de la ville</v>
      </c>
      <c r="J79" s="5" t="str">
        <f>IFERROR(__xludf.DUMMYFUNCTION("GOOGLETRANSLATE(D79, ""en"", ""fr"")"),"B) Au jouteur, aux rameurs, au timonier et à toute leur société")</f>
        <v>B) Au jouteur, aux rameurs, au timonier et à toute leur société</v>
      </c>
      <c r="K79" s="5" t="str">
        <f>IFERROR(__xludf.DUMMYFUNCTION("GOOGLETRANSLATE(E79, ""en"", ""fr"")"),"Une victoire en joute est considérée comme un effort collectif et communautaire.")</f>
        <v>Une victoire en joute est considérée comme un effort collectif et communautaire.</v>
      </c>
    </row>
    <row r="80" ht="22.5" customHeight="1">
      <c r="A80" s="3">
        <v>79.0</v>
      </c>
      <c r="B80" s="4" t="s">
        <v>277</v>
      </c>
      <c r="C80" s="4" t="s">
        <v>278</v>
      </c>
      <c r="D80" s="4" t="s">
        <v>279</v>
      </c>
      <c r="E80" s="4" t="s">
        <v>280</v>
      </c>
      <c r="G80" s="5" t="str">
        <f>IFERROR(__xludf.DUMMYFUNCTION("GOOGLETRANSLATE(A80, ""en"", ""fr"")"),"79")</f>
        <v>79</v>
      </c>
      <c r="H80" s="5" t="str">
        <f>IFERROR(__xludf.DUMMYFUNCTION("GOOGLETRANSLATE(B80, ""en"", ""fr"")"),"Quelle est la règle si un jouteur touche son adversaire de sa main libre pour le pousser ?")</f>
        <v>Quelle est la règle si un jouteur touche son adversaire de sa main libre pour le pousser ?</v>
      </c>
      <c r="I80" s="5" t="str">
        <f>IFERROR(__xludf.DUMMYFUNCTION("GOOGLETRANSLATE(C80, ""en"", ""fr"")"),"A) C'est une tactique légale, B) C'est une faute et le jouteur perd la passe, C) Un avertissement est donné, D) La passe est rejouée")</f>
        <v>A) C'est une tactique légale, B) C'est une faute et le jouteur perd la passe, C) Un avertissement est donné, D) La passe est rejouée</v>
      </c>
      <c r="J80" s="5" t="str">
        <f>IFERROR(__xludf.DUMMYFUNCTION("GOOGLETRANSLATE(D80, ""en"", ""fr"")"),"B) C'est une faute, et le jouteur perd la passe.")</f>
        <v>B) C'est une faute, et le jouteur perd la passe.</v>
      </c>
      <c r="K80" s="5" t="str">
        <f>IFERROR(__xludf.DUMMYFUNCTION("GOOGLETRANSLATE(E80, ""en"", ""fr"")"),"Il est strictement interdit à un jouteur de toucher son adversaire avec quelque partie que ce soit de son corps.")</f>
        <v>Il est strictement interdit à un jouteur de toucher son adversaire avec quelque partie que ce soit de son corps.</v>
      </c>
    </row>
    <row r="81" ht="22.5" customHeight="1">
      <c r="A81" s="3">
        <v>80.0</v>
      </c>
      <c r="B81" s="4" t="s">
        <v>281</v>
      </c>
      <c r="C81" s="4" t="s">
        <v>282</v>
      </c>
      <c r="D81" s="4" t="s">
        <v>283</v>
      </c>
      <c r="E81" s="4" t="s">
        <v>284</v>
      </c>
      <c r="G81" s="5" t="str">
        <f>IFERROR(__xludf.DUMMYFUNCTION("GOOGLETRANSLATE(A81, ""en"", ""fr"")"),"80")</f>
        <v>80</v>
      </c>
      <c r="H81" s="5" t="str">
        <f>IFERROR(__xludf.DUMMYFUNCTION("GOOGLETRANSLATE(B81, ""en"", ""fr"")"),"Quel est le rôle principal du musicien sur le bateau ?")</f>
        <v>Quel est le rôle principal du musicien sur le bateau ?</v>
      </c>
      <c r="I81" s="5" t="str">
        <f>IFERROR(__xludf.DUMMYFUNCTION("GOOGLETRANSLATE(C81, ""en"", ""fr"")"),"A) Divertir le public, B) Donner le rythme aux rameurs avec leur hautbois et leur tambour, C) Signaler les fautes à l'arbitre, D) Être rameur remplaçant")</f>
        <v>A) Divertir le public, B) Donner le rythme aux rameurs avec leur hautbois et leur tambour, C) Signaler les fautes à l'arbitre, D) Être rameur remplaçant</v>
      </c>
      <c r="J81" s="5" t="str">
        <f>IFERROR(__xludf.DUMMYFUNCTION("GOOGLETRANSLATE(D81, ""en"", ""fr"")"),"B) Donner le rythme aux rameurs avec leur hautbois et leur tambour")</f>
        <v>B) Donner le rythme aux rameurs avec leur hautbois et leur tambour</v>
      </c>
      <c r="K81" s="5" t="str">
        <f>IFERROR(__xludf.DUMMYFUNCTION("GOOGLETRANSLATE(E81, ""en"", ""fr"")"),"Le musicien fait partie intégrante de l'équipage, car son tempo détermine la vitesse d'approche du bateau.")</f>
        <v>Le musicien fait partie intégrante de l'équipage, car son tempo détermine la vitesse d'approche du bateau.</v>
      </c>
    </row>
    <row r="82" ht="22.5" customHeight="1">
      <c r="A82" s="3">
        <v>81.0</v>
      </c>
      <c r="B82" s="4" t="s">
        <v>285</v>
      </c>
      <c r="C82" s="4" t="s">
        <v>286</v>
      </c>
      <c r="D82" s="4" t="s">
        <v>287</v>
      </c>
      <c r="E82" s="4" t="s">
        <v>288</v>
      </c>
      <c r="G82" s="5" t="str">
        <f>IFERROR(__xludf.DUMMYFUNCTION("GOOGLETRANSLATE(A82, ""en"", ""fr"")"),"81")</f>
        <v>81</v>
      </c>
      <c r="H82" s="5" t="str">
        <f>IFERROR(__xludf.DUMMYFUNCTION("GOOGLETRANSLATE(B82, ""en"", ""fr"")"),"Un jouteur porte une tenue blanche, mais ses chaussettes sont rouges, de la couleur du bateau adverse. Pourquoi est-ce une faute ?")</f>
        <v>Un jouteur porte une tenue blanche, mais ses chaussettes sont rouges, de la couleur du bateau adverse. Pourquoi est-ce une faute ?</v>
      </c>
      <c r="I82" s="5" t="str">
        <f>IFERROR(__xludf.DUMMYFUNCTION("GOOGLETRANSLATE(C82, ""en"", ""fr"")"),"A) Ce n'est pas une faute, B) Cela peut prêter à confusion pour les juges, C) Les chaussettes rouges portent malheur, D) Cela enfreint le règlement strict concernant l'uniforme entièrement blanc")</f>
        <v>A) Ce n'est pas une faute, B) Cela peut prêter à confusion pour les juges, C) Les chaussettes rouges portent malheur, D) Cela enfreint le règlement strict concernant l'uniforme entièrement blanc</v>
      </c>
      <c r="J82" s="5" t="str">
        <f>IFERROR(__xludf.DUMMYFUNCTION("GOOGLETRANSLATE(D82, ""en"", ""fr"")"),"D) Cela enfreint la règle stricte de l'uniforme entièrement blanc.")</f>
        <v>D) Cela enfreint la règle stricte de l'uniforme entièrement blanc.</v>
      </c>
      <c r="K82" s="5" t="str">
        <f>IFERROR(__xludf.DUMMYFUNCTION("GOOGLETRANSLATE(E82, ""en"", ""fr"")"),"Le règlement exige que la tenue du jouteur soit entièrement blanche, jusqu'aux chaussettes, afin de garantir l'uniformité et un jugement clair.")</f>
        <v>Le règlement exige que la tenue du jouteur soit entièrement blanche, jusqu'aux chaussettes, afin de garantir l'uniformité et un jugement clair.</v>
      </c>
    </row>
    <row r="83" ht="22.5" customHeight="1">
      <c r="A83" s="3">
        <v>82.0</v>
      </c>
      <c r="B83" s="4" t="s">
        <v>289</v>
      </c>
      <c r="C83" s="4" t="s">
        <v>290</v>
      </c>
      <c r="D83" s="4" t="s">
        <v>291</v>
      </c>
      <c r="E83" s="4" t="s">
        <v>292</v>
      </c>
      <c r="G83" s="5" t="str">
        <f>IFERROR(__xludf.DUMMYFUNCTION("GOOGLETRANSLATE(A83, ""en"", ""fr"")"),"82")</f>
        <v>82</v>
      </c>
      <c r="H83" s="5" t="str">
        <f>IFERROR(__xludf.DUMMYFUNCTION("GOOGLETRANSLATE(B83, ""en"", ""fr"")"),"Quelle est la principale raison pour laquelle un jouteur doit rester sur la tintaine pendant toute la durée du passage ?")</f>
        <v>Quelle est la principale raison pour laquelle un jouteur doit rester sur la tintaine pendant toute la durée du passage ?</v>
      </c>
      <c r="I83" s="5" t="str">
        <f>IFERROR(__xludf.DUMMYFUNCTION("GOOGLETRANSLATE(C83, ""en"", ""fr"")"),"A) C'est l'endroit le plus dangereux, B) C'est l'épreuve ultime d'équilibre, la compétence essentielle de ce sport, C) C'est le seul endroit où ils peuvent tenir la lance, D) Il offre la meilleure vue")</f>
        <v>A) C'est l'endroit le plus dangereux, B) C'est l'épreuve ultime d'équilibre, la compétence essentielle de ce sport, C) C'est le seul endroit où ils peuvent tenir la lance, D) Il offre la meilleure vue</v>
      </c>
      <c r="J83" s="5" t="str">
        <f>IFERROR(__xludf.DUMMYFUNCTION("GOOGLETRANSLATE(D83, ""en"", ""fr"")"),"B) C'est l'épreuve ultime d'équilibre, la compétence fondamentale de ce sport.")</f>
        <v>B) C'est l'épreuve ultime d'équilibre, la compétence fondamentale de ce sport.</v>
      </c>
      <c r="K83" s="5" t="str">
        <f>IFERROR(__xludf.DUMMYFUNCTION("GOOGLETRANSLATE(E83, ""en"", ""fr"")"),"Ce sport tout entier est conçu autour du défi de garder l'équilibre sur cette minuscule plateforme instable lors d'un impact violent.")</f>
        <v>Ce sport tout entier est conçu autour du défi de garder l'équilibre sur cette minuscule plateforme instable lors d'un impact violent.</v>
      </c>
    </row>
    <row r="84" ht="22.5" customHeight="1">
      <c r="A84" s="3">
        <v>83.0</v>
      </c>
      <c r="B84" s="4" t="s">
        <v>125</v>
      </c>
      <c r="C84" s="4" t="s">
        <v>126</v>
      </c>
      <c r="D84" s="4" t="s">
        <v>127</v>
      </c>
      <c r="E84" s="4" t="s">
        <v>128</v>
      </c>
      <c r="G84" s="5" t="str">
        <f>IFERROR(__xludf.DUMMYFUNCTION("GOOGLETRANSLATE(A84, ""en"", ""fr"")"),"83")</f>
        <v>83</v>
      </c>
      <c r="H84" s="5" t="str">
        <f>IFERROR(__xludf.DUMMYFUNCTION("GOOGLETRANSLATE(B84, ""en"", ""fr"")"),"Quelle est la décision à prendre si la lance brisée d'un jouteur heurte un spectateur ?")</f>
        <v>Quelle est la décision à prendre si la lance brisée d'un jouteur heurte un spectateur ?</v>
      </c>
      <c r="I84" s="5" t="str">
        <f>IFERROR(__xludf.DUMMYFUNCTION("GOOGLETRANSLATE(C84, ""en"", ""fr"")"),"A) Le jouteur est disqualifié. B) Le match est immédiatement arrêté et des soins médicaux sont prodigués. C) Le spectateur est en faute pour s'être approché trop près. D) Le match continue.")</f>
        <v>A) Le jouteur est disqualifié. B) Le match est immédiatement arrêté et des soins médicaux sont prodigués. C) Le spectateur est en faute pour s'être approché trop près. D) Le match continue.</v>
      </c>
      <c r="J84" s="5" t="str">
        <f>IFERROR(__xludf.DUMMYFUNCTION("GOOGLETRANSLATE(D84, ""en"", ""fr"")"),"B) Le match est immédiatement arrêté et une assistance médicale est fournie.")</f>
        <v>B) Le match est immédiatement arrêté et une assistance médicale est fournie.</v>
      </c>
      <c r="K84" s="5" t="str">
        <f>IFERROR(__xludf.DUMMYFUNCTION("GOOGLETRANSLATE(E84, ""en"", ""fr"")"),"La sécurité du public est une préoccupation primordiale, et tout incident de ce type nécessiterait l'arrêt immédiat de la compétition.")</f>
        <v>La sécurité du public est une préoccupation primordiale, et tout incident de ce type nécessiterait l'arrêt immédiat de la compétition.</v>
      </c>
    </row>
    <row r="85" ht="22.5" customHeight="1">
      <c r="A85" s="3">
        <v>84.0</v>
      </c>
      <c r="B85" s="4" t="s">
        <v>293</v>
      </c>
      <c r="C85" s="4" t="s">
        <v>294</v>
      </c>
      <c r="D85" s="4" t="s">
        <v>295</v>
      </c>
      <c r="E85" s="4" t="s">
        <v>52</v>
      </c>
      <c r="G85" s="5" t="str">
        <f>IFERROR(__xludf.DUMMYFUNCTION("GOOGLETRANSLATE(A85, ""en"", ""fr"")"),"84")</f>
        <v>84</v>
      </c>
      <c r="H85" s="5" t="str">
        <f>IFERROR(__xludf.DUMMYFUNCTION("GOOGLETRANSLATE(B85, ""en"", ""fr"")"),"On voit un jouteur agiter sa lance de haut en bas avant l'impact. Pourquoi est-ce une faute ?")</f>
        <v>On voit un jouteur agiter sa lance de haut en bas avant l'impact. Pourquoi est-ce une faute ?</v>
      </c>
      <c r="I85" s="5" t="str">
        <f>IFERROR(__xludf.DUMMYFUNCTION("GOOGLETRANSLATE(C85, ""en"", ""fr"")"),"A) Cela peut distraire l'adversaire, B) Cela peut créer un avantage injuste, C) Ce n'est pas une technique traditionnelle, D) Ce n'est pas une faute")</f>
        <v>A) Cela peut distraire l'adversaire, B) Cela peut créer un avantage injuste, C) Ce n'est pas une technique traditionnelle, D) Ce n'est pas une faute</v>
      </c>
      <c r="J85" s="5" t="str">
        <f>IFERROR(__xludf.DUMMYFUNCTION("GOOGLETRANSLATE(D85, ""en"", ""fr"")"),"B) Cela peut générer une dynamique injuste")</f>
        <v>B) Cela peut générer une dynamique injuste</v>
      </c>
      <c r="K85" s="5" t="str">
        <f>IFERROR(__xludf.DUMMYFUNCTION("GOOGLETRANSLATE(E85, ""en"", ""fr"")"),"La lance doit être maintenue immobile et horizontale. La pomper est une méthode illégale pour augmenter la force de poussée.")</f>
        <v>La lance doit être maintenue immobile et horizontale. La pomper est une méthode illégale pour augmenter la force de poussée.</v>
      </c>
    </row>
    <row r="86" ht="22.5" customHeight="1">
      <c r="A86" s="3">
        <v>85.0</v>
      </c>
      <c r="B86" s="4" t="s">
        <v>296</v>
      </c>
      <c r="C86" s="4" t="s">
        <v>297</v>
      </c>
      <c r="D86" s="4" t="s">
        <v>298</v>
      </c>
      <c r="E86" s="4" t="s">
        <v>299</v>
      </c>
      <c r="G86" s="5" t="str">
        <f>IFERROR(__xludf.DUMMYFUNCTION("GOOGLETRANSLATE(A86, ""en"", ""fr"")"),"85")</f>
        <v>85</v>
      </c>
      <c r="H86" s="5" t="str">
        <f>IFERROR(__xludf.DUMMYFUNCTION("GOOGLETRANSLATE(B86, ""en"", ""fr"")"),"Quelle est la dernière action qu'un jouteur doit effectuer après une passe réussie et victorieuse ?")</f>
        <v>Quelle est la dernière action qu'un jouteur doit effectuer après une passe réussie et victorieuse ?</v>
      </c>
      <c r="I86" s="5" t="str">
        <f>IFERROR(__xludf.DUMMYFUNCTION("GOOGLETRANSLATE(C86, ""en"", ""fr"")"),"A) Célébrer avec leur équipe, B) Serrer la main de l'adversaire, C) Saluer le jury et le public, D) Sauter dans l'eau")</f>
        <v>A) Célébrer avec leur équipe, B) Serrer la main de l'adversaire, C) Saluer le jury et le public, D) Sauter dans l'eau</v>
      </c>
      <c r="J86" s="5" t="str">
        <f>IFERROR(__xludf.DUMMYFUNCTION("GOOGLETRANSLATE(D86, ""en"", ""fr"")"),"C) Saluez le jury et le public")</f>
        <v>C) Saluez le jury et le public</v>
      </c>
      <c r="K86" s="5" t="str">
        <f>IFERROR(__xludf.DUMMYFUNCTION("GOOGLETRANSLATE(E86, ""en"", ""fr"")"),"Selon l'étiquette, le jouteur vainqueur doit saluer les officiels et la foule avec sa lance en signe de respect.")</f>
        <v>Selon l'étiquette, le jouteur vainqueur doit saluer les officiels et la foule avec sa lance en signe de respect.</v>
      </c>
    </row>
    <row r="87" ht="22.5" customHeight="1">
      <c r="A87" s="3">
        <v>86.0</v>
      </c>
      <c r="B87" s="4" t="s">
        <v>205</v>
      </c>
      <c r="C87" s="4" t="s">
        <v>206</v>
      </c>
      <c r="D87" s="4" t="s">
        <v>207</v>
      </c>
      <c r="E87" s="4" t="s">
        <v>208</v>
      </c>
      <c r="G87" s="5" t="str">
        <f>IFERROR(__xludf.DUMMYFUNCTION("GOOGLETRANSLATE(A87, ""en"", ""fr"")"),"86")</f>
        <v>86</v>
      </c>
      <c r="H87" s="5" t="str">
        <f>IFERROR(__xludf.DUMMYFUNCTION("GOOGLETRANSLATE(B87, ""en"", ""fr"")"),"En substance, les joutes nautiques sont un duel formel. Quel est leur but ultime ?")</f>
        <v>En substance, les joutes nautiques sont un duel formel. Quel est leur but ultime ?</v>
      </c>
      <c r="I87" s="5" t="str">
        <f>IFERROR(__xludf.DUMMYFUNCTION("GOOGLETRANSLATE(C87, ""en"", ""fr"")"),"A) Pour démontrer quelle équipe possède les rameurs les plus rapides, B) Pour prouver son courage, son habileté et son équilibre en désarçonnant un adversaire, C) Pour briser le plus de lances possible, D) Pour divertir la famille royale")</f>
        <v>A) Pour démontrer quelle équipe possède les rameurs les plus rapides, B) Pour prouver son courage, son habileté et son équilibre en désarçonnant un adversaire, C) Pour briser le plus de lances possible, D) Pour divertir la famille royale</v>
      </c>
      <c r="J87" s="5" t="str">
        <f>IFERROR(__xludf.DUMMYFUNCTION("GOOGLETRANSLATE(D87, ""en"", ""fr"")"),"B) Prouver son courage, son habileté et son équilibre en désarçonnant un adversaire")</f>
        <v>B) Prouver son courage, son habileté et son équilibre en désarçonnant un adversaire</v>
      </c>
      <c r="K87" s="5" t="str">
        <f>IFERROR(__xludf.DUMMYFUNCTION("GOOGLETRANSLATE(E87, ""en"", ""fr"")"),"Ce sport est une forme ritualisée et non létale de duel chevaleresque, un affrontement en face à face d'adresse et de bravoure.")</f>
        <v>Ce sport est une forme ritualisée et non létale de duel chevaleresque, un affrontement en face à face d'adresse et de bravoure.</v>
      </c>
    </row>
    <row r="88" ht="22.5" customHeight="1">
      <c r="A88" s="3">
        <v>87.0</v>
      </c>
      <c r="B88" s="4" t="s">
        <v>257</v>
      </c>
      <c r="C88" s="4" t="s">
        <v>258</v>
      </c>
      <c r="D88" s="4" t="s">
        <v>259</v>
      </c>
      <c r="E88" s="4" t="s">
        <v>260</v>
      </c>
      <c r="G88" s="5" t="str">
        <f>IFERROR(__xludf.DUMMYFUNCTION("GOOGLETRANSLATE(A88, ""en"", ""fr"")"),"87")</f>
        <v>87</v>
      </c>
      <c r="H88" s="5" t="str">
        <f>IFERROR(__xludf.DUMMYFUNCTION("GOOGLETRANSLATE(B88, ""en"", ""fr"")"),"Le bouclier (pavois) d'un jouteur présente une petite bosse suite à un précédent passage. Peut-il encore être utilisé ?")</f>
        <v>Le bouclier (pavois) d'un jouteur présente une petite bosse suite à un précédent passage. Peut-il encore être utilisé ?</v>
      </c>
      <c r="I88" s="5" t="str">
        <f>IFERROR(__xludf.DUMMYFUNCTION("GOOGLETRANSLATE(C88, ""en"", ""fr"")"),"A) Non, il doit être remplacé. B) Oui, à condition qu'il soit structurellement sain. C) Uniquement si l'adversaire est d'accord. D) Ils recevront un point de pénalité.")</f>
        <v>A) Non, il doit être remplacé. B) Oui, à condition qu'il soit structurellement sain. C) Uniquement si l'adversaire est d'accord. D) Ils recevront un point de pénalité.</v>
      </c>
      <c r="J88" s="5" t="str">
        <f>IFERROR(__xludf.DUMMYFUNCTION("GOOGLETRANSLATE(D88, ""en"", ""fr"")"),"B) Oui, à condition qu'elle soit structurellement saine")</f>
        <v>B) Oui, à condition qu'elle soit structurellement saine</v>
      </c>
      <c r="K88" s="5" t="str">
        <f>IFERROR(__xludf.DUMMYFUNCTION("GOOGLETRANSLATE(E88, ""en"", ""fr"")"),"De légers dommages esthétiques sont normaux. Le bouclier n'est remplacé que s'il est brisé ou endommagé de manière à compromettre la sécurité ou l'équité.")</f>
        <v>De légers dommages esthétiques sont normaux. Le bouclier n'est remplacé que s'il est brisé ou endommagé de manière à compromettre la sécurité ou l'équité.</v>
      </c>
    </row>
    <row r="89" ht="22.5" customHeight="1">
      <c r="A89" s="3">
        <v>88.0</v>
      </c>
      <c r="B89" s="4" t="s">
        <v>261</v>
      </c>
      <c r="C89" s="4" t="s">
        <v>262</v>
      </c>
      <c r="D89" s="4" t="s">
        <v>263</v>
      </c>
      <c r="E89" s="4" t="s">
        <v>264</v>
      </c>
      <c r="G89" s="5" t="str">
        <f>IFERROR(__xludf.DUMMYFUNCTION("GOOGLETRANSLATE(A89, ""en"", ""fr"")"),"88")</f>
        <v>88</v>
      </c>
      <c r="H89" s="5" t="str">
        <f>IFERROR(__xludf.DUMMYFUNCTION("GOOGLETRANSLATE(B89, ""en"", ""fr"")"),"Quel est le nom de la compétition pour les jouteurs de la catégorie des poids les plus légers ?")</f>
        <v>Quel est le nom de la compétition pour les jouteurs de la catégorie des poids les plus légers ?</v>
      </c>
      <c r="I89" s="5" t="str">
        <f>IFERROR(__xludf.DUMMYFUNCTION("GOOGLETRANSLATE(C89, ""en"", ""fr"")"),"A) Poids plumes, B) Juniors, C) Poids légers, D) Cadets")</f>
        <v>A) Poids plumes, B) Juniors, C) Poids légers, D) Cadets</v>
      </c>
      <c r="J89" s="5" t="str">
        <f>IFERROR(__xludf.DUMMYFUNCTION("GOOGLETRANSLATE(D89, ""en"", ""fr"")"),"C) Légers")</f>
        <v>C) Légers</v>
      </c>
      <c r="K89" s="5" t="str">
        <f>IFERROR(__xludf.DUMMYFUNCTION("GOOGLETRANSLATE(E89, ""en"", ""fr"")"),"La compétition senior est divisée en plusieurs catégories de poids, notamment les poids légers, moyens et lourds.")</f>
        <v>La compétition senior est divisée en plusieurs catégories de poids, notamment les poids légers, moyens et lourds.</v>
      </c>
    </row>
    <row r="90" ht="22.5" customHeight="1">
      <c r="A90" s="3">
        <v>89.0</v>
      </c>
      <c r="B90" s="4" t="s">
        <v>265</v>
      </c>
      <c r="C90" s="4" t="s">
        <v>94</v>
      </c>
      <c r="D90" s="4" t="s">
        <v>95</v>
      </c>
      <c r="E90" s="4" t="s">
        <v>96</v>
      </c>
      <c r="G90" s="5" t="str">
        <f>IFERROR(__xludf.DUMMYFUNCTION("GOOGLETRANSLATE(A90, ""en"", ""fr"")"),"89")</f>
        <v>89</v>
      </c>
      <c r="H90" s="5" t="str">
        <f>IFERROR(__xludf.DUMMYFUNCTION("GOOGLETRANSLATE(B90, ""en"", ""fr"")"),"Un jouteur parvient à faire tomber son adversaire, mais son propre pied glisse hors de l'empreinte marquée sur la tintaine. Quelle est la décision ?")</f>
        <v>Un jouteur parvient à faire tomber son adversaire, mais son propre pied glisse hors de l'empreinte marquée sur la tintaine. Quelle est la décision ?</v>
      </c>
      <c r="I90" s="5" t="str">
        <f>IFERROR(__xludf.DUMMYFUNCTION("GOOGLETRANSLATE(C90, ""en"", ""fr"")"),"A) La victoire est valable. B) Il y a faute ; la passe est nulle et doit être rejouée. C) Le jouteur qui a glissé est disqualifié. D) Le point est attribué à l'adversaire.")</f>
        <v>A) La victoire est valable. B) Il y a faute ; la passe est nulle et doit être rejouée. C) Le jouteur qui a glissé est disqualifié. D) Le point est attribué à l'adversaire.</v>
      </c>
      <c r="J90" s="5" t="str">
        <f>IFERROR(__xludf.DUMMYFUNCTION("GOOGLETRANSLATE(D90, ""en"", ""fr"")"),"B) C'est une faute ; la passe est nulle et doit être rejouée.")</f>
        <v>B) C'est une faute ; la passe est nulle et doit être rejouée.</v>
      </c>
      <c r="K90" s="5" t="str">
        <f>IFERROR(__xludf.DUMMYFUNCTION("GOOGLETRANSLATE(E90, ""en"", ""fr"")"),"Pour être déclaré vainqueur, un jouteur doit respecter scrupuleusement les règles. Une faute de pied au moment de la victoire annule celle-ci.")</f>
        <v>Pour être déclaré vainqueur, un jouteur doit respecter scrupuleusement les règles. Une faute de pied au moment de la victoire annule celle-ci.</v>
      </c>
    </row>
    <row r="91" ht="22.5" customHeight="1">
      <c r="A91" s="3">
        <v>90.0</v>
      </c>
      <c r="B91" s="4" t="s">
        <v>81</v>
      </c>
      <c r="C91" s="4" t="s">
        <v>82</v>
      </c>
      <c r="D91" s="4" t="s">
        <v>83</v>
      </c>
      <c r="E91" s="4" t="s">
        <v>266</v>
      </c>
      <c r="G91" s="5" t="str">
        <f>IFERROR(__xludf.DUMMYFUNCTION("GOOGLETRANSLATE(A91, ""en"", ""fr"")"),"90")</f>
        <v>90</v>
      </c>
      <c r="H91" s="5" t="str">
        <f>IFERROR(__xludf.DUMMYFUNCTION("GOOGLETRANSLATE(B91, ""en"", ""fr"")"),"L'embarcation d'une équipe ne compte que 9 rameurs au lieu des 10 requis. Quelle en est la conséquence ?")</f>
        <v>L'embarcation d'une équipe ne compte que 9 rameurs au lieu des 10 requis. Quelle en est la conséquence ?</v>
      </c>
      <c r="I91" s="5" t="str">
        <f>IFERROR(__xludf.DUMMYFUNCTION("GOOGLETRANSLATE(C91, ""en"", ""fr"")"),"A) Ils sont autorisés à concourir malgré un désavantage, B) Ils ne sont pas autorisés à initier la passe, C) Ils reçoivent une pénalité d'un point, D) Ils peuvent utiliser un moteur pour compenser")</f>
        <v>A) Ils sont autorisés à concourir malgré un désavantage, B) Ils ne sont pas autorisés à initier la passe, C) Ils reçoivent une pénalité d'un point, D) Ils peuvent utiliser un moteur pour compenser</v>
      </c>
      <c r="J91" s="5" t="str">
        <f>IFERROR(__xludf.DUMMYFUNCTION("GOOGLETRANSLATE(D91, ""en"", ""fr"")"),"B) Ils ne sont pas autorisés à commencer la passe")</f>
        <v>B) Ils ne sont pas autorisés à commencer la passe</v>
      </c>
      <c r="K91" s="5" t="str">
        <f>IFERROR(__xludf.DUMMYFUNCTION("GOOGLETRANSLATE(E91, ""en"", ""fr"")"),"Les règles relatives à la composition des équipages sont strictes afin de garantir l'équité. Une équipe à laquelle il manque un rameur ne peut pas participer.")</f>
        <v>Les règles relatives à la composition des équipages sont strictes afin de garantir l'équité. Une équipe à laquelle il manque un rameur ne peut pas participer.</v>
      </c>
    </row>
    <row r="92" ht="22.5" customHeight="1">
      <c r="A92" s="3">
        <v>91.0</v>
      </c>
      <c r="B92" s="4" t="s">
        <v>267</v>
      </c>
      <c r="C92" s="4" t="s">
        <v>268</v>
      </c>
      <c r="D92" s="4" t="s">
        <v>269</v>
      </c>
      <c r="E92" s="4" t="s">
        <v>270</v>
      </c>
      <c r="G92" s="5" t="str">
        <f>IFERROR(__xludf.DUMMYFUNCTION("GOOGLETRANSLATE(A92, ""en"", ""fr"")"),"91")</f>
        <v>91</v>
      </c>
      <c r="H92" s="5" t="str">
        <f>IFERROR(__xludf.DUMMYFUNCTION("GOOGLETRANSLATE(B92, ""en"", ""fr"")"),"Un jouteur utilise une lance légèrement courbée. Est-ce autorisé ?")</f>
        <v>Un jouteur utilise une lance légèrement courbée. Est-ce autorisé ?</v>
      </c>
      <c r="I92" s="5" t="str">
        <f>IFERROR(__xludf.DUMMYFUNCTION("GOOGLETRANSLATE(C92, ""en"", ""fr"")"),"A) Oui, si cela les aide à mieux viser, B) Non, la lance doit être parfaitement droite, C) Seulement si l'adversaire est d'accord, D) Uniquement dans la catégorie junior")</f>
        <v>A) Oui, si cela les aide à mieux viser, B) Non, la lance doit être parfaitement droite, C) Seulement si l'adversaire est d'accord, D) Uniquement dans la catégorie junior</v>
      </c>
      <c r="J92" s="5" t="str">
        <f>IFERROR(__xludf.DUMMYFUNCTION("GOOGLETRANSLATE(D92, ""en"", ""fr"")"),"B) Non, la lance doit être parfaitement droite.")</f>
        <v>B) Non, la lance doit être parfaitement droite.</v>
      </c>
      <c r="K92" s="5" t="str">
        <f>IFERROR(__xludf.DUMMYFUNCTION("GOOGLETRANSLATE(E92, ""en"", ""fr"")"),"L'équipement est standardisé, et une lance courbe serait illégale car elle pourrait procurer un avantage injuste ou être imprévisible.")</f>
        <v>L'équipement est standardisé, et une lance courbe serait illégale car elle pourrait procurer un avantage injuste ou être imprévisible.</v>
      </c>
    </row>
    <row r="93" ht="22.5" customHeight="1">
      <c r="A93" s="3">
        <v>92.0</v>
      </c>
      <c r="B93" s="4" t="s">
        <v>137</v>
      </c>
      <c r="C93" s="4" t="s">
        <v>271</v>
      </c>
      <c r="D93" s="4" t="s">
        <v>272</v>
      </c>
      <c r="E93" s="4" t="s">
        <v>140</v>
      </c>
      <c r="G93" s="5" t="str">
        <f>IFERROR(__xludf.DUMMYFUNCTION("GOOGLETRANSLATE(A93, ""en"", ""fr"")"),"92")</f>
        <v>92</v>
      </c>
      <c r="H93" s="5" t="str">
        <f>IFERROR(__xludf.DUMMYFUNCTION("GOOGLETRANSLATE(B93, ""en"", ""fr"")"),"Quelle est la principale caractéristique de la méthode de joute « Givordine » ?")</f>
        <v>Quelle est la principale caractéristique de la méthode de joute « Givordine » ?</v>
      </c>
      <c r="I93" s="5" t="str">
        <f>IFERROR(__xludf.DUMMYFUNCTION("GOOGLETRANSLATE(C93, ""en"", ""fr"")"),"A) Les bateaux passent par la gauche, B) Les jouteurs sont assis, C) Les bateaux sont propulsés par un système de câbles, D) C'est une version sans contact")</f>
        <v>A) Les bateaux passent par la gauche, B) Les jouteurs sont assis, C) Les bateaux sont propulsés par un système de câbles, D) C'est une version sans contact</v>
      </c>
      <c r="J93" s="5" t="str">
        <f>IFERROR(__xludf.DUMMYFUNCTION("GOOGLETRANSLATE(D93, ""en"", ""fr"")"),"A) Les bateaux passent sur le côté gauche")</f>
        <v>A) Les bateaux passent sur le côté gauche</v>
      </c>
      <c r="K93" s="5" t="str">
        <f>IFERROR(__xludf.DUMMYFUNCTION("GOOGLETRANSLATE(E93, ""en"", ""fr"")"),"C’est là la règle distinctive clé du style Givors, par opposition au style Sète où les bateaux doivent passer par la droite.")</f>
        <v>C’est là la règle distinctive clé du style Givors, par opposition au style Sète où les bateaux doivent passer par la droite.</v>
      </c>
    </row>
    <row r="94" ht="22.5" customHeight="1">
      <c r="A94" s="3">
        <v>93.0</v>
      </c>
      <c r="B94" s="4" t="s">
        <v>273</v>
      </c>
      <c r="C94" s="4" t="s">
        <v>274</v>
      </c>
      <c r="D94" s="4" t="s">
        <v>275</v>
      </c>
      <c r="E94" s="4" t="s">
        <v>276</v>
      </c>
      <c r="G94" s="5" t="str">
        <f>IFERROR(__xludf.DUMMYFUNCTION("GOOGLETRANSLATE(A94, ""en"", ""fr"")"),"93")</f>
        <v>93</v>
      </c>
      <c r="H94" s="5" t="str">
        <f>IFERROR(__xludf.DUMMYFUNCTION("GOOGLETRANSLATE(B94, ""en"", ""fr"")"),"Un jouteur parvient à désarçonner son adversaire. À qui revient la gloire de la victoire ?")</f>
        <v>Un jouteur parvient à désarçonner son adversaire. À qui revient la gloire de la victoire ?</v>
      </c>
      <c r="I94" s="5" t="str">
        <f>IFERROR(__xludf.DUMMYFUNCTION("GOOGLETRANSLATE(C94, ""en"", ""fr"")"),"A) Uniquement au jouteur, B) Au jouteur, aux rameurs, au timonier et à toute leur société, C) Au constructeur de bateaux, D) Au maire de la ville")</f>
        <v>A) Uniquement au jouteur, B) Au jouteur, aux rameurs, au timonier et à toute leur société, C) Au constructeur de bateaux, D) Au maire de la ville</v>
      </c>
      <c r="J94" s="5" t="str">
        <f>IFERROR(__xludf.DUMMYFUNCTION("GOOGLETRANSLATE(D94, ""en"", ""fr"")"),"B) Au jouteur, aux rameurs, au timonier et à toute leur société")</f>
        <v>B) Au jouteur, aux rameurs, au timonier et à toute leur société</v>
      </c>
      <c r="K94" s="5" t="str">
        <f>IFERROR(__xludf.DUMMYFUNCTION("GOOGLETRANSLATE(E94, ""en"", ""fr"")"),"Une victoire en joute est considérée comme un effort collectif et communautaire.")</f>
        <v>Une victoire en joute est considérée comme un effort collectif et communautaire.</v>
      </c>
    </row>
    <row r="95" ht="22.5" customHeight="1">
      <c r="A95" s="3">
        <v>94.0</v>
      </c>
      <c r="B95" s="4" t="s">
        <v>277</v>
      </c>
      <c r="C95" s="4" t="s">
        <v>278</v>
      </c>
      <c r="D95" s="4" t="s">
        <v>279</v>
      </c>
      <c r="E95" s="4" t="s">
        <v>280</v>
      </c>
      <c r="G95" s="5" t="str">
        <f>IFERROR(__xludf.DUMMYFUNCTION("GOOGLETRANSLATE(A95, ""en"", ""fr"")"),"94")</f>
        <v>94</v>
      </c>
      <c r="H95" s="5" t="str">
        <f>IFERROR(__xludf.DUMMYFUNCTION("GOOGLETRANSLATE(B95, ""en"", ""fr"")"),"Quelle est la règle si un jouteur touche son adversaire de sa main libre pour le pousser ?")</f>
        <v>Quelle est la règle si un jouteur touche son adversaire de sa main libre pour le pousser ?</v>
      </c>
      <c r="I95" s="5" t="str">
        <f>IFERROR(__xludf.DUMMYFUNCTION("GOOGLETRANSLATE(C95, ""en"", ""fr"")"),"A) C'est une tactique légale, B) C'est une faute et le jouteur perd la passe, C) Un avertissement est donné, D) La passe est rejouée")</f>
        <v>A) C'est une tactique légale, B) C'est une faute et le jouteur perd la passe, C) Un avertissement est donné, D) La passe est rejouée</v>
      </c>
      <c r="J95" s="5" t="str">
        <f>IFERROR(__xludf.DUMMYFUNCTION("GOOGLETRANSLATE(D95, ""en"", ""fr"")"),"B) C'est une faute, et le jouteur perd la passe.")</f>
        <v>B) C'est une faute, et le jouteur perd la passe.</v>
      </c>
      <c r="K95" s="5" t="str">
        <f>IFERROR(__xludf.DUMMYFUNCTION("GOOGLETRANSLATE(E95, ""en"", ""fr"")"),"Il est strictement interdit à un jouteur de toucher son adversaire avec quelque partie que ce soit de son corps.")</f>
        <v>Il est strictement interdit à un jouteur de toucher son adversaire avec quelque partie que ce soit de son corps.</v>
      </c>
    </row>
    <row r="96" ht="22.5" customHeight="1">
      <c r="A96" s="3">
        <v>95.0</v>
      </c>
      <c r="B96" s="4" t="s">
        <v>281</v>
      </c>
      <c r="C96" s="4" t="s">
        <v>282</v>
      </c>
      <c r="D96" s="4" t="s">
        <v>283</v>
      </c>
      <c r="E96" s="4" t="s">
        <v>284</v>
      </c>
      <c r="G96" s="5" t="str">
        <f>IFERROR(__xludf.DUMMYFUNCTION("GOOGLETRANSLATE(A96, ""en"", ""fr"")"),"95")</f>
        <v>95</v>
      </c>
      <c r="H96" s="5" t="str">
        <f>IFERROR(__xludf.DUMMYFUNCTION("GOOGLETRANSLATE(B96, ""en"", ""fr"")"),"Quel est le rôle principal du musicien sur le bateau ?")</f>
        <v>Quel est le rôle principal du musicien sur le bateau ?</v>
      </c>
      <c r="I96" s="5" t="str">
        <f>IFERROR(__xludf.DUMMYFUNCTION("GOOGLETRANSLATE(C96, ""en"", ""fr"")"),"A) Divertir le public, B) Donner le rythme aux rameurs avec leur hautbois et leur tambour, C) Signaler les fautes à l'arbitre, D) Être rameur remplaçant")</f>
        <v>A) Divertir le public, B) Donner le rythme aux rameurs avec leur hautbois et leur tambour, C) Signaler les fautes à l'arbitre, D) Être rameur remplaçant</v>
      </c>
      <c r="J96" s="5" t="str">
        <f>IFERROR(__xludf.DUMMYFUNCTION("GOOGLETRANSLATE(D96, ""en"", ""fr"")"),"B) Donner le rythme aux rameurs avec leur hautbois et leur tambour")</f>
        <v>B) Donner le rythme aux rameurs avec leur hautbois et leur tambour</v>
      </c>
      <c r="K96" s="5" t="str">
        <f>IFERROR(__xludf.DUMMYFUNCTION("GOOGLETRANSLATE(E96, ""en"", ""fr"")"),"Le musicien fait partie intégrante de l'équipage, car son tempo détermine la vitesse d'approche du bateau.")</f>
        <v>Le musicien fait partie intégrante de l'équipage, car son tempo détermine la vitesse d'approche du bateau.</v>
      </c>
    </row>
    <row r="97" ht="22.5" customHeight="1">
      <c r="A97" s="3">
        <v>96.0</v>
      </c>
      <c r="B97" s="4" t="s">
        <v>285</v>
      </c>
      <c r="C97" s="4" t="s">
        <v>286</v>
      </c>
      <c r="D97" s="4" t="s">
        <v>287</v>
      </c>
      <c r="E97" s="4" t="s">
        <v>288</v>
      </c>
      <c r="G97" s="5" t="str">
        <f>IFERROR(__xludf.DUMMYFUNCTION("GOOGLETRANSLATE(A97, ""en"", ""fr"")"),"96")</f>
        <v>96</v>
      </c>
      <c r="H97" s="5" t="str">
        <f>IFERROR(__xludf.DUMMYFUNCTION("GOOGLETRANSLATE(B97, ""en"", ""fr"")"),"Un jouteur porte une tenue blanche, mais ses chaussettes sont rouges, de la couleur du bateau adverse. Pourquoi est-ce une faute ?")</f>
        <v>Un jouteur porte une tenue blanche, mais ses chaussettes sont rouges, de la couleur du bateau adverse. Pourquoi est-ce une faute ?</v>
      </c>
      <c r="I97" s="5" t="str">
        <f>IFERROR(__xludf.DUMMYFUNCTION("GOOGLETRANSLATE(C97, ""en"", ""fr"")"),"A) Ce n'est pas une faute, B) Cela peut prêter à confusion pour les juges, C) Les chaussettes rouges portent malheur, D) Cela enfreint le règlement strict concernant l'uniforme entièrement blanc")</f>
        <v>A) Ce n'est pas une faute, B) Cela peut prêter à confusion pour les juges, C) Les chaussettes rouges portent malheur, D) Cela enfreint le règlement strict concernant l'uniforme entièrement blanc</v>
      </c>
      <c r="J97" s="5" t="str">
        <f>IFERROR(__xludf.DUMMYFUNCTION("GOOGLETRANSLATE(D97, ""en"", ""fr"")"),"D) Cela enfreint la règle stricte de l'uniforme entièrement blanc.")</f>
        <v>D) Cela enfreint la règle stricte de l'uniforme entièrement blanc.</v>
      </c>
      <c r="K97" s="5" t="str">
        <f>IFERROR(__xludf.DUMMYFUNCTION("GOOGLETRANSLATE(E97, ""en"", ""fr"")"),"Le règlement exige que la tenue du jouteur soit entièrement blanche, jusqu'aux chaussettes, afin de garantir l'uniformité et un jugement clair.")</f>
        <v>Le règlement exige que la tenue du jouteur soit entièrement blanche, jusqu'aux chaussettes, afin de garantir l'uniformité et un jugement clair.</v>
      </c>
    </row>
    <row r="98" ht="22.5" customHeight="1">
      <c r="A98" s="3">
        <v>97.0</v>
      </c>
      <c r="B98" s="4" t="s">
        <v>289</v>
      </c>
      <c r="C98" s="4" t="s">
        <v>290</v>
      </c>
      <c r="D98" s="4" t="s">
        <v>291</v>
      </c>
      <c r="E98" s="4" t="s">
        <v>292</v>
      </c>
      <c r="G98" s="5" t="str">
        <f>IFERROR(__xludf.DUMMYFUNCTION("GOOGLETRANSLATE(A98, ""en"", ""fr"")"),"97")</f>
        <v>97</v>
      </c>
      <c r="H98" s="5" t="str">
        <f>IFERROR(__xludf.DUMMYFUNCTION("GOOGLETRANSLATE(B98, ""en"", ""fr"")"),"Quelle est la principale raison pour laquelle un jouteur doit rester sur la tintaine pendant toute la durée du passage ?")</f>
        <v>Quelle est la principale raison pour laquelle un jouteur doit rester sur la tintaine pendant toute la durée du passage ?</v>
      </c>
      <c r="I98" s="5" t="str">
        <f>IFERROR(__xludf.DUMMYFUNCTION("GOOGLETRANSLATE(C98, ""en"", ""fr"")"),"A) C'est l'endroit le plus dangereux, B) C'est l'épreuve ultime d'équilibre, la compétence essentielle de ce sport, C) C'est le seul endroit où ils peuvent tenir la lance, D) Il offre la meilleure vue")</f>
        <v>A) C'est l'endroit le plus dangereux, B) C'est l'épreuve ultime d'équilibre, la compétence essentielle de ce sport, C) C'est le seul endroit où ils peuvent tenir la lance, D) Il offre la meilleure vue</v>
      </c>
      <c r="J98" s="5" t="str">
        <f>IFERROR(__xludf.DUMMYFUNCTION("GOOGLETRANSLATE(D98, ""en"", ""fr"")"),"B) C'est l'épreuve ultime d'équilibre, la compétence fondamentale de ce sport.")</f>
        <v>B) C'est l'épreuve ultime d'équilibre, la compétence fondamentale de ce sport.</v>
      </c>
      <c r="K98" s="5" t="str">
        <f>IFERROR(__xludf.DUMMYFUNCTION("GOOGLETRANSLATE(E98, ""en"", ""fr"")"),"Ce sport tout entier est conçu autour du défi de garder l'équilibre sur cette minuscule plateforme instable lors d'un impact violent.")</f>
        <v>Ce sport tout entier est conçu autour du défi de garder l'équilibre sur cette minuscule plateforme instable lors d'un impact violent.</v>
      </c>
    </row>
    <row r="99" ht="22.5" customHeight="1">
      <c r="A99" s="3">
        <v>98.0</v>
      </c>
      <c r="B99" s="4" t="s">
        <v>125</v>
      </c>
      <c r="C99" s="4" t="s">
        <v>126</v>
      </c>
      <c r="D99" s="4" t="s">
        <v>127</v>
      </c>
      <c r="E99" s="4" t="s">
        <v>128</v>
      </c>
      <c r="G99" s="5" t="str">
        <f>IFERROR(__xludf.DUMMYFUNCTION("GOOGLETRANSLATE(A99, ""en"", ""fr"")"),"98")</f>
        <v>98</v>
      </c>
      <c r="H99" s="5" t="str">
        <f>IFERROR(__xludf.DUMMYFUNCTION("GOOGLETRANSLATE(B99, ""en"", ""fr"")"),"Quelle est la décision à prendre si la lance brisée d'un jouteur heurte un spectateur ?")</f>
        <v>Quelle est la décision à prendre si la lance brisée d'un jouteur heurte un spectateur ?</v>
      </c>
      <c r="I99" s="5" t="str">
        <f>IFERROR(__xludf.DUMMYFUNCTION("GOOGLETRANSLATE(C99, ""en"", ""fr"")"),"A) Le jouteur est disqualifié. B) Le match est immédiatement arrêté et des soins médicaux sont prodigués. C) Le spectateur est en faute pour s'être approché trop près. D) Le match continue.")</f>
        <v>A) Le jouteur est disqualifié. B) Le match est immédiatement arrêté et des soins médicaux sont prodigués. C) Le spectateur est en faute pour s'être approché trop près. D) Le match continue.</v>
      </c>
      <c r="J99" s="5" t="str">
        <f>IFERROR(__xludf.DUMMYFUNCTION("GOOGLETRANSLATE(D99, ""en"", ""fr"")"),"B) Le match est immédiatement arrêté et une assistance médicale est fournie.")</f>
        <v>B) Le match est immédiatement arrêté et une assistance médicale est fournie.</v>
      </c>
      <c r="K99" s="5" t="str">
        <f>IFERROR(__xludf.DUMMYFUNCTION("GOOGLETRANSLATE(E99, ""en"", ""fr"")"),"La sécurité du public est une préoccupation primordiale, et tout incident de ce type nécessiterait l'arrêt immédiat de la compétition.")</f>
        <v>La sécurité du public est une préoccupation primordiale, et tout incident de ce type nécessiterait l'arrêt immédiat de la compétition.</v>
      </c>
    </row>
    <row r="100" ht="22.5" customHeight="1">
      <c r="A100" s="3">
        <v>99.0</v>
      </c>
      <c r="B100" s="4" t="s">
        <v>293</v>
      </c>
      <c r="C100" s="4" t="s">
        <v>294</v>
      </c>
      <c r="D100" s="4" t="s">
        <v>295</v>
      </c>
      <c r="E100" s="4" t="s">
        <v>52</v>
      </c>
      <c r="G100" s="5" t="str">
        <f>IFERROR(__xludf.DUMMYFUNCTION("GOOGLETRANSLATE(A100, ""en"", ""fr"")"),"99")</f>
        <v>99</v>
      </c>
      <c r="H100" s="5" t="str">
        <f>IFERROR(__xludf.DUMMYFUNCTION("GOOGLETRANSLATE(B100, ""en"", ""fr"")"),"On voit un jouteur agiter sa lance de haut en bas avant l'impact. Pourquoi est-ce une faute ?")</f>
        <v>On voit un jouteur agiter sa lance de haut en bas avant l'impact. Pourquoi est-ce une faute ?</v>
      </c>
      <c r="I100" s="5" t="str">
        <f>IFERROR(__xludf.DUMMYFUNCTION("GOOGLETRANSLATE(C100, ""en"", ""fr"")"),"A) Cela peut distraire l'adversaire, B) Cela peut créer un avantage injuste, C) Ce n'est pas une technique traditionnelle, D) Ce n'est pas une faute")</f>
        <v>A) Cela peut distraire l'adversaire, B) Cela peut créer un avantage injuste, C) Ce n'est pas une technique traditionnelle, D) Ce n'est pas une faute</v>
      </c>
      <c r="J100" s="5" t="str">
        <f>IFERROR(__xludf.DUMMYFUNCTION("GOOGLETRANSLATE(D100, ""en"", ""fr"")"),"B) Cela peut générer une dynamique injuste")</f>
        <v>B) Cela peut générer une dynamique injuste</v>
      </c>
      <c r="K100" s="5" t="str">
        <f>IFERROR(__xludf.DUMMYFUNCTION("GOOGLETRANSLATE(E100, ""en"", ""fr"")"),"La lance doit être maintenue immobile et horizontale. La pomper est une méthode illégale pour augmenter la force de poussée.")</f>
        <v>La lance doit être maintenue immobile et horizontale. La pomper est une méthode illégale pour augmenter la force de poussée.</v>
      </c>
    </row>
    <row r="101" ht="22.5" customHeight="1">
      <c r="A101" s="3">
        <v>100.0</v>
      </c>
      <c r="B101" s="4" t="s">
        <v>296</v>
      </c>
      <c r="C101" s="4" t="s">
        <v>297</v>
      </c>
      <c r="D101" s="4" t="s">
        <v>298</v>
      </c>
      <c r="E101" s="4" t="s">
        <v>299</v>
      </c>
      <c r="G101" s="5" t="str">
        <f>IFERROR(__xludf.DUMMYFUNCTION("GOOGLETRANSLATE(A101, ""en"", ""fr"")"),"100")</f>
        <v>100</v>
      </c>
      <c r="H101" s="5" t="str">
        <f>IFERROR(__xludf.DUMMYFUNCTION("GOOGLETRANSLATE(B101, ""en"", ""fr"")"),"Quelle est la dernière action qu'un jouteur doit effectuer après une passe réussie et victorieuse ?")</f>
        <v>Quelle est la dernière action qu'un jouteur doit effectuer après une passe réussie et victorieuse ?</v>
      </c>
      <c r="I101" s="5" t="str">
        <f>IFERROR(__xludf.DUMMYFUNCTION("GOOGLETRANSLATE(C101, ""en"", ""fr"")"),"A) Célébrer avec leur équipe, B) Serrer la main de l'adversaire, C) Saluer le jury et le public, D) Sauter dans l'eau")</f>
        <v>A) Célébrer avec leur équipe, B) Serrer la main de l'adversaire, C) Saluer le jury et le public, D) Sauter dans l'eau</v>
      </c>
      <c r="J101" s="5" t="str">
        <f>IFERROR(__xludf.DUMMYFUNCTION("GOOGLETRANSLATE(D101, ""en"", ""fr"")"),"C) Saluez le jury et le public")</f>
        <v>C) Saluez le jury et le public</v>
      </c>
      <c r="K101" s="5" t="str">
        <f>IFERROR(__xludf.DUMMYFUNCTION("GOOGLETRANSLATE(E101, ""en"", ""fr"")"),"Selon l'étiquette, le jouteur vainqueur doit saluer les officiels et la foule avec sa lance en signe de respect.")</f>
        <v>Selon l'étiquette, le jouteur vainqueur doit saluer les officiels et la foule avec sa lance en signe de respect.</v>
      </c>
    </row>
    <row r="102" ht="22.5" customHeight="1">
      <c r="A102" s="3">
        <v>101.0</v>
      </c>
      <c r="B102" s="4" t="s">
        <v>300</v>
      </c>
      <c r="C102" s="4" t="s">
        <v>301</v>
      </c>
      <c r="D102" s="4" t="s">
        <v>302</v>
      </c>
      <c r="E102" s="4" t="s">
        <v>303</v>
      </c>
      <c r="G102" s="5" t="str">
        <f>IFERROR(__xludf.DUMMYFUNCTION("GOOGLETRANSLATE(A102, ""en"", ""fr"")"),"101")</f>
        <v>101</v>
      </c>
      <c r="H102" s="5" t="str">
        <f>IFERROR(__xludf.DUMMYFUNCTION("GOOGLETRANSLATE(B102, ""en"", ""fr"")"),"Un jouteur est disqualifié s'il utilise une lance trop lourde. Pourquoi existe-t-il une règle de poids maximum ?")</f>
        <v>Un jouteur est disqualifié s'il utilise une lance trop lourde. Pourquoi existe-t-il une règle de poids maximum ?</v>
      </c>
      <c r="I102" s="5" t="str">
        <f>IFERROR(__xludf.DUMMYFUNCTION("GOOGLETRANSLATE(C102, ""en"", ""fr"")"),"A) Une lance plus lourde est plus dangereuse. B) Pour garantir l'équité et éviter tout avantage par temps venteux. C) Une lance plus lourde a plus de risques de se casser. D) Ce n'est pas une règle.")</f>
        <v>A) Une lance plus lourde est plus dangereuse. B) Pour garantir l'équité et éviter tout avantage par temps venteux. C) Une lance plus lourde a plus de risques de se casser. D) Ce n'est pas une règle.</v>
      </c>
      <c r="J102" s="5" t="str">
        <f>IFERROR(__xludf.DUMMYFUNCTION("GOOGLETRANSLATE(D102, ""en"", ""fr"")"),"B) Afin de garantir l'équité et d'éviter tout avantage en cas de vent fort")</f>
        <v>B) Afin de garantir l'équité et d'éviter tout avantage en cas de vent fort</v>
      </c>
      <c r="K102" s="5" t="str">
        <f>IFERROR(__xludf.DUMMYFUNCTION("GOOGLETRANSLATE(E102, ""en"", ""fr"")"),"Une lance très lourde est moins sensible au vent ; une limite de poids maximale garantit donc que tous les pilotes soient confrontés à des défis similaires.")</f>
        <v>Une lance très lourde est moins sensible au vent ; une limite de poids maximale garantit donc que tous les pilotes soient confrontés à des défis similaires.</v>
      </c>
    </row>
    <row r="103" ht="22.5" customHeight="1">
      <c r="A103" s="3">
        <v>102.0</v>
      </c>
      <c r="B103" s="4" t="s">
        <v>304</v>
      </c>
      <c r="C103" s="4" t="s">
        <v>305</v>
      </c>
      <c r="D103" s="4" t="s">
        <v>306</v>
      </c>
      <c r="E103" s="4" t="s">
        <v>307</v>
      </c>
      <c r="G103" s="5" t="str">
        <f>IFERROR(__xludf.DUMMYFUNCTION("GOOGLETRANSLATE(A103, ""en"", ""fr"")"),"102")</f>
        <v>102</v>
      </c>
      <c r="H103" s="5" t="str">
        <f>IFERROR(__xludf.DUMMYFUNCTION("GOOGLETRANSLATE(B103, ""en"", ""fr"")"),"Le cheval d'un cavalier est boiteux, il en emprunte donc un autre. Est-ce autorisé ?")</f>
        <v>Le cheval d'un cavalier est boiteux, il en emprunte donc un autre. Est-ce autorisé ?</v>
      </c>
      <c r="I103" s="5" t="str">
        <f>IFERROR(__xludf.DUMMYFUNCTION("GOOGLETRANSLATE(C103, ""en"", ""fr"")"),"A) Oui, si le propriétaire est d'accord. B) Non, un cavalier doit concourir sur son cheval enregistré. C) Uniquement à l'entraînement. D) Uniquement si les chevaux sont de la même couleur.")</f>
        <v>A) Oui, si le propriétaire est d'accord. B) Non, un cavalier doit concourir sur son cheval enregistré. C) Uniquement à l'entraînement. D) Uniquement si les chevaux sont de la même couleur.</v>
      </c>
      <c r="J103" s="5" t="str">
        <f>IFERROR(__xludf.DUMMYFUNCTION("GOOGLETRANSLATE(D103, ""en"", ""fr"")"),"B) Non, un cavalier doit concourir sur son cheval enregistré.")</f>
        <v>B) Non, un cavalier doit concourir sur son cheval enregistré.</v>
      </c>
      <c r="K103" s="5" t="str">
        <f>IFERROR(__xludf.DUMMYFUNCTION("GOOGLETRANSLATE(E103, ""en"", ""fr"")"),"Lors des compétitions officielles, un cavalier et son cheval forment un couple enregistré. Un cavalier ne peut pas changer de cheval.")</f>
        <v>Lors des compétitions officielles, un cavalier et son cheval forment un couple enregistré. Un cavalier ne peut pas changer de cheval.</v>
      </c>
    </row>
    <row r="104" ht="22.5" customHeight="1">
      <c r="A104" s="3">
        <v>103.0</v>
      </c>
      <c r="B104" s="4" t="s">
        <v>308</v>
      </c>
      <c r="C104" s="4" t="s">
        <v>309</v>
      </c>
      <c r="D104" s="4" t="s">
        <v>310</v>
      </c>
      <c r="E104" s="4" t="s">
        <v>311</v>
      </c>
      <c r="G104" s="5" t="str">
        <f>IFERROR(__xludf.DUMMYFUNCTION("GOOGLETRANSLATE(A104, ""en"", ""fr"")"),"103")</f>
        <v>103</v>
      </c>
      <c r="H104" s="5" t="str">
        <f>IFERROR(__xludf.DUMMYFUNCTION("GOOGLETRANSLATE(B104, ""en"", ""fr"")"),"Que signifie le terme « passe complète » dans une épreuve par équipe ?")</f>
        <v>Que signifie le terme « passe complète » dans une épreuve par équipe ?</v>
      </c>
      <c r="I104" s="5" t="str">
        <f>IFERROR(__xludf.DUMMYFUNCTION("GOOGLETRANSLATE(C104, ""en"", ""fr"")"),"A) L'équipe a progressé, B) Les quatre coureurs ont réalisé un sans-faute, C) Les quatre coureurs ont manqué leur cible, D) L'équipe a terminé dans les temps.")</f>
        <v>A) L'équipe a progressé, B) Les quatre coureurs ont réalisé un sans-faute, C) Les quatre coureurs ont manqué leur cible, D) L'équipe a terminé dans les temps.</v>
      </c>
      <c r="J104" s="5" t="str">
        <f>IFERROR(__xludf.DUMMYFUNCTION("GOOGLETRANSLATE(D104, ""en"", ""fr"")"),"B) Les quatre cavaliers ont tous obtenu un score parfait.")</f>
        <v>B) Les quatre cavaliers ont tous obtenu un score parfait.</v>
      </c>
      <c r="K104" s="5" t="str">
        <f>IFERROR(__xludf.DUMMYFUNCTION("GOOGLETRANSLATE(E104, ""en"", ""fr"")"),"Un « sans-faute » est une course parfaite, qui rapporte souvent un bonus.")</f>
        <v>Un « sans-faute » est une course parfaite, qui rapporte souvent un bonus.</v>
      </c>
    </row>
    <row r="105" ht="22.5" customHeight="1">
      <c r="A105" s="3">
        <v>104.0</v>
      </c>
      <c r="B105" s="4" t="s">
        <v>312</v>
      </c>
      <c r="C105" s="4" t="s">
        <v>313</v>
      </c>
      <c r="D105" s="4" t="s">
        <v>314</v>
      </c>
      <c r="E105" s="4" t="s">
        <v>315</v>
      </c>
      <c r="G105" s="5" t="str">
        <f>IFERROR(__xludf.DUMMYFUNCTION("GOOGLETRANSLATE(A105, ""en"", ""fr"")"),"104")</f>
        <v>104</v>
      </c>
      <c r="H105" s="5" t="str">
        <f>IFERROR(__xludf.DUMMYFUNCTION("GOOGLETRANSLATE(B105, ""en"", ""fr"")"),"Un coureur est pénalisé pour « franchissement de ligne ». Qu'est-ce que cela signifie dans une épreuve par équipe ?")</f>
        <v>Un coureur est pénalisé pour « franchissement de ligne ». Qu'est-ce que cela signifie dans une épreuve par équipe ?</v>
      </c>
      <c r="I105" s="5" t="str">
        <f>IFERROR(__xludf.DUMMYFUNCTION("GOOGLETRANSLATE(C105, ""en"", ""fr"")"),"A) Ils ont franchi la ligne d'arrivée trop lentement. B) Ils ont coupé la route à un coéquipier, créant un danger. C) Ils ont croisé les jambes en montant à cheval. D) Ils ont utilisé un cheval croisé.")</f>
        <v>A) Ils ont franchi la ligne d'arrivée trop lentement. B) Ils ont coupé la route à un coéquipier, créant un danger. C) Ils ont croisé les jambes en montant à cheval. D) Ils ont utilisé un cheval croisé.</v>
      </c>
      <c r="J105" s="5" t="str">
        <f>IFERROR(__xludf.DUMMYFUNCTION("GOOGLETRANSLATE(D105, ""en"", ""fr"")"),"B) Ils ont empiété sur le chemin d'un coéquipier, créant un danger")</f>
        <v>B) Ils ont empiété sur le chemin d'un coéquipier, créant un danger</v>
      </c>
      <c r="K105" s="5" t="str">
        <f>IFERROR(__xludf.DUMMYFUNCTION("GOOGLETRANSLATE(E105, ""en"", ""fr"")"),"Lors d'une attaque par secteur, chaque pilote doit rester dans sa voie. Empiéter sur la trajectoire d'un autre pilote constitue une faute très dangereuse.")</f>
        <v>Lors d'une attaque par secteur, chaque pilote doit rester dans sa voie. Empiéter sur la trajectoire d'un autre pilote constitue une faute très dangereuse.</v>
      </c>
    </row>
    <row r="106" ht="22.5" customHeight="1">
      <c r="A106" s="3">
        <v>105.0</v>
      </c>
      <c r="B106" s="4" t="s">
        <v>316</v>
      </c>
      <c r="C106" s="4" t="s">
        <v>317</v>
      </c>
      <c r="D106" s="4" t="s">
        <v>318</v>
      </c>
      <c r="E106" s="4" t="s">
        <v>319</v>
      </c>
      <c r="G106" s="5" t="str">
        <f>IFERROR(__xludf.DUMMYFUNCTION("GOOGLETRANSLATE(A106, ""en"", ""fr"")"),"105")</f>
        <v>105</v>
      </c>
      <c r="H106" s="5" t="str">
        <f>IFERROR(__xludf.DUMMYFUNCTION("GOOGLETRANSLATE(B106, ""en"", ""fr"")"),"Quelle est la principale raison d'utiliser un sabre pour couper des citrons ?")</f>
        <v>Quelle est la principale raison d'utiliser un sabre pour couper des citrons ?</v>
      </c>
      <c r="I106" s="5" t="str">
        <f>IFERROR(__xludf.DUMMYFUNCTION("GOOGLETRANSLATE(C106, ""en"", ""fr"")"),"A) Son aspect est traditionnel, B) Sa lame incurvée est conçue pour trancher, C) Il est plus léger, D) Il est plus tranchant")</f>
        <v>A) Son aspect est traditionnel, B) Sa lame incurvée est conçue pour trancher, C) Il est plus léger, D) Il est plus tranchant</v>
      </c>
      <c r="J106" s="5" t="str">
        <f>IFERROR(__xludf.DUMMYFUNCTION("GOOGLETRANSLATE(D106, ""en"", ""fr"")"),"B) Une lame courbe est conçue pour trancher")</f>
        <v>B) Une lame courbe est conçue pour trancher</v>
      </c>
      <c r="K106" s="5" t="str">
        <f>IFERROR(__xludf.DUMMYFUNCTION("GOOGLETRANSLATE(E106, ""en"", ""fr"")"),"La courbure d'un sabre permet à la lame de trancher efficacement une cible tandis que le cavalier galope à côté.")</f>
        <v>La courbure d'un sabre permet à la lame de trancher efficacement une cible tandis que le cavalier galope à côté.</v>
      </c>
    </row>
    <row r="107" ht="22.5" customHeight="1">
      <c r="A107" s="3">
        <v>106.0</v>
      </c>
      <c r="B107" s="4" t="s">
        <v>320</v>
      </c>
      <c r="C107" s="4" t="s">
        <v>321</v>
      </c>
      <c r="D107" s="4" t="s">
        <v>322</v>
      </c>
      <c r="E107" s="4" t="s">
        <v>323</v>
      </c>
      <c r="G107" s="5" t="str">
        <f>IFERROR(__xludf.DUMMYFUNCTION("GOOGLETRANSLATE(A107, ""en"", ""fr"")"),"106")</f>
        <v>106</v>
      </c>
      <c r="H107" s="5" t="str">
        <f>IFERROR(__xludf.DUMMYFUNCTION("GOOGLETRANSLATE(B107, ""en"", ""fr"")"),"Quelle est la compétence mentale clé pour un Tent Pegger ?")</f>
        <v>Quelle est la compétence mentale clé pour un Tent Pegger ?</v>
      </c>
      <c r="I107" s="5" t="str">
        <f>IFERROR(__xludf.DUMMYFUNCTION("GOOGLETRANSLATE(C107, ""en"", ""fr"")"),"A) La capacité à ignorer la pression et à se concentrer intensément sur un seul point, B) Une bonne mémoire des règles, C) La capacité à effectuer des calculs rapidement, D) Une voix forte")</f>
        <v>A) La capacité à ignorer la pression et à se concentrer intensément sur un seul point, B) Une bonne mémoire des règles, C) La capacité à effectuer des calculs rapidement, D) Une voix forte</v>
      </c>
      <c r="J107" s="5" t="str">
        <f>IFERROR(__xludf.DUMMYFUNCTION("GOOGLETRANSLATE(D107, ""en"", ""fr"")"),"A) La capacité à ignorer la pression et à se concentrer intensément sur un seul point")</f>
        <v>A) La capacité à ignorer la pression et à se concentrer intensément sur un seul point</v>
      </c>
      <c r="K107" s="5" t="str">
        <f>IFERROR(__xludf.DUMMYFUNCTION("GOOGLETRANSLATE(E107, ""en"", ""fr"")"),"Ce sport exige une concentration immense pour réaliser un geste précis dans un environnement à haute vitesse et sous haute pression.")</f>
        <v>Ce sport exige une concentration immense pour réaliser un geste précis dans un environnement à haute vitesse et sous haute pression.</v>
      </c>
    </row>
    <row r="108" ht="22.5" customHeight="1">
      <c r="A108" s="3">
        <v>107.0</v>
      </c>
      <c r="B108" s="4" t="s">
        <v>324</v>
      </c>
      <c r="C108" s="4" t="s">
        <v>325</v>
      </c>
      <c r="D108" s="4" t="s">
        <v>326</v>
      </c>
      <c r="E108" s="4" t="s">
        <v>327</v>
      </c>
      <c r="G108" s="5" t="str">
        <f>IFERROR(__xludf.DUMMYFUNCTION("GOOGLETRANSLATE(A108, ""en"", ""fr"")"),"107")</f>
        <v>107</v>
      </c>
      <c r="H108" s="5" t="str">
        <f>IFERROR(__xludf.DUMMYFUNCTION("GOOGLETRANSLATE(B108, ""en"", ""fr"")"),"Le cheval d'un cavalier porte des œillères. À quoi servent-elles ?")</f>
        <v>Le cheval d'un cavalier porte des œillères. À quoi servent-elles ?</v>
      </c>
      <c r="I108" s="5" t="str">
        <f>IFERROR(__xludf.DUMMYFUNCTION("GOOGLETRANSLATE(C108, ""en"", ""fr"")"),"A) Pour protéger les yeux du cheval, B) Pour limiter le champ de vision du cheval et le maintenir concentré sur l'avant, C) Elles sont décoratives, D) Elles aident le cheval à voir la nuit")</f>
        <v>A) Pour protéger les yeux du cheval, B) Pour limiter le champ de vision du cheval et le maintenir concentré sur l'avant, C) Elles sont décoratives, D) Elles aident le cheval à voir la nuit</v>
      </c>
      <c r="J108" s="5" t="str">
        <f>IFERROR(__xludf.DUMMYFUNCTION("GOOGLETRANSLATE(D108, ""en"", ""fr"")"),"B) Restreindre le champ de vision du cheval et le maintenir concentré vers l'avant")</f>
        <v>B) Restreindre le champ de vision du cheval et le maintenir concentré vers l'avant</v>
      </c>
      <c r="K108" s="5" t="str">
        <f>IFERROR(__xludf.DUMMYFUNCTION("GOOGLETRANSLATE(E108, ""en"", ""fr"")"),"Les œillères empêchent le cheval d'être distrait par les mouvements sur les côtés ou à l'arrière, lui assurant ainsi une course en ligne droite.")</f>
        <v>Les œillères empêchent le cheval d'être distrait par les mouvements sur les côtés ou à l'arrière, lui assurant ainsi une course en ligne droite.</v>
      </c>
    </row>
    <row r="109" ht="22.5" customHeight="1">
      <c r="A109" s="3">
        <v>108.0</v>
      </c>
      <c r="B109" s="4" t="s">
        <v>328</v>
      </c>
      <c r="C109" s="4" t="s">
        <v>329</v>
      </c>
      <c r="D109" s="4" t="s">
        <v>330</v>
      </c>
      <c r="E109" s="4" t="s">
        <v>331</v>
      </c>
      <c r="G109" s="5" t="str">
        <f>IFERROR(__xludf.DUMMYFUNCTION("GOOGLETRANSLATE(A109, ""en"", ""fr"")"),"108")</f>
        <v>108</v>
      </c>
      <c r="H109" s="5" t="str">
        <f>IFERROR(__xludf.DUMMYFUNCTION("GOOGLETRANSLATE(B109, ""en"", ""fr"")"),"Quelle est la règle si un cavalier soulève la cheville latéralement sur la lance ?")</f>
        <v>Quelle est la règle si un cavalier soulève la cheville latéralement sur la lance ?</v>
      </c>
      <c r="I109" s="5" t="str">
        <f>IFERROR(__xludf.DUMMYFUNCTION("GOOGLETRANSLATE(C109, ""en"", ""fr"")"),"A) Un point est attribué, B) Un point est attribué, C) Aucun point n'est attribué, D) La manche est rejouée")</f>
        <v>A) Un point est attribué, B) Un point est attribué, C) Aucun point n'est attribué, D) La manche est rejouée</v>
      </c>
      <c r="J109" s="5" t="str">
        <f>IFERROR(__xludf.DUMMYFUNCTION("GOOGLETRANSLATE(D109, ""en"", ""fr"")"),"A) Un Full Peg est attribué")</f>
        <v>A) Un Full Peg est attribué</v>
      </c>
      <c r="K109" s="5" t="str">
        <f>IFERROR(__xludf.DUMMYFUNCTION("GOOGLETRANSLATE(E109, ""en"", ""fr"")"),"La manière dont le pieu est fixé à la lance n'a pas d'importance. Du moment qu'il est soulevé et porté, le score est validé.")</f>
        <v>La manière dont le pieu est fixé à la lance n'a pas d'importance. Du moment qu'il est soulevé et porté, le score est validé.</v>
      </c>
    </row>
    <row r="110" ht="22.5" customHeight="1">
      <c r="A110" s="3">
        <v>109.0</v>
      </c>
      <c r="B110" s="4" t="s">
        <v>332</v>
      </c>
      <c r="C110" s="4" t="s">
        <v>333</v>
      </c>
      <c r="D110" s="4" t="s">
        <v>334</v>
      </c>
      <c r="E110" s="4" t="s">
        <v>335</v>
      </c>
      <c r="G110" s="5" t="str">
        <f>IFERROR(__xludf.DUMMYFUNCTION("GOOGLETRANSLATE(A110, ""en"", ""fr"")"),"109")</f>
        <v>109</v>
      </c>
      <c r="H110" s="5" t="str">
        <f>IFERROR(__xludf.DUMMYFUNCTION("GOOGLETRANSLATE(B110, ""en"", ""fr"")"),"En cas d'égalité, comment les officiels pourraient-ils augmenter la difficulté ?")</f>
        <v>En cas d'égalité, comment les officiels pourraient-ils augmenter la difficulté ?</v>
      </c>
      <c r="I110" s="5" t="str">
        <f>IFERROR(__xludf.DUMMYFUNCTION("GOOGLETRANSLATE(C110, ""en"", ""fr"")"),"A) Faire utiliser une lance plus lourde aux pilotes, B) Diminuer la largeur du piquet, C) Augmenter la vitesse des pilotes, D) Allonger la piste")</f>
        <v>A) Faire utiliser une lance plus lourde aux pilotes, B) Diminuer la largeur du piquet, C) Augmenter la vitesse des pilotes, D) Allonger la piste</v>
      </c>
      <c r="J110" s="5" t="str">
        <f>IFERROR(__xludf.DUMMYFUNCTION("GOOGLETRANSLATE(D110, ""en"", ""fr"")"),"B) Diminuer la largeur de la cheville")</f>
        <v>B) Diminuer la largeur de la cheville</v>
      </c>
      <c r="K110" s="5" t="str">
        <f>IFERROR(__xludf.DUMMYFUNCTION("GOOGLETRANSLATE(E110, ""en"", ""fr"")"),"Pour départager les meilleurs coureurs, la difficulté est accrue en utilisant une cible plus petite.")</f>
        <v>Pour départager les meilleurs coureurs, la difficulté est accrue en utilisant une cible plus petite.</v>
      </c>
    </row>
    <row r="111" ht="22.5" customHeight="1">
      <c r="A111" s="3">
        <v>110.0</v>
      </c>
      <c r="B111" s="4" t="s">
        <v>336</v>
      </c>
      <c r="C111" s="4" t="s">
        <v>337</v>
      </c>
      <c r="D111" s="4" t="s">
        <v>338</v>
      </c>
      <c r="E111" s="4" t="s">
        <v>339</v>
      </c>
      <c r="G111" s="5" t="str">
        <f>IFERROR(__xludf.DUMMYFUNCTION("GOOGLETRANSLATE(A111, ""en"", ""fr"")"),"110")</f>
        <v>110</v>
      </c>
      <c r="H111" s="5" t="str">
        <f>IFERROR(__xludf.DUMMYFUNCTION("GOOGLETRANSLATE(B111, ""en"", ""fr"")"),"Quelle est la principale raison pour laquelle un cavalier tient sa lance près de sa base ?")</f>
        <v>Quelle est la principale raison pour laquelle un cavalier tient sa lance près de sa base ?</v>
      </c>
      <c r="I111" s="5" t="str">
        <f>IFERROR(__xludf.DUMMYFUNCTION("GOOGLETRANSLATE(C111, ""en"", ""fr"")"),"A) C'est une règle, B) Elle offre une portée et un effet de levier maximaux, C) Elle facilite l'équilibre, D) Elle protège la main")</f>
        <v>A) C'est une règle, B) Elle offre une portée et un effet de levier maximaux, C) Elle facilite l'équilibre, D) Elle protège la main</v>
      </c>
      <c r="J111" s="5" t="str">
        <f>IFERROR(__xludf.DUMMYFUNCTION("GOOGLETRANSLATE(D111, ""en"", ""fr"")"),"B) Elle offre une portée et un effet de levier maximaux")</f>
        <v>B) Elle offre une portée et un effet de levier maximaux</v>
      </c>
      <c r="K111" s="5" t="str">
        <f>IFERROR(__xludf.DUMMYFUNCTION("GOOGLETRANSLATE(E111, ""en"", ""fr"")"),"Tenir la lance par son extrémité, comme une queue de billard, permet une extension du bras plus longue et plus stable.")</f>
        <v>Tenir la lance par son extrémité, comme une queue de billard, permet une extension du bras plus longue et plus stable.</v>
      </c>
    </row>
    <row r="112" ht="22.5" customHeight="1">
      <c r="A112" s="3">
        <v>111.0</v>
      </c>
      <c r="B112" s="4" t="s">
        <v>340</v>
      </c>
      <c r="C112" s="4" t="s">
        <v>341</v>
      </c>
      <c r="D112" s="4" t="s">
        <v>342</v>
      </c>
      <c r="E112" s="4" t="s">
        <v>343</v>
      </c>
      <c r="G112" s="5" t="str">
        <f>IFERROR(__xludf.DUMMYFUNCTION("GOOGLETRANSLATE(A112, ""en"", ""fr"")"),"111")</f>
        <v>111</v>
      </c>
      <c r="H112" s="5" t="str">
        <f>IFERROR(__xludf.DUMMYFUNCTION("GOOGLETRANSLATE(B112, ""en"", ""fr"")"),"Quelle est la sanction pour l'utilisation d'une pointe de lance illégalement aiguisée ?")</f>
        <v>Quelle est la sanction pour l'utilisation d'une pointe de lance illégalement aiguisée ?</v>
      </c>
      <c r="I112" s="5" t="str">
        <f>IFERROR(__xludf.DUMMYFUNCTION("GOOGLETRANSLATE(C112, ""en"", ""fr"")"),"A) Ils doivent l'atténuer, B) Disqualification immédiate, C) Pénalité d'un point, D) Avertissement")</f>
        <v>A) Ils doivent l'atténuer, B) Disqualification immédiate, C) Pénalité d'un point, D) Avertissement</v>
      </c>
      <c r="J112" s="5" t="str">
        <f>IFERROR(__xludf.DUMMYFUNCTION("GOOGLETRANSLATE(D112, ""en"", ""fr"")"),"B) Disqualification immédiate")</f>
        <v>B) Disqualification immédiate</v>
      </c>
      <c r="K112" s="5" t="str">
        <f>IFERROR(__xludf.DUMMYFUNCTION("GOOGLETRANSLATE(E112, ""en"", ""fr"")"),"L'utilisation d'une lance aiguisée constitue une grave infraction aux règles de sécurité et peut causer des blessures graves au cheval si le cavalier rate sa cible.")</f>
        <v>L'utilisation d'une lance aiguisée constitue une grave infraction aux règles de sécurité et peut causer des blessures graves au cheval si le cavalier rate sa cible.</v>
      </c>
    </row>
    <row r="113" ht="22.5" customHeight="1">
      <c r="A113" s="3">
        <v>112.0</v>
      </c>
      <c r="B113" s="4" t="s">
        <v>344</v>
      </c>
      <c r="C113" s="4" t="s">
        <v>345</v>
      </c>
      <c r="D113" s="4" t="s">
        <v>346</v>
      </c>
      <c r="E113" s="4" t="s">
        <v>347</v>
      </c>
      <c r="G113" s="5" t="str">
        <f>IFERROR(__xludf.DUMMYFUNCTION("GOOGLETRANSLATE(A113, ""en"", ""fr"")"),"112")</f>
        <v>112</v>
      </c>
      <c r="H113" s="5" t="str">
        <f>IFERROR(__xludf.DUMMYFUNCTION("GOOGLETRANSLATE(B113, ""en"", ""fr"")"),"Un rider termine un run en 5 secondes et obtient un Full Peg. Est-ce valide ?")</f>
        <v>Un rider termine un run en 5 secondes et obtient un Full Peg. Est-ce valide ?</v>
      </c>
      <c r="I113" s="5" t="str">
        <f>IFERROR(__xludf.DUMMYFUNCTION("GOOGLETRANSLATE(C113, ""en"", ""fr"")"),"A) Oui, avec un bonus de vitesse. B) Non, le temps était trop rapide. C) Oui, car il est inférieur au temps limite maximal. D) Non, il y a un temps limite minimal.")</f>
        <v>A) Oui, avec un bonus de vitesse. B) Non, le temps était trop rapide. C) Oui, car il est inférieur au temps limite maximal. D) Non, il y a un temps limite minimal.</v>
      </c>
      <c r="J113" s="5" t="str">
        <f>IFERROR(__xludf.DUMMYFUNCTION("GOOGLETRANSLATE(D113, ""en"", ""fr"")"),"C) Oui, car il est inférieur à la limite de temps maximale")</f>
        <v>C) Oui, car il est inférieur à la limite de temps maximale</v>
      </c>
      <c r="K113" s="5" t="str">
        <f>IFERROR(__xludf.DUMMYFUNCTION("GOOGLETRANSLATE(E113, ""en"", ""fr"")"),"Il y a une limite de temps maximale, mais pas de limite minimale. Un parcours rapide est le signe d'un cycliste expérimenté.")</f>
        <v>Il y a une limite de temps maximale, mais pas de limite minimale. Un parcours rapide est le signe d'un cycliste expérimenté.</v>
      </c>
    </row>
    <row r="114" ht="22.5" customHeight="1">
      <c r="A114" s="3">
        <v>113.0</v>
      </c>
      <c r="B114" s="4" t="s">
        <v>348</v>
      </c>
      <c r="C114" s="4" t="s">
        <v>349</v>
      </c>
      <c r="D114" s="4" t="s">
        <v>350</v>
      </c>
      <c r="E114" s="4" t="s">
        <v>351</v>
      </c>
      <c r="G114" s="5" t="str">
        <f>IFERROR(__xludf.DUMMYFUNCTION("GOOGLETRANSLATE(A114, ""en"", ""fr"")"),"113")</f>
        <v>113</v>
      </c>
      <c r="H114" s="5" t="str">
        <f>IFERROR(__xludf.DUMMYFUNCTION("GOOGLETRANSLATE(B114, ""en"", ""fr"")"),"Quelle est la différence entre une course à la ""lance"" et une course à l'""épée"" ?")</f>
        <v>Quelle est la différence entre une course à la "lance" et une course à l'"épée" ?</v>
      </c>
      <c r="I114" s="5" t="str">
        <f>IFERROR(__xludf.DUMMYFUNCTION("GOOGLETRANSLATE(C114, ""en"", ""fr"")"),"A) La lance perce, l'épée tranche. B) La course à l'épée est plus lente. C) La course à la lance est plus sûre. D) Aucune différence.")</f>
        <v>A) La lance perce, l'épée tranche. B) La course à l'épée est plus lente. C) La course à la lance est plus sûre. D) Aucune différence.</v>
      </c>
      <c r="J114" s="5" t="str">
        <f>IFERROR(__xludf.DUMMYFUNCTION("GOOGLETRANSLATE(D114, ""en"", ""fr"")"),"A) La lance perce, l'épée tranche")</f>
        <v>A) La lance perce, l'épée tranche</v>
      </c>
      <c r="K114" s="5" t="str">
        <f>IFERROR(__xludf.DUMMYFUNCTION("GOOGLETRANSLATE(E114, ""en"", ""fr"")"),"Ces disciplines mettent à l'épreuve deux compétences historiques différentes de la cavalerie : la poussée de la lance et la coupe du sabre.")</f>
        <v>Ces disciplines mettent à l'épreuve deux compétences historiques différentes de la cavalerie : la poussée de la lance et la coupe du sabre.</v>
      </c>
    </row>
    <row r="115" ht="22.5" customHeight="1">
      <c r="A115" s="3">
        <v>114.0</v>
      </c>
      <c r="B115" s="4" t="s">
        <v>352</v>
      </c>
      <c r="C115" s="4" t="s">
        <v>353</v>
      </c>
      <c r="D115" s="4" t="s">
        <v>354</v>
      </c>
      <c r="E115" s="4" t="s">
        <v>355</v>
      </c>
      <c r="G115" s="5" t="str">
        <f>IFERROR(__xludf.DUMMYFUNCTION("GOOGLETRANSLATE(A115, ""en"", ""fr"")"),"114")</f>
        <v>114</v>
      </c>
      <c r="H115" s="5" t="str">
        <f>IFERROR(__xludf.DUMMYFUNCTION("GOOGLETRANSLATE(B115, ""en"", ""fr"")"),"Quelle est la caractéristique la plus importante de la surface de la piste ?")</f>
        <v>Quelle est la caractéristique la plus importante de la surface de la piste ?</v>
      </c>
      <c r="I115" s="5" t="str">
        <f>IFERROR(__xludf.DUMMYFUNCTION("GOOGLETRANSLATE(C115, ""en"", ""fr"")"),"A) Il doit s'agir d'herbe, B) Il doit s'agir de sable, C) Il doit être plat, ferme et sans obstacles, D) Il doit être en pente")</f>
        <v>A) Il doit s'agir d'herbe, B) Il doit s'agir de sable, C) Il doit être plat, ferme et sans obstacles, D) Il doit être en pente</v>
      </c>
      <c r="J115" s="5" t="str">
        <f>IFERROR(__xludf.DUMMYFUNCTION("GOOGLETRANSLATE(D115, ""en"", ""fr"")"),"C) Il doit être de niveau, ferme et exempt d'obstacles.")</f>
        <v>C) Il doit être de niveau, ferme et exempt d'obstacles.</v>
      </c>
      <c r="K115" s="5" t="str">
        <f>IFERROR(__xludf.DUMMYFUNCTION("GOOGLETRANSLATE(E115, ""en"", ""fr"")"),"Une piste sûre et équitable doit être cohérente et prévisible afin d'éviter que les chevaux ne trébuchent.")</f>
        <v>Une piste sûre et équitable doit être cohérente et prévisible afin d'éviter que les chevaux ne trébuchent.</v>
      </c>
    </row>
    <row r="116" ht="22.5" customHeight="1">
      <c r="A116" s="3">
        <v>115.0</v>
      </c>
      <c r="B116" s="4" t="s">
        <v>356</v>
      </c>
      <c r="C116" s="4" t="s">
        <v>357</v>
      </c>
      <c r="D116" s="4" t="s">
        <v>358</v>
      </c>
      <c r="E116" s="4" t="s">
        <v>359</v>
      </c>
      <c r="G116" s="5" t="str">
        <f>IFERROR(__xludf.DUMMYFUNCTION("GOOGLETRANSLATE(A116, ""en"", ""fr"")"),"115")</f>
        <v>115</v>
      </c>
      <c r="H116" s="5" t="str">
        <f>IFERROR(__xludf.DUMMYFUNCTION("GOOGLETRANSLATE(B116, ""en"", ""fr"")"),"Qu'est-ce qu'un événement de « démonstration de compétences en armes » ?")</f>
        <v>Qu'est-ce qu'un événement de « démonstration de compétences en armes » ?</v>
      </c>
      <c r="I116" s="5" t="str">
        <f>IFERROR(__xludf.DUMMYFUNCTION("GOOGLETRANSLATE(C116, ""en"", ""fr"")"),"A) Une épreuve unique comportant plusieurs tâches, comme planter un piquet et couper un citron, B) Un parcours d'obstacles, C) Une reprise de dressage, D) Une course hippique")</f>
        <v>A) Une épreuve unique comportant plusieurs tâches, comme planter un piquet et couper un citron, B) Un parcours d'obstacles, C) Une reprise de dressage, D) Une course hippique</v>
      </c>
      <c r="J116" s="5" t="str">
        <f>IFERROR(__xludf.DUMMYFUNCTION("GOOGLETRANSLATE(D116, ""en"", ""fr"")"),"A) Une seule exécution comportant plusieurs tâches, comme piquer un piquet et couper un citron")</f>
        <v>A) Une seule exécution comportant plusieurs tâches, comme piquer un piquet et couper un citron</v>
      </c>
      <c r="K116" s="5" t="str">
        <f>IFERROR(__xludf.DUMMYFUNCTION("GOOGLETRANSLATE(E116, ""en"", ""fr"")"),"Il s'agit d'une épreuve combinée qui met à l'épreuve la maîtrise de diverses armes et les compétences de ciblage d'un cavalier en une seule session.")</f>
        <v>Il s'agit d'une épreuve combinée qui met à l'épreuve la maîtrise de diverses armes et les compétences de ciblage d'un cavalier en une seule session.</v>
      </c>
    </row>
    <row r="117" ht="22.5" customHeight="1">
      <c r="A117" s="3">
        <v>116.0</v>
      </c>
      <c r="B117" s="4" t="s">
        <v>360</v>
      </c>
      <c r="C117" s="4" t="s">
        <v>361</v>
      </c>
      <c r="D117" s="4" t="s">
        <v>362</v>
      </c>
      <c r="E117" s="4" t="s">
        <v>363</v>
      </c>
      <c r="G117" s="5" t="str">
        <f>IFERROR(__xludf.DUMMYFUNCTION("GOOGLETRANSLATE(A117, ""en"", ""fr"")"),"116")</f>
        <v>116</v>
      </c>
      <c r="H117" s="5" t="str">
        <f>IFERROR(__xludf.DUMMYFUNCTION("GOOGLETRANSLATE(B117, ""en"", ""fr"")"),"Pourquoi les cavaliers doivent-ils porter des bottes à talons ?")</f>
        <v>Pourquoi les cavaliers doivent-ils porter des bottes à talons ?</v>
      </c>
      <c r="I117" s="5" t="str">
        <f>IFERROR(__xludf.DUMMYFUNCTION("GOOGLETRANSLATE(C117, ""en"", ""fr"")"),"A) C'est une tradition, B) Elles offrent une meilleure adhérence, C) Le talon empêche le pied de glisser hors de l'étrier, D) Elles ont un aspect professionnel")</f>
        <v>A) C'est une tradition, B) Elles offrent une meilleure adhérence, C) Le talon empêche le pied de glisser hors de l'étrier, D) Elles ont un aspect professionnel</v>
      </c>
      <c r="J117" s="5" t="str">
        <f>IFERROR(__xludf.DUMMYFUNCTION("GOOGLETRANSLATE(D117, ""en"", ""fr"")"),"C) Le talon empêche le pied de glisser hors de l'étrier.")</f>
        <v>C) Le talon empêche le pied de glisser hors de l'étrier.</v>
      </c>
      <c r="K117" s="5" t="str">
        <f>IFERROR(__xludf.DUMMYFUNCTION("GOOGLETRANSLATE(E117, ""en"", ""fr"")"),"La botte à talon est un élément fondamental de l'équipement de sécurité équestre qui peut empêcher un cavalier d'être traîné en cas de chute.")</f>
        <v>La botte à talon est un élément fondamental de l'équipement de sécurité équestre qui peut empêcher un cavalier d'être traîné en cas de chute.</v>
      </c>
    </row>
    <row r="118" ht="22.5" customHeight="1">
      <c r="A118" s="3">
        <v>117.0</v>
      </c>
      <c r="B118" s="4" t="s">
        <v>364</v>
      </c>
      <c r="C118" s="4" t="s">
        <v>365</v>
      </c>
      <c r="D118" s="4" t="s">
        <v>366</v>
      </c>
      <c r="E118" s="4" t="s">
        <v>367</v>
      </c>
      <c r="G118" s="5" t="str">
        <f>IFERROR(__xludf.DUMMYFUNCTION("GOOGLETRANSLATE(A118, ""en"", ""fr"")"),"117")</f>
        <v>117</v>
      </c>
      <c r="H118" s="5" t="str">
        <f>IFERROR(__xludf.DUMMYFUNCTION("GOOGLETRANSLATE(B118, ""en"", ""fr"")"),"Qu'est-ce qu'une ""exécution sans incident"" ?")</f>
        <v>Qu'est-ce qu'une "exécution sans incident" ?</v>
      </c>
      <c r="I118" s="5" t="str">
        <f>IFERROR(__xludf.DUMMYFUNCTION("GOOGLETRANSLATE(C118, ""en"", ""fr"")"),"A) Une course sans faute, B) Une course terminée sans pénalité ni faute, C) Une course où l'uniforme reste propre, D) Une course très rapide")</f>
        <v>A) Une course sans faute, B) Une course terminée sans pénalité ni faute, C) Une course où l'uniforme reste propre, D) Une course très rapide</v>
      </c>
      <c r="J118" s="5" t="str">
        <f>IFERROR(__xludf.DUMMYFUNCTION("GOOGLETRANSLATE(D118, ""en"", ""fr"")"),"B) Une course complétée sans aucune pénalité ni faute")</f>
        <v>B) Une course complétée sans aucune pénalité ni faute</v>
      </c>
      <c r="K118" s="5" t="str">
        <f>IFERROR(__xludf.DUMMYFUNCTION("GOOGLETRANSLATE(E118, ""en"", ""fr"")"),"Une « course sans faute » est une course où le pilote ne commet aucune faute, comme un faux départ, une faute de temps ou la chute de son arme.")</f>
        <v>Une « course sans faute » est une course où le pilote ne commet aucune faute, comme un faux départ, une faute de temps ou la chute de son arme.</v>
      </c>
    </row>
    <row r="119" ht="22.5" customHeight="1">
      <c r="A119" s="3">
        <v>118.0</v>
      </c>
      <c r="B119" s="4" t="s">
        <v>368</v>
      </c>
      <c r="C119" s="4" t="s">
        <v>369</v>
      </c>
      <c r="D119" s="4" t="s">
        <v>370</v>
      </c>
      <c r="E119" s="4" t="s">
        <v>371</v>
      </c>
      <c r="G119" s="5" t="str">
        <f>IFERROR(__xludf.DUMMYFUNCTION("GOOGLETRANSLATE(A119, ""en"", ""fr"")"),"118")</f>
        <v>118</v>
      </c>
      <c r="H119" s="5" t="str">
        <f>IFERROR(__xludf.DUMMYFUNCTION("GOOGLETRANSLATE(B119, ""en"", ""fr"")"),"À quoi sert la caméra de ralenti ?")</f>
        <v>À quoi sert la caméra de ralenti ?</v>
      </c>
      <c r="I119" s="5" t="str">
        <f>IFERROR(__xludf.DUMMYFUNCTION("GOOGLETRANSLATE(C119, ""en"", ""fr"")"),"A) Pour donner un aspect spectaculaire à l'événement, B) Pour aider les juges à prendre des décisions justes, C) Pour aider les entraîneurs, D) Pour divertir le public")</f>
        <v>A) Pour donner un aspect spectaculaire à l'événement, B) Pour aider les juges à prendre des décisions justes, C) Pour aider les entraîneurs, D) Pour divertir le public</v>
      </c>
      <c r="J119" s="5" t="str">
        <f>IFERROR(__xludf.DUMMYFUNCTION("GOOGLETRANSLATE(D119, ""en"", ""fr"")"),"B) Pour aider les juges à prendre des décisions justes")</f>
        <v>B) Pour aider les juges à prendre des décisions justes</v>
      </c>
      <c r="K119" s="5" t="str">
        <f>IFERROR(__xludf.DUMMYFUNCTION("GOOGLETRANSLATE(E119, ""en"", ""fr"")"),"Le ralenti est un outil d'arbitrage crucial pour examiner les décisions litigieuses et les contestations.")</f>
        <v>Le ralenti est un outil d'arbitrage crucial pour examiner les décisions litigieuses et les contestations.</v>
      </c>
    </row>
    <row r="120" ht="22.5" customHeight="1">
      <c r="A120" s="3">
        <v>119.0</v>
      </c>
      <c r="B120" s="4" t="s">
        <v>372</v>
      </c>
      <c r="C120" s="4" t="s">
        <v>373</v>
      </c>
      <c r="D120" s="4" t="s">
        <v>374</v>
      </c>
      <c r="E120" s="4" t="s">
        <v>375</v>
      </c>
      <c r="G120" s="5" t="str">
        <f>IFERROR(__xludf.DUMMYFUNCTION("GOOGLETRANSLATE(A120, ""en"", ""fr"")"),"119")</f>
        <v>119</v>
      </c>
      <c r="H120" s="5" t="str">
        <f>IFERROR(__xludf.DUMMYFUNCTION("GOOGLETRANSLATE(B120, ""en"", ""fr"")"),"Que signifie pour un cavalier l'expression « avoir des mains douces » ?")</f>
        <v>Que signifie pour un cavalier l'expression « avoir des mains douces » ?</v>
      </c>
      <c r="I120" s="5" t="str">
        <f>IFERROR(__xludf.DUMMYFUNCTION("GOOGLETRANSLATE(C120, ""en"", ""fr"")"),"A) Ils ont les mains faibles, B) Ils guident le cheval avec des rênes légères, C) Ils portent des gants souples, D) Ils sont débutants")</f>
        <v>A) Ils ont les mains faibles, B) Ils guident le cheval avec des rênes légères, C) Ils portent des gants souples, D) Ils sont débutants</v>
      </c>
      <c r="J120" s="5" t="str">
        <f>IFERROR(__xludf.DUMMYFUNCTION("GOOGLETRANSLATE(D120, ""en"", ""fr"")"),"B) Ils guident le cheval avec de légères indications sur les rênes.")</f>
        <v>B) Ils guident le cheval avec de légères indications sur les rênes.</v>
      </c>
      <c r="K120" s="5" t="str">
        <f>IFERROR(__xludf.DUMMYFUNCTION("GOOGLETRANSLATE(E120, ""en"", ""fr"")"),"Des « mains douces » désignent un cavalier expert qui communique par des signaux subtils.")</f>
        <v>Des « mains douces » désignent un cavalier expert qui communique par des signaux subtils.</v>
      </c>
    </row>
    <row r="121" ht="22.5" customHeight="1">
      <c r="A121" s="3">
        <v>120.0</v>
      </c>
      <c r="B121" s="4" t="s">
        <v>376</v>
      </c>
      <c r="C121" s="4" t="s">
        <v>377</v>
      </c>
      <c r="D121" s="4" t="s">
        <v>378</v>
      </c>
      <c r="E121" s="4" t="s">
        <v>379</v>
      </c>
      <c r="G121" s="5" t="str">
        <f>IFERROR(__xludf.DUMMYFUNCTION("GOOGLETRANSLATE(A121, ""en"", ""fr"")"),"120")</f>
        <v>120</v>
      </c>
      <c r="H121" s="5" t="str">
        <f>IFERROR(__xludf.DUMMYFUNCTION("GOOGLETRANSLATE(B121, ""en"", ""fr"")"),"Quelle est la décision prise si un cycliste se plaint d'être ébloui par le soleil ?")</f>
        <v>Quelle est la décision prise si un cycliste se plaint d'être ébloui par le soleil ?</v>
      </c>
      <c r="I121" s="5" t="str">
        <f>IFERROR(__xludf.DUMMYFUNCTION("GOOGLETRANSLATE(C121, ""en"", ""fr"")"),"A) Ils obtiennent une nouvelle épreuve, B) La protestation est rejetée, C) La compétition est suspendue, D) Ils obtiennent des points partiels")</f>
        <v>A) Ils obtiennent une nouvelle épreuve, B) La protestation est rejetée, C) La compétition est suspendue, D) Ils obtiennent des points partiels</v>
      </c>
      <c r="J121" s="5" t="str">
        <f>IFERROR(__xludf.DUMMYFUNCTION("GOOGLETRANSLATE(D121, ""en"", ""fr"")"),"B) La protestation est rejetée.")</f>
        <v>B) La protestation est rejetée.</v>
      </c>
      <c r="K121" s="5" t="str">
        <f>IFERROR(__xludf.DUMMYFUNCTION("GOOGLETRANSLATE(E121, ""en"", ""fr"")"),"Les conditions environnementales, comme l'éblouissement du soleil, sont considérées comme faisant partie du défi de ce sport.")</f>
        <v>Les conditions environnementales, comme l'éblouissement du soleil, sont considérées comme faisant partie du défi de ce sport.</v>
      </c>
    </row>
    <row r="122" ht="22.5" customHeight="1">
      <c r="A122" s="3">
        <v>121.0</v>
      </c>
      <c r="B122" s="4" t="s">
        <v>380</v>
      </c>
      <c r="C122" s="4" t="s">
        <v>381</v>
      </c>
      <c r="D122" s="4" t="s">
        <v>382</v>
      </c>
      <c r="E122" s="4" t="s">
        <v>383</v>
      </c>
      <c r="G122" s="5" t="str">
        <f>IFERROR(__xludf.DUMMYFUNCTION("GOOGLETRANSLATE(A122, ""en"", ""fr"")"),"121")</f>
        <v>121</v>
      </c>
      <c r="H122" s="5" t="str">
        <f>IFERROR(__xludf.DUMMYFUNCTION("GOOGLETRANSLATE(B122, ""en"", ""fr"")"),"Quelle est la principale différence entre une lance et une pique ?")</f>
        <v>Quelle est la principale différence entre une lance et une pique ?</v>
      </c>
      <c r="I122" s="5" t="str">
        <f>IFERROR(__xludf.DUMMYFUNCTION("GOOGLETRANSLATE(C122, ""en"", ""fr"")"),"A) Aucune différence, B) Une lance est utilisée à cheval, C) Une lance est plus longue, D) Une lance est en métal")</f>
        <v>A) Aucune différence, B) Une lance est utilisée à cheval, C) Une lance est plus longue, D) Une lance est en métal</v>
      </c>
      <c r="J122" s="5" t="str">
        <f>IFERROR(__xludf.DUMMYFUNCTION("GOOGLETRANSLATE(D122, ""en"", ""fr"")"),"B) Une lance est destinée à être utilisée à cheval")</f>
        <v>B) Une lance est destinée à être utilisée à cheval</v>
      </c>
      <c r="K122" s="5" t="str">
        <f>IFERROR(__xludf.DUMMYFUNCTION("GOOGLETRANSLATE(E122, ""en"", ""fr"")"),"Une lance est un type de lance spécifiquement adapté à l'usage de la cavalerie.")</f>
        <v>Une lance est un type de lance spécifiquement adapté à l'usage de la cavalerie.</v>
      </c>
    </row>
    <row r="123" ht="22.5" customHeight="1">
      <c r="A123" s="3">
        <v>122.0</v>
      </c>
      <c r="B123" s="4" t="s">
        <v>384</v>
      </c>
      <c r="C123" s="4" t="s">
        <v>385</v>
      </c>
      <c r="D123" s="4" t="s">
        <v>386</v>
      </c>
      <c r="E123" s="4" t="s">
        <v>387</v>
      </c>
      <c r="G123" s="5" t="str">
        <f>IFERROR(__xludf.DUMMYFUNCTION("GOOGLETRANSLATE(A123, ""en"", ""fr"")"),"122")</f>
        <v>122</v>
      </c>
      <c r="H123" s="5" t="str">
        <f>IFERROR(__xludf.DUMMYFUNCTION("GOOGLETRANSLATE(B123, ""en"", ""fr"")"),"Quel est l’objectif principal de la « désensibilisation » chez les chevaux ?")</f>
        <v>Quel est l’objectif principal de la « désensibilisation » chez les chevaux ?</v>
      </c>
      <c r="I123" s="5" t="str">
        <f>IFERROR(__xludf.DUMMYFUNCTION("GOOGLETRANSLATE(C123, ""en"", ""fr"")"),"A) Ignorer le bruit du public et les mouvements brusques, B) Accepter les coups de lance, C) Réduire la peur des drapeaux, D) Toutes les réponses ci-dessus")</f>
        <v>A) Ignorer le bruit du public et les mouvements brusques, B) Accepter les coups de lance, C) Réduire la peur des drapeaux, D) Toutes les réponses ci-dessus</v>
      </c>
      <c r="J123" s="5" t="str">
        <f>IFERROR(__xludf.DUMMYFUNCTION("GOOGLETRANSLATE(D123, ""en"", ""fr"")"),"D) Toutes les réponses ci-dessus")</f>
        <v>D) Toutes les réponses ci-dessus</v>
      </c>
      <c r="K123" s="5" t="str">
        <f>IFERROR(__xludf.DUMMYFUNCTION("GOOGLETRANSLATE(E123, ""en"", ""fr"")"),"Les chevaux doivent rester calmes malgré les stimuli bruyants, soudains et inhabituels de la compétition pour performer en toute sécurité et efficacement.")</f>
        <v>Les chevaux doivent rester calmes malgré les stimuli bruyants, soudains et inhabituels de la compétition pour performer en toute sécurité et efficacement.</v>
      </c>
    </row>
    <row r="124" ht="22.5" customHeight="1">
      <c r="A124" s="3">
        <v>123.0</v>
      </c>
      <c r="B124" s="4" t="s">
        <v>388</v>
      </c>
      <c r="C124" s="4" t="s">
        <v>389</v>
      </c>
      <c r="D124" s="4" t="s">
        <v>390</v>
      </c>
      <c r="E124" s="4" t="s">
        <v>391</v>
      </c>
      <c r="G124" s="5" t="str">
        <f>IFERROR(__xludf.DUMMYFUNCTION("GOOGLETRANSLATE(A124, ""en"", ""fr"")"),"123")</f>
        <v>123</v>
      </c>
      <c r="H124" s="5" t="str">
        <f>IFERROR(__xludf.DUMMYFUNCTION("GOOGLETRANSLATE(B124, ""en"", ""fr"")"),"Quelle discipline exige du cavalier qu'il change d'arme en cours de course ?")</f>
        <v>Quelle discipline exige du cavalier qu'il change d'arme en cours de course ?</v>
      </c>
      <c r="I124" s="5" t="str">
        <f>IFERROR(__xludf.DUMMYFUNCTION("GOOGLETRANSLATE(C124, ""en"", ""fr"")"),"A) Découpe de citrons, B) Double jegging, C) Épreuve d'épée et de lance, D) Relais de jegging")</f>
        <v>A) Découpe de citrons, B) Double jegging, C) Épreuve d'épée et de lance, D) Relais de jegging</v>
      </c>
      <c r="J124" s="5" t="str">
        <f>IFERROR(__xludf.DUMMYFUNCTION("GOOGLETRANSLATE(D124, ""en"", ""fr"")"),"C) Événement Épée et lance")</f>
        <v>C) Événement Épée et lance</v>
      </c>
      <c r="K124" s="5" t="str">
        <f>IFERROR(__xludf.DUMMYFUNCTION("GOOGLETRANSLATE(E124, ""en"", ""fr"")"),"Ce format rare met à l'épreuve la maîtrise des deux armes en un seul galop, obligeant le cavalier à passer de l'une à l'autre.")</f>
        <v>Ce format rare met à l'épreuve la maîtrise des deux armes en un seul galop, obligeant le cavalier à passer de l'une à l'autre.</v>
      </c>
    </row>
    <row r="125" ht="22.5" customHeight="1">
      <c r="A125" s="3">
        <v>124.0</v>
      </c>
      <c r="B125" s="4" t="s">
        <v>392</v>
      </c>
      <c r="C125" s="4" t="s">
        <v>393</v>
      </c>
      <c r="D125" s="4" t="s">
        <v>394</v>
      </c>
      <c r="E125" s="4" t="s">
        <v>395</v>
      </c>
      <c r="G125" s="5" t="str">
        <f>IFERROR(__xludf.DUMMYFUNCTION("GOOGLETRANSLATE(A125, ""en"", ""fr"")"),"124")</f>
        <v>124</v>
      </c>
      <c r="H125" s="5" t="str">
        <f>IFERROR(__xludf.DUMMYFUNCTION("GOOGLETRANSLATE(B125, ""en"", ""fr"")"),"Quelle est la règle si un piquet est enfoncé mais rebondit à cause d'un sol meuble ?")</f>
        <v>Quelle est la règle si un piquet est enfoncé mais rebondit à cause d'un sol meuble ?</v>
      </c>
      <c r="I125" s="5" t="str">
        <f>IFERROR(__xludf.DUMMYFUNCTION("GOOGLETRANSLATE(C125, ""en"", ""fr"")"),"A) Points entiers, B) Demi-points, C) Décision du commissaire, D) Aucun point")</f>
        <v>A) Points entiers, B) Demi-points, C) Décision du commissaire, D) Aucun point</v>
      </c>
      <c r="J125" s="5" t="str">
        <f>IFERROR(__xludf.DUMMYFUNCTION("GOOGLETRANSLATE(D125, ""en"", ""fr"")"),"A) Points maximums")</f>
        <v>A) Points maximums</v>
      </c>
      <c r="K125" s="5" t="str">
        <f>IFERROR(__xludf.DUMMYFUNCTION("GOOGLETRANSLATE(E125, ""en"", ""fr"")"),"Le fait qu'un piquet quitte le sol compte comme un délogement valable, quelle que soit la nature du sol.")</f>
        <v>Le fait qu'un piquet quitte le sol compte comme un délogement valable, quelle que soit la nature du sol.</v>
      </c>
    </row>
    <row r="126" ht="22.5" customHeight="1">
      <c r="A126" s="3">
        <v>125.0</v>
      </c>
      <c r="B126" s="4" t="s">
        <v>396</v>
      </c>
      <c r="C126" s="4" t="s">
        <v>397</v>
      </c>
      <c r="D126" s="4" t="s">
        <v>398</v>
      </c>
      <c r="E126" s="4" t="s">
        <v>399</v>
      </c>
      <c r="G126" s="5" t="str">
        <f>IFERROR(__xludf.DUMMYFUNCTION("GOOGLETRANSLATE(A126, ""en"", ""fr"")"),"125")</f>
        <v>125</v>
      </c>
      <c r="H126" s="5" t="str">
        <f>IFERROR(__xludf.DUMMYFUNCTION("GOOGLETRANSLATE(B126, ""en"", ""fr"")"),"Pourquoi les chevaux sont-ils souvent entraînés sans selle lors des premiers exercices ?")</f>
        <v>Pourquoi les chevaux sont-ils souvent entraînés sans selle lors des premiers exercices ?</v>
      </c>
      <c r="I126" s="5" t="str">
        <f>IFERROR(__xludf.DUMMYFUNCTION("GOOGLETRANSLATE(C126, ""en"", ""fr"")"),"A) Pour endurcir les cavaliers, B) Pour améliorer l'équilibre et la prise des jambes du cavalier, C) Pour prévenir les dommages à la selle, D) Pour augmenter l'endurance du cheval")</f>
        <v>A) Pour endurcir les cavaliers, B) Pour améliorer l'équilibre et la prise des jambes du cavalier, C) Pour prévenir les dommages à la selle, D) Pour augmenter l'endurance du cheval</v>
      </c>
      <c r="J126" s="5" t="str">
        <f>IFERROR(__xludf.DUMMYFUNCTION("GOOGLETRANSLATE(D126, ""en"", ""fr"")"),"B) Améliorer l'équilibre du tronc et la force de préhension du cycliste")</f>
        <v>B) Améliorer l'équilibre du tronc et la force de préhension du cycliste</v>
      </c>
      <c r="K126" s="5" t="str">
        <f>IFERROR(__xludf.DUMMYFUNCTION("GOOGLETRANSLATE(E126, ""en"", ""fr"")"),"L'équitation à cru est un exercice équestre fondamental qui améliore l'équilibre et la stabilité du cavalier avant l'utilisation d'une selle.")</f>
        <v>L'équitation à cru est un exercice équestre fondamental qui améliore l'équilibre et la stabilité du cavalier avant l'utilisation d'une selle.</v>
      </c>
    </row>
    <row r="127" ht="22.5" customHeight="1">
      <c r="A127" s="3">
        <v>126.0</v>
      </c>
      <c r="B127" s="4" t="s">
        <v>400</v>
      </c>
      <c r="C127" s="4" t="s">
        <v>401</v>
      </c>
      <c r="D127" s="4" t="s">
        <v>402</v>
      </c>
      <c r="E127" s="4" t="s">
        <v>403</v>
      </c>
      <c r="G127" s="5" t="str">
        <f>IFERROR(__xludf.DUMMYFUNCTION("GOOGLETRANSLATE(A127, ""en"", ""fr"")"),"126")</f>
        <v>126</v>
      </c>
      <c r="H127" s="5" t="str">
        <f>IFERROR(__xludf.DUMMYFUNCTION("GOOGLETRANSLATE(B127, ""en"", ""fr"")"),"Quelle est la règle si un pilote termine son entrée en piste dans le temps imparti mais rate le piquet ?")</f>
        <v>Quelle est la règle si un pilote termine son entrée en piste dans le temps imparti mais rate le piquet ?</v>
      </c>
      <c r="I127" s="5" t="str">
        <f>IFERROR(__xludf.DUMMYFUNCTION("GOOGLETRANSLATE(C127, ""en"", ""fr"")"),"A) Points de bonus de temps, B) Aucun point n'est marqué, C) Déduction de 2 points, D) Avertissement émis")</f>
        <v>A) Points de bonus de temps, B) Aucun point n'est marqué, C) Déduction de 2 points, D) Avertissement émis</v>
      </c>
      <c r="J127" s="5" t="str">
        <f>IFERROR(__xludf.DUMMYFUNCTION("GOOGLETRANSLATE(D127, ""en"", ""fr"")"),"B) Aucun point n'est marqué")</f>
        <v>B) Aucun point n'est marqué</v>
      </c>
      <c r="K127" s="5" t="str">
        <f>IFERROR(__xludf.DUMMYFUNCTION("GOOGLETRANSLATE(E127, ""en"", ""fr"")"),"Au tir à la lance, la vitesse sans précision est inutile. L'objectif principal est d'atteindre la cible.")</f>
        <v>Au tir à la lance, la vitesse sans précision est inutile. L'objectif principal est d'atteindre la cible.</v>
      </c>
    </row>
    <row r="128" ht="22.5" customHeight="1">
      <c r="A128" s="3">
        <v>127.0</v>
      </c>
      <c r="B128" s="4" t="s">
        <v>404</v>
      </c>
      <c r="C128" s="4" t="s">
        <v>405</v>
      </c>
      <c r="D128" s="4" t="s">
        <v>406</v>
      </c>
      <c r="E128" s="4" t="s">
        <v>407</v>
      </c>
      <c r="G128" s="5" t="str">
        <f>IFERROR(__xludf.DUMMYFUNCTION("GOOGLETRANSLATE(A128, ""en"", ""fr"")"),"127")</f>
        <v>127</v>
      </c>
      <c r="H128" s="5" t="str">
        <f>IFERROR(__xludf.DUMMYFUNCTION("GOOGLETRANSLATE(B128, ""en"", ""fr"")"),"Quel pays a introduit le « relais international de piquetage » comme sport de démonstration populaire ?")</f>
        <v>Quel pays a introduit le « relais international de piquetage » comme sport de démonstration populaire ?</v>
      </c>
      <c r="I128" s="5" t="str">
        <f>IFERROR(__xludf.DUMMYFUNCTION("GOOGLETRANSLATE(C128, ""en"", ""fr"")"),"A) Émirats arabes unis, B) Oman, C) Pakistan, D) Australie")</f>
        <v>A) Émirats arabes unis, B) Oman, C) Pakistan, D) Australie</v>
      </c>
      <c r="J128" s="5" t="str">
        <f>IFERROR(__xludf.DUMMYFUNCTION("GOOGLETRANSLATE(D128, ""en"", ""fr"")"),"D) Australie")</f>
        <v>D) Australie</v>
      </c>
      <c r="K128" s="5" t="str">
        <f>IFERROR(__xludf.DUMMYFUNCTION("GOOGLETRANSLATE(E128, ""en"", ""fr"")"),"L'Australie a joué un rôle clé dans la promotion du format de relais de tir à la perche, rapide et apprécié des spectateurs, lors des expositions internationales.")</f>
        <v>L'Australie a joué un rôle clé dans la promotion du format de relais de tir à la perche, rapide et apprécié des spectateurs, lors des expositions internationales.</v>
      </c>
    </row>
    <row r="129" ht="22.5" customHeight="1">
      <c r="A129" s="3">
        <v>128.0</v>
      </c>
      <c r="B129" s="4" t="s">
        <v>408</v>
      </c>
      <c r="C129" s="4" t="s">
        <v>409</v>
      </c>
      <c r="D129" s="4" t="s">
        <v>410</v>
      </c>
      <c r="E129" s="4" t="s">
        <v>411</v>
      </c>
      <c r="G129" s="5" t="str">
        <f>IFERROR(__xludf.DUMMYFUNCTION("GOOGLETRANSLATE(A129, ""en"", ""fr"")"),"128")</f>
        <v>128</v>
      </c>
      <c r="H129" s="5" t="str">
        <f>IFERROR(__xludf.DUMMYFUNCTION("GOOGLETRANSLATE(B129, ""en"", ""fr"")"),"Pourquoi les lances utilisées en compétition ne sont-elles jamais entièrement en métal ?")</f>
        <v>Pourquoi les lances utilisées en compétition ne sont-elles jamais entièrement en métal ?</v>
      </c>
      <c r="I129" s="5" t="str">
        <f>IFERROR(__xludf.DUMMYFUNCTION("GOOGLETRANSLATE(C129, ""en"", ""fr"")"),"A) Elles seraient trop lourdes, B) Une lance métallique brisée créerait des bords tranchants dangereux ou des éclats, C) Elles sont trop chères, D) Ce n'est pas un matériau traditionnel")</f>
        <v>A) Elles seraient trop lourdes, B) Une lance métallique brisée créerait des bords tranchants dangereux ou des éclats, C) Elles sont trop chères, D) Ce n'est pas un matériau traditionnel</v>
      </c>
      <c r="J129" s="5" t="str">
        <f>IFERROR(__xludf.DUMMYFUNCTION("GOOGLETRANSLATE(D129, ""en"", ""fr"")"),"B) Une lance métallique brisée créerait des bords tranchants dangereux ou des éclats d'obus.")</f>
        <v>B) Une lance métallique brisée créerait des bords tranchants dangereux ou des éclats d'obus.</v>
      </c>
      <c r="K129" s="5" t="str">
        <f>IFERROR(__xludf.DUMMYFUNCTION("GOOGLETRANSLATE(E129, ""en"", ""fr"")"),"Les éclats de métal représentent un danger important comparés aux échardes de bois ou de fibre de verre, ce qui les rend dangereux pour ce sport.")</f>
        <v>Les éclats de métal représentent un danger important comparés aux échardes de bois ou de fibre de verre, ce qui les rend dangereux pour ce sport.</v>
      </c>
    </row>
    <row r="130" ht="22.5" customHeight="1">
      <c r="A130" s="3">
        <v>129.0</v>
      </c>
      <c r="B130" s="4" t="s">
        <v>412</v>
      </c>
      <c r="C130" s="4" t="s">
        <v>413</v>
      </c>
      <c r="D130" s="4" t="s">
        <v>414</v>
      </c>
      <c r="E130" s="4" t="s">
        <v>415</v>
      </c>
      <c r="G130" s="5" t="str">
        <f>IFERROR(__xludf.DUMMYFUNCTION("GOOGLETRANSLATE(A130, ""en"", ""fr"")"),"129")</f>
        <v>129</v>
      </c>
      <c r="H130" s="5" t="str">
        <f>IFERROR(__xludf.DUMMYFUNCTION("GOOGLETRANSLATE(B130, ""en"", ""fr"")"),"Quelle discipline équestre présente les compétences les plus similaires à celles du tir à la lance ?")</f>
        <v>Quelle discipline équestre présente les compétences les plus similaires à celles du tir à la lance ?</v>
      </c>
      <c r="I130" s="5" t="str">
        <f>IFERROR(__xludf.DUMMYFUNCTION("GOOGLETRANSLATE(C130, ""en"", ""fr"")"),"A) Joutes, B) Polo, C) Tir à l'arc à cheval, D) Dressage")</f>
        <v>A) Joutes, B) Polo, C) Tir à l'arc à cheval, D) Dressage</v>
      </c>
      <c r="J130" s="5" t="str">
        <f>IFERROR(__xludf.DUMMYFUNCTION("GOOGLETRANSLATE(D130, ""en"", ""fr"")"),"C) Tir à l'arc monté")</f>
        <v>C) Tir à l'arc monté</v>
      </c>
      <c r="K130" s="5" t="str">
        <f>IFERROR(__xludf.DUMMYFUNCTION("GOOGLETRANSLATE(E130, ""en"", ""fr"")"),"Le tir à la lance et le tir à l'arc monté exigent tous deux du cavalier qu'il contrôle son cheval à grande vitesse tout en effectuant un mouvement précis avec une arme.")</f>
        <v>Le tir à la lance et le tir à l'arc monté exigent tous deux du cavalier qu'il contrôle son cheval à grande vitesse tout en effectuant un mouvement précis avec une arme.</v>
      </c>
    </row>
    <row r="131" ht="22.5" customHeight="1">
      <c r="A131" s="3">
        <v>130.0</v>
      </c>
      <c r="B131" s="4" t="s">
        <v>416</v>
      </c>
      <c r="C131" s="4" t="s">
        <v>417</v>
      </c>
      <c r="D131" s="4" t="s">
        <v>418</v>
      </c>
      <c r="E131" s="4" t="s">
        <v>419</v>
      </c>
      <c r="G131" s="5" t="str">
        <f>IFERROR(__xludf.DUMMYFUNCTION("GOOGLETRANSLATE(A131, ""en"", ""fr"")"),"130")</f>
        <v>130</v>
      </c>
      <c r="H131" s="5" t="str">
        <f>IFERROR(__xludf.DUMMYFUNCTION("GOOGLETRANSLATE(B131, ""en"", ""fr"")"),"Quel est le nombre maximal d'anneaux suspendus autorisés lors d'une opération de pose d'anneaux ?")</f>
        <v>Quel est le nombre maximal d'anneaux suspendus autorisés lors d'une opération de pose d'anneaux ?</v>
      </c>
      <c r="I131" s="5" t="str">
        <f>IFERROR(__xludf.DUMMYFUNCTION("GOOGLETRANSLATE(C131, ""en"", ""fr"")"),"A) 1, B) 2, C) 3, D) 4")</f>
        <v>A) 1, B) 2, C) 3, D) 4</v>
      </c>
      <c r="J131" s="5" t="str">
        <f>IFERROR(__xludf.DUMMYFUNCTION("GOOGLETRANSLATE(D131, ""en"", ""fr"")"),"B) 2")</f>
        <v>B) 2</v>
      </c>
      <c r="K131" s="5" t="str">
        <f>IFERROR(__xludf.DUMMYFUNCTION("GOOGLETRANSLATE(E131, ""en"", ""fr"")"),"La réglementation autorise généralement la collecte d'un maximum de deux anneaux par passage, testant ainsi la précision et la rapidité.")</f>
        <v>La réglementation autorise généralement la collecte d'un maximum de deux anneaux par passage, testant ainsi la précision et la rapidité.</v>
      </c>
    </row>
    <row r="132" ht="22.5" customHeight="1">
      <c r="A132" s="3">
        <v>131.0</v>
      </c>
      <c r="B132" s="4" t="s">
        <v>420</v>
      </c>
      <c r="C132" s="4" t="s">
        <v>421</v>
      </c>
      <c r="D132" s="4" t="s">
        <v>386</v>
      </c>
      <c r="E132" s="4" t="s">
        <v>422</v>
      </c>
      <c r="G132" s="5" t="str">
        <f>IFERROR(__xludf.DUMMYFUNCTION("GOOGLETRANSLATE(A132, ""en"", ""fr"")"),"131")</f>
        <v>131</v>
      </c>
      <c r="H132" s="5" t="str">
        <f>IFERROR(__xludf.DUMMYFUNCTION("GOOGLETRANSLATE(B132, ""en"", ""fr"")"),"Quelle est la principale raison pour laquelle le signal de départ est crucial ?")</f>
        <v>Quelle est la principale raison pour laquelle le signal de départ est crucial ?</v>
      </c>
      <c r="I132" s="5" t="str">
        <f>IFERROR(__xludf.DUMMYFUNCTION("GOOGLETRANSLATE(C132, ""en"", ""fr"")"),"A) Pour synchroniser les coureurs lors des épreuves par équipe, B) Pour éviter les litiges liés aux départs anticipés, C) Pour garantir un chronométrage équitable et régulier pour tous les concurrents, D) Toutes les réponses ci-dessus")</f>
        <v>A) Pour synchroniser les coureurs lors des épreuves par équipe, B) Pour éviter les litiges liés aux départs anticipés, C) Pour garantir un chronométrage équitable et régulier pour tous les concurrents, D) Toutes les réponses ci-dessus</v>
      </c>
      <c r="J132" s="5" t="str">
        <f>IFERROR(__xludf.DUMMYFUNCTION("GOOGLETRANSLATE(D132, ""en"", ""fr"")"),"D) Toutes les réponses ci-dessus")</f>
        <v>D) Toutes les réponses ci-dessus</v>
      </c>
      <c r="K132" s="5" t="str">
        <f>IFERROR(__xludf.DUMMYFUNCTION("GOOGLETRANSLATE(E132, ""en"", ""fr"")"),"Un signal de départ clair et constant est fondamental pour l'équité, le timing et l'organisation de la compétition.")</f>
        <v>Un signal de départ clair et constant est fondamental pour l'équité, le timing et l'organisation de la compétition.</v>
      </c>
    </row>
    <row r="133" ht="22.5" customHeight="1">
      <c r="A133" s="3">
        <v>132.0</v>
      </c>
      <c r="B133" s="4" t="s">
        <v>423</v>
      </c>
      <c r="C133" s="4" t="s">
        <v>424</v>
      </c>
      <c r="D133" s="4" t="s">
        <v>425</v>
      </c>
      <c r="E133" s="4" t="s">
        <v>426</v>
      </c>
      <c r="G133" s="5" t="str">
        <f>IFERROR(__xludf.DUMMYFUNCTION("GOOGLETRANSLATE(A133, ""en"", ""fr"")"),"132")</f>
        <v>132</v>
      </c>
      <c r="H133" s="5" t="str">
        <f>IFERROR(__xludf.DUMMYFUNCTION("GOOGLETRANSLATE(B133, ""en"", ""fr"")"),"Quelle race de chevaux est considérée comme ayant la meilleure accélération sur la courte piste de tir à la perche ?")</f>
        <v>Quelle race de chevaux est considérée comme ayant la meilleure accélération sur la courte piste de tir à la perche ?</v>
      </c>
      <c r="I133" s="5" t="str">
        <f>IFERROR(__xludf.DUMMYFUNCTION("GOOGLETRANSLATE(C133, ""en"", ""fr"")"),"A) Arabe, B) Marwari, C) Pur-sang, D) Kathiawari")</f>
        <v>A) Arabe, B) Marwari, C) Pur-sang, D) Kathiawari</v>
      </c>
      <c r="J133" s="5" t="str">
        <f>IFERROR(__xludf.DUMMYFUNCTION("GOOGLETRANSLATE(D133, ""en"", ""fr"")"),"C) Pur-sang")</f>
        <v>C) Pur-sang</v>
      </c>
      <c r="K133" s="5" t="str">
        <f>IFERROR(__xludf.DUMMYFUNCTION("GOOGLETRANSLATE(E133, ""en"", ""fr"")"),"Les pur-sang sont réputés pour leur vitesse de pointe explosive, ce qui les rend excellents pour les courses courtes et chronométrées.")</f>
        <v>Les pur-sang sont réputés pour leur vitesse de pointe explosive, ce qui les rend excellents pour les courses courtes et chronométrées.</v>
      </c>
    </row>
    <row r="134" ht="22.5" customHeight="1">
      <c r="A134" s="3">
        <v>133.0</v>
      </c>
      <c r="B134" s="4" t="s">
        <v>427</v>
      </c>
      <c r="C134" s="4" t="s">
        <v>428</v>
      </c>
      <c r="D134" s="4" t="s">
        <v>429</v>
      </c>
      <c r="E134" s="4" t="s">
        <v>430</v>
      </c>
      <c r="G134" s="5" t="str">
        <f>IFERROR(__xludf.DUMMYFUNCTION("GOOGLETRANSLATE(A134, ""en"", ""fr"")"),"133")</f>
        <v>133</v>
      </c>
      <c r="H134" s="5" t="str">
        <f>IFERROR(__xludf.DUMMYFUNCTION("GOOGLETRANSLATE(B134, ""en"", ""fr"")"),"Quel est le rôle du juge immédiatement après chaque passage ?")</f>
        <v>Quel est le rôle du juge immédiatement après chaque passage ?</v>
      </c>
      <c r="I134" s="5" t="str">
        <f>IFERROR(__xludf.DUMMYFUNCTION("GOOGLETRANSLATE(C134, ""en"", ""fr"")"),"A) Mesurer la longueur de la lance, B) Inspecter la profondeur du sol, C) Indiquer clairement les points marqués pour cette course, D) S'assurer que le cheval quitte la piste en toute sécurité")</f>
        <v>A) Mesurer la longueur de la lance, B) Inspecter la profondeur du sol, C) Indiquer clairement les points marqués pour cette course, D) S'assurer que le cheval quitte la piste en toute sécurité</v>
      </c>
      <c r="J134" s="5" t="str">
        <f>IFERROR(__xludf.DUMMYFUNCTION("GOOGLETRANSLATE(D134, ""en"", ""fr"")"),"C) Indiquer clairement les points marqués pour cette course")</f>
        <v>C) Indiquer clairement les points marqués pour cette course</v>
      </c>
      <c r="K134" s="5" t="str">
        <f>IFERROR(__xludf.DUMMYFUNCTION("GOOGLETRANSLATE(E134, ""en"", ""fr"")"),"Les juges doivent signaler rapidement et clairement le résultat (par exemple, à l'aide de drapeaux) aux marqueurs et au public afin de maintenir le bon déroulement de l'événement.")</f>
        <v>Les juges doivent signaler rapidement et clairement le résultat (par exemple, à l'aide de drapeaux) aux marqueurs et au public afin de maintenir le bon déroulement de l'événement.</v>
      </c>
    </row>
    <row r="135" ht="22.5" customHeight="1">
      <c r="A135" s="3">
        <v>134.0</v>
      </c>
      <c r="B135" s="4" t="s">
        <v>431</v>
      </c>
      <c r="C135" s="4" t="s">
        <v>432</v>
      </c>
      <c r="D135" s="4" t="s">
        <v>433</v>
      </c>
      <c r="E135" s="4" t="s">
        <v>434</v>
      </c>
      <c r="G135" s="5" t="str">
        <f>IFERROR(__xludf.DUMMYFUNCTION("GOOGLETRANSLATE(A135, ""en"", ""fr"")"),"134")</f>
        <v>134</v>
      </c>
      <c r="H135" s="5" t="str">
        <f>IFERROR(__xludf.DUMMYFUNCTION("GOOGLETRANSLATE(B135, ""en"", ""fr"")"),"Quelle est la principale raison pour laquelle un cycliste doit avoir une excellente condition cardiovasculaire ?")</f>
        <v>Quelle est la principale raison pour laquelle un cycliste doit avoir une excellente condition cardiovasculaire ?</v>
      </c>
      <c r="I135" s="5" t="str">
        <f>IFERROR(__xludf.DUMMYFUNCTION("GOOGLETRANSLATE(C135, ""en"", ""fr"")"),"A) Courir à pied, B) Supporter l'effort physique nécessaire pour maîtriser un cheval au galop tout en effectuant un mouvement puissant, C) Retenir sa respiration longtemps, D) Cela n'a pas d'importance")</f>
        <v>A) Courir à pied, B) Supporter l'effort physique nécessaire pour maîtriser un cheval au galop tout en effectuant un mouvement puissant, C) Retenir sa respiration longtemps, D) Cela n'a pas d'importance</v>
      </c>
      <c r="J135" s="5" t="str">
        <f>IFERROR(__xludf.DUMMYFUNCTION("GOOGLETRANSLATE(D135, ""en"", ""fr"")"),"B) Résister à l'effort physique nécessaire pour contrôler un cheval à grande vitesse tout en effectuant une action puissante")</f>
        <v>B) Résister à l'effort physique nécessaire pour contrôler un cheval à grande vitesse tout en effectuant une action puissante</v>
      </c>
      <c r="K135" s="5" t="str">
        <f>IFERROR(__xludf.DUMMYFUNCTION("GOOGLETRANSLATE(E135, ""en"", ""fr"")"),"Le tir à la lance est un sport extrêmement physique qui exige une excellente condition physique du pratiquant pour maintenir le contrôle et la précision.")</f>
        <v>Le tir à la lance est un sport extrêmement physique qui exige une excellente condition physique du pratiquant pour maintenir le contrôle et la précision.</v>
      </c>
    </row>
    <row r="136" ht="22.5" customHeight="1">
      <c r="A136" s="3">
        <v>135.0</v>
      </c>
      <c r="B136" s="4" t="s">
        <v>435</v>
      </c>
      <c r="C136" s="4" t="s">
        <v>436</v>
      </c>
      <c r="D136" s="4" t="s">
        <v>437</v>
      </c>
      <c r="E136" s="4" t="s">
        <v>438</v>
      </c>
      <c r="G136" s="5" t="str">
        <f>IFERROR(__xludf.DUMMYFUNCTION("GOOGLETRANSLATE(A136, ""en"", ""fr"")"),"135")</f>
        <v>135</v>
      </c>
      <c r="H136" s="5" t="str">
        <f>IFERROR(__xludf.DUMMYFUNCTION("GOOGLETRANSLATE(B136, ""en"", ""fr"")"),"Quelle est la sanction pour une équipe dont les membres ne portent pas d'uniformes assortis ?")</f>
        <v>Quelle est la sanction pour une équipe dont les membres ne portent pas d'uniformes assortis ?</v>
      </c>
      <c r="I136" s="5" t="str">
        <f>IFERROR(__xludf.DUMMYFUNCTION("GOOGLETRANSLATE(C136, ""en"", ""fr"")"),"A) Ils ne sont pas autorisés à démarrer, B) Un retrait de points, C) Une amende est imposée, D) Un avertissement verbal est donné")</f>
        <v>A) Ils ne sont pas autorisés à démarrer, B) Un retrait de points, C) Une amende est imposée, D) Un avertissement verbal est donné</v>
      </c>
      <c r="J136" s="5" t="str">
        <f>IFERROR(__xludf.DUMMYFUNCTION("GOOGLETRANSLATE(D136, ""en"", ""fr"")"),"A) Ils n'ont pas le droit de commencer")</f>
        <v>A) Ils n'ont pas le droit de commencer</v>
      </c>
      <c r="K136" s="5" t="str">
        <f>IFERROR(__xludf.DUMMYFUNCTION("GOOGLETRANSLATE(E136, ""en"", ""fr"")"),"Lors des événements d'équipe formels, le port d'une tenue assortie est obligatoire pour participer, afin de garantir une apparence professionnelle et organisée.")</f>
        <v>Lors des événements d'équipe formels, le port d'une tenue assortie est obligatoire pour participer, afin de garantir une apparence professionnelle et organisée.</v>
      </c>
    </row>
    <row r="137" ht="22.5" customHeight="1">
      <c r="A137" s="3">
        <v>136.0</v>
      </c>
      <c r="B137" s="4" t="s">
        <v>439</v>
      </c>
      <c r="C137" s="4" t="s">
        <v>440</v>
      </c>
      <c r="D137" s="4" t="s">
        <v>441</v>
      </c>
      <c r="E137" s="4" t="s">
        <v>442</v>
      </c>
      <c r="G137" s="5" t="str">
        <f>IFERROR(__xludf.DUMMYFUNCTION("GOOGLETRANSLATE(A137, ""en"", ""fr"")"),"136")</f>
        <v>136</v>
      </c>
      <c r="H137" s="5" t="str">
        <f>IFERROR(__xludf.DUMMYFUNCTION("GOOGLETRANSLATE(B137, ""en"", ""fr"")"),"Dans quel pays s'est déroulée la Coupe du monde ITPF en 2013 ?")</f>
        <v>Dans quel pays s'est déroulée la Coupe du monde ITPF en 2013 ?</v>
      </c>
      <c r="I137" s="5" t="str">
        <f>IFERROR(__xludf.DUMMYFUNCTION("GOOGLETRANSLATE(C137, ""en"", ""fr"")"),"A) Pakistan, B) Inde, C) Oman, D) Afrique du Sud")</f>
        <v>A) Pakistan, B) Inde, C) Oman, D) Afrique du Sud</v>
      </c>
      <c r="J137" s="5" t="str">
        <f>IFERROR(__xludf.DUMMYFUNCTION("GOOGLETRANSLATE(D137, ""en"", ""fr"")"),"D) Afrique du Sud")</f>
        <v>D) Afrique du Sud</v>
      </c>
      <c r="K137" s="5" t="str">
        <f>IFERROR(__xludf.DUMMYFUNCTION("GOOGLETRANSLATE(E137, ""en"", ""fr"")"),"La première Coupe du monde ITPF, une étape majeure dans la modernisation de ce sport, s'est tenue à Pretoria, en Afrique du Sud.")</f>
        <v>La première Coupe du monde ITPF, une étape majeure dans la modernisation de ce sport, s'est tenue à Pretoria, en Afrique du Sud.</v>
      </c>
    </row>
    <row r="138" ht="22.5" customHeight="1">
      <c r="A138" s="3">
        <v>137.0</v>
      </c>
      <c r="B138" s="4" t="s">
        <v>443</v>
      </c>
      <c r="C138" s="4" t="s">
        <v>444</v>
      </c>
      <c r="D138" s="4" t="s">
        <v>445</v>
      </c>
      <c r="E138" s="4" t="s">
        <v>446</v>
      </c>
      <c r="G138" s="5" t="str">
        <f>IFERROR(__xludf.DUMMYFUNCTION("GOOGLETRANSLATE(A138, ""en"", ""fr"")"),"137")</f>
        <v>137</v>
      </c>
      <c r="H138" s="5" t="str">
        <f>IFERROR(__xludf.DUMMYFUNCTION("GOOGLETRANSLATE(B138, ""en"", ""fr"")"),"Pourquoi est-il important d'entraîner un cheval à ne pas craindre le fouet ?")</f>
        <v>Pourquoi est-il important d'entraîner un cheval à ne pas craindre le fouet ?</v>
      </c>
      <c r="I138" s="5" t="str">
        <f>IFERROR(__xludf.DUMMYFUNCTION("GOOGLETRANSLATE(C138, ""en"", ""fr"")"),"A) Pour que le cavalier puisse frapper plus fort, B) Un cheval qui craint le fouet risque de paniquer ou de s'emballer lorsqu'il est utilisé comme signal, C) Ce n'est pas important, D) Pour que le fouet puisse être utilisé sur d'autres chevaux")</f>
        <v>A) Pour que le cavalier puisse frapper plus fort, B) Un cheval qui craint le fouet risque de paniquer ou de s'emballer lorsqu'il est utilisé comme signal, C) Ce n'est pas important, D) Pour que le fouet puisse être utilisé sur d'autres chevaux</v>
      </c>
      <c r="J138" s="5" t="str">
        <f>IFERROR(__xludf.DUMMYFUNCTION("GOOGLETRANSLATE(D138, ""en"", ""fr"")"),"B) Un cheval qui craint le fouet peut paniquer ou s'emballer lorsqu'il est utilisé comme signal.")</f>
        <v>B) Un cheval qui craint le fouet peut paniquer ou s'emballer lorsqu'il est utilisé comme signal.</v>
      </c>
      <c r="K138" s="5" t="str">
        <f>IFERROR(__xludf.DUMMYFUNCTION("GOOGLETRANSLATE(E138, ""en"", ""fr"")"),"Le fouet est un outil de guidage. Un cheval doit être dressé à y répondre comme à un signal, et non par peur, ce qui le rendrait incontrôlable.")</f>
        <v>Le fouet est un outil de guidage. Un cheval doit être dressé à y répondre comme à un signal, et non par peur, ce qui le rendrait incontrôlable.</v>
      </c>
    </row>
    <row r="139" ht="22.5" customHeight="1">
      <c r="A139" s="3">
        <v>138.0</v>
      </c>
      <c r="B139" s="4" t="s">
        <v>447</v>
      </c>
      <c r="C139" s="4" t="s">
        <v>448</v>
      </c>
      <c r="D139" s="4" t="s">
        <v>449</v>
      </c>
      <c r="E139" s="4" t="s">
        <v>450</v>
      </c>
      <c r="G139" s="5" t="str">
        <f>IFERROR(__xludf.DUMMYFUNCTION("GOOGLETRANSLATE(A139, ""en"", ""fr"")"),"138")</f>
        <v>138</v>
      </c>
      <c r="H139" s="5" t="str">
        <f>IFERROR(__xludf.DUMMYFUNCTION("GOOGLETRANSLATE(B139, ""en"", ""fr"")"),"Que teste l'épreuve « Indian File » au sein d'une équipe ?")</f>
        <v>Que teste l'épreuve « Indian File » au sein d'une équipe ?</v>
      </c>
      <c r="I139" s="5" t="str">
        <f>IFERROR(__xludf.DUMMYFUNCTION("GOOGLETRANSLATE(C139, ""en"", ""fr"")"),"A) La vitesse collective de l'équipe, B) La concentration individuelle de chaque cavalier au sein d'une formation serrée, C) La capacité de l'équipe à partager une seule lance, D) La beauté des chevaux")</f>
        <v>A) La vitesse collective de l'équipe, B) La concentration individuelle de chaque cavalier au sein d'une formation serrée, C) La capacité de l'équipe à partager une seule lance, D) La beauté des chevaux</v>
      </c>
      <c r="J139" s="5" t="str">
        <f>IFERROR(__xludf.DUMMYFUNCTION("GOOGLETRANSLATE(D139, ""en"", ""fr"")"),"B) La concentration individuelle de chaque coureur lorsqu'il roule en formation serrée")</f>
        <v>B) La concentration individuelle de chaque coureur lorsqu'il roule en formation serrée</v>
      </c>
      <c r="K139" s="5" t="str">
        <f>IFERROR(__xludf.DUMMYFUNCTION("GOOGLETRANSLATE(E139, ""en"", ""fr"")"),"Dans cette épreuve, les cavaliers se suivent les uns après les autres et chacun doit se concentrer sur sa propre cible sans être distrait par le cavalier qui le précède.")</f>
        <v>Dans cette épreuve, les cavaliers se suivent les uns après les autres et chacun doit se concentrer sur sa propre cible sans être distrait par le cavalier qui le précède.</v>
      </c>
    </row>
    <row r="140" ht="22.5" customHeight="1">
      <c r="A140" s="3">
        <v>139.0</v>
      </c>
      <c r="B140" s="4" t="s">
        <v>451</v>
      </c>
      <c r="C140" s="4" t="s">
        <v>452</v>
      </c>
      <c r="D140" s="4" t="s">
        <v>453</v>
      </c>
      <c r="E140" s="4" t="s">
        <v>454</v>
      </c>
      <c r="G140" s="5" t="str">
        <f>IFERROR(__xludf.DUMMYFUNCTION("GOOGLETRANSLATE(A140, ""en"", ""fr"")"),"139")</f>
        <v>139</v>
      </c>
      <c r="H140" s="5" t="str">
        <f>IFERROR(__xludf.DUMMYFUNCTION("GOOGLETRANSLATE(B140, ""en"", ""fr"")"),"Quelle est la blessure grave la plus fréquente chez un pratiquant de Tent Pegging ?")</f>
        <v>Quelle est la blessure grave la plus fréquente chez un pratiquant de Tent Pegging ?</v>
      </c>
      <c r="I140" s="5" t="str">
        <f>IFERROR(__xludf.DUMMYFUNCTION("GOOGLETRANSLATE(C140, ""en"", ""fr"")"),"A) Entorse du poignet due à la lance, B) Luxation ou blessure à l'épaule due à la force du coup, C) Lombalgie, D) Fractures de la jambe suite à des chutes")</f>
        <v>A) Entorse du poignet due à la lance, B) Luxation ou blessure à l'épaule due à la force du coup, C) Lombalgie, D) Fractures de la jambe suite à des chutes</v>
      </c>
      <c r="J140" s="5" t="str">
        <f>IFERROR(__xludf.DUMMYFUNCTION("GOOGLETRANSLATE(D140, ""en"", ""fr"")"),"B) Luxation ou blessure à l'épaule due à la force du choc")</f>
        <v>B) Luxation ou blessure à l'épaule due à la force du choc</v>
      </c>
      <c r="K140" s="5" t="str">
        <f>IFERROR(__xludf.DUMMYFUNCTION("GOOGLETRANSLATE(E140, ""en"", ""fr"")"),"L'immense force générée lors du coup de lance, surtout si la lance se coince, expose l'articulation de l'épaule à un risque élevé de blessure.")</f>
        <v>L'immense force générée lors du coup de lance, surtout si la lance se coince, expose l'articulation de l'épaule à un risque élevé de blessure.</v>
      </c>
    </row>
    <row r="141" ht="22.5" customHeight="1">
      <c r="A141" s="3">
        <v>140.0</v>
      </c>
      <c r="B141" s="4" t="s">
        <v>455</v>
      </c>
      <c r="C141" s="4" t="s">
        <v>456</v>
      </c>
      <c r="D141" s="4" t="s">
        <v>457</v>
      </c>
      <c r="E141" s="4" t="s">
        <v>458</v>
      </c>
      <c r="G141" s="5" t="str">
        <f>IFERROR(__xludf.DUMMYFUNCTION("GOOGLETRANSLATE(A141, ""en"", ""fr"")"),"140")</f>
        <v>140</v>
      </c>
      <c r="H141" s="5" t="str">
        <f>IFERROR(__xludf.DUMMYFUNCTION("GOOGLETRANSLATE(B141, ""en"", ""fr"")"),"Quelle erreur de notation est le plus souvent contestée par les coureurs ?")</f>
        <v>Quelle erreur de notation est le plus souvent contestée par les coureurs ?</v>
      </c>
      <c r="I141" s="5" t="str">
        <f>IFERROR(__xludf.DUMMYFUNCTION("GOOGLETRANSLATE(C141, ""en"", ""fr"")"),"A) Le timing de la course, B) La distinction entre un « pion tiré » (2 points) et un échec (0 point), C) Le cheval qui sort de la largeur de la piste, D) Le poids de la lance")</f>
        <v>A) Le timing de la course, B) La distinction entre un « pion tiré » (2 points) et un échec (0 point), C) Le cheval qui sort de la largeur de la piste, D) Le poids de la lance</v>
      </c>
      <c r="J141" s="5" t="str">
        <f>IFERROR(__xludf.DUMMYFUNCTION("GOOGLETRANSLATE(D141, ""en"", ""fr"")"),"B) La distinction entre un « tiré » (2 points) et un échec (0 point)")</f>
        <v>B) La distinction entre un « tiré » (2 points) et un échec (0 point)</v>
      </c>
      <c r="K141" s="5" t="str">
        <f>IFERROR(__xludf.DUMMYFUNCTION("GOOGLETRANSLATE(E141, ""en"", ""fr"")"),"La question de savoir si le piquet a été légèrement déplacé ou complètement délogé du sol est un point de désaccord fréquent.")</f>
        <v>La question de savoir si le piquet a été légèrement déplacé ou complètement délogé du sol est un point de désaccord fréquent.</v>
      </c>
    </row>
    <row r="142" ht="22.5" customHeight="1">
      <c r="A142" s="3">
        <v>141.0</v>
      </c>
      <c r="B142" s="4" t="s">
        <v>459</v>
      </c>
      <c r="C142" s="4" t="s">
        <v>460</v>
      </c>
      <c r="D142" s="4" t="s">
        <v>461</v>
      </c>
      <c r="E142" s="4" t="s">
        <v>462</v>
      </c>
      <c r="G142" s="5" t="str">
        <f>IFERROR(__xludf.DUMMYFUNCTION("GOOGLETRANSLATE(A142, ""en"", ""fr"")"),"141")</f>
        <v>141</v>
      </c>
      <c r="H142" s="5" t="str">
        <f>IFERROR(__xludf.DUMMYFUNCTION("GOOGLETRANSLATE(B142, ""en"", ""fr"")"),"Quel est l'objectif principal de la zone d'élan avant la ligne de départ ?")</f>
        <v>Quel est l'objectif principal de la zone d'élan avant la ligne de départ ?</v>
      </c>
      <c r="I142" s="5" t="str">
        <f>IFERROR(__xludf.DUMMYFUNCTION("GOOGLETRANSLATE(C142, ""en"", ""fr"")"),"A) C'est une zone d'attente pour les cavaliers, B) Elle permet au cheval d'atteindre un galop régulier et contrôlé, C) Elle sert à échauffer le cheval, D) Elle permet aux spectateurs de voir les chevaux")</f>
        <v>A) C'est une zone d'attente pour les cavaliers, B) Elle permet au cheval d'atteindre un galop régulier et contrôlé, C) Elle sert à échauffer le cheval, D) Elle permet aux spectateurs de voir les chevaux</v>
      </c>
      <c r="J142" s="5" t="str">
        <f>IFERROR(__xludf.DUMMYFUNCTION("GOOGLETRANSLATE(D142, ""en"", ""fr"")"),"B) Cela permet au cheval d'atteindre un galop régulier et contrôlé.")</f>
        <v>B) Cela permet au cheval d'atteindre un galop régulier et contrôlé.</v>
      </c>
      <c r="K142" s="5" t="str">
        <f>IFERROR(__xludf.DUMMYFUNCTION("GOOGLETRANSLATE(E142, ""en"", ""fr"")"),"Un cheval a besoin de cet espace pour accélérer et trouver son rythme avant le début de la partie chronométrée de la course.")</f>
        <v>Un cheval a besoin de cet espace pour accélérer et trouver son rythme avant le début de la partie chronométrée de la course.</v>
      </c>
    </row>
    <row r="143" ht="22.5" customHeight="1">
      <c r="A143" s="3">
        <v>142.0</v>
      </c>
      <c r="B143" s="4" t="s">
        <v>463</v>
      </c>
      <c r="C143" s="4" t="s">
        <v>464</v>
      </c>
      <c r="D143" s="4" t="s">
        <v>465</v>
      </c>
      <c r="E143" s="4" t="s">
        <v>466</v>
      </c>
      <c r="G143" s="5" t="str">
        <f>IFERROR(__xludf.DUMMYFUNCTION("GOOGLETRANSLATE(A143, ""en"", ""fr"")"),"142")</f>
        <v>142</v>
      </c>
      <c r="H143" s="5" t="str">
        <f>IFERROR(__xludf.DUMMYFUNCTION("GOOGLETRANSLATE(B143, ""en"", ""fr"")"),"Un pilote est disqualifié pour avoir utilisé un style de pilotage « non conventionnel ». Qu'a-t-il bien pu faire ?")</f>
        <v>Un pilote est disqualifié pour avoir utilisé un style de pilotage « non conventionnel ». Qu'a-t-il bien pu faire ?</v>
      </c>
      <c r="I143" s="5" t="str">
        <f>IFERROR(__xludf.DUMMYFUNCTION("GOOGLETRANSLATE(C143, ""en"", ""fr"")"),"A) Allait trop vite, B) Tenait la lance à deux mains pendant la frappe, C) Crie pendant la course, D) Portait un uniforme de la mauvaise couleur")</f>
        <v>A) Allait trop vite, B) Tenait la lance à deux mains pendant la frappe, C) Crie pendant la course, D) Portait un uniforme de la mauvaise couleur</v>
      </c>
      <c r="J143" s="5" t="str">
        <f>IFERROR(__xludf.DUMMYFUNCTION("GOOGLETRANSLATE(D143, ""en"", ""fr"")"),"B) Il tenait la lance à deux mains pendant la frappe")</f>
        <v>B) Il tenait la lance à deux mains pendant la frappe</v>
      </c>
      <c r="K143" s="5" t="str">
        <f>IFERROR(__xludf.DUMMYFUNCTION("GOOGLETRANSLATE(E143, ""en"", ""fr"")"),"Ce sport exige une technique équestre correcte à une main. L'utilisation des deux mains, la position debout sur la selle ou toute autre posture non standard sont des fautes.")</f>
        <v>Ce sport exige une technique équestre correcte à une main. L'utilisation des deux mains, la position debout sur la selle ou toute autre posture non standard sont des fautes.</v>
      </c>
    </row>
    <row r="144" ht="22.5" customHeight="1">
      <c r="A144" s="3">
        <v>143.0</v>
      </c>
      <c r="B144" s="4" t="s">
        <v>396</v>
      </c>
      <c r="C144" s="4" t="s">
        <v>467</v>
      </c>
      <c r="D144" s="4" t="s">
        <v>398</v>
      </c>
      <c r="E144" s="4" t="s">
        <v>399</v>
      </c>
      <c r="G144" s="5" t="str">
        <f>IFERROR(__xludf.DUMMYFUNCTION("GOOGLETRANSLATE(A144, ""en"", ""fr"")"),"143")</f>
        <v>143</v>
      </c>
      <c r="H144" s="5" t="str">
        <f>IFERROR(__xludf.DUMMYFUNCTION("GOOGLETRANSLATE(B144, ""en"", ""fr"")"),"Pourquoi les chevaux sont-ils souvent entraînés sans selle lors des premiers exercices ?")</f>
        <v>Pourquoi les chevaux sont-ils souvent entraînés sans selle lors des premiers exercices ?</v>
      </c>
      <c r="I144" s="5" t="str">
        <f>IFERROR(__xludf.DUMMYFUNCTION("GOOGLETRANSLATE(C144, ""en"", ""fr"")"),"A) Pour endurcir les cavaliers, B) Pour améliorer l'équilibre et la prise des jambes du cavalier, C) Pour éviter d'endommager les selles coûteuses, D) Pour augmenter l'endurance du cheval")</f>
        <v>A) Pour endurcir les cavaliers, B) Pour améliorer l'équilibre et la prise des jambes du cavalier, C) Pour éviter d'endommager les selles coûteuses, D) Pour augmenter l'endurance du cheval</v>
      </c>
      <c r="J144" s="5" t="str">
        <f>IFERROR(__xludf.DUMMYFUNCTION("GOOGLETRANSLATE(D144, ""en"", ""fr"")"),"B) Améliorer l'équilibre du tronc et la force de préhension du cycliste")</f>
        <v>B) Améliorer l'équilibre du tronc et la force de préhension du cycliste</v>
      </c>
      <c r="K144" s="5" t="str">
        <f>IFERROR(__xludf.DUMMYFUNCTION("GOOGLETRANSLATE(E144, ""en"", ""fr"")"),"L'équitation à cru est un exercice équestre fondamental qui améliore l'équilibre et la stabilité du cavalier avant l'utilisation d'une selle.")</f>
        <v>L'équitation à cru est un exercice équestre fondamental qui améliore l'équilibre et la stabilité du cavalier avant l'utilisation d'une selle.</v>
      </c>
    </row>
    <row r="145" ht="22.5" customHeight="1">
      <c r="A145" s="3">
        <v>144.0</v>
      </c>
      <c r="B145" s="4" t="s">
        <v>468</v>
      </c>
      <c r="C145" s="4" t="s">
        <v>469</v>
      </c>
      <c r="D145" s="4" t="s">
        <v>470</v>
      </c>
      <c r="E145" s="4" t="s">
        <v>471</v>
      </c>
      <c r="G145" s="5" t="str">
        <f>IFERROR(__xludf.DUMMYFUNCTION("GOOGLETRANSLATE(A145, ""en"", ""fr"")"),"144")</f>
        <v>144</v>
      </c>
      <c r="H145" s="5" t="str">
        <f>IFERROR(__xludf.DUMMYFUNCTION("GOOGLETRANSLATE(B145, ""en"", ""fr"")"),"Quel pays est souvent considéré comme ayant relancé et promu internationalement le tir à la perche ?")</f>
        <v>Quel pays est souvent considéré comme ayant relancé et promu internationalement le tir à la perche ?</v>
      </c>
      <c r="I145" s="5" t="str">
        <f>IFERROR(__xludf.DUMMYFUNCTION("GOOGLETRANSLATE(C145, ""en"", ""fr"")"),"A) Pakistan, B) Oman, C) Inde, D) Afrique du Sud")</f>
        <v>A) Pakistan, B) Oman, C) Inde, D) Afrique du Sud</v>
      </c>
      <c r="J145" s="5" t="str">
        <f>IFERROR(__xludf.DUMMYFUNCTION("GOOGLETRANSLATE(D145, ""en"", ""fr"")"),"B) Oman")</f>
        <v>B) Oman</v>
      </c>
      <c r="K145" s="5" t="str">
        <f>IFERROR(__xludf.DUMMYFUNCTION("GOOGLETRANSLATE(E145, ""en"", ""fr"")"),"Bien que ce sport soit populaire en Asie du Sud, le sultanat d'Oman a investi massivement dans la création d'infrastructures de classe mondiale et l'organisation de tournois internationaux majeurs.")</f>
        <v>Bien que ce sport soit populaire en Asie du Sud, le sultanat d'Oman a investi massivement dans la création d'infrastructures de classe mondiale et l'organisation de tournois internationaux majeurs.</v>
      </c>
    </row>
    <row r="146" ht="22.5" customHeight="1">
      <c r="A146" s="3">
        <v>145.0</v>
      </c>
      <c r="B146" s="4" t="s">
        <v>472</v>
      </c>
      <c r="C146" s="4" t="s">
        <v>473</v>
      </c>
      <c r="D146" s="4" t="s">
        <v>474</v>
      </c>
      <c r="E146" s="4" t="s">
        <v>475</v>
      </c>
      <c r="G146" s="5" t="str">
        <f>IFERROR(__xludf.DUMMYFUNCTION("GOOGLETRANSLATE(A146, ""en"", ""fr"")"),"145")</f>
        <v>145</v>
      </c>
      <c r="H146" s="5" t="str">
        <f>IFERROR(__xludf.DUMMYFUNCTION("GOOGLETRANSLATE(B146, ""en"", ""fr"")"),"Quelle est la pénalité pour avoir laissé tomber la lance en pleine course avant d'atteindre le piquet ?")</f>
        <v>Quelle est la pénalité pour avoir laissé tomber la lance en pleine course avant d'atteindre le piquet ?</v>
      </c>
      <c r="I146" s="5" t="str">
        <f>IFERROR(__xludf.DUMMYFUNCTION("GOOGLETRANSLATE(C146, ""en"", ""fr"")"),"A) La séquence est rejouée, B) La séquence est disqualifiée et le score est de zéro, C) Une pénalité de 2 points est appliquée, D) Un avertissement verbal est donné")</f>
        <v>A) La séquence est rejouée, B) La séquence est disqualifiée et le score est de zéro, C) Une pénalité de 2 points est appliquée, D) Un avertissement verbal est donné</v>
      </c>
      <c r="J146" s="5" t="str">
        <f>IFERROR(__xludf.DUMMYFUNCTION("GOOGLETRANSLATE(D146, ""en"", ""fr"")"),"B) La course est disqualifiée et obtient un score de zéro.")</f>
        <v>B) La course est disqualifiée et obtient un score de zéro.</v>
      </c>
      <c r="K146" s="5" t="str">
        <f>IFERROR(__xludf.DUMMYFUNCTION("GOOGLETRANSLATE(E146, ""en"", ""fr"")"),"Pour que la tentative soit valide, le cavalier doit conserver le contrôle de son arme pendant toute la durée de l'essai.")</f>
        <v>Pour que la tentative soit valide, le cavalier doit conserver le contrôle de son arme pendant toute la durée de l'essai.</v>
      </c>
    </row>
    <row r="147" ht="22.5" customHeight="1">
      <c r="A147" s="3">
        <v>146.0</v>
      </c>
      <c r="B147" s="4" t="s">
        <v>476</v>
      </c>
      <c r="C147" s="4" t="s">
        <v>477</v>
      </c>
      <c r="D147" s="4" t="s">
        <v>478</v>
      </c>
      <c r="E147" s="4" t="s">
        <v>479</v>
      </c>
      <c r="G147" s="5" t="str">
        <f>IFERROR(__xludf.DUMMYFUNCTION("GOOGLETRANSLATE(A147, ""en"", ""fr"")"),"146")</f>
        <v>146</v>
      </c>
      <c r="H147" s="5" t="str">
        <f>IFERROR(__xludf.DUMMYFUNCTION("GOOGLETRANSLATE(B147, ""en"", ""fr"")"),"Quelle est la hauteur maximale à laquelle un piquet peut être placé au-dessus du sol selon les règles de l'ITPF ?")</f>
        <v>Quelle est la hauteur maximale à laquelle un piquet peut être placé au-dessus du sol selon les règles de l'ITPF ?</v>
      </c>
      <c r="I147" s="5" t="str">
        <f>IFERROR(__xludf.DUMMYFUNCTION("GOOGLETRANSLATE(C147, ""en"", ""fr"")"),"A) 8 cm, B) 10 cm, C) 15 cm, D) 20 cm")</f>
        <v>A) 8 cm, B) 10 cm, C) 15 cm, D) 20 cm</v>
      </c>
      <c r="J147" s="5" t="str">
        <f>IFERROR(__xludf.DUMMYFUNCTION("GOOGLETRANSLATE(D147, ""en"", ""fr"")"),"C) 15 cm")</f>
        <v>C) 15 cm</v>
      </c>
      <c r="K147" s="5" t="str">
        <f>IFERROR(__xludf.DUMMYFUNCTION("GOOGLETRANSLATE(E147, ""en"", ""fr"")"),"La hauteur du repose-pieds est standardisée (environ 12-15 cm) afin d'assurer la visibilité et un défi équitable pour tous les pilotes.")</f>
        <v>La hauteur du repose-pieds est standardisée (environ 12-15 cm) afin d'assurer la visibilité et un défi équitable pour tous les pilotes.</v>
      </c>
    </row>
    <row r="148" ht="22.5" customHeight="1">
      <c r="A148" s="3">
        <v>147.0</v>
      </c>
      <c r="B148" s="4" t="s">
        <v>480</v>
      </c>
      <c r="C148" s="4" t="s">
        <v>481</v>
      </c>
      <c r="D148" s="4" t="s">
        <v>482</v>
      </c>
      <c r="E148" s="4" t="s">
        <v>483</v>
      </c>
      <c r="G148" s="5" t="str">
        <f>IFERROR(__xludf.DUMMYFUNCTION("GOOGLETRANSLATE(A148, ""en"", ""fr"")"),"147")</f>
        <v>147</v>
      </c>
      <c r="H148" s="5" t="str">
        <f>IFERROR(__xludf.DUMMYFUNCTION("GOOGLETRANSLATE(B148, ""en"", ""fr"")"),"Quelle discipline équestre partage l'origine historique la plus proche du tir à la lance ?")</f>
        <v>Quelle discipline équestre partage l'origine historique la plus proche du tir à la lance ?</v>
      </c>
      <c r="I148" s="5" t="str">
        <f>IFERROR(__xludf.DUMMYFUNCTION("GOOGLETRANSLATE(C148, ""en"", ""fr"")"),"A) Polo, B) Course de barils, C) Joutes, D) Dressage")</f>
        <v>A) Polo, B) Course de barils, C) Joutes, D) Dressage</v>
      </c>
      <c r="J148" s="5" t="str">
        <f>IFERROR(__xludf.DUMMYFUNCTION("GOOGLETRANSLATE(D148, ""en"", ""fr"")"),"C) Joutes")</f>
        <v>C) Joutes</v>
      </c>
      <c r="K148" s="5" t="str">
        <f>IFERROR(__xludf.DUMMYFUNCTION("GOOGLETRANSLATE(E148, ""en"", ""fr"")"),"Le tir à la lance et les joutes sont tous deux issus des exercices de cavalerie médiévaux qui consistaient à utiliser une lance à cheval pour frapper une cible.")</f>
        <v>Le tir à la lance et les joutes sont tous deux issus des exercices de cavalerie médiévaux qui consistaient à utiliser une lance à cheval pour frapper une cible.</v>
      </c>
    </row>
    <row r="149" ht="22.5" customHeight="1">
      <c r="A149" s="3">
        <v>148.0</v>
      </c>
      <c r="B149" s="4" t="s">
        <v>400</v>
      </c>
      <c r="C149" s="4" t="s">
        <v>484</v>
      </c>
      <c r="D149" s="4" t="s">
        <v>485</v>
      </c>
      <c r="E149" s="4" t="s">
        <v>486</v>
      </c>
      <c r="G149" s="5" t="str">
        <f>IFERROR(__xludf.DUMMYFUNCTION("GOOGLETRANSLATE(A149, ""en"", ""fr"")"),"148")</f>
        <v>148</v>
      </c>
      <c r="H149" s="5" t="str">
        <f>IFERROR(__xludf.DUMMYFUNCTION("GOOGLETRANSLATE(B149, ""en"", ""fr"")"),"Quelle est la règle si un pilote termine son entrée en piste dans le temps imparti mais rate le piquet ?")</f>
        <v>Quelle est la règle si un pilote termine son entrée en piste dans le temps imparti mais rate le piquet ?</v>
      </c>
      <c r="I149" s="5" t="str">
        <f>IFERROR(__xludf.DUMMYFUNCTION("GOOGLETRANSLATE(C149, ""en"", ""fr"")"),"A) Ils reçoivent des points bonus pour leur rapidité, B) Un score de 0 est attribué, C) Ils subissent une pénalité de 2 points pour l'erreur, D) Un avertissement est émis")</f>
        <v>A) Ils reçoivent des points bonus pour leur rapidité, B) Un score de 0 est attribué, C) Ils subissent une pénalité de 2 points pour l'erreur, D) Un avertissement est émis</v>
      </c>
      <c r="J149" s="5" t="str">
        <f>IFERROR(__xludf.DUMMYFUNCTION("GOOGLETRANSLATE(D149, ""en"", ""fr"")"),"B) La note de 0 est attribuée.")</f>
        <v>B) La note de 0 est attribuée.</v>
      </c>
      <c r="K149" s="5" t="str">
        <f>IFERROR(__xludf.DUMMYFUNCTION("GOOGLETRANSLATE(E149, ""en"", ""fr"")"),"Au tir à la lance, la vitesse sans précision est inutile. L'objectif principal est d'atteindre la cible avec succès.")</f>
        <v>Au tir à la lance, la vitesse sans précision est inutile. L'objectif principal est d'atteindre la cible avec succès.</v>
      </c>
    </row>
    <row r="150" ht="22.5" customHeight="1">
      <c r="A150" s="3">
        <v>149.0</v>
      </c>
      <c r="B150" s="4" t="s">
        <v>487</v>
      </c>
      <c r="C150" s="4" t="s">
        <v>409</v>
      </c>
      <c r="D150" s="4" t="s">
        <v>410</v>
      </c>
      <c r="E150" s="4" t="s">
        <v>411</v>
      </c>
      <c r="G150" s="5" t="str">
        <f>IFERROR(__xludf.DUMMYFUNCTION("GOOGLETRANSLATE(A150, ""en"", ""fr"")"),"149")</f>
        <v>149</v>
      </c>
      <c r="H150" s="5" t="str">
        <f>IFERROR(__xludf.DUMMYFUNCTION("GOOGLETRANSLATE(B150, ""en"", ""fr"")"),"Quelle est la principale raison pour laquelle les lances ne sont pas en métal dans les compétitions modernes ?")</f>
        <v>Quelle est la principale raison pour laquelle les lances ne sont pas en métal dans les compétitions modernes ?</v>
      </c>
      <c r="I150" s="5" t="str">
        <f>IFERROR(__xludf.DUMMYFUNCTION("GOOGLETRANSLATE(C150, ""en"", ""fr"")"),"A) Elles seraient trop lourdes, B) Une lance métallique brisée créerait des bords tranchants dangereux ou des éclats, C) Elles sont trop chères, D) Ce n'est pas un matériau traditionnel")</f>
        <v>A) Elles seraient trop lourdes, B) Une lance métallique brisée créerait des bords tranchants dangereux ou des éclats, C) Elles sont trop chères, D) Ce n'est pas un matériau traditionnel</v>
      </c>
      <c r="J150" s="5" t="str">
        <f>IFERROR(__xludf.DUMMYFUNCTION("GOOGLETRANSLATE(D150, ""en"", ""fr"")"),"B) Une lance métallique brisée créerait des bords tranchants dangereux ou des éclats d'obus.")</f>
        <v>B) Une lance métallique brisée créerait des bords tranchants dangereux ou des éclats d'obus.</v>
      </c>
      <c r="K150" s="5" t="str">
        <f>IFERROR(__xludf.DUMMYFUNCTION("GOOGLETRANSLATE(E150, ""en"", ""fr"")"),"Les éclats de métal représentent un danger important comparés aux échardes de bois ou de fibre de verre, ce qui les rend dangereux pour ce sport.")</f>
        <v>Les éclats de métal représentent un danger important comparés aux échardes de bois ou de fibre de verre, ce qui les rend dangereux pour ce sport.</v>
      </c>
    </row>
    <row r="151" ht="22.5" customHeight="1">
      <c r="A151" s="3">
        <v>150.0</v>
      </c>
      <c r="B151" s="4" t="s">
        <v>488</v>
      </c>
      <c r="C151" s="4" t="s">
        <v>489</v>
      </c>
      <c r="D151" s="4" t="s">
        <v>490</v>
      </c>
      <c r="E151" s="4" t="s">
        <v>491</v>
      </c>
      <c r="G151" s="5" t="str">
        <f>IFERROR(__xludf.DUMMYFUNCTION("GOOGLETRANSLATE(A151, ""en"", ""fr"")"),"150")</f>
        <v>150</v>
      </c>
      <c r="H151" s="5" t="str">
        <f>IFERROR(__xludf.DUMMYFUNCTION("GOOGLETRANSLATE(B151, ""en"", ""fr"")"),"Quel est l’héritage le plus durable du jeu de paume ?")</f>
        <v>Quel est l’héritage le plus durable du jeu de paume ?</v>
      </c>
      <c r="I151" s="5" t="str">
        <f>IFERROR(__xludf.DUMMYFUNCTION("GOOGLETRANSLATE(C151, ""en"", ""fr"")"),"A) C'est encore un sport populaire dans le monde entier. B) Il a fourni les règles, la terminologie et les concepts fondamentaux des sports modernes comme le tennis et la pelote basque. C) C'était le premier sport à utiliser une raquette. D) C'était un sp"&amp;"ort olympique.")</f>
        <v>A) C'est encore un sport populaire dans le monde entier. B) Il a fourni les règles, la terminologie et les concepts fondamentaux des sports modernes comme le tennis et la pelote basque. C) C'était le premier sport à utiliser une raquette. D) C'était un sport olympique.</v>
      </c>
      <c r="J151" s="5" t="str">
        <f>IFERROR(__xludf.DUMMYFUNCTION("GOOGLETRANSLATE(D151, ""en"", ""fr"")"),"B) Il a fourni les règles fondamentales, la terminologie et les concepts des sports modernes comme le tennis et la pelote basque.")</f>
        <v>B) Il a fourni les règles fondamentales, la terminologie et les concepts des sports modernes comme le tennis et la pelote basque.</v>
      </c>
      <c r="K151" s="5" t="str">
        <f>IFERROR(__xludf.DUMMYFUNCTION("GOOGLETRANSLATE(E151, ""en"", ""fr"")"),"L'ancien « jeu de la paume » est l'un des ancêtres les plus importants de l'histoire du sport, à l'origine de nombreux jeux de raquette et de balle modernes.")</f>
        <v>L'ancien « jeu de la paume » est l'un des ancêtres les plus importants de l'histoire du sport, à l'origine de nombreux jeux de raquette et de balle modernes.</v>
      </c>
    </row>
  </sheetData>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5" width="37.63"/>
    <col customWidth="1" min="7" max="7" width="14.13"/>
    <col customWidth="1" min="8" max="11" width="37.63"/>
  </cols>
  <sheetData>
    <row r="1" ht="22.5" customHeight="1">
      <c r="A1" s="1" t="s">
        <v>0</v>
      </c>
      <c r="B1" s="1" t="s">
        <v>1</v>
      </c>
      <c r="C1" s="1" t="s">
        <v>2</v>
      </c>
      <c r="D1" s="1" t="s">
        <v>3</v>
      </c>
      <c r="E1" s="1" t="s">
        <v>4</v>
      </c>
      <c r="G1" s="2" t="s">
        <v>5</v>
      </c>
      <c r="H1" s="2" t="s">
        <v>6</v>
      </c>
      <c r="I1" s="2" t="s">
        <v>7</v>
      </c>
      <c r="J1" s="2" t="s">
        <v>8</v>
      </c>
      <c r="K1" s="2" t="s">
        <v>4</v>
      </c>
    </row>
    <row r="2" ht="22.5" customHeight="1">
      <c r="A2" s="3">
        <v>1.0</v>
      </c>
      <c r="B2" s="4" t="s">
        <v>492</v>
      </c>
      <c r="C2" s="4" t="s">
        <v>493</v>
      </c>
      <c r="D2" s="4" t="s">
        <v>494</v>
      </c>
      <c r="E2" s="4" t="s">
        <v>495</v>
      </c>
      <c r="G2" s="5" t="str">
        <f>IFERROR(__xludf.DUMMYFUNCTION("GOOGLETRANSLATE(A2, ""en"", ""fr"")"),"1")</f>
        <v>1</v>
      </c>
      <c r="H2" s="5" t="str">
        <f>IFERROR(__xludf.DUMMYFUNCTION("GOOGLETRANSLATE(B2, ""en"", ""fr"")"),"Lors d'un match de tambourin en extérieur, un joueur frappe la balle qui atterrit directement sur la ligne de fond adverse. Quelle est la décision de l'arbitre ?")</f>
        <v>Lors d'un match de tambourin en extérieur, un joueur frappe la balle qui atterrit directement sur la ligne de fond adverse. Quelle est la décision de l'arbitre ?</v>
      </c>
      <c r="I2" s="5" t="str">
        <f>IFERROR(__xludf.DUMMYFUNCTION("GOOGLETRANSLATE(C2, ""en"", ""fr"")"),"A) La balle est sortie, B) Le point est rejoué, C) La balle est dedans, D) C'est une faute")</f>
        <v>A) La balle est sortie, B) Le point est rejoué, C) La balle est dedans, D) C'est une faute</v>
      </c>
      <c r="J2" s="5" t="str">
        <f>IFERROR(__xludf.DUMMYFUNCTION("GOOGLETRANSLATE(D2, ""en"", ""fr"")"),"C) La balle est en")</f>
        <v>C) La balle est en</v>
      </c>
      <c r="K2" s="5" t="str">
        <f>IFERROR(__xludf.DUMMYFUNCTION("GOOGLETRANSLATE(E2, ""en"", ""fr"")"),"Les lignes de délimitation font partie intégrante du terrain de jeu. Une balle atterrissant sur l'une de ces lignes est un coup valable, dit « bon ».")</f>
        <v>Les lignes de délimitation font partie intégrante du terrain de jeu. Une balle atterrissant sur l'une de ces lignes est un coup valable, dit « bon ».</v>
      </c>
    </row>
    <row r="3" ht="22.5" customHeight="1">
      <c r="A3" s="3">
        <v>2.0</v>
      </c>
      <c r="B3" s="4" t="s">
        <v>496</v>
      </c>
      <c r="C3" s="4" t="s">
        <v>497</v>
      </c>
      <c r="D3" s="4" t="s">
        <v>498</v>
      </c>
      <c r="E3" s="4" t="s">
        <v>499</v>
      </c>
      <c r="G3" s="5" t="str">
        <f>IFERROR(__xludf.DUMMYFUNCTION("GOOGLETRANSLATE(A3, ""en"", ""fr"")"),"2")</f>
        <v>2</v>
      </c>
      <c r="H3" s="5" t="str">
        <f>IFERROR(__xludf.DUMMYFUNCTION("GOOGLETRANSLATE(B3, ""en"", ""fr"")"),"Un serveur de l'équipe A frappe la balle pour servir, mais son pied touche la ligne de fond avant l'impact. Quelle est la décision ?")</f>
        <v>Un serveur de l'équipe A frappe la balle pour servir, mais son pied touche la ligne de fond avant l'impact. Quelle est la décision ?</v>
      </c>
      <c r="I3" s="5" t="str">
        <f>IFERROR(__xludf.DUMMYFUNCTION("GOOGLETRANSLATE(C3, ""en"", ""fr"")"),"A) Le service est régulier. B) Il y a faute de pied et l'équipe A perd le point. C) Le serveur bénéficie d'une seconde chance. D) Un avertissement est donné.")</f>
        <v>A) Le service est régulier. B) Il y a faute de pied et l'équipe A perd le point. C) Le serveur bénéficie d'une seconde chance. D) Un avertissement est donné.</v>
      </c>
      <c r="J3" s="5" t="str">
        <f>IFERROR(__xludf.DUMMYFUNCTION("GOOGLETRANSLATE(D3, ""en"", ""fr"")"),"B) C'est une faute de pied, et l'équipe A perd le point.")</f>
        <v>B) C'est une faute de pied, et l'équipe A perd le point.</v>
      </c>
      <c r="K3" s="5" t="str">
        <f>IFERROR(__xludf.DUMMYFUNCTION("GOOGLETRANSLATE(E3, ""en"", ""fr"")"),"Les pieds du serveur doivent rester derrière la ligne de fond jusqu'au moment où la balle est frappée. Une faute de pied entraîne la perte du point.")</f>
        <v>Les pieds du serveur doivent rester derrière la ligne de fond jusqu'au moment où la balle est frappée. Une faute de pied entraîne la perte du point.</v>
      </c>
    </row>
    <row r="4" ht="22.5" customHeight="1">
      <c r="A4" s="3">
        <v>3.0</v>
      </c>
      <c r="B4" s="4" t="s">
        <v>500</v>
      </c>
      <c r="C4" s="4" t="s">
        <v>501</v>
      </c>
      <c r="D4" s="4" t="s">
        <v>502</v>
      </c>
      <c r="E4" s="4" t="s">
        <v>503</v>
      </c>
      <c r="G4" s="5" t="str">
        <f>IFERROR(__xludf.DUMMYFUNCTION("GOOGLETRANSLATE(A4, ""en"", ""fr"")"),"3")</f>
        <v>3</v>
      </c>
      <c r="H4" s="5" t="str">
        <f>IFERROR(__xludf.DUMMYFUNCTION("GOOGLETRANSLATE(B4, ""en"", ""fr"")"),"Lors d'un match de championnat, le tambourin d'un joueur se casse en plein échange. Quelle est la procédure à suivre ?")</f>
        <v>Lors d'un match de championnat, le tambourin d'un joueur se casse en plein échange. Quelle est la procédure à suivre ?</v>
      </c>
      <c r="I4" s="5" t="str">
        <f>IFERROR(__xludf.DUMMYFUNCTION("GOOGLETRANSLATE(C4, ""en"", ""fr"")"),"A) Le joueur doit continuer avec le tambourin cassé, B) L'équipe du joueur perd le point, C) L'arbitre annonce un « let », et le point est rejoué, D) Le joueur est disqualifié")</f>
        <v>A) Le joueur doit continuer avec le tambourin cassé, B) L'équipe du joueur perd le point, C) L'arbitre annonce un « let », et le point est rejoué, D) Le joueur est disqualifié</v>
      </c>
      <c r="J4" s="5" t="str">
        <f>IFERROR(__xludf.DUMMYFUNCTION("GOOGLETRANSLATE(D4, ""en"", ""fr"")"),"C) L'arbitre annonce un « let », et le point est rejoué.")</f>
        <v>C) L'arbitre annonce un « let », et le point est rejoué.</v>
      </c>
      <c r="K4" s="5" t="str">
        <f>IFERROR(__xludf.DUMMYFUNCTION("GOOGLETRANSLATE(E4, ""en"", ""fr"")"),"Si le matériel d'un joueur tombe en panne pendant un point en direct sans que ce soit de sa faute, le point est immédiatement arrêté et rejoué pour garantir l'équité.")</f>
        <v>Si le matériel d'un joueur tombe en panne pendant un point en direct sans que ce soit de sa faute, le point est immédiatement arrêté et rejoué pour garantir l'équité.</v>
      </c>
    </row>
    <row r="5" ht="22.5" customHeight="1">
      <c r="A5" s="3">
        <v>4.0</v>
      </c>
      <c r="B5" s="4" t="s">
        <v>504</v>
      </c>
      <c r="C5" s="4" t="s">
        <v>505</v>
      </c>
      <c r="D5" s="4" t="s">
        <v>506</v>
      </c>
      <c r="E5" s="4" t="s">
        <v>507</v>
      </c>
      <c r="G5" s="5" t="str">
        <f>IFERROR(__xludf.DUMMYFUNCTION("GOOGLETRANSLATE(A5, ""en"", ""fr"")"),"4")</f>
        <v>4</v>
      </c>
      <c r="H5" s="5" t="str">
        <f>IFERROR(__xludf.DUMMYFUNCTION("GOOGLETRANSLATE(B5, ""en"", ""fr"")"),"Un joueur frappe un coup puissant qui touche le corps d'un adversaire avant de rebondir. Quel est le résultat ?")</f>
        <v>Un joueur frappe un coup puissant qui touche le corps d'un adversaire avant de rebondir. Quel est le résultat ?</v>
      </c>
      <c r="I5" s="5" t="str">
        <f>IFERROR(__xludf.DUMMYFUNCTION("GOOGLETRANSLATE(C5, ""en"", ""fr"")"),"A) Le point est rejoué. B) Le joueur touché perd le point. C) Le joueur qui a frappé la balle perd le point. D) Une faute est sifflée contre le frappeur.")</f>
        <v>A) Le point est rejoué. B) Le joueur touché perd le point. C) Le joueur qui a frappé la balle perd le point. D) Une faute est sifflée contre le frappeur.</v>
      </c>
      <c r="J5" s="5" t="str">
        <f>IFERROR(__xludf.DUMMYFUNCTION("GOOGLETRANSLATE(D5, ""en"", ""fr"")"),"B) Le joueur touché perd le point.")</f>
        <v>B) Le joueur touché perd le point.</v>
      </c>
      <c r="K5" s="5" t="str">
        <f>IFERROR(__xludf.DUMMYFUNCTION("GOOGLETRANSLATE(E5, ""en"", ""fr"")"),"La balle doit être renvoyée avec le tambourin. Si elle touche le corps d'un joueur, c'est une faute et l'équipe de ce joueur perd le point.")</f>
        <v>La balle doit être renvoyée avec le tambourin. Si elle touche le corps d'un joueur, c'est une faute et l'équipe de ce joueur perd le point.</v>
      </c>
    </row>
    <row r="6" ht="22.5" customHeight="1">
      <c r="A6" s="3">
        <v>5.0</v>
      </c>
      <c r="B6" s="4" t="s">
        <v>508</v>
      </c>
      <c r="C6" s="4" t="s">
        <v>509</v>
      </c>
      <c r="D6" s="4" t="s">
        <v>510</v>
      </c>
      <c r="E6" s="4" t="s">
        <v>511</v>
      </c>
      <c r="G6" s="5" t="str">
        <f>IFERROR(__xludf.DUMMYFUNCTION("GOOGLETRANSLATE(A6, ""en"", ""fr"")"),"5")</f>
        <v>5</v>
      </c>
      <c r="H6" s="5" t="str">
        <f>IFERROR(__xludf.DUMMYFUNCTION("GOOGLETRANSLATE(B6, ""en"", ""fr"")"),"Une équipe mène 40 à 15 dans un match. Comment appelle-t-on ce score ?")</f>
        <v>Une équipe mène 40 à 15 dans un match. Comment appelle-t-on ce score ?</v>
      </c>
      <c r="I6" s="5" t="str">
        <f>IFERROR(__xludf.DUMMYFUNCTION("GOOGLETRANSLATE(C6, ""en"", ""fr"")"),"A) Avantage, B) Balle de set, C) Balle de triple jeu, D) Victoire sans appel")</f>
        <v>A) Avantage, B) Balle de set, C) Balle de triple jeu, D) Victoire sans appel</v>
      </c>
      <c r="J6" s="5" t="str">
        <f>IFERROR(__xludf.DUMMYFUNCTION("GOOGLETRANSLATE(D6, ""en"", ""fr"")"),"C) Point de match triple")</f>
        <v>C) Point de match triple</v>
      </c>
      <c r="K6" s="5" t="str">
        <f>IFERROR(__xludf.DUMMYFUNCTION("GOOGLETRANSLATE(E6, ""en"", ""fr"")"),"L'expression « triple point de match » désigne la situation où une équipe a trois occasions consécutives de remporter la partie en cours.")</f>
        <v>L'expression « triple point de match » désigne la situation où une équipe a trois occasions consécutives de remporter la partie en cours.</v>
      </c>
    </row>
    <row r="7" ht="22.5" customHeight="1">
      <c r="A7" s="3">
        <v>6.0</v>
      </c>
      <c r="B7" s="4" t="s">
        <v>512</v>
      </c>
      <c r="C7" s="4" t="s">
        <v>513</v>
      </c>
      <c r="D7" s="4" t="s">
        <v>514</v>
      </c>
      <c r="E7" s="4" t="s">
        <v>515</v>
      </c>
      <c r="G7" s="5" t="str">
        <f>IFERROR(__xludf.DUMMYFUNCTION("GOOGLETRANSLATE(A7, ""en"", ""fr"")"),"6")</f>
        <v>6</v>
      </c>
      <c r="H7" s="5" t="str">
        <f>IFERROR(__xludf.DUMMYFUNCTION("GOOGLETRANSLATE(B7, ""en"", ""fr"")"),"Au cours d'un match, un joueur de l'équipe A se blesse et ne peut plus continuer. L'équipe a déjà effectué ses trois remplacements. Que se passe-t-il maintenant ?")</f>
        <v>Au cours d'un match, un joueur de l'équipe A se blesse et ne peut plus continuer. L'équipe a déjà effectué ses trois remplacements. Que se passe-t-il maintenant ?</v>
      </c>
      <c r="I7" s="5" t="str">
        <f>IFERROR(__xludf.DUMMYFUNCTION("GOOGLETRANSLATE(C7, ""en"", ""fr"")"),"A) L'équipe doit continuer avec quatre joueurs. B) L'équipe doit déclarer forfait. C) Le joueur blessé pourra revenir plus tard. D) Le match est déclaré nul.")</f>
        <v>A) L'équipe doit continuer avec quatre joueurs. B) L'équipe doit déclarer forfait. C) Le joueur blessé pourra revenir plus tard. D) Le match est déclaré nul.</v>
      </c>
      <c r="J7" s="5" t="str">
        <f>IFERROR(__xludf.DUMMYFUNCTION("GOOGLETRANSLATE(D7, ""en"", ""fr"")"),"A) L'équipe doit continuer avec quatre joueurs")</f>
        <v>A) L'équipe doit continuer avec quatre joueurs</v>
      </c>
      <c r="K7" s="5" t="str">
        <f>IFERROR(__xludf.DUMMYFUNCTION("GOOGLETRANSLATE(E7, ""en"", ""fr"")"),"Contrairement à certains sports, une équipe est autorisée à continuer le match avec moins de joueurs si elle n'a plus de remplaçants disponibles.")</f>
        <v>Contrairement à certains sports, une équipe est autorisée à continuer le match avec moins de joueurs si elle n'a plus de remplaçants disponibles.</v>
      </c>
    </row>
    <row r="8" ht="22.5" customHeight="1">
      <c r="A8" s="3">
        <v>7.0</v>
      </c>
      <c r="B8" s="4" t="s">
        <v>516</v>
      </c>
      <c r="C8" s="4" t="s">
        <v>517</v>
      </c>
      <c r="D8" s="4" t="s">
        <v>518</v>
      </c>
      <c r="E8" s="4" t="s">
        <v>519</v>
      </c>
      <c r="G8" s="5" t="str">
        <f>IFERROR(__xludf.DUMMYFUNCTION("GOOGLETRANSLATE(A8, ""en"", ""fr"")"),"7")</f>
        <v>7</v>
      </c>
      <c r="H8" s="5" t="str">
        <f>IFERROR(__xludf.DUMMYFUNCTION("GOOGLETRANSLATE(B8, ""en"", ""fr"")"),"Lors d'un match en salle, un joueur frappe la balle, et celle-ci rebondit dans la « zone neutre » centrale. Quelle est la règle appliquée ?")</f>
        <v>Lors d'un match en salle, un joueur frappe la balle, et celle-ci rebondit dans la « zone neutre » centrale. Quelle est la règle appliquée ?</v>
      </c>
      <c r="I8" s="5" t="str">
        <f>IFERROR(__xludf.DUMMYFUNCTION("GOOGLETRANSLATE(C8, ""en"", ""fr"")"),"A) C'est un point pour l'équipe qui a frappé la balle. B) C'est une faute, et l'équipe qui l'a commise perd le point. C) Le point est rejoué. D) La balle est toujours en jeu.")</f>
        <v>A) C'est un point pour l'équipe qui a frappé la balle. B) C'est une faute, et l'équipe qui l'a commise perd le point. C) Le point est rejoué. D) La balle est toujours en jeu.</v>
      </c>
      <c r="J8" s="5" t="str">
        <f>IFERROR(__xludf.DUMMYFUNCTION("GOOGLETRANSLATE(D8, ""en"", ""fr"")"),"B) C'est une faute, et l'équipe qui l'a commise perd le point.")</f>
        <v>B) C'est une faute, et l'équipe qui l'a commise perd le point.</v>
      </c>
      <c r="K8" s="5" t="str">
        <f>IFERROR(__xludf.DUMMYFUNCTION("GOOGLETRANSLATE(E8, ""en"", ""fr"")"),"La zone neutre est une zone « morte ». L'équipe qui fait atterrir le ballon dans cette zone perd le point.")</f>
        <v>La zone neutre est une zone « morte ». L'équipe qui fait atterrir le ballon dans cette zone perd le point.</v>
      </c>
    </row>
    <row r="9" ht="22.5" customHeight="1">
      <c r="A9" s="3">
        <v>8.0</v>
      </c>
      <c r="B9" s="4" t="s">
        <v>520</v>
      </c>
      <c r="C9" s="4" t="s">
        <v>521</v>
      </c>
      <c r="D9" s="4" t="s">
        <v>522</v>
      </c>
      <c r="E9" s="4" t="s">
        <v>523</v>
      </c>
      <c r="G9" s="5" t="str">
        <f>IFERROR(__xludf.DUMMYFUNCTION("GOOGLETRANSLATE(A9, ""en"", ""fr"")"),"8")</f>
        <v>8</v>
      </c>
      <c r="H9" s="5" t="str">
        <f>IFERROR(__xludf.DUMMYFUNCTION("GOOGLETRANSLATE(B9, ""en"", ""fr"")"),"Un joueur est surpris à utiliser un tambourin à double couche de peau synthétique pour créer un effet « trampoline » illégal. Quelle est la décision ?")</f>
        <v>Un joueur est surpris à utiliser un tambourin à double couche de peau synthétique pour créer un effet « trampoline » illégal. Quelle est la décision ?</v>
      </c>
      <c r="I9" s="5" t="str">
        <f>IFERROR(__xludf.DUMMYFUNCTION("GOOGLETRANSLATE(C9, ""en"", ""fr"")"),"A) Il s'agit d'une innovation légale. B) Le tambourin est illégal et le joueur est disqualifié. C) Le joueur peut l'utiliser mais ne peut pas marquer de points. D) Un avertissement est donné.")</f>
        <v>A) Il s'agit d'une innovation légale. B) Le tambourin est illégal et le joueur est disqualifié. C) Le joueur peut l'utiliser mais ne peut pas marquer de points. D) Un avertissement est donné.</v>
      </c>
      <c r="J9" s="5" t="str">
        <f>IFERROR(__xludf.DUMMYFUNCTION("GOOGLETRANSLATE(D9, ""en"", ""fr"")"),"B) Le tambourin est illégal et le joueur est disqualifié.")</f>
        <v>B) Le tambourin est illégal et le joueur est disqualifié.</v>
      </c>
      <c r="K9" s="5" t="str">
        <f>IFERROR(__xludf.DUMMYFUNCTION("GOOGLETRANSLATE(E9, ""en"", ""fr"")"),"Tout le matériel doit être conforme aux normes officielles. Toute altération du tambourin visant à obtenir un avantage indu constitue une infraction grave.")</f>
        <v>Tout le matériel doit être conforme aux normes officielles. Toute altération du tambourin visant à obtenir un avantage indu constitue une infraction grave.</v>
      </c>
    </row>
    <row r="10" ht="22.5" customHeight="1">
      <c r="A10" s="3">
        <v>9.0</v>
      </c>
      <c r="B10" s="4" t="s">
        <v>524</v>
      </c>
      <c r="C10" s="4" t="s">
        <v>525</v>
      </c>
      <c r="D10" s="4" t="s">
        <v>526</v>
      </c>
      <c r="E10" s="4" t="s">
        <v>527</v>
      </c>
      <c r="G10" s="5" t="str">
        <f>IFERROR(__xludf.DUMMYFUNCTION("GOOGLETRANSLATE(A10, ""en"", ""fr"")"),"9")</f>
        <v>9</v>
      </c>
      <c r="H10" s="5" t="str">
        <f>IFERROR(__xludf.DUMMYFUNCTION("GOOGLETRANSLATE(B10, ""en"", ""fr"")"),"Un joueur sert, et la balle touche le sol juste au-delà de la ligne médiane mais avant la ligne de service des 15 mètres. Quelle est la décision ?")</f>
        <v>Un joueur sert, et la balle touche le sol juste au-delà de la ligne médiane mais avant la ligne de service des 15 mètres. Quelle est la décision ?</v>
      </c>
      <c r="I10" s="5" t="str">
        <f>IFERROR(__xludf.DUMMYFUNCTION("GOOGLETRANSLATE(C10, ""en"", ""fr"")"),"A) Service régulier, B) Faute ; service trop court, C) Point rejoué, D) Avertissement donné")</f>
        <v>A) Service régulier, B) Faute ; service trop court, C) Point rejoué, D) Avertissement donné</v>
      </c>
      <c r="J10" s="5" t="str">
        <f>IFERROR(__xludf.DUMMYFUNCTION("GOOGLETRANSLATE(D10, ""en"", ""fr"")"),"B) Une faute ; le service est « court ».")</f>
        <v>B) Une faute ; le service est « court ».</v>
      </c>
      <c r="K10" s="5" t="str">
        <f>IFERROR(__xludf.DUMMYFUNCTION("GOOGLETRANSLATE(E10, ""en"", ""fr"")"),"Le service doit atterrir dans la zone de réception du service, c'est-à-dire l'espace situé entre la ligne de service de 15 mètres et la ligne de fond.")</f>
        <v>Le service doit atterrir dans la zone de réception du service, c'est-à-dire l'espace situé entre la ligne de service de 15 mètres et la ligne de fond.</v>
      </c>
    </row>
    <row r="11" ht="22.5" customHeight="1">
      <c r="A11" s="3">
        <v>10.0</v>
      </c>
      <c r="B11" s="4" t="s">
        <v>528</v>
      </c>
      <c r="C11" s="4" t="s">
        <v>529</v>
      </c>
      <c r="D11" s="4" t="s">
        <v>530</v>
      </c>
      <c r="E11" s="4" t="s">
        <v>531</v>
      </c>
      <c r="G11" s="5" t="str">
        <f>IFERROR(__xludf.DUMMYFUNCTION("GOOGLETRANSLATE(A11, ""en"", ""fr"")"),"10")</f>
        <v>10</v>
      </c>
      <c r="H11" s="5" t="str">
        <f>IFERROR(__xludf.DUMMYFUNCTION("GOOGLETRANSLATE(B11, ""en"", ""fr"")"),"Le score d'un match est de 40-40. Comment appelle-t-on ce score en français ?")</f>
        <v>Le score d'un match est de 40-40. Comment appelle-t-on ce score en français ?</v>
      </c>
      <c r="I11" s="5" t="str">
        <f>IFERROR(__xludf.DUMMYFUNCTION("GOOGLETRANSLATE(C11, ""en"", ""fr"")"),"A) Jeu, B) Quarante-A, C) Égalité, D) Balle de jeu")</f>
        <v>A) Jeu, B) Quarante-A, C) Égalité, D) Balle de jeu</v>
      </c>
      <c r="J11" s="5" t="str">
        <f>IFERROR(__xludf.DUMMYFUNCTION("GOOGLETRANSLATE(D11, ""en"", ""fr"")"),"C) Égalité")</f>
        <v>C) Égalité</v>
      </c>
      <c r="K11" s="5" t="str">
        <f>IFERROR(__xludf.DUMMYFUNCTION("GOOGLETRANSLATE(E11, ""en"", ""fr"")"),"« Égalité » est le terme français pour désigner un score de 40-40. À partir de ce score, une équipe doit marquer deux points consécutifs pour gagner la partie.")</f>
        <v>« Égalité » est le terme français pour désigner un score de 40-40. À partir de ce score, une équipe doit marquer deux points consécutifs pour gagner la partie.</v>
      </c>
    </row>
    <row r="12" ht="22.5" customHeight="1">
      <c r="A12" s="3">
        <v>11.0</v>
      </c>
      <c r="B12" s="4" t="s">
        <v>532</v>
      </c>
      <c r="C12" s="4" t="s">
        <v>533</v>
      </c>
      <c r="D12" s="4" t="s">
        <v>534</v>
      </c>
      <c r="E12" s="4" t="s">
        <v>535</v>
      </c>
      <c r="G12" s="5" t="str">
        <f>IFERROR(__xludf.DUMMYFUNCTION("GOOGLETRANSLATE(A12, ""en"", ""fr"")"),"11")</f>
        <v>11</v>
      </c>
      <c r="H12" s="5" t="str">
        <f>IFERROR(__xludf.DUMMYFUNCTION("GOOGLETRANSLATE(B12, ""en"", ""fr"")"),"Un joueur frappe un coup puissant qui heurte une branche d'arbre surplombante avant d'atterrir dans le camp adverse. Quelle est la décision arbitrale ?")</f>
        <v>Un joueur frappe un coup puissant qui heurte une branche d'arbre surplombante avant d'atterrir dans le camp adverse. Quelle est la décision arbitrale ?</v>
      </c>
      <c r="I12" s="5" t="str">
        <f>IFERROR(__xludf.DUMMYFUNCTION("GOOGLETRANSLATE(C12, ""en"", ""fr"")"),"A) Le point est rejoué en raison d'une interférence. B) Le jeu continue. C) C'est une faute et l'équipe du joueur perd le point. D) C'est un point pour l'équipe qui a frappé.")</f>
        <v>A) Le point est rejoué en raison d'une interférence. B) Le jeu continue. C) C'est une faute et l'équipe du joueur perd le point. D) C'est un point pour l'équipe qui a frappé.</v>
      </c>
      <c r="J12" s="5" t="str">
        <f>IFERROR(__xludf.DUMMYFUNCTION("GOOGLETRANSLATE(D12, ""en"", ""fr"")"),"C) C'est une faute, et l'équipe du joueur perd le point.")</f>
        <v>C) C'est une faute, et l'équipe du joueur perd le point.</v>
      </c>
      <c r="K12" s="5" t="str">
        <f>IFERROR(__xludf.DUMMYFUNCTION("GOOGLETRANSLATE(E12, ""en"", ""fr"")"),"Toute balle qui touche un obstacle en hauteur, comme une branche d'arbre ou une poutre de toit, est immédiatement considérée comme « sortie », et l'équipe qui l'a touchée perd le point.")</f>
        <v>Toute balle qui touche un obstacle en hauteur, comme une branche d'arbre ou une poutre de toit, est immédiatement considérée comme « sortie », et l'équipe qui l'a touchée perd le point.</v>
      </c>
    </row>
    <row r="13" ht="22.5" customHeight="1">
      <c r="A13" s="3">
        <v>12.0</v>
      </c>
      <c r="B13" s="4" t="s">
        <v>536</v>
      </c>
      <c r="C13" s="4" t="s">
        <v>537</v>
      </c>
      <c r="D13" s="4" t="s">
        <v>538</v>
      </c>
      <c r="E13" s="4" t="s">
        <v>539</v>
      </c>
      <c r="G13" s="5" t="str">
        <f>IFERROR(__xludf.DUMMYFUNCTION("GOOGLETRANSLATE(A13, ""en"", ""fr"")"),"12")</f>
        <v>12</v>
      </c>
      <c r="H13" s="5" t="str">
        <f>IFERROR(__xludf.DUMMYFUNCTION("GOOGLETRANSLATE(B13, ""en"", ""fr"")"),"Un joueur est pénalisé pour « contact prolongé » avec le ballon. Qu'est-ce que cela signifie ?")</f>
        <v>Un joueur est pénalisé pour « contact prolongé » avec le ballon. Qu'est-ce que cela signifie ?</v>
      </c>
      <c r="I13" s="5" t="str">
        <f>IFERROR(__xludf.DUMMYFUNCTION("GOOGLETRANSLATE(C13, ""en"", ""fr"")"),"A) Ils ont frappé la balle deux fois, B) Ils ont attrapé ou retenu la balle sur le tambourin au lieu de la frapper proprement, C) Ils ont tenu la balle avec leur main, D) Ils ont mis trop de temps à frapper la balle")</f>
        <v>A) Ils ont frappé la balle deux fois, B) Ils ont attrapé ou retenu la balle sur le tambourin au lieu de la frapper proprement, C) Ils ont tenu la balle avec leur main, D) Ils ont mis trop de temps à frapper la balle</v>
      </c>
      <c r="J13" s="5" t="str">
        <f>IFERROR(__xludf.DUMMYFUNCTION("GOOGLETRANSLATE(D13, ""en"", ""fr"")"),"B) Ils ont attrapé ou retenu la balle sur le tambourin au lieu de la frapper proprement.")</f>
        <v>B) Ils ont attrapé ou retenu la balle sur le tambourin au lieu de la frapper proprement.</v>
      </c>
      <c r="K13" s="5" t="str">
        <f>IFERROR(__xludf.DUMMYFUNCTION("GOOGLETRANSLATE(E13, ""en"", ""fr"")"),"La balle doit être frappée d'un seul mouvement distinct. La ramasser, la porter ou la retenir sur le tambourin constitue une faute.")</f>
        <v>La balle doit être frappée d'un seul mouvement distinct. La ramasser, la porter ou la retenir sur le tambourin constitue une faute.</v>
      </c>
    </row>
    <row r="14" ht="22.5" customHeight="1">
      <c r="A14" s="3">
        <v>13.0</v>
      </c>
      <c r="B14" s="4" t="s">
        <v>540</v>
      </c>
      <c r="C14" s="4" t="s">
        <v>541</v>
      </c>
      <c r="D14" s="4" t="s">
        <v>542</v>
      </c>
      <c r="E14" s="4" t="s">
        <v>543</v>
      </c>
      <c r="G14" s="5" t="str">
        <f>IFERROR(__xludf.DUMMYFUNCTION("GOOGLETRANSLATE(A14, ""en"", ""fr"")"),"13")</f>
        <v>13</v>
      </c>
      <c r="H14" s="5" t="str">
        <f>IFERROR(__xludf.DUMMYFUNCTION("GOOGLETRANSLATE(B14, ""en"", ""fr"")"),"Au cours d'un match, l'entraîneur d'un joueur entre sur le terrain pour contester une décision arbitrale. Quelle en est la conséquence immédiate ?")</f>
        <v>Au cours d'un match, l'entraîneur d'un joueur entre sur le terrain pour contester une décision arbitrale. Quelle en est la conséquence immédiate ?</v>
      </c>
      <c r="I14" s="5" t="str">
        <f>IFERROR(__xludf.DUMMYFUNCTION("GOOGLETRANSLATE(C14, ""en"", ""fr"")"),"A) L'entraîneur reçoit un avertissement. B) L'équipe de l'entraîneur est pénalisée d'un point pour « ingérence d'un tiers ». C) Le match est rejoué. D) L'entraîneur est prié de quitter les lieux.")</f>
        <v>A) L'entraîneur reçoit un avertissement. B) L'équipe de l'entraîneur est pénalisée d'un point pour « ingérence d'un tiers ». C) Le match est rejoué. D) L'entraîneur est prié de quitter les lieux.</v>
      </c>
      <c r="J14" s="5" t="str">
        <f>IFERROR(__xludf.DUMMYFUNCTION("GOOGLETRANSLATE(D14, ""en"", ""fr"")"),"B) L'équipe de l'entraîneur est pénalisée d'un point pour « interférence d'un tiers ».")</f>
        <v>B) L'équipe de l'entraîneur est pénalisée d'un point pour « interférence d'un tiers ».</v>
      </c>
      <c r="K14" s="5" t="str">
        <f>IFERROR(__xludf.DUMMYFUNCTION("GOOGLETRANSLATE(E14, ""en"", ""fr"")"),"Seuls les joueurs sont autorisés sur le terrain. La présence d'un entraîneur sur le terrain pendant le jeu constitue une faute grave passible d'une pénalité.")</f>
        <v>Seuls les joueurs sont autorisés sur le terrain. La présence d'un entraîneur sur le terrain pendant le jeu constitue une faute grave passible d'une pénalité.</v>
      </c>
    </row>
    <row r="15" ht="22.5" customHeight="1">
      <c r="A15" s="3">
        <v>14.0</v>
      </c>
      <c r="B15" s="4" t="s">
        <v>544</v>
      </c>
      <c r="C15" s="4" t="s">
        <v>545</v>
      </c>
      <c r="D15" s="4" t="s">
        <v>546</v>
      </c>
      <c r="E15" s="4" t="s">
        <v>547</v>
      </c>
      <c r="G15" s="5" t="str">
        <f>IFERROR(__xludf.DUMMYFUNCTION("GOOGLETRANSLATE(A15, ""en"", ""fr"")"),"14")</f>
        <v>14</v>
      </c>
      <c r="H15" s="5" t="str">
        <f>IFERROR(__xludf.DUMMYFUNCTION("GOOGLETRANSLATE(B15, ""en"", ""fr"")"),"Quelle est la principale caractéristique qui distingue le tambourin, sport de plein air, du tennis ?")</f>
        <v>Quelle est la principale caractéristique qui distingue le tambourin, sport de plein air, du tennis ?</v>
      </c>
      <c r="I15" s="5" t="str">
        <f>IFERROR(__xludf.DUMMYFUNCTION("GOOGLETRANSLATE(C15, ""en"", ""fr"")"),"A) On y joue avec un ballon, B) C'est un sport d'équipe, C) Il n'y a pas de filet physique séparant les deux équipes, D) On y joue sur un terrain rectangulaire")</f>
        <v>A) On y joue avec un ballon, B) C'est un sport d'équipe, C) Il n'y a pas de filet physique séparant les deux équipes, D) On y joue sur un terrain rectangulaire</v>
      </c>
      <c r="J15" s="5" t="str">
        <f>IFERROR(__xludf.DUMMYFUNCTION("GOOGLETRANSLATE(D15, ""en"", ""fr"")"),"C) Il n'y a pas de filet physique séparant les deux équipes")</f>
        <v>C) Il n'y a pas de filet physique séparant les deux équipes</v>
      </c>
      <c r="K15" s="5" t="str">
        <f>IFERROR(__xludf.DUMMYFUNCTION("GOOGLETRANSLATE(E15, ""en"", ""fr"")"),"Le jeu en extérieur se joue sur une simple ligne au sol (la corde), et non sur un filet surélevé, ce qui crée un ensemble de tactiques unique.")</f>
        <v>Le jeu en extérieur se joue sur une simple ligne au sol (la corde), et non sur un filet surélevé, ce qui crée un ensemble de tactiques unique.</v>
      </c>
    </row>
    <row r="16" ht="22.5" customHeight="1">
      <c r="A16" s="3">
        <v>15.0</v>
      </c>
      <c r="B16" s="4" t="s">
        <v>548</v>
      </c>
      <c r="C16" s="4" t="s">
        <v>549</v>
      </c>
      <c r="D16" s="4" t="s">
        <v>550</v>
      </c>
      <c r="E16" s="4" t="s">
        <v>551</v>
      </c>
      <c r="G16" s="5" t="str">
        <f>IFERROR(__xludf.DUMMYFUNCTION("GOOGLETRANSLATE(A16, ""en"", ""fr"")"),"15")</f>
        <v>15</v>
      </c>
      <c r="H16" s="5" t="str">
        <f>IFERROR(__xludf.DUMMYFUNCTION("GOOGLETRANSLATE(B16, ""en"", ""fr"")"),"Un joueur est remplacé lors du premier set. Peut-il revenir dans le match lors du deuxième set ?")</f>
        <v>Un joueur est remplacé lors du premier set. Peut-il revenir dans le match lors du deuxième set ?</v>
      </c>
      <c r="I16" s="5" t="str">
        <f>IFERROR(__xludf.DUMMYFUNCTION("GOOGLETRANSLATE(C16, ""en"", ""fr"")"),"A) Oui, à tout moment. B) Oui, mais seulement au prochain set. C) Non, un joueur remplacé ne peut pas réintégrer le match. D) Uniquement si un autre joueur se blesse.")</f>
        <v>A) Oui, à tout moment. B) Oui, mais seulement au prochain set. C) Non, un joueur remplacé ne peut pas réintégrer le match. D) Uniquement si un autre joueur se blesse.</v>
      </c>
      <c r="J16" s="5" t="str">
        <f>IFERROR(__xludf.DUMMYFUNCTION("GOOGLETRANSLATE(D16, ""en"", ""fr"")"),"C) Non, un joueur remplacé ne peut pas réintégrer le match.")</f>
        <v>C) Non, un joueur remplacé ne peut pas réintégrer le match.</v>
      </c>
      <c r="K16" s="5" t="str">
        <f>IFERROR(__xludf.DUMMYFUNCTION("GOOGLETRANSLATE(E16, ""en"", ""fr"")"),"Une fois qu'un joueur est remplacé par un remplaçant, son temps de jeu est terminé pour le reste du match.")</f>
        <v>Une fois qu'un joueur est remplacé par un remplaçant, son temps de jeu est terminé pour le reste du match.</v>
      </c>
    </row>
    <row r="17" ht="22.5" customHeight="1">
      <c r="A17" s="3">
        <v>16.0</v>
      </c>
      <c r="B17" s="4" t="s">
        <v>552</v>
      </c>
      <c r="C17" s="4" t="s">
        <v>553</v>
      </c>
      <c r="D17" s="4" t="s">
        <v>554</v>
      </c>
      <c r="E17" s="4" t="s">
        <v>555</v>
      </c>
      <c r="G17" s="5" t="str">
        <f>IFERROR(__xludf.DUMMYFUNCTION("GOOGLETRANSLATE(A17, ""en"", ""fr"")"),"16")</f>
        <v>16</v>
      </c>
      <c r="H17" s="5" t="str">
        <f>IFERROR(__xludf.DUMMYFUNCTION("GOOGLETRANSLATE(B17, ""en"", ""fr"")"),"L'arbitre inflige un carton jaune à un joueur. Qu'est-ce que cela signifie ?")</f>
        <v>L'arbitre inflige un carton jaune à un joueur. Qu'est-ce que cela signifie ?</v>
      </c>
      <c r="I17" s="5" t="str">
        <f>IFERROR(__xludf.DUMMYFUNCTION("GOOGLETRANSLATE(C17, ""en"", ""fr"")"),"A) Fin du match, B) Avertissement officiel pour conduite antisportive, C) Un point a été marqué, D) Demande de remplacement")</f>
        <v>A) Fin du match, B) Avertissement officiel pour conduite antisportive, C) Un point a été marqué, D) Demande de remplacement</v>
      </c>
      <c r="J17" s="5" t="str">
        <f>IFERROR(__xludf.DUMMYFUNCTION("GOOGLETRANSLATE(D17, ""en"", ""fr"")"),"B) Un avertissement formel pour conduite antisportive")</f>
        <v>B) Un avertissement formel pour conduite antisportive</v>
      </c>
      <c r="K17" s="5" t="str">
        <f>IFERROR(__xludf.DUMMYFUNCTION("GOOGLETRANSLATE(E17, ""en"", ""fr"")"),"Un carton jaune est un avertissement officiel standard. Un deuxième carton jaune entraîne souvent une pénalité de point ou un carton rouge (disqualification).")</f>
        <v>Un carton jaune est un avertissement officiel standard. Un deuxième carton jaune entraîne souvent une pénalité de point ou un carton rouge (disqualification).</v>
      </c>
    </row>
    <row r="18" ht="22.5" customHeight="1">
      <c r="A18" s="3">
        <v>17.0</v>
      </c>
      <c r="B18" s="4" t="s">
        <v>556</v>
      </c>
      <c r="C18" s="4" t="s">
        <v>557</v>
      </c>
      <c r="D18" s="4" t="s">
        <v>558</v>
      </c>
      <c r="E18" s="4" t="s">
        <v>559</v>
      </c>
      <c r="G18" s="5" t="str">
        <f>IFERROR(__xludf.DUMMYFUNCTION("GOOGLETRANSLATE(A18, ""en"", ""fr"")"),"17")</f>
        <v>17</v>
      </c>
      <c r="H18" s="5" t="str">
        <f>IFERROR(__xludf.DUMMYFUNCTION("GOOGLETRANSLATE(B18, ""en"", ""fr"")"),"Lors d'un match en extérieur, un joueur frappe la balle, et celle-ci touche son propre coéquipier après avoir rebondi légalement dans le camp adverse. Quelle est la décision arbitrale ?")</f>
        <v>Lors d'un match en extérieur, un joueur frappe la balle, et celle-ci touche son propre coéquipier après avoir rebondi légalement dans le camp adverse. Quelle est la décision arbitrale ?</v>
      </c>
      <c r="I18" s="5" t="str">
        <f>IFERROR(__xludf.DUMMYFUNCTION("GOOGLETRANSLATE(C18, ""en"", ""fr"")"),"A) C'est une faute de la première équipe. B) C'est un point pour la première équipe, car l'adversaire n'a pas joué la balle après le rebond. C) Le point est rejoué. D) C'est une faute de l'adversaire pour ne pas s'être déplacé.")</f>
        <v>A) C'est une faute de la première équipe. B) C'est un point pour la première équipe, car l'adversaire n'a pas joué la balle après le rebond. C) Le point est rejoué. D) C'est une faute de l'adversaire pour ne pas s'être déplacé.</v>
      </c>
      <c r="J18" s="5" t="str">
        <f>IFERROR(__xludf.DUMMYFUNCTION("GOOGLETRANSLATE(D18, ""en"", ""fr"")"),"B) Point pour la première équipe, l'adversaire n'ayant pas réussi à jouer le ballon après le rebond.")</f>
        <v>B) Point pour la première équipe, l'adversaire n'ayant pas réussi à jouer le ballon après le rebond.</v>
      </c>
      <c r="K18" s="5" t="str">
        <f>IFERROR(__xludf.DUMMYFUNCTION("GOOGLETRANSLATE(E18, ""en"", ""fr"")"),"Une fois que la balle a rebondi légalement dans le camp adverse, le point est gagné. Tout contact accidentel ultérieur est sans importance.")</f>
        <v>Une fois que la balle a rebondi légalement dans le camp adverse, le point est gagné. Tout contact accidentel ultérieur est sans importance.</v>
      </c>
    </row>
    <row r="19" ht="22.5" customHeight="1">
      <c r="A19" s="3">
        <v>18.0</v>
      </c>
      <c r="B19" s="4" t="s">
        <v>560</v>
      </c>
      <c r="C19" s="4" t="s">
        <v>561</v>
      </c>
      <c r="D19" s="4" t="s">
        <v>562</v>
      </c>
      <c r="E19" s="4" t="s">
        <v>563</v>
      </c>
      <c r="G19" s="5" t="str">
        <f>IFERROR(__xludf.DUMMYFUNCTION("GOOGLETRANSLATE(A19, ""en"", ""fr"")"),"18")</f>
        <v>18</v>
      </c>
      <c r="H19" s="5" t="str">
        <f>IFERROR(__xludf.DUMMYFUNCTION("GOOGLETRANSLATE(B19, ""en"", ""fr"")"),"Quel est le rôle principal du joueur de fond ?")</f>
        <v>Quel est le rôle principal du joueur de fond ?</v>
      </c>
      <c r="I19" s="5" t="str">
        <f>IFERROR(__xludf.DUMMYFUNCTION("GOOGLETRANSLATE(C19, ""en"", ""fr"")"),"A) Jouer des volées au filet, B) Être capitaine de l'équipe, C) Jouer en fond de court et utiliser des frappes puissantes, D) Servir pour l'équipe")</f>
        <v>A) Jouer des volées au filet, B) Être capitaine de l'équipe, C) Jouer en fond de court et utiliser des frappes puissantes, D) Servir pour l'équipe</v>
      </c>
      <c r="J19" s="5" t="str">
        <f>IFERROR(__xludf.DUMMYFUNCTION("GOOGLETRANSLATE(D19, ""en"", ""fr"")"),"C) Jouer depuis le fond du court et utiliser des frappes puissantes")</f>
        <v>C) Jouer depuis le fond du court et utiliser des frappes puissantes</v>
      </c>
      <c r="K19" s="5" t="str">
        <f>IFERROR(__xludf.DUMMYFUNCTION("GOOGLETRANSLATE(E19, ""en"", ""fr"")"),"Le fond (arrière) est le pilier de l'équipe, responsable des services profonds et des puissants coups de fond de court nécessaires pour contrôler le court de 80 mètres.")</f>
        <v>Le fond (arrière) est le pilier de l'équipe, responsable des services profonds et des puissants coups de fond de court nécessaires pour contrôler le court de 80 mètres.</v>
      </c>
    </row>
    <row r="20" ht="22.5" customHeight="1">
      <c r="A20" s="3">
        <v>19.0</v>
      </c>
      <c r="B20" s="4" t="s">
        <v>564</v>
      </c>
      <c r="C20" s="4" t="s">
        <v>565</v>
      </c>
      <c r="D20" s="4" t="s">
        <v>566</v>
      </c>
      <c r="E20" s="4" t="s">
        <v>567</v>
      </c>
      <c r="G20" s="5" t="str">
        <f>IFERROR(__xludf.DUMMYFUNCTION("GOOGLETRANSLATE(A20, ""en"", ""fr"")"),"19")</f>
        <v>19</v>
      </c>
      <c r="H20" s="5" t="str">
        <f>IFERROR(__xludf.DUMMYFUNCTION("GOOGLETRANSLATE(B20, ""en"", ""fr"")"),"Quelle est la règle si un joueur lance son tambourin et touche la balle ?")</f>
        <v>Quelle est la règle si un joueur lance son tambourin et touche la balle ?</v>
      </c>
      <c r="I20" s="5" t="str">
        <f>IFERROR(__xludf.DUMMYFUNCTION("GOOGLETRANSLATE(C20, ""en"", ""fr"")"),"A) C'est un geste légal, même s'il est désespéré. B) C'est une faute pour avoir « jeté la batte ». C) Le point est rejoué. D) Le joueur est disqualifié.")</f>
        <v>A) C'est un geste légal, même s'il est désespéré. B) C'est une faute pour avoir « jeté la batte ». C) Le point est rejoué. D) Le joueur est disqualifié.</v>
      </c>
      <c r="J20" s="5" t="str">
        <f>IFERROR(__xludf.DUMMYFUNCTION("GOOGLETRANSLATE(D20, ""en"", ""fr"")"),"B) C'est une faute pour « avoir jeté la batte »")</f>
        <v>B) C'est une faute pour « avoir jeté la batte »</v>
      </c>
      <c r="K20" s="5" t="str">
        <f>IFERROR(__xludf.DUMMYFUNCTION("GOOGLETRANSLATE(E20, ""en"", ""fr"")"),"Le tambourin doit être tenu à la main lors de la frappe de la balle. Le jeter constitue une faute manifeste.")</f>
        <v>Le tambourin doit être tenu à la main lors de la frappe de la balle. Le jeter constitue une faute manifeste.</v>
      </c>
    </row>
    <row r="21" ht="22.5" customHeight="1">
      <c r="A21" s="3">
        <v>20.0</v>
      </c>
      <c r="B21" s="4" t="s">
        <v>568</v>
      </c>
      <c r="C21" s="4" t="s">
        <v>569</v>
      </c>
      <c r="D21" s="4" t="s">
        <v>570</v>
      </c>
      <c r="E21" s="4" t="s">
        <v>571</v>
      </c>
      <c r="G21" s="5" t="str">
        <f>IFERROR(__xludf.DUMMYFUNCTION("GOOGLETRANSLATE(A21, ""en"", ""fr"")"),"20")</f>
        <v>20</v>
      </c>
      <c r="H21" s="5" t="str">
        <f>IFERROR(__xludf.DUMMYFUNCTION("GOOGLETRANSLATE(B21, ""en"", ""fr"")"),"Au basket en salle, un joueur frappe la balle contre le mur latéral, et celle-ci atterrit ensuite dans le camp adverse. Ce coup est-il autorisé ?")</f>
        <v>Au basket en salle, un joueur frappe la balle contre le mur latéral, et celle-ci atterrit ensuite dans le camp adverse. Ce coup est-il autorisé ?</v>
      </c>
      <c r="I21" s="5" t="str">
        <f>IFERROR(__xludf.DUMMYFUNCTION("GOOGLETRANSLATE(C21, ""en"", ""fr"")"),"A) Oui, dans certaines versions, les murs latéraux sont pris en compte. B) Non, c'est une faute. C) Le point est rejoué. D) Uniquement si la balle touche d'abord le mur du fond.")</f>
        <v>A) Oui, dans certaines versions, les murs latéraux sont pris en compte. B) Non, c'est une faute. C) Le point est rejoué. D) Uniquement si la balle touche d'abord le mur du fond.</v>
      </c>
      <c r="J21" s="5" t="str">
        <f>IFERROR(__xludf.DUMMYFUNCTION("GOOGLETRANSLATE(D21, ""en"", ""fr"")"),"A) Oui, dans certaines versions, les murs latéraux entrent en jeu.")</f>
        <v>A) Oui, dans certaines versions, les murs latéraux entrent en jeu.</v>
      </c>
      <c r="K21" s="5" t="str">
        <f>IFERROR(__xludf.DUMMYFUNCTION("GOOGLETRANSLATE(E21, ""en"", ""fr"")"),"Dans certaines formes de Tamburello en salle (comme le « Tamburello a Muro »), les murs latéraux font partie intégrante du terrain, permettant des coups complexes en angle.")</f>
        <v>Dans certaines formes de Tamburello en salle (comme le « Tamburello a Muro »), les murs latéraux font partie intégrante du terrain, permettant des coups complexes en angle.</v>
      </c>
    </row>
    <row r="22" ht="22.5" customHeight="1">
      <c r="A22" s="3">
        <v>21.0</v>
      </c>
      <c r="B22" s="4" t="s">
        <v>572</v>
      </c>
      <c r="C22" s="4" t="s">
        <v>573</v>
      </c>
      <c r="D22" s="4" t="s">
        <v>574</v>
      </c>
      <c r="E22" s="4" t="s">
        <v>575</v>
      </c>
      <c r="G22" s="5" t="str">
        <f>IFERROR(__xludf.DUMMYFUNCTION("GOOGLETRANSLATE(A22, ""en"", ""fr"")"),"21")</f>
        <v>21</v>
      </c>
      <c r="H22" s="5" t="str">
        <f>IFERROR(__xludf.DUMMYFUNCTION("GOOGLETRANSLATE(B22, ""en"", ""fr"")"),"Le capitaine d'une équipe demande poliment à l'arbitre d'expliquer une règle, et non de contester une décision. Que doit faire l'arbitre ?")</f>
        <v>Le capitaine d'une équipe demande poliment à l'arbitre d'expliquer une règle, et non de contester une décision. Que doit faire l'arbitre ?</v>
      </c>
      <c r="I22" s="5" t="str">
        <f>IFERROR(__xludf.DUMMYFUNCTION("GOOGLETRANSLATE(C22, ""en"", ""fr"")"),"A) Ignorer le capitaine, B) Sanctionner le capitaine pour avoir retardé le jeu, C) Expliquer brièvement et calmement l'application de la règle, D) Demander l'avis du capitaine adverse")</f>
        <v>A) Ignorer le capitaine, B) Sanctionner le capitaine pour avoir retardé le jeu, C) Expliquer brièvement et calmement l'application de la règle, D) Demander l'avis du capitaine adverse</v>
      </c>
      <c r="J22" s="5" t="str">
        <f>IFERROR(__xludf.DUMMYFUNCTION("GOOGLETRANSLATE(D22, ""en"", ""fr"")"),"C) Expliquez brièvement et calmement l'application de la règle")</f>
        <v>C) Expliquez brièvement et calmement l'application de la règle</v>
      </c>
      <c r="K22" s="5" t="str">
        <f>IFERROR(__xludf.DUMMYFUNCTION("GOOGLETRANSLATE(E22, ""en"", ""fr"")"),"Le capitaine est le seul joueur habilité à s'adresser à l'arbitre et il a le droit de demander une clarification des règles pendant un arrêt de jeu.")</f>
        <v>Le capitaine est le seul joueur habilité à s'adresser à l'arbitre et il a le droit de demander une clarification des règles pendant un arrêt de jeu.</v>
      </c>
    </row>
    <row r="23" ht="22.5" customHeight="1">
      <c r="A23" s="3">
        <v>22.0</v>
      </c>
      <c r="B23" s="4" t="s">
        <v>576</v>
      </c>
      <c r="C23" s="4" t="s">
        <v>577</v>
      </c>
      <c r="D23" s="4" t="s">
        <v>386</v>
      </c>
      <c r="E23" s="4" t="s">
        <v>578</v>
      </c>
      <c r="G23" s="5" t="str">
        <f>IFERROR(__xludf.DUMMYFUNCTION("GOOGLETRANSLATE(A23, ""en"", ""fr"")"),"22")</f>
        <v>22</v>
      </c>
      <c r="H23" s="5" t="str">
        <f>IFERROR(__xludf.DUMMYFUNCTION("GOOGLETRANSLATE(B23, ""en"", ""fr"")"),"Un joueur porte des chaussures à crampons. Pourquoi est-ce une faute ?")</f>
        <v>Un joueur porte des chaussures à crampons. Pourquoi est-ce une faute ?</v>
      </c>
      <c r="I23" s="5" t="str">
        <f>IFERROR(__xludf.DUMMYFUNCTION("GOOGLETRANSLATE(C23, ""en"", ""fr"")"),"A) Cela peut endommager la surface de jeu en asphalte, B) Cela donne un avantage injuste en termes d'adhérence, C) Cela représente un danger pour la sécurité des autres joueurs, D) Toutes les réponses ci-dessus")</f>
        <v>A) Cela peut endommager la surface de jeu en asphalte, B) Cela donne un avantage injuste en termes d'adhérence, C) Cela représente un danger pour la sécurité des autres joueurs, D) Toutes les réponses ci-dessus</v>
      </c>
      <c r="J23" s="5" t="str">
        <f>IFERROR(__xludf.DUMMYFUNCTION("GOOGLETRANSLATE(D23, ""en"", ""fr"")"),"D) Toutes les réponses ci-dessus")</f>
        <v>D) Toutes les réponses ci-dessus</v>
      </c>
      <c r="K23" s="5" t="str">
        <f>IFERROR(__xludf.DUMMYFUNCTION("GOOGLETRANSLATE(E23, ""en"", ""fr"")"),"Les chaussures à pointes sont interdites car elles endommagent le terrain, procurent un avantage injuste et présentent un risque important de blessure pendant le jeu.")</f>
        <v>Les chaussures à pointes sont interdites car elles endommagent le terrain, procurent un avantage injuste et présentent un risque important de blessure pendant le jeu.</v>
      </c>
    </row>
    <row r="24" ht="22.5" customHeight="1">
      <c r="A24" s="3">
        <v>23.0</v>
      </c>
      <c r="B24" s="4" t="s">
        <v>579</v>
      </c>
      <c r="C24" s="4" t="s">
        <v>580</v>
      </c>
      <c r="D24" s="4" t="s">
        <v>581</v>
      </c>
      <c r="E24" s="4" t="s">
        <v>582</v>
      </c>
      <c r="G24" s="5" t="str">
        <f>IFERROR(__xludf.DUMMYFUNCTION("GOOGLETRANSLATE(A24, ""en"", ""fr"")"),"23")</f>
        <v>23</v>
      </c>
      <c r="H24" s="5" t="str">
        <f>IFERROR(__xludf.DUMMYFUNCTION("GOOGLETRANSLATE(B24, ""en"", ""fr"")"),"Un joueur frappe la balle et celle-ci touche son propre coéquipier avant de franchir la ligne médiane. Quelle est la décision ?")</f>
        <v>Un joueur frappe la balle et celle-ci touche son propre coéquipier avant de franchir la ligne médiane. Quelle est la décision ?</v>
      </c>
      <c r="I24" s="5" t="str">
        <f>IFERROR(__xludf.DUMMYFUNCTION("GOOGLETRANSLATE(C24, ""en"", ""fr"")"),"A) C'est une faute, et l'équipe perd le point. B) Le point est rejoué car il s'agissait d'un accident. C) Le jeu continue. D) Le joueur touché est pénalisé.")</f>
        <v>A) C'est une faute, et l'équipe perd le point. B) Le point est rejoué car il s'agissait d'un accident. C) Le jeu continue. D) Le joueur touché est pénalisé.</v>
      </c>
      <c r="J24" s="5" t="str">
        <f>IFERROR(__xludf.DUMMYFUNCTION("GOOGLETRANSLATE(D24, ""en"", ""fr"")"),"A) C'est une faute, et l'équipe perd le point.")</f>
        <v>A) C'est une faute, et l'équipe perd le point.</v>
      </c>
      <c r="K24" s="5" t="str">
        <f>IFERROR(__xludf.DUMMYFUNCTION("GOOGLETRANSLATE(E24, ""en"", ""fr"")"),"La balle doit pénétrer dans le camp adverse. Si elle touche d'abord un coéquipier, l'équipe qui a tiré commet une faute et perd le point.")</f>
        <v>La balle doit pénétrer dans le camp adverse. Si elle touche d'abord un coéquipier, l'équipe qui a tiré commet une faute et perd le point.</v>
      </c>
    </row>
    <row r="25" ht="22.5" customHeight="1">
      <c r="A25" s="3">
        <v>24.0</v>
      </c>
      <c r="B25" s="4" t="s">
        <v>583</v>
      </c>
      <c r="C25" s="4" t="s">
        <v>584</v>
      </c>
      <c r="D25" s="4" t="s">
        <v>585</v>
      </c>
      <c r="E25" s="4" t="s">
        <v>586</v>
      </c>
      <c r="G25" s="5" t="str">
        <f>IFERROR(__xludf.DUMMYFUNCTION("GOOGLETRANSLATE(A25, ""en"", ""fr"")"),"24")</f>
        <v>24</v>
      </c>
      <c r="H25" s="5" t="str">
        <f>IFERROR(__xludf.DUMMYFUNCTION("GOOGLETRANSLATE(B25, ""en"", ""fr"")"),"Dans un match décisif, le score est de 7-7. Que doit faire une équipe pour gagner ?")</f>
        <v>Dans un match décisif, le score est de 7-7. Que doit faire une équipe pour gagner ?</v>
      </c>
      <c r="I25" s="5" t="str">
        <f>IFERROR(__xludf.DUMMYFUNCTION("GOOGLETRANSLATE(C25, ""en"", ""fr"")"),"A) Le prochain point l'emporte, B) Il faut gagner par deux points d'écart (ex. : 9-7), C) Le match est nul, D) L'arbitre désigne le vainqueur")</f>
        <v>A) Le prochain point l'emporte, B) Il faut gagner par deux points d'écart (ex. : 9-7), C) Le match est nul, D) L'arbitre désigne le vainqueur</v>
      </c>
      <c r="J25" s="5" t="str">
        <f>IFERROR(__xludf.DUMMYFUNCTION("GOOGLETRANSLATE(D25, ""en"", ""fr"")"),"B) Ils doivent gagner par deux points d'écart (par exemple, 9-7).")</f>
        <v>B) Ils doivent gagner par deux points d'écart (par exemple, 9-7).</v>
      </c>
      <c r="K25" s="5" t="str">
        <f>IFERROR(__xludf.DUMMYFUNCTION("GOOGLETRANSLATE(E25, ""en"", ""fr"")"),"Comme au tennis, un tie-break doit être remporté par deux points d'écart.")</f>
        <v>Comme au tennis, un tie-break doit être remporté par deux points d'écart.</v>
      </c>
    </row>
    <row r="26" ht="22.5" customHeight="1">
      <c r="A26" s="3">
        <v>25.0</v>
      </c>
      <c r="B26" s="4" t="s">
        <v>587</v>
      </c>
      <c r="C26" s="4" t="s">
        <v>588</v>
      </c>
      <c r="D26" s="4" t="s">
        <v>589</v>
      </c>
      <c r="E26" s="4" t="s">
        <v>590</v>
      </c>
      <c r="G26" s="5" t="str">
        <f>IFERROR(__xludf.DUMMYFUNCTION("GOOGLETRANSLATE(A26, ""en"", ""fr"")"),"25")</f>
        <v>25</v>
      </c>
      <c r="H26" s="5" t="str">
        <f>IFERROR(__xludf.DUMMYFUNCTION("GOOGLETRANSLATE(B26, ""en"", ""fr"")"),"Un joueur est touché par une balle frappée par un adversaire, mais il se trouvait hors des limites du terrain. Qui remporte le point ?")</f>
        <v>Un joueur est touché par une balle frappée par un adversaire, mais il se trouvait hors des limites du terrain. Qui remporte le point ?</v>
      </c>
      <c r="I26" s="5" t="str">
        <f>IFERROR(__xludf.DUMMYFUNCTION("GOOGLETRANSLATE(C26, ""en"", ""fr"")"),"A) Le joueur qui a été touché (de son équipe), B) Le joueur qui a touché la balle (de son équipe), C) Le point est rejoué, D) Un « let » est annoncé")</f>
        <v>A) Le joueur qui a été touché (de son équipe), B) Le joueur qui a touché la balle (de son équipe), C) Le point est rejoué, D) Un « let » est annoncé</v>
      </c>
      <c r="J26" s="5" t="str">
        <f>IFERROR(__xludf.DUMMYFUNCTION("GOOGLETRANSLATE(D26, ""en"", ""fr"")"),"A) Le joueur qui a été touché (de son équipe)")</f>
        <v>A) Le joueur qui a été touché (de son équipe)</v>
      </c>
      <c r="K26" s="5" t="str">
        <f>IFERROR(__xludf.DUMMYFUNCTION("GOOGLETRANSLATE(E26, ""en"", ""fr"")"),"Si la balle touche un adversaire qui se trouve en dehors du terrain de jeu, l'équipe qui a frappé a envoyé la balle « hors du terrain » et perd donc le point.")</f>
        <v>Si la balle touche un adversaire qui se trouve en dehors du terrain de jeu, l'équipe qui a frappé a envoyé la balle « hors du terrain » et perd donc le point.</v>
      </c>
    </row>
    <row r="27" ht="22.5" customHeight="1">
      <c r="A27" s="3">
        <v>26.0</v>
      </c>
      <c r="B27" s="4" t="s">
        <v>591</v>
      </c>
      <c r="C27" s="4" t="s">
        <v>592</v>
      </c>
      <c r="D27" s="4" t="s">
        <v>593</v>
      </c>
      <c r="E27" s="4" t="s">
        <v>594</v>
      </c>
      <c r="G27" s="5" t="str">
        <f>IFERROR(__xludf.DUMMYFUNCTION("GOOGLETRANSLATE(A27, ""en"", ""fr"")"),"26")</f>
        <v>26</v>
      </c>
      <c r="H27" s="5" t="str">
        <f>IFERROR(__xludf.DUMMYFUNCTION("GOOGLETRANSLATE(B27, ""en"", ""fr"")"),"Le service touche la ligne médiane au sol et rebondit dans la zone de service. Quelle est la décision ?")</f>
        <v>Le service touche la ligne médiane au sol et rebondit dans la zone de service. Quelle est la décision ?</v>
      </c>
      <c r="I27" s="5" t="str">
        <f>IFERROR(__xludf.DUMMYFUNCTION("GOOGLETRANSLATE(C27, ""en"", ""fr"")"),"A) C'est une faute, B) C'est un « let » et le service est rejoué, C) C'est un service régulier, D) Le serveur perd le point")</f>
        <v>A) C'est une faute, B) C'est un « let » et le service est rejoué, C) C'est un service régulier, D) Le serveur perd le point</v>
      </c>
      <c r="J27" s="5" t="str">
        <f>IFERROR(__xludf.DUMMYFUNCTION("GOOGLETRANSLATE(D27, ""en"", ""fr"")"),"C) Il s'agit d'un service légal")</f>
        <v>C) Il s'agit d'un service légal</v>
      </c>
      <c r="K27" s="5" t="str">
        <f>IFERROR(__xludf.DUMMYFUNCTION("GOOGLETRANSLATE(E27, ""en"", ""fr"")"),"Contrairement au tennis où un service touchant le filet est un « let », au Tambourin, un service qui touche la ligne centrale et atterrit dans le carré de service correct est un service valide et légal.")</f>
        <v>Contrairement au tennis où un service touchant le filet est un « let », au Tambourin, un service qui touche la ligne centrale et atterrit dans le carré de service correct est un service valide et légal.</v>
      </c>
    </row>
    <row r="28" ht="22.5" customHeight="1">
      <c r="A28" s="3">
        <v>27.0</v>
      </c>
      <c r="B28" s="4" t="s">
        <v>595</v>
      </c>
      <c r="C28" s="4" t="s">
        <v>596</v>
      </c>
      <c r="D28" s="4" t="s">
        <v>386</v>
      </c>
      <c r="E28" s="4" t="s">
        <v>597</v>
      </c>
      <c r="G28" s="5" t="str">
        <f>IFERROR(__xludf.DUMMYFUNCTION("GOOGLETRANSLATE(A28, ""en"", ""fr"")"),"27")</f>
        <v>27</v>
      </c>
      <c r="H28" s="5" t="str">
        <f>IFERROR(__xludf.DUMMYFUNCTION("GOOGLETRANSLATE(B28, ""en"", ""fr"")"),"Un joueur est sanctionné pour « remplacement illégal ». Que s'est-il passé ?")</f>
        <v>Un joueur est sanctionné pour « remplacement illégal ». Que s'est-il passé ?</v>
      </c>
      <c r="I28" s="5" t="str">
        <f>IFERROR(__xludf.DUMMYFUNCTION("GOOGLETRANSLATE(C28, ""en"", ""fr"")"),"A) Ils ont remplacé un joueur qui ne figurait pas sur la feuille de match, B) Ils ont effectué un remplacement en cours d'échange, C) Ils ont dépassé leur maximum de trois remplacements, D) Toutes les réponses ci-dessus")</f>
        <v>A) Ils ont remplacé un joueur qui ne figurait pas sur la feuille de match, B) Ils ont effectué un remplacement en cours d'échange, C) Ils ont dépassé leur maximum de trois remplacements, D) Toutes les réponses ci-dessus</v>
      </c>
      <c r="J28" s="5" t="str">
        <f>IFERROR(__xludf.DUMMYFUNCTION("GOOGLETRANSLATE(D28, ""en"", ""fr"")"),"D) Toutes les réponses ci-dessus")</f>
        <v>D) Toutes les réponses ci-dessus</v>
      </c>
      <c r="K28" s="5" t="str">
        <f>IFERROR(__xludf.DUMMYFUNCTION("GOOGLETRANSLATE(E28, ""en"", ""fr"")"),"Tous ces éléments constituent des violations des règles formelles de substitution et entraîneraient une sanction.")</f>
        <v>Tous ces éléments constituent des violations des règles formelles de substitution et entraîneraient une sanction.</v>
      </c>
    </row>
    <row r="29" ht="22.5" customHeight="1">
      <c r="A29" s="3">
        <v>28.0</v>
      </c>
      <c r="B29" s="4" t="s">
        <v>598</v>
      </c>
      <c r="C29" s="4" t="s">
        <v>599</v>
      </c>
      <c r="D29" s="4" t="s">
        <v>600</v>
      </c>
      <c r="E29" s="4" t="s">
        <v>601</v>
      </c>
      <c r="G29" s="5" t="str">
        <f>IFERROR(__xludf.DUMMYFUNCTION("GOOGLETRANSLATE(A29, ""en"", ""fr"")"),"28")</f>
        <v>28</v>
      </c>
      <c r="H29" s="5" t="str">
        <f>IFERROR(__xludf.DUMMYFUNCTION("GOOGLETRANSLATE(B29, ""en"", ""fr"")"),"Quelle est la décision à prendre si un joueur frappe la balle et que celle-ci touche le sol dans son propre camp avant de franchir la ligne ?")</f>
        <v>Quelle est la décision à prendre si un joueur frappe la balle et que celle-ci touche le sol dans son propre camp avant de franchir la ligne ?</v>
      </c>
      <c r="I29" s="5" t="str">
        <f>IFERROR(__xludf.DUMMYFUNCTION("GOOGLETRANSLATE(C29, ""en"", ""fr"")"),"A) Le point est rejoué. B) C'est une faute, et leur équipe perd le point. C) Le jeu continue. D) L'équipe adverse sert ensuite.")</f>
        <v>A) Le point est rejoué. B) C'est une faute, et leur équipe perd le point. C) Le jeu continue. D) L'équipe adverse sert ensuite.</v>
      </c>
      <c r="J29" s="5" t="str">
        <f>IFERROR(__xludf.DUMMYFUNCTION("GOOGLETRANSLATE(D29, ""en"", ""fr"")"),"B) C'est une faute, et leur équipe perd le point.")</f>
        <v>B) C'est une faute, et leur équipe perd le point.</v>
      </c>
      <c r="K29" s="5" t="str">
        <f>IFERROR(__xludf.DUMMYFUNCTION("GOOGLETRANSLATE(E29, ""en"", ""fr"")"),"La balle doit être frappée directement dans le camp adverse ; elle ne peut pas rebondir d'abord dans le camp du frappeur.")</f>
        <v>La balle doit être frappée directement dans le camp adverse ; elle ne peut pas rebondir d'abord dans le camp du frappeur.</v>
      </c>
    </row>
    <row r="30" ht="22.5" customHeight="1">
      <c r="A30" s="3">
        <v>29.0</v>
      </c>
      <c r="B30" s="4" t="s">
        <v>602</v>
      </c>
      <c r="C30" s="4" t="s">
        <v>603</v>
      </c>
      <c r="D30" s="4" t="s">
        <v>604</v>
      </c>
      <c r="E30" s="4" t="s">
        <v>605</v>
      </c>
      <c r="G30" s="5" t="str">
        <f>IFERROR(__xludf.DUMMYFUNCTION("GOOGLETRANSLATE(A30, ""en"", ""fr"")"),"29")</f>
        <v>29</v>
      </c>
      <c r="H30" s="5" t="str">
        <f>IFERROR(__xludf.DUMMYFUNCTION("GOOGLETRANSLATE(B30, ""en"", ""fr"")"),"Une équipe mène un set 5-2. Comment appelle-t-on cette situation ?")</f>
        <v>Une équipe mène un set 5-2. Comment appelle-t-on cette situation ?</v>
      </c>
      <c r="I30" s="5" t="str">
        <f>IFERROR(__xludf.DUMMYFUNCTION("GOOGLETRANSLATE(C30, ""en"", ""fr"")"),"A) Balle de jeu, B) Triple balle de set, C) Balle de match, D) Avantage")</f>
        <v>A) Balle de jeu, B) Triple balle de set, C) Balle de match, D) Avantage</v>
      </c>
      <c r="J30" s="5" t="str">
        <f>IFERROR(__xludf.DUMMYFUNCTION("GOOGLETRANSLATE(D30, ""en"", ""fr"")"),"B) Point de consigne triple")</f>
        <v>B) Point de consigne triple</v>
      </c>
      <c r="K30" s="5" t="str">
        <f>IFERROR(__xludf.DUMMYFUNCTION("GOOGLETRANSLATE(E30, ""en"", ""fr"")"),"On parle de « point de set » lorsqu'une équipe n'est plus qu'à un point de remporter le set. Comme elle peut gagner le set en remportant n'importe lequel des trois prochains jeux, on parle alors de « triple point de set ».")</f>
        <v>On parle de « point de set » lorsqu'une équipe n'est plus qu'à un point de remporter le set. Comme elle peut gagner le set en remportant n'importe lequel des trois prochains jeux, on parle alors de « triple point de set ».</v>
      </c>
    </row>
    <row r="31" ht="22.5" customHeight="1">
      <c r="A31" s="3">
        <v>30.0</v>
      </c>
      <c r="B31" s="4" t="s">
        <v>606</v>
      </c>
      <c r="C31" s="4" t="s">
        <v>607</v>
      </c>
      <c r="D31" s="4" t="s">
        <v>608</v>
      </c>
      <c r="E31" s="4" t="s">
        <v>609</v>
      </c>
      <c r="G31" s="5" t="str">
        <f>IFERROR(__xludf.DUMMYFUNCTION("GOOGLETRANSLATE(A31, ""en"", ""fr"")"),"30")</f>
        <v>30</v>
      </c>
      <c r="H31" s="5" t="str">
        <f>IFERROR(__xludf.DUMMYFUNCTION("GOOGLETRANSLATE(B31, ""en"", ""fr"")"),"Un joueur est touché par une balle provenant du terrain adjacent. Quelle est la décision de l'arbitre ?")</f>
        <v>Un joueur est touché par une balle provenant du terrain adjacent. Quelle est la décision de l'arbitre ?</v>
      </c>
      <c r="I31" s="5" t="str">
        <f>IFERROR(__xludf.DUMMYFUNCTION("GOOGLETRANSLATE(C31, ""en"", ""fr"")"),"A) Le joueur touché perd le point, B) Le jeu continue, C) L'arbitre annonce un « let » et le point est rejoué, D) L'équipe qui a touché la balle perdue est pénalisée.")</f>
        <v>A) Le joueur touché perd le point, B) Le jeu continue, C) L'arbitre annonce un « let » et le point est rejoué, D) L'équipe qui a touché la balle perdue est pénalisée.</v>
      </c>
      <c r="J31" s="5" t="str">
        <f>IFERROR(__xludf.DUMMYFUNCTION("GOOGLETRANSLATE(D31, ""en"", ""fr"")"),"C) L'arbitre annonce un « let » et le point est rejoué.")</f>
        <v>C) L'arbitre annonce un « let » et le point est rejoué.</v>
      </c>
      <c r="K31" s="5" t="str">
        <f>IFERROR(__xludf.DUMMYFUNCTION("GOOGLETRANSLATE(E31, ""en"", ""fr"")"),"L'arrivée d'une balle provenant d'un autre terrain constitue une forme d'interférence extérieure, ce qui nécessite l'arrêt et la reprise du point en cours.")</f>
        <v>L'arrivée d'une balle provenant d'un autre terrain constitue une forme d'interférence extérieure, ce qui nécessite l'arrêt et la reprise du point en cours.</v>
      </c>
    </row>
    <row r="32" ht="22.5" customHeight="1">
      <c r="A32" s="3">
        <v>31.0</v>
      </c>
      <c r="B32" s="4" t="s">
        <v>610</v>
      </c>
      <c r="C32" s="4" t="s">
        <v>611</v>
      </c>
      <c r="D32" s="4" t="s">
        <v>612</v>
      </c>
      <c r="E32" s="4" t="s">
        <v>613</v>
      </c>
      <c r="G32" s="5" t="str">
        <f>IFERROR(__xludf.DUMMYFUNCTION("GOOGLETRANSLATE(A32, ""en"", ""fr"")"),"31")</f>
        <v>31</v>
      </c>
      <c r="H32" s="5" t="str">
        <f>IFERROR(__xludf.DUMMYFUNCTION("GOOGLETRANSLATE(B32, ""en"", ""fr"")"),"Un joueur frappe une balle qui passe entre les jambes de l'arbitre et atterrit dans le camp adverse. Quelle est la décision ?")</f>
        <v>Un joueur frappe une balle qui passe entre les jambes de l'arbitre et atterrit dans le camp adverse. Quelle est la décision ?</v>
      </c>
      <c r="I32" s="5" t="str">
        <f>IFERROR(__xludf.DUMMYFUNCTION("GOOGLETRANSLATE(C32, ""en"", ""fr"")"),"A) Le tir est légal et un point est marqué. B) Le point est rejoué en raison d'une interférence avec l'arbitre. C) C'est une faute du joueur qui a tiré. D) L'arbitre est pénalisé.")</f>
        <v>A) Le tir est légal et un point est marqué. B) Le point est rejoué en raison d'une interférence avec l'arbitre. C) C'est une faute du joueur qui a tiré. D) L'arbitre est pénalisé.</v>
      </c>
      <c r="J32" s="5" t="str">
        <f>IFERROR(__xludf.DUMMYFUNCTION("GOOGLETRANSLATE(D32, ""en"", ""fr"")"),"B) Le point est rejoué en raison d'une interférence avec l'arbitre.")</f>
        <v>B) Le point est rejoué en raison d'une interférence avec l'arbitre.</v>
      </c>
      <c r="K32" s="5" t="str">
        <f>IFERROR(__xludf.DUMMYFUNCTION("GOOGLETRANSLATE(E32, ""en"", ""fr"")"),"Le fait qu'une balle passe entre les jambes d'un arbitre ou les touche est considéré comme une interférence. La seule décision équitable est de rejouer le point.")</f>
        <v>Le fait qu'une balle passe entre les jambes d'un arbitre ou les touche est considéré comme une interférence. La seule décision équitable est de rejouer le point.</v>
      </c>
    </row>
    <row r="33" ht="22.5" customHeight="1">
      <c r="A33" s="3">
        <v>32.0</v>
      </c>
      <c r="B33" s="4" t="s">
        <v>614</v>
      </c>
      <c r="C33" s="4" t="s">
        <v>615</v>
      </c>
      <c r="D33" s="4" t="s">
        <v>616</v>
      </c>
      <c r="E33" s="4" t="s">
        <v>617</v>
      </c>
      <c r="G33" s="5" t="str">
        <f>IFERROR(__xludf.DUMMYFUNCTION("GOOGLETRANSLATE(A33, ""en"", ""fr"")"),"32")</f>
        <v>32</v>
      </c>
      <c r="H33" s="5" t="str">
        <f>IFERROR(__xludf.DUMMYFUNCTION("GOOGLETRANSLATE(B33, ""en"", ""fr"")"),"Lors d'un match en salle, un joueur sert et la balle heurte le plafond avant de retomber dans le camp adverse. Ce service est-il valide ?")</f>
        <v>Lors d'un match en salle, un joueur sert et la balle heurte le plafond avant de retomber dans le camp adverse. Ce service est-il valide ?</v>
      </c>
      <c r="I33" s="5" t="str">
        <f>IFERROR(__xludf.DUMMYFUNCTION("GOOGLETRANSLATE(C33, ""en"", ""fr"")"),"A) Oui, B) Non, c'est une faute, C) Le service est rejoué, D) Uniquement s'il atterrit dans le carré de service")</f>
        <v>A) Oui, B) Non, c'est une faute, C) Le service est rejoué, D) Uniquement s'il atterrit dans le carré de service</v>
      </c>
      <c r="J33" s="5" t="str">
        <f>IFERROR(__xludf.DUMMYFUNCTION("GOOGLETRANSLATE(D33, ""en"", ""fr"")"),"B) Non, c'est une faute")</f>
        <v>B) Non, c'est une faute</v>
      </c>
      <c r="K33" s="5" t="str">
        <f>IFERROR(__xludf.DUMMYFUNCTION("GOOGLETRANSLATE(E33, ""en"", ""fr"")"),"Le plafond et tous les éléments suspendus sont considérés comme hors jeu. Une balle qui les touche constitue une faute.")</f>
        <v>Le plafond et tous les éléments suspendus sont considérés comme hors jeu. Une balle qui les touche constitue une faute.</v>
      </c>
    </row>
    <row r="34" ht="22.5" customHeight="1">
      <c r="A34" s="3">
        <v>33.0</v>
      </c>
      <c r="B34" s="4" t="s">
        <v>618</v>
      </c>
      <c r="C34" s="4" t="s">
        <v>619</v>
      </c>
      <c r="D34" s="4" t="s">
        <v>620</v>
      </c>
      <c r="E34" s="4" t="s">
        <v>621</v>
      </c>
      <c r="G34" s="5" t="str">
        <f>IFERROR(__xludf.DUMMYFUNCTION("GOOGLETRANSLATE(A34, ""en"", ""fr"")"),"33")</f>
        <v>33</v>
      </c>
      <c r="H34" s="5" t="str">
        <f>IFERROR(__xludf.DUMMYFUNCTION("GOOGLETRANSLATE(B34, ""en"", ""fr"")"),"Deux joueurs d'une même équipe frappent la balle simultanément et la touchent tous les deux en même temps. Quelle est la décision ?")</f>
        <v>Deux joueurs d'une même équipe frappent la balle simultanément et la touchent tous les deux en même temps. Quelle est la décision ?</v>
      </c>
      <c r="I34" s="5" t="str">
        <f>IFERROR(__xludf.DUMMYFUNCTION("GOOGLETRANSLATE(C34, ""en"", ""fr"")"),"A) Le coup est légal. B) Il y a faute pour un double contact. C) Le point est rejoué. D) L'équipe reçoit un avertissement.")</f>
        <v>A) Le coup est légal. B) Il y a faute pour un double contact. C) Le point est rejoué. D) L'équipe reçoit un avertissement.</v>
      </c>
      <c r="J34" s="5" t="str">
        <f>IFERROR(__xludf.DUMMYFUNCTION("GOOGLETRANSLATE(D34, ""en"", ""fr"")"),"A) C'est un tir légal")</f>
        <v>A) C'est un tir légal</v>
      </c>
      <c r="K34" s="5" t="str">
        <f>IFERROR(__xludf.DUMMYFUNCTION("GOOGLETRANSLATE(E34, ""en"", ""fr"")"),"Tant que le coup est une action unique et simultanée de deux joueurs, il est considéré comme un coup simple et légal.")</f>
        <v>Tant que le coup est une action unique et simultanée de deux joueurs, il est considéré comme un coup simple et légal.</v>
      </c>
    </row>
    <row r="35" ht="22.5" customHeight="1">
      <c r="A35" s="3">
        <v>34.0</v>
      </c>
      <c r="B35" s="4" t="s">
        <v>622</v>
      </c>
      <c r="C35" s="4" t="s">
        <v>623</v>
      </c>
      <c r="D35" s="4" t="s">
        <v>624</v>
      </c>
      <c r="E35" s="4" t="s">
        <v>625</v>
      </c>
      <c r="G35" s="5" t="str">
        <f>IFERROR(__xludf.DUMMYFUNCTION("GOOGLETRANSLATE(A35, ""en"", ""fr"")"),"34")</f>
        <v>34</v>
      </c>
      <c r="H35" s="5" t="str">
        <f>IFERROR(__xludf.DUMMYFUNCTION("GOOGLETRANSLATE(B35, ""en"", ""fr"")"),"Un joueur sert par en dessous. Cette technique est-elle autorisée ?")</f>
        <v>Un joueur sert par en dessous. Cette technique est-elle autorisée ?</v>
      </c>
      <c r="I35" s="5" t="str">
        <f>IFERROR(__xludf.DUMMYFUNCTION("GOOGLETRANSLATE(C35, ""en"", ""fr"")"),"A) Non, tous les services doivent être effectués par-dessus la tête. B) Oui, un service par-dessous est parfaitement légal. C) Uniquement si le joueur est junior. D) C'est une faute.")</f>
        <v>A) Non, tous les services doivent être effectués par-dessus la tête. B) Oui, un service par-dessous est parfaitement légal. C) Uniquement si le joueur est junior. D) C'est une faute.</v>
      </c>
      <c r="J35" s="5" t="str">
        <f>IFERROR(__xludf.DUMMYFUNCTION("GOOGLETRANSLATE(D35, ""en"", ""fr"")"),"B) Oui, un service à la cuillère est parfaitement légal")</f>
        <v>B) Oui, un service à la cuillère est parfaitement légal</v>
      </c>
      <c r="K35" s="5" t="str">
        <f>IFERROR(__xludf.DUMMYFUNCTION("GOOGLETRANSLATE(E35, ""en"", ""fr"")"),"Il n'existe aucune règle précisant le style de service. Les services par-dessus et par-dessous sont tous deux autorisés.")</f>
        <v>Il n'existe aucune règle précisant le style de service. Les services par-dessus et par-dessous sont tous deux autorisés.</v>
      </c>
    </row>
    <row r="36" ht="22.5" customHeight="1">
      <c r="A36" s="3">
        <v>35.0</v>
      </c>
      <c r="B36" s="4" t="s">
        <v>626</v>
      </c>
      <c r="C36" s="4" t="s">
        <v>627</v>
      </c>
      <c r="D36" s="4" t="s">
        <v>628</v>
      </c>
      <c r="E36" s="4" t="s">
        <v>629</v>
      </c>
      <c r="G36" s="5" t="str">
        <f>IFERROR(__xludf.DUMMYFUNCTION("GOOGLETRANSLATE(A36, ""en"", ""fr"")"),"35")</f>
        <v>35</v>
      </c>
      <c r="H36" s="5" t="str">
        <f>IFERROR(__xludf.DUMMYFUNCTION("GOOGLETRANSLATE(B36, ""en"", ""fr"")"),"L'arbitre inflige un carton rouge à un joueur. Qu'est-ce que cela signifie ?")</f>
        <v>L'arbitre inflige un carton rouge à un joueur. Qu'est-ce que cela signifie ?</v>
      </c>
      <c r="I36" s="5" t="str">
        <f>IFERROR(__xludf.DUMMYFUNCTION("GOOGLETRANSLATE(C36, ""en"", ""fr"")"),"A) Un avertissement officiel, B) Le joueur est expulsé du match, C) L'équipe perd un point, D) L'équipe doit déclarer forfait")</f>
        <v>A) Un avertissement officiel, B) Le joueur est expulsé du match, C) L'équipe perd un point, D) L'équipe doit déclarer forfait</v>
      </c>
      <c r="J36" s="5" t="str">
        <f>IFERROR(__xludf.DUMMYFUNCTION("GOOGLETRANSLATE(D36, ""en"", ""fr"")"),"B) Le joueur est expulsé du match")</f>
        <v>B) Le joueur est expulsé du match</v>
      </c>
      <c r="K36" s="5" t="str">
        <f>IFERROR(__xludf.DUMMYFUNCTION("GOOGLETRANSLATE(E36, ""en"", ""fr"")"),"Un carton rouge signale une disqualification, généralement infligée pour une faute très grave ou pour accumulation de plusieurs avertissements.")</f>
        <v>Un carton rouge signale une disqualification, généralement infligée pour une faute très grave ou pour accumulation de plusieurs avertissements.</v>
      </c>
    </row>
    <row r="37" ht="22.5" customHeight="1">
      <c r="A37" s="3">
        <v>36.0</v>
      </c>
      <c r="B37" s="4" t="s">
        <v>630</v>
      </c>
      <c r="C37" s="4" t="s">
        <v>631</v>
      </c>
      <c r="D37" s="4" t="s">
        <v>632</v>
      </c>
      <c r="E37" s="4" t="s">
        <v>633</v>
      </c>
      <c r="G37" s="5" t="str">
        <f>IFERROR(__xludf.DUMMYFUNCTION("GOOGLETRANSLATE(A37, ""en"", ""fr"")"),"36")</f>
        <v>36</v>
      </c>
      <c r="H37" s="5" t="str">
        <f>IFERROR(__xludf.DUMMYFUNCTION("GOOGLETRANSLATE(B37, ""en"", ""fr"")"),"Au cours d'un échange, le chapeau d'un joueur tombe sur le court. Quelle est la procédure correcte ?")</f>
        <v>Au cours d'un échange, le chapeau d'un joueur tombe sur le court. Quelle est la procédure correcte ?</v>
      </c>
      <c r="I37" s="5" t="str">
        <f>IFERROR(__xludf.DUMMYFUNCTION("GOOGLETRANSLATE(C37, ""en"", ""fr"")"),"A) Le point est immédiatement arrêté et rejoué. B) Le jeu continue sauf si le chapeau gêne le point. C) Le joueur qui a laissé tomber le chapeau perd le point. D) Le joueur reçoit un avertissement.")</f>
        <v>A) Le point est immédiatement arrêté et rejoué. B) Le jeu continue sauf si le chapeau gêne le point. C) Le joueur qui a laissé tomber le chapeau perd le point. D) Le joueur reçoit un avertissement.</v>
      </c>
      <c r="J37" s="5" t="str">
        <f>IFERROR(__xludf.DUMMYFUNCTION("GOOGLETRANSLATE(D37, ""en"", ""fr"")"),"B) Le jeu continue sauf si le chapeau gêne le point")</f>
        <v>B) Le jeu continue sauf si le chapeau gêne le point</v>
      </c>
      <c r="K37" s="5" t="str">
        <f>IFERROR(__xludf.DUMMYFUNCTION("GOOGLETRANSLATE(E37, ""en"", ""fr"")"),"Si un vêtement tombe, le jeu continue. Il n'est interrompu que si l'objet tombé gêne ou perturbe le jeu.")</f>
        <v>Si un vêtement tombe, le jeu continue. Il n'est interrompu que si l'objet tombé gêne ou perturbe le jeu.</v>
      </c>
    </row>
    <row r="38" ht="22.5" customHeight="1">
      <c r="A38" s="3">
        <v>37.0</v>
      </c>
      <c r="B38" s="4" t="s">
        <v>634</v>
      </c>
      <c r="C38" s="4" t="s">
        <v>635</v>
      </c>
      <c r="D38" s="4" t="s">
        <v>636</v>
      </c>
      <c r="E38" s="4" t="s">
        <v>637</v>
      </c>
      <c r="G38" s="5" t="str">
        <f>IFERROR(__xludf.DUMMYFUNCTION("GOOGLETRANSLATE(A38, ""en"", ""fr"")"),"37")</f>
        <v>37</v>
      </c>
      <c r="H38" s="5" t="str">
        <f>IFERROR(__xludf.DUMMYFUNCTION("GOOGLETRANSLATE(B38, ""en"", ""fr"")"),"Un joueur de l'équipe A frappe la balle. Celle-ci touche le sol dans le camp de l'équipe B, puis un joueur de l'équipe B. Quelle est la décision arbitrale ?")</f>
        <v>Un joueur de l'équipe A frappe la balle. Celle-ci touche le sol dans le camp de l'équipe B, puis un joueur de l'équipe B. Quelle est la décision arbitrale ?</v>
      </c>
      <c r="I38" s="5" t="str">
        <f>IFERROR(__xludf.DUMMYFUNCTION("GOOGLETRANSLATE(C38, ""en"", ""fr"")"),"A) Point pour l'équipe A, B) Point pour l'équipe B, C) Le point est rejoué, D) Faute du joueur de l'équipe B pour non-déplacement")</f>
        <v>A) Point pour l'équipe A, B) Point pour l'équipe B, C) Le point est rejoué, D) Faute du joueur de l'équipe B pour non-déplacement</v>
      </c>
      <c r="J38" s="5" t="str">
        <f>IFERROR(__xludf.DUMMYFUNCTION("GOOGLETRANSLATE(D38, ""en"", ""fr"")"),"A) Un point pour l'équipe A")</f>
        <v>A) Un point pour l'équipe A</v>
      </c>
      <c r="K38" s="5" t="str">
        <f>IFERROR(__xludf.DUMMYFUNCTION("GOOGLETRANSLATE(E38, ""en"", ""fr"")"),"Une fois que la balle a rebondi légalement dans le camp adverse, le point est marqué par l'équipe qui a frappé. Tout contact ultérieur avec un joueur est sans importance.")</f>
        <v>Une fois que la balle a rebondi légalement dans le camp adverse, le point est marqué par l'équipe qui a frappé. Tout contact ultérieur avec un joueur est sans importance.</v>
      </c>
    </row>
    <row r="39" ht="22.5" customHeight="1">
      <c r="A39" s="3">
        <v>38.0</v>
      </c>
      <c r="B39" s="4" t="s">
        <v>638</v>
      </c>
      <c r="C39" s="4" t="s">
        <v>639</v>
      </c>
      <c r="D39" s="4" t="s">
        <v>640</v>
      </c>
      <c r="E39" s="4" t="s">
        <v>641</v>
      </c>
      <c r="G39" s="5" t="str">
        <f>IFERROR(__xludf.DUMMYFUNCTION("GOOGLETRANSLATE(A39, ""en"", ""fr"")"),"38")</f>
        <v>38</v>
      </c>
      <c r="H39" s="5" t="str">
        <f>IFERROR(__xludf.DUMMYFUNCTION("GOOGLETRANSLATE(B39, ""en"", ""fr"")"),"En substance, Balle au Tambourin est un test de quelles compétences ?")</f>
        <v>En substance, Balle au Tambourin est un test de quelles compétences ?</v>
      </c>
      <c r="I39" s="5" t="str">
        <f>IFERROR(__xludf.DUMMYFUNCTION("GOOGLETRANSLATE(C39, ""en"", ""fr"")"),"A) Puissance et force brutes, B) Stratégie d'équipe, coordination et compétences individuelles, C) Vitesse et agilité pures, D) Uniquement la capacité à bien servir")</f>
        <v>A) Puissance et force brutes, B) Stratégie d'équipe, coordination et compétences individuelles, C) Vitesse et agilité pures, D) Uniquement la capacité à bien servir</v>
      </c>
      <c r="J39" s="5" t="str">
        <f>IFERROR(__xludf.DUMMYFUNCTION("GOOGLETRANSLATE(D39, ""en"", ""fr"")"),"B) Stratégie d'équipe, coordination et compétences individuelles")</f>
        <v>B) Stratégie d'équipe, coordination et compétences individuelles</v>
      </c>
      <c r="K39" s="5" t="str">
        <f>IFERROR(__xludf.DUMMYFUNCTION("GOOGLETRANSLATE(E39, ""en"", ""fr"")"),"Ce sport exige, pour être pratiqué à un haut niveau, une combinaison de compétences techniques individuelles (frappe, service) et d'une coordination et d'un positionnement d'équipe sophistiqués.")</f>
        <v>Ce sport exige, pour être pratiqué à un haut niveau, une combinaison de compétences techniques individuelles (frappe, service) et d'une coordination et d'un positionnement d'équipe sophistiqués.</v>
      </c>
    </row>
    <row r="40" ht="22.5" customHeight="1">
      <c r="A40" s="3">
        <v>39.0</v>
      </c>
      <c r="B40" s="4" t="s">
        <v>642</v>
      </c>
      <c r="C40" s="4" t="s">
        <v>643</v>
      </c>
      <c r="D40" s="4" t="s">
        <v>644</v>
      </c>
      <c r="E40" s="4" t="s">
        <v>645</v>
      </c>
      <c r="G40" s="5" t="str">
        <f>IFERROR(__xludf.DUMMYFUNCTION("GOOGLETRANSLATE(A40, ""en"", ""fr"")"),"39")</f>
        <v>39</v>
      </c>
      <c r="H40" s="5" t="str">
        <f>IFERROR(__xludf.DUMMYFUNCTION("GOOGLETRANSLATE(B40, ""en"", ""fr"")"),"Un joueur est sanctionné pour « injures verbales ». Qu'a-t-il bien pu faire ?")</f>
        <v>Un joueur est sanctionné pour « injures verbales ». Qu'a-t-il bien pu faire ?</v>
      </c>
      <c r="I40" s="5" t="str">
        <f>IFERROR(__xludf.DUMMYFUNCTION("GOOGLETRANSLATE(C40, ""en"", ""fr"")"),"A) A crié des instructions à un coéquipier, B) A argumenté respectueusement avec l'arbitre, C) A utilisé un langage insultant ou offensant envers un adversaire ou un officiel, D) A célébré un point bruyamment")</f>
        <v>A) A crié des instructions à un coéquipier, B) A argumenté respectueusement avec l'arbitre, C) A utilisé un langage insultant ou offensant envers un adversaire ou un officiel, D) A célébré un point bruyamment</v>
      </c>
      <c r="J40" s="5" t="str">
        <f>IFERROR(__xludf.DUMMYFUNCTION("GOOGLETRANSLATE(D40, ""en"", ""fr"")"),"C) A utilisé un langage insultant ou offensant envers un adversaire ou un officiel")</f>
        <v>C) A utilisé un langage insultant ou offensant envers un adversaire ou un officiel</v>
      </c>
      <c r="K40" s="5" t="str">
        <f>IFERROR(__xludf.DUMMYFUNCTION("GOOGLETRANSLATE(E40, ""en"", ""fr"")"),"Les injures verbales constituent une grave violation de l'esprit sportif et sont sanctionnées par un retrait de points ou une disqualification.")</f>
        <v>Les injures verbales constituent une grave violation de l'esprit sportif et sont sanctionnées par un retrait de points ou une disqualification.</v>
      </c>
    </row>
    <row r="41" ht="22.5" customHeight="1">
      <c r="A41" s="3">
        <v>40.0</v>
      </c>
      <c r="B41" s="4" t="s">
        <v>646</v>
      </c>
      <c r="C41" s="4" t="s">
        <v>647</v>
      </c>
      <c r="D41" s="4" t="s">
        <v>648</v>
      </c>
      <c r="E41" s="4" t="s">
        <v>649</v>
      </c>
      <c r="G41" s="5" t="str">
        <f>IFERROR(__xludf.DUMMYFUNCTION("GOOGLETRANSLATE(A41, ""en"", ""fr"")"),"40")</f>
        <v>40</v>
      </c>
      <c r="H41" s="5" t="str">
        <f>IFERROR(__xludf.DUMMYFUNCTION("GOOGLETRANSLATE(B41, ""en"", ""fr"")"),"Quelle est la principale raison de ces règles strictes concernant les substitutions ?")</f>
        <v>Quelle est la principale raison de ces règles strictes concernant les substitutions ?</v>
      </c>
      <c r="I41" s="5" t="str">
        <f>IFERROR(__xludf.DUMMYFUNCTION("GOOGLETRANSLATE(C41, ""en"", ""fr"")"),"A) Pour rendre le jeu plus difficile, B) Pour garantir l'équité et empêcher les équipes d'utiliser les remplacements à des fins tactiques de temporisation, C) Pour gagner du temps, D) Pour protéger les joueurs")</f>
        <v>A) Pour rendre le jeu plus difficile, B) Pour garantir l'équité et empêcher les équipes d'utiliser les remplacements à des fins tactiques de temporisation, C) Pour gagner du temps, D) Pour protéger les joueurs</v>
      </c>
      <c r="J41" s="5" t="str">
        <f>IFERROR(__xludf.DUMMYFUNCTION("GOOGLETRANSLATE(D41, ""en"", ""fr"")"),"B) Afin de garantir l'équité et d'empêcher les équipes d'utiliser les substitutions à des fins de temporisation tactique")</f>
        <v>B) Afin de garantir l'équité et d'empêcher les équipes d'utiliser les substitutions à des fins de temporisation tactique</v>
      </c>
      <c r="K41" s="5" t="str">
        <f>IFERROR(__xludf.DUMMYFUNCTION("GOOGLETRANSLATE(E41, ""en"", ""fr"")"),"Les règles sont conçues pour permettre des changements de joueurs en raison de blessures ou de choix tactiques, mais pas de manière à perturber le déroulement ou l'équité du jeu.")</f>
        <v>Les règles sont conçues pour permettre des changements de joueurs en raison de blessures ou de choix tactiques, mais pas de manière à perturber le déroulement ou l'équité du jeu.</v>
      </c>
    </row>
    <row r="42" ht="22.5" customHeight="1">
      <c r="A42" s="3">
        <v>41.0</v>
      </c>
      <c r="B42" s="4" t="s">
        <v>650</v>
      </c>
      <c r="C42" s="4" t="s">
        <v>651</v>
      </c>
      <c r="D42" s="4" t="s">
        <v>581</v>
      </c>
      <c r="E42" s="4" t="s">
        <v>652</v>
      </c>
      <c r="G42" s="5" t="str">
        <f>IFERROR(__xludf.DUMMYFUNCTION("GOOGLETRANSLATE(A42, ""en"", ""fr"")"),"41")</f>
        <v>41</v>
      </c>
      <c r="H42" s="5" t="str">
        <f>IFERROR(__xludf.DUMMYFUNCTION("GOOGLETRANSLATE(B42, ""en"", ""fr"")"),"Un joueur frappe la balle, et celle-ci touche son propre coéquipier avant de franchir la ligne médiane. Quelle est la décision arbitrale ?")</f>
        <v>Un joueur frappe la balle, et celle-ci touche son propre coéquipier avant de franchir la ligne médiane. Quelle est la décision arbitrale ?</v>
      </c>
      <c r="I42" s="5" t="str">
        <f>IFERROR(__xludf.DUMMYFUNCTION("GOOGLETRANSLATE(C42, ""en"", ""fr"")"),"A) C'est une faute, et l'équipe perd le point. B) Le point est rejoué. C) Le jeu continue car il s'agissait d'un accident. D) Le joueur touché est pénalisé.")</f>
        <v>A) C'est une faute, et l'équipe perd le point. B) Le point est rejoué. C) Le jeu continue car il s'agissait d'un accident. D) Le joueur touché est pénalisé.</v>
      </c>
      <c r="J42" s="5" t="str">
        <f>IFERROR(__xludf.DUMMYFUNCTION("GOOGLETRANSLATE(D42, ""en"", ""fr"")"),"A) C'est une faute, et l'équipe perd le point.")</f>
        <v>A) C'est une faute, et l'équipe perd le point.</v>
      </c>
      <c r="K42" s="5" t="str">
        <f>IFERROR(__xludf.DUMMYFUNCTION("GOOGLETRANSLATE(E42, ""en"", ""fr"")"),"Si un joueur est touché par une balle frappée par son équipe (avant qu'elle n'ait été jouée par un adversaire), il s'agit d'une faute.")</f>
        <v>Si un joueur est touché par une balle frappée par son équipe (avant qu'elle n'ait été jouée par un adversaire), il s'agit d'une faute.</v>
      </c>
    </row>
    <row r="43" ht="22.5" customHeight="1">
      <c r="A43" s="3">
        <v>42.0</v>
      </c>
      <c r="B43" s="4" t="s">
        <v>653</v>
      </c>
      <c r="C43" s="4" t="s">
        <v>565</v>
      </c>
      <c r="D43" s="4" t="s">
        <v>566</v>
      </c>
      <c r="E43" s="4" t="s">
        <v>567</v>
      </c>
      <c r="G43" s="5" t="str">
        <f>IFERROR(__xludf.DUMMYFUNCTION("GOOGLETRANSLATE(A43, ""en"", ""fr"")"),"42")</f>
        <v>42</v>
      </c>
      <c r="H43" s="5" t="str">
        <f>IFERROR(__xludf.DUMMYFUNCTION("GOOGLETRANSLATE(B43, ""en"", ""fr"")"),"Quelle est la règle si un joueur lance son tambourin pour frapper la balle ?")</f>
        <v>Quelle est la règle si un joueur lance son tambourin pour frapper la balle ?</v>
      </c>
      <c r="I43" s="5" t="str">
        <f>IFERROR(__xludf.DUMMYFUNCTION("GOOGLETRANSLATE(C43, ""en"", ""fr"")"),"A) C'est un geste légal, même s'il est désespéré. B) C'est une faute pour avoir « jeté la batte ». C) Le point est rejoué. D) Le joueur est disqualifié.")</f>
        <v>A) C'est un geste légal, même s'il est désespéré. B) C'est une faute pour avoir « jeté la batte ». C) Le point est rejoué. D) Le joueur est disqualifié.</v>
      </c>
      <c r="J43" s="5" t="str">
        <f>IFERROR(__xludf.DUMMYFUNCTION("GOOGLETRANSLATE(D43, ""en"", ""fr"")"),"B) C'est une faute pour « avoir jeté la batte »")</f>
        <v>B) C'est une faute pour « avoir jeté la batte »</v>
      </c>
      <c r="K43" s="5" t="str">
        <f>IFERROR(__xludf.DUMMYFUNCTION("GOOGLETRANSLATE(E43, ""en"", ""fr"")"),"Le tambourin doit être tenu à la main lors de la frappe de la balle. Le jeter constitue une faute manifeste.")</f>
        <v>Le tambourin doit être tenu à la main lors de la frappe de la balle. Le jeter constitue une faute manifeste.</v>
      </c>
    </row>
    <row r="44" ht="22.5" customHeight="1">
      <c r="A44" s="3">
        <v>43.0</v>
      </c>
      <c r="B44" s="4" t="s">
        <v>654</v>
      </c>
      <c r="C44" s="4" t="s">
        <v>569</v>
      </c>
      <c r="D44" s="4" t="s">
        <v>570</v>
      </c>
      <c r="E44" s="4" t="s">
        <v>655</v>
      </c>
      <c r="G44" s="5" t="str">
        <f>IFERROR(__xludf.DUMMYFUNCTION("GOOGLETRANSLATE(A44, ""en"", ""fr"")"),"43")</f>
        <v>43</v>
      </c>
      <c r="H44" s="5" t="str">
        <f>IFERROR(__xludf.DUMMYFUNCTION("GOOGLETRANSLATE(B44, ""en"", ""fr"")"),"Au jeu en salle, un joueur frappe la balle, qui heurte le mur latéral avant d'atterrir dans le camp adverse. Ce coup est-il autorisé ?")</f>
        <v>Au jeu en salle, un joueur frappe la balle, qui heurte le mur latéral avant d'atterrir dans le camp adverse. Ce coup est-il autorisé ?</v>
      </c>
      <c r="I44" s="5" t="str">
        <f>IFERROR(__xludf.DUMMYFUNCTION("GOOGLETRANSLATE(C44, ""en"", ""fr"")"),"A) Oui, dans certaines versions, les murs latéraux sont pris en compte. B) Non, c'est une faute. C) Le point est rejoué. D) Uniquement si la balle touche d'abord le mur du fond.")</f>
        <v>A) Oui, dans certaines versions, les murs latéraux sont pris en compte. B) Non, c'est une faute. C) Le point est rejoué. D) Uniquement si la balle touche d'abord le mur du fond.</v>
      </c>
      <c r="J44" s="5" t="str">
        <f>IFERROR(__xludf.DUMMYFUNCTION("GOOGLETRANSLATE(D44, ""en"", ""fr"")"),"A) Oui, dans certaines versions, les murs latéraux entrent en jeu.")</f>
        <v>A) Oui, dans certaines versions, les murs latéraux entrent en jeu.</v>
      </c>
      <c r="K44" s="5" t="str">
        <f>IFERROR(__xludf.DUMMYFUNCTION("GOOGLETRANSLATE(E44, ""en"", ""fr"")"),"Dans certaines formes de Tamburello en salle (comme le « Tamburello a Muro »), jouer la balle contre les murs latéraux est une partie légale et stratégique du jeu.")</f>
        <v>Dans certaines formes de Tamburello en salle (comme le « Tamburello a Muro »), jouer la balle contre les murs latéraux est une partie légale et stratégique du jeu.</v>
      </c>
    </row>
    <row r="45" ht="22.5" customHeight="1">
      <c r="A45" s="3">
        <v>44.0</v>
      </c>
      <c r="B45" s="4" t="s">
        <v>656</v>
      </c>
      <c r="C45" s="4" t="s">
        <v>657</v>
      </c>
      <c r="D45" s="4" t="s">
        <v>658</v>
      </c>
      <c r="E45" s="4" t="s">
        <v>659</v>
      </c>
      <c r="G45" s="5" t="str">
        <f>IFERROR(__xludf.DUMMYFUNCTION("GOOGLETRANSLATE(A45, ""en"", ""fr"")"),"44")</f>
        <v>44</v>
      </c>
      <c r="H45" s="5" t="str">
        <f>IFERROR(__xludf.DUMMYFUNCTION("GOOGLETRANSLATE(B45, ""en"", ""fr"")"),"Quel est le rôle principal de la Fédération Française de Jeu de Balle au Tambourin (FFJST) ?")</f>
        <v>Quel est le rôle principal de la Fédération Française de Jeu de Balle au Tambourin (FFJST) ?</v>
      </c>
      <c r="I45" s="5" t="str">
        <f>IFERROR(__xludf.DUMMYFUNCTION("GOOGLETRANSLATE(C45, ""en"", ""fr"")"),"A) Fournir du matériel aux clubs, B) Être l'instance dirigeante officielle qui organise les championnats et fixe les règles, C) Rémunérer les joueurs, D) Promouvoir le sport à la télévision")</f>
        <v>A) Fournir du matériel aux clubs, B) Être l'instance dirigeante officielle qui organise les championnats et fixe les règles, C) Rémunérer les joueurs, D) Promouvoir le sport à la télévision</v>
      </c>
      <c r="J45" s="5" t="str">
        <f>IFERROR(__xludf.DUMMYFUNCTION("GOOGLETRANSLATE(D45, ""en"", ""fr"")"),"B) Être l'instance dirigeante officielle qui organise les championnats et établit les règles")</f>
        <v>B) Être l'instance dirigeante officielle qui organise les championnats et établit les règles</v>
      </c>
      <c r="K45" s="5" t="str">
        <f>IFERROR(__xludf.DUMMYFUNCTION("GOOGLETRANSLATE(E45, ""en"", ""fr"")"),"La FFJST est l'autorité centrale du sport en France, chargée de son administration et de son développement.")</f>
        <v>La FFJST est l'autorité centrale du sport en France, chargée de son administration et de son développement.</v>
      </c>
    </row>
    <row r="46" ht="22.5" customHeight="1">
      <c r="A46" s="3">
        <v>45.0</v>
      </c>
      <c r="B46" s="4" t="s">
        <v>660</v>
      </c>
      <c r="C46" s="4" t="s">
        <v>661</v>
      </c>
      <c r="D46" s="4" t="s">
        <v>662</v>
      </c>
      <c r="E46" s="4" t="s">
        <v>663</v>
      </c>
      <c r="G46" s="5" t="str">
        <f>IFERROR(__xludf.DUMMYFUNCTION("GOOGLETRANSLATE(A46, ""en"", ""fr"")"),"45")</f>
        <v>45</v>
      </c>
      <c r="H46" s="5" t="str">
        <f>IFERROR(__xludf.DUMMYFUNCTION("GOOGLETRANSLATE(B46, ""en"", ""fr"")"),"Une équipe est pénalisée pour avoir reçu des « conseils en dehors de la zone désignée ». Qu'est-ce que cela signifie ?")</f>
        <v>Une équipe est pénalisée pour avoir reçu des « conseils en dehors de la zone désignée ». Qu'est-ce que cela signifie ?</v>
      </c>
      <c r="I46" s="5" t="str">
        <f>IFERROR(__xludf.DUMMYFUNCTION("GOOGLETRANSLATE(C46, ""en"", ""fr"")"),"A) Leur entraîneur criait trop fort. B) Leur entraîneur utilisait un téléphone portable. C) Une autre personne que l'entraîneur officiel donnait des instructions. D) L'entraîneur était sorti de sa zone délimitée.")</f>
        <v>A) Leur entraîneur criait trop fort. B) Leur entraîneur utilisait un téléphone portable. C) Une autre personne que l'entraîneur officiel donnait des instructions. D) L'entraîneur était sorti de sa zone délimitée.</v>
      </c>
      <c r="J46" s="5" t="str">
        <f>IFERROR(__xludf.DUMMYFUNCTION("GOOGLETRANSLATE(D46, ""en"", ""fr"")"),"D) L'entraîneur avait franchi la zone délimitée de son emplacement réservé.")</f>
        <v>D) L'entraîneur avait franchi la zone délimitée de son emplacement réservé.</v>
      </c>
      <c r="K46" s="5" t="str">
        <f>IFERROR(__xludf.DUMMYFUNCTION("GOOGLETRANSLATE(E46, ""en"", ""fr"")"),"Un entraîneur doit rester dans sa zone désignée lorsqu'il donne des instructions à son équipe pendant un match.")</f>
        <v>Un entraîneur doit rester dans sa zone désignée lorsqu'il donne des instructions à son équipe pendant un match.</v>
      </c>
    </row>
    <row r="47" ht="22.5" customHeight="1">
      <c r="A47" s="3">
        <v>46.0</v>
      </c>
      <c r="B47" s="4" t="s">
        <v>664</v>
      </c>
      <c r="C47" s="4" t="s">
        <v>665</v>
      </c>
      <c r="D47" s="4" t="s">
        <v>666</v>
      </c>
      <c r="E47" s="4" t="s">
        <v>667</v>
      </c>
      <c r="G47" s="5" t="str">
        <f>IFERROR(__xludf.DUMMYFUNCTION("GOOGLETRANSLATE(A47, ""en"", ""fr"")"),"46")</f>
        <v>46</v>
      </c>
      <c r="H47" s="5" t="str">
        <f>IFERROR(__xludf.DUMMYFUNCTION("GOOGLETRANSLATE(B47, ""en"", ""fr"")"),"Une équipe a remporté le premier set 6-2. Elle mène le deuxième set 5-5. Un tie-break est joué. Si elle remporte le tie-break, quel est le score final du match ?")</f>
        <v>Une équipe a remporté le premier set 6-2. Elle mène le deuxième set 5-5. Un tie-break est joué. Si elle remporte le tie-break, quel est le score final du match ?</v>
      </c>
      <c r="I47" s="5" t="str">
        <f>IFERROR(__xludf.DUMMYFUNCTION("GOOGLETRANSLATE(C47, ""en"", ""fr"")"),"A) 2 sets à 0, B) 1 set partout, C) Le match se poursuit avec un troisième set, D) L'équipe remporte le deuxième set 6-5")</f>
        <v>A) 2 sets à 0, B) 1 set partout, C) Le match se poursuit avec un troisième set, D) L'équipe remporte le deuxième set 6-5</v>
      </c>
      <c r="J47" s="5" t="str">
        <f>IFERROR(__xludf.DUMMYFUNCTION("GOOGLETRANSLATE(D47, ""en"", ""fr"")"),"A) 2 ensembles à 0")</f>
        <v>A) 2 ensembles à 0</v>
      </c>
      <c r="K47" s="5" t="str">
        <f>IFERROR(__xludf.DUMMYFUNCTION("GOOGLETRANSLATE(E47, ""en"", ""fr"")"),"Remporter le tie-break leur permet de gagner le deuxième set 6-5. Comme ils ont déjà gagné le premier set, ils remportent le match 2 sets à 0.")</f>
        <v>Remporter le tie-break leur permet de gagner le deuxième set 6-5. Comme ils ont déjà gagné le premier set, ils remportent le match 2 sets à 0.</v>
      </c>
    </row>
    <row r="48" ht="22.5" customHeight="1">
      <c r="A48" s="3">
        <v>47.0</v>
      </c>
      <c r="B48" s="4" t="s">
        <v>668</v>
      </c>
      <c r="C48" s="4" t="s">
        <v>669</v>
      </c>
      <c r="D48" s="4" t="s">
        <v>670</v>
      </c>
      <c r="E48" s="4" t="s">
        <v>671</v>
      </c>
      <c r="G48" s="5" t="str">
        <f>IFERROR(__xludf.DUMMYFUNCTION("GOOGLETRANSLATE(A48, ""en"", ""fr"")"),"47")</f>
        <v>47</v>
      </c>
      <c r="H48" s="5" t="str">
        <f>IFERROR(__xludf.DUMMYFUNCTION("GOOGLETRANSLATE(B48, ""en"", ""fr"")"),"Quel est le but principal du « tambourin » lui-même ?")</f>
        <v>Quel est le but principal du « tambourin » lui-même ?</v>
      </c>
      <c r="I48" s="5" t="str">
        <f>IFERROR(__xludf.DUMMYFUNCTION("GOOGLETRANSLATE(C48, ""en"", ""fr"")"),"A) C'est un bouclier défensif, B) Pour fournir une grande surface puissante pour frapper la balle, C) C'est un instrument de musique, D) C'est un symbole du sport")</f>
        <v>A) C'est un bouclier défensif, B) Pour fournir une grande surface puissante pour frapper la balle, C) C'est un instrument de musique, D) C'est un symbole du sport</v>
      </c>
      <c r="J48" s="5" t="str">
        <f>IFERROR(__xludf.DUMMYFUNCTION("GOOGLETRANSLATE(D48, ""en"", ""fr"")"),"B) Fournir une surface large et puissante pour frapper la balle")</f>
        <v>B) Fournir une surface large et puissante pour frapper la balle</v>
      </c>
      <c r="K48" s="5" t="str">
        <f>IFERROR(__xludf.DUMMYFUNCTION("GOOGLETRANSLATE(E48, ""en"", ""fr"")"),"Le tambourin est la batte de ce sport, un instrument unique conçu pour frapper la balle avec force et précision.")</f>
        <v>Le tambourin est la batte de ce sport, un instrument unique conçu pour frapper la balle avec force et précision.</v>
      </c>
    </row>
    <row r="49" ht="22.5" customHeight="1">
      <c r="A49" s="3">
        <v>48.0</v>
      </c>
      <c r="B49" s="4" t="s">
        <v>642</v>
      </c>
      <c r="C49" s="4" t="s">
        <v>643</v>
      </c>
      <c r="D49" s="4" t="s">
        <v>644</v>
      </c>
      <c r="E49" s="4" t="s">
        <v>645</v>
      </c>
      <c r="G49" s="5" t="str">
        <f>IFERROR(__xludf.DUMMYFUNCTION("GOOGLETRANSLATE(A49, ""en"", ""fr"")"),"48")</f>
        <v>48</v>
      </c>
      <c r="H49" s="5" t="str">
        <f>IFERROR(__xludf.DUMMYFUNCTION("GOOGLETRANSLATE(B49, ""en"", ""fr"")"),"Un joueur est sanctionné pour « injures verbales ». Qu'a-t-il bien pu faire ?")</f>
        <v>Un joueur est sanctionné pour « injures verbales ». Qu'a-t-il bien pu faire ?</v>
      </c>
      <c r="I49" s="5" t="str">
        <f>IFERROR(__xludf.DUMMYFUNCTION("GOOGLETRANSLATE(C49, ""en"", ""fr"")"),"A) A crié des instructions à un coéquipier, B) A argumenté respectueusement avec l'arbitre, C) A utilisé un langage insultant ou offensant envers un adversaire ou un officiel, D) A célébré un point bruyamment")</f>
        <v>A) A crié des instructions à un coéquipier, B) A argumenté respectueusement avec l'arbitre, C) A utilisé un langage insultant ou offensant envers un adversaire ou un officiel, D) A célébré un point bruyamment</v>
      </c>
      <c r="J49" s="5" t="str">
        <f>IFERROR(__xludf.DUMMYFUNCTION("GOOGLETRANSLATE(D49, ""en"", ""fr"")"),"C) A utilisé un langage insultant ou offensant envers un adversaire ou un officiel")</f>
        <v>C) A utilisé un langage insultant ou offensant envers un adversaire ou un officiel</v>
      </c>
      <c r="K49" s="5" t="str">
        <f>IFERROR(__xludf.DUMMYFUNCTION("GOOGLETRANSLATE(E49, ""en"", ""fr"")"),"Les injures verbales constituent une grave violation de l'esprit sportif et sont sanctionnées par un retrait de points ou une disqualification.")</f>
        <v>Les injures verbales constituent une grave violation de l'esprit sportif et sont sanctionnées par un retrait de points ou une disqualification.</v>
      </c>
    </row>
    <row r="50" ht="22.5" customHeight="1">
      <c r="A50" s="3">
        <v>49.0</v>
      </c>
      <c r="B50" s="4" t="s">
        <v>646</v>
      </c>
      <c r="C50" s="4" t="s">
        <v>647</v>
      </c>
      <c r="D50" s="4" t="s">
        <v>648</v>
      </c>
      <c r="E50" s="4" t="s">
        <v>649</v>
      </c>
      <c r="G50" s="5" t="str">
        <f>IFERROR(__xludf.DUMMYFUNCTION("GOOGLETRANSLATE(A50, ""en"", ""fr"")"),"49")</f>
        <v>49</v>
      </c>
      <c r="H50" s="5" t="str">
        <f>IFERROR(__xludf.DUMMYFUNCTION("GOOGLETRANSLATE(B50, ""en"", ""fr"")"),"Quelle est la principale raison de ces règles strictes concernant les substitutions ?")</f>
        <v>Quelle est la principale raison de ces règles strictes concernant les substitutions ?</v>
      </c>
      <c r="I50" s="5" t="str">
        <f>IFERROR(__xludf.DUMMYFUNCTION("GOOGLETRANSLATE(C50, ""en"", ""fr"")"),"A) Pour rendre le jeu plus difficile, B) Pour garantir l'équité et empêcher les équipes d'utiliser les remplacements à des fins tactiques de temporisation, C) Pour gagner du temps, D) Pour protéger les joueurs")</f>
        <v>A) Pour rendre le jeu plus difficile, B) Pour garantir l'équité et empêcher les équipes d'utiliser les remplacements à des fins tactiques de temporisation, C) Pour gagner du temps, D) Pour protéger les joueurs</v>
      </c>
      <c r="J50" s="5" t="str">
        <f>IFERROR(__xludf.DUMMYFUNCTION("GOOGLETRANSLATE(D50, ""en"", ""fr"")"),"B) Afin de garantir l'équité et d'empêcher les équipes d'utiliser les substitutions à des fins de temporisation tactique")</f>
        <v>B) Afin de garantir l'équité et d'empêcher les équipes d'utiliser les substitutions à des fins de temporisation tactique</v>
      </c>
      <c r="K50" s="5" t="str">
        <f>IFERROR(__xludf.DUMMYFUNCTION("GOOGLETRANSLATE(E50, ""en"", ""fr"")"),"Les règles sont conçues pour permettre des changements de joueurs en raison de blessures ou de choix tactiques, mais pas de manière à perturber le déroulement ou l'équité du jeu.")</f>
        <v>Les règles sont conçues pour permettre des changements de joueurs en raison de blessures ou de choix tactiques, mais pas de manière à perturber le déroulement ou l'équité du jeu.</v>
      </c>
    </row>
    <row r="51" ht="22.5" customHeight="1">
      <c r="A51" s="3">
        <v>50.0</v>
      </c>
      <c r="B51" s="4" t="s">
        <v>650</v>
      </c>
      <c r="C51" s="4" t="s">
        <v>651</v>
      </c>
      <c r="D51" s="4" t="s">
        <v>581</v>
      </c>
      <c r="E51" s="4" t="s">
        <v>652</v>
      </c>
      <c r="G51" s="5" t="str">
        <f>IFERROR(__xludf.DUMMYFUNCTION("GOOGLETRANSLATE(A51, ""en"", ""fr"")"),"50")</f>
        <v>50</v>
      </c>
      <c r="H51" s="5" t="str">
        <f>IFERROR(__xludf.DUMMYFUNCTION("GOOGLETRANSLATE(B51, ""en"", ""fr"")"),"Un joueur frappe la balle, et celle-ci touche son propre coéquipier avant de franchir la ligne médiane. Quelle est la décision arbitrale ?")</f>
        <v>Un joueur frappe la balle, et celle-ci touche son propre coéquipier avant de franchir la ligne médiane. Quelle est la décision arbitrale ?</v>
      </c>
      <c r="I51" s="5" t="str">
        <f>IFERROR(__xludf.DUMMYFUNCTION("GOOGLETRANSLATE(C51, ""en"", ""fr"")"),"A) C'est une faute, et l'équipe perd le point. B) Le point est rejoué. C) Le jeu continue car il s'agissait d'un accident. D) Le joueur touché est pénalisé.")</f>
        <v>A) C'est une faute, et l'équipe perd le point. B) Le point est rejoué. C) Le jeu continue car il s'agissait d'un accident. D) Le joueur touché est pénalisé.</v>
      </c>
      <c r="J51" s="5" t="str">
        <f>IFERROR(__xludf.DUMMYFUNCTION("GOOGLETRANSLATE(D51, ""en"", ""fr"")"),"A) C'est une faute, et l'équipe perd le point.")</f>
        <v>A) C'est une faute, et l'équipe perd le point.</v>
      </c>
      <c r="K51" s="5" t="str">
        <f>IFERROR(__xludf.DUMMYFUNCTION("GOOGLETRANSLATE(E51, ""en"", ""fr"")"),"Si un joueur est touché par une balle frappée par son équipe (avant qu'elle n'ait été jouée par un adversaire), il s'agit d'une faute.")</f>
        <v>Si un joueur est touché par une balle frappée par son équipe (avant qu'elle n'ait été jouée par un adversaire), il s'agit d'une faute.</v>
      </c>
    </row>
    <row r="52" ht="22.5" customHeight="1">
      <c r="A52" s="3">
        <v>51.0</v>
      </c>
      <c r="B52" s="4" t="s">
        <v>672</v>
      </c>
      <c r="C52" s="4" t="s">
        <v>673</v>
      </c>
      <c r="D52" s="4" t="s">
        <v>674</v>
      </c>
      <c r="E52" s="4" t="s">
        <v>675</v>
      </c>
      <c r="G52" s="5" t="str">
        <f>IFERROR(__xludf.DUMMYFUNCTION("GOOGLETRANSLATE(A52, ""en"", ""fr"")"),"51")</f>
        <v>51</v>
      </c>
      <c r="H52" s="5" t="str">
        <f>IFERROR(__xludf.DUMMYFUNCTION("GOOGLETRANSLATE(B52, ""en"", ""fr"")"),"Quelle est la principale raison pour laquelle le terrain est si long (80 mètres) ?")</f>
        <v>Quelle est la principale raison pour laquelle le terrain est si long (80 mètres) ?</v>
      </c>
      <c r="I52" s="5" t="str">
        <f>IFERROR(__xludf.DUMMYFUNCTION("GOOGLETRANSLATE(C52, ""en"", ""fr"")"),"A) Pour accueillir un grand nombre de joueurs, B) Pour tester la force et l'endurance des joueurs, C) C'est une taille traditionnelle sans raison particulière, D) Pour rendre le jeu plus sûr")</f>
        <v>A) Pour accueillir un grand nombre de joueurs, B) Pour tester la force et l'endurance des joueurs, C) C'est une taille traditionnelle sans raison particulière, D) Pour rendre le jeu plus sûr</v>
      </c>
      <c r="J52" s="5" t="str">
        <f>IFERROR(__xludf.DUMMYFUNCTION("GOOGLETRANSLATE(D52, ""en"", ""fr"")"),"B) Tester la puissance et l'endurance des joueurs")</f>
        <v>B) Tester la puissance et l'endurance des joueurs</v>
      </c>
      <c r="K52" s="5" t="str">
        <f>IFERROR(__xludf.DUMMYFUNCTION("GOOGLETRANSLATE(E52, ""en"", ""fr"")"),"Le grand format du court exige des joueurs, et notamment du fond, une force incroyable pour frapper la balle sur toute la longueur du court pendant tout un match.")</f>
        <v>Le grand format du court exige des joueurs, et notamment du fond, une force incroyable pour frapper la balle sur toute la longueur du court pendant tout un match.</v>
      </c>
    </row>
    <row r="53" ht="22.5" customHeight="1">
      <c r="A53" s="3">
        <v>52.0</v>
      </c>
      <c r="B53" s="4" t="s">
        <v>676</v>
      </c>
      <c r="C53" s="4" t="s">
        <v>521</v>
      </c>
      <c r="D53" s="4" t="s">
        <v>522</v>
      </c>
      <c r="E53" s="4" t="s">
        <v>523</v>
      </c>
      <c r="G53" s="5" t="str">
        <f>IFERROR(__xludf.DUMMYFUNCTION("GOOGLETRANSLATE(A53, ""en"", ""fr"")"),"52")</f>
        <v>52</v>
      </c>
      <c r="H53" s="5" t="str">
        <f>IFERROR(__xludf.DUMMYFUNCTION("GOOGLETRANSLATE(B53, ""en"", ""fr"")"),"Un joueur est surpris à utiliser un tambourin à double couche de peau synthétique pour créer un effet de « trampoline ». Quelle est la décision ?")</f>
        <v>Un joueur est surpris à utiliser un tambourin à double couche de peau synthétique pour créer un effet de « trampoline ». Quelle est la décision ?</v>
      </c>
      <c r="I53" s="5" t="str">
        <f>IFERROR(__xludf.DUMMYFUNCTION("GOOGLETRANSLATE(C53, ""en"", ""fr"")"),"A) Il s'agit d'une innovation légale. B) Le tambourin est illégal et le joueur est disqualifié. C) Le joueur peut l'utiliser mais ne peut pas marquer de points. D) Un avertissement est donné.")</f>
        <v>A) Il s'agit d'une innovation légale. B) Le tambourin est illégal et le joueur est disqualifié. C) Le joueur peut l'utiliser mais ne peut pas marquer de points. D) Un avertissement est donné.</v>
      </c>
      <c r="J53" s="5" t="str">
        <f>IFERROR(__xludf.DUMMYFUNCTION("GOOGLETRANSLATE(D53, ""en"", ""fr"")"),"B) Le tambourin est illégal et le joueur est disqualifié.")</f>
        <v>B) Le tambourin est illégal et le joueur est disqualifié.</v>
      </c>
      <c r="K53" s="5" t="str">
        <f>IFERROR(__xludf.DUMMYFUNCTION("GOOGLETRANSLATE(E53, ""en"", ""fr"")"),"Tout le matériel doit être conforme aux normes officielles. Toute altération du tambourin visant à obtenir un avantage indu constitue une infraction grave.")</f>
        <v>Tout le matériel doit être conforme aux normes officielles. Toute altération du tambourin visant à obtenir un avantage indu constitue une infraction grave.</v>
      </c>
    </row>
    <row r="54" ht="22.5" customHeight="1">
      <c r="A54" s="3">
        <v>53.0</v>
      </c>
      <c r="B54" s="4" t="s">
        <v>677</v>
      </c>
      <c r="C54" s="4" t="s">
        <v>678</v>
      </c>
      <c r="D54" s="4" t="s">
        <v>679</v>
      </c>
      <c r="E54" s="4" t="s">
        <v>680</v>
      </c>
      <c r="G54" s="5" t="str">
        <f>IFERROR(__xludf.DUMMYFUNCTION("GOOGLETRANSLATE(A54, ""en"", ""fr"")"),"53")</f>
        <v>53</v>
      </c>
      <c r="H54" s="5" t="str">
        <f>IFERROR(__xludf.DUMMYFUNCTION("GOOGLETRANSLATE(B54, ""en"", ""fr"")"),"Quel est le rôle principal des joueurs des tiers ?")</f>
        <v>Quel est le rôle principal des joueurs des tiers ?</v>
      </c>
      <c r="I54" s="5" t="str">
        <f>IFERROR(__xludf.DUMMYFUNCTION("GOOGLETRANSLATE(C54, ""en"", ""fr"")"),"A) Ce sont les serveurs principaux, B) Ce sont des joueurs polyvalents qui contrôlent le milieu de terrain, jouant à la fois en attaque et en défense, C) Ce sont des spécialistes de la défense qui ne font que bloquer, D) Ce sont des remplaçants")</f>
        <v>A) Ce sont les serveurs principaux, B) Ce sont des joueurs polyvalents qui contrôlent le milieu de terrain, jouant à la fois en attaque et en défense, C) Ce sont des spécialistes de la défense qui ne font que bloquer, D) Ce sont des remplaçants</v>
      </c>
      <c r="J54" s="5" t="str">
        <f>IFERROR(__xludf.DUMMYFUNCTION("GOOGLETRANSLATE(D54, ""en"", ""fr"")"),"B) Ce sont des joueurs polyvalents qui contrôlent le milieu de terrain, jouant à la fois en attaque et en défense.")</f>
        <v>B) Ce sont des joueurs polyvalents qui contrôlent le milieu de terrain, jouant à la fois en attaque et en défense.</v>
      </c>
      <c r="K54" s="5" t="str">
        <f>IFERROR(__xludf.DUMMYFUNCTION("GOOGLETRANSLATE(E54, ""en"", ""fr"")"),"Les milieux défensifs sont les joueurs polyvalents de l'équipe, chargés d'assurer la liaison entre l'avant et l'arrière du terrain.")</f>
        <v>Les milieux défensifs sont les joueurs polyvalents de l'équipe, chargés d'assurer la liaison entre l'avant et l'arrière du terrain.</v>
      </c>
    </row>
    <row r="55" ht="22.5" customHeight="1">
      <c r="A55" s="3">
        <v>54.0</v>
      </c>
      <c r="B55" s="4" t="s">
        <v>536</v>
      </c>
      <c r="C55" s="4" t="s">
        <v>537</v>
      </c>
      <c r="D55" s="4" t="s">
        <v>538</v>
      </c>
      <c r="E55" s="4" t="s">
        <v>539</v>
      </c>
      <c r="G55" s="5" t="str">
        <f>IFERROR(__xludf.DUMMYFUNCTION("GOOGLETRANSLATE(A55, ""en"", ""fr"")"),"54")</f>
        <v>54</v>
      </c>
      <c r="H55" s="5" t="str">
        <f>IFERROR(__xludf.DUMMYFUNCTION("GOOGLETRANSLATE(B55, ""en"", ""fr"")"),"Un joueur est pénalisé pour « contact prolongé » avec le ballon. Qu'est-ce que cela signifie ?")</f>
        <v>Un joueur est pénalisé pour « contact prolongé » avec le ballon. Qu'est-ce que cela signifie ?</v>
      </c>
      <c r="I55" s="5" t="str">
        <f>IFERROR(__xludf.DUMMYFUNCTION("GOOGLETRANSLATE(C55, ""en"", ""fr"")"),"A) Ils ont frappé la balle deux fois, B) Ils ont attrapé ou retenu la balle sur le tambourin au lieu de la frapper proprement, C) Ils ont tenu la balle avec leur main, D) Ils ont mis trop de temps à frapper la balle")</f>
        <v>A) Ils ont frappé la balle deux fois, B) Ils ont attrapé ou retenu la balle sur le tambourin au lieu de la frapper proprement, C) Ils ont tenu la balle avec leur main, D) Ils ont mis trop de temps à frapper la balle</v>
      </c>
      <c r="J55" s="5" t="str">
        <f>IFERROR(__xludf.DUMMYFUNCTION("GOOGLETRANSLATE(D55, ""en"", ""fr"")"),"B) Ils ont attrapé ou retenu la balle sur le tambourin au lieu de la frapper proprement.")</f>
        <v>B) Ils ont attrapé ou retenu la balle sur le tambourin au lieu de la frapper proprement.</v>
      </c>
      <c r="K55" s="5" t="str">
        <f>IFERROR(__xludf.DUMMYFUNCTION("GOOGLETRANSLATE(E55, ""en"", ""fr"")"),"La balle doit être frappée d'un seul mouvement distinct. La ramasser, la porter ou la retenir sur le tambourin constitue une faute.")</f>
        <v>La balle doit être frappée d'un seul mouvement distinct. La ramasser, la porter ou la retenir sur le tambourin constitue une faute.</v>
      </c>
    </row>
    <row r="56" ht="22.5" customHeight="1">
      <c r="A56" s="3">
        <v>55.0</v>
      </c>
      <c r="B56" s="4" t="s">
        <v>681</v>
      </c>
      <c r="C56" s="4" t="s">
        <v>682</v>
      </c>
      <c r="D56" s="4" t="s">
        <v>683</v>
      </c>
      <c r="E56" s="4" t="s">
        <v>684</v>
      </c>
      <c r="G56" s="5" t="str">
        <f>IFERROR(__xludf.DUMMYFUNCTION("GOOGLETRANSLATE(A56, ""en"", ""fr"")"),"55")</f>
        <v>55</v>
      </c>
      <c r="H56" s="5" t="str">
        <f>IFERROR(__xludf.DUMMYFUNCTION("GOOGLETRANSLATE(B56, ""en"", ""fr"")"),"Comment les points sont-ils marqués lors d'un match décisif ?")</f>
        <v>Comment les points sont-ils marqués lors d'un match décisif ?</v>
      </c>
      <c r="I56" s="5" t="str">
        <f>IFERROR(__xludf.DUMMYFUNCTION("GOOGLETRANSLATE(C56, ""en"", ""fr"")"),"A) Avec le système 15-30-40, B) Avec des points séquentiels (1, 2, 3, etc.), C) La première équipe à marquer gagne, D) Par un vote des juges")</f>
        <v>A) Avec le système 15-30-40, B) Avec des points séquentiels (1, 2, 3, etc.), C) La première équipe à marquer gagne, D) Par un vote des juges</v>
      </c>
      <c r="J56" s="5" t="str">
        <f>IFERROR(__xludf.DUMMYFUNCTION("GOOGLETRANSLATE(D56, ""en"", ""fr"")"),"B) Avec des points séquentiels (1, 2, 3, etc.)")</f>
        <v>B) Avec des points séquentiels (1, 2, 3, etc.)</v>
      </c>
      <c r="K56" s="5" t="str">
        <f>IFERROR(__xludf.DUMMYFUNCTION("GOOGLETRANSLATE(E56, ""en"", ""fr"")"),"Le tie-break utilise un système de points numérique simple, généralement joué en 7 ou 8 points, pour décider du set.")</f>
        <v>Le tie-break utilise un système de points numérique simple, généralement joué en 7 ou 8 points, pour décider du set.</v>
      </c>
    </row>
    <row r="57" ht="22.5" customHeight="1">
      <c r="A57" s="3">
        <v>56.0</v>
      </c>
      <c r="B57" s="4" t="s">
        <v>685</v>
      </c>
      <c r="C57" s="4" t="s">
        <v>577</v>
      </c>
      <c r="D57" s="4" t="s">
        <v>386</v>
      </c>
      <c r="E57" s="4" t="s">
        <v>686</v>
      </c>
      <c r="G57" s="5" t="str">
        <f>IFERROR(__xludf.DUMMYFUNCTION("GOOGLETRANSLATE(A57, ""en"", ""fr"")"),"56")</f>
        <v>56</v>
      </c>
      <c r="H57" s="5" t="str">
        <f>IFERROR(__xludf.DUMMYFUNCTION("GOOGLETRANSLATE(B57, ""en"", ""fr"")"),"Un joueur porte des chaussures à crampons. Pourquoi est-ce une faute ?")</f>
        <v>Un joueur porte des chaussures à crampons. Pourquoi est-ce une faute ?</v>
      </c>
      <c r="I57" s="5" t="str">
        <f>IFERROR(__xludf.DUMMYFUNCTION("GOOGLETRANSLATE(C57, ""en"", ""fr"")"),"A) Cela peut endommager la surface de jeu en asphalte, B) Cela donne un avantage injuste en termes d'adhérence, C) Cela représente un danger pour la sécurité des autres joueurs, D) Toutes les réponses ci-dessus")</f>
        <v>A) Cela peut endommager la surface de jeu en asphalte, B) Cela donne un avantage injuste en termes d'adhérence, C) Cela représente un danger pour la sécurité des autres joueurs, D) Toutes les réponses ci-dessus</v>
      </c>
      <c r="J57" s="5" t="str">
        <f>IFERROR(__xludf.DUMMYFUNCTION("GOOGLETRANSLATE(D57, ""en"", ""fr"")"),"D) Toutes les réponses ci-dessus")</f>
        <v>D) Toutes les réponses ci-dessus</v>
      </c>
      <c r="K57" s="5" t="str">
        <f>IFERROR(__xludf.DUMMYFUNCTION("GOOGLETRANSLATE(E57, ""en"", ""fr"")"),"Les chaussures à pointes sont interdites car elles endommagent le terrain, procurent un avantage injuste et présentent un risque important de blessure pour les autres joueurs.")</f>
        <v>Les chaussures à pointes sont interdites car elles endommagent le terrain, procurent un avantage injuste et présentent un risque important de blessure pour les autres joueurs.</v>
      </c>
    </row>
    <row r="58" ht="22.5" customHeight="1">
      <c r="A58" s="3">
        <v>57.0</v>
      </c>
      <c r="B58" s="4" t="s">
        <v>687</v>
      </c>
      <c r="C58" s="4" t="s">
        <v>688</v>
      </c>
      <c r="D58" s="4" t="s">
        <v>689</v>
      </c>
      <c r="E58" s="4" t="s">
        <v>690</v>
      </c>
      <c r="G58" s="5" t="str">
        <f>IFERROR(__xludf.DUMMYFUNCTION("GOOGLETRANSLATE(A58, ""en"", ""fr"")"),"57")</f>
        <v>57</v>
      </c>
      <c r="H58" s="5" t="str">
        <f>IFERROR(__xludf.DUMMYFUNCTION("GOOGLETRANSLATE(B58, ""en"", ""fr"")"),"Quelle est la décision à prendre si la balle touche l'arbitre pendant un échange de balles ?")</f>
        <v>Quelle est la décision à prendre si la balle touche l'arbitre pendant un échange de balles ?</v>
      </c>
      <c r="I58" s="5" t="str">
        <f>IFERROR(__xludf.DUMMYFUNCTION("GOOGLETRANSLATE(C58, ""en"", ""fr"")"),"A) Le jeu continue, B) Le point est immédiatement arrêté et rejoué, C) C'est une faute du joueur qui a touché l'arbitre, D) C'est un point pour le joueur qui a touché l'arbitre")</f>
        <v>A) Le jeu continue, B) Le point est immédiatement arrêté et rejoué, C) C'est une faute du joueur qui a touché l'arbitre, D) C'est un point pour le joueur qui a touché l'arbitre</v>
      </c>
      <c r="J58" s="5" t="str">
        <f>IFERROR(__xludf.DUMMYFUNCTION("GOOGLETRANSLATE(D58, ""en"", ""fr"")"),"B) Le point est immédiatement interrompu et rejoué.")</f>
        <v>B) Le point est immédiatement interrompu et rejoué.</v>
      </c>
      <c r="K58" s="5" t="str">
        <f>IFERROR(__xludf.DUMMYFUNCTION("GOOGLETRANSLATE(E58, ""en"", ""fr"")"),"L'arbitre est considéré comme une interférence extérieure. Si la balle le touche, le point doit être rejoué pour que l'arbitre soit équitable.")</f>
        <v>L'arbitre est considéré comme une interférence extérieure. Si la balle le touche, le point doit être rejoué pour que l'arbitre soit équitable.</v>
      </c>
    </row>
    <row r="59" ht="22.5" customHeight="1">
      <c r="A59" s="3">
        <v>58.0</v>
      </c>
      <c r="B59" s="4" t="s">
        <v>691</v>
      </c>
      <c r="C59" s="4" t="s">
        <v>692</v>
      </c>
      <c r="D59" s="4" t="s">
        <v>693</v>
      </c>
      <c r="E59" s="4" t="s">
        <v>694</v>
      </c>
      <c r="G59" s="5" t="str">
        <f>IFERROR(__xludf.DUMMYFUNCTION("GOOGLETRANSLATE(A59, ""en"", ""fr"")"),"58")</f>
        <v>58</v>
      </c>
      <c r="H59" s="5" t="str">
        <f>IFERROR(__xludf.DUMMYFUNCTION("GOOGLETRANSLATE(B59, ""en"", ""fr"")"),"Quelle est la principale raison pour laquelle les versions extérieure et intérieure sont considérées comme des disciplines différentes ?")</f>
        <v>Quelle est la principale raison pour laquelle les versions extérieure et intérieure sont considérées comme des disciplines différentes ?</v>
      </c>
      <c r="I59" s="5" t="str">
        <f>IFERROR(__xludf.DUMMYFUNCTION("GOOGLETRANSLATE(C59, ""en"", ""fr"")"),"A) L'équipement est complètement différent. B) Les compétences fondamentales sont différentes. C) La taille du terrain, la taille de l'équipe et le type de ballon engendrent des stratégies et des compétences très différentes. D) L'un est professionnel, l'"&amp;"autre amateur.")</f>
        <v>A) L'équipement est complètement différent. B) Les compétences fondamentales sont différentes. C) La taille du terrain, la taille de l'équipe et le type de ballon engendrent des stratégies et des compétences très différentes. D) L'un est professionnel, l'autre amateur.</v>
      </c>
      <c r="J59" s="5" t="str">
        <f>IFERROR(__xludf.DUMMYFUNCTION("GOOGLETRANSLATE(D59, ""en"", ""fr"")"),"C) La taille du terrain, la taille de l'équipe et le type de ballon engendrent des stratégies et des compétences très différentes.")</f>
        <v>C) La taille du terrain, la taille de l'équipe et le type de ballon engendrent des stratégies et des compétences très différentes.</v>
      </c>
      <c r="K59" s="5" t="str">
        <f>IFERROR(__xludf.DUMMYFUNCTION("GOOGLETRANSLATE(E59, ""en"", ""fr"")"),"Les différences sont si importantes que les joueurs se spécialisent souvent dans une version de ce sport plutôt que dans l'autre.")</f>
        <v>Les différences sont si importantes que les joueurs se spécialisent souvent dans une version de ce sport plutôt que dans l'autre.</v>
      </c>
    </row>
    <row r="60" ht="22.5" customHeight="1">
      <c r="A60" s="3">
        <v>59.0</v>
      </c>
      <c r="B60" s="4" t="s">
        <v>695</v>
      </c>
      <c r="C60" s="4" t="s">
        <v>696</v>
      </c>
      <c r="D60" s="4" t="s">
        <v>697</v>
      </c>
      <c r="E60" s="4" t="s">
        <v>698</v>
      </c>
      <c r="G60" s="5" t="str">
        <f>IFERROR(__xludf.DUMMYFUNCTION("GOOGLETRANSLATE(A60, ""en"", ""fr"")"),"59")</f>
        <v>59</v>
      </c>
      <c r="H60" s="5" t="str">
        <f>IFERROR(__xludf.DUMMYFUNCTION("GOOGLETRANSLATE(B60, ""en"", ""fr"")"),"Une équipe mène 6-5 dans un set et le score du match est de 40-30. Si elle remporte le prochain point, que se passe-t-il ?")</f>
        <v>Une équipe mène 6-5 dans un set et le score du match est de 40-30. Si elle remporte le prochain point, que se passe-t-il ?</v>
      </c>
      <c r="I60" s="5" t="str">
        <f>IFERROR(__xludf.DUMMYFUNCTION("GOOGLETRANSLATE(C60, ""en"", ""fr"")"),"A) Ils remportent le set 7-5, B) Le jeu se poursuit jusqu'au tie-break, C) Ils remportent le jeu et le set 6-5, D) Ils doivent remporter le jeu par deux points d'écart")</f>
        <v>A) Ils remportent le set 7-5, B) Le jeu se poursuit jusqu'au tie-break, C) Ils remportent le jeu et le set 6-5, D) Ils doivent remporter le jeu par deux points d'écart</v>
      </c>
      <c r="J60" s="5" t="str">
        <f>IFERROR(__xludf.DUMMYFUNCTION("GOOGLETRANSLATE(D60, ""en"", ""fr"")"),"A) Ils remportent le set 7-5")</f>
        <v>A) Ils remportent le set 7-5</v>
      </c>
      <c r="K60" s="5" t="str">
        <f>IFERROR(__xludf.DUMMYFUNCTION("GOOGLETRANSLATE(E60, ""en"", ""fr"")"),"Dans un set standard, une équipe doit gagner avec deux jeux d'avance. Par conséquent, remporter ce jeu porterait le score à 7-5 et mettrait fin au set.")</f>
        <v>Dans un set standard, une équipe doit gagner avec deux jeux d'avance. Par conséquent, remporter ce jeu porterait le score à 7-5 et mettrait fin au set.</v>
      </c>
    </row>
    <row r="61" ht="22.5" customHeight="1">
      <c r="A61" s="3">
        <v>60.0</v>
      </c>
      <c r="B61" s="4" t="s">
        <v>699</v>
      </c>
      <c r="C61" s="4" t="s">
        <v>700</v>
      </c>
      <c r="D61" s="4" t="s">
        <v>701</v>
      </c>
      <c r="E61" s="4" t="s">
        <v>702</v>
      </c>
      <c r="G61" s="5" t="str">
        <f>IFERROR(__xludf.DUMMYFUNCTION("GOOGLETRANSLATE(A61, ""en"", ""fr"")"),"60")</f>
        <v>60</v>
      </c>
      <c r="H61" s="5" t="str">
        <f>IFERROR(__xludf.DUMMYFUNCTION("GOOGLETRANSLATE(B61, ""en"", ""fr"")"),"Quel est le rôle principal des juges de ligne ?")</f>
        <v>Quel est le rôle principal des juges de ligne ?</v>
      </c>
      <c r="I61" s="5" t="str">
        <f>IFERROR(__xludf.DUMMYFUNCTION("GOOGLETRANSLATE(C61, ""en"", ""fr"")"),"A) Tenir le score, B) Assister l'arbitre principal en signalant les fautes sur les lignes de touche, C) Encadrer les joueurs, D) Inspecter l'équipement")</f>
        <v>A) Tenir le score, B) Assister l'arbitre principal en signalant les fautes sur les lignes de touche, C) Encadrer les joueurs, D) Inspecter l'équipement</v>
      </c>
      <c r="J61" s="5" t="str">
        <f>IFERROR(__xludf.DUMMYFUNCTION("GOOGLETRANSLATE(D61, ""en"", ""fr"")"),"B) Assister l'arbitre principal en signalant les fautes sur les lignes de touche")</f>
        <v>B) Assister l'arbitre principal en signalant les fautes sur les lignes de touche</v>
      </c>
      <c r="K61" s="5" t="str">
        <f>IFERROR(__xludf.DUMMYFUNCTION("GOOGLETRANSLATE(E61, ""en"", ""fr"")"),"Les juges de ligne sont positionnés de manière à avoir une vue dégagée des lignes et sont chargés de signaler si une balle est « dedans » ou « dehors ».")</f>
        <v>Les juges de ligne sont positionnés de manière à avoir une vue dégagée des lignes et sont chargés de signaler si une balle est « dedans » ou « dehors ».</v>
      </c>
    </row>
    <row r="62" ht="22.5" customHeight="1">
      <c r="A62" s="3">
        <v>61.0</v>
      </c>
      <c r="B62" s="4" t="s">
        <v>703</v>
      </c>
      <c r="C62" s="4" t="s">
        <v>704</v>
      </c>
      <c r="D62" s="4" t="s">
        <v>705</v>
      </c>
      <c r="E62" s="4" t="s">
        <v>706</v>
      </c>
      <c r="G62" s="5" t="str">
        <f>IFERROR(__xludf.DUMMYFUNCTION("GOOGLETRANSLATE(A62, ""en"", ""fr"")"),"61")</f>
        <v>61</v>
      </c>
      <c r="H62" s="5" t="str">
        <f>IFERROR(__xludf.DUMMYFUNCTION("GOOGLETRANSLATE(B62, ""en"", ""fr"")"),"Un joueur frappe la balle, et celle-ci touche son propre coéquipier après avoir franchi la ligne médiane et avoir été renvoyée par ce dernier. Quelle est la décision arbitrale ?")</f>
        <v>Un joueur frappe la balle, et celle-ci touche son propre coéquipier après avoir franchi la ligne médiane et avoir été renvoyée par ce dernier. Quelle est la décision arbitrale ?</v>
      </c>
      <c r="I62" s="5" t="str">
        <f>IFERROR(__xludf.DUMMYFUNCTION("GOOGLETRANSLATE(C62, ""en"", ""fr"")"),"A) C'est une faute de la première équipe. B) C'est un point pour la première équipe, car la tentative de retour de l'adversaire a échoué. C) Le point est rejoué. D) C'est une faute de l'adversaire.")</f>
        <v>A) C'est une faute de la première équipe. B) C'est un point pour la première équipe, car la tentative de retour de l'adversaire a échoué. C) Le point est rejoué. D) C'est une faute de l'adversaire.</v>
      </c>
      <c r="J62" s="5" t="str">
        <f>IFERROR(__xludf.DUMMYFUNCTION("GOOGLETRANSLATE(D62, ""en"", ""fr"")"),"B) C'est un point pour la première équipe, car le retour de l'adversaire n'a pas abouti.")</f>
        <v>B) C'est un point pour la première équipe, car le retour de l'adversaire n'a pas abouti.</v>
      </c>
      <c r="K62" s="5" t="str">
        <f>IFERROR(__xludf.DUMMYFUNCTION("GOOGLETRANSLATE(E62, ""en"", ""fr"")"),"Si l'équipe adverse frappe la balle et que celle-ci touche ensuite un joueur de l'équipe adverse, l'équipe qui a frappé perd le point.")</f>
        <v>Si l'équipe adverse frappe la balle et que celle-ci touche ensuite un joueur de l'équipe adverse, l'équipe qui a frappé perd le point.</v>
      </c>
    </row>
    <row r="63" ht="22.5" customHeight="1">
      <c r="A63" s="3">
        <v>62.0</v>
      </c>
      <c r="B63" s="4" t="s">
        <v>707</v>
      </c>
      <c r="C63" s="4" t="s">
        <v>708</v>
      </c>
      <c r="D63" s="4" t="s">
        <v>709</v>
      </c>
      <c r="E63" s="4" t="s">
        <v>710</v>
      </c>
      <c r="G63" s="5" t="str">
        <f>IFERROR(__xludf.DUMMYFUNCTION("GOOGLETRANSLATE(A63, ""en"", ""fr"")"),"62")</f>
        <v>62</v>
      </c>
      <c r="H63" s="5" t="str">
        <f>IFERROR(__xludf.DUMMYFUNCTION("GOOGLETRANSLATE(B63, ""en"", ""fr"")"),"Qu'est-ce qu'un ""let"" ou une ""balle à remettre"" ?")</f>
        <v>Qu'est-ce qu'un "let" ou une "balle à remettre" ?</v>
      </c>
      <c r="I63" s="5" t="str">
        <f>IFERROR(__xludf.DUMMYFUNCTION("GOOGLETRANSLATE(C63, ""en"", ""fr"")"),"A) Une faute, B) Un point rejoué suite à une interférence imprévue, C) La fin d'un jeu, D) Un type de service")</f>
        <v>A) Une faute, B) Un point rejoué suite à une interférence imprévue, C) La fin d'un jeu, D) Un type de service</v>
      </c>
      <c r="J63" s="5" t="str">
        <f>IFERROR(__xludf.DUMMYFUNCTION("GOOGLETRANSLATE(D63, ""en"", ""fr"")"),"B) Un point rejoué en raison d'une interférence imprévue")</f>
        <v>B) Un point rejoué en raison d'une interférence imprévue</v>
      </c>
      <c r="K63" s="5" t="str">
        <f>IFERROR(__xludf.DUMMYFUNCTION("GOOGLETRANSLATE(E63, ""en"", ""fr"")"),"Un « let » est prononcé lorsqu'un événement extérieur (comme une balle perdue provenant d'un autre terrain) interrompt le point, qui est alors rejoué.")</f>
        <v>Un « let » est prononcé lorsqu'un événement extérieur (comme une balle perdue provenant d'un autre terrain) interrompt le point, qui est alors rejoué.</v>
      </c>
    </row>
    <row r="64" ht="22.5" customHeight="1">
      <c r="A64" s="3">
        <v>63.0</v>
      </c>
      <c r="B64" s="4" t="s">
        <v>711</v>
      </c>
      <c r="C64" s="4" t="s">
        <v>712</v>
      </c>
      <c r="D64" s="4" t="s">
        <v>713</v>
      </c>
      <c r="E64" s="4" t="s">
        <v>714</v>
      </c>
      <c r="G64" s="5" t="str">
        <f>IFERROR(__xludf.DUMMYFUNCTION("GOOGLETRANSLATE(A64, ""en"", ""fr"")"),"63")</f>
        <v>63</v>
      </c>
      <c r="H64" s="5" t="str">
        <f>IFERROR(__xludf.DUMMYFUNCTION("GOOGLETRANSLATE(B64, ""en"", ""fr"")"),"Un joueur sert du mauvais côté du terrain. Quelle est la décision ?")</f>
        <v>Un joueur sert du mauvais côté du terrain. Quelle est la décision ?</v>
      </c>
      <c r="I64" s="5" t="str">
        <f>IFERROR(__xludf.DUMMYFUNCTION("GOOGLETRANSLATE(C64, ""en"", ""fr"")"),"A) Le service est régulier, B) Une faute est signalée et le point est perdu, C) L'arbitre autorise un nouveau service du côté droit, D) Un avertissement est donné")</f>
        <v>A) Le service est régulier, B) Une faute est signalée et le point est perdu, C) L'arbitre autorise un nouveau service du côté droit, D) Un avertissement est donné</v>
      </c>
      <c r="J64" s="5" t="str">
        <f>IFERROR(__xludf.DUMMYFUNCTION("GOOGLETRANSLATE(D64, ""en"", ""fr"")"),"B) Un défaut est signalé et le point est perdu.")</f>
        <v>B) Un défaut est signalé et le point est perdu.</v>
      </c>
      <c r="K64" s="5" t="str">
        <f>IFERROR(__xludf.DUMMYFUNCTION("GOOGLETRANSLATE(E64, ""en"", ""fr"")"),"Le serveur doit effectuer le service depuis la position correcte, déterminée par le score. Servir du mauvais côté constitue une faute.")</f>
        <v>Le serveur doit effectuer le service depuis la position correcte, déterminée par le score. Servir du mauvais côté constitue une faute.</v>
      </c>
    </row>
    <row r="65" ht="22.5" customHeight="1">
      <c r="A65" s="3">
        <v>64.0</v>
      </c>
      <c r="B65" s="4" t="s">
        <v>715</v>
      </c>
      <c r="C65" s="4" t="s">
        <v>716</v>
      </c>
      <c r="D65" s="4" t="s">
        <v>717</v>
      </c>
      <c r="E65" s="4" t="s">
        <v>718</v>
      </c>
      <c r="G65" s="5" t="str">
        <f>IFERROR(__xludf.DUMMYFUNCTION("GOOGLETRANSLATE(A65, ""en"", ""fr"")"),"64")</f>
        <v>64</v>
      </c>
      <c r="H65" s="5" t="str">
        <f>IFERROR(__xludf.DUMMYFUNCTION("GOOGLETRANSLATE(B65, ""en"", ""fr"")"),"Quel est le nombre maximum de joueurs qu'une équipe peut inscrire sur sa liste pour un match ?")</f>
        <v>Quel est le nombre maximum de joueurs qu'une équipe peut inscrire sur sa liste pour un match ?</v>
      </c>
      <c r="I65" s="5" t="str">
        <f>IFERROR(__xludf.DUMMYFUNCTION("GOOGLETRANSLATE(C65, ""en"", ""fr"")"),"A) 5, B) 6, C) 8, D) 10")</f>
        <v>A) 5, B) 6, C) 8, D) 10</v>
      </c>
      <c r="J65" s="5" t="str">
        <f>IFERROR(__xludf.DUMMYFUNCTION("GOOGLETRANSLATE(D65, ""en"", ""fr"")"),"C) 8")</f>
        <v>C) 8</v>
      </c>
      <c r="K65" s="5" t="str">
        <f>IFERROR(__xludf.DUMMYFUNCTION("GOOGLETRANSLATE(E65, ""en"", ""fr"")"),"Une équipe est composée de 5 joueurs sur le terrain et jusqu'à 3 remplaçants, pour un total de 8 joueurs sur la feuille de match.")</f>
        <v>Une équipe est composée de 5 joueurs sur le terrain et jusqu'à 3 remplaçants, pour un total de 8 joueurs sur la feuille de match.</v>
      </c>
    </row>
    <row r="66" ht="22.5" customHeight="1">
      <c r="A66" s="3">
        <v>65.0</v>
      </c>
      <c r="B66" s="4" t="s">
        <v>719</v>
      </c>
      <c r="C66" s="4" t="s">
        <v>588</v>
      </c>
      <c r="D66" s="4" t="s">
        <v>589</v>
      </c>
      <c r="E66" s="4" t="s">
        <v>720</v>
      </c>
      <c r="G66" s="5" t="str">
        <f>IFERROR(__xludf.DUMMYFUNCTION("GOOGLETRANSLATE(A66, ""en"", ""fr"")"),"65")</f>
        <v>65</v>
      </c>
      <c r="H66" s="5" t="str">
        <f>IFERROR(__xludf.DUMMYFUNCTION("GOOGLETRANSLATE(B66, ""en"", ""fr"")"),"Un joueur est touché par une balle frappée par un adversaire, mais il se trouvait hors des limites du terrain. Qui remporte le point ?")</f>
        <v>Un joueur est touché par une balle frappée par un adversaire, mais il se trouvait hors des limites du terrain. Qui remporte le point ?</v>
      </c>
      <c r="I66" s="5" t="str">
        <f>IFERROR(__xludf.DUMMYFUNCTION("GOOGLETRANSLATE(C66, ""en"", ""fr"")"),"A) Le joueur qui a été touché (de son équipe), B) Le joueur qui a touché la balle (de son équipe), C) Le point est rejoué, D) Un « let » est annoncé")</f>
        <v>A) Le joueur qui a été touché (de son équipe), B) Le joueur qui a touché la balle (de son équipe), C) Le point est rejoué, D) Un « let » est annoncé</v>
      </c>
      <c r="J66" s="5" t="str">
        <f>IFERROR(__xludf.DUMMYFUNCTION("GOOGLETRANSLATE(D66, ""en"", ""fr"")"),"A) Le joueur qui a été touché (de son équipe)")</f>
        <v>A) Le joueur qui a été touché (de son équipe)</v>
      </c>
      <c r="K66" s="5" t="str">
        <f>IFERROR(__xludf.DUMMYFUNCTION("GOOGLETRANSLATE(E66, ""en"", ""fr"")"),"Si la balle touche un adversaire qui se trouve en dehors du terrain de jeu, l'équipe qui a frappé a envoyé la balle « hors du terrain » et perd donc le point.")</f>
        <v>Si la balle touche un adversaire qui se trouve en dehors du terrain de jeu, l'équipe qui a frappé a envoyé la balle « hors du terrain » et perd donc le point.</v>
      </c>
    </row>
    <row r="67" ht="22.5" customHeight="1">
      <c r="A67" s="3">
        <v>66.0</v>
      </c>
      <c r="B67" s="4" t="s">
        <v>721</v>
      </c>
      <c r="C67" s="4" t="s">
        <v>722</v>
      </c>
      <c r="D67" s="4" t="s">
        <v>723</v>
      </c>
      <c r="E67" s="4" t="s">
        <v>724</v>
      </c>
      <c r="G67" s="5" t="str">
        <f>IFERROR(__xludf.DUMMYFUNCTION("GOOGLETRANSLATE(A67, ""en"", ""fr"")"),"66")</f>
        <v>66</v>
      </c>
      <c r="H67" s="5" t="str">
        <f>IFERROR(__xludf.DUMMYFUNCTION("GOOGLETRANSLATE(B67, ""en"", ""fr"")"),"Le service est effectué. La balle atterrit dans le carré de service mais ne rebondit pas. Quelle est la décision arbitrale ?")</f>
        <v>Le service est effectué. La balle atterrit dans le carré de service mais ne rebondit pas. Quelle est la décision arbitrale ?</v>
      </c>
      <c r="I67" s="5" t="str">
        <f>IFERROR(__xludf.DUMMYFUNCTION("GOOGLETRANSLATE(C67, ""en"", ""fr"")"),"A) Le service est régulier. B) C'est une faute, car la balle est trop molle ou insuffisamment gonflée. C) Le serveur a droit à un deuxième service. D) La balle doit être remplacée.")</f>
        <v>A) Le service est régulier. B) C'est une faute, car la balle est trop molle ou insuffisamment gonflée. C) Le serveur a droit à un deuxième service. D) La balle doit être remplacée.</v>
      </c>
      <c r="J67" s="5" t="str">
        <f>IFERROR(__xludf.DUMMYFUNCTION("GOOGLETRANSLATE(D67, ""en"", ""fr"")"),"B) C'est un défaut, car la balle est trop molle ou sous-gonflée.")</f>
        <v>B) C'est un défaut, car la balle est trop molle ou sous-gonflée.</v>
      </c>
      <c r="K67" s="5" t="str">
        <f>IFERROR(__xludf.DUMMYFUNCTION("GOOGLETRANSLATE(E67, ""en"", ""fr"")"),"La balle doit être correctement gonflée et avoir un rebond normal. Une balle « morte » est une faute et est retirée du jeu.")</f>
        <v>La balle doit être correctement gonflée et avoir un rebond normal. Une balle « morte » est une faute et est retirée du jeu.</v>
      </c>
    </row>
    <row r="68" ht="22.5" customHeight="1">
      <c r="A68" s="3">
        <v>67.0</v>
      </c>
      <c r="B68" s="4" t="s">
        <v>725</v>
      </c>
      <c r="C68" s="4" t="s">
        <v>726</v>
      </c>
      <c r="D68" s="4" t="s">
        <v>727</v>
      </c>
      <c r="E68" s="4" t="s">
        <v>728</v>
      </c>
      <c r="G68" s="5" t="str">
        <f>IFERROR(__xludf.DUMMYFUNCTION("GOOGLETRANSLATE(A68, ""en"", ""fr"")"),"67")</f>
        <v>67</v>
      </c>
      <c r="H68" s="5" t="str">
        <f>IFERROR(__xludf.DUMMYFUNCTION("GOOGLETRANSLATE(B68, ""en"", ""fr"")"),"Un joueur est pénalisé pour un « service illégal ». Laquelle de ces raisons est valable ?")</f>
        <v>Un joueur est pénalisé pour un « service illégal ». Laquelle de ces raisons est valable ?</v>
      </c>
      <c r="I68" s="5" t="str">
        <f>IFERROR(__xludf.DUMMYFUNCTION("GOOGLETRANSLATE(C68, ""en"", ""fr"")"),"A) Le service était trop rapide. B) Le serveur a servi par en dessous. C) Le pied du serveur était sur la ligne de fond au moment de la frappe. D) Le service était dirigé vers un adversaire.")</f>
        <v>A) Le service était trop rapide. B) Le serveur a servi par en dessous. C) Le pied du serveur était sur la ligne de fond au moment de la frappe. D) Le service était dirigé vers un adversaire.</v>
      </c>
      <c r="J68" s="5" t="str">
        <f>IFERROR(__xludf.DUMMYFUNCTION("GOOGLETRANSLATE(D68, ""en"", ""fr"")"),"C) Le pied du serveur était sur la ligne de fond lorsqu'il a frappé la balle.")</f>
        <v>C) Le pied du serveur était sur la ligne de fond lorsqu'il a frappé la balle.</v>
      </c>
      <c r="K68" s="5" t="str">
        <f>IFERROR(__xludf.DUMMYFUNCTION("GOOGLETRANSLATE(E68, ""en"", ""fr"")"),"Une faute de pied est une erreur de service courante. Le serveur doit rester derrière la ligne de fond jusqu'à ce que la balle soit frappée.")</f>
        <v>Une faute de pied est une erreur de service courante. Le serveur doit rester derrière la ligne de fond jusqu'à ce que la balle soit frappée.</v>
      </c>
    </row>
    <row r="69" ht="22.5" customHeight="1">
      <c r="A69" s="3">
        <v>68.0</v>
      </c>
      <c r="B69" s="4" t="s">
        <v>729</v>
      </c>
      <c r="C69" s="4" t="s">
        <v>730</v>
      </c>
      <c r="D69" s="4" t="s">
        <v>731</v>
      </c>
      <c r="E69" s="4" t="s">
        <v>732</v>
      </c>
      <c r="G69" s="5" t="str">
        <f>IFERROR(__xludf.DUMMYFUNCTION("GOOGLETRANSLATE(A69, ""en"", ""fr"")"),"68")</f>
        <v>68</v>
      </c>
      <c r="H69" s="5" t="str">
        <f>IFERROR(__xludf.DUMMYFUNCTION("GOOGLETRANSLATE(B69, ""en"", ""fr"")"),"Quelle est la principale raison de la différence de règles entre les jeux d'intérieur et les jeux d'extérieur ?")</f>
        <v>Quelle est la principale raison de la différence de règles entre les jeux d'intérieur et les jeux d'extérieur ?</v>
      </c>
      <c r="I69" s="5" t="str">
        <f>IFERROR(__xludf.DUMMYFUNCTION("GOOGLETRANSLATE(C69, ""en"", ""fr"")"),"A) Le jeu en salle est plus ancien. B) La taille nettement plus réduite du terrain en salle nécessite des modifications pour que le jeu soit jouable. C) Le jeu en salle est réservé aux amateurs. D) Le jeu en salle utilise une balle plus lourde.")</f>
        <v>A) Le jeu en salle est plus ancien. B) La taille nettement plus réduite du terrain en salle nécessite des modifications pour que le jeu soit jouable. C) Le jeu en salle est réservé aux amateurs. D) Le jeu en salle utilise une balle plus lourde.</v>
      </c>
      <c r="J69" s="5" t="str">
        <f>IFERROR(__xludf.DUMMYFUNCTION("GOOGLETRANSLATE(D69, ""en"", ""fr"")"),"B) La taille considérablement réduite du terrain intérieur nécessite des modifications pour rendre le jeu jouable.")</f>
        <v>B) La taille considérablement réduite du terrain intérieur nécessite des modifications pour rendre le jeu jouable.</v>
      </c>
      <c r="K69" s="5" t="str">
        <f>IFERROR(__xludf.DUMMYFUNCTION("GOOGLETRANSLATE(E69, ""en"", ""fr"")"),"Les règles de la version en salle (3 joueurs, zone neutre, etc.) sont toutes des adaptations aux contraintes d'une surface de jeu plus petite.")</f>
        <v>Les règles de la version en salle (3 joueurs, zone neutre, etc.) sont toutes des adaptations aux contraintes d'une surface de jeu plus petite.</v>
      </c>
    </row>
    <row r="70" ht="22.5" customHeight="1">
      <c r="A70" s="3">
        <v>69.0</v>
      </c>
      <c r="B70" s="4" t="s">
        <v>733</v>
      </c>
      <c r="C70" s="4" t="s">
        <v>509</v>
      </c>
      <c r="D70" s="4" t="s">
        <v>510</v>
      </c>
      <c r="E70" s="4" t="s">
        <v>511</v>
      </c>
      <c r="G70" s="5" t="str">
        <f>IFERROR(__xludf.DUMMYFUNCTION("GOOGLETRANSLATE(A70, ""en"", ""fr"")"),"69")</f>
        <v>69</v>
      </c>
      <c r="H70" s="5" t="str">
        <f>IFERROR(__xludf.DUMMYFUNCTION("GOOGLETRANSLATE(B70, ""en"", ""fr"")"),"Une équipe mène 40-0 dans un match. Comment appelle-t-on cette situation ?")</f>
        <v>Une équipe mène 40-0 dans un match. Comment appelle-t-on cette situation ?</v>
      </c>
      <c r="I70" s="5" t="str">
        <f>IFERROR(__xludf.DUMMYFUNCTION("GOOGLETRANSLATE(C70, ""en"", ""fr"")"),"A) Avantage, B) Balle de set, C) Balle de triple jeu, D) Victoire sans appel")</f>
        <v>A) Avantage, B) Balle de set, C) Balle de triple jeu, D) Victoire sans appel</v>
      </c>
      <c r="J70" s="5" t="str">
        <f>IFERROR(__xludf.DUMMYFUNCTION("GOOGLETRANSLATE(D70, ""en"", ""fr"")"),"C) Point de match triple")</f>
        <v>C) Point de match triple</v>
      </c>
      <c r="K70" s="5" t="str">
        <f>IFERROR(__xludf.DUMMYFUNCTION("GOOGLETRANSLATE(E70, ""en"", ""fr"")"),"L'expression « triple point de match » désigne la situation où une équipe a trois occasions consécutives de remporter la partie en cours.")</f>
        <v>L'expression « triple point de match » désigne la situation où une équipe a trois occasions consécutives de remporter la partie en cours.</v>
      </c>
    </row>
    <row r="71" ht="22.5" customHeight="1">
      <c r="A71" s="3">
        <v>70.0</v>
      </c>
      <c r="B71" s="4" t="s">
        <v>699</v>
      </c>
      <c r="C71" s="4" t="s">
        <v>700</v>
      </c>
      <c r="D71" s="4" t="s">
        <v>701</v>
      </c>
      <c r="E71" s="4" t="s">
        <v>702</v>
      </c>
      <c r="G71" s="5" t="str">
        <f>IFERROR(__xludf.DUMMYFUNCTION("GOOGLETRANSLATE(A71, ""en"", ""fr"")"),"70")</f>
        <v>70</v>
      </c>
      <c r="H71" s="5" t="str">
        <f>IFERROR(__xludf.DUMMYFUNCTION("GOOGLETRANSLATE(B71, ""en"", ""fr"")"),"Quel est le rôle principal des juges de ligne ?")</f>
        <v>Quel est le rôle principal des juges de ligne ?</v>
      </c>
      <c r="I71" s="5" t="str">
        <f>IFERROR(__xludf.DUMMYFUNCTION("GOOGLETRANSLATE(C71, ""en"", ""fr"")"),"A) Tenir le score, B) Assister l'arbitre principal en signalant les fautes sur les lignes de touche, C) Encadrer les joueurs, D) Inspecter l'équipement")</f>
        <v>A) Tenir le score, B) Assister l'arbitre principal en signalant les fautes sur les lignes de touche, C) Encadrer les joueurs, D) Inspecter l'équipement</v>
      </c>
      <c r="J71" s="5" t="str">
        <f>IFERROR(__xludf.DUMMYFUNCTION("GOOGLETRANSLATE(D71, ""en"", ""fr"")"),"B) Assister l'arbitre principal en signalant les fautes sur les lignes de touche")</f>
        <v>B) Assister l'arbitre principal en signalant les fautes sur les lignes de touche</v>
      </c>
      <c r="K71" s="5" t="str">
        <f>IFERROR(__xludf.DUMMYFUNCTION("GOOGLETRANSLATE(E71, ""en"", ""fr"")"),"Les juges de ligne sont positionnés de manière à avoir une vue dégagée des lignes et sont chargés de signaler si une balle est « dedans » ou « dehors ».")</f>
        <v>Les juges de ligne sont positionnés de manière à avoir une vue dégagée des lignes et sont chargés de signaler si une balle est « dedans » ou « dehors ».</v>
      </c>
    </row>
    <row r="72" ht="22.5" customHeight="1">
      <c r="A72" s="3">
        <v>71.0</v>
      </c>
      <c r="B72" s="4" t="s">
        <v>734</v>
      </c>
      <c r="C72" s="4" t="s">
        <v>735</v>
      </c>
      <c r="D72" s="4" t="s">
        <v>736</v>
      </c>
      <c r="E72" s="4" t="s">
        <v>737</v>
      </c>
      <c r="G72" s="5" t="str">
        <f>IFERROR(__xludf.DUMMYFUNCTION("GOOGLETRANSLATE(A72, ""en"", ""fr"")"),"71")</f>
        <v>71</v>
      </c>
      <c r="H72" s="5" t="str">
        <f>IFERROR(__xludf.DUMMYFUNCTION("GOOGLETRANSLATE(B72, ""en"", ""fr"")"),"Le service touche le sol et roule, effleurant la ligne de service adverse. Ce service est-il bon ?")</f>
        <v>Le service touche le sol et roule, effleurant la ligne de service adverse. Ce service est-il bon ?</v>
      </c>
      <c r="I72" s="5" t="str">
        <f>IFERROR(__xludf.DUMMYFUNCTION("GOOGLETRANSLATE(C72, ""en"", ""fr"")"),"A) Non, la balle doit atterrir au-delà de la ligne. B) Oui, toucher la ligne est bon. C) Le point est rejoué. D) C'est une faute.")</f>
        <v>A) Non, la balle doit atterrir au-delà de la ligne. B) Oui, toucher la ligne est bon. C) Le point est rejoué. D) C'est une faute.</v>
      </c>
      <c r="J72" s="5" t="str">
        <f>IFERROR(__xludf.DUMMYFUNCTION("GOOGLETRANSLATE(D72, ""en"", ""fr"")"),"A) Non, il doit atterrir au-delà de la ligne")</f>
        <v>A) Non, il doit atterrir au-delà de la ligne</v>
      </c>
      <c r="K72" s="5" t="str">
        <f>IFERROR(__xludf.DUMMYFUNCTION("GOOGLETRANSLATE(E72, ""en"", ""fr"")"),"Contrairement aux lignes de délimitation, la ligne de service ne fait pas partie de la zone de réception valide. La balle doit atterrir au-delà de cette ligne.")</f>
        <v>Contrairement aux lignes de délimitation, la ligne de service ne fait pas partie de la zone de réception valide. La balle doit atterrir au-delà de cette ligne.</v>
      </c>
    </row>
    <row r="73" ht="22.5" customHeight="1">
      <c r="A73" s="3">
        <v>72.0</v>
      </c>
      <c r="B73" s="4" t="s">
        <v>642</v>
      </c>
      <c r="C73" s="4" t="s">
        <v>643</v>
      </c>
      <c r="D73" s="4" t="s">
        <v>644</v>
      </c>
      <c r="E73" s="4" t="s">
        <v>645</v>
      </c>
      <c r="G73" s="5" t="str">
        <f>IFERROR(__xludf.DUMMYFUNCTION("GOOGLETRANSLATE(A73, ""en"", ""fr"")"),"72")</f>
        <v>72</v>
      </c>
      <c r="H73" s="5" t="str">
        <f>IFERROR(__xludf.DUMMYFUNCTION("GOOGLETRANSLATE(B73, ""en"", ""fr"")"),"Un joueur est sanctionné pour « injures verbales ». Qu'a-t-il bien pu faire ?")</f>
        <v>Un joueur est sanctionné pour « injures verbales ». Qu'a-t-il bien pu faire ?</v>
      </c>
      <c r="I73" s="5" t="str">
        <f>IFERROR(__xludf.DUMMYFUNCTION("GOOGLETRANSLATE(C73, ""en"", ""fr"")"),"A) A crié des instructions à un coéquipier, B) A argumenté respectueusement avec l'arbitre, C) A utilisé un langage insultant ou offensant envers un adversaire ou un officiel, D) A célébré un point bruyamment")</f>
        <v>A) A crié des instructions à un coéquipier, B) A argumenté respectueusement avec l'arbitre, C) A utilisé un langage insultant ou offensant envers un adversaire ou un officiel, D) A célébré un point bruyamment</v>
      </c>
      <c r="J73" s="5" t="str">
        <f>IFERROR(__xludf.DUMMYFUNCTION("GOOGLETRANSLATE(D73, ""en"", ""fr"")"),"C) A utilisé un langage insultant ou offensant envers un adversaire ou un officiel")</f>
        <v>C) A utilisé un langage insultant ou offensant envers un adversaire ou un officiel</v>
      </c>
      <c r="K73" s="5" t="str">
        <f>IFERROR(__xludf.DUMMYFUNCTION("GOOGLETRANSLATE(E73, ""en"", ""fr"")"),"Les injures verbales constituent une grave violation de l'esprit sportif et sont sanctionnées par un retrait de points ou une disqualification.")</f>
        <v>Les injures verbales constituent une grave violation de l'esprit sportif et sont sanctionnées par un retrait de points ou une disqualification.</v>
      </c>
    </row>
    <row r="74" ht="22.5" customHeight="1">
      <c r="A74" s="3">
        <v>73.0</v>
      </c>
      <c r="B74" s="4" t="s">
        <v>738</v>
      </c>
      <c r="C74" s="4" t="s">
        <v>739</v>
      </c>
      <c r="D74" s="4" t="s">
        <v>740</v>
      </c>
      <c r="E74" s="4" t="s">
        <v>741</v>
      </c>
      <c r="G74" s="5" t="str">
        <f>IFERROR(__xludf.DUMMYFUNCTION("GOOGLETRANSLATE(A74, ""en"", ""fr"")"),"73")</f>
        <v>73</v>
      </c>
      <c r="H74" s="5" t="str">
        <f>IFERROR(__xludf.DUMMYFUNCTION("GOOGLETRANSLATE(B74, ""en"", ""fr"")"),"En substance, la Balle au Tambourin est un type de quel genre de jeu ?")</f>
        <v>En substance, la Balle au Tambourin est un type de quel genre de jeu ?</v>
      </c>
      <c r="I74" s="5" t="str">
        <f>IFERROR(__xludf.DUMMYFUNCTION("GOOGLETRANSLATE(C74, ""en"", ""fr"")"),"A) Un jeu de filet et de mur, B) Un jeu de batte et de balle, C) Un jeu de but, D) Un jeu de cible")</f>
        <v>A) Un jeu de filet et de mur, B) Un jeu de batte et de balle, C) Un jeu de but, D) Un jeu de cible</v>
      </c>
      <c r="J74" s="5" t="str">
        <f>IFERROR(__xludf.DUMMYFUNCTION("GOOGLETRANSLATE(D74, ""en"", ""fr"")"),"B) Un jeu de batte et de balle")</f>
        <v>B) Un jeu de batte et de balle</v>
      </c>
      <c r="K74" s="5" t="str">
        <f>IFERROR(__xludf.DUMMYFUNCTION("GOOGLETRANSLATE(E74, ""en"", ""fr"")"),"Il appartient à la famille des jeux de balle et de batte, qui comprend le tennis, le cricket et le baseball.")</f>
        <v>Il appartient à la famille des jeux de balle et de batte, qui comprend le tennis, le cricket et le baseball.</v>
      </c>
    </row>
    <row r="75" ht="22.5" customHeight="1">
      <c r="A75" s="3">
        <v>74.0</v>
      </c>
      <c r="B75" s="4" t="s">
        <v>646</v>
      </c>
      <c r="C75" s="4" t="s">
        <v>647</v>
      </c>
      <c r="D75" s="4" t="s">
        <v>648</v>
      </c>
      <c r="E75" s="4" t="s">
        <v>649</v>
      </c>
      <c r="G75" s="5" t="str">
        <f>IFERROR(__xludf.DUMMYFUNCTION("GOOGLETRANSLATE(A75, ""en"", ""fr"")"),"74")</f>
        <v>74</v>
      </c>
      <c r="H75" s="5" t="str">
        <f>IFERROR(__xludf.DUMMYFUNCTION("GOOGLETRANSLATE(B75, ""en"", ""fr"")"),"Quelle est la principale raison de ces règles strictes concernant les substitutions ?")</f>
        <v>Quelle est la principale raison de ces règles strictes concernant les substitutions ?</v>
      </c>
      <c r="I75" s="5" t="str">
        <f>IFERROR(__xludf.DUMMYFUNCTION("GOOGLETRANSLATE(C75, ""en"", ""fr"")"),"A) Pour rendre le jeu plus difficile, B) Pour garantir l'équité et empêcher les équipes d'utiliser les remplacements à des fins tactiques de temporisation, C) Pour gagner du temps, D) Pour protéger les joueurs")</f>
        <v>A) Pour rendre le jeu plus difficile, B) Pour garantir l'équité et empêcher les équipes d'utiliser les remplacements à des fins tactiques de temporisation, C) Pour gagner du temps, D) Pour protéger les joueurs</v>
      </c>
      <c r="J75" s="5" t="str">
        <f>IFERROR(__xludf.DUMMYFUNCTION("GOOGLETRANSLATE(D75, ""en"", ""fr"")"),"B) Afin de garantir l'équité et d'empêcher les équipes d'utiliser les substitutions à des fins de temporisation tactique")</f>
        <v>B) Afin de garantir l'équité et d'empêcher les équipes d'utiliser les substitutions à des fins de temporisation tactique</v>
      </c>
      <c r="K75" s="5" t="str">
        <f>IFERROR(__xludf.DUMMYFUNCTION("GOOGLETRANSLATE(E75, ""en"", ""fr"")"),"Les règles sont conçues pour permettre des changements de joueurs en raison de blessures ou de choix tactiques, mais pas de manière à perturber le déroulement ou l'équité du jeu.")</f>
        <v>Les règles sont conçues pour permettre des changements de joueurs en raison de blessures ou de choix tactiques, mais pas de manière à perturber le déroulement ou l'équité du jeu.</v>
      </c>
    </row>
    <row r="76" ht="22.5" customHeight="1">
      <c r="A76" s="3">
        <v>75.0</v>
      </c>
      <c r="B76" s="4" t="s">
        <v>650</v>
      </c>
      <c r="C76" s="4" t="s">
        <v>651</v>
      </c>
      <c r="D76" s="4" t="s">
        <v>581</v>
      </c>
      <c r="E76" s="4" t="s">
        <v>652</v>
      </c>
      <c r="G76" s="5" t="str">
        <f>IFERROR(__xludf.DUMMYFUNCTION("GOOGLETRANSLATE(A76, ""en"", ""fr"")"),"75")</f>
        <v>75</v>
      </c>
      <c r="H76" s="5" t="str">
        <f>IFERROR(__xludf.DUMMYFUNCTION("GOOGLETRANSLATE(B76, ""en"", ""fr"")"),"Un joueur frappe la balle, et celle-ci touche son propre coéquipier avant de franchir la ligne médiane. Quelle est la décision arbitrale ?")</f>
        <v>Un joueur frappe la balle, et celle-ci touche son propre coéquipier avant de franchir la ligne médiane. Quelle est la décision arbitrale ?</v>
      </c>
      <c r="I76" s="5" t="str">
        <f>IFERROR(__xludf.DUMMYFUNCTION("GOOGLETRANSLATE(C76, ""en"", ""fr"")"),"A) C'est une faute, et l'équipe perd le point. B) Le point est rejoué. C) Le jeu continue car il s'agissait d'un accident. D) Le joueur touché est pénalisé.")</f>
        <v>A) C'est une faute, et l'équipe perd le point. B) Le point est rejoué. C) Le jeu continue car il s'agissait d'un accident. D) Le joueur touché est pénalisé.</v>
      </c>
      <c r="J76" s="5" t="str">
        <f>IFERROR(__xludf.DUMMYFUNCTION("GOOGLETRANSLATE(D76, ""en"", ""fr"")"),"A) C'est une faute, et l'équipe perd le point.")</f>
        <v>A) C'est une faute, et l'équipe perd le point.</v>
      </c>
      <c r="K76" s="5" t="str">
        <f>IFERROR(__xludf.DUMMYFUNCTION("GOOGLETRANSLATE(E76, ""en"", ""fr"")"),"Si un joueur est touché par une balle frappée par son équipe (avant qu'elle n'ait été jouée par un adversaire), il s'agit d'une faute.")</f>
        <v>Si un joueur est touché par une balle frappée par son équipe (avant qu'elle n'ait été jouée par un adversaire), il s'agit d'une faute.</v>
      </c>
    </row>
    <row r="77" ht="22.5" customHeight="1">
      <c r="A77" s="3">
        <v>76.0</v>
      </c>
      <c r="B77" s="4" t="s">
        <v>653</v>
      </c>
      <c r="C77" s="4" t="s">
        <v>565</v>
      </c>
      <c r="D77" s="4" t="s">
        <v>566</v>
      </c>
      <c r="E77" s="4" t="s">
        <v>567</v>
      </c>
      <c r="G77" s="5" t="str">
        <f>IFERROR(__xludf.DUMMYFUNCTION("GOOGLETRANSLATE(A77, ""en"", ""fr"")"),"76")</f>
        <v>76</v>
      </c>
      <c r="H77" s="5" t="str">
        <f>IFERROR(__xludf.DUMMYFUNCTION("GOOGLETRANSLATE(B77, ""en"", ""fr"")"),"Quelle est la règle si un joueur lance son tambourin pour frapper la balle ?")</f>
        <v>Quelle est la règle si un joueur lance son tambourin pour frapper la balle ?</v>
      </c>
      <c r="I77" s="5" t="str">
        <f>IFERROR(__xludf.DUMMYFUNCTION("GOOGLETRANSLATE(C77, ""en"", ""fr"")"),"A) C'est un geste légal, même s'il est désespéré. B) C'est une faute pour avoir « jeté la batte ». C) Le point est rejoué. D) Le joueur est disqualifié.")</f>
        <v>A) C'est un geste légal, même s'il est désespéré. B) C'est une faute pour avoir « jeté la batte ». C) Le point est rejoué. D) Le joueur est disqualifié.</v>
      </c>
      <c r="J77" s="5" t="str">
        <f>IFERROR(__xludf.DUMMYFUNCTION("GOOGLETRANSLATE(D77, ""en"", ""fr"")"),"B) C'est une faute pour « avoir jeté la batte »")</f>
        <v>B) C'est une faute pour « avoir jeté la batte »</v>
      </c>
      <c r="K77" s="5" t="str">
        <f>IFERROR(__xludf.DUMMYFUNCTION("GOOGLETRANSLATE(E77, ""en"", ""fr"")"),"Le tambourin doit être tenu à la main lors de la frappe de la balle. Le jeter constitue une faute manifeste.")</f>
        <v>Le tambourin doit être tenu à la main lors de la frappe de la balle. Le jeter constitue une faute manifeste.</v>
      </c>
    </row>
    <row r="78" ht="22.5" customHeight="1">
      <c r="A78" s="3">
        <v>77.0</v>
      </c>
      <c r="B78" s="4" t="s">
        <v>654</v>
      </c>
      <c r="C78" s="4" t="s">
        <v>569</v>
      </c>
      <c r="D78" s="4" t="s">
        <v>570</v>
      </c>
      <c r="E78" s="4" t="s">
        <v>655</v>
      </c>
      <c r="G78" s="5" t="str">
        <f>IFERROR(__xludf.DUMMYFUNCTION("GOOGLETRANSLATE(A78, ""en"", ""fr"")"),"77")</f>
        <v>77</v>
      </c>
      <c r="H78" s="5" t="str">
        <f>IFERROR(__xludf.DUMMYFUNCTION("GOOGLETRANSLATE(B78, ""en"", ""fr"")"),"Au jeu en salle, un joueur frappe la balle, qui heurte le mur latéral avant d'atterrir dans le camp adverse. Ce coup est-il autorisé ?")</f>
        <v>Au jeu en salle, un joueur frappe la balle, qui heurte le mur latéral avant d'atterrir dans le camp adverse. Ce coup est-il autorisé ?</v>
      </c>
      <c r="I78" s="5" t="str">
        <f>IFERROR(__xludf.DUMMYFUNCTION("GOOGLETRANSLATE(C78, ""en"", ""fr"")"),"A) Oui, dans certaines versions, les murs latéraux sont pris en compte. B) Non, c'est une faute. C) Le point est rejoué. D) Uniquement si la balle touche d'abord le mur du fond.")</f>
        <v>A) Oui, dans certaines versions, les murs latéraux sont pris en compte. B) Non, c'est une faute. C) Le point est rejoué. D) Uniquement si la balle touche d'abord le mur du fond.</v>
      </c>
      <c r="J78" s="5" t="str">
        <f>IFERROR(__xludf.DUMMYFUNCTION("GOOGLETRANSLATE(D78, ""en"", ""fr"")"),"A) Oui, dans certaines versions, les murs latéraux entrent en jeu.")</f>
        <v>A) Oui, dans certaines versions, les murs latéraux entrent en jeu.</v>
      </c>
      <c r="K78" s="5" t="str">
        <f>IFERROR(__xludf.DUMMYFUNCTION("GOOGLETRANSLATE(E78, ""en"", ""fr"")"),"Dans certaines formes de Tamburello en salle (comme le « Tamburello a Muro »), jouer la balle contre les murs latéraux est une partie légale et stratégique du jeu.")</f>
        <v>Dans certaines formes de Tamburello en salle (comme le « Tamburello a Muro »), jouer la balle contre les murs latéraux est une partie légale et stratégique du jeu.</v>
      </c>
    </row>
    <row r="79" ht="22.5" customHeight="1">
      <c r="A79" s="3">
        <v>78.0</v>
      </c>
      <c r="B79" s="4" t="s">
        <v>656</v>
      </c>
      <c r="C79" s="4" t="s">
        <v>657</v>
      </c>
      <c r="D79" s="4" t="s">
        <v>658</v>
      </c>
      <c r="E79" s="4" t="s">
        <v>659</v>
      </c>
      <c r="G79" s="5" t="str">
        <f>IFERROR(__xludf.DUMMYFUNCTION("GOOGLETRANSLATE(A79, ""en"", ""fr"")"),"78")</f>
        <v>78</v>
      </c>
      <c r="H79" s="5" t="str">
        <f>IFERROR(__xludf.DUMMYFUNCTION("GOOGLETRANSLATE(B79, ""en"", ""fr"")"),"Quel est le rôle principal de la Fédération Française de Jeu de Balle au Tambourin (FFJST) ?")</f>
        <v>Quel est le rôle principal de la Fédération Française de Jeu de Balle au Tambourin (FFJST) ?</v>
      </c>
      <c r="I79" s="5" t="str">
        <f>IFERROR(__xludf.DUMMYFUNCTION("GOOGLETRANSLATE(C79, ""en"", ""fr"")"),"A) Fournir du matériel aux clubs, B) Être l'instance dirigeante officielle qui organise les championnats et fixe les règles, C) Rémunérer les joueurs, D) Promouvoir le sport à la télévision")</f>
        <v>A) Fournir du matériel aux clubs, B) Être l'instance dirigeante officielle qui organise les championnats et fixe les règles, C) Rémunérer les joueurs, D) Promouvoir le sport à la télévision</v>
      </c>
      <c r="J79" s="5" t="str">
        <f>IFERROR(__xludf.DUMMYFUNCTION("GOOGLETRANSLATE(D79, ""en"", ""fr"")"),"B) Être l'instance dirigeante officielle qui organise les championnats et établit les règles")</f>
        <v>B) Être l'instance dirigeante officielle qui organise les championnats et établit les règles</v>
      </c>
      <c r="K79" s="5" t="str">
        <f>IFERROR(__xludf.DUMMYFUNCTION("GOOGLETRANSLATE(E79, ""en"", ""fr"")"),"La FFJST est l'autorité centrale du sport en France, chargée de son administration et de son développement.")</f>
        <v>La FFJST est l'autorité centrale du sport en France, chargée de son administration et de son développement.</v>
      </c>
    </row>
    <row r="80" ht="22.5" customHeight="1">
      <c r="A80" s="3">
        <v>79.0</v>
      </c>
      <c r="B80" s="4" t="s">
        <v>660</v>
      </c>
      <c r="C80" s="4" t="s">
        <v>661</v>
      </c>
      <c r="D80" s="4" t="s">
        <v>662</v>
      </c>
      <c r="E80" s="4" t="s">
        <v>663</v>
      </c>
      <c r="G80" s="5" t="str">
        <f>IFERROR(__xludf.DUMMYFUNCTION("GOOGLETRANSLATE(A80, ""en"", ""fr"")"),"79")</f>
        <v>79</v>
      </c>
      <c r="H80" s="5" t="str">
        <f>IFERROR(__xludf.DUMMYFUNCTION("GOOGLETRANSLATE(B80, ""en"", ""fr"")"),"Une équipe est pénalisée pour avoir reçu des « conseils en dehors de la zone désignée ». Qu'est-ce que cela signifie ?")</f>
        <v>Une équipe est pénalisée pour avoir reçu des « conseils en dehors de la zone désignée ». Qu'est-ce que cela signifie ?</v>
      </c>
      <c r="I80" s="5" t="str">
        <f>IFERROR(__xludf.DUMMYFUNCTION("GOOGLETRANSLATE(C80, ""en"", ""fr"")"),"A) Leur entraîneur criait trop fort. B) Leur entraîneur utilisait un téléphone portable. C) Une autre personne que l'entraîneur officiel donnait des instructions. D) L'entraîneur était sorti de sa zone délimitée.")</f>
        <v>A) Leur entraîneur criait trop fort. B) Leur entraîneur utilisait un téléphone portable. C) Une autre personne que l'entraîneur officiel donnait des instructions. D) L'entraîneur était sorti de sa zone délimitée.</v>
      </c>
      <c r="J80" s="5" t="str">
        <f>IFERROR(__xludf.DUMMYFUNCTION("GOOGLETRANSLATE(D80, ""en"", ""fr"")"),"D) L'entraîneur avait franchi la zone délimitée de son emplacement réservé.")</f>
        <v>D) L'entraîneur avait franchi la zone délimitée de son emplacement réservé.</v>
      </c>
      <c r="K80" s="5" t="str">
        <f>IFERROR(__xludf.DUMMYFUNCTION("GOOGLETRANSLATE(E80, ""en"", ""fr"")"),"Un entraîneur doit rester dans sa zone désignée lorsqu'il donne des instructions à son équipe pendant un match.")</f>
        <v>Un entraîneur doit rester dans sa zone désignée lorsqu'il donne des instructions à son équipe pendant un match.</v>
      </c>
    </row>
    <row r="81" ht="22.5" customHeight="1">
      <c r="A81" s="3">
        <v>80.0</v>
      </c>
      <c r="B81" s="4" t="s">
        <v>664</v>
      </c>
      <c r="C81" s="4" t="s">
        <v>665</v>
      </c>
      <c r="D81" s="4" t="s">
        <v>666</v>
      </c>
      <c r="E81" s="4" t="s">
        <v>667</v>
      </c>
      <c r="G81" s="5" t="str">
        <f>IFERROR(__xludf.DUMMYFUNCTION("GOOGLETRANSLATE(A81, ""en"", ""fr"")"),"80")</f>
        <v>80</v>
      </c>
      <c r="H81" s="5" t="str">
        <f>IFERROR(__xludf.DUMMYFUNCTION("GOOGLETRANSLATE(B81, ""en"", ""fr"")"),"Une équipe a remporté le premier set 6-2. Elle mène le deuxième set 5-5. Un tie-break est joué. Si elle remporte le tie-break, quel est le score final du match ?")</f>
        <v>Une équipe a remporté le premier set 6-2. Elle mène le deuxième set 5-5. Un tie-break est joué. Si elle remporte le tie-break, quel est le score final du match ?</v>
      </c>
      <c r="I81" s="5" t="str">
        <f>IFERROR(__xludf.DUMMYFUNCTION("GOOGLETRANSLATE(C81, ""en"", ""fr"")"),"A) 2 sets à 0, B) 1 set partout, C) Le match se poursuit avec un troisième set, D) L'équipe remporte le deuxième set 6-5")</f>
        <v>A) 2 sets à 0, B) 1 set partout, C) Le match se poursuit avec un troisième set, D) L'équipe remporte le deuxième set 6-5</v>
      </c>
      <c r="J81" s="5" t="str">
        <f>IFERROR(__xludf.DUMMYFUNCTION("GOOGLETRANSLATE(D81, ""en"", ""fr"")"),"A) 2 ensembles à 0")</f>
        <v>A) 2 ensembles à 0</v>
      </c>
      <c r="K81" s="5" t="str">
        <f>IFERROR(__xludf.DUMMYFUNCTION("GOOGLETRANSLATE(E81, ""en"", ""fr"")"),"Remporter le tie-break leur permet de gagner le deuxième set 6-5. Comme ils ont déjà gagné le premier set, ils remportent le match 2 sets à 0.")</f>
        <v>Remporter le tie-break leur permet de gagner le deuxième set 6-5. Comme ils ont déjà gagné le premier set, ils remportent le match 2 sets à 0.</v>
      </c>
    </row>
    <row r="82" ht="22.5" customHeight="1">
      <c r="A82" s="3">
        <v>81.0</v>
      </c>
      <c r="B82" s="4" t="s">
        <v>668</v>
      </c>
      <c r="C82" s="4" t="s">
        <v>669</v>
      </c>
      <c r="D82" s="4" t="s">
        <v>670</v>
      </c>
      <c r="E82" s="4" t="s">
        <v>671</v>
      </c>
      <c r="G82" s="5" t="str">
        <f>IFERROR(__xludf.DUMMYFUNCTION("GOOGLETRANSLATE(A82, ""en"", ""fr"")"),"81")</f>
        <v>81</v>
      </c>
      <c r="H82" s="5" t="str">
        <f>IFERROR(__xludf.DUMMYFUNCTION("GOOGLETRANSLATE(B82, ""en"", ""fr"")"),"Quel est le but principal du « tambourin » lui-même ?")</f>
        <v>Quel est le but principal du « tambourin » lui-même ?</v>
      </c>
      <c r="I82" s="5" t="str">
        <f>IFERROR(__xludf.DUMMYFUNCTION("GOOGLETRANSLATE(C82, ""en"", ""fr"")"),"A) C'est un bouclier défensif, B) Pour fournir une grande surface puissante pour frapper la balle, C) C'est un instrument de musique, D) C'est un symbole du sport")</f>
        <v>A) C'est un bouclier défensif, B) Pour fournir une grande surface puissante pour frapper la balle, C) C'est un instrument de musique, D) C'est un symbole du sport</v>
      </c>
      <c r="J82" s="5" t="str">
        <f>IFERROR(__xludf.DUMMYFUNCTION("GOOGLETRANSLATE(D82, ""en"", ""fr"")"),"B) Fournir une surface large et puissante pour frapper la balle")</f>
        <v>B) Fournir une surface large et puissante pour frapper la balle</v>
      </c>
      <c r="K82" s="5" t="str">
        <f>IFERROR(__xludf.DUMMYFUNCTION("GOOGLETRANSLATE(E82, ""en"", ""fr"")"),"Le tambourin est la batte de ce sport, un instrument unique conçu pour frapper la balle avec force et précision.")</f>
        <v>Le tambourin est la batte de ce sport, un instrument unique conçu pour frapper la balle avec force et précision.</v>
      </c>
    </row>
    <row r="83" ht="22.5" customHeight="1">
      <c r="A83" s="3">
        <v>82.0</v>
      </c>
      <c r="B83" s="4" t="s">
        <v>642</v>
      </c>
      <c r="C83" s="4" t="s">
        <v>643</v>
      </c>
      <c r="D83" s="4" t="s">
        <v>644</v>
      </c>
      <c r="E83" s="4" t="s">
        <v>645</v>
      </c>
      <c r="G83" s="5" t="str">
        <f>IFERROR(__xludf.DUMMYFUNCTION("GOOGLETRANSLATE(A83, ""en"", ""fr"")"),"82")</f>
        <v>82</v>
      </c>
      <c r="H83" s="5" t="str">
        <f>IFERROR(__xludf.DUMMYFUNCTION("GOOGLETRANSLATE(B83, ""en"", ""fr"")"),"Un joueur est sanctionné pour « injures verbales ». Qu'a-t-il bien pu faire ?")</f>
        <v>Un joueur est sanctionné pour « injures verbales ». Qu'a-t-il bien pu faire ?</v>
      </c>
      <c r="I83" s="5" t="str">
        <f>IFERROR(__xludf.DUMMYFUNCTION("GOOGLETRANSLATE(C83, ""en"", ""fr"")"),"A) A crié des instructions à un coéquipier, B) A argumenté respectueusement avec l'arbitre, C) A utilisé un langage insultant ou offensant envers un adversaire ou un officiel, D) A célébré un point bruyamment")</f>
        <v>A) A crié des instructions à un coéquipier, B) A argumenté respectueusement avec l'arbitre, C) A utilisé un langage insultant ou offensant envers un adversaire ou un officiel, D) A célébré un point bruyamment</v>
      </c>
      <c r="J83" s="5" t="str">
        <f>IFERROR(__xludf.DUMMYFUNCTION("GOOGLETRANSLATE(D83, ""en"", ""fr"")"),"C) A utilisé un langage insultant ou offensant envers un adversaire ou un officiel")</f>
        <v>C) A utilisé un langage insultant ou offensant envers un adversaire ou un officiel</v>
      </c>
      <c r="K83" s="5" t="str">
        <f>IFERROR(__xludf.DUMMYFUNCTION("GOOGLETRANSLATE(E83, ""en"", ""fr"")"),"Les injures verbales constituent une grave violation de l'esprit sportif et sont sanctionnées par un retrait de points ou une disqualification.")</f>
        <v>Les injures verbales constituent une grave violation de l'esprit sportif et sont sanctionnées par un retrait de points ou une disqualification.</v>
      </c>
    </row>
    <row r="84" ht="22.5" customHeight="1">
      <c r="A84" s="3">
        <v>83.0</v>
      </c>
      <c r="B84" s="4" t="s">
        <v>646</v>
      </c>
      <c r="C84" s="4" t="s">
        <v>647</v>
      </c>
      <c r="D84" s="4" t="s">
        <v>648</v>
      </c>
      <c r="E84" s="4" t="s">
        <v>649</v>
      </c>
      <c r="G84" s="5" t="str">
        <f>IFERROR(__xludf.DUMMYFUNCTION("GOOGLETRANSLATE(A84, ""en"", ""fr"")"),"83")</f>
        <v>83</v>
      </c>
      <c r="H84" s="5" t="str">
        <f>IFERROR(__xludf.DUMMYFUNCTION("GOOGLETRANSLATE(B84, ""en"", ""fr"")"),"Quelle est la principale raison de ces règles strictes concernant les substitutions ?")</f>
        <v>Quelle est la principale raison de ces règles strictes concernant les substitutions ?</v>
      </c>
      <c r="I84" s="5" t="str">
        <f>IFERROR(__xludf.DUMMYFUNCTION("GOOGLETRANSLATE(C84, ""en"", ""fr"")"),"A) Pour rendre le jeu plus difficile, B) Pour garantir l'équité et empêcher les équipes d'utiliser les remplacements à des fins tactiques de temporisation, C) Pour gagner du temps, D) Pour protéger les joueurs")</f>
        <v>A) Pour rendre le jeu plus difficile, B) Pour garantir l'équité et empêcher les équipes d'utiliser les remplacements à des fins tactiques de temporisation, C) Pour gagner du temps, D) Pour protéger les joueurs</v>
      </c>
      <c r="J84" s="5" t="str">
        <f>IFERROR(__xludf.DUMMYFUNCTION("GOOGLETRANSLATE(D84, ""en"", ""fr"")"),"B) Afin de garantir l'équité et d'empêcher les équipes d'utiliser les substitutions à des fins de temporisation tactique")</f>
        <v>B) Afin de garantir l'équité et d'empêcher les équipes d'utiliser les substitutions à des fins de temporisation tactique</v>
      </c>
      <c r="K84" s="5" t="str">
        <f>IFERROR(__xludf.DUMMYFUNCTION("GOOGLETRANSLATE(E84, ""en"", ""fr"")"),"Les règles sont conçues pour permettre des changements de joueurs en raison de blessures ou de choix tactiques, mais pas de manière à perturber le déroulement ou l'équité du jeu.")</f>
        <v>Les règles sont conçues pour permettre des changements de joueurs en raison de blessures ou de choix tactiques, mais pas de manière à perturber le déroulement ou l'équité du jeu.</v>
      </c>
    </row>
    <row r="85" ht="22.5" customHeight="1">
      <c r="A85" s="3">
        <v>84.0</v>
      </c>
      <c r="B85" s="4" t="s">
        <v>650</v>
      </c>
      <c r="C85" s="4" t="s">
        <v>651</v>
      </c>
      <c r="D85" s="4" t="s">
        <v>581</v>
      </c>
      <c r="E85" s="4" t="s">
        <v>652</v>
      </c>
      <c r="G85" s="5" t="str">
        <f>IFERROR(__xludf.DUMMYFUNCTION("GOOGLETRANSLATE(A85, ""en"", ""fr"")"),"84")</f>
        <v>84</v>
      </c>
      <c r="H85" s="5" t="str">
        <f>IFERROR(__xludf.DUMMYFUNCTION("GOOGLETRANSLATE(B85, ""en"", ""fr"")"),"Un joueur frappe la balle, et celle-ci touche son propre coéquipier avant de franchir la ligne médiane. Quelle est la décision arbitrale ?")</f>
        <v>Un joueur frappe la balle, et celle-ci touche son propre coéquipier avant de franchir la ligne médiane. Quelle est la décision arbitrale ?</v>
      </c>
      <c r="I85" s="5" t="str">
        <f>IFERROR(__xludf.DUMMYFUNCTION("GOOGLETRANSLATE(C85, ""en"", ""fr"")"),"A) C'est une faute, et l'équipe perd le point. B) Le point est rejoué. C) Le jeu continue car il s'agissait d'un accident. D) Le joueur touché est pénalisé.")</f>
        <v>A) C'est une faute, et l'équipe perd le point. B) Le point est rejoué. C) Le jeu continue car il s'agissait d'un accident. D) Le joueur touché est pénalisé.</v>
      </c>
      <c r="J85" s="5" t="str">
        <f>IFERROR(__xludf.DUMMYFUNCTION("GOOGLETRANSLATE(D85, ""en"", ""fr"")"),"A) C'est une faute, et l'équipe perd le point.")</f>
        <v>A) C'est une faute, et l'équipe perd le point.</v>
      </c>
      <c r="K85" s="5" t="str">
        <f>IFERROR(__xludf.DUMMYFUNCTION("GOOGLETRANSLATE(E85, ""en"", ""fr"")"),"Si un joueur est touché par une balle frappée par son équipe (avant qu'elle n'ait été jouée par un adversaire), il s'agit d'une faute.")</f>
        <v>Si un joueur est touché par une balle frappée par son équipe (avant qu'elle n'ait été jouée par un adversaire), il s'agit d'une faute.</v>
      </c>
    </row>
    <row r="86" ht="22.5" customHeight="1">
      <c r="A86" s="3">
        <v>85.0</v>
      </c>
      <c r="B86" s="4" t="s">
        <v>672</v>
      </c>
      <c r="C86" s="4" t="s">
        <v>673</v>
      </c>
      <c r="D86" s="4" t="s">
        <v>674</v>
      </c>
      <c r="E86" s="4" t="s">
        <v>675</v>
      </c>
      <c r="G86" s="5" t="str">
        <f>IFERROR(__xludf.DUMMYFUNCTION("GOOGLETRANSLATE(A86, ""en"", ""fr"")"),"85")</f>
        <v>85</v>
      </c>
      <c r="H86" s="5" t="str">
        <f>IFERROR(__xludf.DUMMYFUNCTION("GOOGLETRANSLATE(B86, ""en"", ""fr"")"),"Quelle est la principale raison pour laquelle le terrain est si long (80 mètres) ?")</f>
        <v>Quelle est la principale raison pour laquelle le terrain est si long (80 mètres) ?</v>
      </c>
      <c r="I86" s="5" t="str">
        <f>IFERROR(__xludf.DUMMYFUNCTION("GOOGLETRANSLATE(C86, ""en"", ""fr"")"),"A) Pour accueillir un grand nombre de joueurs, B) Pour tester la force et l'endurance des joueurs, C) C'est une taille traditionnelle sans raison particulière, D) Pour rendre le jeu plus sûr")</f>
        <v>A) Pour accueillir un grand nombre de joueurs, B) Pour tester la force et l'endurance des joueurs, C) C'est une taille traditionnelle sans raison particulière, D) Pour rendre le jeu plus sûr</v>
      </c>
      <c r="J86" s="5" t="str">
        <f>IFERROR(__xludf.DUMMYFUNCTION("GOOGLETRANSLATE(D86, ""en"", ""fr"")"),"B) Tester la puissance et l'endurance des joueurs")</f>
        <v>B) Tester la puissance et l'endurance des joueurs</v>
      </c>
      <c r="K86" s="5" t="str">
        <f>IFERROR(__xludf.DUMMYFUNCTION("GOOGLETRANSLATE(E86, ""en"", ""fr"")"),"Le grand format du court exige des joueurs, et notamment du fond, une force incroyable pour frapper la balle sur toute la longueur du court pendant tout un match.")</f>
        <v>Le grand format du court exige des joueurs, et notamment du fond, une force incroyable pour frapper la balle sur toute la longueur du court pendant tout un match.</v>
      </c>
    </row>
    <row r="87" ht="22.5" customHeight="1">
      <c r="A87" s="3">
        <v>86.0</v>
      </c>
      <c r="B87" s="4" t="s">
        <v>676</v>
      </c>
      <c r="C87" s="4" t="s">
        <v>521</v>
      </c>
      <c r="D87" s="4" t="s">
        <v>522</v>
      </c>
      <c r="E87" s="4" t="s">
        <v>523</v>
      </c>
      <c r="G87" s="5" t="str">
        <f>IFERROR(__xludf.DUMMYFUNCTION("GOOGLETRANSLATE(A87, ""en"", ""fr"")"),"86")</f>
        <v>86</v>
      </c>
      <c r="H87" s="5" t="str">
        <f>IFERROR(__xludf.DUMMYFUNCTION("GOOGLETRANSLATE(B87, ""en"", ""fr"")"),"Un joueur est surpris à utiliser un tambourin à double couche de peau synthétique pour créer un effet de « trampoline ». Quelle est la décision ?")</f>
        <v>Un joueur est surpris à utiliser un tambourin à double couche de peau synthétique pour créer un effet de « trampoline ». Quelle est la décision ?</v>
      </c>
      <c r="I87" s="5" t="str">
        <f>IFERROR(__xludf.DUMMYFUNCTION("GOOGLETRANSLATE(C87, ""en"", ""fr"")"),"A) Il s'agit d'une innovation légale. B) Le tambourin est illégal et le joueur est disqualifié. C) Le joueur peut l'utiliser mais ne peut pas marquer de points. D) Un avertissement est donné.")</f>
        <v>A) Il s'agit d'une innovation légale. B) Le tambourin est illégal et le joueur est disqualifié. C) Le joueur peut l'utiliser mais ne peut pas marquer de points. D) Un avertissement est donné.</v>
      </c>
      <c r="J87" s="5" t="str">
        <f>IFERROR(__xludf.DUMMYFUNCTION("GOOGLETRANSLATE(D87, ""en"", ""fr"")"),"B) Le tambourin est illégal et le joueur est disqualifié.")</f>
        <v>B) Le tambourin est illégal et le joueur est disqualifié.</v>
      </c>
      <c r="K87" s="5" t="str">
        <f>IFERROR(__xludf.DUMMYFUNCTION("GOOGLETRANSLATE(E87, ""en"", ""fr"")"),"Tout le matériel doit être conforme aux normes officielles. Toute altération du tambourin visant à obtenir un avantage indu constitue une infraction grave.")</f>
        <v>Tout le matériel doit être conforme aux normes officielles. Toute altération du tambourin visant à obtenir un avantage indu constitue une infraction grave.</v>
      </c>
    </row>
    <row r="88" ht="22.5" customHeight="1">
      <c r="A88" s="3">
        <v>87.0</v>
      </c>
      <c r="B88" s="4" t="s">
        <v>677</v>
      </c>
      <c r="C88" s="4" t="s">
        <v>678</v>
      </c>
      <c r="D88" s="4" t="s">
        <v>679</v>
      </c>
      <c r="E88" s="4" t="s">
        <v>680</v>
      </c>
      <c r="G88" s="5" t="str">
        <f>IFERROR(__xludf.DUMMYFUNCTION("GOOGLETRANSLATE(A88, ""en"", ""fr"")"),"87")</f>
        <v>87</v>
      </c>
      <c r="H88" s="5" t="str">
        <f>IFERROR(__xludf.DUMMYFUNCTION("GOOGLETRANSLATE(B88, ""en"", ""fr"")"),"Quel est le rôle principal des joueurs des tiers ?")</f>
        <v>Quel est le rôle principal des joueurs des tiers ?</v>
      </c>
      <c r="I88" s="5" t="str">
        <f>IFERROR(__xludf.DUMMYFUNCTION("GOOGLETRANSLATE(C88, ""en"", ""fr"")"),"A) Ce sont les serveurs principaux, B) Ce sont des joueurs polyvalents qui contrôlent le milieu de terrain, jouant à la fois en attaque et en défense, C) Ce sont des spécialistes de la défense qui ne font que bloquer, D) Ce sont des remplaçants")</f>
        <v>A) Ce sont les serveurs principaux, B) Ce sont des joueurs polyvalents qui contrôlent le milieu de terrain, jouant à la fois en attaque et en défense, C) Ce sont des spécialistes de la défense qui ne font que bloquer, D) Ce sont des remplaçants</v>
      </c>
      <c r="J88" s="5" t="str">
        <f>IFERROR(__xludf.DUMMYFUNCTION("GOOGLETRANSLATE(D88, ""en"", ""fr"")"),"B) Ce sont des joueurs polyvalents qui contrôlent le milieu de terrain, jouant à la fois en attaque et en défense.")</f>
        <v>B) Ce sont des joueurs polyvalents qui contrôlent le milieu de terrain, jouant à la fois en attaque et en défense.</v>
      </c>
      <c r="K88" s="5" t="str">
        <f>IFERROR(__xludf.DUMMYFUNCTION("GOOGLETRANSLATE(E88, ""en"", ""fr"")"),"Les milieux défensifs sont les joueurs polyvalents de l'équipe, chargés d'assurer la liaison entre l'avant et l'arrière du terrain.")</f>
        <v>Les milieux défensifs sont les joueurs polyvalents de l'équipe, chargés d'assurer la liaison entre l'avant et l'arrière du terrain.</v>
      </c>
    </row>
    <row r="89" ht="22.5" customHeight="1">
      <c r="A89" s="3">
        <v>88.0</v>
      </c>
      <c r="B89" s="4" t="s">
        <v>536</v>
      </c>
      <c r="C89" s="4" t="s">
        <v>742</v>
      </c>
      <c r="D89" s="4" t="s">
        <v>538</v>
      </c>
      <c r="E89" s="4" t="s">
        <v>539</v>
      </c>
      <c r="G89" s="5" t="str">
        <f>IFERROR(__xludf.DUMMYFUNCTION("GOOGLETRANSLATE(A89, ""en"", ""fr"")"),"88")</f>
        <v>88</v>
      </c>
      <c r="H89" s="5" t="str">
        <f>IFERROR(__xludf.DUMMYFUNCTION("GOOGLETRANSLATE(B89, ""en"", ""fr"")"),"Un joueur est pénalisé pour « contact prolongé » avec le ballon. Qu'est-ce que cela signifie ?")</f>
        <v>Un joueur est pénalisé pour « contact prolongé » avec le ballon. Qu'est-ce que cela signifie ?</v>
      </c>
      <c r="I89" s="5" t="str">
        <f>IFERROR(__xludf.DUMMYFUNCTION("GOOGLETRANSLATE(C89, ""en"", ""fr"")"),"A) Ils ont frappé la balle deux fois, B) Ils ont attrapé ou retenu la balle sur le tambourin au lieu de la frapper proprement, C) Ils ont tenu la balle avec leur main, D) Ils ont mis trop de temps à frapper la balle")</f>
        <v>A) Ils ont frappé la balle deux fois, B) Ils ont attrapé ou retenu la balle sur le tambourin au lieu de la frapper proprement, C) Ils ont tenu la balle avec leur main, D) Ils ont mis trop de temps à frapper la balle</v>
      </c>
      <c r="J89" s="5" t="str">
        <f>IFERROR(__xludf.DUMMYFUNCTION("GOOGLETRANSLATE(D89, ""en"", ""fr"")"),"B) Ils ont attrapé ou retenu la balle sur le tambourin au lieu de la frapper proprement.")</f>
        <v>B) Ils ont attrapé ou retenu la balle sur le tambourin au lieu de la frapper proprement.</v>
      </c>
      <c r="K89" s="5" t="str">
        <f>IFERROR(__xludf.DUMMYFUNCTION("GOOGLETRANSLATE(E89, ""en"", ""fr"")"),"La balle doit être frappée d'un seul mouvement distinct. La ramasser, la porter ou la retenir sur le tambourin constitue une faute.")</f>
        <v>La balle doit être frappée d'un seul mouvement distinct. La ramasser, la porter ou la retenir sur le tambourin constitue une faute.</v>
      </c>
    </row>
    <row r="90" ht="22.5" customHeight="1">
      <c r="A90" s="3">
        <v>89.0</v>
      </c>
      <c r="B90" s="4" t="s">
        <v>681</v>
      </c>
      <c r="C90" s="4" t="s">
        <v>682</v>
      </c>
      <c r="D90" s="4" t="s">
        <v>683</v>
      </c>
      <c r="E90" s="4" t="s">
        <v>684</v>
      </c>
      <c r="G90" s="5" t="str">
        <f>IFERROR(__xludf.DUMMYFUNCTION("GOOGLETRANSLATE(A90, ""en"", ""fr"")"),"89")</f>
        <v>89</v>
      </c>
      <c r="H90" s="5" t="str">
        <f>IFERROR(__xludf.DUMMYFUNCTION("GOOGLETRANSLATE(B90, ""en"", ""fr"")"),"Comment les points sont-ils marqués lors d'un match décisif ?")</f>
        <v>Comment les points sont-ils marqués lors d'un match décisif ?</v>
      </c>
      <c r="I90" s="5" t="str">
        <f>IFERROR(__xludf.DUMMYFUNCTION("GOOGLETRANSLATE(C90, ""en"", ""fr"")"),"A) Avec le système 15-30-40, B) Avec des points séquentiels (1, 2, 3, etc.), C) La première équipe à marquer gagne, D) Par un vote des juges")</f>
        <v>A) Avec le système 15-30-40, B) Avec des points séquentiels (1, 2, 3, etc.), C) La première équipe à marquer gagne, D) Par un vote des juges</v>
      </c>
      <c r="J90" s="5" t="str">
        <f>IFERROR(__xludf.DUMMYFUNCTION("GOOGLETRANSLATE(D90, ""en"", ""fr"")"),"B) Avec des points séquentiels (1, 2, 3, etc.)")</f>
        <v>B) Avec des points séquentiels (1, 2, 3, etc.)</v>
      </c>
      <c r="K90" s="5" t="str">
        <f>IFERROR(__xludf.DUMMYFUNCTION("GOOGLETRANSLATE(E90, ""en"", ""fr"")"),"Le tie-break utilise un système de points numérique simple, généralement joué en 7 ou 8 points, pour décider du set.")</f>
        <v>Le tie-break utilise un système de points numérique simple, généralement joué en 7 ou 8 points, pour décider du set.</v>
      </c>
    </row>
    <row r="91" ht="22.5" customHeight="1">
      <c r="A91" s="3">
        <v>90.0</v>
      </c>
      <c r="B91" s="4" t="s">
        <v>685</v>
      </c>
      <c r="C91" s="4" t="s">
        <v>577</v>
      </c>
      <c r="D91" s="4" t="s">
        <v>386</v>
      </c>
      <c r="E91" s="4" t="s">
        <v>686</v>
      </c>
      <c r="G91" s="5" t="str">
        <f>IFERROR(__xludf.DUMMYFUNCTION("GOOGLETRANSLATE(A91, ""en"", ""fr"")"),"90")</f>
        <v>90</v>
      </c>
      <c r="H91" s="5" t="str">
        <f>IFERROR(__xludf.DUMMYFUNCTION("GOOGLETRANSLATE(B91, ""en"", ""fr"")"),"Un joueur porte des chaussures à crampons. Pourquoi est-ce une faute ?")</f>
        <v>Un joueur porte des chaussures à crampons. Pourquoi est-ce une faute ?</v>
      </c>
      <c r="I91" s="5" t="str">
        <f>IFERROR(__xludf.DUMMYFUNCTION("GOOGLETRANSLATE(C91, ""en"", ""fr"")"),"A) Cela peut endommager la surface de jeu en asphalte, B) Cela donne un avantage injuste en termes d'adhérence, C) Cela représente un danger pour la sécurité des autres joueurs, D) Toutes les réponses ci-dessus")</f>
        <v>A) Cela peut endommager la surface de jeu en asphalte, B) Cela donne un avantage injuste en termes d'adhérence, C) Cela représente un danger pour la sécurité des autres joueurs, D) Toutes les réponses ci-dessus</v>
      </c>
      <c r="J91" s="5" t="str">
        <f>IFERROR(__xludf.DUMMYFUNCTION("GOOGLETRANSLATE(D91, ""en"", ""fr"")"),"D) Toutes les réponses ci-dessus")</f>
        <v>D) Toutes les réponses ci-dessus</v>
      </c>
      <c r="K91" s="5" t="str">
        <f>IFERROR(__xludf.DUMMYFUNCTION("GOOGLETRANSLATE(E91, ""en"", ""fr"")"),"Les chaussures à pointes sont interdites car elles endommagent le terrain, procurent un avantage injuste et présentent un risque important de blessure pour les autres joueurs.")</f>
        <v>Les chaussures à pointes sont interdites car elles endommagent le terrain, procurent un avantage injuste et présentent un risque important de blessure pour les autres joueurs.</v>
      </c>
    </row>
    <row r="92" ht="22.5" customHeight="1">
      <c r="A92" s="3">
        <v>91.0</v>
      </c>
      <c r="B92" s="4" t="s">
        <v>687</v>
      </c>
      <c r="C92" s="4" t="s">
        <v>688</v>
      </c>
      <c r="D92" s="4" t="s">
        <v>689</v>
      </c>
      <c r="E92" s="4" t="s">
        <v>690</v>
      </c>
      <c r="G92" s="5" t="str">
        <f>IFERROR(__xludf.DUMMYFUNCTION("GOOGLETRANSLATE(A92, ""en"", ""fr"")"),"91")</f>
        <v>91</v>
      </c>
      <c r="H92" s="5" t="str">
        <f>IFERROR(__xludf.DUMMYFUNCTION("GOOGLETRANSLATE(B92, ""en"", ""fr"")"),"Quelle est la décision à prendre si la balle touche l'arbitre pendant un échange de balles ?")</f>
        <v>Quelle est la décision à prendre si la balle touche l'arbitre pendant un échange de balles ?</v>
      </c>
      <c r="I92" s="5" t="str">
        <f>IFERROR(__xludf.DUMMYFUNCTION("GOOGLETRANSLATE(C92, ""en"", ""fr"")"),"A) Le jeu continue, B) Le point est immédiatement arrêté et rejoué, C) C'est une faute du joueur qui a touché l'arbitre, D) C'est un point pour le joueur qui a touché l'arbitre")</f>
        <v>A) Le jeu continue, B) Le point est immédiatement arrêté et rejoué, C) C'est une faute du joueur qui a touché l'arbitre, D) C'est un point pour le joueur qui a touché l'arbitre</v>
      </c>
      <c r="J92" s="5" t="str">
        <f>IFERROR(__xludf.DUMMYFUNCTION("GOOGLETRANSLATE(D92, ""en"", ""fr"")"),"B) Le point est immédiatement interrompu et rejoué.")</f>
        <v>B) Le point est immédiatement interrompu et rejoué.</v>
      </c>
      <c r="K92" s="5" t="str">
        <f>IFERROR(__xludf.DUMMYFUNCTION("GOOGLETRANSLATE(E92, ""en"", ""fr"")"),"L'arbitre est considéré comme une interférence extérieure. Si la balle le touche, le point doit être rejoué pour que l'arbitre soit équitable.")</f>
        <v>L'arbitre est considéré comme une interférence extérieure. Si la balle le touche, le point doit être rejoué pour que l'arbitre soit équitable.</v>
      </c>
    </row>
    <row r="93" ht="22.5" customHeight="1">
      <c r="A93" s="3">
        <v>92.0</v>
      </c>
      <c r="B93" s="4" t="s">
        <v>691</v>
      </c>
      <c r="C93" s="4" t="s">
        <v>692</v>
      </c>
      <c r="D93" s="4" t="s">
        <v>693</v>
      </c>
      <c r="E93" s="4" t="s">
        <v>694</v>
      </c>
      <c r="G93" s="5" t="str">
        <f>IFERROR(__xludf.DUMMYFUNCTION("GOOGLETRANSLATE(A93, ""en"", ""fr"")"),"92")</f>
        <v>92</v>
      </c>
      <c r="H93" s="5" t="str">
        <f>IFERROR(__xludf.DUMMYFUNCTION("GOOGLETRANSLATE(B93, ""en"", ""fr"")"),"Quelle est la principale raison pour laquelle les versions extérieure et intérieure sont considérées comme des disciplines différentes ?")</f>
        <v>Quelle est la principale raison pour laquelle les versions extérieure et intérieure sont considérées comme des disciplines différentes ?</v>
      </c>
      <c r="I93" s="5" t="str">
        <f>IFERROR(__xludf.DUMMYFUNCTION("GOOGLETRANSLATE(C93, ""en"", ""fr"")"),"A) L'équipement est complètement différent. B) Les compétences fondamentales sont différentes. C) La taille du terrain, la taille de l'équipe et le type de ballon engendrent des stratégies et des compétences très différentes. D) L'un est professionnel, l'"&amp;"autre amateur.")</f>
        <v>A) L'équipement est complètement différent. B) Les compétences fondamentales sont différentes. C) La taille du terrain, la taille de l'équipe et le type de ballon engendrent des stratégies et des compétences très différentes. D) L'un est professionnel, l'autre amateur.</v>
      </c>
      <c r="J93" s="5" t="str">
        <f>IFERROR(__xludf.DUMMYFUNCTION("GOOGLETRANSLATE(D93, ""en"", ""fr"")"),"C) La taille du terrain, la taille de l'équipe et le type de ballon engendrent des stratégies et des compétences très différentes.")</f>
        <v>C) La taille du terrain, la taille de l'équipe et le type de ballon engendrent des stratégies et des compétences très différentes.</v>
      </c>
      <c r="K93" s="5" t="str">
        <f>IFERROR(__xludf.DUMMYFUNCTION("GOOGLETRANSLATE(E93, ""en"", ""fr"")"),"Les différences sont si importantes que les joueurs se spécialisent souvent dans une version de ce sport plutôt que dans l'autre.")</f>
        <v>Les différences sont si importantes que les joueurs se spécialisent souvent dans une version de ce sport plutôt que dans l'autre.</v>
      </c>
    </row>
    <row r="94" ht="22.5" customHeight="1">
      <c r="A94" s="3">
        <v>93.0</v>
      </c>
      <c r="B94" s="4" t="s">
        <v>695</v>
      </c>
      <c r="C94" s="4" t="s">
        <v>696</v>
      </c>
      <c r="D94" s="4" t="s">
        <v>697</v>
      </c>
      <c r="E94" s="4" t="s">
        <v>698</v>
      </c>
      <c r="G94" s="5" t="str">
        <f>IFERROR(__xludf.DUMMYFUNCTION("GOOGLETRANSLATE(A94, ""en"", ""fr"")"),"93")</f>
        <v>93</v>
      </c>
      <c r="H94" s="5" t="str">
        <f>IFERROR(__xludf.DUMMYFUNCTION("GOOGLETRANSLATE(B94, ""en"", ""fr"")"),"Une équipe mène 6-5 dans un set et le score du match est de 40-30. Si elle remporte le prochain point, que se passe-t-il ?")</f>
        <v>Une équipe mène 6-5 dans un set et le score du match est de 40-30. Si elle remporte le prochain point, que se passe-t-il ?</v>
      </c>
      <c r="I94" s="5" t="str">
        <f>IFERROR(__xludf.DUMMYFUNCTION("GOOGLETRANSLATE(C94, ""en"", ""fr"")"),"A) Ils remportent le set 7-5, B) Le jeu se poursuit jusqu'au tie-break, C) Ils remportent le jeu et le set 6-5, D) Ils doivent remporter le jeu par deux points d'écart")</f>
        <v>A) Ils remportent le set 7-5, B) Le jeu se poursuit jusqu'au tie-break, C) Ils remportent le jeu et le set 6-5, D) Ils doivent remporter le jeu par deux points d'écart</v>
      </c>
      <c r="J94" s="5" t="str">
        <f>IFERROR(__xludf.DUMMYFUNCTION("GOOGLETRANSLATE(D94, ""en"", ""fr"")"),"A) Ils remportent le set 7-5")</f>
        <v>A) Ils remportent le set 7-5</v>
      </c>
      <c r="K94" s="5" t="str">
        <f>IFERROR(__xludf.DUMMYFUNCTION("GOOGLETRANSLATE(E94, ""en"", ""fr"")"),"Dans un set standard, une équipe doit gagner avec deux jeux d'avance. Par conséquent, remporter ce jeu porterait le score à 7-5 et mettrait fin au set.")</f>
        <v>Dans un set standard, une équipe doit gagner avec deux jeux d'avance. Par conséquent, remporter ce jeu porterait le score à 7-5 et mettrait fin au set.</v>
      </c>
    </row>
    <row r="95" ht="22.5" customHeight="1">
      <c r="A95" s="3">
        <v>94.0</v>
      </c>
      <c r="B95" s="4" t="s">
        <v>699</v>
      </c>
      <c r="C95" s="4" t="s">
        <v>700</v>
      </c>
      <c r="D95" s="4" t="s">
        <v>701</v>
      </c>
      <c r="E95" s="4" t="s">
        <v>702</v>
      </c>
      <c r="G95" s="5" t="str">
        <f>IFERROR(__xludf.DUMMYFUNCTION("GOOGLETRANSLATE(A95, ""en"", ""fr"")"),"94")</f>
        <v>94</v>
      </c>
      <c r="H95" s="5" t="str">
        <f>IFERROR(__xludf.DUMMYFUNCTION("GOOGLETRANSLATE(B95, ""en"", ""fr"")"),"Quel est le rôle principal des juges de ligne ?")</f>
        <v>Quel est le rôle principal des juges de ligne ?</v>
      </c>
      <c r="I95" s="5" t="str">
        <f>IFERROR(__xludf.DUMMYFUNCTION("GOOGLETRANSLATE(C95, ""en"", ""fr"")"),"A) Tenir le score, B) Assister l'arbitre principal en signalant les fautes sur les lignes de touche, C) Encadrer les joueurs, D) Inspecter l'équipement")</f>
        <v>A) Tenir le score, B) Assister l'arbitre principal en signalant les fautes sur les lignes de touche, C) Encadrer les joueurs, D) Inspecter l'équipement</v>
      </c>
      <c r="J95" s="5" t="str">
        <f>IFERROR(__xludf.DUMMYFUNCTION("GOOGLETRANSLATE(D95, ""en"", ""fr"")"),"B) Assister l'arbitre principal en signalant les fautes sur les lignes de touche")</f>
        <v>B) Assister l'arbitre principal en signalant les fautes sur les lignes de touche</v>
      </c>
      <c r="K95" s="5" t="str">
        <f>IFERROR(__xludf.DUMMYFUNCTION("GOOGLETRANSLATE(E95, ""en"", ""fr"")"),"Les juges de ligne sont positionnés de manière à avoir une vue dégagée des lignes et sont chargés de signaler si une balle est « dedans » ou « dehors ».")</f>
        <v>Les juges de ligne sont positionnés de manière à avoir une vue dégagée des lignes et sont chargés de signaler si une balle est « dedans » ou « dehors ».</v>
      </c>
    </row>
    <row r="96" ht="22.5" customHeight="1">
      <c r="A96" s="3">
        <v>95.0</v>
      </c>
      <c r="B96" s="4" t="s">
        <v>703</v>
      </c>
      <c r="C96" s="4" t="s">
        <v>704</v>
      </c>
      <c r="D96" s="4" t="s">
        <v>705</v>
      </c>
      <c r="E96" s="4" t="s">
        <v>706</v>
      </c>
      <c r="G96" s="5" t="str">
        <f>IFERROR(__xludf.DUMMYFUNCTION("GOOGLETRANSLATE(A96, ""en"", ""fr"")"),"95")</f>
        <v>95</v>
      </c>
      <c r="H96" s="5" t="str">
        <f>IFERROR(__xludf.DUMMYFUNCTION("GOOGLETRANSLATE(B96, ""en"", ""fr"")"),"Un joueur frappe la balle, et celle-ci touche son propre coéquipier après avoir franchi la ligne médiane et avoir été renvoyée par ce dernier. Quelle est la décision arbitrale ?")</f>
        <v>Un joueur frappe la balle, et celle-ci touche son propre coéquipier après avoir franchi la ligne médiane et avoir été renvoyée par ce dernier. Quelle est la décision arbitrale ?</v>
      </c>
      <c r="I96" s="5" t="str">
        <f>IFERROR(__xludf.DUMMYFUNCTION("GOOGLETRANSLATE(C96, ""en"", ""fr"")"),"A) C'est une faute de la première équipe. B) C'est un point pour la première équipe, car la tentative de retour de l'adversaire a échoué. C) Le point est rejoué. D) C'est une faute de l'adversaire.")</f>
        <v>A) C'est une faute de la première équipe. B) C'est un point pour la première équipe, car la tentative de retour de l'adversaire a échoué. C) Le point est rejoué. D) C'est une faute de l'adversaire.</v>
      </c>
      <c r="J96" s="5" t="str">
        <f>IFERROR(__xludf.DUMMYFUNCTION("GOOGLETRANSLATE(D96, ""en"", ""fr"")"),"B) C'est un point pour la première équipe, car le retour de l'adversaire n'a pas abouti.")</f>
        <v>B) C'est un point pour la première équipe, car le retour de l'adversaire n'a pas abouti.</v>
      </c>
      <c r="K96" s="5" t="str">
        <f>IFERROR(__xludf.DUMMYFUNCTION("GOOGLETRANSLATE(E96, ""en"", ""fr"")"),"Si l'équipe adverse frappe la balle et que celle-ci touche ensuite un joueur de l'équipe adverse, l'équipe qui a frappé perd le point.")</f>
        <v>Si l'équipe adverse frappe la balle et que celle-ci touche ensuite un joueur de l'équipe adverse, l'équipe qui a frappé perd le point.</v>
      </c>
    </row>
    <row r="97" ht="22.5" customHeight="1">
      <c r="A97" s="3">
        <v>96.0</v>
      </c>
      <c r="B97" s="4" t="s">
        <v>707</v>
      </c>
      <c r="C97" s="4" t="s">
        <v>708</v>
      </c>
      <c r="D97" s="4" t="s">
        <v>709</v>
      </c>
      <c r="E97" s="4" t="s">
        <v>710</v>
      </c>
      <c r="G97" s="5" t="str">
        <f>IFERROR(__xludf.DUMMYFUNCTION("GOOGLETRANSLATE(A97, ""en"", ""fr"")"),"96")</f>
        <v>96</v>
      </c>
      <c r="H97" s="5" t="str">
        <f>IFERROR(__xludf.DUMMYFUNCTION("GOOGLETRANSLATE(B97, ""en"", ""fr"")"),"Qu'est-ce qu'un ""let"" ou une ""balle à remettre"" ?")</f>
        <v>Qu'est-ce qu'un "let" ou une "balle à remettre" ?</v>
      </c>
      <c r="I97" s="5" t="str">
        <f>IFERROR(__xludf.DUMMYFUNCTION("GOOGLETRANSLATE(C97, ""en"", ""fr"")"),"A) Une faute, B) Un point rejoué suite à une interférence imprévue, C) La fin d'un jeu, D) Un type de service")</f>
        <v>A) Une faute, B) Un point rejoué suite à une interférence imprévue, C) La fin d'un jeu, D) Un type de service</v>
      </c>
      <c r="J97" s="5" t="str">
        <f>IFERROR(__xludf.DUMMYFUNCTION("GOOGLETRANSLATE(D97, ""en"", ""fr"")"),"B) Un point rejoué en raison d'une interférence imprévue")</f>
        <v>B) Un point rejoué en raison d'une interférence imprévue</v>
      </c>
      <c r="K97" s="5" t="str">
        <f>IFERROR(__xludf.DUMMYFUNCTION("GOOGLETRANSLATE(E97, ""en"", ""fr"")"),"Un « let » est prononcé lorsqu'un événement extérieur (comme une balle perdue provenant d'un autre terrain) interrompt le point, qui est alors rejoué.")</f>
        <v>Un « let » est prononcé lorsqu'un événement extérieur (comme une balle perdue provenant d'un autre terrain) interrompt le point, qui est alors rejoué.</v>
      </c>
    </row>
    <row r="98" ht="22.5" customHeight="1">
      <c r="A98" s="3">
        <v>97.0</v>
      </c>
      <c r="B98" s="4" t="s">
        <v>711</v>
      </c>
      <c r="C98" s="4" t="s">
        <v>712</v>
      </c>
      <c r="D98" s="4" t="s">
        <v>713</v>
      </c>
      <c r="E98" s="4" t="s">
        <v>714</v>
      </c>
      <c r="G98" s="5" t="str">
        <f>IFERROR(__xludf.DUMMYFUNCTION("GOOGLETRANSLATE(A98, ""en"", ""fr"")"),"97")</f>
        <v>97</v>
      </c>
      <c r="H98" s="5" t="str">
        <f>IFERROR(__xludf.DUMMYFUNCTION("GOOGLETRANSLATE(B98, ""en"", ""fr"")"),"Un joueur sert du mauvais côté du terrain. Quelle est la décision ?")</f>
        <v>Un joueur sert du mauvais côté du terrain. Quelle est la décision ?</v>
      </c>
      <c r="I98" s="5" t="str">
        <f>IFERROR(__xludf.DUMMYFUNCTION("GOOGLETRANSLATE(C98, ""en"", ""fr"")"),"A) Le service est régulier, B) Une faute est signalée et le point est perdu, C) L'arbitre autorise un nouveau service du côté droit, D) Un avertissement est donné")</f>
        <v>A) Le service est régulier, B) Une faute est signalée et le point est perdu, C) L'arbitre autorise un nouveau service du côté droit, D) Un avertissement est donné</v>
      </c>
      <c r="J98" s="5" t="str">
        <f>IFERROR(__xludf.DUMMYFUNCTION("GOOGLETRANSLATE(D98, ""en"", ""fr"")"),"B) Un défaut est signalé et le point est perdu.")</f>
        <v>B) Un défaut est signalé et le point est perdu.</v>
      </c>
      <c r="K98" s="5" t="str">
        <f>IFERROR(__xludf.DUMMYFUNCTION("GOOGLETRANSLATE(E98, ""en"", ""fr"")"),"Le serveur doit effectuer le service depuis la position correcte, déterminée par le score. Servir du mauvais côté constitue une faute.")</f>
        <v>Le serveur doit effectuer le service depuis la position correcte, déterminée par le score. Servir du mauvais côté constitue une faute.</v>
      </c>
    </row>
    <row r="99" ht="22.5" customHeight="1">
      <c r="A99" s="3">
        <v>98.0</v>
      </c>
      <c r="B99" s="4" t="s">
        <v>715</v>
      </c>
      <c r="C99" s="4" t="s">
        <v>716</v>
      </c>
      <c r="D99" s="4" t="s">
        <v>717</v>
      </c>
      <c r="E99" s="4" t="s">
        <v>718</v>
      </c>
      <c r="G99" s="5" t="str">
        <f>IFERROR(__xludf.DUMMYFUNCTION("GOOGLETRANSLATE(A99, ""en"", ""fr"")"),"98")</f>
        <v>98</v>
      </c>
      <c r="H99" s="5" t="str">
        <f>IFERROR(__xludf.DUMMYFUNCTION("GOOGLETRANSLATE(B99, ""en"", ""fr"")"),"Quel est le nombre maximum de joueurs qu'une équipe peut inscrire sur sa liste pour un match ?")</f>
        <v>Quel est le nombre maximum de joueurs qu'une équipe peut inscrire sur sa liste pour un match ?</v>
      </c>
      <c r="I99" s="5" t="str">
        <f>IFERROR(__xludf.DUMMYFUNCTION("GOOGLETRANSLATE(C99, ""en"", ""fr"")"),"A) 5, B) 6, C) 8, D) 10")</f>
        <v>A) 5, B) 6, C) 8, D) 10</v>
      </c>
      <c r="J99" s="5" t="str">
        <f>IFERROR(__xludf.DUMMYFUNCTION("GOOGLETRANSLATE(D99, ""en"", ""fr"")"),"C) 8")</f>
        <v>C) 8</v>
      </c>
      <c r="K99" s="5" t="str">
        <f>IFERROR(__xludf.DUMMYFUNCTION("GOOGLETRANSLATE(E99, ""en"", ""fr"")"),"Une équipe est composée de 5 joueurs sur le terrain et jusqu'à 3 remplaçants, pour un total de 8 joueurs sur la feuille de match.")</f>
        <v>Une équipe est composée de 5 joueurs sur le terrain et jusqu'à 3 remplaçants, pour un total de 8 joueurs sur la feuille de match.</v>
      </c>
    </row>
    <row r="100" ht="22.5" customHeight="1">
      <c r="A100" s="3">
        <v>99.0</v>
      </c>
      <c r="B100" s="4" t="s">
        <v>719</v>
      </c>
      <c r="C100" s="4" t="s">
        <v>588</v>
      </c>
      <c r="D100" s="4" t="s">
        <v>589</v>
      </c>
      <c r="E100" s="4" t="s">
        <v>720</v>
      </c>
      <c r="G100" s="5" t="str">
        <f>IFERROR(__xludf.DUMMYFUNCTION("GOOGLETRANSLATE(A100, ""en"", ""fr"")"),"99")</f>
        <v>99</v>
      </c>
      <c r="H100" s="5" t="str">
        <f>IFERROR(__xludf.DUMMYFUNCTION("GOOGLETRANSLATE(B100, ""en"", ""fr"")"),"Un joueur est touché par une balle frappée par un adversaire, mais il se trouvait hors des limites du terrain. Qui remporte le point ?")</f>
        <v>Un joueur est touché par une balle frappée par un adversaire, mais il se trouvait hors des limites du terrain. Qui remporte le point ?</v>
      </c>
      <c r="I100" s="5" t="str">
        <f>IFERROR(__xludf.DUMMYFUNCTION("GOOGLETRANSLATE(C100, ""en"", ""fr"")"),"A) Le joueur qui a été touché (de son équipe), B) Le joueur qui a touché la balle (de son équipe), C) Le point est rejoué, D) Un « let » est annoncé")</f>
        <v>A) Le joueur qui a été touché (de son équipe), B) Le joueur qui a touché la balle (de son équipe), C) Le point est rejoué, D) Un « let » est annoncé</v>
      </c>
      <c r="J100" s="5" t="str">
        <f>IFERROR(__xludf.DUMMYFUNCTION("GOOGLETRANSLATE(D100, ""en"", ""fr"")"),"A) Le joueur qui a été touché (de son équipe)")</f>
        <v>A) Le joueur qui a été touché (de son équipe)</v>
      </c>
      <c r="K100" s="5" t="str">
        <f>IFERROR(__xludf.DUMMYFUNCTION("GOOGLETRANSLATE(E100, ""en"", ""fr"")"),"Si la balle touche un adversaire qui se trouve en dehors du terrain de jeu, l'équipe qui a frappé a envoyé la balle « hors du terrain » et perd donc le point.")</f>
        <v>Si la balle touche un adversaire qui se trouve en dehors du terrain de jeu, l'équipe qui a frappé a envoyé la balle « hors du terrain » et perd donc le point.</v>
      </c>
    </row>
    <row r="101" ht="22.5" customHeight="1">
      <c r="A101" s="3">
        <v>100.0</v>
      </c>
      <c r="B101" s="4" t="s">
        <v>721</v>
      </c>
      <c r="C101" s="4" t="s">
        <v>722</v>
      </c>
      <c r="D101" s="4" t="s">
        <v>723</v>
      </c>
      <c r="E101" s="4" t="s">
        <v>724</v>
      </c>
      <c r="G101" s="5" t="str">
        <f>IFERROR(__xludf.DUMMYFUNCTION("GOOGLETRANSLATE(A101, ""en"", ""fr"")"),"100")</f>
        <v>100</v>
      </c>
      <c r="H101" s="5" t="str">
        <f>IFERROR(__xludf.DUMMYFUNCTION("GOOGLETRANSLATE(B101, ""en"", ""fr"")"),"Le service est effectué. La balle atterrit dans le carré de service mais ne rebondit pas. Quelle est la décision arbitrale ?")</f>
        <v>Le service est effectué. La balle atterrit dans le carré de service mais ne rebondit pas. Quelle est la décision arbitrale ?</v>
      </c>
      <c r="I101" s="5" t="str">
        <f>IFERROR(__xludf.DUMMYFUNCTION("GOOGLETRANSLATE(C101, ""en"", ""fr"")"),"A) Le service est régulier. B) C'est une faute, car la balle est trop molle ou insuffisamment gonflée. C) Le serveur a droit à un deuxième service. D) La balle doit être remplacée.")</f>
        <v>A) Le service est régulier. B) C'est une faute, car la balle est trop molle ou insuffisamment gonflée. C) Le serveur a droit à un deuxième service. D) La balle doit être remplacée.</v>
      </c>
      <c r="J101" s="5" t="str">
        <f>IFERROR(__xludf.DUMMYFUNCTION("GOOGLETRANSLATE(D101, ""en"", ""fr"")"),"B) C'est un défaut, car la balle est trop molle ou sous-gonflée.")</f>
        <v>B) C'est un défaut, car la balle est trop molle ou sous-gonflée.</v>
      </c>
      <c r="K101" s="5" t="str">
        <f>IFERROR(__xludf.DUMMYFUNCTION("GOOGLETRANSLATE(E101, ""en"", ""fr"")"),"La balle doit être correctement gonflée et avoir un rebond normal. Une balle « morte » est une faute et est retirée du jeu.")</f>
        <v>La balle doit être correctement gonflée et avoir un rebond normal. Une balle « morte » est une faute et est retirée du jeu.</v>
      </c>
    </row>
    <row r="102" ht="22.5" customHeight="1">
      <c r="A102" s="3">
        <v>101.0</v>
      </c>
      <c r="B102" s="4" t="s">
        <v>725</v>
      </c>
      <c r="C102" s="4" t="s">
        <v>726</v>
      </c>
      <c r="D102" s="4" t="s">
        <v>727</v>
      </c>
      <c r="E102" s="4" t="s">
        <v>728</v>
      </c>
      <c r="G102" s="5" t="str">
        <f>IFERROR(__xludf.DUMMYFUNCTION("GOOGLETRANSLATE(A102, ""en"", ""fr"")"),"101")</f>
        <v>101</v>
      </c>
      <c r="H102" s="5" t="str">
        <f>IFERROR(__xludf.DUMMYFUNCTION("GOOGLETRANSLATE(B102, ""en"", ""fr"")"),"Un joueur est pénalisé pour un « service illégal ». Laquelle de ces raisons est valable ?")</f>
        <v>Un joueur est pénalisé pour un « service illégal ». Laquelle de ces raisons est valable ?</v>
      </c>
      <c r="I102" s="5" t="str">
        <f>IFERROR(__xludf.DUMMYFUNCTION("GOOGLETRANSLATE(C102, ""en"", ""fr"")"),"A) Le service était trop rapide. B) Le serveur a servi par en dessous. C) Le pied du serveur était sur la ligne de fond au moment de la frappe. D) Le service était dirigé vers un adversaire.")</f>
        <v>A) Le service était trop rapide. B) Le serveur a servi par en dessous. C) Le pied du serveur était sur la ligne de fond au moment de la frappe. D) Le service était dirigé vers un adversaire.</v>
      </c>
      <c r="J102" s="5" t="str">
        <f>IFERROR(__xludf.DUMMYFUNCTION("GOOGLETRANSLATE(D102, ""en"", ""fr"")"),"C) Le pied du serveur était sur la ligne de fond lorsqu'il a frappé la balle.")</f>
        <v>C) Le pied du serveur était sur la ligne de fond lorsqu'il a frappé la balle.</v>
      </c>
      <c r="K102" s="5" t="str">
        <f>IFERROR(__xludf.DUMMYFUNCTION("GOOGLETRANSLATE(E102, ""en"", ""fr"")"),"Une faute de pied est une erreur de service courante. Le serveur doit rester derrière la ligne de fond jusqu'à ce que la balle soit frappée.")</f>
        <v>Une faute de pied est une erreur de service courante. Le serveur doit rester derrière la ligne de fond jusqu'à ce que la balle soit frappée.</v>
      </c>
    </row>
    <row r="103" ht="22.5" customHeight="1">
      <c r="A103" s="3">
        <v>102.0</v>
      </c>
      <c r="B103" s="4" t="s">
        <v>729</v>
      </c>
      <c r="C103" s="4" t="s">
        <v>730</v>
      </c>
      <c r="D103" s="4" t="s">
        <v>731</v>
      </c>
      <c r="E103" s="4" t="s">
        <v>732</v>
      </c>
      <c r="G103" s="5" t="str">
        <f>IFERROR(__xludf.DUMMYFUNCTION("GOOGLETRANSLATE(A103, ""en"", ""fr"")"),"102")</f>
        <v>102</v>
      </c>
      <c r="H103" s="5" t="str">
        <f>IFERROR(__xludf.DUMMYFUNCTION("GOOGLETRANSLATE(B103, ""en"", ""fr"")"),"Quelle est la principale raison de la différence de règles entre les jeux d'intérieur et les jeux d'extérieur ?")</f>
        <v>Quelle est la principale raison de la différence de règles entre les jeux d'intérieur et les jeux d'extérieur ?</v>
      </c>
      <c r="I103" s="5" t="str">
        <f>IFERROR(__xludf.DUMMYFUNCTION("GOOGLETRANSLATE(C103, ""en"", ""fr"")"),"A) Le jeu en salle est plus ancien. B) La taille nettement plus réduite du terrain en salle nécessite des modifications pour que le jeu soit jouable. C) Le jeu en salle est réservé aux amateurs. D) Le jeu en salle utilise une balle plus lourde.")</f>
        <v>A) Le jeu en salle est plus ancien. B) La taille nettement plus réduite du terrain en salle nécessite des modifications pour que le jeu soit jouable. C) Le jeu en salle est réservé aux amateurs. D) Le jeu en salle utilise une balle plus lourde.</v>
      </c>
      <c r="J103" s="5" t="str">
        <f>IFERROR(__xludf.DUMMYFUNCTION("GOOGLETRANSLATE(D103, ""en"", ""fr"")"),"B) La taille considérablement réduite du terrain intérieur nécessite des modifications pour rendre le jeu jouable.")</f>
        <v>B) La taille considérablement réduite du terrain intérieur nécessite des modifications pour rendre le jeu jouable.</v>
      </c>
      <c r="K103" s="5" t="str">
        <f>IFERROR(__xludf.DUMMYFUNCTION("GOOGLETRANSLATE(E103, ""en"", ""fr"")"),"Les règles de la version en salle (3 joueurs, zone neutre, etc.) sont toutes des adaptations aux contraintes d'une surface de jeu plus petite.")</f>
        <v>Les règles de la version en salle (3 joueurs, zone neutre, etc.) sont toutes des adaptations aux contraintes d'une surface de jeu plus petite.</v>
      </c>
    </row>
    <row r="104" ht="22.5" customHeight="1">
      <c r="A104" s="3">
        <v>103.0</v>
      </c>
      <c r="B104" s="4" t="s">
        <v>733</v>
      </c>
      <c r="C104" s="4" t="s">
        <v>509</v>
      </c>
      <c r="D104" s="4" t="s">
        <v>510</v>
      </c>
      <c r="E104" s="4" t="s">
        <v>511</v>
      </c>
      <c r="G104" s="5" t="str">
        <f>IFERROR(__xludf.DUMMYFUNCTION("GOOGLETRANSLATE(A104, ""en"", ""fr"")"),"103")</f>
        <v>103</v>
      </c>
      <c r="H104" s="5" t="str">
        <f>IFERROR(__xludf.DUMMYFUNCTION("GOOGLETRANSLATE(B104, ""en"", ""fr"")"),"Une équipe mène 40-0 dans un match. Comment appelle-t-on cette situation ?")</f>
        <v>Une équipe mène 40-0 dans un match. Comment appelle-t-on cette situation ?</v>
      </c>
      <c r="I104" s="5" t="str">
        <f>IFERROR(__xludf.DUMMYFUNCTION("GOOGLETRANSLATE(C104, ""en"", ""fr"")"),"A) Avantage, B) Balle de set, C) Balle de triple jeu, D) Victoire sans appel")</f>
        <v>A) Avantage, B) Balle de set, C) Balle de triple jeu, D) Victoire sans appel</v>
      </c>
      <c r="J104" s="5" t="str">
        <f>IFERROR(__xludf.DUMMYFUNCTION("GOOGLETRANSLATE(D104, ""en"", ""fr"")"),"C) Point de match triple")</f>
        <v>C) Point de match triple</v>
      </c>
      <c r="K104" s="5" t="str">
        <f>IFERROR(__xludf.DUMMYFUNCTION("GOOGLETRANSLATE(E104, ""en"", ""fr"")"),"L'expression « triple point de match » désigne la situation où une équipe a trois occasions consécutives de remporter la partie en cours.")</f>
        <v>L'expression « triple point de match » désigne la situation où une équipe a trois occasions consécutives de remporter la partie en cours.</v>
      </c>
    </row>
    <row r="105" ht="22.5" customHeight="1">
      <c r="A105" s="3">
        <v>104.0</v>
      </c>
      <c r="B105" s="4" t="s">
        <v>699</v>
      </c>
      <c r="C105" s="4" t="s">
        <v>700</v>
      </c>
      <c r="D105" s="4" t="s">
        <v>701</v>
      </c>
      <c r="E105" s="4" t="s">
        <v>702</v>
      </c>
      <c r="G105" s="5" t="str">
        <f>IFERROR(__xludf.DUMMYFUNCTION("GOOGLETRANSLATE(A105, ""en"", ""fr"")"),"104")</f>
        <v>104</v>
      </c>
      <c r="H105" s="5" t="str">
        <f>IFERROR(__xludf.DUMMYFUNCTION("GOOGLETRANSLATE(B105, ""en"", ""fr"")"),"Quel est le rôle principal des juges de ligne ?")</f>
        <v>Quel est le rôle principal des juges de ligne ?</v>
      </c>
      <c r="I105" s="5" t="str">
        <f>IFERROR(__xludf.DUMMYFUNCTION("GOOGLETRANSLATE(C105, ""en"", ""fr"")"),"A) Tenir le score, B) Assister l'arbitre principal en signalant les fautes sur les lignes de touche, C) Encadrer les joueurs, D) Inspecter l'équipement")</f>
        <v>A) Tenir le score, B) Assister l'arbitre principal en signalant les fautes sur les lignes de touche, C) Encadrer les joueurs, D) Inspecter l'équipement</v>
      </c>
      <c r="J105" s="5" t="str">
        <f>IFERROR(__xludf.DUMMYFUNCTION("GOOGLETRANSLATE(D105, ""en"", ""fr"")"),"B) Assister l'arbitre principal en signalant les fautes sur les lignes de touche")</f>
        <v>B) Assister l'arbitre principal en signalant les fautes sur les lignes de touche</v>
      </c>
      <c r="K105" s="5" t="str">
        <f>IFERROR(__xludf.DUMMYFUNCTION("GOOGLETRANSLATE(E105, ""en"", ""fr"")"),"Les juges de ligne sont positionnés de manière à avoir une vue dégagée des lignes et sont chargés de signaler si une balle est « dedans » ou « dehors ».")</f>
        <v>Les juges de ligne sont positionnés de manière à avoir une vue dégagée des lignes et sont chargés de signaler si une balle est « dedans » ou « dehors ».</v>
      </c>
    </row>
    <row r="106" ht="22.5" customHeight="1">
      <c r="A106" s="3">
        <v>105.0</v>
      </c>
      <c r="B106" s="4" t="s">
        <v>703</v>
      </c>
      <c r="C106" s="4" t="s">
        <v>704</v>
      </c>
      <c r="D106" s="4" t="s">
        <v>705</v>
      </c>
      <c r="E106" s="4" t="s">
        <v>706</v>
      </c>
      <c r="G106" s="5" t="str">
        <f>IFERROR(__xludf.DUMMYFUNCTION("GOOGLETRANSLATE(A106, ""en"", ""fr"")"),"105")</f>
        <v>105</v>
      </c>
      <c r="H106" s="5" t="str">
        <f>IFERROR(__xludf.DUMMYFUNCTION("GOOGLETRANSLATE(B106, ""en"", ""fr"")"),"Un joueur frappe la balle, et celle-ci touche son propre coéquipier après avoir franchi la ligne médiane et avoir été renvoyée par ce dernier. Quelle est la décision arbitrale ?")</f>
        <v>Un joueur frappe la balle, et celle-ci touche son propre coéquipier après avoir franchi la ligne médiane et avoir été renvoyée par ce dernier. Quelle est la décision arbitrale ?</v>
      </c>
      <c r="I106" s="5" t="str">
        <f>IFERROR(__xludf.DUMMYFUNCTION("GOOGLETRANSLATE(C106, ""en"", ""fr"")"),"A) C'est une faute de la première équipe. B) C'est un point pour la première équipe, car la tentative de retour de l'adversaire a échoué. C) Le point est rejoué. D) C'est une faute de l'adversaire.")</f>
        <v>A) C'est une faute de la première équipe. B) C'est un point pour la première équipe, car la tentative de retour de l'adversaire a échoué. C) Le point est rejoué. D) C'est une faute de l'adversaire.</v>
      </c>
      <c r="J106" s="5" t="str">
        <f>IFERROR(__xludf.DUMMYFUNCTION("GOOGLETRANSLATE(D106, ""en"", ""fr"")"),"B) C'est un point pour la première équipe, car le retour de l'adversaire n'a pas abouti.")</f>
        <v>B) C'est un point pour la première équipe, car le retour de l'adversaire n'a pas abouti.</v>
      </c>
      <c r="K106" s="5" t="str">
        <f>IFERROR(__xludf.DUMMYFUNCTION("GOOGLETRANSLATE(E106, ""en"", ""fr"")"),"Si l'équipe adverse frappe la balle et que celle-ci touche ensuite un joueur de l'équipe adverse, l'équipe qui a frappé perd le point.")</f>
        <v>Si l'équipe adverse frappe la balle et que celle-ci touche ensuite un joueur de l'équipe adverse, l'équipe qui a frappé perd le point.</v>
      </c>
    </row>
    <row r="107" ht="22.5" customHeight="1">
      <c r="A107" s="3">
        <v>106.0</v>
      </c>
      <c r="B107" s="4" t="s">
        <v>707</v>
      </c>
      <c r="C107" s="4" t="s">
        <v>708</v>
      </c>
      <c r="D107" s="4" t="s">
        <v>709</v>
      </c>
      <c r="E107" s="4" t="s">
        <v>710</v>
      </c>
      <c r="G107" s="5" t="str">
        <f>IFERROR(__xludf.DUMMYFUNCTION("GOOGLETRANSLATE(A107, ""en"", ""fr"")"),"106")</f>
        <v>106</v>
      </c>
      <c r="H107" s="5" t="str">
        <f>IFERROR(__xludf.DUMMYFUNCTION("GOOGLETRANSLATE(B107, ""en"", ""fr"")"),"Qu'est-ce qu'un ""let"" ou une ""balle à remettre"" ?")</f>
        <v>Qu'est-ce qu'un "let" ou une "balle à remettre" ?</v>
      </c>
      <c r="I107" s="5" t="str">
        <f>IFERROR(__xludf.DUMMYFUNCTION("GOOGLETRANSLATE(C107, ""en"", ""fr"")"),"A) Une faute, B) Un point rejoué suite à une interférence imprévue, C) La fin d'un jeu, D) Un type de service")</f>
        <v>A) Une faute, B) Un point rejoué suite à une interférence imprévue, C) La fin d'un jeu, D) Un type de service</v>
      </c>
      <c r="J107" s="5" t="str">
        <f>IFERROR(__xludf.DUMMYFUNCTION("GOOGLETRANSLATE(D107, ""en"", ""fr"")"),"B) Un point rejoué en raison d'une interférence imprévue")</f>
        <v>B) Un point rejoué en raison d'une interférence imprévue</v>
      </c>
      <c r="K107" s="5" t="str">
        <f>IFERROR(__xludf.DUMMYFUNCTION("GOOGLETRANSLATE(E107, ""en"", ""fr"")"),"Un « let » est prononcé lorsqu'un événement extérieur (comme une balle perdue provenant d'un autre terrain) interrompt le point, qui est alors rejoué.")</f>
        <v>Un « let » est prononcé lorsqu'un événement extérieur (comme une balle perdue provenant d'un autre terrain) interrompt le point, qui est alors rejoué.</v>
      </c>
    </row>
    <row r="108" ht="22.5" customHeight="1">
      <c r="A108" s="3">
        <v>107.0</v>
      </c>
      <c r="B108" s="4" t="s">
        <v>711</v>
      </c>
      <c r="C108" s="4" t="s">
        <v>712</v>
      </c>
      <c r="D108" s="4" t="s">
        <v>713</v>
      </c>
      <c r="E108" s="4" t="s">
        <v>714</v>
      </c>
      <c r="G108" s="5" t="str">
        <f>IFERROR(__xludf.DUMMYFUNCTION("GOOGLETRANSLATE(A108, ""en"", ""fr"")"),"107")</f>
        <v>107</v>
      </c>
      <c r="H108" s="5" t="str">
        <f>IFERROR(__xludf.DUMMYFUNCTION("GOOGLETRANSLATE(B108, ""en"", ""fr"")"),"Un joueur sert du mauvais côté du terrain. Quelle est la décision ?")</f>
        <v>Un joueur sert du mauvais côté du terrain. Quelle est la décision ?</v>
      </c>
      <c r="I108" s="5" t="str">
        <f>IFERROR(__xludf.DUMMYFUNCTION("GOOGLETRANSLATE(C108, ""en"", ""fr"")"),"A) Le service est régulier, B) Une faute est signalée et le point est perdu, C) L'arbitre autorise un nouveau service du côté droit, D) Un avertissement est donné")</f>
        <v>A) Le service est régulier, B) Une faute est signalée et le point est perdu, C) L'arbitre autorise un nouveau service du côté droit, D) Un avertissement est donné</v>
      </c>
      <c r="J108" s="5" t="str">
        <f>IFERROR(__xludf.DUMMYFUNCTION("GOOGLETRANSLATE(D108, ""en"", ""fr"")"),"B) Un défaut est signalé et le point est perdu.")</f>
        <v>B) Un défaut est signalé et le point est perdu.</v>
      </c>
      <c r="K108" s="5" t="str">
        <f>IFERROR(__xludf.DUMMYFUNCTION("GOOGLETRANSLATE(E108, ""en"", ""fr"")"),"Le serveur doit effectuer le service depuis la position correcte, déterminée par le score. Servir du mauvais côté constitue une faute.")</f>
        <v>Le serveur doit effectuer le service depuis la position correcte, déterminée par le score. Servir du mauvais côté constitue une faute.</v>
      </c>
    </row>
    <row r="109" ht="22.5" customHeight="1">
      <c r="A109" s="3">
        <v>108.0</v>
      </c>
      <c r="B109" s="4" t="s">
        <v>715</v>
      </c>
      <c r="C109" s="4" t="s">
        <v>716</v>
      </c>
      <c r="D109" s="4" t="s">
        <v>717</v>
      </c>
      <c r="E109" s="4" t="s">
        <v>718</v>
      </c>
      <c r="G109" s="5" t="str">
        <f>IFERROR(__xludf.DUMMYFUNCTION("GOOGLETRANSLATE(A109, ""en"", ""fr"")"),"108")</f>
        <v>108</v>
      </c>
      <c r="H109" s="5" t="str">
        <f>IFERROR(__xludf.DUMMYFUNCTION("GOOGLETRANSLATE(B109, ""en"", ""fr"")"),"Quel est le nombre maximum de joueurs qu'une équipe peut inscrire sur sa liste pour un match ?")</f>
        <v>Quel est le nombre maximum de joueurs qu'une équipe peut inscrire sur sa liste pour un match ?</v>
      </c>
      <c r="I109" s="5" t="str">
        <f>IFERROR(__xludf.DUMMYFUNCTION("GOOGLETRANSLATE(C109, ""en"", ""fr"")"),"A) 5, B) 6, C) 8, D) 10")</f>
        <v>A) 5, B) 6, C) 8, D) 10</v>
      </c>
      <c r="J109" s="5" t="str">
        <f>IFERROR(__xludf.DUMMYFUNCTION("GOOGLETRANSLATE(D109, ""en"", ""fr"")"),"C) 8")</f>
        <v>C) 8</v>
      </c>
      <c r="K109" s="5" t="str">
        <f>IFERROR(__xludf.DUMMYFUNCTION("GOOGLETRANSLATE(E109, ""en"", ""fr"")"),"Une équipe est composée de 5 joueurs sur le terrain et jusqu'à 3 remplaçants, pour un total de 8 joueurs sur la feuille de match.")</f>
        <v>Une équipe est composée de 5 joueurs sur le terrain et jusqu'à 3 remplaçants, pour un total de 8 joueurs sur la feuille de match.</v>
      </c>
    </row>
    <row r="110" ht="22.5" customHeight="1">
      <c r="A110" s="3">
        <v>109.0</v>
      </c>
      <c r="B110" s="4" t="s">
        <v>719</v>
      </c>
      <c r="C110" s="4" t="s">
        <v>588</v>
      </c>
      <c r="D110" s="4" t="s">
        <v>589</v>
      </c>
      <c r="E110" s="4" t="s">
        <v>720</v>
      </c>
      <c r="G110" s="5" t="str">
        <f>IFERROR(__xludf.DUMMYFUNCTION("GOOGLETRANSLATE(A110, ""en"", ""fr"")"),"109")</f>
        <v>109</v>
      </c>
      <c r="H110" s="5" t="str">
        <f>IFERROR(__xludf.DUMMYFUNCTION("GOOGLETRANSLATE(B110, ""en"", ""fr"")"),"Un joueur est touché par une balle frappée par un adversaire, mais il se trouvait hors des limites du terrain. Qui remporte le point ?")</f>
        <v>Un joueur est touché par une balle frappée par un adversaire, mais il se trouvait hors des limites du terrain. Qui remporte le point ?</v>
      </c>
      <c r="I110" s="5" t="str">
        <f>IFERROR(__xludf.DUMMYFUNCTION("GOOGLETRANSLATE(C110, ""en"", ""fr"")"),"A) Le joueur qui a été touché (de son équipe), B) Le joueur qui a touché la balle (de son équipe), C) Le point est rejoué, D) Un « let » est annoncé")</f>
        <v>A) Le joueur qui a été touché (de son équipe), B) Le joueur qui a touché la balle (de son équipe), C) Le point est rejoué, D) Un « let » est annoncé</v>
      </c>
      <c r="J110" s="5" t="str">
        <f>IFERROR(__xludf.DUMMYFUNCTION("GOOGLETRANSLATE(D110, ""en"", ""fr"")"),"A) Le joueur qui a été touché (de son équipe)")</f>
        <v>A) Le joueur qui a été touché (de son équipe)</v>
      </c>
      <c r="K110" s="5" t="str">
        <f>IFERROR(__xludf.DUMMYFUNCTION("GOOGLETRANSLATE(E110, ""en"", ""fr"")"),"Si la balle touche un adversaire qui se trouve en dehors du terrain de jeu, l'équipe qui a frappé a envoyé la balle « hors du terrain » et perd donc le point.")</f>
        <v>Si la balle touche un adversaire qui se trouve en dehors du terrain de jeu, l'équipe qui a frappé a envoyé la balle « hors du terrain » et perd donc le point.</v>
      </c>
    </row>
    <row r="111" ht="22.5" customHeight="1">
      <c r="A111" s="3">
        <v>110.0</v>
      </c>
      <c r="B111" s="4" t="s">
        <v>721</v>
      </c>
      <c r="C111" s="4" t="s">
        <v>722</v>
      </c>
      <c r="D111" s="4" t="s">
        <v>723</v>
      </c>
      <c r="E111" s="4" t="s">
        <v>724</v>
      </c>
      <c r="G111" s="5" t="str">
        <f>IFERROR(__xludf.DUMMYFUNCTION("GOOGLETRANSLATE(A111, ""en"", ""fr"")"),"110")</f>
        <v>110</v>
      </c>
      <c r="H111" s="5" t="str">
        <f>IFERROR(__xludf.DUMMYFUNCTION("GOOGLETRANSLATE(B111, ""en"", ""fr"")"),"Le service est effectué. La balle atterrit dans le carré de service mais ne rebondit pas. Quelle est la décision arbitrale ?")</f>
        <v>Le service est effectué. La balle atterrit dans le carré de service mais ne rebondit pas. Quelle est la décision arbitrale ?</v>
      </c>
      <c r="I111" s="5" t="str">
        <f>IFERROR(__xludf.DUMMYFUNCTION("GOOGLETRANSLATE(C111, ""en"", ""fr"")"),"A) Le service est régulier. B) C'est une faute, car la balle est trop molle ou insuffisamment gonflée. C) Le serveur a droit à un deuxième service. D) La balle doit être remplacée.")</f>
        <v>A) Le service est régulier. B) C'est une faute, car la balle est trop molle ou insuffisamment gonflée. C) Le serveur a droit à un deuxième service. D) La balle doit être remplacée.</v>
      </c>
      <c r="J111" s="5" t="str">
        <f>IFERROR(__xludf.DUMMYFUNCTION("GOOGLETRANSLATE(D111, ""en"", ""fr"")"),"B) C'est un défaut, car la balle est trop molle ou sous-gonflée.")</f>
        <v>B) C'est un défaut, car la balle est trop molle ou sous-gonflée.</v>
      </c>
      <c r="K111" s="5" t="str">
        <f>IFERROR(__xludf.DUMMYFUNCTION("GOOGLETRANSLATE(E111, ""en"", ""fr"")"),"La balle doit être correctement gonflée et avoir un rebond normal. Une balle « morte » est une faute et est retirée du jeu.")</f>
        <v>La balle doit être correctement gonflée et avoir un rebond normal. Une balle « morte » est une faute et est retirée du jeu.</v>
      </c>
    </row>
    <row r="112" ht="22.5" customHeight="1">
      <c r="A112" s="3">
        <v>111.0</v>
      </c>
      <c r="B112" s="4" t="s">
        <v>725</v>
      </c>
      <c r="C112" s="4" t="s">
        <v>726</v>
      </c>
      <c r="D112" s="4" t="s">
        <v>727</v>
      </c>
      <c r="E112" s="4" t="s">
        <v>728</v>
      </c>
      <c r="G112" s="5" t="str">
        <f>IFERROR(__xludf.DUMMYFUNCTION("GOOGLETRANSLATE(A112, ""en"", ""fr"")"),"111")</f>
        <v>111</v>
      </c>
      <c r="H112" s="5" t="str">
        <f>IFERROR(__xludf.DUMMYFUNCTION("GOOGLETRANSLATE(B112, ""en"", ""fr"")"),"Un joueur est pénalisé pour un « service illégal ». Laquelle de ces raisons est valable ?")</f>
        <v>Un joueur est pénalisé pour un « service illégal ». Laquelle de ces raisons est valable ?</v>
      </c>
      <c r="I112" s="5" t="str">
        <f>IFERROR(__xludf.DUMMYFUNCTION("GOOGLETRANSLATE(C112, ""en"", ""fr"")"),"A) Le service était trop rapide. B) Le serveur a servi par en dessous. C) Le pied du serveur était sur la ligne de fond au moment de la frappe. D) Le service était dirigé vers un adversaire.")</f>
        <v>A) Le service était trop rapide. B) Le serveur a servi par en dessous. C) Le pied du serveur était sur la ligne de fond au moment de la frappe. D) Le service était dirigé vers un adversaire.</v>
      </c>
      <c r="J112" s="5" t="str">
        <f>IFERROR(__xludf.DUMMYFUNCTION("GOOGLETRANSLATE(D112, ""en"", ""fr"")"),"C) Le pied du serveur était sur la ligne de fond lorsqu'il a frappé la balle.")</f>
        <v>C) Le pied du serveur était sur la ligne de fond lorsqu'il a frappé la balle.</v>
      </c>
      <c r="K112" s="5" t="str">
        <f>IFERROR(__xludf.DUMMYFUNCTION("GOOGLETRANSLATE(E112, ""en"", ""fr"")"),"Une faute de pied est une erreur de service courante. Le serveur doit rester derrière la ligne de fond jusqu'à ce que la balle soit frappée.")</f>
        <v>Une faute de pied est une erreur de service courante. Le serveur doit rester derrière la ligne de fond jusqu'à ce que la balle soit frappée.</v>
      </c>
    </row>
    <row r="113" ht="22.5" customHeight="1">
      <c r="A113" s="3">
        <v>112.0</v>
      </c>
      <c r="B113" s="4" t="s">
        <v>729</v>
      </c>
      <c r="C113" s="4" t="s">
        <v>730</v>
      </c>
      <c r="D113" s="4" t="s">
        <v>731</v>
      </c>
      <c r="E113" s="4" t="s">
        <v>732</v>
      </c>
      <c r="G113" s="5" t="str">
        <f>IFERROR(__xludf.DUMMYFUNCTION("GOOGLETRANSLATE(A113, ""en"", ""fr"")"),"112")</f>
        <v>112</v>
      </c>
      <c r="H113" s="5" t="str">
        <f>IFERROR(__xludf.DUMMYFUNCTION("GOOGLETRANSLATE(B113, ""en"", ""fr"")"),"Quelle est la principale raison de la différence de règles entre les jeux d'intérieur et les jeux d'extérieur ?")</f>
        <v>Quelle est la principale raison de la différence de règles entre les jeux d'intérieur et les jeux d'extérieur ?</v>
      </c>
      <c r="I113" s="5" t="str">
        <f>IFERROR(__xludf.DUMMYFUNCTION("GOOGLETRANSLATE(C113, ""en"", ""fr"")"),"A) Le jeu en salle est plus ancien. B) La taille nettement plus réduite du terrain en salle nécessite des modifications pour que le jeu soit jouable. C) Le jeu en salle est réservé aux amateurs. D) Le jeu en salle utilise une balle plus lourde.")</f>
        <v>A) Le jeu en salle est plus ancien. B) La taille nettement plus réduite du terrain en salle nécessite des modifications pour que le jeu soit jouable. C) Le jeu en salle est réservé aux amateurs. D) Le jeu en salle utilise une balle plus lourde.</v>
      </c>
      <c r="J113" s="5" t="str">
        <f>IFERROR(__xludf.DUMMYFUNCTION("GOOGLETRANSLATE(D113, ""en"", ""fr"")"),"B) La taille considérablement réduite du terrain intérieur nécessite des modifications pour rendre le jeu jouable.")</f>
        <v>B) La taille considérablement réduite du terrain intérieur nécessite des modifications pour rendre le jeu jouable.</v>
      </c>
      <c r="K113" s="5" t="str">
        <f>IFERROR(__xludf.DUMMYFUNCTION("GOOGLETRANSLATE(E113, ""en"", ""fr"")"),"Les règles de la version en salle (3 joueurs, zone neutre, etc.) sont toutes des adaptations aux contraintes d'une surface de jeu plus petite.")</f>
        <v>Les règles de la version en salle (3 joueurs, zone neutre, etc.) sont toutes des adaptations aux contraintes d'une surface de jeu plus petite.</v>
      </c>
    </row>
    <row r="114" ht="22.5" customHeight="1">
      <c r="A114" s="3">
        <v>113.0</v>
      </c>
      <c r="B114" s="4" t="s">
        <v>733</v>
      </c>
      <c r="C114" s="4" t="s">
        <v>509</v>
      </c>
      <c r="D114" s="4" t="s">
        <v>510</v>
      </c>
      <c r="E114" s="4" t="s">
        <v>511</v>
      </c>
      <c r="G114" s="5" t="str">
        <f>IFERROR(__xludf.DUMMYFUNCTION("GOOGLETRANSLATE(A114, ""en"", ""fr"")"),"113")</f>
        <v>113</v>
      </c>
      <c r="H114" s="5" t="str">
        <f>IFERROR(__xludf.DUMMYFUNCTION("GOOGLETRANSLATE(B114, ""en"", ""fr"")"),"Une équipe mène 40-0 dans un match. Comment appelle-t-on cette situation ?")</f>
        <v>Une équipe mène 40-0 dans un match. Comment appelle-t-on cette situation ?</v>
      </c>
      <c r="I114" s="5" t="str">
        <f>IFERROR(__xludf.DUMMYFUNCTION("GOOGLETRANSLATE(C114, ""en"", ""fr"")"),"A) Avantage, B) Balle de set, C) Balle de triple jeu, D) Victoire sans appel")</f>
        <v>A) Avantage, B) Balle de set, C) Balle de triple jeu, D) Victoire sans appel</v>
      </c>
      <c r="J114" s="5" t="str">
        <f>IFERROR(__xludf.DUMMYFUNCTION("GOOGLETRANSLATE(D114, ""en"", ""fr"")"),"C) Point de match triple")</f>
        <v>C) Point de match triple</v>
      </c>
      <c r="K114" s="5" t="str">
        <f>IFERROR(__xludf.DUMMYFUNCTION("GOOGLETRANSLATE(E114, ""en"", ""fr"")"),"L'expression « triple point de match » désigne la situation où une équipe a trois occasions consécutives de remporter la partie en cours.")</f>
        <v>L'expression « triple point de match » désigne la situation où une équipe a trois occasions consécutives de remporter la partie en cours.</v>
      </c>
    </row>
    <row r="115" ht="22.5" customHeight="1">
      <c r="A115" s="3">
        <v>114.0</v>
      </c>
      <c r="B115" s="4" t="s">
        <v>699</v>
      </c>
      <c r="C115" s="4" t="s">
        <v>700</v>
      </c>
      <c r="D115" s="4" t="s">
        <v>701</v>
      </c>
      <c r="E115" s="4" t="s">
        <v>702</v>
      </c>
      <c r="G115" s="5" t="str">
        <f>IFERROR(__xludf.DUMMYFUNCTION("GOOGLETRANSLATE(A115, ""en"", ""fr"")"),"114")</f>
        <v>114</v>
      </c>
      <c r="H115" s="5" t="str">
        <f>IFERROR(__xludf.DUMMYFUNCTION("GOOGLETRANSLATE(B115, ""en"", ""fr"")"),"Quel est le rôle principal des juges de ligne ?")</f>
        <v>Quel est le rôle principal des juges de ligne ?</v>
      </c>
      <c r="I115" s="5" t="str">
        <f>IFERROR(__xludf.DUMMYFUNCTION("GOOGLETRANSLATE(C115, ""en"", ""fr"")"),"A) Tenir le score, B) Assister l'arbitre principal en signalant les fautes sur les lignes de touche, C) Encadrer les joueurs, D) Inspecter l'équipement")</f>
        <v>A) Tenir le score, B) Assister l'arbitre principal en signalant les fautes sur les lignes de touche, C) Encadrer les joueurs, D) Inspecter l'équipement</v>
      </c>
      <c r="J115" s="5" t="str">
        <f>IFERROR(__xludf.DUMMYFUNCTION("GOOGLETRANSLATE(D115, ""en"", ""fr"")"),"B) Assister l'arbitre principal en signalant les fautes sur les lignes de touche")</f>
        <v>B) Assister l'arbitre principal en signalant les fautes sur les lignes de touche</v>
      </c>
      <c r="K115" s="5" t="str">
        <f>IFERROR(__xludf.DUMMYFUNCTION("GOOGLETRANSLATE(E115, ""en"", ""fr"")"),"Les juges de ligne sont positionnés de manière à avoir une vue dégagée des lignes et sont chargés de signaler si une balle est « dedans » ou « dehors ».")</f>
        <v>Les juges de ligne sont positionnés de manière à avoir une vue dégagée des lignes et sont chargés de signaler si une balle est « dedans » ou « dehors ».</v>
      </c>
    </row>
    <row r="116" ht="22.5" customHeight="1">
      <c r="A116" s="3">
        <v>115.0</v>
      </c>
      <c r="B116" s="4" t="s">
        <v>703</v>
      </c>
      <c r="C116" s="4" t="s">
        <v>704</v>
      </c>
      <c r="D116" s="4" t="s">
        <v>705</v>
      </c>
      <c r="E116" s="4" t="s">
        <v>706</v>
      </c>
      <c r="G116" s="5" t="str">
        <f>IFERROR(__xludf.DUMMYFUNCTION("GOOGLETRANSLATE(A116, ""en"", ""fr"")"),"115")</f>
        <v>115</v>
      </c>
      <c r="H116" s="5" t="str">
        <f>IFERROR(__xludf.DUMMYFUNCTION("GOOGLETRANSLATE(B116, ""en"", ""fr"")"),"Un joueur frappe la balle, et celle-ci touche son propre coéquipier après avoir franchi la ligne médiane et avoir été renvoyée par ce dernier. Quelle est la décision arbitrale ?")</f>
        <v>Un joueur frappe la balle, et celle-ci touche son propre coéquipier après avoir franchi la ligne médiane et avoir été renvoyée par ce dernier. Quelle est la décision arbitrale ?</v>
      </c>
      <c r="I116" s="5" t="str">
        <f>IFERROR(__xludf.DUMMYFUNCTION("GOOGLETRANSLATE(C116, ""en"", ""fr"")"),"A) C'est une faute de la première équipe. B) C'est un point pour la première équipe, car la tentative de retour de l'adversaire a échoué. C) Le point est rejoué. D) C'est une faute de l'adversaire.")</f>
        <v>A) C'est une faute de la première équipe. B) C'est un point pour la première équipe, car la tentative de retour de l'adversaire a échoué. C) Le point est rejoué. D) C'est une faute de l'adversaire.</v>
      </c>
      <c r="J116" s="5" t="str">
        <f>IFERROR(__xludf.DUMMYFUNCTION("GOOGLETRANSLATE(D116, ""en"", ""fr"")"),"B) C'est un point pour la première équipe, car le retour de l'adversaire n'a pas abouti.")</f>
        <v>B) C'est un point pour la première équipe, car le retour de l'adversaire n'a pas abouti.</v>
      </c>
      <c r="K116" s="5" t="str">
        <f>IFERROR(__xludf.DUMMYFUNCTION("GOOGLETRANSLATE(E116, ""en"", ""fr"")"),"Si l'équipe adverse frappe la balle et que celle-ci touche ensuite un joueur de l'équipe adverse, l'équipe qui a frappé perd le point.")</f>
        <v>Si l'équipe adverse frappe la balle et que celle-ci touche ensuite un joueur de l'équipe adverse, l'équipe qui a frappé perd le point.</v>
      </c>
    </row>
    <row r="117" ht="22.5" customHeight="1">
      <c r="A117" s="3">
        <v>116.0</v>
      </c>
      <c r="B117" s="4" t="s">
        <v>707</v>
      </c>
      <c r="C117" s="4" t="s">
        <v>708</v>
      </c>
      <c r="D117" s="4" t="s">
        <v>709</v>
      </c>
      <c r="E117" s="4" t="s">
        <v>710</v>
      </c>
      <c r="G117" s="5" t="str">
        <f>IFERROR(__xludf.DUMMYFUNCTION("GOOGLETRANSLATE(A117, ""en"", ""fr"")"),"116")</f>
        <v>116</v>
      </c>
      <c r="H117" s="5" t="str">
        <f>IFERROR(__xludf.DUMMYFUNCTION("GOOGLETRANSLATE(B117, ""en"", ""fr"")"),"Qu'est-ce qu'un ""let"" ou une ""balle à remettre"" ?")</f>
        <v>Qu'est-ce qu'un "let" ou une "balle à remettre" ?</v>
      </c>
      <c r="I117" s="5" t="str">
        <f>IFERROR(__xludf.DUMMYFUNCTION("GOOGLETRANSLATE(C117, ""en"", ""fr"")"),"A) Une faute, B) Un point rejoué suite à une interférence imprévue, C) La fin d'un jeu, D) Un type de service")</f>
        <v>A) Une faute, B) Un point rejoué suite à une interférence imprévue, C) La fin d'un jeu, D) Un type de service</v>
      </c>
      <c r="J117" s="5" t="str">
        <f>IFERROR(__xludf.DUMMYFUNCTION("GOOGLETRANSLATE(D117, ""en"", ""fr"")"),"B) Un point rejoué en raison d'une interférence imprévue")</f>
        <v>B) Un point rejoué en raison d'une interférence imprévue</v>
      </c>
      <c r="K117" s="5" t="str">
        <f>IFERROR(__xludf.DUMMYFUNCTION("GOOGLETRANSLATE(E117, ""en"", ""fr"")"),"Un « let » est prononcé lorsqu'un événement extérieur (comme une balle perdue provenant d'un autre terrain) interrompt le point, qui est alors rejoué.")</f>
        <v>Un « let » est prononcé lorsqu'un événement extérieur (comme une balle perdue provenant d'un autre terrain) interrompt le point, qui est alors rejoué.</v>
      </c>
    </row>
    <row r="118" ht="22.5" customHeight="1">
      <c r="A118" s="3">
        <v>117.0</v>
      </c>
      <c r="B118" s="4" t="s">
        <v>711</v>
      </c>
      <c r="C118" s="4" t="s">
        <v>712</v>
      </c>
      <c r="D118" s="4" t="s">
        <v>713</v>
      </c>
      <c r="E118" s="4" t="s">
        <v>714</v>
      </c>
      <c r="G118" s="5" t="str">
        <f>IFERROR(__xludf.DUMMYFUNCTION("GOOGLETRANSLATE(A118, ""en"", ""fr"")"),"117")</f>
        <v>117</v>
      </c>
      <c r="H118" s="5" t="str">
        <f>IFERROR(__xludf.DUMMYFUNCTION("GOOGLETRANSLATE(B118, ""en"", ""fr"")"),"Un joueur sert du mauvais côté du terrain. Quelle est la décision ?")</f>
        <v>Un joueur sert du mauvais côté du terrain. Quelle est la décision ?</v>
      </c>
      <c r="I118" s="5" t="str">
        <f>IFERROR(__xludf.DUMMYFUNCTION("GOOGLETRANSLATE(C118, ""en"", ""fr"")"),"A) Le service est régulier, B) Une faute est signalée et le point est perdu, C) L'arbitre autorise un nouveau service du côté droit, D) Un avertissement est donné")</f>
        <v>A) Le service est régulier, B) Une faute est signalée et le point est perdu, C) L'arbitre autorise un nouveau service du côté droit, D) Un avertissement est donné</v>
      </c>
      <c r="J118" s="5" t="str">
        <f>IFERROR(__xludf.DUMMYFUNCTION("GOOGLETRANSLATE(D118, ""en"", ""fr"")"),"B) Un défaut est signalé et le point est perdu.")</f>
        <v>B) Un défaut est signalé et le point est perdu.</v>
      </c>
      <c r="K118" s="5" t="str">
        <f>IFERROR(__xludf.DUMMYFUNCTION("GOOGLETRANSLATE(E118, ""en"", ""fr"")"),"Le serveur doit effectuer le service depuis la position correcte, déterminée par le score. Servir du mauvais côté constitue une faute.")</f>
        <v>Le serveur doit effectuer le service depuis la position correcte, déterminée par le score. Servir du mauvais côté constitue une faute.</v>
      </c>
    </row>
    <row r="119" ht="22.5" customHeight="1">
      <c r="A119" s="3">
        <v>118.0</v>
      </c>
      <c r="B119" s="4" t="s">
        <v>715</v>
      </c>
      <c r="C119" s="4" t="s">
        <v>716</v>
      </c>
      <c r="D119" s="4" t="s">
        <v>717</v>
      </c>
      <c r="E119" s="4" t="s">
        <v>718</v>
      </c>
      <c r="G119" s="5" t="str">
        <f>IFERROR(__xludf.DUMMYFUNCTION("GOOGLETRANSLATE(A119, ""en"", ""fr"")"),"118")</f>
        <v>118</v>
      </c>
      <c r="H119" s="5" t="str">
        <f>IFERROR(__xludf.DUMMYFUNCTION("GOOGLETRANSLATE(B119, ""en"", ""fr"")"),"Quel est le nombre maximum de joueurs qu'une équipe peut inscrire sur sa liste pour un match ?")</f>
        <v>Quel est le nombre maximum de joueurs qu'une équipe peut inscrire sur sa liste pour un match ?</v>
      </c>
      <c r="I119" s="5" t="str">
        <f>IFERROR(__xludf.DUMMYFUNCTION("GOOGLETRANSLATE(C119, ""en"", ""fr"")"),"A) 5, B) 6, C) 8, D) 10")</f>
        <v>A) 5, B) 6, C) 8, D) 10</v>
      </c>
      <c r="J119" s="5" t="str">
        <f>IFERROR(__xludf.DUMMYFUNCTION("GOOGLETRANSLATE(D119, ""en"", ""fr"")"),"C) 8")</f>
        <v>C) 8</v>
      </c>
      <c r="K119" s="5" t="str">
        <f>IFERROR(__xludf.DUMMYFUNCTION("GOOGLETRANSLATE(E119, ""en"", ""fr"")"),"Une équipe est composée de 5 joueurs sur le terrain et jusqu'à 3 remplaçants, pour un total de 8 joueurs sur la feuille de match.")</f>
        <v>Une équipe est composée de 5 joueurs sur le terrain et jusqu'à 3 remplaçants, pour un total de 8 joueurs sur la feuille de match.</v>
      </c>
    </row>
    <row r="120" ht="22.5" customHeight="1">
      <c r="A120" s="3">
        <v>119.0</v>
      </c>
      <c r="B120" s="4" t="s">
        <v>719</v>
      </c>
      <c r="C120" s="4" t="s">
        <v>588</v>
      </c>
      <c r="D120" s="4" t="s">
        <v>589</v>
      </c>
      <c r="E120" s="4" t="s">
        <v>720</v>
      </c>
      <c r="G120" s="5" t="str">
        <f>IFERROR(__xludf.DUMMYFUNCTION("GOOGLETRANSLATE(A120, ""en"", ""fr"")"),"119")</f>
        <v>119</v>
      </c>
      <c r="H120" s="5" t="str">
        <f>IFERROR(__xludf.DUMMYFUNCTION("GOOGLETRANSLATE(B120, ""en"", ""fr"")"),"Un joueur est touché par une balle frappée par un adversaire, mais il se trouvait hors des limites du terrain. Qui remporte le point ?")</f>
        <v>Un joueur est touché par une balle frappée par un adversaire, mais il se trouvait hors des limites du terrain. Qui remporte le point ?</v>
      </c>
      <c r="I120" s="5" t="str">
        <f>IFERROR(__xludf.DUMMYFUNCTION("GOOGLETRANSLATE(C120, ""en"", ""fr"")"),"A) Le joueur qui a été touché (de son équipe), B) Le joueur qui a touché la balle (de son équipe), C) Le point est rejoué, D) Un « let » est annoncé")</f>
        <v>A) Le joueur qui a été touché (de son équipe), B) Le joueur qui a touché la balle (de son équipe), C) Le point est rejoué, D) Un « let » est annoncé</v>
      </c>
      <c r="J120" s="5" t="str">
        <f>IFERROR(__xludf.DUMMYFUNCTION("GOOGLETRANSLATE(D120, ""en"", ""fr"")"),"A) Le joueur qui a été touché (de son équipe)")</f>
        <v>A) Le joueur qui a été touché (de son équipe)</v>
      </c>
      <c r="K120" s="5" t="str">
        <f>IFERROR(__xludf.DUMMYFUNCTION("GOOGLETRANSLATE(E120, ""en"", ""fr"")"),"Si la balle touche un adversaire qui se trouve en dehors du terrain de jeu, l'équipe qui a frappé a envoyé la balle « hors du terrain » et perd donc le point.")</f>
        <v>Si la balle touche un adversaire qui se trouve en dehors du terrain de jeu, l'équipe qui a frappé a envoyé la balle « hors du terrain » et perd donc le point.</v>
      </c>
    </row>
    <row r="121" ht="22.5" customHeight="1">
      <c r="A121" s="3">
        <v>120.0</v>
      </c>
      <c r="B121" s="4" t="s">
        <v>721</v>
      </c>
      <c r="C121" s="4" t="s">
        <v>722</v>
      </c>
      <c r="D121" s="4" t="s">
        <v>723</v>
      </c>
      <c r="E121" s="4" t="s">
        <v>724</v>
      </c>
      <c r="G121" s="5" t="str">
        <f>IFERROR(__xludf.DUMMYFUNCTION("GOOGLETRANSLATE(A121, ""en"", ""fr"")"),"120")</f>
        <v>120</v>
      </c>
      <c r="H121" s="5" t="str">
        <f>IFERROR(__xludf.DUMMYFUNCTION("GOOGLETRANSLATE(B121, ""en"", ""fr"")"),"Le service est effectué. La balle atterrit dans le carré de service mais ne rebondit pas. Quelle est la décision arbitrale ?")</f>
        <v>Le service est effectué. La balle atterrit dans le carré de service mais ne rebondit pas. Quelle est la décision arbitrale ?</v>
      </c>
      <c r="I121" s="5" t="str">
        <f>IFERROR(__xludf.DUMMYFUNCTION("GOOGLETRANSLATE(C121, ""en"", ""fr"")"),"A) Le service est régulier. B) C'est une faute, car la balle est trop molle ou insuffisamment gonflée. C) Le serveur a droit à un deuxième service. D) La balle doit être remplacée.")</f>
        <v>A) Le service est régulier. B) C'est une faute, car la balle est trop molle ou insuffisamment gonflée. C) Le serveur a droit à un deuxième service. D) La balle doit être remplacée.</v>
      </c>
      <c r="J121" s="5" t="str">
        <f>IFERROR(__xludf.DUMMYFUNCTION("GOOGLETRANSLATE(D121, ""en"", ""fr"")"),"B) C'est un défaut, car la balle est trop molle ou sous-gonflée.")</f>
        <v>B) C'est un défaut, car la balle est trop molle ou sous-gonflée.</v>
      </c>
      <c r="K121" s="5" t="str">
        <f>IFERROR(__xludf.DUMMYFUNCTION("GOOGLETRANSLATE(E121, ""en"", ""fr"")"),"La balle doit être correctement gonflée et avoir un rebond normal. Une balle « morte » est une faute et est retirée du jeu.")</f>
        <v>La balle doit être correctement gonflée et avoir un rebond normal. Une balle « morte » est une faute et est retirée du jeu.</v>
      </c>
    </row>
    <row r="122" ht="22.5" customHeight="1">
      <c r="A122" s="3">
        <v>121.0</v>
      </c>
      <c r="B122" s="4" t="s">
        <v>725</v>
      </c>
      <c r="C122" s="4" t="s">
        <v>726</v>
      </c>
      <c r="D122" s="4" t="s">
        <v>727</v>
      </c>
      <c r="E122" s="4" t="s">
        <v>728</v>
      </c>
      <c r="G122" s="5" t="str">
        <f>IFERROR(__xludf.DUMMYFUNCTION("GOOGLETRANSLATE(A122, ""en"", ""fr"")"),"121")</f>
        <v>121</v>
      </c>
      <c r="H122" s="5" t="str">
        <f>IFERROR(__xludf.DUMMYFUNCTION("GOOGLETRANSLATE(B122, ""en"", ""fr"")"),"Un joueur est pénalisé pour un « service illégal ». Laquelle de ces raisons est valable ?")</f>
        <v>Un joueur est pénalisé pour un « service illégal ». Laquelle de ces raisons est valable ?</v>
      </c>
      <c r="I122" s="5" t="str">
        <f>IFERROR(__xludf.DUMMYFUNCTION("GOOGLETRANSLATE(C122, ""en"", ""fr"")"),"A) Le service était trop rapide. B) Le serveur a servi par en dessous. C) Le pied du serveur était sur la ligne de fond au moment de la frappe. D) Le service était dirigé vers un adversaire.")</f>
        <v>A) Le service était trop rapide. B) Le serveur a servi par en dessous. C) Le pied du serveur était sur la ligne de fond au moment de la frappe. D) Le service était dirigé vers un adversaire.</v>
      </c>
      <c r="J122" s="5" t="str">
        <f>IFERROR(__xludf.DUMMYFUNCTION("GOOGLETRANSLATE(D122, ""en"", ""fr"")"),"C) Le pied du serveur était sur la ligne de fond lorsqu'il a frappé la balle.")</f>
        <v>C) Le pied du serveur était sur la ligne de fond lorsqu'il a frappé la balle.</v>
      </c>
      <c r="K122" s="5" t="str">
        <f>IFERROR(__xludf.DUMMYFUNCTION("GOOGLETRANSLATE(E122, ""en"", ""fr"")"),"Une faute de pied est une erreur de service courante. Le serveur doit rester derrière la ligne de fond jusqu'à ce que la balle soit frappée.")</f>
        <v>Une faute de pied est une erreur de service courante. Le serveur doit rester derrière la ligne de fond jusqu'à ce que la balle soit frappée.</v>
      </c>
    </row>
    <row r="123" ht="22.5" customHeight="1">
      <c r="A123" s="3">
        <v>122.0</v>
      </c>
      <c r="B123" s="4" t="s">
        <v>729</v>
      </c>
      <c r="C123" s="4" t="s">
        <v>730</v>
      </c>
      <c r="D123" s="4" t="s">
        <v>731</v>
      </c>
      <c r="E123" s="4" t="s">
        <v>732</v>
      </c>
      <c r="G123" s="5" t="str">
        <f>IFERROR(__xludf.DUMMYFUNCTION("GOOGLETRANSLATE(A123, ""en"", ""fr"")"),"122")</f>
        <v>122</v>
      </c>
      <c r="H123" s="5" t="str">
        <f>IFERROR(__xludf.DUMMYFUNCTION("GOOGLETRANSLATE(B123, ""en"", ""fr"")"),"Quelle est la principale raison de la différence de règles entre les jeux d'intérieur et les jeux d'extérieur ?")</f>
        <v>Quelle est la principale raison de la différence de règles entre les jeux d'intérieur et les jeux d'extérieur ?</v>
      </c>
      <c r="I123" s="5" t="str">
        <f>IFERROR(__xludf.DUMMYFUNCTION("GOOGLETRANSLATE(C123, ""en"", ""fr"")"),"A) Le jeu en salle est plus ancien. B) La taille nettement plus réduite du terrain en salle nécessite des modifications pour que le jeu soit jouable. C) Le jeu en salle est réservé aux amateurs. D) Le jeu en salle utilise une balle plus lourde.")</f>
        <v>A) Le jeu en salle est plus ancien. B) La taille nettement plus réduite du terrain en salle nécessite des modifications pour que le jeu soit jouable. C) Le jeu en salle est réservé aux amateurs. D) Le jeu en salle utilise une balle plus lourde.</v>
      </c>
      <c r="J123" s="5" t="str">
        <f>IFERROR(__xludf.DUMMYFUNCTION("GOOGLETRANSLATE(D123, ""en"", ""fr"")"),"B) La taille considérablement réduite du terrain intérieur nécessite des modifications pour rendre le jeu jouable.")</f>
        <v>B) La taille considérablement réduite du terrain intérieur nécessite des modifications pour rendre le jeu jouable.</v>
      </c>
      <c r="K123" s="5" t="str">
        <f>IFERROR(__xludf.DUMMYFUNCTION("GOOGLETRANSLATE(E123, ""en"", ""fr"")"),"Les règles de la version en salle (3 joueurs, zone neutre, etc.) sont toutes des adaptations aux contraintes d'une surface de jeu plus petite.")</f>
        <v>Les règles de la version en salle (3 joueurs, zone neutre, etc.) sont toutes des adaptations aux contraintes d'une surface de jeu plus petite.</v>
      </c>
    </row>
    <row r="124" ht="22.5" customHeight="1">
      <c r="A124" s="3">
        <v>123.0</v>
      </c>
      <c r="B124" s="4" t="s">
        <v>733</v>
      </c>
      <c r="C124" s="4" t="s">
        <v>509</v>
      </c>
      <c r="D124" s="4" t="s">
        <v>510</v>
      </c>
      <c r="E124" s="4" t="s">
        <v>511</v>
      </c>
      <c r="G124" s="5" t="str">
        <f>IFERROR(__xludf.DUMMYFUNCTION("GOOGLETRANSLATE(A124, ""en"", ""fr"")"),"123")</f>
        <v>123</v>
      </c>
      <c r="H124" s="5" t="str">
        <f>IFERROR(__xludf.DUMMYFUNCTION("GOOGLETRANSLATE(B124, ""en"", ""fr"")"),"Une équipe mène 40-0 dans un match. Comment appelle-t-on cette situation ?")</f>
        <v>Une équipe mène 40-0 dans un match. Comment appelle-t-on cette situation ?</v>
      </c>
      <c r="I124" s="5" t="str">
        <f>IFERROR(__xludf.DUMMYFUNCTION("GOOGLETRANSLATE(C124, ""en"", ""fr"")"),"A) Avantage, B) Balle de set, C) Balle de triple jeu, D) Victoire sans appel")</f>
        <v>A) Avantage, B) Balle de set, C) Balle de triple jeu, D) Victoire sans appel</v>
      </c>
      <c r="J124" s="5" t="str">
        <f>IFERROR(__xludf.DUMMYFUNCTION("GOOGLETRANSLATE(D124, ""en"", ""fr"")"),"C) Point de match triple")</f>
        <v>C) Point de match triple</v>
      </c>
      <c r="K124" s="5" t="str">
        <f>IFERROR(__xludf.DUMMYFUNCTION("GOOGLETRANSLATE(E124, ""en"", ""fr"")"),"L'expression « triple point de match » désigne la situation où une équipe a trois occasions consécutives de remporter la partie en cours.")</f>
        <v>L'expression « triple point de match » désigne la situation où une équipe a trois occasions consécutives de remporter la partie en cours.</v>
      </c>
    </row>
    <row r="125" ht="22.5" customHeight="1">
      <c r="A125" s="3">
        <v>124.0</v>
      </c>
      <c r="B125" s="4" t="s">
        <v>699</v>
      </c>
      <c r="C125" s="4" t="s">
        <v>700</v>
      </c>
      <c r="D125" s="4" t="s">
        <v>701</v>
      </c>
      <c r="E125" s="4" t="s">
        <v>702</v>
      </c>
      <c r="G125" s="5" t="str">
        <f>IFERROR(__xludf.DUMMYFUNCTION("GOOGLETRANSLATE(A125, ""en"", ""fr"")"),"124")</f>
        <v>124</v>
      </c>
      <c r="H125" s="5" t="str">
        <f>IFERROR(__xludf.DUMMYFUNCTION("GOOGLETRANSLATE(B125, ""en"", ""fr"")"),"Quel est le rôle principal des juges de ligne ?")</f>
        <v>Quel est le rôle principal des juges de ligne ?</v>
      </c>
      <c r="I125" s="5" t="str">
        <f>IFERROR(__xludf.DUMMYFUNCTION("GOOGLETRANSLATE(C125, ""en"", ""fr"")"),"A) Tenir le score, B) Assister l'arbitre principal en signalant les fautes sur les lignes de touche, C) Encadrer les joueurs, D) Inspecter l'équipement")</f>
        <v>A) Tenir le score, B) Assister l'arbitre principal en signalant les fautes sur les lignes de touche, C) Encadrer les joueurs, D) Inspecter l'équipement</v>
      </c>
      <c r="J125" s="5" t="str">
        <f>IFERROR(__xludf.DUMMYFUNCTION("GOOGLETRANSLATE(D125, ""en"", ""fr"")"),"B) Assister l'arbitre principal en signalant les fautes sur les lignes de touche")</f>
        <v>B) Assister l'arbitre principal en signalant les fautes sur les lignes de touche</v>
      </c>
      <c r="K125" s="5" t="str">
        <f>IFERROR(__xludf.DUMMYFUNCTION("GOOGLETRANSLATE(E125, ""en"", ""fr"")"),"Les juges de ligne sont positionnés de manière à avoir une vue dégagée des lignes et sont chargés de signaler si une balle est « dedans » ou « dehors ».")</f>
        <v>Les juges de ligne sont positionnés de manière à avoir une vue dégagée des lignes et sont chargés de signaler si une balle est « dedans » ou « dehors ».</v>
      </c>
    </row>
    <row r="126" ht="22.5" customHeight="1">
      <c r="A126" s="3">
        <v>125.0</v>
      </c>
      <c r="B126" s="4" t="s">
        <v>703</v>
      </c>
      <c r="C126" s="4" t="s">
        <v>704</v>
      </c>
      <c r="D126" s="4" t="s">
        <v>705</v>
      </c>
      <c r="E126" s="4" t="s">
        <v>706</v>
      </c>
      <c r="G126" s="5" t="str">
        <f>IFERROR(__xludf.DUMMYFUNCTION("GOOGLETRANSLATE(A126, ""en"", ""fr"")"),"125")</f>
        <v>125</v>
      </c>
      <c r="H126" s="5" t="str">
        <f>IFERROR(__xludf.DUMMYFUNCTION("GOOGLETRANSLATE(B126, ""en"", ""fr"")"),"Un joueur frappe la balle, et celle-ci touche son propre coéquipier après avoir franchi la ligne médiane et avoir été renvoyée par ce dernier. Quelle est la décision arbitrale ?")</f>
        <v>Un joueur frappe la balle, et celle-ci touche son propre coéquipier après avoir franchi la ligne médiane et avoir été renvoyée par ce dernier. Quelle est la décision arbitrale ?</v>
      </c>
      <c r="I126" s="5" t="str">
        <f>IFERROR(__xludf.DUMMYFUNCTION("GOOGLETRANSLATE(C126, ""en"", ""fr"")"),"A) C'est une faute de la première équipe. B) C'est un point pour la première équipe, car la tentative de retour de l'adversaire a échoué. C) Le point est rejoué. D) C'est une faute de l'adversaire.")</f>
        <v>A) C'est une faute de la première équipe. B) C'est un point pour la première équipe, car la tentative de retour de l'adversaire a échoué. C) Le point est rejoué. D) C'est une faute de l'adversaire.</v>
      </c>
      <c r="J126" s="5" t="str">
        <f>IFERROR(__xludf.DUMMYFUNCTION("GOOGLETRANSLATE(D126, ""en"", ""fr"")"),"B) C'est un point pour la première équipe, car le retour de l'adversaire n'a pas abouti.")</f>
        <v>B) C'est un point pour la première équipe, car le retour de l'adversaire n'a pas abouti.</v>
      </c>
      <c r="K126" s="5" t="str">
        <f>IFERROR(__xludf.DUMMYFUNCTION("GOOGLETRANSLATE(E126, ""en"", ""fr"")"),"Si l'équipe adverse frappe la balle et que celle-ci touche ensuite un joueur de l'équipe adverse, l'équipe qui a frappé perd le point.")</f>
        <v>Si l'équipe adverse frappe la balle et que celle-ci touche ensuite un joueur de l'équipe adverse, l'équipe qui a frappé perd le point.</v>
      </c>
    </row>
    <row r="127" ht="22.5" customHeight="1">
      <c r="A127" s="3">
        <v>126.0</v>
      </c>
      <c r="B127" s="4" t="s">
        <v>707</v>
      </c>
      <c r="C127" s="4" t="s">
        <v>708</v>
      </c>
      <c r="D127" s="4" t="s">
        <v>709</v>
      </c>
      <c r="E127" s="4" t="s">
        <v>710</v>
      </c>
      <c r="G127" s="5" t="str">
        <f>IFERROR(__xludf.DUMMYFUNCTION("GOOGLETRANSLATE(A127, ""en"", ""fr"")"),"126")</f>
        <v>126</v>
      </c>
      <c r="H127" s="5" t="str">
        <f>IFERROR(__xludf.DUMMYFUNCTION("GOOGLETRANSLATE(B127, ""en"", ""fr"")"),"Qu'est-ce qu'un ""let"" ou une ""balle à remettre"" ?")</f>
        <v>Qu'est-ce qu'un "let" ou une "balle à remettre" ?</v>
      </c>
      <c r="I127" s="5" t="str">
        <f>IFERROR(__xludf.DUMMYFUNCTION("GOOGLETRANSLATE(C127, ""en"", ""fr"")"),"A) Une faute, B) Un point rejoué suite à une interférence imprévue, C) La fin d'un jeu, D) Un type de service")</f>
        <v>A) Une faute, B) Un point rejoué suite à une interférence imprévue, C) La fin d'un jeu, D) Un type de service</v>
      </c>
      <c r="J127" s="5" t="str">
        <f>IFERROR(__xludf.DUMMYFUNCTION("GOOGLETRANSLATE(D127, ""en"", ""fr"")"),"B) Un point rejoué en raison d'une interférence imprévue")</f>
        <v>B) Un point rejoué en raison d'une interférence imprévue</v>
      </c>
      <c r="K127" s="5" t="str">
        <f>IFERROR(__xludf.DUMMYFUNCTION("GOOGLETRANSLATE(E127, ""en"", ""fr"")"),"Un « let » est prononcé lorsqu'un événement extérieur (comme une balle perdue provenant d'un autre terrain) interrompt le point, qui est alors rejoué.")</f>
        <v>Un « let » est prononcé lorsqu'un événement extérieur (comme une balle perdue provenant d'un autre terrain) interrompt le point, qui est alors rejoué.</v>
      </c>
    </row>
    <row r="128" ht="22.5" customHeight="1">
      <c r="A128" s="3">
        <v>127.0</v>
      </c>
      <c r="B128" s="4" t="s">
        <v>711</v>
      </c>
      <c r="C128" s="4" t="s">
        <v>712</v>
      </c>
      <c r="D128" s="4" t="s">
        <v>713</v>
      </c>
      <c r="E128" s="4" t="s">
        <v>714</v>
      </c>
      <c r="G128" s="5" t="str">
        <f>IFERROR(__xludf.DUMMYFUNCTION("GOOGLETRANSLATE(A128, ""en"", ""fr"")"),"127")</f>
        <v>127</v>
      </c>
      <c r="H128" s="5" t="str">
        <f>IFERROR(__xludf.DUMMYFUNCTION("GOOGLETRANSLATE(B128, ""en"", ""fr"")"),"Un joueur sert du mauvais côté du terrain. Quelle est la décision ?")</f>
        <v>Un joueur sert du mauvais côté du terrain. Quelle est la décision ?</v>
      </c>
      <c r="I128" s="5" t="str">
        <f>IFERROR(__xludf.DUMMYFUNCTION("GOOGLETRANSLATE(C128, ""en"", ""fr"")"),"A) Le service est régulier, B) Une faute est signalée et le point est perdu, C) L'arbitre autorise un nouveau service du côté droit, D) Un avertissement est donné")</f>
        <v>A) Le service est régulier, B) Une faute est signalée et le point est perdu, C) L'arbitre autorise un nouveau service du côté droit, D) Un avertissement est donné</v>
      </c>
      <c r="J128" s="5" t="str">
        <f>IFERROR(__xludf.DUMMYFUNCTION("GOOGLETRANSLATE(D128, ""en"", ""fr"")"),"B) Un défaut est signalé et le point est perdu.")</f>
        <v>B) Un défaut est signalé et le point est perdu.</v>
      </c>
      <c r="K128" s="5" t="str">
        <f>IFERROR(__xludf.DUMMYFUNCTION("GOOGLETRANSLATE(E128, ""en"", ""fr"")"),"Le serveur doit effectuer le service depuis la position correcte, déterminée par le score. Servir du mauvais côté constitue une faute.")</f>
        <v>Le serveur doit effectuer le service depuis la position correcte, déterminée par le score. Servir du mauvais côté constitue une faute.</v>
      </c>
    </row>
    <row r="129" ht="22.5" customHeight="1">
      <c r="A129" s="3">
        <v>128.0</v>
      </c>
      <c r="B129" s="4" t="s">
        <v>715</v>
      </c>
      <c r="C129" s="4" t="s">
        <v>716</v>
      </c>
      <c r="D129" s="4" t="s">
        <v>717</v>
      </c>
      <c r="E129" s="4" t="s">
        <v>718</v>
      </c>
      <c r="G129" s="5" t="str">
        <f>IFERROR(__xludf.DUMMYFUNCTION("GOOGLETRANSLATE(A129, ""en"", ""fr"")"),"128")</f>
        <v>128</v>
      </c>
      <c r="H129" s="5" t="str">
        <f>IFERROR(__xludf.DUMMYFUNCTION("GOOGLETRANSLATE(B129, ""en"", ""fr"")"),"Quel est le nombre maximum de joueurs qu'une équipe peut inscrire sur sa liste pour un match ?")</f>
        <v>Quel est le nombre maximum de joueurs qu'une équipe peut inscrire sur sa liste pour un match ?</v>
      </c>
      <c r="I129" s="5" t="str">
        <f>IFERROR(__xludf.DUMMYFUNCTION("GOOGLETRANSLATE(C129, ""en"", ""fr"")"),"A) 5, B) 6, C) 8, D) 10")</f>
        <v>A) 5, B) 6, C) 8, D) 10</v>
      </c>
      <c r="J129" s="5" t="str">
        <f>IFERROR(__xludf.DUMMYFUNCTION("GOOGLETRANSLATE(D129, ""en"", ""fr"")"),"C) 8")</f>
        <v>C) 8</v>
      </c>
      <c r="K129" s="5" t="str">
        <f>IFERROR(__xludf.DUMMYFUNCTION("GOOGLETRANSLATE(E129, ""en"", ""fr"")"),"Une équipe est composée de 5 joueurs sur le terrain et jusqu'à 3 remplaçants, pour un total de 8 joueurs sur la feuille de match.")</f>
        <v>Une équipe est composée de 5 joueurs sur le terrain et jusqu'à 3 remplaçants, pour un total de 8 joueurs sur la feuille de match.</v>
      </c>
    </row>
    <row r="130" ht="22.5" customHeight="1">
      <c r="A130" s="3">
        <v>129.0</v>
      </c>
      <c r="B130" s="4" t="s">
        <v>719</v>
      </c>
      <c r="C130" s="4" t="s">
        <v>588</v>
      </c>
      <c r="D130" s="4" t="s">
        <v>589</v>
      </c>
      <c r="E130" s="4" t="s">
        <v>720</v>
      </c>
      <c r="G130" s="5" t="str">
        <f>IFERROR(__xludf.DUMMYFUNCTION("GOOGLETRANSLATE(A130, ""en"", ""fr"")"),"129")</f>
        <v>129</v>
      </c>
      <c r="H130" s="5" t="str">
        <f>IFERROR(__xludf.DUMMYFUNCTION("GOOGLETRANSLATE(B130, ""en"", ""fr"")"),"Un joueur est touché par une balle frappée par un adversaire, mais il se trouvait hors des limites du terrain. Qui remporte le point ?")</f>
        <v>Un joueur est touché par une balle frappée par un adversaire, mais il se trouvait hors des limites du terrain. Qui remporte le point ?</v>
      </c>
      <c r="I130" s="5" t="str">
        <f>IFERROR(__xludf.DUMMYFUNCTION("GOOGLETRANSLATE(C130, ""en"", ""fr"")"),"A) Le joueur qui a été touché (de son équipe), B) Le joueur qui a touché la balle (de son équipe), C) Le point est rejoué, D) Un « let » est annoncé")</f>
        <v>A) Le joueur qui a été touché (de son équipe), B) Le joueur qui a touché la balle (de son équipe), C) Le point est rejoué, D) Un « let » est annoncé</v>
      </c>
      <c r="J130" s="5" t="str">
        <f>IFERROR(__xludf.DUMMYFUNCTION("GOOGLETRANSLATE(D130, ""en"", ""fr"")"),"A) Le joueur qui a été touché (de son équipe)")</f>
        <v>A) Le joueur qui a été touché (de son équipe)</v>
      </c>
      <c r="K130" s="5" t="str">
        <f>IFERROR(__xludf.DUMMYFUNCTION("GOOGLETRANSLATE(E130, ""en"", ""fr"")"),"Si la balle touche un adversaire qui se trouve en dehors du terrain de jeu, l'équipe qui a frappé a envoyé la balle « hors du terrain » et perd donc le point.")</f>
        <v>Si la balle touche un adversaire qui se trouve en dehors du terrain de jeu, l'équipe qui a frappé a envoyé la balle « hors du terrain » et perd donc le point.</v>
      </c>
    </row>
    <row r="131" ht="22.5" customHeight="1">
      <c r="A131" s="3">
        <v>130.0</v>
      </c>
      <c r="B131" s="4" t="s">
        <v>721</v>
      </c>
      <c r="C131" s="4" t="s">
        <v>722</v>
      </c>
      <c r="D131" s="4" t="s">
        <v>723</v>
      </c>
      <c r="E131" s="4" t="s">
        <v>724</v>
      </c>
      <c r="G131" s="5" t="str">
        <f>IFERROR(__xludf.DUMMYFUNCTION("GOOGLETRANSLATE(A131, ""en"", ""fr"")"),"130")</f>
        <v>130</v>
      </c>
      <c r="H131" s="5" t="str">
        <f>IFERROR(__xludf.DUMMYFUNCTION("GOOGLETRANSLATE(B131, ""en"", ""fr"")"),"Le service est effectué. La balle atterrit dans le carré de service mais ne rebondit pas. Quelle est la décision arbitrale ?")</f>
        <v>Le service est effectué. La balle atterrit dans le carré de service mais ne rebondit pas. Quelle est la décision arbitrale ?</v>
      </c>
      <c r="I131" s="5" t="str">
        <f>IFERROR(__xludf.DUMMYFUNCTION("GOOGLETRANSLATE(C131, ""en"", ""fr"")"),"A) Le service est régulier. B) C'est une faute, car la balle est trop molle ou insuffisamment gonflée. C) Le serveur a droit à un deuxième service. D) La balle doit être remplacée.")</f>
        <v>A) Le service est régulier. B) C'est une faute, car la balle est trop molle ou insuffisamment gonflée. C) Le serveur a droit à un deuxième service. D) La balle doit être remplacée.</v>
      </c>
      <c r="J131" s="5" t="str">
        <f>IFERROR(__xludf.DUMMYFUNCTION("GOOGLETRANSLATE(D131, ""en"", ""fr"")"),"B) C'est un défaut, car la balle est trop molle ou sous-gonflée.")</f>
        <v>B) C'est un défaut, car la balle est trop molle ou sous-gonflée.</v>
      </c>
      <c r="K131" s="5" t="str">
        <f>IFERROR(__xludf.DUMMYFUNCTION("GOOGLETRANSLATE(E131, ""en"", ""fr"")"),"La balle doit être correctement gonflée et avoir un rebond normal. Une balle « morte » est une faute et est retirée du jeu.")</f>
        <v>La balle doit être correctement gonflée et avoir un rebond normal. Une balle « morte » est une faute et est retirée du jeu.</v>
      </c>
    </row>
    <row r="132" ht="22.5" customHeight="1">
      <c r="A132" s="3">
        <v>131.0</v>
      </c>
      <c r="B132" s="4" t="s">
        <v>725</v>
      </c>
      <c r="C132" s="4" t="s">
        <v>726</v>
      </c>
      <c r="D132" s="4" t="s">
        <v>727</v>
      </c>
      <c r="E132" s="4" t="s">
        <v>728</v>
      </c>
      <c r="G132" s="5" t="str">
        <f>IFERROR(__xludf.DUMMYFUNCTION("GOOGLETRANSLATE(A132, ""en"", ""fr"")"),"131")</f>
        <v>131</v>
      </c>
      <c r="H132" s="5" t="str">
        <f>IFERROR(__xludf.DUMMYFUNCTION("GOOGLETRANSLATE(B132, ""en"", ""fr"")"),"Un joueur est pénalisé pour un « service illégal ». Laquelle de ces raisons est valable ?")</f>
        <v>Un joueur est pénalisé pour un « service illégal ». Laquelle de ces raisons est valable ?</v>
      </c>
      <c r="I132" s="5" t="str">
        <f>IFERROR(__xludf.DUMMYFUNCTION("GOOGLETRANSLATE(C132, ""en"", ""fr"")"),"A) Le service était trop rapide. B) Le serveur a servi par en dessous. C) Le pied du serveur était sur la ligne de fond au moment de la frappe. D) Le service était dirigé vers un adversaire.")</f>
        <v>A) Le service était trop rapide. B) Le serveur a servi par en dessous. C) Le pied du serveur était sur la ligne de fond au moment de la frappe. D) Le service était dirigé vers un adversaire.</v>
      </c>
      <c r="J132" s="5" t="str">
        <f>IFERROR(__xludf.DUMMYFUNCTION("GOOGLETRANSLATE(D132, ""en"", ""fr"")"),"C) Le pied du serveur était sur la ligne de fond lorsqu'il a frappé la balle.")</f>
        <v>C) Le pied du serveur était sur la ligne de fond lorsqu'il a frappé la balle.</v>
      </c>
      <c r="K132" s="5" t="str">
        <f>IFERROR(__xludf.DUMMYFUNCTION("GOOGLETRANSLATE(E132, ""en"", ""fr"")"),"Une faute de pied est une erreur de service courante. Le serveur doit rester derrière la ligne de fond jusqu'à ce que la balle soit frappée.")</f>
        <v>Une faute de pied est une erreur de service courante. Le serveur doit rester derrière la ligne de fond jusqu'à ce que la balle soit frappée.</v>
      </c>
    </row>
    <row r="133" ht="22.5" customHeight="1">
      <c r="A133" s="3">
        <v>132.0</v>
      </c>
      <c r="B133" s="4" t="s">
        <v>729</v>
      </c>
      <c r="C133" s="4" t="s">
        <v>730</v>
      </c>
      <c r="D133" s="4" t="s">
        <v>731</v>
      </c>
      <c r="E133" s="4" t="s">
        <v>732</v>
      </c>
      <c r="G133" s="5" t="str">
        <f>IFERROR(__xludf.DUMMYFUNCTION("GOOGLETRANSLATE(A133, ""en"", ""fr"")"),"132")</f>
        <v>132</v>
      </c>
      <c r="H133" s="5" t="str">
        <f>IFERROR(__xludf.DUMMYFUNCTION("GOOGLETRANSLATE(B133, ""en"", ""fr"")"),"Quelle est la principale raison de la différence de règles entre les jeux d'intérieur et les jeux d'extérieur ?")</f>
        <v>Quelle est la principale raison de la différence de règles entre les jeux d'intérieur et les jeux d'extérieur ?</v>
      </c>
      <c r="I133" s="5" t="str">
        <f>IFERROR(__xludf.DUMMYFUNCTION("GOOGLETRANSLATE(C133, ""en"", ""fr"")"),"A) Le jeu en salle est plus ancien. B) La taille nettement plus réduite du terrain en salle nécessite des modifications pour que le jeu soit jouable. C) Le jeu en salle est réservé aux amateurs. D) Le jeu en salle utilise une balle plus lourde.")</f>
        <v>A) Le jeu en salle est plus ancien. B) La taille nettement plus réduite du terrain en salle nécessite des modifications pour que le jeu soit jouable. C) Le jeu en salle est réservé aux amateurs. D) Le jeu en salle utilise une balle plus lourde.</v>
      </c>
      <c r="J133" s="5" t="str">
        <f>IFERROR(__xludf.DUMMYFUNCTION("GOOGLETRANSLATE(D133, ""en"", ""fr"")"),"B) La taille considérablement réduite du terrain intérieur nécessite des modifications pour rendre le jeu jouable.")</f>
        <v>B) La taille considérablement réduite du terrain intérieur nécessite des modifications pour rendre le jeu jouable.</v>
      </c>
      <c r="K133" s="5" t="str">
        <f>IFERROR(__xludf.DUMMYFUNCTION("GOOGLETRANSLATE(E133, ""en"", ""fr"")"),"Les règles de la version en salle (3 joueurs, zone neutre, etc.) sont toutes des adaptations aux contraintes d'une surface de jeu plus petite.")</f>
        <v>Les règles de la version en salle (3 joueurs, zone neutre, etc.) sont toutes des adaptations aux contraintes d'une surface de jeu plus petite.</v>
      </c>
    </row>
    <row r="134" ht="22.5" customHeight="1">
      <c r="A134" s="3">
        <v>133.0</v>
      </c>
      <c r="B134" s="4" t="s">
        <v>733</v>
      </c>
      <c r="C134" s="4" t="s">
        <v>509</v>
      </c>
      <c r="D134" s="4" t="s">
        <v>510</v>
      </c>
      <c r="E134" s="4" t="s">
        <v>511</v>
      </c>
      <c r="G134" s="5" t="str">
        <f>IFERROR(__xludf.DUMMYFUNCTION("GOOGLETRANSLATE(A134, ""en"", ""fr"")"),"133")</f>
        <v>133</v>
      </c>
      <c r="H134" s="5" t="str">
        <f>IFERROR(__xludf.DUMMYFUNCTION("GOOGLETRANSLATE(B134, ""en"", ""fr"")"),"Une équipe mène 40-0 dans un match. Comment appelle-t-on cette situation ?")</f>
        <v>Une équipe mène 40-0 dans un match. Comment appelle-t-on cette situation ?</v>
      </c>
      <c r="I134" s="5" t="str">
        <f>IFERROR(__xludf.DUMMYFUNCTION("GOOGLETRANSLATE(C134, ""en"", ""fr"")"),"A) Avantage, B) Balle de set, C) Balle de triple jeu, D) Victoire sans appel")</f>
        <v>A) Avantage, B) Balle de set, C) Balle de triple jeu, D) Victoire sans appel</v>
      </c>
      <c r="J134" s="5" t="str">
        <f>IFERROR(__xludf.DUMMYFUNCTION("GOOGLETRANSLATE(D134, ""en"", ""fr"")"),"C) Point de match triple")</f>
        <v>C) Point de match triple</v>
      </c>
      <c r="K134" s="5" t="str">
        <f>IFERROR(__xludf.DUMMYFUNCTION("GOOGLETRANSLATE(E134, ""en"", ""fr"")"),"L'expression « triple point de match » désigne la situation où une équipe a trois occasions consécutives de remporter la partie en cours.")</f>
        <v>L'expression « triple point de match » désigne la situation où une équipe a trois occasions consécutives de remporter la partie en cours.</v>
      </c>
    </row>
    <row r="135" ht="22.5" customHeight="1">
      <c r="A135" s="3">
        <v>134.0</v>
      </c>
      <c r="B135" s="4" t="s">
        <v>699</v>
      </c>
      <c r="C135" s="4" t="s">
        <v>700</v>
      </c>
      <c r="D135" s="4" t="s">
        <v>701</v>
      </c>
      <c r="E135" s="4" t="s">
        <v>702</v>
      </c>
      <c r="G135" s="5" t="str">
        <f>IFERROR(__xludf.DUMMYFUNCTION("GOOGLETRANSLATE(A135, ""en"", ""fr"")"),"134")</f>
        <v>134</v>
      </c>
      <c r="H135" s="5" t="str">
        <f>IFERROR(__xludf.DUMMYFUNCTION("GOOGLETRANSLATE(B135, ""en"", ""fr"")"),"Quel est le rôle principal des juges de ligne ?")</f>
        <v>Quel est le rôle principal des juges de ligne ?</v>
      </c>
      <c r="I135" s="5" t="str">
        <f>IFERROR(__xludf.DUMMYFUNCTION("GOOGLETRANSLATE(C135, ""en"", ""fr"")"),"A) Tenir le score, B) Assister l'arbitre principal en signalant les fautes sur les lignes de touche, C) Encadrer les joueurs, D) Inspecter l'équipement")</f>
        <v>A) Tenir le score, B) Assister l'arbitre principal en signalant les fautes sur les lignes de touche, C) Encadrer les joueurs, D) Inspecter l'équipement</v>
      </c>
      <c r="J135" s="5" t="str">
        <f>IFERROR(__xludf.DUMMYFUNCTION("GOOGLETRANSLATE(D135, ""en"", ""fr"")"),"B) Assister l'arbitre principal en signalant les fautes sur les lignes de touche")</f>
        <v>B) Assister l'arbitre principal en signalant les fautes sur les lignes de touche</v>
      </c>
      <c r="K135" s="5" t="str">
        <f>IFERROR(__xludf.DUMMYFUNCTION("GOOGLETRANSLATE(E135, ""en"", ""fr"")"),"Les juges de ligne sont positionnés de manière à avoir une vue dégagée des lignes et sont chargés de signaler si une balle est « dedans » ou « dehors ».")</f>
        <v>Les juges de ligne sont positionnés de manière à avoir une vue dégagée des lignes et sont chargés de signaler si une balle est « dedans » ou « dehors ».</v>
      </c>
    </row>
    <row r="136" ht="22.5" customHeight="1">
      <c r="A136" s="3">
        <v>135.0</v>
      </c>
      <c r="B136" s="4" t="s">
        <v>703</v>
      </c>
      <c r="C136" s="4" t="s">
        <v>704</v>
      </c>
      <c r="D136" s="4" t="s">
        <v>705</v>
      </c>
      <c r="E136" s="4" t="s">
        <v>706</v>
      </c>
      <c r="G136" s="5" t="str">
        <f>IFERROR(__xludf.DUMMYFUNCTION("GOOGLETRANSLATE(A136, ""en"", ""fr"")"),"135")</f>
        <v>135</v>
      </c>
      <c r="H136" s="5" t="str">
        <f>IFERROR(__xludf.DUMMYFUNCTION("GOOGLETRANSLATE(B136, ""en"", ""fr"")"),"Un joueur frappe la balle, et celle-ci touche son propre coéquipier après avoir franchi la ligne médiane et avoir été renvoyée par ce dernier. Quelle est la décision arbitrale ?")</f>
        <v>Un joueur frappe la balle, et celle-ci touche son propre coéquipier après avoir franchi la ligne médiane et avoir été renvoyée par ce dernier. Quelle est la décision arbitrale ?</v>
      </c>
      <c r="I136" s="5" t="str">
        <f>IFERROR(__xludf.DUMMYFUNCTION("GOOGLETRANSLATE(C136, ""en"", ""fr"")"),"A) C'est une faute de la première équipe. B) C'est un point pour la première équipe, car la tentative de retour de l'adversaire a échoué. C) Le point est rejoué. D) C'est une faute de l'adversaire.")</f>
        <v>A) C'est une faute de la première équipe. B) C'est un point pour la première équipe, car la tentative de retour de l'adversaire a échoué. C) Le point est rejoué. D) C'est une faute de l'adversaire.</v>
      </c>
      <c r="J136" s="5" t="str">
        <f>IFERROR(__xludf.DUMMYFUNCTION("GOOGLETRANSLATE(D136, ""en"", ""fr"")"),"B) C'est un point pour la première équipe, car le retour de l'adversaire n'a pas abouti.")</f>
        <v>B) C'est un point pour la première équipe, car le retour de l'adversaire n'a pas abouti.</v>
      </c>
      <c r="K136" s="5" t="str">
        <f>IFERROR(__xludf.DUMMYFUNCTION("GOOGLETRANSLATE(E136, ""en"", ""fr"")"),"Si l'équipe adverse frappe la balle et que celle-ci touche ensuite un joueur de l'équipe adverse, l'équipe qui a frappé perd le point.")</f>
        <v>Si l'équipe adverse frappe la balle et que celle-ci touche ensuite un joueur de l'équipe adverse, l'équipe qui a frappé perd le point.</v>
      </c>
    </row>
    <row r="137" ht="22.5" customHeight="1">
      <c r="A137" s="3">
        <v>136.0</v>
      </c>
      <c r="B137" s="4" t="s">
        <v>707</v>
      </c>
      <c r="C137" s="4" t="s">
        <v>708</v>
      </c>
      <c r="D137" s="4" t="s">
        <v>709</v>
      </c>
      <c r="E137" s="4" t="s">
        <v>710</v>
      </c>
      <c r="G137" s="5" t="str">
        <f>IFERROR(__xludf.DUMMYFUNCTION("GOOGLETRANSLATE(A137, ""en"", ""fr"")"),"136")</f>
        <v>136</v>
      </c>
      <c r="H137" s="5" t="str">
        <f>IFERROR(__xludf.DUMMYFUNCTION("GOOGLETRANSLATE(B137, ""en"", ""fr"")"),"Qu'est-ce qu'un ""let"" ou une ""balle à remettre"" ?")</f>
        <v>Qu'est-ce qu'un "let" ou une "balle à remettre" ?</v>
      </c>
      <c r="I137" s="5" t="str">
        <f>IFERROR(__xludf.DUMMYFUNCTION("GOOGLETRANSLATE(C137, ""en"", ""fr"")"),"A) Une faute, B) Un point rejoué suite à une interférence imprévue, C) La fin d'un jeu, D) Un type de service")</f>
        <v>A) Une faute, B) Un point rejoué suite à une interférence imprévue, C) La fin d'un jeu, D) Un type de service</v>
      </c>
      <c r="J137" s="5" t="str">
        <f>IFERROR(__xludf.DUMMYFUNCTION("GOOGLETRANSLATE(D137, ""en"", ""fr"")"),"B) Un point rejoué en raison d'une interférence imprévue")</f>
        <v>B) Un point rejoué en raison d'une interférence imprévue</v>
      </c>
      <c r="K137" s="5" t="str">
        <f>IFERROR(__xludf.DUMMYFUNCTION("GOOGLETRANSLATE(E137, ""en"", ""fr"")"),"Un « let » est prononcé lorsqu'un événement extérieur (comme une balle perdue provenant d'un autre terrain) interrompt le point, qui est alors rejoué.")</f>
        <v>Un « let » est prononcé lorsqu'un événement extérieur (comme une balle perdue provenant d'un autre terrain) interrompt le point, qui est alors rejoué.</v>
      </c>
    </row>
    <row r="138" ht="22.5" customHeight="1">
      <c r="A138" s="3">
        <v>137.0</v>
      </c>
      <c r="B138" s="4" t="s">
        <v>711</v>
      </c>
      <c r="C138" s="4" t="s">
        <v>712</v>
      </c>
      <c r="D138" s="4" t="s">
        <v>713</v>
      </c>
      <c r="E138" s="4" t="s">
        <v>714</v>
      </c>
      <c r="G138" s="5" t="str">
        <f>IFERROR(__xludf.DUMMYFUNCTION("GOOGLETRANSLATE(A138, ""en"", ""fr"")"),"137")</f>
        <v>137</v>
      </c>
      <c r="H138" s="5" t="str">
        <f>IFERROR(__xludf.DUMMYFUNCTION("GOOGLETRANSLATE(B138, ""en"", ""fr"")"),"Un joueur sert du mauvais côté du terrain. Quelle est la décision ?")</f>
        <v>Un joueur sert du mauvais côté du terrain. Quelle est la décision ?</v>
      </c>
      <c r="I138" s="5" t="str">
        <f>IFERROR(__xludf.DUMMYFUNCTION("GOOGLETRANSLATE(C138, ""en"", ""fr"")"),"A) Le service est régulier, B) Une faute est signalée et le point est perdu, C) L'arbitre autorise un nouveau service du côté droit, D) Un avertissement est donné")</f>
        <v>A) Le service est régulier, B) Une faute est signalée et le point est perdu, C) L'arbitre autorise un nouveau service du côté droit, D) Un avertissement est donné</v>
      </c>
      <c r="J138" s="5" t="str">
        <f>IFERROR(__xludf.DUMMYFUNCTION("GOOGLETRANSLATE(D138, ""en"", ""fr"")"),"B) Un défaut est signalé et le point est perdu.")</f>
        <v>B) Un défaut est signalé et le point est perdu.</v>
      </c>
      <c r="K138" s="5" t="str">
        <f>IFERROR(__xludf.DUMMYFUNCTION("GOOGLETRANSLATE(E138, ""en"", ""fr"")"),"Le serveur doit effectuer le service depuis la position correcte, déterminée par le score. Servir du mauvais côté constitue une faute.")</f>
        <v>Le serveur doit effectuer le service depuis la position correcte, déterminée par le score. Servir du mauvais côté constitue une faute.</v>
      </c>
    </row>
    <row r="139" ht="22.5" customHeight="1">
      <c r="A139" s="3">
        <v>138.0</v>
      </c>
      <c r="B139" s="4" t="s">
        <v>715</v>
      </c>
      <c r="C139" s="4" t="s">
        <v>716</v>
      </c>
      <c r="D139" s="4" t="s">
        <v>717</v>
      </c>
      <c r="E139" s="4" t="s">
        <v>718</v>
      </c>
      <c r="G139" s="5" t="str">
        <f>IFERROR(__xludf.DUMMYFUNCTION("GOOGLETRANSLATE(A139, ""en"", ""fr"")"),"138")</f>
        <v>138</v>
      </c>
      <c r="H139" s="5" t="str">
        <f>IFERROR(__xludf.DUMMYFUNCTION("GOOGLETRANSLATE(B139, ""en"", ""fr"")"),"Quel est le nombre maximum de joueurs qu'une équipe peut inscrire sur sa liste pour un match ?")</f>
        <v>Quel est le nombre maximum de joueurs qu'une équipe peut inscrire sur sa liste pour un match ?</v>
      </c>
      <c r="I139" s="5" t="str">
        <f>IFERROR(__xludf.DUMMYFUNCTION("GOOGLETRANSLATE(C139, ""en"", ""fr"")"),"A) 5, B) 6, C) 8, D) 10")</f>
        <v>A) 5, B) 6, C) 8, D) 10</v>
      </c>
      <c r="J139" s="5" t="str">
        <f>IFERROR(__xludf.DUMMYFUNCTION("GOOGLETRANSLATE(D139, ""en"", ""fr"")"),"C) 8")</f>
        <v>C) 8</v>
      </c>
      <c r="K139" s="5" t="str">
        <f>IFERROR(__xludf.DUMMYFUNCTION("GOOGLETRANSLATE(E139, ""en"", ""fr"")"),"Une équipe est composée de 5 joueurs sur le terrain et jusqu'à 3 remplaçants, pour un total de 8 joueurs sur la feuille de match.")</f>
        <v>Une équipe est composée de 5 joueurs sur le terrain et jusqu'à 3 remplaçants, pour un total de 8 joueurs sur la feuille de match.</v>
      </c>
    </row>
    <row r="140" ht="22.5" customHeight="1">
      <c r="A140" s="3">
        <v>139.0</v>
      </c>
      <c r="B140" s="4" t="s">
        <v>719</v>
      </c>
      <c r="C140" s="4" t="s">
        <v>588</v>
      </c>
      <c r="D140" s="4" t="s">
        <v>589</v>
      </c>
      <c r="E140" s="4" t="s">
        <v>720</v>
      </c>
      <c r="G140" s="5" t="str">
        <f>IFERROR(__xludf.DUMMYFUNCTION("GOOGLETRANSLATE(A140, ""en"", ""fr"")"),"139")</f>
        <v>139</v>
      </c>
      <c r="H140" s="5" t="str">
        <f>IFERROR(__xludf.DUMMYFUNCTION("GOOGLETRANSLATE(B140, ""en"", ""fr"")"),"Un joueur est touché par une balle frappée par un adversaire, mais il se trouvait hors des limites du terrain. Qui remporte le point ?")</f>
        <v>Un joueur est touché par une balle frappée par un adversaire, mais il se trouvait hors des limites du terrain. Qui remporte le point ?</v>
      </c>
      <c r="I140" s="5" t="str">
        <f>IFERROR(__xludf.DUMMYFUNCTION("GOOGLETRANSLATE(C140, ""en"", ""fr"")"),"A) Le joueur qui a été touché (de son équipe), B) Le joueur qui a touché la balle (de son équipe), C) Le point est rejoué, D) Un « let » est annoncé")</f>
        <v>A) Le joueur qui a été touché (de son équipe), B) Le joueur qui a touché la balle (de son équipe), C) Le point est rejoué, D) Un « let » est annoncé</v>
      </c>
      <c r="J140" s="5" t="str">
        <f>IFERROR(__xludf.DUMMYFUNCTION("GOOGLETRANSLATE(D140, ""en"", ""fr"")"),"A) Le joueur qui a été touché (de son équipe)")</f>
        <v>A) Le joueur qui a été touché (de son équipe)</v>
      </c>
      <c r="K140" s="5" t="str">
        <f>IFERROR(__xludf.DUMMYFUNCTION("GOOGLETRANSLATE(E140, ""en"", ""fr"")"),"Si la balle touche un adversaire qui se trouve en dehors du terrain de jeu, l'équipe qui a frappé a envoyé la balle « hors du terrain » et perd donc le point.")</f>
        <v>Si la balle touche un adversaire qui se trouve en dehors du terrain de jeu, l'équipe qui a frappé a envoyé la balle « hors du terrain » et perd donc le point.</v>
      </c>
    </row>
    <row r="141" ht="22.5" customHeight="1">
      <c r="A141" s="3">
        <v>140.0</v>
      </c>
      <c r="B141" s="4" t="s">
        <v>721</v>
      </c>
      <c r="C141" s="4" t="s">
        <v>722</v>
      </c>
      <c r="D141" s="4" t="s">
        <v>723</v>
      </c>
      <c r="E141" s="4" t="s">
        <v>724</v>
      </c>
      <c r="G141" s="5" t="str">
        <f>IFERROR(__xludf.DUMMYFUNCTION("GOOGLETRANSLATE(A141, ""en"", ""fr"")"),"140")</f>
        <v>140</v>
      </c>
      <c r="H141" s="5" t="str">
        <f>IFERROR(__xludf.DUMMYFUNCTION("GOOGLETRANSLATE(B141, ""en"", ""fr"")"),"Le service est effectué. La balle atterrit dans le carré de service mais ne rebondit pas. Quelle est la décision arbitrale ?")</f>
        <v>Le service est effectué. La balle atterrit dans le carré de service mais ne rebondit pas. Quelle est la décision arbitrale ?</v>
      </c>
      <c r="I141" s="5" t="str">
        <f>IFERROR(__xludf.DUMMYFUNCTION("GOOGLETRANSLATE(C141, ""en"", ""fr"")"),"A) Le service est régulier. B) C'est une faute, car la balle est trop molle ou insuffisamment gonflée. C) Le serveur a droit à un deuxième service. D) La balle doit être remplacée.")</f>
        <v>A) Le service est régulier. B) C'est une faute, car la balle est trop molle ou insuffisamment gonflée. C) Le serveur a droit à un deuxième service. D) La balle doit être remplacée.</v>
      </c>
      <c r="J141" s="5" t="str">
        <f>IFERROR(__xludf.DUMMYFUNCTION("GOOGLETRANSLATE(D141, ""en"", ""fr"")"),"B) C'est un défaut, car la balle est trop molle ou sous-gonflée.")</f>
        <v>B) C'est un défaut, car la balle est trop molle ou sous-gonflée.</v>
      </c>
      <c r="K141" s="5" t="str">
        <f>IFERROR(__xludf.DUMMYFUNCTION("GOOGLETRANSLATE(E141, ""en"", ""fr"")"),"La balle doit être correctement gonflée et avoir un rebond normal. Une balle « morte » est une faute et est retirée du jeu.")</f>
        <v>La balle doit être correctement gonflée et avoir un rebond normal. Une balle « morte » est une faute et est retirée du jeu.</v>
      </c>
    </row>
    <row r="142" ht="22.5" customHeight="1">
      <c r="A142" s="3">
        <v>141.0</v>
      </c>
      <c r="B142" s="4" t="s">
        <v>725</v>
      </c>
      <c r="C142" s="4" t="s">
        <v>726</v>
      </c>
      <c r="D142" s="4" t="s">
        <v>727</v>
      </c>
      <c r="E142" s="4" t="s">
        <v>728</v>
      </c>
      <c r="G142" s="5" t="str">
        <f>IFERROR(__xludf.DUMMYFUNCTION("GOOGLETRANSLATE(A142, ""en"", ""fr"")"),"141")</f>
        <v>141</v>
      </c>
      <c r="H142" s="5" t="str">
        <f>IFERROR(__xludf.DUMMYFUNCTION("GOOGLETRANSLATE(B142, ""en"", ""fr"")"),"Un joueur est pénalisé pour un « service illégal ». Laquelle de ces raisons est valable ?")</f>
        <v>Un joueur est pénalisé pour un « service illégal ». Laquelle de ces raisons est valable ?</v>
      </c>
      <c r="I142" s="5" t="str">
        <f>IFERROR(__xludf.DUMMYFUNCTION("GOOGLETRANSLATE(C142, ""en"", ""fr"")"),"A) Le service était trop rapide. B) Le serveur a servi par en dessous. C) Le pied du serveur était sur la ligne de fond au moment de la frappe. D) Le service était dirigé vers un adversaire.")</f>
        <v>A) Le service était trop rapide. B) Le serveur a servi par en dessous. C) Le pied du serveur était sur la ligne de fond au moment de la frappe. D) Le service était dirigé vers un adversaire.</v>
      </c>
      <c r="J142" s="5" t="str">
        <f>IFERROR(__xludf.DUMMYFUNCTION("GOOGLETRANSLATE(D142, ""en"", ""fr"")"),"C) Le pied du serveur était sur la ligne de fond lorsqu'il a frappé la balle.")</f>
        <v>C) Le pied du serveur était sur la ligne de fond lorsqu'il a frappé la balle.</v>
      </c>
      <c r="K142" s="5" t="str">
        <f>IFERROR(__xludf.DUMMYFUNCTION("GOOGLETRANSLATE(E142, ""en"", ""fr"")"),"Une faute de pied est une erreur de service courante. Le serveur doit rester derrière la ligne de fond jusqu'à ce que la balle soit frappée.")</f>
        <v>Une faute de pied est une erreur de service courante. Le serveur doit rester derrière la ligne de fond jusqu'à ce que la balle soit frappée.</v>
      </c>
    </row>
    <row r="143" ht="22.5" customHeight="1">
      <c r="A143" s="3">
        <v>142.0</v>
      </c>
      <c r="B143" s="4" t="s">
        <v>729</v>
      </c>
      <c r="C143" s="4" t="s">
        <v>730</v>
      </c>
      <c r="D143" s="4" t="s">
        <v>731</v>
      </c>
      <c r="E143" s="4" t="s">
        <v>732</v>
      </c>
      <c r="G143" s="5" t="str">
        <f>IFERROR(__xludf.DUMMYFUNCTION("GOOGLETRANSLATE(A143, ""en"", ""fr"")"),"142")</f>
        <v>142</v>
      </c>
      <c r="H143" s="5" t="str">
        <f>IFERROR(__xludf.DUMMYFUNCTION("GOOGLETRANSLATE(B143, ""en"", ""fr"")"),"Quelle est la principale raison de la différence de règles entre les jeux d'intérieur et les jeux d'extérieur ?")</f>
        <v>Quelle est la principale raison de la différence de règles entre les jeux d'intérieur et les jeux d'extérieur ?</v>
      </c>
      <c r="I143" s="5" t="str">
        <f>IFERROR(__xludf.DUMMYFUNCTION("GOOGLETRANSLATE(C143, ""en"", ""fr"")"),"A) Le jeu en salle est plus ancien. B) La taille nettement plus réduite du terrain en salle nécessite des modifications pour que le jeu soit jouable. C) Le jeu en salle est réservé aux amateurs. D) Le jeu en salle utilise une balle plus lourde.")</f>
        <v>A) Le jeu en salle est plus ancien. B) La taille nettement plus réduite du terrain en salle nécessite des modifications pour que le jeu soit jouable. C) Le jeu en salle est réservé aux amateurs. D) Le jeu en salle utilise une balle plus lourde.</v>
      </c>
      <c r="J143" s="5" t="str">
        <f>IFERROR(__xludf.DUMMYFUNCTION("GOOGLETRANSLATE(D143, ""en"", ""fr"")"),"B) La taille considérablement réduite du terrain intérieur nécessite des modifications pour rendre le jeu jouable.")</f>
        <v>B) La taille considérablement réduite du terrain intérieur nécessite des modifications pour rendre le jeu jouable.</v>
      </c>
      <c r="K143" s="5" t="str">
        <f>IFERROR(__xludf.DUMMYFUNCTION("GOOGLETRANSLATE(E143, ""en"", ""fr"")"),"Les règles de la version en salle (3 joueurs, zone neutre, etc.) sont toutes des adaptations aux contraintes d'une surface de jeu plus petite.")</f>
        <v>Les règles de la version en salle (3 joueurs, zone neutre, etc.) sont toutes des adaptations aux contraintes d'une surface de jeu plus petite.</v>
      </c>
    </row>
    <row r="144" ht="22.5" customHeight="1">
      <c r="A144" s="3">
        <v>143.0</v>
      </c>
      <c r="B144" s="4" t="s">
        <v>733</v>
      </c>
      <c r="C144" s="4" t="s">
        <v>509</v>
      </c>
      <c r="D144" s="4" t="s">
        <v>510</v>
      </c>
      <c r="E144" s="4" t="s">
        <v>511</v>
      </c>
      <c r="G144" s="5" t="str">
        <f>IFERROR(__xludf.DUMMYFUNCTION("GOOGLETRANSLATE(A144, ""en"", ""fr"")"),"143")</f>
        <v>143</v>
      </c>
      <c r="H144" s="5" t="str">
        <f>IFERROR(__xludf.DUMMYFUNCTION("GOOGLETRANSLATE(B144, ""en"", ""fr"")"),"Une équipe mène 40-0 dans un match. Comment appelle-t-on cette situation ?")</f>
        <v>Une équipe mène 40-0 dans un match. Comment appelle-t-on cette situation ?</v>
      </c>
      <c r="I144" s="5" t="str">
        <f>IFERROR(__xludf.DUMMYFUNCTION("GOOGLETRANSLATE(C144, ""en"", ""fr"")"),"A) Avantage, B) Balle de set, C) Balle de triple jeu, D) Victoire sans appel")</f>
        <v>A) Avantage, B) Balle de set, C) Balle de triple jeu, D) Victoire sans appel</v>
      </c>
      <c r="J144" s="5" t="str">
        <f>IFERROR(__xludf.DUMMYFUNCTION("GOOGLETRANSLATE(D144, ""en"", ""fr"")"),"C) Point de match triple")</f>
        <v>C) Point de match triple</v>
      </c>
      <c r="K144" s="5" t="str">
        <f>IFERROR(__xludf.DUMMYFUNCTION("GOOGLETRANSLATE(E144, ""en"", ""fr"")"),"L'expression « triple point de match » désigne la situation où une équipe a trois occasions consécutives de remporter la partie en cours.")</f>
        <v>L'expression « triple point de match » désigne la situation où une équipe a trois occasions consécutives de remporter la partie en cours.</v>
      </c>
    </row>
    <row r="145" ht="22.5" customHeight="1">
      <c r="A145" s="3">
        <v>144.0</v>
      </c>
      <c r="B145" s="4" t="s">
        <v>699</v>
      </c>
      <c r="C145" s="4" t="s">
        <v>700</v>
      </c>
      <c r="D145" s="4" t="s">
        <v>701</v>
      </c>
      <c r="E145" s="4" t="s">
        <v>702</v>
      </c>
      <c r="G145" s="5" t="str">
        <f>IFERROR(__xludf.DUMMYFUNCTION("GOOGLETRANSLATE(A145, ""en"", ""fr"")"),"144")</f>
        <v>144</v>
      </c>
      <c r="H145" s="5" t="str">
        <f>IFERROR(__xludf.DUMMYFUNCTION("GOOGLETRANSLATE(B145, ""en"", ""fr"")"),"Quel est le rôle principal des juges de ligne ?")</f>
        <v>Quel est le rôle principal des juges de ligne ?</v>
      </c>
      <c r="I145" s="5" t="str">
        <f>IFERROR(__xludf.DUMMYFUNCTION("GOOGLETRANSLATE(C145, ""en"", ""fr"")"),"A) Tenir le score, B) Assister l'arbitre principal en signalant les fautes sur les lignes de touche, C) Encadrer les joueurs, D) Inspecter l'équipement")</f>
        <v>A) Tenir le score, B) Assister l'arbitre principal en signalant les fautes sur les lignes de touche, C) Encadrer les joueurs, D) Inspecter l'équipement</v>
      </c>
      <c r="J145" s="5" t="str">
        <f>IFERROR(__xludf.DUMMYFUNCTION("GOOGLETRANSLATE(D145, ""en"", ""fr"")"),"B) Assister l'arbitre principal en signalant les fautes sur les lignes de touche")</f>
        <v>B) Assister l'arbitre principal en signalant les fautes sur les lignes de touche</v>
      </c>
      <c r="K145" s="5" t="str">
        <f>IFERROR(__xludf.DUMMYFUNCTION("GOOGLETRANSLATE(E145, ""en"", ""fr"")"),"Les juges de ligne sont positionnés de manière à avoir une vue dégagée des lignes et sont chargés de signaler si une balle est « dedans » ou « dehors ».")</f>
        <v>Les juges de ligne sont positionnés de manière à avoir une vue dégagée des lignes et sont chargés de signaler si une balle est « dedans » ou « dehors ».</v>
      </c>
    </row>
    <row r="146" ht="22.5" customHeight="1">
      <c r="A146" s="3">
        <v>145.0</v>
      </c>
      <c r="B146" s="4" t="s">
        <v>703</v>
      </c>
      <c r="C146" s="4" t="s">
        <v>704</v>
      </c>
      <c r="D146" s="4" t="s">
        <v>705</v>
      </c>
      <c r="E146" s="4" t="s">
        <v>706</v>
      </c>
      <c r="G146" s="5" t="str">
        <f>IFERROR(__xludf.DUMMYFUNCTION("GOOGLETRANSLATE(A146, ""en"", ""fr"")"),"145")</f>
        <v>145</v>
      </c>
      <c r="H146" s="5" t="str">
        <f>IFERROR(__xludf.DUMMYFUNCTION("GOOGLETRANSLATE(B146, ""en"", ""fr"")"),"Un joueur frappe la balle, et celle-ci touche son propre coéquipier après avoir franchi la ligne médiane et avoir été renvoyée par ce dernier. Quelle est la décision arbitrale ?")</f>
        <v>Un joueur frappe la balle, et celle-ci touche son propre coéquipier après avoir franchi la ligne médiane et avoir été renvoyée par ce dernier. Quelle est la décision arbitrale ?</v>
      </c>
      <c r="I146" s="5" t="str">
        <f>IFERROR(__xludf.DUMMYFUNCTION("GOOGLETRANSLATE(C146, ""en"", ""fr"")"),"A) C'est une faute de la première équipe. B) C'est un point pour la première équipe, car la tentative de retour de l'adversaire a échoué. C) Le point est rejoué. D) C'est une faute de l'adversaire.")</f>
        <v>A) C'est une faute de la première équipe. B) C'est un point pour la première équipe, car la tentative de retour de l'adversaire a échoué. C) Le point est rejoué. D) C'est une faute de l'adversaire.</v>
      </c>
      <c r="J146" s="5" t="str">
        <f>IFERROR(__xludf.DUMMYFUNCTION("GOOGLETRANSLATE(D146, ""en"", ""fr"")"),"B) C'est un point pour la première équipe, car le retour de l'adversaire n'a pas abouti.")</f>
        <v>B) C'est un point pour la première équipe, car le retour de l'adversaire n'a pas abouti.</v>
      </c>
      <c r="K146" s="5" t="str">
        <f>IFERROR(__xludf.DUMMYFUNCTION("GOOGLETRANSLATE(E146, ""en"", ""fr"")"),"Si l'équipe adverse frappe la balle et que celle-ci touche ensuite un joueur de l'équipe adverse, l'équipe qui a frappé perd le point.")</f>
        <v>Si l'équipe adverse frappe la balle et que celle-ci touche ensuite un joueur de l'équipe adverse, l'équipe qui a frappé perd le point.</v>
      </c>
    </row>
    <row r="147" ht="22.5" customHeight="1">
      <c r="A147" s="3">
        <v>146.0</v>
      </c>
      <c r="B147" s="4" t="s">
        <v>707</v>
      </c>
      <c r="C147" s="4" t="s">
        <v>708</v>
      </c>
      <c r="D147" s="4" t="s">
        <v>709</v>
      </c>
      <c r="E147" s="4" t="s">
        <v>710</v>
      </c>
      <c r="G147" s="5" t="str">
        <f>IFERROR(__xludf.DUMMYFUNCTION("GOOGLETRANSLATE(A147, ""en"", ""fr"")"),"146")</f>
        <v>146</v>
      </c>
      <c r="H147" s="5" t="str">
        <f>IFERROR(__xludf.DUMMYFUNCTION("GOOGLETRANSLATE(B147, ""en"", ""fr"")"),"Qu'est-ce qu'un ""let"" ou une ""balle à remettre"" ?")</f>
        <v>Qu'est-ce qu'un "let" ou une "balle à remettre" ?</v>
      </c>
      <c r="I147" s="5" t="str">
        <f>IFERROR(__xludf.DUMMYFUNCTION("GOOGLETRANSLATE(C147, ""en"", ""fr"")"),"A) Une faute, B) Un point rejoué suite à une interférence imprévue, C) La fin d'un jeu, D) Un type de service")</f>
        <v>A) Une faute, B) Un point rejoué suite à une interférence imprévue, C) La fin d'un jeu, D) Un type de service</v>
      </c>
      <c r="J147" s="5" t="str">
        <f>IFERROR(__xludf.DUMMYFUNCTION("GOOGLETRANSLATE(D147, ""en"", ""fr"")"),"B) Un point rejoué en raison d'une interférence imprévue")</f>
        <v>B) Un point rejoué en raison d'une interférence imprévue</v>
      </c>
      <c r="K147" s="5" t="str">
        <f>IFERROR(__xludf.DUMMYFUNCTION("GOOGLETRANSLATE(E147, ""en"", ""fr"")"),"Un « let » est prononcé lorsqu'un événement extérieur (comme une balle perdue provenant d'un autre terrain) interrompt le point, qui est alors rejoué.")</f>
        <v>Un « let » est prononcé lorsqu'un événement extérieur (comme une balle perdue provenant d'un autre terrain) interrompt le point, qui est alors rejoué.</v>
      </c>
    </row>
    <row r="148" ht="22.5" customHeight="1">
      <c r="A148" s="3">
        <v>147.0</v>
      </c>
      <c r="B148" s="4" t="s">
        <v>711</v>
      </c>
      <c r="C148" s="4" t="s">
        <v>712</v>
      </c>
      <c r="D148" s="4" t="s">
        <v>713</v>
      </c>
      <c r="E148" s="4" t="s">
        <v>714</v>
      </c>
      <c r="G148" s="5" t="str">
        <f>IFERROR(__xludf.DUMMYFUNCTION("GOOGLETRANSLATE(A148, ""en"", ""fr"")"),"147")</f>
        <v>147</v>
      </c>
      <c r="H148" s="5" t="str">
        <f>IFERROR(__xludf.DUMMYFUNCTION("GOOGLETRANSLATE(B148, ""en"", ""fr"")"),"Un joueur sert du mauvais côté du terrain. Quelle est la décision ?")</f>
        <v>Un joueur sert du mauvais côté du terrain. Quelle est la décision ?</v>
      </c>
      <c r="I148" s="5" t="str">
        <f>IFERROR(__xludf.DUMMYFUNCTION("GOOGLETRANSLATE(C148, ""en"", ""fr"")"),"A) Le service est régulier, B) Une faute est signalée et le point est perdu, C) L'arbitre autorise un nouveau service du côté droit, D) Un avertissement est donné")</f>
        <v>A) Le service est régulier, B) Une faute est signalée et le point est perdu, C) L'arbitre autorise un nouveau service du côté droit, D) Un avertissement est donné</v>
      </c>
      <c r="J148" s="5" t="str">
        <f>IFERROR(__xludf.DUMMYFUNCTION("GOOGLETRANSLATE(D148, ""en"", ""fr"")"),"B) Un défaut est signalé et le point est perdu.")</f>
        <v>B) Un défaut est signalé et le point est perdu.</v>
      </c>
      <c r="K148" s="5" t="str">
        <f>IFERROR(__xludf.DUMMYFUNCTION("GOOGLETRANSLATE(E148, ""en"", ""fr"")"),"Le serveur doit effectuer le service depuis la position correcte, déterminée par le score. Servir du mauvais côté constitue une faute.")</f>
        <v>Le serveur doit effectuer le service depuis la position correcte, déterminée par le score. Servir du mauvais côté constitue une faute.</v>
      </c>
    </row>
    <row r="149" ht="22.5" customHeight="1">
      <c r="A149" s="3">
        <v>148.0</v>
      </c>
      <c r="B149" s="4" t="s">
        <v>715</v>
      </c>
      <c r="C149" s="4" t="s">
        <v>716</v>
      </c>
      <c r="D149" s="4" t="s">
        <v>717</v>
      </c>
      <c r="E149" s="4" t="s">
        <v>718</v>
      </c>
      <c r="G149" s="5" t="str">
        <f>IFERROR(__xludf.DUMMYFUNCTION("GOOGLETRANSLATE(A149, ""en"", ""fr"")"),"148")</f>
        <v>148</v>
      </c>
      <c r="H149" s="5" t="str">
        <f>IFERROR(__xludf.DUMMYFUNCTION("GOOGLETRANSLATE(B149, ""en"", ""fr"")"),"Quel est le nombre maximum de joueurs qu'une équipe peut inscrire sur sa liste pour un match ?")</f>
        <v>Quel est le nombre maximum de joueurs qu'une équipe peut inscrire sur sa liste pour un match ?</v>
      </c>
      <c r="I149" s="5" t="str">
        <f>IFERROR(__xludf.DUMMYFUNCTION("GOOGLETRANSLATE(C149, ""en"", ""fr"")"),"A) 5, B) 6, C) 8, D) 10")</f>
        <v>A) 5, B) 6, C) 8, D) 10</v>
      </c>
      <c r="J149" s="5" t="str">
        <f>IFERROR(__xludf.DUMMYFUNCTION("GOOGLETRANSLATE(D149, ""en"", ""fr"")"),"C) 8")</f>
        <v>C) 8</v>
      </c>
      <c r="K149" s="5" t="str">
        <f>IFERROR(__xludf.DUMMYFUNCTION("GOOGLETRANSLATE(E149, ""en"", ""fr"")"),"Une équipe est composée de 5 joueurs sur le terrain et jusqu'à 3 remplaçants, pour un total de 8 joueurs sur la feuille de match.")</f>
        <v>Une équipe est composée de 5 joueurs sur le terrain et jusqu'à 3 remplaçants, pour un total de 8 joueurs sur la feuille de match.</v>
      </c>
    </row>
    <row r="150" ht="22.5" customHeight="1">
      <c r="A150" s="3">
        <v>149.0</v>
      </c>
      <c r="B150" s="4" t="s">
        <v>719</v>
      </c>
      <c r="C150" s="4" t="s">
        <v>588</v>
      </c>
      <c r="D150" s="4" t="s">
        <v>589</v>
      </c>
      <c r="E150" s="4" t="s">
        <v>720</v>
      </c>
      <c r="G150" s="5" t="str">
        <f>IFERROR(__xludf.DUMMYFUNCTION("GOOGLETRANSLATE(A150, ""en"", ""fr"")"),"149")</f>
        <v>149</v>
      </c>
      <c r="H150" s="5" t="str">
        <f>IFERROR(__xludf.DUMMYFUNCTION("GOOGLETRANSLATE(B150, ""en"", ""fr"")"),"Un joueur est touché par une balle frappée par un adversaire, mais il se trouvait hors des limites du terrain. Qui remporte le point ?")</f>
        <v>Un joueur est touché par une balle frappée par un adversaire, mais il se trouvait hors des limites du terrain. Qui remporte le point ?</v>
      </c>
      <c r="I150" s="5" t="str">
        <f>IFERROR(__xludf.DUMMYFUNCTION("GOOGLETRANSLATE(C150, ""en"", ""fr"")"),"A) Le joueur qui a été touché (de son équipe), B) Le joueur qui a touché la balle (de son équipe), C) Le point est rejoué, D) Un « let » est annoncé")</f>
        <v>A) Le joueur qui a été touché (de son équipe), B) Le joueur qui a touché la balle (de son équipe), C) Le point est rejoué, D) Un « let » est annoncé</v>
      </c>
      <c r="J150" s="5" t="str">
        <f>IFERROR(__xludf.DUMMYFUNCTION("GOOGLETRANSLATE(D150, ""en"", ""fr"")"),"A) Le joueur qui a été touché (de son équipe)")</f>
        <v>A) Le joueur qui a été touché (de son équipe)</v>
      </c>
      <c r="K150" s="5" t="str">
        <f>IFERROR(__xludf.DUMMYFUNCTION("GOOGLETRANSLATE(E150, ""en"", ""fr"")"),"Si la balle touche un adversaire qui se trouve en dehors du terrain de jeu, l'équipe qui a frappé a envoyé la balle « hors du terrain » et perd donc le point.")</f>
        <v>Si la balle touche un adversaire qui se trouve en dehors du terrain de jeu, l'équipe qui a frappé a envoyé la balle « hors du terrain » et perd donc le point.</v>
      </c>
    </row>
    <row r="151" ht="22.5" customHeight="1">
      <c r="A151" s="3">
        <v>150.0</v>
      </c>
      <c r="B151" s="4" t="s">
        <v>721</v>
      </c>
      <c r="C151" s="4" t="s">
        <v>722</v>
      </c>
      <c r="D151" s="4" t="s">
        <v>723</v>
      </c>
      <c r="E151" s="4" t="s">
        <v>724</v>
      </c>
      <c r="G151" s="5" t="str">
        <f>IFERROR(__xludf.DUMMYFUNCTION("GOOGLETRANSLATE(A151, ""en"", ""fr"")"),"150")</f>
        <v>150</v>
      </c>
      <c r="H151" s="5" t="str">
        <f>IFERROR(__xludf.DUMMYFUNCTION("GOOGLETRANSLATE(B151, ""en"", ""fr"")"),"Le service est effectué. La balle atterrit dans le carré de service mais ne rebondit pas. Quelle est la décision arbitrale ?")</f>
        <v>Le service est effectué. La balle atterrit dans le carré de service mais ne rebondit pas. Quelle est la décision arbitrale ?</v>
      </c>
      <c r="I151" s="5" t="str">
        <f>IFERROR(__xludf.DUMMYFUNCTION("GOOGLETRANSLATE(C151, ""en"", ""fr"")"),"A) Le service est régulier. B) C'est une faute, car la balle est trop molle ou insuffisamment gonflée. C) Le serveur a droit à un deuxième service. D) La balle doit être remplacée.")</f>
        <v>A) Le service est régulier. B) C'est une faute, car la balle est trop molle ou insuffisamment gonflée. C) Le serveur a droit à un deuxième service. D) La balle doit être remplacée.</v>
      </c>
      <c r="J151" s="5" t="str">
        <f>IFERROR(__xludf.DUMMYFUNCTION("GOOGLETRANSLATE(D151, ""en"", ""fr"")"),"B) C'est un défaut, car la balle est trop molle ou sous-gonflée.")</f>
        <v>B) C'est un défaut, car la balle est trop molle ou sous-gonflée.</v>
      </c>
      <c r="K151" s="5" t="str">
        <f>IFERROR(__xludf.DUMMYFUNCTION("GOOGLETRANSLATE(E151, ""en"", ""fr"")"),"La balle doit être correctement gonflée et avoir un rebond normal. Une balle « morte » est une faute et est retirée du jeu.")</f>
        <v>La balle doit être correctement gonflée et avoir un rebond normal. Une balle « morte » est une faute et est retirée du jeu.</v>
      </c>
    </row>
  </sheetData>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5" width="37.63"/>
    <col customWidth="1" min="7" max="7" width="14.13"/>
    <col customWidth="1" min="8" max="11" width="37.63"/>
  </cols>
  <sheetData>
    <row r="1" ht="22.5" customHeight="1">
      <c r="A1" s="1" t="s">
        <v>0</v>
      </c>
      <c r="B1" s="1" t="s">
        <v>1</v>
      </c>
      <c r="C1" s="1" t="s">
        <v>2</v>
      </c>
      <c r="D1" s="1" t="s">
        <v>3</v>
      </c>
      <c r="E1" s="1" t="s">
        <v>4</v>
      </c>
      <c r="G1" s="2" t="s">
        <v>5</v>
      </c>
      <c r="H1" s="2" t="s">
        <v>6</v>
      </c>
      <c r="I1" s="2" t="s">
        <v>7</v>
      </c>
      <c r="J1" s="2" t="s">
        <v>8</v>
      </c>
      <c r="K1" s="2" t="s">
        <v>4</v>
      </c>
    </row>
    <row r="2" ht="22.5" customHeight="1">
      <c r="A2" s="3">
        <v>1.0</v>
      </c>
      <c r="B2" s="4" t="s">
        <v>743</v>
      </c>
      <c r="C2" s="4" t="s">
        <v>744</v>
      </c>
      <c r="D2" s="4" t="s">
        <v>745</v>
      </c>
      <c r="E2" s="4" t="s">
        <v>746</v>
      </c>
      <c r="G2" s="5" t="str">
        <f>IFERROR(__xludf.DUMMYFUNCTION("GOOGLETRANSLATE(A2, ""en"", ""fr"")"),"1")</f>
        <v>1</v>
      </c>
      <c r="H2" s="5" t="str">
        <f>IFERROR(__xludf.DUMMYFUNCTION("GOOGLETRANSLATE(B2, ""en"", ""fr"")"),"Au cours d'un match de pelote basque, un joueur sert la balle. Celle-ci touche le mur frontal (frontis) mais rebondit ensuite sur le sol avant la ligne de service courte (falta). Quelle est la règle ?")</f>
        <v>Au cours d'un match de pelote basque, un joueur sert la balle. Celle-ci touche le mur frontal (frontis) mais rebondit ensuite sur le sol avant la ligne de service courte (falta). Quelle est la règle ?</v>
      </c>
      <c r="I2" s="5" t="str">
        <f>IFERROR(__xludf.DUMMYFUNCTION("GOOGLETRANSLATE(C2, ""en"", ""fr"")"),"A) Service régulier, B) Service court et faute, C) Point rejoué, D) L'adversaire marque deux points")</f>
        <v>A) Service régulier, B) Service court et faute, C) Point rejoué, D) L'adversaire marque deux points</v>
      </c>
      <c r="J2" s="5" t="str">
        <f>IFERROR(__xludf.DUMMYFUNCTION("GOOGLETRANSLATE(D2, ""en"", ""fr"")"),"B) C'est un service court et une faute.")</f>
        <v>B) C'est un service court et une faute.</v>
      </c>
      <c r="K2" s="5" t="str">
        <f>IFERROR(__xludf.DUMMYFUNCTION("GOOGLETRANSLATE(E2, ""en"", ""fr"")"),"Le service doit toucher le mur frontal puis rebondir à l'intérieur de la zone de service désignée, qui se trouve au-delà de la ligne de falta.")</f>
        <v>Le service doit toucher le mur frontal puis rebondir à l'intérieur de la zone de service désignée, qui se trouve au-delà de la ligne de falta.</v>
      </c>
    </row>
    <row r="3" ht="22.5" customHeight="1">
      <c r="A3" s="3">
        <v>2.0</v>
      </c>
      <c r="B3" s="4" t="s">
        <v>747</v>
      </c>
      <c r="C3" s="4" t="s">
        <v>748</v>
      </c>
      <c r="D3" s="4" t="s">
        <v>749</v>
      </c>
      <c r="E3" s="4" t="s">
        <v>750</v>
      </c>
      <c r="G3" s="5" t="str">
        <f>IFERROR(__xludf.DUMMYFUNCTION("GOOGLETRANSLATE(A3, ""en"", ""fr"")"),"2")</f>
        <v>2</v>
      </c>
      <c r="H3" s="5" t="str">
        <f>IFERROR(__xludf.DUMMYFUNCTION("GOOGLETRANSLATE(B3, ""en"", ""fr"")"),"Lors d'un échange au jai alai (cesta punta), un joueur attrape la balle dans sa chistera mais la conserve pendant deux secondes avant de la lancer. Quelle est la décision de l'arbitre ?")</f>
        <v>Lors d'un échange au jai alai (cesta punta), un joueur attrape la balle dans sa chistera mais la conserve pendant deux secondes avant de la lancer. Quelle est la décision de l'arbitre ?</v>
      </c>
      <c r="I3" s="5" t="str">
        <f>IFERROR(__xludf.DUMMYFUNCTION("GOOGLETRANSLATE(C3, ""en"", ""fr"")"),"A) C'est un geste légal et habile, B) C'est une faute pour avoir retenu la balle (atxiki), C) Le joueur reçoit un avertissement, D) Le point est rejoué")</f>
        <v>A) C'est un geste légal et habile, B) C'est une faute pour avoir retenu la balle (atxiki), C) Le joueur reçoit un avertissement, D) Le point est rejoué</v>
      </c>
      <c r="J3" s="5" t="str">
        <f>IFERROR(__xludf.DUMMYFUNCTION("GOOGLETRANSLATE(D3, ""en"", ""fr"")"),"B) C'est une faute pour avoir retenu le ballon (atxiki)")</f>
        <v>B) C'est une faute pour avoir retenu le ballon (atxiki)</v>
      </c>
      <c r="K3" s="5" t="str">
        <f>IFERROR(__xludf.DUMMYFUNCTION("GOOGLETRANSLATE(E3, ""en"", ""fr"")"),"Le règlement exige que la balle soit attrapée et lancée d'un seul mouvement fluide et continu. Il est interdit de tenir ou de jongler avec la balle dans la chistera.")</f>
        <v>Le règlement exige que la balle soit attrapée et lancée d'un seul mouvement fluide et continu. Il est interdit de tenir ou de jongler avec la balle dans la chistera.</v>
      </c>
    </row>
    <row r="4" ht="22.5" customHeight="1">
      <c r="A4" s="3">
        <v>3.0</v>
      </c>
      <c r="B4" s="4" t="s">
        <v>751</v>
      </c>
      <c r="C4" s="4" t="s">
        <v>752</v>
      </c>
      <c r="D4" s="4" t="s">
        <v>753</v>
      </c>
      <c r="E4" s="4" t="s">
        <v>754</v>
      </c>
      <c r="G4" s="5" t="str">
        <f>IFERROR(__xludf.DUMMYFUNCTION("GOOGLETRANSLATE(A4, ""en"", ""fr"")"),"3")</f>
        <v>3</v>
      </c>
      <c r="H4" s="5" t="str">
        <f>IFERROR(__xludf.DUMMYFUNCTION("GOOGLETRANSLATE(B4, ""en"", ""fr"")"),"Un joueur renvoie la balle, et celle-ci heurte la bande métallique basse (chapa) située au bas du mur frontal. Quel est le résultat ?")</f>
        <v>Un joueur renvoie la balle, et celle-ci heurte la bande métallique basse (chapa) située au bas du mur frontal. Quel est le résultat ?</v>
      </c>
      <c r="I4" s="5" t="str">
        <f>IFERROR(__xludf.DUMMYFUNCTION("GOOGLETRANSLATE(C4, ""en"", ""fr"")"),"A) C'est un coup gagnant, B) Le point est rejoué, C) C'est une faute, et le joueur qui l'a commise perd le point, D) C'est un let")</f>
        <v>A) C'est un coup gagnant, B) Le point est rejoué, C) C'est une faute, et le joueur qui l'a commise perd le point, D) C'est un let</v>
      </c>
      <c r="J4" s="5" t="str">
        <f>IFERROR(__xludf.DUMMYFUNCTION("GOOGLETRANSLATE(D4, ""en"", ""fr"")"),"C) C'est une faute, et le joueur qui l'a commise perd le point.")</f>
        <v>C) C'est une faute, et le joueur qui l'a commise perd le point.</v>
      </c>
      <c r="K4" s="5" t="str">
        <f>IFERROR(__xludf.DUMMYFUNCTION("GOOGLETRANSLATE(E4, ""en"", ""fr"")"),"Le chapa marque la limite inférieure de l'aire de jeu. Toute balle touchant le chapa ou la zone située en dessous est déclarée hors-jeu.")</f>
        <v>Le chapa marque la limite inférieure de l'aire de jeu. Toute balle touchant le chapa ou la zone située en dessous est déclarée hors-jeu.</v>
      </c>
    </row>
    <row r="5" ht="22.5" customHeight="1">
      <c r="A5" s="3">
        <v>4.0</v>
      </c>
      <c r="B5" s="4" t="s">
        <v>755</v>
      </c>
      <c r="C5" s="4" t="s">
        <v>756</v>
      </c>
      <c r="D5" s="4" t="s">
        <v>757</v>
      </c>
      <c r="E5" s="4" t="s">
        <v>758</v>
      </c>
      <c r="G5" s="5" t="str">
        <f>IFERROR(__xludf.DUMMYFUNCTION("GOOGLETRANSLATE(A5, ""en"", ""fr"")"),"4")</f>
        <v>4</v>
      </c>
      <c r="H5" s="5" t="str">
        <f>IFERROR(__xludf.DUMMYFUNCTION("GOOGLETRANSLATE(B5, ""en"", ""fr"")"),"Lors d'un match de double, le joueur A frappe la balle. Celle-ci touche le mur frontal légalement et se dirige vers le joueur B lorsqu'elle heurte accidentellement le partenaire du joueur A. Quelle est la décision arbitrale ?")</f>
        <v>Lors d'un match de double, le joueur A frappe la balle. Celle-ci touche le mur frontal légalement et se dirige vers le joueur B lorsqu'elle heurte accidentellement le partenaire du joueur A. Quelle est la décision arbitrale ?</v>
      </c>
      <c r="I5" s="5" t="str">
        <f>IFERROR(__xludf.DUMMYFUNCTION("GOOGLETRANSLATE(C5, ""en"", ""fr"")"),"A) Le jeu continue, B) Le point est rejoué, C) Les adversaires remportent le point, D) Un avertissement est donné pour un mauvais positionnement")</f>
        <v>A) Le jeu continue, B) Le point est rejoué, C) Les adversaires remportent le point, D) Un avertissement est donné pour un mauvais positionnement</v>
      </c>
      <c r="J5" s="5" t="str">
        <f>IFERROR(__xludf.DUMMYFUNCTION("GOOGLETRANSLATE(D5, ""en"", ""fr"")"),"C) Les adversaires remportent le point")</f>
        <v>C) Les adversaires remportent le point</v>
      </c>
      <c r="K5" s="5" t="str">
        <f>IFERROR(__xludf.DUMMYFUNCTION("GOOGLETRANSLATE(E5, ""en"", ""fr"")"),"Une équipe perd le point si la balle, après avoir été frappée, entre en contact avec un joueur de sa propre équipe avant la fin de l'échange.")</f>
        <v>Une équipe perd le point si la balle, après avoir été frappée, entre en contact avec un joueur de sa propre équipe avant la fin de l'échange.</v>
      </c>
    </row>
    <row r="6" ht="22.5" customHeight="1">
      <c r="A6" s="3">
        <v>5.0</v>
      </c>
      <c r="B6" s="4" t="s">
        <v>759</v>
      </c>
      <c r="C6" s="4" t="s">
        <v>760</v>
      </c>
      <c r="D6" s="4" t="s">
        <v>761</v>
      </c>
      <c r="E6" s="4" t="s">
        <v>762</v>
      </c>
      <c r="G6" s="5" t="str">
        <f>IFERROR(__xludf.DUMMYFUNCTION("GOOGLETRANSLATE(A6, ""en"", ""fr"")"),"5")</f>
        <v>5</v>
      </c>
      <c r="H6" s="5" t="str">
        <f>IFERROR(__xludf.DUMMYFUNCTION("GOOGLETRANSLATE(B6, ""en"", ""fr"")"),"Lors d'un match de combat à mains nues, un joueur est surpris avec une plaque dure dissimulée dans ses bandages (tacos). Quelles sont les conséquences ?")</f>
        <v>Lors d'un match de combat à mains nues, un joueur est surpris avec une plaque dure dissimulée dans ses bandages (tacos). Quelles sont les conséquences ?</v>
      </c>
      <c r="I6" s="5" t="str">
        <f>IFERROR(__xludf.DUMMYFUNCTION("GOOGLETRANSLATE(C6, ""en"", ""fr"")"),"A) Le joueur doit retirer l'assiette, B) Une pénalité d'un point est infligée, C) Disqualification immédiate pour tricherie, D) Le match continue avec un avertissement")</f>
        <v>A) Le joueur doit retirer l'assiette, B) Une pénalité d'un point est infligée, C) Disqualification immédiate pour tricherie, D) Le match continue avec un avertissement</v>
      </c>
      <c r="J6" s="5" t="str">
        <f>IFERROR(__xludf.DUMMYFUNCTION("GOOGLETRANSLATE(D6, ""en"", ""fr"")"),"C) Disqualification immédiate pour tricherie")</f>
        <v>C) Disqualification immédiate pour tricherie</v>
      </c>
      <c r="K6" s="5" t="str">
        <f>IFERROR(__xludf.DUMMYFUNCTION("GOOGLETRANSLATE(E6, ""en"", ""fr"")"),"Toute altération de l'équipement de protection visant à durcir illégalement la surface de frappe constitue une infraction majeure et entraîne la disqualification.")</f>
        <v>Toute altération de l'équipement de protection visant à durcir illégalement la surface de frappe constitue une infraction majeure et entraîne la disqualification.</v>
      </c>
    </row>
    <row r="7" ht="22.5" customHeight="1">
      <c r="A7" s="3">
        <v>6.0</v>
      </c>
      <c r="B7" s="4" t="s">
        <v>763</v>
      </c>
      <c r="C7" s="4" t="s">
        <v>764</v>
      </c>
      <c r="D7" s="4" t="s">
        <v>765</v>
      </c>
      <c r="E7" s="4" t="s">
        <v>766</v>
      </c>
      <c r="G7" s="5" t="str">
        <f>IFERROR(__xludf.DUMMYFUNCTION("GOOGLETRANSLATE(A7, ""en"", ""fr"")"),"6")</f>
        <v>6</v>
      </c>
      <c r="H7" s="5" t="str">
        <f>IFERROR(__xludf.DUMMYFUNCTION("GOOGLETRANSLATE(B7, ""en"", ""fr"")"),"Lors d'un échange, un joueur frappe la balle qui heurte le plafond du fronton couvert. Quelle est la décision ?")</f>
        <v>Lors d'un échange, un joueur frappe la balle qui heurte le plafond du fronton couvert. Quelle est la décision ?</v>
      </c>
      <c r="I7" s="5" t="str">
        <f>IFERROR(__xludf.DUMMYFUNCTION("GOOGLETRANSLATE(C7, ""en"", ""fr"")"),"A) La balle est toujours en jeu. B) C'est une faute, et le joueur qui a frappé la balle perd le point. C) Le point est rejoué. D) C'est un point pour le joueur qui a frappé la balle.")</f>
        <v>A) La balle est toujours en jeu. B) C'est une faute, et le joueur qui a frappé la balle perd le point. C) Le point est rejoué. D) C'est un point pour le joueur qui a frappé la balle.</v>
      </c>
      <c r="J7" s="5" t="str">
        <f>IFERROR(__xludf.DUMMYFUNCTION("GOOGLETRANSLATE(D7, ""en"", ""fr"")"),"B) C'est une faute, et le joueur qui l'a commise perd le point.")</f>
        <v>B) C'est une faute, et le joueur qui l'a commise perd le point.</v>
      </c>
      <c r="K7" s="5" t="str">
        <f>IFERROR(__xludf.DUMMYFUNCTION("GOOGLETRANSLATE(E7, ""en"", ""fr"")"),"Le plafond et tous les éléments suspendus sont considérés comme hors jeu. Une balle qui les touche constitue une faute contre le joueur qui l'a frappée en dernier.")</f>
        <v>Le plafond et tous les éléments suspendus sont considérés comme hors jeu. Une balle qui les touche constitue une faute contre le joueur qui l'a frappée en dernier.</v>
      </c>
    </row>
    <row r="8" ht="22.5" customHeight="1">
      <c r="A8" s="3">
        <v>7.0</v>
      </c>
      <c r="B8" s="4" t="s">
        <v>767</v>
      </c>
      <c r="C8" s="4" t="s">
        <v>768</v>
      </c>
      <c r="D8" s="4" t="s">
        <v>769</v>
      </c>
      <c r="E8" s="4" t="s">
        <v>770</v>
      </c>
      <c r="G8" s="5" t="str">
        <f>IFERROR(__xludf.DUMMYFUNCTION("GOOGLETRANSLATE(A8, ""en"", ""fr"")"),"7")</f>
        <v>7</v>
      </c>
      <c r="H8" s="5" t="str">
        <f>IFERROR(__xludf.DUMMYFUNCTION("GOOGLETRANSLATE(B8, ""en"", ""fr"")"),"Au trinquet, un joueur frappe la balle contre le toit incliné de la galerie (tambor) le long du mur latéral, et celle-ci s'envole selon un angle imprévisible. Ce coup est-il autorisé ?")</f>
        <v>Au trinquet, un joueur frappe la balle contre le toit incliné de la galerie (tambor) le long du mur latéral, et celle-ci s'envole selon un angle imprévisible. Ce coup est-il autorisé ?</v>
      </c>
      <c r="I8" s="5" t="str">
        <f>IFERROR(__xludf.DUMMYFUNCTION("GOOGLETRANSLATE(C8, ""en"", ""fr"")"),"A) Non, seuls les murs sont des surfaces légales. B) Oui, c'est une caractéristique légale du jeu de trinquet. C) Le point est rejoué. D) C'est une faute.")</f>
        <v>A) Non, seuls les murs sont des surfaces légales. B) Oui, c'est une caractéristique légale du jeu de trinquet. C) Le point est rejoué. D) C'est une faute.</v>
      </c>
      <c r="J8" s="5" t="str">
        <f>IFERROR(__xludf.DUMMYFUNCTION("GOOGLETRANSLATE(D8, ""en"", ""fr"")"),"B) Oui, il s'agit d'une caractéristique légale et propre au jeu de trinquet.")</f>
        <v>B) Oui, il s'agit d'une caractéristique légale et propre au jeu de trinquet.</v>
      </c>
      <c r="K8" s="5" t="str">
        <f>IFERROR(__xludf.DUMMYFUNCTION("GOOGLETRANSLATE(E8, ""en"", ""fr"")"),"La tribune en pente est une partie active du court dans un trinquet, et l'utiliser pour créer des coups difficiles est un élément clé de la stratégie.")</f>
        <v>La tribune en pente est une partie active du court dans un trinquet, et l'utiliser pour créer des coups difficiles est un élément clé de la stratégie.</v>
      </c>
    </row>
    <row r="9" ht="22.5" customHeight="1">
      <c r="A9" s="3">
        <v>8.0</v>
      </c>
      <c r="B9" s="4" t="s">
        <v>771</v>
      </c>
      <c r="C9" s="4" t="s">
        <v>772</v>
      </c>
      <c r="D9" s="4" t="s">
        <v>773</v>
      </c>
      <c r="E9" s="4" t="s">
        <v>774</v>
      </c>
      <c r="G9" s="5" t="str">
        <f>IFERROR(__xludf.DUMMYFUNCTION("GOOGLETRANSLATE(A9, ""en"", ""fr"")"),"8")</f>
        <v>8</v>
      </c>
      <c r="H9" s="5" t="str">
        <f>IFERROR(__xludf.DUMMYFUNCTION("GOOGLETRANSLATE(B9, ""en"", ""fr"")"),"Un joueur renvoie la balle, qui heurte le mur frontal puis le mur gauche avant de rebondir au sol. Ce tir est-il autorisé ?")</f>
        <v>Un joueur renvoie la balle, qui heurte le mur frontal puis le mur gauche avant de rebondir au sol. Ce tir est-il autorisé ?</v>
      </c>
      <c r="I9" s="5" t="str">
        <f>IFERROR(__xludf.DUMMYFUNCTION("GOOGLETRANSLATE(C9, ""en"", ""fr"")"),"A) Non, la balle doit seulement toucher le mur frontal. B) Oui, c'est un tir légal entre les deux murs. C) Le point est rejoué. D) C'est une faute.")</f>
        <v>A) Non, la balle doit seulement toucher le mur frontal. B) Oui, c'est un tir légal entre les deux murs. C) Le point est rejoué. D) C'est une faute.</v>
      </c>
      <c r="J9" s="5" t="str">
        <f>IFERROR(__xludf.DUMMYFUNCTION("GOOGLETRANSLATE(D9, ""en"", ""fr"")"),"B) Oui, il s'agit d'une prise de vue légale « à deux murs » (dos paredes).")</f>
        <v>B) Oui, il s'agit d'une prise de vue légale « à deux murs » (dos paredes).</v>
      </c>
      <c r="K9" s="5" t="str">
        <f>IFERROR(__xludf.DUMMYFUNCTION("GOOGLETRANSLATE(E9, ""en"", ""fr"")"),"Utiliser le mur latéral pour créer des angles difficiles pour l'adversaire est un élément fondamental et légal de cette stratégie.")</f>
        <v>Utiliser le mur latéral pour créer des angles difficiles pour l'adversaire est un élément fondamental et légal de cette stratégie.</v>
      </c>
    </row>
    <row r="10" ht="22.5" customHeight="1">
      <c r="A10" s="3">
        <v>9.0</v>
      </c>
      <c r="B10" s="4" t="s">
        <v>775</v>
      </c>
      <c r="C10" s="4" t="s">
        <v>776</v>
      </c>
      <c r="D10" s="4" t="s">
        <v>506</v>
      </c>
      <c r="E10" s="4" t="s">
        <v>777</v>
      </c>
      <c r="G10" s="5" t="str">
        <f>IFERROR(__xludf.DUMMYFUNCTION("GOOGLETRANSLATE(A10, ""en"", ""fr"")"),"9")</f>
        <v>9</v>
      </c>
      <c r="H10" s="5" t="str">
        <f>IFERROR(__xludf.DUMMYFUNCTION("GOOGLETRANSLATE(B10, ""en"", ""fr"")"),"Un joueur est touché par le ballon avant que celui-ci ne touche le sol. Quelle est la décision arbitrale ?")</f>
        <v>Un joueur est touché par le ballon avant que celui-ci ne touche le sol. Quelle est la décision arbitrale ?</v>
      </c>
      <c r="I10" s="5" t="str">
        <f>IFERROR(__xludf.DUMMYFUNCTION("GOOGLETRANSLATE(C10, ""en"", ""fr"")"),"A) Le point est rejoué. B) Le joueur touché perd le point. C) Le joueur qui a frappé la balle perd le point. D) Le jeu continue.")</f>
        <v>A) Le point est rejoué. B) Le joueur touché perd le point. C) Le joueur qui a frappé la balle perd le point. D) Le jeu continue.</v>
      </c>
      <c r="J10" s="5" t="str">
        <f>IFERROR(__xludf.DUMMYFUNCTION("GOOGLETRANSLATE(D10, ""en"", ""fr"")"),"B) Le joueur touché perd le point.")</f>
        <v>B) Le joueur touché perd le point.</v>
      </c>
      <c r="K10" s="5" t="str">
        <f>IFERROR(__xludf.DUMMYFUNCTION("GOOGLETRANSLATE(E10, ""en"", ""fr"")"),"Si la balle, après avoir rebondi sur le mur frontal, touche un joueur avant d'avoir rebondi, ce joueur est considéré comme « touché » et perd le point.")</f>
        <v>Si la balle, après avoir rebondi sur le mur frontal, touche un joueur avant d'avoir rebondi, ce joueur est considéré comme « touché » et perd le point.</v>
      </c>
    </row>
    <row r="11" ht="22.5" customHeight="1">
      <c r="A11" s="3">
        <v>10.0</v>
      </c>
      <c r="B11" s="4" t="s">
        <v>778</v>
      </c>
      <c r="C11" s="4" t="s">
        <v>779</v>
      </c>
      <c r="D11" s="4" t="s">
        <v>780</v>
      </c>
      <c r="E11" s="4" t="s">
        <v>781</v>
      </c>
      <c r="G11" s="5" t="str">
        <f>IFERROR(__xludf.DUMMYFUNCTION("GOOGLETRANSLATE(A11, ""en"", ""fr"")"),"10")</f>
        <v>10</v>
      </c>
      <c r="H11" s="5" t="str">
        <f>IFERROR(__xludf.DUMMYFUNCTION("GOOGLETRANSLATE(B11, ""en"", ""fr"")"),"Le retour de balle d'un joueur est faible et n'atteint pas le mur frontal. Quel est le résultat ?")</f>
        <v>Le retour de balle d'un joueur est faible et n'atteint pas le mur frontal. Quel est le résultat ?</v>
      </c>
      <c r="I11" s="5" t="str">
        <f>IFERROR(__xludf.DUMMYFUNCTION("GOOGLETRANSLATE(C11, ""en"", ""fr"")"),"A) Le point est rejoué. B) Le joueur qui a frappé la balle perd le point. C) L'adversaire doit jouer la balle depuis sa position. D) Un avertissement est donné pour un coup faible.")</f>
        <v>A) Le point est rejoué. B) Le joueur qui a frappé la balle perd le point. C) L'adversaire doit jouer la balle depuis sa position. D) Un avertissement est donné pour un coup faible.</v>
      </c>
      <c r="J11" s="5" t="str">
        <f>IFERROR(__xludf.DUMMYFUNCTION("GOOGLETRANSLATE(D11, ""en"", ""fr"")"),"B) Le joueur qui a réussi le coup perd le point.")</f>
        <v>B) Le joueur qui a réussi le coup perd le point.</v>
      </c>
      <c r="K11" s="5" t="str">
        <f>IFERROR(__xludf.DUMMYFUNCTION("GOOGLETRANSLATE(E11, ""en"", ""fr"")"),"Pour que l'échange se poursuive, chaque retour doit atteindre le mur frontal. Dans le cas contraire, le point est perdu.")</f>
        <v>Pour que l'échange se poursuive, chaque retour doit atteindre le mur frontal. Dans le cas contraire, le point est perdu.</v>
      </c>
    </row>
    <row r="12" ht="22.5" customHeight="1">
      <c r="A12" s="3">
        <v>11.0</v>
      </c>
      <c r="B12" s="4" t="s">
        <v>782</v>
      </c>
      <c r="C12" s="4" t="s">
        <v>783</v>
      </c>
      <c r="D12" s="4" t="s">
        <v>689</v>
      </c>
      <c r="E12" s="4" t="s">
        <v>784</v>
      </c>
      <c r="G12" s="5" t="str">
        <f>IFERROR(__xludf.DUMMYFUNCTION("GOOGLETRANSLATE(A12, ""en"", ""fr"")"),"11")</f>
        <v>11</v>
      </c>
      <c r="H12" s="5" t="str">
        <f>IFERROR(__xludf.DUMMYFUNCTION("GOOGLETRANSLATE(B12, ""en"", ""fr"")"),"La chemise d'un joueur se casse en plein échange alors qu'il tente d'attraper la balle. Quelle est la procédure correcte ?")</f>
        <v>La chemise d'un joueur se casse en plein échange alors qu'il tente d'attraper la balle. Quelle est la procédure correcte ?</v>
      </c>
      <c r="I12" s="5" t="str">
        <f>IFERROR(__xludf.DUMMYFUNCTION("GOOGLETRANSLATE(C12, ""en"", ""fr"")"),"A) Le joueur est disqualifié pour matériel défectueux, B) Le point est immédiatement arrêté et rejoué, C) Le joueur doit continuer avec la styra cassée, D) L'adversaire remporte le point")</f>
        <v>A) Le joueur est disqualifié pour matériel défectueux, B) Le point est immédiatement arrêté et rejoué, C) Le joueur doit continuer avec la styra cassée, D) L'adversaire remporte le point</v>
      </c>
      <c r="J12" s="5" t="str">
        <f>IFERROR(__xludf.DUMMYFUNCTION("GOOGLETRANSLATE(D12, ""en"", ""fr"")"),"B) Le point est immédiatement interrompu et rejoué.")</f>
        <v>B) Le point est immédiatement interrompu et rejoué.</v>
      </c>
      <c r="K12" s="5" t="str">
        <f>IFERROR(__xludf.DUMMYFUNCTION("GOOGLETRANSLATE(E12, ""en"", ""fr"")"),"Si l'équipement essentiel d'un joueur se brise pendant un échange en direct sans qu'il y soit pour rien, le point est généralement arrêté et rejoué pour garantir l'équité.")</f>
        <v>Si l'équipement essentiel d'un joueur se brise pendant un échange en direct sans qu'il y soit pour rien, le point est généralement arrêté et rejoué pour garantir l'équité.</v>
      </c>
    </row>
    <row r="13" ht="22.5" customHeight="1">
      <c r="A13" s="3">
        <v>12.0</v>
      </c>
      <c r="B13" s="4" t="s">
        <v>785</v>
      </c>
      <c r="C13" s="4" t="s">
        <v>786</v>
      </c>
      <c r="D13" s="4" t="s">
        <v>787</v>
      </c>
      <c r="E13" s="4" t="s">
        <v>788</v>
      </c>
      <c r="G13" s="5" t="str">
        <f>IFERROR(__xludf.DUMMYFUNCTION("GOOGLETRANSLATE(A13, ""en"", ""fr"")"),"12")</f>
        <v>12</v>
      </c>
      <c r="H13" s="5" t="str">
        <f>IFERROR(__xludf.DUMMYFUNCTION("GOOGLETRANSLATE(B13, ""en"", ""fr"")"),"Au jai alai, lors d'un match, le serveur envoie la balle contre le mur frontal puis rebondit sur le sol, le long de la ligne de service (pasa). Quelle est la décision ?")</f>
        <v>Au jai alai, lors d'un match, le serveur envoie la balle contre le mur frontal puis rebondit sur le sol, le long de la ligne de service (pasa). Quelle est la décision ?</v>
      </c>
      <c r="I13" s="5" t="str">
        <f>IFERROR(__xludf.DUMMYFUNCTION("GOOGLETRANSLATE(C13, ""en"", ""fr"")"),"A) Un service régulier, B) Un service trop long, donc une faute, C) Le point est rejoué, D) Le serveur obtient un deuxième service")</f>
        <v>A) Un service régulier, B) Un service trop long, donc une faute, C) Le point est rejoué, D) Le serveur obtient un deuxième service</v>
      </c>
      <c r="J13" s="5" t="str">
        <f>IFERROR(__xludf.DUMMYFUNCTION("GOOGLETRANSLATE(D13, ""en"", ""fr"")"),"B) Un service « long », ce qui est une faute")</f>
        <v>B) Un service « long », ce qui est une faute</v>
      </c>
      <c r="K13" s="5" t="str">
        <f>IFERROR(__xludf.DUMMYFUNCTION("GOOGLETRANSLATE(E13, ""en"", ""fr"")"),"Le service doit rebondir avant la ligne de pasa. Un service qui atterrit sur ou au-delà est une faute, et le serveur perd le point.")</f>
        <v>Le service doit rebondir avant la ligne de pasa. Un service qui atterrit sur ou au-delà est une faute, et le serveur perd le point.</v>
      </c>
    </row>
    <row r="14" ht="22.5" customHeight="1">
      <c r="A14" s="3">
        <v>13.0</v>
      </c>
      <c r="B14" s="4" t="s">
        <v>789</v>
      </c>
      <c r="C14" s="4" t="s">
        <v>790</v>
      </c>
      <c r="D14" s="4" t="s">
        <v>791</v>
      </c>
      <c r="E14" s="4" t="s">
        <v>792</v>
      </c>
      <c r="G14" s="5" t="str">
        <f>IFERROR(__xludf.DUMMYFUNCTION("GOOGLETRANSLATE(A14, ""en"", ""fr"")"),"13")</f>
        <v>13</v>
      </c>
      <c r="H14" s="5" t="str">
        <f>IFERROR(__xludf.DUMMYFUNCTION("GOOGLETRANSLATE(B14, ""en"", ""fr"")"),"Lors d'un match de double, les deux joueurs d'une même équipe touchent la balle avec leur raquette simultanément. Quelle est la règle ?")</f>
        <v>Lors d'un match de double, les deux joueurs d'une même équipe touchent la balle avec leur raquette simultanément. Quelle est la règle ?</v>
      </c>
      <c r="I14" s="5" t="str">
        <f>IFERROR(__xludf.DUMMYFUNCTION("GOOGLETRANSLATE(C14, ""en"", ""fr"")"),"A) Coup légal. B) Double coup. C) Le point est rejoué. D) Avertissement à l'équipe.")</f>
        <v>A) Coup légal. B) Double coup. C) Le point est rejoué. D) Avertissement à l'équipe.</v>
      </c>
      <c r="J14" s="5" t="str">
        <f>IFERROR(__xludf.DUMMYFUNCTION("GOOGLETRANSLATE(D14, ""en"", ""fr"")"),"B) Il s'agit d'une faute pour un «double coup»")</f>
        <v>B) Il s'agit d'une faute pour un «double coup»</v>
      </c>
      <c r="K14" s="5" t="str">
        <f>IFERROR(__xludf.DUMMYFUNCTION("GOOGLETRANSLATE(E14, ""en"", ""fr"")"),"Un seul joueur peut frapper la balle par tour. Si deux joueurs la touchent, leur équipe perd le point.")</f>
        <v>Un seul joueur peut frapper la balle par tour. Si deux joueurs la touchent, leur équipe perd le point.</v>
      </c>
    </row>
    <row r="15" ht="22.5" customHeight="1">
      <c r="A15" s="3">
        <v>14.0</v>
      </c>
      <c r="B15" s="4" t="s">
        <v>793</v>
      </c>
      <c r="C15" s="4" t="s">
        <v>794</v>
      </c>
      <c r="D15" s="4" t="s">
        <v>795</v>
      </c>
      <c r="E15" s="4" t="s">
        <v>796</v>
      </c>
      <c r="G15" s="5" t="str">
        <f>IFERROR(__xludf.DUMMYFUNCTION("GOOGLETRANSLATE(A15, ""en"", ""fr"")"),"14")</f>
        <v>14</v>
      </c>
      <c r="H15" s="5" t="str">
        <f>IFERROR(__xludf.DUMMYFUNCTION("GOOGLETRANSLATE(B15, ""en"", ""fr"")"),"Un joueur frappe la balle, qui sort du terrain et heurte un spectateur. Quelle est la décision ?")</f>
        <v>Un joueur frappe la balle, qui sort du terrain et heurte un spectateur. Quelle est la décision ?</v>
      </c>
      <c r="I15" s="5" t="str">
        <f>IFERROR(__xludf.DUMMYFUNCTION("GOOGLETRANSLATE(C15, ""en"", ""fr"")"),"A) Le point est rejoué. B) Le point est perdu pour le joueur qui a envoyé la balle hors des limites du terrain. C) La faute incombe au spectateur. D) Le joueur qui a envoyé la balle hors des limites du terrain remporte le point.")</f>
        <v>A) Le point est rejoué. B) Le point est perdu pour le joueur qui a envoyé la balle hors des limites du terrain. C) La faute incombe au spectateur. D) Le joueur qui a envoyé la balle hors des limites du terrain remporte le point.</v>
      </c>
      <c r="J15" s="5" t="str">
        <f>IFERROR(__xludf.DUMMYFUNCTION("GOOGLETRANSLATE(D15, ""en"", ""fr"")"),"B) Le point est perdu pour le joueur qui a frappé la balle hors du terrain.")</f>
        <v>B) Le point est perdu pour le joueur qui a frappé la balle hors du terrain.</v>
      </c>
      <c r="K15" s="5" t="str">
        <f>IFERROR(__xludf.DUMMYFUNCTION("GOOGLETRANSLATE(E15, ""en"", ""fr"")"),"Frapper la balle hors de la zone de jeu définie (la cancha) entraîne la perte du point.")</f>
        <v>Frapper la balle hors de la zone de jeu définie (la cancha) entraîne la perte du point.</v>
      </c>
    </row>
    <row r="16" ht="22.5" customHeight="1">
      <c r="A16" s="3">
        <v>15.0</v>
      </c>
      <c r="B16" s="4" t="s">
        <v>797</v>
      </c>
      <c r="C16" s="4" t="s">
        <v>798</v>
      </c>
      <c r="D16" s="4" t="s">
        <v>799</v>
      </c>
      <c r="E16" s="4" t="s">
        <v>800</v>
      </c>
      <c r="G16" s="5" t="str">
        <f>IFERROR(__xludf.DUMMYFUNCTION("GOOGLETRANSLATE(A16, ""en"", ""fr"")"),"15")</f>
        <v>15</v>
      </c>
      <c r="H16" s="5" t="str">
        <f>IFERROR(__xludf.DUMMYFUNCTION("GOOGLETRANSLATE(B16, ""en"", ""fr"")"),"Lors d'un combat à mains nues (mains nues), un joueur est contrôlé avec une substance durcie illégale sous ses bandages. Quelle est la conséquence ?")</f>
        <v>Lors d'un combat à mains nues (mains nues), un joueur est contrôlé avec une substance durcie illégale sous ses bandages. Quelle est la conséquence ?</v>
      </c>
      <c r="I16" s="5" t="str">
        <f>IFERROR(__xludf.DUMMYFUNCTION("GOOGLETRANSLATE(C16, ""en"", ""fr"")"),"A) Un avertissement, B) Perte du match, C) Un point de pénalité, D) La main doit être rebandée")</f>
        <v>A) Un avertissement, B) Perte du match, C) Un point de pénalité, D) La main doit être rebandée</v>
      </c>
      <c r="J16" s="5" t="str">
        <f>IFERROR(__xludf.DUMMYFUNCTION("GOOGLETRANSLATE(D16, ""en"", ""fr"")"),"B) Forfait du match")</f>
        <v>B) Forfait du match</v>
      </c>
      <c r="K16" s="5" t="str">
        <f>IFERROR(__xludf.DUMMYFUNCTION("GOOGLETRANSLATE(E16, ""en"", ""fr"")"),"Toute altération du ruban de protection visant à durcir illégalement la surface de frappe constitue un acte de tricherie majeur et entraînerait la disqualification.")</f>
        <v>Toute altération du ruban de protection visant à durcir illégalement la surface de frappe constitue un acte de tricherie majeur et entraînerait la disqualification.</v>
      </c>
    </row>
    <row r="17" ht="22.5" customHeight="1">
      <c r="A17" s="3">
        <v>16.0</v>
      </c>
      <c r="B17" s="4" t="s">
        <v>801</v>
      </c>
      <c r="C17" s="4" t="s">
        <v>802</v>
      </c>
      <c r="D17" s="4" t="s">
        <v>803</v>
      </c>
      <c r="E17" s="4" t="s">
        <v>804</v>
      </c>
      <c r="G17" s="5" t="str">
        <f>IFERROR(__xludf.DUMMYFUNCTION("GOOGLETRANSLATE(A17, ""en"", ""fr"")"),"16")</f>
        <v>16</v>
      </c>
      <c r="H17" s="5" t="str">
        <f>IFERROR(__xludf.DUMMYFUNCTION("GOOGLETRANSLATE(B17, ""en"", ""fr"")"),"La balle touche la ligne entre le mur frontal et le mur latéral. Quelle est la décision ?")</f>
        <v>La balle touche la ligne entre le mur frontal et le mur latéral. Quelle est la décision ?</v>
      </c>
      <c r="I17" s="5" t="str">
        <f>IFERROR(__xludf.DUMMYFUNCTION("GOOGLETRANSLATE(C17, ""en"", ""fr"")"),"A) C'est un coup légal et en jeu, B) C'est une faute, C) Le point est rejoué, D) C'est le choix de l'adversaire")</f>
        <v>A) C'est un coup légal et en jeu, B) C'est une faute, C) Le point est rejoué, D) C'est le choix de l'adversaire</v>
      </c>
      <c r="J17" s="5" t="str">
        <f>IFERROR(__xludf.DUMMYFUNCTION("GOOGLETRANSLATE(D17, ""en"", ""fr"")"),"A) C'est un tir légal et en jeu")</f>
        <v>A) C'est un tir légal et en jeu</v>
      </c>
      <c r="K17" s="5" t="str">
        <f>IFERROR(__xludf.DUMMYFUNCTION("GOOGLETRANSLATE(E17, ""en"", ""fr"")"),"Le coin où deux surfaces de jeu se rejoignent (par exemple, le mur avant et le mur gauche) est considéré comme « dedans ». Une balle touchant ce coin est en jeu.")</f>
        <v>Le coin où deux surfaces de jeu se rejoignent (par exemple, le mur avant et le mur gauche) est considéré comme « dedans ». Une balle touchant ce coin est en jeu.</v>
      </c>
    </row>
    <row r="18" ht="22.5" customHeight="1">
      <c r="A18" s="3">
        <v>17.0</v>
      </c>
      <c r="B18" s="4" t="s">
        <v>805</v>
      </c>
      <c r="C18" s="4" t="s">
        <v>806</v>
      </c>
      <c r="D18" s="4" t="s">
        <v>807</v>
      </c>
      <c r="E18" s="4" t="s">
        <v>808</v>
      </c>
      <c r="G18" s="5" t="str">
        <f>IFERROR(__xludf.DUMMYFUNCTION("GOOGLETRANSLATE(A18, ""en"", ""fr"")"),"17")</f>
        <v>17</v>
      </c>
      <c r="H18" s="5" t="str">
        <f>IFERROR(__xludf.DUMMYFUNCTION("GOOGLETRANSLATE(B18, ""en"", ""fr"")"),"Quelle est la règle si la balle rebondit deux fois sur le sol avant qu'un joueur puisse la renvoyer ?")</f>
        <v>Quelle est la règle si la balle rebondit deux fois sur le sol avant qu'un joueur puisse la renvoyer ?</v>
      </c>
      <c r="I18" s="5" t="str">
        <f>IFERROR(__xludf.DUMMYFUNCTION("GOOGLETRANSLATE(C18, ""en"", ""fr"")"),"A) Le point est rejoué. B) Le joueur qui n'a pas renvoyé la balle perd le point. C) Le jeu continue. D) Le joueur qui a frappé la balle perd le point.")</f>
        <v>A) Le point est rejoué. B) Le joueur qui n'a pas renvoyé la balle perd le point. C) Le jeu continue. D) Le joueur qui a frappé la balle perd le point.</v>
      </c>
      <c r="J18" s="5" t="str">
        <f>IFERROR(__xludf.DUMMYFUNCTION("GOOGLETRANSLATE(D18, ""en"", ""fr"")"),"B) Le joueur qui n'a pas renvoyé le ballon perd le point.")</f>
        <v>B) Le joueur qui n'a pas renvoyé le ballon perd le point.</v>
      </c>
      <c r="K18" s="5" t="str">
        <f>IFERROR(__xludf.DUMMYFUNCTION("GOOGLETRANSLATE(E18, ""en"", ""fr"")"),"Comme au squash ou au tennis, la balle ne peut rebondir qu'une seule fois sur le sol avant d'être jouée. Un double rebond entraîne la perte du point.")</f>
        <v>Comme au squash ou au tennis, la balle ne peut rebondir qu'une seule fois sur le sol avant d'être jouée. Un double rebond entraîne la perte du point.</v>
      </c>
    </row>
    <row r="19" ht="22.5" customHeight="1">
      <c r="A19" s="3">
        <v>18.0</v>
      </c>
      <c r="B19" s="4" t="s">
        <v>809</v>
      </c>
      <c r="C19" s="4" t="s">
        <v>810</v>
      </c>
      <c r="D19" s="4" t="s">
        <v>811</v>
      </c>
      <c r="E19" s="4" t="s">
        <v>812</v>
      </c>
      <c r="G19" s="5" t="str">
        <f>IFERROR(__xludf.DUMMYFUNCTION("GOOGLETRANSLATE(A19, ""en"", ""fr"")"),"18")</f>
        <v>18</v>
      </c>
      <c r="H19" s="5" t="str">
        <f>IFERROR(__xludf.DUMMYFUNCTION("GOOGLETRANSLATE(B19, ""en"", ""fr"")"),"Un joueur reçoit un avertissement de l'arbitre pour « interférence ». Qu'a-t-il bien pu faire ?")</f>
        <v>Un joueur reçoit un avertissement de l'arbitre pour « interférence ». Qu'a-t-il bien pu faire ?</v>
      </c>
      <c r="I19" s="5" t="str">
        <f>IFERROR(__xludf.DUMMYFUNCTION("GOOGLETRANSLATE(C19, ""en"", ""fr"")"),"A) A frappé la balle trop fort, B) S'est placé de manière à bloquer délibérément le passage de l'adversaire vers la balle, C) A parlé à son partenaire pendant le point, D) A contesté la décision de l'arbitre")</f>
        <v>A) A frappé la balle trop fort, B) S'est placé de manière à bloquer délibérément le passage de l'adversaire vers la balle, C) A parlé à son partenaire pendant le point, D) A contesté la décision de l'arbitre</v>
      </c>
      <c r="J19" s="5" t="str">
        <f>IFERROR(__xludf.DUMMYFUNCTION("GOOGLETRANSLATE(D19, ""en"", ""fr"")"),"B) S'est placé de manière à bloquer délibérément le passage de l'adversaire vers la balle")</f>
        <v>B) S'est placé de manière à bloquer délibérément le passage de l'adversaire vers la balle</v>
      </c>
      <c r="K19" s="5" t="str">
        <f>IFERROR(__xludf.DUMMYFUNCTION("GOOGLETRANSLATE(E19, ""en"", ""fr"")"),"Un joueur ne peut pas intentionnellement obstruer les mouvements ou la ligne de mire d'un adversaire vers le ballon. Il s'agit d'une faute d'obstruction.")</f>
        <v>Un joueur ne peut pas intentionnellement obstruer les mouvements ou la ligne de mire d'un adversaire vers le ballon. Il s'agit d'une faute d'obstruction.</v>
      </c>
    </row>
    <row r="20" ht="22.5" customHeight="1">
      <c r="A20" s="3">
        <v>19.0</v>
      </c>
      <c r="B20" s="4" t="s">
        <v>813</v>
      </c>
      <c r="C20" s="4" t="s">
        <v>814</v>
      </c>
      <c r="D20" s="4" t="s">
        <v>815</v>
      </c>
      <c r="E20" s="4" t="s">
        <v>816</v>
      </c>
      <c r="G20" s="5" t="str">
        <f>IFERROR(__xludf.DUMMYFUNCTION("GOOGLETRANSLATE(A20, ""en"", ""fr"")"),"19")</f>
        <v>19</v>
      </c>
      <c r="H20" s="5" t="str">
        <f>IFERROR(__xludf.DUMMYFUNCTION("GOOGLETRANSLATE(B20, ""en"", ""fr"")"),"Quelle est la principale caractéristique de la modalité Xare ?")</f>
        <v>Quelle est la principale caractéristique de la modalité Xare ?</v>
      </c>
      <c r="I20" s="5" t="str">
        <f>IFERROR(__xludf.DUMMYFUNCTION("GOOGLETRANSLATE(C20, ""en"", ""fr"")"),"A) On y joue avec une raquette en bois massif, B) On y joue avec une raquette à cordes dont le tamis est souple, C) On y joue à mains nues, D) On y joue avec une grande chestera")</f>
        <v>A) On y joue avec une raquette en bois massif, B) On y joue avec une raquette à cordes dont le tamis est souple, C) On y joue à mains nues, D) On y joue avec une grande chestera</v>
      </c>
      <c r="J20" s="5" t="str">
        <f>IFERROR(__xludf.DUMMYFUNCTION("GOOGLETRANSLATE(D20, ""en"", ""fr"")"),"B) Il se joue avec une raquette à cordes munie d'un manche souple en forme de filet.")</f>
        <v>B) Il se joue avec une raquette à cordes munie d'un manche souple en forme de filet.</v>
      </c>
      <c r="K20" s="5" t="str">
        <f>IFERROR(__xludf.DUMMYFUNCTION("GOOGLETRANSLATE(E20, ""en"", ""fr"")"),"Le xare (ou « raquette argentine ») utilise une raquette unique qui ressemble à une crosse de lacrosse, servant à attraper et à lancer la balle molle avec beaucoup d'effet.")</f>
        <v>Le xare (ou « raquette argentine ») utilise une raquette unique qui ressemble à une crosse de lacrosse, servant à attraper et à lancer la balle molle avec beaucoup d'effet.</v>
      </c>
    </row>
    <row r="21" ht="22.5" customHeight="1">
      <c r="A21" s="3">
        <v>20.0</v>
      </c>
      <c r="B21" s="4" t="s">
        <v>817</v>
      </c>
      <c r="C21" s="4" t="s">
        <v>818</v>
      </c>
      <c r="D21" s="4" t="s">
        <v>819</v>
      </c>
      <c r="E21" s="4" t="s">
        <v>820</v>
      </c>
      <c r="G21" s="5" t="str">
        <f>IFERROR(__xludf.DUMMYFUNCTION("GOOGLETRANSLATE(A21, ""en"", ""fr"")"),"20")</f>
        <v>20</v>
      </c>
      <c r="H21" s="5" t="str">
        <f>IFERROR(__xludf.DUMMYFUNCTION("GOOGLETRANSLATE(B21, ""en"", ""fr"")"),"Un joueur conteste agressivement une décision de ligne auprès de l'arbitre (canchero). Quelle en sera probablement la conséquence ?")</f>
        <v>Un joueur conteste agressivement une décision de ligne auprès de l'arbitre (canchero). Quelle en sera probablement la conséquence ?</v>
      </c>
      <c r="I21" s="5" t="str">
        <f>IFERROR(__xludf.DUMMYFUNCTION("GOOGLETRANSLATE(C21, ""en"", ""fr"")"),"A) Le point sera rejoué. B) Un avertissement sera donné, suivi d'une pénalité d'un point si le comportement persiste. C) L'arbitre sera remplacé. D) Le joueur sera félicité pour sa passion.")</f>
        <v>A) Le point sera rejoué. B) Un avertissement sera donné, suivi d'une pénalité d'un point si le comportement persiste. C) L'arbitre sera remplacé. D) Le joueur sera félicité pour sa passion.</v>
      </c>
      <c r="J21" s="5" t="str">
        <f>IFERROR(__xludf.DUMMYFUNCTION("GOOGLETRANSLATE(D21, ""en"", ""fr"")"),"B) Un avertissement, suivi d'une pénalité de points si le comportement persiste.")</f>
        <v>B) Un avertissement, suivi d'une pénalité de points si le comportement persiste.</v>
      </c>
      <c r="K21" s="5" t="str">
        <f>IFERROR(__xludf.DUMMYFUNCTION("GOOGLETRANSLATE(E21, ""en"", ""fr"")"),"Toute dissidence et tout comportement antisportif envers les officiels sont sanctionnés afin de maintenir l'ordre et le respect dans le jeu.")</f>
        <v>Toute dissidence et tout comportement antisportif envers les officiels sont sanctionnés afin de maintenir l'ordre et le respect dans le jeu.</v>
      </c>
    </row>
    <row r="22" ht="22.5" customHeight="1">
      <c r="A22" s="3">
        <v>21.0</v>
      </c>
      <c r="B22" s="4" t="s">
        <v>821</v>
      </c>
      <c r="C22" s="4" t="s">
        <v>822</v>
      </c>
      <c r="D22" s="4" t="s">
        <v>823</v>
      </c>
      <c r="E22" s="4" t="s">
        <v>824</v>
      </c>
      <c r="G22" s="5" t="str">
        <f>IFERROR(__xludf.DUMMYFUNCTION("GOOGLETRANSLATE(A22, ""en"", ""fr"")"),"21")</f>
        <v>21</v>
      </c>
      <c r="H22" s="5" t="str">
        <f>IFERROR(__xludf.DUMMYFUNCTION("GOOGLETRANSLATE(B22, ""en"", ""fr"")"),"Un joueur sert. La balle touche le mur frontal, puis le mur latéral, puis le sol. Ce service est-il régulier ?")</f>
        <v>Un joueur sert. La balle touche le mur frontal, puis le mur latéral, puis le sol. Ce service est-il régulier ?</v>
      </c>
      <c r="I22" s="5" t="str">
        <f>IFERROR(__xludf.DUMMYFUNCTION("GOOGLETRANSLATE(C22, ""en"", ""fr"")"),"A) Non, la balle doit toucher le sol directement après le mur frontal. B) Oui, le service est régulier. C) Le point est rejoué. D) C'est une faute.")</f>
        <v>A) Non, la balle doit toucher le sol directement après le mur frontal. B) Oui, le service est régulier. C) Le point est rejoué. D) C'est une faute.</v>
      </c>
      <c r="J22" s="5" t="str">
        <f>IFERROR(__xludf.DUMMYFUNCTION("GOOGLETRANSLATE(D22, ""en"", ""fr"")"),"A) Non, il doit toucher le sol directement après le mur avant.")</f>
        <v>A) Non, il doit toucher le sol directement après le mur avant.</v>
      </c>
      <c r="K22" s="5" t="str">
        <f>IFERROR(__xludf.DUMMYFUNCTION("GOOGLETRANSLATE(E22, ""en"", ""fr"")"),"Le service obéit à une séquence précise et obligatoire. Toucher le mur latéral avant le premier rebond au sol constitue une faute de service.")</f>
        <v>Le service obéit à une séquence précise et obligatoire. Toucher le mur latéral avant le premier rebond au sol constitue une faute de service.</v>
      </c>
    </row>
    <row r="23" ht="22.5" customHeight="1">
      <c r="A23" s="3">
        <v>22.0</v>
      </c>
      <c r="B23" s="4" t="s">
        <v>825</v>
      </c>
      <c r="C23" s="4" t="s">
        <v>826</v>
      </c>
      <c r="D23" s="4" t="s">
        <v>827</v>
      </c>
      <c r="E23" s="4" t="s">
        <v>828</v>
      </c>
      <c r="G23" s="5" t="str">
        <f>IFERROR(__xludf.DUMMYFUNCTION("GOOGLETRANSLATE(A23, ""en"", ""fr"")"),"22")</f>
        <v>22</v>
      </c>
      <c r="H23" s="5" t="str">
        <f>IFERROR(__xludf.DUMMYFUNCTION("GOOGLETRANSLATE(B23, ""en"", ""fr"")"),"Quel est le but de l'écharpe rouge (faja) portée par les joueurs lors d'un match de double ?")</f>
        <v>Quel est le but de l'écharpe rouge (faja) portée par les joueurs lors d'un match de double ?</v>
      </c>
      <c r="I23" s="5" t="str">
        <f>IFERROR(__xludf.DUMMYFUNCTION("GOOGLETRANSLATE(C23, ""en"", ""fr"")"),"A) Il est purement décoratif, B) Il indique l'équipe à laquelle appartient un joueur (rouge ou bleu), C) Il offre un soutien dorsal, D) Il symbolise le grade du joueur")</f>
        <v>A) Il est purement décoratif, B) Il indique l'équipe à laquelle appartient un joueur (rouge ou bleu), C) Il offre un soutien dorsal, D) Il symbolise le grade du joueur</v>
      </c>
      <c r="J23" s="5" t="str">
        <f>IFERROR(__xludf.DUMMYFUNCTION("GOOGLETRANSLATE(D23, ""en"", ""fr"")"),"B) Il permet d'identifier l'équipe à laquelle appartient un joueur (rouge ou bleue).")</f>
        <v>B) Il permet d'identifier l'équipe à laquelle appartient un joueur (rouge ou bleue).</v>
      </c>
      <c r="K23" s="5" t="str">
        <f>IFERROR(__xludf.DUMMYFUNCTION("GOOGLETRANSLATE(E23, ""en"", ""fr"")"),"Lors d'un match de double, une équipe porte des écharpes rouges et l'autre des écharpes bleues afin d'être clairement identifiées par l'arbitre et les spectateurs.")</f>
        <v>Lors d'un match de double, une équipe porte des écharpes rouges et l'autre des écharpes bleues afin d'être clairement identifiées par l'arbitre et les spectateurs.</v>
      </c>
    </row>
    <row r="24" ht="22.5" customHeight="1">
      <c r="A24" s="3">
        <v>23.0</v>
      </c>
      <c r="B24" s="4" t="s">
        <v>829</v>
      </c>
      <c r="C24" s="4" t="s">
        <v>830</v>
      </c>
      <c r="D24" s="4" t="s">
        <v>831</v>
      </c>
      <c r="E24" s="4" t="s">
        <v>832</v>
      </c>
      <c r="G24" s="5" t="str">
        <f>IFERROR(__xludf.DUMMYFUNCTION("GOOGLETRANSLATE(A24, ""en"", ""fr"")"),"23")</f>
        <v>23</v>
      </c>
      <c r="H24" s="5" t="str">
        <f>IFERROR(__xludf.DUMMYFUNCTION("GOOGLETRANSLATE(B24, ""en"", ""fr"")"),"Un joueur saigne suite à une éraflure. Quelle est la procédure obligatoire selon le règlement officiel ?")</f>
        <v>Un joueur saigne suite à une éraflure. Quelle est la procédure obligatoire selon le règlement officiel ?</v>
      </c>
      <c r="I24" s="5" t="str">
        <f>IFERROR(__xludf.DUMMYFUNCTION("GOOGLETRANSLATE(C24, ""en"", ""fr"")"),"A) Le joueur peut choisir de continuer à jouer si le saignement est mineur. B) L'arbitre doit interrompre le jeu pour un temps mort afin que la blessure puisse être soignée. C) Le joueur doit déclarer forfait. D) L'adversaire marque un point.")</f>
        <v>A) Le joueur peut choisir de continuer à jouer si le saignement est mineur. B) L'arbitre doit interrompre le jeu pour un temps mort afin que la blessure puisse être soignée. C) Le joueur doit déclarer forfait. D) L'adversaire marque un point.</v>
      </c>
      <c r="J24" s="5" t="str">
        <f>IFERROR(__xludf.DUMMYFUNCTION("GOOGLETRANSLATE(D24, ""en"", ""fr"")"),"B) L'arbitre doit interrompre le jeu pour un « temps mort sanglant » afin que la blessure puisse être soignée.")</f>
        <v>B) L'arbitre doit interrompre le jeu pour un « temps mort sanglant » afin que la blessure puisse être soignée.</v>
      </c>
      <c r="K24" s="5" t="str">
        <f>IFERROR(__xludf.DUMMYFUNCTION("GOOGLETRANSLATE(E24, ""en"", ""fr"")"),"Pour des raisons de sécurité et d'hygiène, tout saignement actif nécessite un arrêt immédiat afin que la blessure puisse être soignée et recouverte avant la reprise du jeu.")</f>
        <v>Pour des raisons de sécurité et d'hygiène, tout saignement actif nécessite un arrêt immédiat afin que la blessure puisse être soignée et recouverte avant la reprise du jeu.</v>
      </c>
    </row>
    <row r="25" ht="22.5" customHeight="1">
      <c r="A25" s="3">
        <v>24.0</v>
      </c>
      <c r="B25" s="4" t="s">
        <v>833</v>
      </c>
      <c r="C25" s="4" t="s">
        <v>834</v>
      </c>
      <c r="D25" s="4" t="s">
        <v>835</v>
      </c>
      <c r="E25" s="4" t="s">
        <v>836</v>
      </c>
      <c r="G25" s="5" t="str">
        <f>IFERROR(__xludf.DUMMYFUNCTION("GOOGLETRANSLATE(A25, ""en"", ""fr"")"),"24")</f>
        <v>24</v>
      </c>
      <c r="H25" s="5" t="str">
        <f>IFERROR(__xludf.DUMMYFUNCTION("GOOGLETRANSLATE(B25, ""en"", ""fr"")"),"Au trinquet, un joueur frappe la balle dans le petit trou de la paroi avant (xilo). Quel est le résultat ?")</f>
        <v>Au trinquet, un joueur frappe la balle dans le petit trou de la paroi avant (xilo). Quel est le résultat ?</v>
      </c>
      <c r="I25" s="5" t="str">
        <f>IFERROR(__xludf.DUMMYFUNCTION("GOOGLETRANSLATE(C25, ""en"", ""fr"")"),"A) C'est une faute, B) C'est un coup gagnant automatique, C) Le point est rejoué, D) C'est un coup de chance qui ne rapporte qu'un seul point")</f>
        <v>A) C'est une faute, B) C'est un coup gagnant automatique, C) Le point est rejoué, D) C'est un coup de chance qui ne rapporte qu'un seul point</v>
      </c>
      <c r="J25" s="5" t="str">
        <f>IFERROR(__xludf.DUMMYFUNCTION("GOOGLETRANSLATE(D25, ""en"", ""fr"")"),"B) C'est un coup gagnant automatique")</f>
        <v>B) C'est un coup gagnant automatique</v>
      </c>
      <c r="K25" s="5" t="str">
        <f>IFERROR(__xludf.DUMMYFUNCTION("GOOGLETRANSLATE(E25, ""en"", ""fr"")"),"Frapper la balle dans le xilo est un coup extrêmement difficile et qui permet de gagner instantanément la partie dans les modalités jouées au trinquet.")</f>
        <v>Frapper la balle dans le xilo est un coup extrêmement difficile et qui permet de gagner instantanément la partie dans les modalités jouées au trinquet.</v>
      </c>
    </row>
    <row r="26" ht="22.5" customHeight="1">
      <c r="A26" s="3">
        <v>25.0</v>
      </c>
      <c r="B26" s="4" t="s">
        <v>837</v>
      </c>
      <c r="C26" s="4" t="s">
        <v>838</v>
      </c>
      <c r="D26" s="4" t="s">
        <v>839</v>
      </c>
      <c r="E26" s="4" t="s">
        <v>840</v>
      </c>
      <c r="G26" s="5" t="str">
        <f>IFERROR(__xludf.DUMMYFUNCTION("GOOGLETRANSLATE(A26, ""en"", ""fr"")"),"25")</f>
        <v>25</v>
      </c>
      <c r="H26" s="5" t="str">
        <f>IFERROR(__xludf.DUMMYFUNCTION("GOOGLETRANSLATE(B26, ""en"", ""fr"")"),"Un joueur est surpris en possession d'une chistera modifiée illégalement, produisant un effet « trampoline ». Quelle en est la conséquence ?")</f>
        <v>Un joueur est surpris en possession d'une chistera modifiée illégalement, produisant un effet « trampoline ». Quelle en est la conséquence ?</v>
      </c>
      <c r="I26" s="5" t="str">
        <f>IFERROR(__xludf.DUMMYFUNCTION("GOOGLETRANSLATE(C26, ""en"", ""fr"")"),"A) Un avertissement est donné, B) Disqualification pour tricherie, C) Une pénalité d'un point est appliquée, D) La chistera est simplement remplacée par une chistera réglementaire")</f>
        <v>A) Un avertissement est donné, B) Disqualification pour tricherie, C) Une pénalité d'un point est appliquée, D) La chistera est simplement remplacée par une chistera réglementaire</v>
      </c>
      <c r="J26" s="5" t="str">
        <f>IFERROR(__xludf.DUMMYFUNCTION("GOOGLETRANSLATE(D26, ""en"", ""fr"")"),"B) Perte du match pour tricherie")</f>
        <v>B) Perte du match pour tricherie</v>
      </c>
      <c r="K26" s="5" t="str">
        <f>IFERROR(__xludf.DUMMYFUNCTION("GOOGLETRANSLATE(E26, ""en"", ""fr"")"),"Toute altération du matériel visant à obtenir un avantage indu constitue un acte de tricherie majeur et entraînerait la perte de la partie.")</f>
        <v>Toute altération du matériel visant à obtenir un avantage indu constitue un acte de tricherie majeur et entraînerait la perte de la partie.</v>
      </c>
    </row>
    <row r="27" ht="22.5" customHeight="1">
      <c r="A27" s="3">
        <v>26.0</v>
      </c>
      <c r="B27" s="4" t="s">
        <v>841</v>
      </c>
      <c r="C27" s="4" t="s">
        <v>842</v>
      </c>
      <c r="D27" s="4" t="s">
        <v>843</v>
      </c>
      <c r="E27" s="4" t="s">
        <v>844</v>
      </c>
      <c r="G27" s="5" t="str">
        <f>IFERROR(__xludf.DUMMYFUNCTION("GOOGLETRANSLATE(A27, ""en"", ""fr"")"),"26")</f>
        <v>26</v>
      </c>
      <c r="H27" s="5" t="str">
        <f>IFERROR(__xludf.DUMMYFUNCTION("GOOGLETRANSLATE(B27, ""en"", ""fr"")"),"Un joueur entre en jeu en cours de match. Ce joueur peut-il revenir dans la partie plus tard ?")</f>
        <v>Un joueur entre en jeu en cours de match. Ce joueur peut-il revenir dans la partie plus tard ?</v>
      </c>
      <c r="I27" s="5" t="str">
        <f>IFERROR(__xludf.DUMMYFUNCTION("GOOGLETRANSLATE(C27, ""en"", ""fr"")"),"A) Oui, à tout moment. B) Oui, mais seulement lors du prochain match. C) Non, un joueur remplacé ne peut pas réintégrer le terrain lors de ce match. D) Uniquement si un autre joueur se blesse.")</f>
        <v>A) Oui, à tout moment. B) Oui, mais seulement lors du prochain match. C) Non, un joueur remplacé ne peut pas réintégrer le terrain lors de ce match. D) Uniquement si un autre joueur se blesse.</v>
      </c>
      <c r="J27" s="5" t="str">
        <f>IFERROR(__xludf.DUMMYFUNCTION("GOOGLETRANSLATE(D27, ""en"", ""fr"")"),"C) Non, un joueur remplacé ne peut pas réintégrer le terrain pour ce match.")</f>
        <v>C) Non, un joueur remplacé ne peut pas réintégrer le terrain pour ce match.</v>
      </c>
      <c r="K27" s="5" t="str">
        <f>IFERROR(__xludf.DUMMYFUNCTION("GOOGLETRANSLATE(E27, ""en"", ""fr"")"),"Selon le règlement officiel de la FIPV, une fois qu'un joueur est remplacé par un remplaçant, il ne peut plus jouer le reste du match.")</f>
        <v>Selon le règlement officiel de la FIPV, une fois qu'un joueur est remplacé par un remplaçant, il ne peut plus jouer le reste du match.</v>
      </c>
    </row>
    <row r="28" ht="22.5" customHeight="1">
      <c r="A28" s="3">
        <v>27.0</v>
      </c>
      <c r="B28" s="4" t="s">
        <v>845</v>
      </c>
      <c r="C28" s="4" t="s">
        <v>846</v>
      </c>
      <c r="D28" s="4" t="s">
        <v>847</v>
      </c>
      <c r="E28" s="4" t="s">
        <v>848</v>
      </c>
      <c r="G28" s="5" t="str">
        <f>IFERROR(__xludf.DUMMYFUNCTION("GOOGLETRANSLATE(A28, ""en"", ""fr"")"),"27")</f>
        <v>27</v>
      </c>
      <c r="H28" s="5" t="str">
        <f>IFERROR(__xludf.DUMMYFUNCTION("GOOGLETRANSLATE(B28, ""en"", ""fr"")"),"Quelle est la règle si la balle, après avoir été frappée, se coince dans le grillage qui protège les spectateurs ?")</f>
        <v>Quelle est la règle si la balle, après avoir été frappée, se coince dans le grillage qui protège les spectateurs ?</v>
      </c>
      <c r="I28" s="5" t="str">
        <f>IFERROR(__xludf.DUMMYFUNCTION("GOOGLETRANSLATE(C28, ""en"", ""fr"")"),"A) Le point est rejoué. B) Le joueur qui a touché la bille remporte le point. C) Le joueur qui a touché la bille perd le point. D) Le jeu continue.")</f>
        <v>A) Le point est rejoué. B) Le joueur qui a touché la bille remporte le point. C) Le joueur qui a touché la bille perd le point. D) Le jeu continue.</v>
      </c>
      <c r="J28" s="5" t="str">
        <f>IFERROR(__xludf.DUMMYFUNCTION("GOOGLETRANSLATE(D28, ""en"", ""fr"")"),"C) Le joueur qui a touché la balle perd le point.")</f>
        <v>C) Le joueur qui a touché la balle perd le point.</v>
      </c>
      <c r="K28" s="5" t="str">
        <f>IFERROR(__xludf.DUMMYFUNCTION("GOOGLETRANSLATE(E28, ""en"", ""fr"")"),"L'écran de protection est considéré comme « hors jeu ». Une balle qui se loge dedans constitue une faute contre le joueur qui l'a frappée à cet endroit.")</f>
        <v>L'écran de protection est considéré comme « hors jeu ». Une balle qui se loge dedans constitue une faute contre le joueur qui l'a frappée à cet endroit.</v>
      </c>
    </row>
    <row r="29" ht="22.5" customHeight="1">
      <c r="A29" s="3">
        <v>28.0</v>
      </c>
      <c r="B29" s="4" t="s">
        <v>849</v>
      </c>
      <c r="C29" s="4" t="s">
        <v>850</v>
      </c>
      <c r="D29" s="4" t="s">
        <v>851</v>
      </c>
      <c r="E29" s="4" t="s">
        <v>852</v>
      </c>
      <c r="G29" s="5" t="str">
        <f>IFERROR(__xludf.DUMMYFUNCTION("GOOGLETRANSLATE(A29, ""en"", ""fr"")"),"28")</f>
        <v>28</v>
      </c>
      <c r="H29" s="5" t="str">
        <f>IFERROR(__xludf.DUMMYFUNCTION("GOOGLETRANSLATE(B29, ""en"", ""fr"")"),"Un joueur est pénalisé pour une faute de pied lors d'un échange (et non d'un service). Qu'a-t-il pu faire ?")</f>
        <v>Un joueur est pénalisé pour une faute de pied lors d'un échange (et non d'un service). Qu'a-t-il pu faire ?</v>
      </c>
      <c r="I29" s="5" t="str">
        <f>IFERROR(__xludf.DUMMYFUNCTION("GOOGLETRANSLATE(C29, ""en"", ""fr"")"),"A) A marché sur le pied de l'adversaire, B) A donné un coup de pied dans le ballon, C) A franchi la ligne séparant les joueurs de l'avant et de l'arrière du terrain, D) A sauté trop haut")</f>
        <v>A) A marché sur le pied de l'adversaire, B) A donné un coup de pied dans le ballon, C) A franchi la ligne séparant les joueurs de l'avant et de l'arrière du terrain, D) A sauté trop haut</v>
      </c>
      <c r="J29" s="5" t="str">
        <f>IFERROR(__xludf.DUMMYFUNCTION("GOOGLETRANSLATE(D29, ""en"", ""fr"")"),"B) A donné un coup de pied dans le ballon")</f>
        <v>B) A donné un coup de pied dans le ballon</v>
      </c>
      <c r="K29" s="5" t="str">
        <f>IFERROR(__xludf.DUMMYFUNCTION("GOOGLETRANSLATE(E29, ""en"", ""fr"")"),"Le ballon ne peut être joué qu'avec l'instrument désigné (main, pala ou chistera). Donner un coup de pied dans le ballon est une action illégale.")</f>
        <v>Le ballon ne peut être joué qu'avec l'instrument désigné (main, pala ou chistera). Donner un coup de pied dans le ballon est une action illégale.</v>
      </c>
    </row>
    <row r="30" ht="22.5" customHeight="1">
      <c r="A30" s="3">
        <v>29.0</v>
      </c>
      <c r="B30" s="4" t="s">
        <v>853</v>
      </c>
      <c r="C30" s="4" t="s">
        <v>854</v>
      </c>
      <c r="D30" s="4" t="s">
        <v>855</v>
      </c>
      <c r="E30" s="4" t="s">
        <v>856</v>
      </c>
      <c r="G30" s="5" t="str">
        <f>IFERROR(__xludf.DUMMYFUNCTION("GOOGLETRANSLATE(A30, ""en"", ""fr"")"),"29")</f>
        <v>29</v>
      </c>
      <c r="H30" s="5" t="str">
        <f>IFERROR(__xludf.DUMMYFUNCTION("GOOGLETRANSLATE(B30, ""en"", ""fr"")"),"Un joueur a épuisé ses trois temps morts autorisés. Il en demande un quatrième pour cause de fatigue. Que fera l'arbitre ?")</f>
        <v>Un joueur a épuisé ses trois temps morts autorisés. Il en demande un quatrième pour cause de fatigue. Que fera l'arbitre ?</v>
      </c>
      <c r="I30" s="5" t="str">
        <f>IFERROR(__xludf.DUMMYFUNCTION("GOOGLETRANSLATE(C30, ""en"", ""fr"")"),"A) Accorder le temps mort, B) Refuser le temps mort et donner un avertissement pour retard, C) Accorder le temps mort mais infliger une pénalité d'un point, D) Déclarer la défaite par forfait pour l'équipe")</f>
        <v>A) Accorder le temps mort, B) Refuser le temps mort et donner un avertissement pour retard, C) Accorder le temps mort mais infliger une pénalité d'un point, D) Déclarer la défaite par forfait pour l'équipe</v>
      </c>
      <c r="J30" s="5" t="str">
        <f>IFERROR(__xludf.DUMMYFUNCTION("GOOGLETRANSLATE(D30, ""en"", ""fr"")"),"B) Refuser le délai d'attente et émettre un avertissement pour retard")</f>
        <v>B) Refuser le délai d'attente et émettre un avertissement pour retard</v>
      </c>
      <c r="K30" s="5" t="str">
        <f>IFERROR(__xludf.DUMMYFUNCTION("GOOGLETRANSLATE(E30, ""en"", ""fr"")"),"Chaque équipe dispose d'un nombre limité de temps morts. Toute demande supplémentaire est interdite et peut être sanctionnée pour retard de jeu.")</f>
        <v>Chaque équipe dispose d'un nombre limité de temps morts. Toute demande supplémentaire est interdite et peut être sanctionnée pour retard de jeu.</v>
      </c>
    </row>
    <row r="31" ht="22.5" customHeight="1">
      <c r="A31" s="3">
        <v>30.0</v>
      </c>
      <c r="B31" s="4" t="s">
        <v>857</v>
      </c>
      <c r="C31" s="4" t="s">
        <v>858</v>
      </c>
      <c r="D31" s="4" t="s">
        <v>859</v>
      </c>
      <c r="E31" s="4" t="s">
        <v>860</v>
      </c>
      <c r="G31" s="5" t="str">
        <f>IFERROR(__xludf.DUMMYFUNCTION("GOOGLETRANSLATE(A31, ""en"", ""fr"")"),"30")</f>
        <v>30</v>
      </c>
      <c r="H31" s="5" t="str">
        <f>IFERROR(__xludf.DUMMYFUNCTION("GOOGLETRANSLATE(B31, ""en"", ""fr"")"),"Lors d'un match de double, la balle arrive vers le joueur A. Son partenaire, le joueur B, crie « À moi ! » et joue la balle à sa place. Est-ce autorisé ?")</f>
        <v>Lors d'un match de double, la balle arrive vers le joueur A. Son partenaire, le joueur B, crie « À moi ! » et joue la balle à sa place. Est-ce autorisé ?</v>
      </c>
      <c r="I31" s="5" t="str">
        <f>IFERROR(__xludf.DUMMYFUNCTION("GOOGLETRANSLATE(C31, ""en"", ""fr"")"),"A) Non, le joueur A avait le droit de jouer ce point. B) Oui, la communication et le travail d'équipe sont essentiels au jeu de double. C) C'est une faute pour avoir distrait les adversaires. D) Le point est rejoué.")</f>
        <v>A) Non, le joueur A avait le droit de jouer ce point. B) Oui, la communication et le travail d'équipe sont essentiels au jeu de double. C) C'est une faute pour avoir distrait les adversaires. D) Le point est rejoué.</v>
      </c>
      <c r="J31" s="5" t="str">
        <f>IFERROR(__xludf.DUMMYFUNCTION("GOOGLETRANSLATE(D31, ""en"", ""fr"")"),"B) Oui, la communication et le travail d'équipe sont des éléments clés du jeu en double")</f>
        <v>B) Oui, la communication et le travail d'équipe sont des éléments clés du jeu en double</v>
      </c>
      <c r="K31" s="5" t="str">
        <f>IFERROR(__xludf.DUMMYFUNCTION("GOOGLETRANSLATE(E31, ""en"", ""fr"")"),"En double, chaque partenaire peut légalement jouer la balle lors du tour de son équipe. La communication verbale est essentielle au bon travail d'équipe.")</f>
        <v>En double, chaque partenaire peut légalement jouer la balle lors du tour de son équipe. La communication verbale est essentielle au bon travail d'équipe.</v>
      </c>
    </row>
    <row r="32" ht="22.5" customHeight="1">
      <c r="A32" s="3">
        <v>31.0</v>
      </c>
      <c r="B32" s="4" t="s">
        <v>861</v>
      </c>
      <c r="C32" s="4" t="s">
        <v>862</v>
      </c>
      <c r="D32" s="4" t="s">
        <v>863</v>
      </c>
      <c r="E32" s="4" t="s">
        <v>864</v>
      </c>
      <c r="G32" s="5" t="str">
        <f>IFERROR(__xludf.DUMMYFUNCTION("GOOGLETRANSLATE(A32, ""en"", ""fr"")"),"31")</f>
        <v>31</v>
      </c>
      <c r="H32" s="5" t="str">
        <f>IFERROR(__xludf.DUMMYFUNCTION("GOOGLETRANSLATE(B32, ""en"", ""fr"")"),"Un joueur reçoit un avertissement pour non-respect de la tenue réglementaire. Quelle est la tenue standard ?")</f>
        <v>Un joueur reçoit un avertissement pour non-respect de la tenue réglementaire. Quelle est la tenue standard ?</v>
      </c>
      <c r="I32" s="5" t="str">
        <f>IFERROR(__xludf.DUMMYFUNCTION("GOOGLETRANSLATE(C32, ""en"", ""fr"")"),"A) Une chemise et un short colorés, B) Des vêtements traditionnels basques, C) Une chemise blanche, un pantalon blanc et une ceinture colorée (faja), D) Des vêtements de sport.")</f>
        <v>A) Une chemise et un short colorés, B) Des vêtements traditionnels basques, C) Une chemise blanche, un pantalon blanc et une ceinture colorée (faja), D) Des vêtements de sport.</v>
      </c>
      <c r="J32" s="5" t="str">
        <f>IFERROR(__xludf.DUMMYFUNCTION("GOOGLETRANSLATE(D32, ""en"", ""fr"")"),"C) Une chemise blanche, un pantalon blanc et une ceinture colorée (faja)")</f>
        <v>C) Une chemise blanche, un pantalon blanc et une ceinture colorée (faja)</v>
      </c>
      <c r="K32" s="5" t="str">
        <f>IFERROR(__xludf.DUMMYFUNCTION("GOOGLETRANSLATE(E32, ""en"", ""fr"")"),"L'uniforme traditionnel et officiel de Pelota est entièrement blanc, avec une écharpe rouge ou bleue pour distinguer les équipes.")</f>
        <v>L'uniforme traditionnel et officiel de Pelota est entièrement blanc, avec une écharpe rouge ou bleue pour distinguer les équipes.</v>
      </c>
    </row>
    <row r="33" ht="22.5" customHeight="1">
      <c r="A33" s="3">
        <v>32.0</v>
      </c>
      <c r="B33" s="4" t="s">
        <v>865</v>
      </c>
      <c r="C33" s="4" t="s">
        <v>866</v>
      </c>
      <c r="D33" s="4" t="s">
        <v>867</v>
      </c>
      <c r="E33" s="4" t="s">
        <v>868</v>
      </c>
      <c r="G33" s="5" t="str">
        <f>IFERROR(__xludf.DUMMYFUNCTION("GOOGLETRANSLATE(A33, ""en"", ""fr"")"),"32")</f>
        <v>32</v>
      </c>
      <c r="H33" s="5" t="str">
        <f>IFERROR(__xludf.DUMMYFUNCTION("GOOGLETRANSLATE(B33, ""en"", ""fr"")"),"Le retour d'un joueur est si puissant qu'il casse la balle et que le revêtement en cuir se déchire. Quelle est la décision arbitrale ?")</f>
        <v>Le retour d'un joueur est si puissant qu'il casse la balle et que le revêtement en cuir se déchire. Quelle est la décision arbitrale ?</v>
      </c>
      <c r="I33" s="5" t="str">
        <f>IFERROR(__xludf.DUMMYFUNCTION("GOOGLETRANSLATE(C33, ""en"", ""fr"")"),"A) Le joueur qui a frappé la balle remporte le point. B) Le point est rejoué avec une nouvelle balle. C) Le joueur qui a frappé la balle perd le point pour avoir cassé la balle. D) Le match est arrêté.")</f>
        <v>A) Le joueur qui a frappé la balle remporte le point. B) Le point est rejoué avec une nouvelle balle. C) Le joueur qui a frappé la balle perd le point pour avoir cassé la balle. D) Le match est arrêté.</v>
      </c>
      <c r="J33" s="5" t="str">
        <f>IFERROR(__xludf.DUMMYFUNCTION("GOOGLETRANSLATE(D33, ""en"", ""fr"")"),"B) Le point est rejoué avec une balle neuve")</f>
        <v>B) Le point est rejoué avec une balle neuve</v>
      </c>
      <c r="K33" s="5" t="str">
        <f>IFERROR(__xludf.DUMMYFUNCTION("GOOGLETRANSLATE(E33, ""en"", ""fr"")"),"Si la balle devient défectueuse pendant un échange, le point est un « let » et est rejoué avec une nouvelle balle homologuée.")</f>
        <v>Si la balle devient défectueuse pendant un échange, le point est un « let » et est rejoué avec une nouvelle balle homologuée.</v>
      </c>
    </row>
    <row r="34" ht="22.5" customHeight="1">
      <c r="A34" s="3">
        <v>33.0</v>
      </c>
      <c r="B34" s="4" t="s">
        <v>869</v>
      </c>
      <c r="C34" s="4" t="s">
        <v>870</v>
      </c>
      <c r="D34" s="4" t="s">
        <v>871</v>
      </c>
      <c r="E34" s="4" t="s">
        <v>872</v>
      </c>
      <c r="G34" s="5" t="str">
        <f>IFERROR(__xludf.DUMMYFUNCTION("GOOGLETRANSLATE(A34, ""en"", ""fr"")"),"33")</f>
        <v>33</v>
      </c>
      <c r="H34" s="5" t="str">
        <f>IFERROR(__xludf.DUMMYFUNCTION("GOOGLETRANSLATE(B34, ""en"", ""fr"")"),"Un joueur est pénalisé pour « mauvaise position » lors du service. Où doivent se placer les joueurs qui ne servent pas ?")</f>
        <v>Un joueur est pénalisé pour « mauvaise position » lors du service. Où doivent se placer les joueurs qui ne servent pas ?</v>
      </c>
      <c r="I34" s="5" t="str">
        <f>IFERROR(__xludf.DUMMYFUNCTION("GOOGLETRANSLATE(C34, ""en"", ""fr"")"),"A) N'importe où sur le terrain, B) Derrière le serveur, C) À leurs positions respectives, en zone avant ou en zone arrière, D) En dehors du terrain")</f>
        <v>A) N'importe où sur le terrain, B) Derrière le serveur, C) À leurs positions respectives, en zone avant ou en zone arrière, D) En dehors du terrain</v>
      </c>
      <c r="J34" s="5" t="str">
        <f>IFERROR(__xludf.DUMMYFUNCTION("GOOGLETRANSLATE(D34, ""en"", ""fr"")"),"C) À leurs positions respectives, en première ou en deuxième ligne")</f>
        <v>C) À leurs positions respectives, en première ou en deuxième ligne</v>
      </c>
      <c r="K34" s="5" t="str">
        <f>IFERROR(__xludf.DUMMYFUNCTION("GOOGLETRANSLATE(E34, ""en"", ""fr"")"),"En double, les joueurs ont des positions désignées et ils ne peuvent pas se trouver dans la mauvaise zone pendant le service.")</f>
        <v>En double, les joueurs ont des positions désignées et ils ne peuvent pas se trouver dans la mauvaise zone pendant le service.</v>
      </c>
    </row>
    <row r="35" ht="22.5" customHeight="1">
      <c r="A35" s="3">
        <v>34.0</v>
      </c>
      <c r="B35" s="4" t="s">
        <v>873</v>
      </c>
      <c r="C35" s="4" t="s">
        <v>874</v>
      </c>
      <c r="D35" s="4" t="s">
        <v>875</v>
      </c>
      <c r="E35" s="4" t="s">
        <v>876</v>
      </c>
      <c r="G35" s="5" t="str">
        <f>IFERROR(__xludf.DUMMYFUNCTION("GOOGLETRANSLATE(A35, ""en"", ""fr"")"),"34")</f>
        <v>34</v>
      </c>
      <c r="H35" s="5" t="str">
        <f>IFERROR(__xludf.DUMMYFUNCTION("GOOGLETRANSLATE(B35, ""en"", ""fr"")"),"Quelle est la principale raison pour laquelle le port du casque est obligatoire au Jai Alai mais pas au Paleta Goma ?")</f>
        <v>Quelle est la principale raison pour laquelle le port du casque est obligatoire au Jai Alai mais pas au Paleta Goma ?</v>
      </c>
      <c r="I35" s="5" t="str">
        <f>IFERROR(__xludf.DUMMYFUNCTION("GOOGLETRANSLATE(C35, ""en"", ""fr"")"),"A) Le terrain de pelote basque est plus grand. B) La balle de pelote basque est extrêmement dure et rapide, tandis que la balle de Paleta Goma est en caoutchouc plus tendre. C) Les joueurs de pelote basque sont plus agressifs. D) C'est une exigence des sp"&amp;"onsors.")</f>
        <v>A) Le terrain de pelote basque est plus grand. B) La balle de pelote basque est extrêmement dure et rapide, tandis que la balle de Paleta Goma est en caoutchouc plus tendre. C) Les joueurs de pelote basque sont plus agressifs. D) C'est une exigence des sponsors.</v>
      </c>
      <c r="J35" s="5" t="str">
        <f>IFERROR(__xludf.DUMMYFUNCTION("GOOGLETRANSLATE(D35, ""en"", ""fr"")"),"B) La balle de pelote basque est extrêmement dure et rapide, tandis que la balle de Paleta Goma est en caoutchouc plus tendre.")</f>
        <v>B) La balle de pelote basque est extrêmement dure et rapide, tandis que la balle de Paleta Goma est en caoutchouc plus tendre.</v>
      </c>
      <c r="K35" s="5" t="str">
        <f>IFERROR(__xludf.DUMMYFUNCTION("GOOGLETRANSLATE(E35, ""en"", ""fr"")"),"La balle de pelote basque, très dure, représente un risque mortel, rendant le port du casque indispensable. La balle en caoutchouc plus souple de Paleta Goma est nettement moins dangereuse.")</f>
        <v>La balle de pelote basque, très dure, représente un risque mortel, rendant le port du casque indispensable. La balle en caoutchouc plus souple de Paleta Goma est nettement moins dangereuse.</v>
      </c>
    </row>
    <row r="36" ht="22.5" customHeight="1">
      <c r="A36" s="3">
        <v>35.0</v>
      </c>
      <c r="B36" s="4" t="s">
        <v>877</v>
      </c>
      <c r="C36" s="4" t="s">
        <v>878</v>
      </c>
      <c r="D36" s="4" t="s">
        <v>879</v>
      </c>
      <c r="E36" s="4" t="s">
        <v>880</v>
      </c>
      <c r="G36" s="5" t="str">
        <f>IFERROR(__xludf.DUMMYFUNCTION("GOOGLETRANSLATE(A36, ""en"", ""fr"")"),"35")</f>
        <v>35</v>
      </c>
      <c r="H36" s="5" t="str">
        <f>IFERROR(__xludf.DUMMYFUNCTION("GOOGLETRANSLATE(B36, ""en"", ""fr"")"),"Un joueur reçoit un avertissement pour avoir utilisé sa chemise afin de gêner la vue du ballon par son adversaire. Est-ce une faute ?")</f>
        <v>Un joueur reçoit un avertissement pour avoir utilisé sa chemise afin de gêner la vue du ballon par son adversaire. Est-ce une faute ?</v>
      </c>
      <c r="I36" s="5" t="str">
        <f>IFERROR(__xludf.DUMMYFUNCTION("GOOGLETRANSLATE(C36, ""en"", ""fr"")"),"A) Non, c'est une tactique astucieuse. B) Oui, c'est une forme d'ingérence illégale. C) Uniquement si la chistera touche l'adversaire. D) Le point est rejoué.")</f>
        <v>A) Non, c'est une tactique astucieuse. B) Oui, c'est une forme d'ingérence illégale. C) Uniquement si la chistera touche l'adversaire. D) Le point est rejoué.</v>
      </c>
      <c r="J36" s="5" t="str">
        <f>IFERROR(__xludf.DUMMYFUNCTION("GOOGLETRANSLATE(D36, ""en"", ""fr"")"),"B) Oui, il s'agit d'une forme d'ingérence illégale.")</f>
        <v>B) Oui, il s'agit d'une forme d'ingérence illégale.</v>
      </c>
      <c r="K36" s="5" t="str">
        <f>IFERROR(__xludf.DUMMYFUNCTION("GOOGLETRANSLATE(E36, ""en"", ""fr"")"),"Un joueur ne peut pas utiliser son corps ou son équipement pour obstruer intentionnellement la ligne de vue d'un adversaire vers la balle.")</f>
        <v>Un joueur ne peut pas utiliser son corps ou son équipement pour obstruer intentionnellement la ligne de vue d'un adversaire vers la balle.</v>
      </c>
    </row>
    <row r="37" ht="22.5" customHeight="1">
      <c r="A37" s="3">
        <v>36.0</v>
      </c>
      <c r="B37" s="4" t="s">
        <v>881</v>
      </c>
      <c r="C37" s="4" t="s">
        <v>882</v>
      </c>
      <c r="D37" s="4" t="s">
        <v>883</v>
      </c>
      <c r="E37" s="4" t="s">
        <v>884</v>
      </c>
      <c r="G37" s="5" t="str">
        <f>IFERROR(__xludf.DUMMYFUNCTION("GOOGLETRANSLATE(A37, ""en"", ""fr"")"),"36")</f>
        <v>36</v>
      </c>
      <c r="H37" s="5" t="str">
        <f>IFERROR(__xludf.DUMMYFUNCTION("GOOGLETRANSLATE(B37, ""en"", ""fr"")"),"L'arbitre crie « Pasa ! » sur un service. Qu'est-ce que cela signifie ?")</f>
        <v>L'arbitre crie « Pasa ! » sur un service. Qu'est-ce que cela signifie ?</v>
      </c>
      <c r="I37" s="5" t="str">
        <f>IFERROR(__xludf.DUMMYFUNCTION("GOOGLETRANSLATE(C37, ""en"", ""fr"")"),"A) Le service était bon, B) Le service était trop court, C) Le service était trop long, D) Le point est rejoué")</f>
        <v>A) Le service était bon, B) Le service était trop court, C) Le service était trop long, D) Le point est rejoué</v>
      </c>
      <c r="J37" s="5" t="str">
        <f>IFERROR(__xludf.DUMMYFUNCTION("GOOGLETRANSLATE(D37, ""en"", ""fr"")"),"C) Le service était trop long.")</f>
        <v>C) Le service était trop long.</v>
      </c>
      <c r="K37" s="5" t="str">
        <f>IFERROR(__xludf.DUMMYFUNCTION("GOOGLETRANSLATE(E37, ""en"", ""fr"")"),"« Pasa » désigne un service « long » qui rebondit sur ou au-delà de la ligne de service long, ce qui constitue une faute.")</f>
        <v>« Pasa » désigne un service « long » qui rebondit sur ou au-delà de la ligne de service long, ce qui constitue une faute.</v>
      </c>
    </row>
    <row r="38" ht="22.5" customHeight="1">
      <c r="A38" s="3">
        <v>37.0</v>
      </c>
      <c r="B38" s="4" t="s">
        <v>885</v>
      </c>
      <c r="C38" s="4" t="s">
        <v>886</v>
      </c>
      <c r="D38" s="4" t="s">
        <v>342</v>
      </c>
      <c r="E38" s="4" t="s">
        <v>887</v>
      </c>
      <c r="G38" s="5" t="str">
        <f>IFERROR(__xludf.DUMMYFUNCTION("GOOGLETRANSLATE(A38, ""en"", ""fr"")"),"37")</f>
        <v>37</v>
      </c>
      <c r="H38" s="5" t="str">
        <f>IFERROR(__xludf.DUMMYFUNCTION("GOOGLETRANSLATE(B38, ""en"", ""fr"")"),"Un joueur a été surpris en train d'appliquer une substance collante à l'intérieur de sa chemise. Quelle est la sanction probable ?")</f>
        <v>Un joueur a été surpris en train d'appliquer une substance collante à l'intérieur de sa chemise. Quelle est la sanction probable ?</v>
      </c>
      <c r="I38" s="5" t="str">
        <f>IFERROR(__xludf.DUMMYFUNCTION("GOOGLETRANSLATE(C38, ""en"", ""fr"")"),"A) Un avertissement, B) Disqualification immédiate, C) Pénalité d'un point, D) Nettoyage de la chistera")</f>
        <v>A) Un avertissement, B) Disqualification immédiate, C) Pénalité d'un point, D) Nettoyage de la chistera</v>
      </c>
      <c r="J38" s="5" t="str">
        <f>IFERROR(__xludf.DUMMYFUNCTION("GOOGLETRANSLATE(D38, ""en"", ""fr"")"),"B) Disqualification immédiate")</f>
        <v>B) Disqualification immédiate</v>
      </c>
      <c r="K38" s="5" t="str">
        <f>IFERROR(__xludf.DUMMYFUNCTION("GOOGLETRANSLATE(E38, ""en"", ""fr"")"),"L'application de toute substance permettant à un joueur de « retenir » illégalement la balle dans la chistera constitue une infraction majeure de tricherie.")</f>
        <v>L'application de toute substance permettant à un joueur de « retenir » illégalement la balle dans la chistera constitue une infraction majeure de tricherie.</v>
      </c>
    </row>
    <row r="39" ht="22.5" customHeight="1">
      <c r="A39" s="3">
        <v>38.0</v>
      </c>
      <c r="B39" s="4" t="s">
        <v>888</v>
      </c>
      <c r="C39" s="4" t="s">
        <v>889</v>
      </c>
      <c r="D39" s="4" t="s">
        <v>890</v>
      </c>
      <c r="E39" s="4" t="s">
        <v>891</v>
      </c>
      <c r="G39" s="5" t="str">
        <f>IFERROR(__xludf.DUMMYFUNCTION("GOOGLETRANSLATE(A39, ""en"", ""fr"")"),"38")</f>
        <v>38</v>
      </c>
      <c r="H39" s="5" t="str">
        <f>IFERROR(__xludf.DUMMYFUNCTION("GOOGLETRANSLATE(B39, ""en"", ""fr"")"),"Lors d'un match de double, la balle touche successivement le mur frontal, le sol, puis le mur du fond. Quel joueur est censé renvoyer cette balle ?")</f>
        <v>Lors d'un match de double, la balle touche successivement le mur frontal, le sol, puis le mur du fond. Quel joueur est censé renvoyer cette balle ?</v>
      </c>
      <c r="I39" s="5" t="str">
        <f>IFERROR(__xludf.DUMMYFUNCTION("GOOGLETRANSLATE(C39, ""en"", ""fr"")"),"A) Le joueur de devant (delantero), B) Le joueur de fond (zaguero), C) N'importe quel joueur, D) Le serveur")</f>
        <v>A) Le joueur de devant (delantero), B) Le joueur de fond (zaguero), C) N'importe quel joueur, D) Le serveur</v>
      </c>
      <c r="J39" s="5" t="str">
        <f>IFERROR(__xludf.DUMMYFUNCTION("GOOGLETRANSLATE(D39, ""en"", ""fr"")"),"B) Le joueur de fond de court (zaguero)")</f>
        <v>B) Le joueur de fond de court (zaguero)</v>
      </c>
      <c r="K39" s="5" t="str">
        <f>IFERROR(__xludf.DUMMYFUNCTION("GOOGLETRANSLATE(E39, ""en"", ""fr"")"),"La responsabilité principale du zaguero, positionné au fond du court, est de relancer les balles longues qui rebondissent sur le mur du fond.")</f>
        <v>La responsabilité principale du zaguero, positionné au fond du court, est de relancer les balles longues qui rebondissent sur le mur du fond.</v>
      </c>
    </row>
    <row r="40" ht="22.5" customHeight="1">
      <c r="A40" s="3">
        <v>39.0</v>
      </c>
      <c r="B40" s="4" t="s">
        <v>892</v>
      </c>
      <c r="C40" s="4" t="s">
        <v>893</v>
      </c>
      <c r="D40" s="4" t="s">
        <v>894</v>
      </c>
      <c r="E40" s="4" t="s">
        <v>895</v>
      </c>
      <c r="G40" s="5" t="str">
        <f>IFERROR(__xludf.DUMMYFUNCTION("GOOGLETRANSLATE(A40, ""en"", ""fr"")"),"39")</f>
        <v>39</v>
      </c>
      <c r="H40" s="5" t="str">
        <f>IFERROR(__xludf.DUMMYFUNCTION("GOOGLETRANSLATE(B40, ""en"", ""fr"")"),"Le tir d'un joueur touche le plafond, puis le mur frontal, puis le sol. Quelle est la décision arbitrale ?")</f>
        <v>Le tir d'un joueur touche le plafond, puis le mur frontal, puis le sol. Quelle est la décision arbitrale ?</v>
      </c>
      <c r="I40" s="5" t="str">
        <f>IFERROR(__xludf.DUMMYFUNCTION("GOOGLETRANSLATE(C40, ""en"", ""fr"")"),"A) Coup légal, B) Faute pour avoir touché le plafond en premier, C) Le point est rejoué, D) Point pour le joueur qui a frappé")</f>
        <v>A) Coup légal, B) Faute pour avoir touché le plafond en premier, C) Le point est rejoué, D) Point pour le joueur qui a frappé</v>
      </c>
      <c r="J40" s="5" t="str">
        <f>IFERROR(__xludf.DUMMYFUNCTION("GOOGLETRANSLATE(D40, ""en"", ""fr"")"),"B) Une faute pour avoir touché le plafond en premier")</f>
        <v>B) Une faute pour avoir touché le plafond en premier</v>
      </c>
      <c r="K40" s="5" t="str">
        <f>IFERROR(__xludf.DUMMYFUNCTION("GOOGLETRANSLATE(E40, ""en"", ""fr"")"),"Le plafond est hors jeu. Toute balle qui touche le plafond à n'importe quel moment d'un échange constitue une faute contre le joueur qui l'a frappée.")</f>
        <v>Le plafond est hors jeu. Toute balle qui touche le plafond à n'importe quel moment d'un échange constitue une faute contre le joueur qui l'a frappée.</v>
      </c>
    </row>
    <row r="41" ht="22.5" customHeight="1">
      <c r="A41" s="3">
        <v>40.0</v>
      </c>
      <c r="B41" s="4" t="s">
        <v>896</v>
      </c>
      <c r="C41" s="4" t="s">
        <v>897</v>
      </c>
      <c r="D41" s="4" t="s">
        <v>898</v>
      </c>
      <c r="E41" s="4" t="s">
        <v>899</v>
      </c>
      <c r="G41" s="5" t="str">
        <f>IFERROR(__xludf.DUMMYFUNCTION("GOOGLETRANSLATE(A41, ""en"", ""fr"")"),"40")</f>
        <v>40</v>
      </c>
      <c r="H41" s="5" t="str">
        <f>IFERROR(__xludf.DUMMYFUNCTION("GOOGLETRANSLATE(B41, ""en"", ""fr"")"),"Quel est le rôle principal de la Fédération internationale de pelote basque (FIPV) ?")</f>
        <v>Quel est le rôle principal de la Fédération internationale de pelote basque (FIPV) ?</v>
      </c>
      <c r="I41" s="5" t="str">
        <f>IFERROR(__xludf.DUMMYFUNCTION("GOOGLETRANSLATE(C41, ""en"", ""fr"")"),"A) Organiser des paris professionnels, B) Gouverner le sport, normaliser les règles et organiser des championnats du monde, C) Entraîner l'équipe nationale espagnole, D) Fabriquer l'équipement")</f>
        <v>A) Organiser des paris professionnels, B) Gouverner le sport, normaliser les règles et organiser des championnats du monde, C) Entraîner l'équipe nationale espagnole, D) Fabriquer l'équipement</v>
      </c>
      <c r="J41" s="5" t="str">
        <f>IFERROR(__xludf.DUMMYFUNCTION("GOOGLETRANSLATE(D41, ""en"", ""fr"")"),"B) Gouverner le sport, normaliser les règles et organiser les championnats du monde")</f>
        <v>B) Gouverner le sport, normaliser les règles et organiser les championnats du monde</v>
      </c>
      <c r="K41" s="5" t="str">
        <f>IFERROR(__xludf.DUMMYFUNCTION("GOOGLETRANSLATE(E41, ""en"", ""fr"")"),"La FIPV est l'instance dirigeante mondiale chargée de l'administration et de la promotion de toutes les modalités officielles de ce sport.")</f>
        <v>La FIPV est l'instance dirigeante mondiale chargée de l'administration et de la promotion de toutes les modalités officielles de ce sport.</v>
      </c>
    </row>
    <row r="42" ht="22.5" customHeight="1">
      <c r="A42" s="3">
        <v>41.0</v>
      </c>
      <c r="B42" s="4" t="s">
        <v>900</v>
      </c>
      <c r="C42" s="4" t="s">
        <v>901</v>
      </c>
      <c r="D42" s="4" t="s">
        <v>902</v>
      </c>
      <c r="E42" s="4" t="s">
        <v>903</v>
      </c>
      <c r="G42" s="5" t="str">
        <f>IFERROR(__xludf.DUMMYFUNCTION("GOOGLETRANSLATE(A42, ""en"", ""fr"")"),"41")</f>
        <v>41</v>
      </c>
      <c r="H42" s="5" t="str">
        <f>IFERROR(__xludf.DUMMYFUNCTION("GOOGLETRANSLATE(B42, ""en"", ""fr"")"),"Un joueur est connu pour son puissant saque. De quoi s'agit-il ?")</f>
        <v>Un joueur est connu pour son puissant saque. De quoi s'agit-il ?</v>
      </c>
      <c r="I42" s="5" t="str">
        <f>IFERROR(__xludf.DUMMYFUNCTION("GOOGLETRANSLATE(C42, ""en"", ""fr"")"),"A) Leur coup droit, B) Leur revers, C) Leur service, D) Leur bloc défensif")</f>
        <v>A) Leur coup droit, B) Leur revers, C) Leur service, D) Leur bloc défensif</v>
      </c>
      <c r="J42" s="5" t="str">
        <f>IFERROR(__xludf.DUMMYFUNCTION("GOOGLETRANSLATE(D42, ""en"", ""fr"")"),"C) Leur service")</f>
        <v>C) Leur service</v>
      </c>
      <c r="K42" s="5" t="str">
        <f>IFERROR(__xludf.DUMMYFUNCTION("GOOGLETRANSLATE(E42, ""en"", ""fr"")"),"Le saque est le mot espagnol pour le service, le premier coup de chaque point.")</f>
        <v>Le saque est le mot espagnol pour le service, le premier coup de chaque point.</v>
      </c>
    </row>
    <row r="43" ht="22.5" customHeight="1">
      <c r="A43" s="3">
        <v>42.0</v>
      </c>
      <c r="B43" s="4" t="s">
        <v>904</v>
      </c>
      <c r="C43" s="4" t="s">
        <v>905</v>
      </c>
      <c r="D43" s="4" t="s">
        <v>906</v>
      </c>
      <c r="E43" s="4" t="s">
        <v>907</v>
      </c>
      <c r="G43" s="5" t="str">
        <f>IFERROR(__xludf.DUMMYFUNCTION("GOOGLETRANSLATE(A43, ""en"", ""fr"")"),"42")</f>
        <v>42</v>
      </c>
      <c r="H43" s="5" t="str">
        <f>IFERROR(__xludf.DUMMYFUNCTION("GOOGLETRANSLATE(B43, ""en"", ""fr"")"),"Pourquoi le sol d'un fronton de pelote basque professionnel est-il souvent en béton ou en granit ?")</f>
        <v>Pourquoi le sol d'un fronton de pelote basque professionnel est-il souvent en béton ou en granit ?</v>
      </c>
      <c r="I43" s="5" t="str">
        <f>IFERROR(__xludf.DUMMYFUNCTION("GOOGLETRANSLATE(C43, ""en"", ""fr"")"),"A) Il est bon marché, B) Il offre un rebond très rapide et régulier pour la balle dure, C) Il est traditionnel, D) Il est facile à nettoyer")</f>
        <v>A) Il est bon marché, B) Il offre un rebond très rapide et régulier pour la balle dure, C) Il est traditionnel, D) Il est facile à nettoyer</v>
      </c>
      <c r="J43" s="5" t="str">
        <f>IFERROR(__xludf.DUMMYFUNCTION("GOOGLETRANSLATE(D43, ""en"", ""fr"")"),"B) Il assure un rebond très rapide et régulier pour la balle dure")</f>
        <v>B) Il assure un rebond très rapide et régulier pour la balle dure</v>
      </c>
      <c r="K43" s="5" t="str">
        <f>IFERROR(__xludf.DUMMYFUNCTION("GOOGLETRANSLATE(E43, ""en"", ""fr"")"),"La surface dure et lisse est essentielle pour le rythme rapide et les rebonds importants propres à ce jeu.")</f>
        <v>La surface dure et lisse est essentielle pour le rythme rapide et les rebonds importants propres à ce jeu.</v>
      </c>
    </row>
    <row r="44" ht="22.5" customHeight="1">
      <c r="A44" s="3">
        <v>43.0</v>
      </c>
      <c r="B44" s="4" t="s">
        <v>908</v>
      </c>
      <c r="C44" s="4" t="s">
        <v>909</v>
      </c>
      <c r="D44" s="4" t="s">
        <v>689</v>
      </c>
      <c r="E44" s="4" t="s">
        <v>910</v>
      </c>
      <c r="G44" s="5" t="str">
        <f>IFERROR(__xludf.DUMMYFUNCTION("GOOGLETRANSLATE(A44, ""en"", ""fr"")"),"43")</f>
        <v>43</v>
      </c>
      <c r="H44" s="5" t="str">
        <f>IFERROR(__xludf.DUMMYFUNCTION("GOOGLETRANSLATE(B44, ""en"", ""fr"")"),"La chemise d'un joueur se casse en plein point. Que se passe-t-il ?")</f>
        <v>La chemise d'un joueur se casse en plein point. Que se passe-t-il ?</v>
      </c>
      <c r="I44" s="5" t="str">
        <f>IFERROR(__xludf.DUMMYFUNCTION("GOOGLETRANSLATE(C44, ""en"", ""fr"")"),"A) Le joueur est disqualifié, B) Le point est immédiatement arrêté et rejoué, C) Le joueur peut tenter de continuer le point avec la chestera cassée, D) Le joueur peut aller en chercher une nouvelle")</f>
        <v>A) Le joueur est disqualifié, B) Le point est immédiatement arrêté et rejoué, C) Le joueur peut tenter de continuer le point avec la chestera cassée, D) Le joueur peut aller en chercher une nouvelle</v>
      </c>
      <c r="J44" s="5" t="str">
        <f>IFERROR(__xludf.DUMMYFUNCTION("GOOGLETRANSLATE(D44, ""en"", ""fr"")"),"B) Le point est immédiatement interrompu et rejoué.")</f>
        <v>B) Le point est immédiatement interrompu et rejoué.</v>
      </c>
      <c r="K44" s="5" t="str">
        <f>IFERROR(__xludf.DUMMYFUNCTION("GOOGLETRANSLATE(E44, ""en"", ""fr"")"),"Si l'équipement essentiel d'un joueur se brise pendant un échange en direct sans qu'il y soit pour rien, le point est généralement rejoué.")</f>
        <v>Si l'équipement essentiel d'un joueur se brise pendant un échange en direct sans qu'il y soit pour rien, le point est généralement rejoué.</v>
      </c>
    </row>
    <row r="45" ht="22.5" customHeight="1">
      <c r="A45" s="3">
        <v>44.0</v>
      </c>
      <c r="B45" s="4" t="s">
        <v>911</v>
      </c>
      <c r="C45" s="4" t="s">
        <v>912</v>
      </c>
      <c r="D45" s="4" t="s">
        <v>913</v>
      </c>
      <c r="E45" s="4" t="s">
        <v>914</v>
      </c>
      <c r="G45" s="5" t="str">
        <f>IFERROR(__xludf.DUMMYFUNCTION("GOOGLETRANSLATE(A45, ""en"", ""fr"")"),"44")</f>
        <v>44</v>
      </c>
      <c r="H45" s="5" t="str">
        <f>IFERROR(__xludf.DUMMYFUNCTION("GOOGLETRANSLATE(B45, ""en"", ""fr"")"),"Quelle est la principale différence entre la paleta cuero et la paleta goma ?")</f>
        <v>Quelle est la principale différence entre la paleta cuero et la paleta goma ?</v>
      </c>
      <c r="I45" s="5" t="str">
        <f>IFERROR(__xludf.DUMMYFUNCTION("GOOGLETRANSLATE(C45, ""en"", ""fr"")"),"A) La taille du terrain, B) Le type de balle utilisée (balle en cuir ou balle en caoutchouc), C) Le nombre de joueurs, D) Le matériau de la raquette")</f>
        <v>A) La taille du terrain, B) Le type de balle utilisée (balle en cuir ou balle en caoutchouc), C) Le nombre de joueurs, D) Le matériau de la raquette</v>
      </c>
      <c r="J45" s="5" t="str">
        <f>IFERROR(__xludf.DUMMYFUNCTION("GOOGLETRANSLATE(D45, ""en"", ""fr"")"),"B) Le type de balle utilisée (balle en cuir ou balle en caoutchouc)")</f>
        <v>B) Le type de balle utilisée (balle en cuir ou balle en caoutchouc)</v>
      </c>
      <c r="K45" s="5" t="str">
        <f>IFERROR(__xludf.DUMMYFUNCTION("GOOGLETRANSLATE(E45, ""en"", ""fr"")"),"Il s'agit de deux modes de jeu de raquette différents : l'un se joue avec une balle traditionnelle en cuir dur et l'autre avec une balle en caoutchouc plus rebondissante.")</f>
        <v>Il s'agit de deux modes de jeu de raquette différents : l'un se joue avec une balle traditionnelle en cuir dur et l'autre avec une balle en caoutchouc plus rebondissante.</v>
      </c>
    </row>
    <row r="46" ht="22.5" customHeight="1">
      <c r="A46" s="3">
        <v>45.0</v>
      </c>
      <c r="B46" s="4" t="s">
        <v>915</v>
      </c>
      <c r="C46" s="4" t="s">
        <v>916</v>
      </c>
      <c r="D46" s="4" t="s">
        <v>917</v>
      </c>
      <c r="E46" s="4" t="s">
        <v>918</v>
      </c>
      <c r="G46" s="5" t="str">
        <f>IFERROR(__xludf.DUMMYFUNCTION("GOOGLETRANSLATE(A46, ""en"", ""fr"")"),"45")</f>
        <v>45</v>
      </c>
      <c r="H46" s="5" t="str">
        <f>IFERROR(__xludf.DUMMYFUNCTION("GOOGLETRANSLATE(B46, ""en"", ""fr"")"),"Un joueur reçoit un avertissement pour « interférence ». Qu'a-t-il bien pu faire ?")</f>
        <v>Un joueur reçoit un avertissement pour « interférence ». Qu'a-t-il bien pu faire ?</v>
      </c>
      <c r="I46" s="5" t="str">
        <f>IFERROR(__xludf.DUMMYFUNCTION("GOOGLETRANSLATE(C46, ""en"", ""fr"")"),"A) A frappé la balle trop fort, B) S'est placé de manière à bloquer le passage de l'adversaire vers la balle, C) A parlé à son partenaire, D) A contesté l'arbitre")</f>
        <v>A) A frappé la balle trop fort, B) S'est placé de manière à bloquer le passage de l'adversaire vers la balle, C) A parlé à son partenaire, D) A contesté l'arbitre</v>
      </c>
      <c r="J46" s="5" t="str">
        <f>IFERROR(__xludf.DUMMYFUNCTION("GOOGLETRANSLATE(D46, ""en"", ""fr"")"),"B) S'est placé de manière à bloquer le passage de l'adversaire vers la balle")</f>
        <v>B) S'est placé de manière à bloquer le passage de l'adversaire vers la balle</v>
      </c>
      <c r="K46" s="5" t="str">
        <f>IFERROR(__xludf.DUMMYFUNCTION("GOOGLETRANSLATE(E46, ""en"", ""fr"")"),"Un joueur ne peut pas intentionnellement obstruer les mouvements ou la ligne de vue d'un adversaire vers le ballon. Il s'agit d'une faute.")</f>
        <v>Un joueur ne peut pas intentionnellement obstruer les mouvements ou la ligne de vue d'un adversaire vers le ballon. Il s'agit d'une faute.</v>
      </c>
    </row>
    <row r="47" ht="22.5" customHeight="1">
      <c r="A47" s="3">
        <v>46.0</v>
      </c>
      <c r="B47" s="4" t="s">
        <v>919</v>
      </c>
      <c r="C47" s="4" t="s">
        <v>920</v>
      </c>
      <c r="D47" s="4" t="s">
        <v>921</v>
      </c>
      <c r="E47" s="4" t="s">
        <v>922</v>
      </c>
      <c r="G47" s="5" t="str">
        <f>IFERROR(__xludf.DUMMYFUNCTION("GOOGLETRANSLATE(A47, ""en"", ""fr"")"),"46")</f>
        <v>46</v>
      </c>
      <c r="H47" s="5" t="str">
        <f>IFERROR(__xludf.DUMMYFUNCTION("GOOGLETRANSLATE(B47, ""en"", ""fr"")"),"Un joueur sert. La balle touche le mur frontal, puis le sol dans le carré de service, et enfin le mur du fond. Ce service est-il valide ?")</f>
        <v>Un joueur sert. La balle touche le mur frontal, puis le sol dans le carré de service, et enfin le mur du fond. Ce service est-il valide ?</v>
      </c>
      <c r="I47" s="5" t="str">
        <f>IFERROR(__xludf.DUMMYFUNCTION("GOOGLETRANSLATE(C47, ""en"", ""fr"")"),"A) Non, la balle doit être renvoyée avant de toucher le mur du fond. B) Oui, c'est un service régulier. C) Le point est rejoué. D) C'est une faute.")</f>
        <v>A) Non, la balle doit être renvoyée avant de toucher le mur du fond. B) Oui, c'est un service régulier. C) Le point est rejoué. D) C'est une faute.</v>
      </c>
      <c r="J47" s="5" t="str">
        <f>IFERROR(__xludf.DUMMYFUNCTION("GOOGLETRANSLATE(D47, ""en"", ""fr"")"),"B) Oui, c'est un service légal")</f>
        <v>B) Oui, c'est un service légal</v>
      </c>
      <c r="K47" s="5" t="str">
        <f>IFERROR(__xludf.DUMMYFUNCTION("GOOGLETRANSLATE(E47, ""en"", ""fr"")"),"Tant que le service touche le mur frontal et rebondit dans la zone prévue, la balle est valable, même si elle touche ensuite le mur du fond.")</f>
        <v>Tant que le service touche le mur frontal et rebondit dans la zone prévue, la balle est valable, même si elle touche ensuite le mur du fond.</v>
      </c>
    </row>
    <row r="48" ht="22.5" customHeight="1">
      <c r="A48" s="3">
        <v>47.0</v>
      </c>
      <c r="B48" s="4" t="s">
        <v>923</v>
      </c>
      <c r="C48" s="4" t="s">
        <v>924</v>
      </c>
      <c r="D48" s="4" t="s">
        <v>925</v>
      </c>
      <c r="E48" s="4" t="s">
        <v>860</v>
      </c>
      <c r="G48" s="5" t="str">
        <f>IFERROR(__xludf.DUMMYFUNCTION("GOOGLETRANSLATE(A48, ""en"", ""fr"")"),"47")</f>
        <v>47</v>
      </c>
      <c r="H48" s="5" t="str">
        <f>IFERROR(__xludf.DUMMYFUNCTION("GOOGLETRANSLATE(B48, ""en"", ""fr"")"),"Lors d'un match de double, la balle arrive vers le joueur A. Son partenaire, le joueur B, crie « ¡Voy! » (J'y vais !) et joue la balle. Est-ce autorisé ?")</f>
        <v>Lors d'un match de double, la balle arrive vers le joueur A. Son partenaire, le joueur B, crie « ¡Voy! » (J'y vais !) et joue la balle. Est-ce autorisé ?</v>
      </c>
      <c r="I48" s="5" t="str">
        <f>IFERROR(__xludf.DUMMYFUNCTION("GOOGLETRANSLATE(C48, ""en"", ""fr"")"),"A) Non, le joueur A avait le droit de jouer ce point. B) Oui, la communication est essentielle au double. C) C'est une faute pour avoir distrait les adversaires. D) Le point est rejoué.")</f>
        <v>A) Non, le joueur A avait le droit de jouer ce point. B) Oui, la communication est essentielle au double. C) C'est une faute pour avoir distrait les adversaires. D) Le point est rejoué.</v>
      </c>
      <c r="J48" s="5" t="str">
        <f>IFERROR(__xludf.DUMMYFUNCTION("GOOGLETRANSLATE(D48, ""en"", ""fr"")"),"B) Oui, la communication est un élément clé du jeu en double")</f>
        <v>B) Oui, la communication est un élément clé du jeu en double</v>
      </c>
      <c r="K48" s="5" t="str">
        <f>IFERROR(__xludf.DUMMYFUNCTION("GOOGLETRANSLATE(E48, ""en"", ""fr"")"),"En double, chaque partenaire peut légalement jouer la balle lors du tour de son équipe. La communication verbale est essentielle au bon travail d'équipe.")</f>
        <v>En double, chaque partenaire peut légalement jouer la balle lors du tour de son équipe. La communication verbale est essentielle au bon travail d'équipe.</v>
      </c>
    </row>
    <row r="49" ht="22.5" customHeight="1">
      <c r="A49" s="3">
        <v>48.0</v>
      </c>
      <c r="B49" s="4" t="s">
        <v>837</v>
      </c>
      <c r="C49" s="4" t="s">
        <v>926</v>
      </c>
      <c r="D49" s="4" t="s">
        <v>839</v>
      </c>
      <c r="E49" s="4" t="s">
        <v>840</v>
      </c>
      <c r="G49" s="5" t="str">
        <f>IFERROR(__xludf.DUMMYFUNCTION("GOOGLETRANSLATE(A49, ""en"", ""fr"")"),"48")</f>
        <v>48</v>
      </c>
      <c r="H49" s="5" t="str">
        <f>IFERROR(__xludf.DUMMYFUNCTION("GOOGLETRANSLATE(B49, ""en"", ""fr"")"),"Un joueur est surpris en possession d'une chistera modifiée illégalement, produisant un effet « trampoline ». Quelle en est la conséquence ?")</f>
        <v>Un joueur est surpris en possession d'une chistera modifiée illégalement, produisant un effet « trampoline ». Quelle en est la conséquence ?</v>
      </c>
      <c r="I49" s="5" t="str">
        <f>IFERROR(__xludf.DUMMYFUNCTION("GOOGLETRANSLATE(C49, ""en"", ""fr"")"),"A) Un avertissement, B) Disqualification pour tricherie, C) Pénalité d'un point, D) Remplacement de la clochette")</f>
        <v>A) Un avertissement, B) Disqualification pour tricherie, C) Pénalité d'un point, D) Remplacement de la clochette</v>
      </c>
      <c r="J49" s="5" t="str">
        <f>IFERROR(__xludf.DUMMYFUNCTION("GOOGLETRANSLATE(D49, ""en"", ""fr"")"),"B) Perte du match pour tricherie")</f>
        <v>B) Perte du match pour tricherie</v>
      </c>
      <c r="K49" s="5" t="str">
        <f>IFERROR(__xludf.DUMMYFUNCTION("GOOGLETRANSLATE(E49, ""en"", ""fr"")"),"Toute altération du matériel visant à obtenir un avantage indu constitue un acte de tricherie majeur et entraînerait la perte de la partie.")</f>
        <v>Toute altération du matériel visant à obtenir un avantage indu constitue un acte de tricherie majeur et entraînerait la perte de la partie.</v>
      </c>
    </row>
    <row r="50" ht="22.5" customHeight="1">
      <c r="A50" s="3">
        <v>49.0</v>
      </c>
      <c r="B50" s="4" t="s">
        <v>927</v>
      </c>
      <c r="C50" s="4" t="s">
        <v>928</v>
      </c>
      <c r="D50" s="4" t="s">
        <v>929</v>
      </c>
      <c r="E50" s="4" t="s">
        <v>930</v>
      </c>
      <c r="G50" s="5" t="str">
        <f>IFERROR(__xludf.DUMMYFUNCTION("GOOGLETRANSLATE(A50, ""en"", ""fr"")"),"49")</f>
        <v>49</v>
      </c>
      <c r="H50" s="5" t="str">
        <f>IFERROR(__xludf.DUMMYFUNCTION("GOOGLETRANSLATE(B50, ""en"", ""fr"")"),"Quel est le rôle de la ligne rouge, ou chapa, en bas du mur avant ?")</f>
        <v>Quel est le rôle de la ligne rouge, ou chapa, en bas du mur avant ?</v>
      </c>
      <c r="I50" s="5" t="str">
        <f>IFERROR(__xludf.DUMMYFUNCTION("GOOGLETRANSLATE(C50, ""en"", ""fr"")"),"A) C'est la cible. B) Elle marque la limite du terrain ; tout tir la touchant ou la touchant en dessous est une faute. C) C'est une ligne de service. D) Elle est décorative.")</f>
        <v>A) C'est la cible. B) Elle marque la limite du terrain ; tout tir la touchant ou la touchant en dessous est une faute. C) C'est une ligne de service. D) Elle est décorative.</v>
      </c>
      <c r="J50" s="5" t="str">
        <f>IFERROR(__xludf.DUMMYFUNCTION("GOOGLETRANSLATE(D50, ""en"", ""fr"")"),"B) Elle marque la zone hors limites ; tout coup qui la touche ou qui la touche en dessous est une faute.")</f>
        <v>B) Elle marque la zone hors limites ; tout coup qui la touche ou qui la touche en dessous est une faute.</v>
      </c>
      <c r="K50" s="5" t="str">
        <f>IFERROR(__xludf.DUMMYFUNCTION("GOOGLETRANSLATE(E50, ""en"", ""fr"")"),"Le chapa est une bande métallique qui émet un bruit fort lorsqu'on la frappe, signalant clairement qu'un tir était trop bas et constitue une faute.")</f>
        <v>Le chapa est une bande métallique qui émet un bruit fort lorsqu'on la frappe, signalant clairement qu'un tir était trop bas et constitue une faute.</v>
      </c>
    </row>
    <row r="51" ht="22.5" customHeight="1">
      <c r="A51" s="3">
        <v>50.0</v>
      </c>
      <c r="B51" s="4" t="s">
        <v>931</v>
      </c>
      <c r="C51" s="4" t="s">
        <v>932</v>
      </c>
      <c r="D51" s="4" t="s">
        <v>933</v>
      </c>
      <c r="E51" s="4" t="s">
        <v>934</v>
      </c>
      <c r="G51" s="5" t="str">
        <f>IFERROR(__xludf.DUMMYFUNCTION("GOOGLETRANSLATE(A51, ""en"", ""fr"")"),"50")</f>
        <v>50</v>
      </c>
      <c r="H51" s="5" t="str">
        <f>IFERROR(__xludf.DUMMYFUNCTION("GOOGLETRANSLATE(B51, ""en"", ""fr"")"),"Un joueur réussit un coup si rapide et si précis que son adversaire ne peut le toucher. Comment appelle-t-on cela ?")</f>
        <v>Un joueur réussit un coup si rapide et si précis que son adversaire ne peut le toucher. Comment appelle-t-on cela ?</v>
      </c>
      <c r="I51" s="5" t="str">
        <f>IFERROR(__xludf.DUMMYFUNCTION("GOOGLETRANSLATE(C51, ""en"", ""fr"")"),"A) Une faute, B) Un bon coup, C) Un gagnant, D) Un let")</f>
        <v>A) Une faute, B) Un bon coup, C) Un gagnant, D) Un let</v>
      </c>
      <c r="J51" s="5" t="str">
        <f>IFERROR(__xludf.DUMMYFUNCTION("GOOGLETRANSLATE(D51, ""en"", ""fr"")"),"C) Un gagnant")</f>
        <v>C) Un gagnant</v>
      </c>
      <c r="K51" s="5" t="str">
        <f>IFERROR(__xludf.DUMMYFUNCTION("GOOGLETRANSLATE(E51, ""en"", ""fr"")"),"Un « coup gagnant » est un tir offensif tellement efficace que l'adversaire ne parvient même pas à toucher le ballon.")</f>
        <v>Un « coup gagnant » est un tir offensif tellement efficace que l'adversaire ne parvient même pas à toucher le ballon.</v>
      </c>
    </row>
    <row r="52" ht="22.5" customHeight="1">
      <c r="A52" s="3">
        <v>51.0</v>
      </c>
      <c r="B52" s="4" t="s">
        <v>935</v>
      </c>
      <c r="C52" s="4" t="s">
        <v>936</v>
      </c>
      <c r="D52" s="4" t="s">
        <v>937</v>
      </c>
      <c r="E52" s="4" t="s">
        <v>938</v>
      </c>
      <c r="G52" s="5" t="str">
        <f>IFERROR(__xludf.DUMMYFUNCTION("GOOGLETRANSLATE(A52, ""en"", ""fr"")"),"51")</f>
        <v>51</v>
      </c>
      <c r="H52" s="5" t="str">
        <f>IFERROR(__xludf.DUMMYFUNCTION("GOOGLETRANSLATE(B52, ""en"", ""fr"")"),"Un joueur est touché par la balle pendant un échange. Quelle est la décision arbitrale ?")</f>
        <v>Un joueur est touché par la balle pendant un échange. Quelle est la décision arbitrale ?</v>
      </c>
      <c r="I52" s="5" t="str">
        <f>IFERROR(__xludf.DUMMYFUNCTION("GOOGLETRANSLATE(C52, ""en"", ""fr"")"),"A) Le joueur touché perd le point. B) Le point est rejoué. C) Le joueur qui a frappé la balle perd le point. D) Le joueur touché reçoit une pénalité.")</f>
        <v>A) Le joueur touché perd le point. B) Le point est rejoué. C) Le joueur qui a frappé la balle perd le point. D) Le joueur touché reçoit une pénalité.</v>
      </c>
      <c r="J52" s="5" t="str">
        <f>IFERROR(__xludf.DUMMYFUNCTION("GOOGLETRANSLATE(D52, ""en"", ""fr"")"),"A) Le joueur touché perd le point.")</f>
        <v>A) Le joueur touché perd le point.</v>
      </c>
      <c r="K52" s="5" t="str">
        <f>IFERROR(__xludf.DUMMYFUNCTION("GOOGLETRANSLATE(E52, ""en"", ""fr"")"),"Si la balle, après avoir heurté le mur frontal, touche un joueur avant d'avoir rebondi sur le sol, ce joueur est considéré comme « touché » et perd le point.")</f>
        <v>Si la balle, après avoir heurté le mur frontal, touche un joueur avant d'avoir rebondi sur le sol, ce joueur est considéré comme « touché » et perd le point.</v>
      </c>
    </row>
    <row r="53" ht="22.5" customHeight="1">
      <c r="A53" s="3">
        <v>52.0</v>
      </c>
      <c r="B53" s="4" t="s">
        <v>877</v>
      </c>
      <c r="C53" s="4" t="s">
        <v>878</v>
      </c>
      <c r="D53" s="4" t="s">
        <v>939</v>
      </c>
      <c r="E53" s="4" t="s">
        <v>880</v>
      </c>
      <c r="G53" s="5" t="str">
        <f>IFERROR(__xludf.DUMMYFUNCTION("GOOGLETRANSLATE(A53, ""en"", ""fr"")"),"52")</f>
        <v>52</v>
      </c>
      <c r="H53" s="5" t="str">
        <f>IFERROR(__xludf.DUMMYFUNCTION("GOOGLETRANSLATE(B53, ""en"", ""fr"")"),"Un joueur reçoit un avertissement pour avoir utilisé sa chemise afin de gêner la vue du ballon par son adversaire. Est-ce une faute ?")</f>
        <v>Un joueur reçoit un avertissement pour avoir utilisé sa chemise afin de gêner la vue du ballon par son adversaire. Est-ce une faute ?</v>
      </c>
      <c r="I53" s="5" t="str">
        <f>IFERROR(__xludf.DUMMYFUNCTION("GOOGLETRANSLATE(C53, ""en"", ""fr"")"),"A) Non, c'est une tactique astucieuse. B) Oui, c'est une forme d'ingérence illégale. C) Uniquement si la chistera touche l'adversaire. D) Le point est rejoué.")</f>
        <v>A) Non, c'est une tactique astucieuse. B) Oui, c'est une forme d'ingérence illégale. C) Uniquement si la chistera touche l'adversaire. D) Le point est rejoué.</v>
      </c>
      <c r="J53" s="5" t="str">
        <f>IFERROR(__xludf.DUMMYFUNCTION("GOOGLETRANSLATE(D53, ""en"", ""fr"")"),"B) Oui, il s'agit d'une forme d'ingérence illégale.")</f>
        <v>B) Oui, il s'agit d'une forme d'ingérence illégale.</v>
      </c>
      <c r="K53" s="5" t="str">
        <f>IFERROR(__xludf.DUMMYFUNCTION("GOOGLETRANSLATE(E53, ""en"", ""fr"")"),"Un joueur ne peut pas utiliser son corps ou son équipement pour obstruer intentionnellement la ligne de vue d'un adversaire vers la balle.")</f>
        <v>Un joueur ne peut pas utiliser son corps ou son équipement pour obstruer intentionnellement la ligne de vue d'un adversaire vers la balle.</v>
      </c>
    </row>
    <row r="54" ht="22.5" customHeight="1">
      <c r="A54" s="3">
        <v>53.0</v>
      </c>
      <c r="B54" s="4" t="s">
        <v>892</v>
      </c>
      <c r="C54" s="4" t="s">
        <v>893</v>
      </c>
      <c r="D54" s="4" t="s">
        <v>894</v>
      </c>
      <c r="E54" s="4" t="s">
        <v>895</v>
      </c>
      <c r="G54" s="5" t="str">
        <f>IFERROR(__xludf.DUMMYFUNCTION("GOOGLETRANSLATE(A54, ""en"", ""fr"")"),"53")</f>
        <v>53</v>
      </c>
      <c r="H54" s="5" t="str">
        <f>IFERROR(__xludf.DUMMYFUNCTION("GOOGLETRANSLATE(B54, ""en"", ""fr"")"),"Le tir d'un joueur touche le plafond, puis le mur frontal, puis le sol. Quelle est la décision arbitrale ?")</f>
        <v>Le tir d'un joueur touche le plafond, puis le mur frontal, puis le sol. Quelle est la décision arbitrale ?</v>
      </c>
      <c r="I54" s="5" t="str">
        <f>IFERROR(__xludf.DUMMYFUNCTION("GOOGLETRANSLATE(C54, ""en"", ""fr"")"),"A) Coup légal, B) Faute pour avoir touché le plafond en premier, C) Le point est rejoué, D) Point pour le joueur qui a frappé")</f>
        <v>A) Coup légal, B) Faute pour avoir touché le plafond en premier, C) Le point est rejoué, D) Point pour le joueur qui a frappé</v>
      </c>
      <c r="J54" s="5" t="str">
        <f>IFERROR(__xludf.DUMMYFUNCTION("GOOGLETRANSLATE(D54, ""en"", ""fr"")"),"B) Une faute pour avoir touché le plafond en premier")</f>
        <v>B) Une faute pour avoir touché le plafond en premier</v>
      </c>
      <c r="K54" s="5" t="str">
        <f>IFERROR(__xludf.DUMMYFUNCTION("GOOGLETRANSLATE(E54, ""en"", ""fr"")"),"Le plafond est hors jeu. Toute balle qui touche le plafond à n'importe quel moment d'un échange constitue une faute contre le joueur qui l'a frappée.")</f>
        <v>Le plafond est hors jeu. Toute balle qui touche le plafond à n'importe quel moment d'un échange constitue une faute contre le joueur qui l'a frappée.</v>
      </c>
    </row>
    <row r="55" ht="22.5" customHeight="1">
      <c r="A55" s="3">
        <v>54.0</v>
      </c>
      <c r="B55" s="4" t="s">
        <v>904</v>
      </c>
      <c r="C55" s="4" t="s">
        <v>905</v>
      </c>
      <c r="D55" s="4" t="s">
        <v>906</v>
      </c>
      <c r="E55" s="4" t="s">
        <v>907</v>
      </c>
      <c r="G55" s="5" t="str">
        <f>IFERROR(__xludf.DUMMYFUNCTION("GOOGLETRANSLATE(A55, ""en"", ""fr"")"),"54")</f>
        <v>54</v>
      </c>
      <c r="H55" s="5" t="str">
        <f>IFERROR(__xludf.DUMMYFUNCTION("GOOGLETRANSLATE(B55, ""en"", ""fr"")"),"Pourquoi le sol d'un fronton de pelote basque professionnel est-il souvent en béton ou en granit ?")</f>
        <v>Pourquoi le sol d'un fronton de pelote basque professionnel est-il souvent en béton ou en granit ?</v>
      </c>
      <c r="I55" s="5" t="str">
        <f>IFERROR(__xludf.DUMMYFUNCTION("GOOGLETRANSLATE(C55, ""en"", ""fr"")"),"A) Il est bon marché, B) Il offre un rebond très rapide et régulier pour la balle dure, C) Il est traditionnel, D) Il est facile à nettoyer")</f>
        <v>A) Il est bon marché, B) Il offre un rebond très rapide et régulier pour la balle dure, C) Il est traditionnel, D) Il est facile à nettoyer</v>
      </c>
      <c r="J55" s="5" t="str">
        <f>IFERROR(__xludf.DUMMYFUNCTION("GOOGLETRANSLATE(D55, ""en"", ""fr"")"),"B) Il assure un rebond très rapide et régulier pour la balle dure")</f>
        <v>B) Il assure un rebond très rapide et régulier pour la balle dure</v>
      </c>
      <c r="K55" s="5" t="str">
        <f>IFERROR(__xludf.DUMMYFUNCTION("GOOGLETRANSLATE(E55, ""en"", ""fr"")"),"La surface dure et lisse est essentielle pour le rythme rapide et les rebonds importants propres à ce jeu.")</f>
        <v>La surface dure et lisse est essentielle pour le rythme rapide et les rebonds importants propres à ce jeu.</v>
      </c>
    </row>
    <row r="56" ht="22.5" customHeight="1">
      <c r="A56" s="3">
        <v>55.0</v>
      </c>
      <c r="B56" s="4" t="s">
        <v>940</v>
      </c>
      <c r="C56" s="4" t="s">
        <v>941</v>
      </c>
      <c r="D56" s="4" t="s">
        <v>942</v>
      </c>
      <c r="E56" s="4" t="s">
        <v>943</v>
      </c>
      <c r="G56" s="5" t="str">
        <f>IFERROR(__xludf.DUMMYFUNCTION("GOOGLETRANSLATE(A56, ""en"", ""fr"")"),"55")</f>
        <v>55</v>
      </c>
      <c r="H56" s="5" t="str">
        <f>IFERROR(__xludf.DUMMYFUNCTION("GOOGLETRANSLATE(B56, ""en"", ""fr"")"),"Qu'est-ce qu'une Pala Corta ?")</f>
        <v>Qu'est-ce qu'une Pala Corta ?</v>
      </c>
      <c r="I56" s="5" t="str">
        <f>IFERROR(__xludf.DUMMYFUNCTION("GOOGLETRANSLATE(C56, ""en"", ""fr"")"),"A) Une petite chistera, B) Une courte et épaisse raquette en bois utilisée pour frapper une balle en cuir dur, C) Une courte partie de pelote basque, D) L'avant du terrain")</f>
        <v>A) Une petite chistera, B) Une courte et épaisse raquette en bois utilisée pour frapper une balle en cuir dur, C) Une courte partie de pelote basque, D) L'avant du terrain</v>
      </c>
      <c r="J56" s="5" t="str">
        <f>IFERROR(__xludf.DUMMYFUNCTION("GOOGLETRANSLATE(D56, ""en"", ""fr"")"),"B) Une raquette en bois courte et épaisse utilisée pour frapper une balle en cuir dur")</f>
        <v>B) Une raquette en bois courte et épaisse utilisée pour frapper une balle en cuir dur</v>
      </c>
      <c r="K56" s="5" t="str">
        <f>IFERROR(__xludf.DUMMYFUNCTION("GOOGLETRANSLATE(E56, ""en"", ""fr"")"),"Pala Corta (« courte raquette ») est une modalité spécifique et puissante du jeu, populaire en Espagne et en France.")</f>
        <v>Pala Corta (« courte raquette ») est une modalité spécifique et puissante du jeu, populaire en Espagne et en France.</v>
      </c>
    </row>
    <row r="57" ht="22.5" customHeight="1">
      <c r="A57" s="3">
        <v>56.0</v>
      </c>
      <c r="B57" s="4" t="s">
        <v>944</v>
      </c>
      <c r="C57" s="4" t="s">
        <v>945</v>
      </c>
      <c r="D57" s="4" t="s">
        <v>946</v>
      </c>
      <c r="E57" s="4" t="s">
        <v>947</v>
      </c>
      <c r="G57" s="5" t="str">
        <f>IFERROR(__xludf.DUMMYFUNCTION("GOOGLETRANSLATE(A57, ""en"", ""fr"")"),"56")</f>
        <v>56</v>
      </c>
      <c r="H57" s="5" t="str">
        <f>IFERROR(__xludf.DUMMYFUNCTION("GOOGLETRANSLATE(B57, ""en"", ""fr"")"),"Un joueur sert, et la balle touche la ligne entre le mur frontal et le mur latéral. Quelle est la décision ?")</f>
        <v>Un joueur sert, et la balle touche la ligne entre le mur frontal et le mur latéral. Quelle est la décision ?</v>
      </c>
      <c r="I57" s="5" t="str">
        <f>IFERROR(__xludf.DUMMYFUNCTION("GOOGLETRANSLATE(C57, ""en"", ""fr"")"),"A) Service régulier, B) Faute, C) Point rejoué, D) Choix de l'adversaire")</f>
        <v>A) Service régulier, B) Faute, C) Point rejoué, D) Choix de l'adversaire</v>
      </c>
      <c r="J57" s="5" t="str">
        <f>IFERROR(__xludf.DUMMYFUNCTION("GOOGLETRANSLATE(D57, ""en"", ""fr"")"),"A) Un service légal")</f>
        <v>A) Un service légal</v>
      </c>
      <c r="K57" s="5" t="str">
        <f>IFERROR(__xludf.DUMMYFUNCTION("GOOGLETRANSLATE(E57, ""en"", ""fr"")"),"Contrairement à la ligne tracée au sol, le coin où deux surfaces de jeu se rejoignent est considéré comme « dedans ».")</f>
        <v>Contrairement à la ligne tracée au sol, le coin où deux surfaces de jeu se rejoignent est considéré comme « dedans ».</v>
      </c>
    </row>
    <row r="58" ht="22.5" customHeight="1">
      <c r="A58" s="3">
        <v>57.0</v>
      </c>
      <c r="B58" s="4" t="s">
        <v>948</v>
      </c>
      <c r="C58" s="4" t="s">
        <v>949</v>
      </c>
      <c r="D58" s="4" t="s">
        <v>950</v>
      </c>
      <c r="E58" s="4" t="s">
        <v>951</v>
      </c>
      <c r="G58" s="5" t="str">
        <f>IFERROR(__xludf.DUMMYFUNCTION("GOOGLETRANSLATE(A58, ""en"", ""fr"")"),"57")</f>
        <v>57</v>
      </c>
      <c r="H58" s="5" t="str">
        <f>IFERROR(__xludf.DUMMYFUNCTION("GOOGLETRANSLATE(B58, ""en"", ""fr"")"),"On voit un joueur s'appliquer une substance collante, comme de la résine de pin, sur les mains avant un match de nue principal. Pourquoi ?")</f>
        <v>On voit un joueur s'appliquer une substance collante, comme de la résine de pin, sur les mains avant un match de nue principal. Pourquoi ?</v>
      </c>
      <c r="I58" s="5" t="str">
        <f>IFERROR(__xludf.DUMMYFUNCTION("GOOGLETRANSLATE(C58, ""en"", ""fr"")"),"A) C'est une substance illégale. B) Pour mieux contrôler la balle lors de la frappe. C) Pour se protéger les mains des blessures. D) Pour donner un effet à la balle.")</f>
        <v>A) C'est une substance illégale. B) Pour mieux contrôler la balle lors de la frappe. C) Pour se protéger les mains des blessures. D) Pour donner un effet à la balle.</v>
      </c>
      <c r="J58" s="5" t="str">
        <f>IFERROR(__xludf.DUMMYFUNCTION("GOOGLETRANSLATE(D58, ""en"", ""fr"")"),"B) Pour avoir une meilleure prise sur la balle lors de la frappe")</f>
        <v>B) Pour avoir une meilleure prise sur la balle lors de la frappe</v>
      </c>
      <c r="K58" s="5" t="str">
        <f>IFERROR(__xludf.DUMMYFUNCTION("GOOGLETRANSLATE(E58, ""en"", ""fr"")"),"Une petite quantité de résine peut aider le joueur à obtenir plus d'adhérence sur la balle, lui permettant ainsi de lui imprimer plus d'effet et de contrôle.")</f>
        <v>Une petite quantité de résine peut aider le joueur à obtenir plus d'adhérence sur la balle, lui permettant ainsi de lui imprimer plus d'effet et de contrôle.</v>
      </c>
    </row>
    <row r="59" ht="22.5" customHeight="1">
      <c r="A59" s="3">
        <v>58.0</v>
      </c>
      <c r="B59" s="4" t="s">
        <v>952</v>
      </c>
      <c r="C59" s="4" t="s">
        <v>945</v>
      </c>
      <c r="D59" s="4" t="s">
        <v>953</v>
      </c>
      <c r="E59" s="4" t="s">
        <v>954</v>
      </c>
      <c r="G59" s="5" t="str">
        <f>IFERROR(__xludf.DUMMYFUNCTION("GOOGLETRANSLATE(A59, ""en"", ""fr"")"),"58")</f>
        <v>58</v>
      </c>
      <c r="H59" s="5" t="str">
        <f>IFERROR(__xludf.DUMMYFUNCTION("GOOGLETRANSLATE(B59, ""en"", ""fr"")"),"Un joueur sert, et la balle touche la ligne entre le mur frontal et le sol. Quelle est la décision ?")</f>
        <v>Un joueur sert, et la balle touche la ligne entre le mur frontal et le sol. Quelle est la décision ?</v>
      </c>
      <c r="I59" s="5" t="str">
        <f>IFERROR(__xludf.DUMMYFUNCTION("GOOGLETRANSLATE(C59, ""en"", ""fr"")"),"A) Service régulier, B) Faute, C) Point rejoué, D) Choix de l'adversaire")</f>
        <v>A) Service régulier, B) Faute, C) Point rejoué, D) Choix de l'adversaire</v>
      </c>
      <c r="J59" s="5" t="str">
        <f>IFERROR(__xludf.DUMMYFUNCTION("GOOGLETRANSLATE(D59, ""en"", ""fr"")"),"B) Un défaut")</f>
        <v>B) Un défaut</v>
      </c>
      <c r="K59" s="5" t="str">
        <f>IFERROR(__xludf.DUMMYFUNCTION("GOOGLETRANSLATE(E59, ""en"", ""fr"")"),"La balle doit toucher le mur frontal nettement au-dessus du sol. Toucher la ligne est une faute.")</f>
        <v>La balle doit toucher le mur frontal nettement au-dessus du sol. Toucher la ligne est une faute.</v>
      </c>
    </row>
    <row r="60" ht="22.5" customHeight="1">
      <c r="A60" s="3">
        <v>59.0</v>
      </c>
      <c r="B60" s="4" t="s">
        <v>955</v>
      </c>
      <c r="C60" s="4" t="s">
        <v>956</v>
      </c>
      <c r="D60" s="4" t="s">
        <v>957</v>
      </c>
      <c r="E60" s="4" t="s">
        <v>958</v>
      </c>
      <c r="G60" s="5" t="str">
        <f>IFERROR(__xludf.DUMMYFUNCTION("GOOGLETRANSLATE(A60, ""en"", ""fr"")"),"59")</f>
        <v>59</v>
      </c>
      <c r="H60" s="5" t="str">
        <f>IFERROR(__xludf.DUMMYFUNCTION("GOOGLETRANSLATE(B60, ""en"", ""fr"")"),"Un joueur porte un casque lors d'un match de pelote basque. Pourquoi est-ce une exigence moderne ?")</f>
        <v>Un joueur porte un casque lors d'un match de pelote basque. Pourquoi est-ce une exigence moderne ?</v>
      </c>
      <c r="I60" s="5" t="str">
        <f>IFERROR(__xludf.DUMMYFUNCTION("GOOGLETRANSLATE(C60, ""en"", ""fr"")"),"A) Pour faire professionnel, B) La vitesse incroyable du ballon peut être mortelle s'il heurte la tête d'un joueur, C) Pour se protéger des chutes, D) C'est une exigence du sponsor")</f>
        <v>A) Pour faire professionnel, B) La vitesse incroyable du ballon peut être mortelle s'il heurte la tête d'un joueur, C) Pour se protéger des chutes, D) C'est une exigence du sponsor</v>
      </c>
      <c r="J60" s="5" t="str">
        <f>IFERROR(__xludf.DUMMYFUNCTION("GOOGLETRANSLATE(D60, ""en"", ""fr"")"),"B) L'incroyable vitesse de la balle peut être mortelle si elle frappe un joueur à la tête.")</f>
        <v>B) L'incroyable vitesse de la balle peut être mortelle si elle frappe un joueur à la tête.</v>
      </c>
      <c r="K60" s="5" t="str">
        <f>IFERROR(__xludf.DUMMYFUNCTION("GOOGLETRANSLATE(E60, ""en"", ""fr"")"),"Avec des vitesses de balle dépassant les 300 km/h, le casque est un équipement de sécurité essentiel pour prévenir les blessures graves ou mortelles à la tête.")</f>
        <v>Avec des vitesses de balle dépassant les 300 km/h, le casque est un équipement de sécurité essentiel pour prévenir les blessures graves ou mortelles à la tête.</v>
      </c>
    </row>
    <row r="61" ht="22.5" customHeight="1">
      <c r="A61" s="3">
        <v>60.0</v>
      </c>
      <c r="B61" s="4" t="s">
        <v>896</v>
      </c>
      <c r="C61" s="4" t="s">
        <v>897</v>
      </c>
      <c r="D61" s="4" t="s">
        <v>898</v>
      </c>
      <c r="E61" s="4" t="s">
        <v>899</v>
      </c>
      <c r="G61" s="5" t="str">
        <f>IFERROR(__xludf.DUMMYFUNCTION("GOOGLETRANSLATE(A61, ""en"", ""fr"")"),"60")</f>
        <v>60</v>
      </c>
      <c r="H61" s="5" t="str">
        <f>IFERROR(__xludf.DUMMYFUNCTION("GOOGLETRANSLATE(B61, ""en"", ""fr"")"),"Quel est le rôle principal de la Fédération internationale de pelote basque (FIPV) ?")</f>
        <v>Quel est le rôle principal de la Fédération internationale de pelote basque (FIPV) ?</v>
      </c>
      <c r="I61" s="5" t="str">
        <f>IFERROR(__xludf.DUMMYFUNCTION("GOOGLETRANSLATE(C61, ""en"", ""fr"")"),"A) Organiser des paris professionnels, B) Gouverner le sport, normaliser les règles et organiser des championnats du monde, C) Entraîner l'équipe nationale espagnole, D) Fabriquer l'équipement")</f>
        <v>A) Organiser des paris professionnels, B) Gouverner le sport, normaliser les règles et organiser des championnats du monde, C) Entraîner l'équipe nationale espagnole, D) Fabriquer l'équipement</v>
      </c>
      <c r="J61" s="5" t="str">
        <f>IFERROR(__xludf.DUMMYFUNCTION("GOOGLETRANSLATE(D61, ""en"", ""fr"")"),"B) Gouverner le sport, normaliser les règles et organiser les championnats du monde")</f>
        <v>B) Gouverner le sport, normaliser les règles et organiser les championnats du monde</v>
      </c>
      <c r="K61" s="5" t="str">
        <f>IFERROR(__xludf.DUMMYFUNCTION("GOOGLETRANSLATE(E61, ""en"", ""fr"")"),"La FIPV est l'instance dirigeante mondiale chargée de l'administration et de la promotion de toutes les modalités officielles de ce sport.")</f>
        <v>La FIPV est l'instance dirigeante mondiale chargée de l'administration et de la promotion de toutes les modalités officielles de ce sport.</v>
      </c>
    </row>
    <row r="62" ht="22.5" customHeight="1">
      <c r="A62" s="3">
        <v>61.0</v>
      </c>
      <c r="B62" s="4" t="s">
        <v>959</v>
      </c>
      <c r="C62" s="4" t="s">
        <v>960</v>
      </c>
      <c r="D62" s="4" t="s">
        <v>961</v>
      </c>
      <c r="E62" s="4" t="s">
        <v>962</v>
      </c>
      <c r="G62" s="5" t="str">
        <f>IFERROR(__xludf.DUMMYFUNCTION("GOOGLETRANSLATE(A62, ""en"", ""fr"")"),"61")</f>
        <v>61</v>
      </c>
      <c r="H62" s="5" t="str">
        <f>IFERROR(__xludf.DUMMYFUNCTION("GOOGLETRANSLATE(B62, ""en"", ""fr"")"),"Un joueur renvoie la balle, qui touche le mur avant, puis le mur de gauche, puis le mur du fond, avant de rebondir. Est-ce autorisé ?")</f>
        <v>Un joueur renvoie la balle, qui touche le mur avant, puis le mur de gauche, puis le mur du fond, avant de rebondir. Est-ce autorisé ?</v>
      </c>
      <c r="I62" s="5" t="str">
        <f>IFERROR(__xludf.DUMMYFUNCTION("GOOGLETRANSLATE(C62, ""en"", ""fr"")"),"A) Non, elle a heurté trop de murs. B) Oui, il s'agit d'une séquence de jeu légale, bien que complexe. C) Le point est rejoué. D) C'est une faute.")</f>
        <v>A) Non, elle a heurté trop de murs. B) Oui, il s'agit d'une séquence de jeu légale, bien que complexe. C) Le point est rejoué. D) C'est une faute.</v>
      </c>
      <c r="J62" s="5" t="str">
        <f>IFERROR(__xludf.DUMMYFUNCTION("GOOGLETRANSLATE(D62, ""en"", ""fr"")"),"B) Oui, il s'agit d'une séquence de jeu légale, bien que complexe.")</f>
        <v>B) Oui, il s'agit d'une séquence de jeu légale, bien que complexe.</v>
      </c>
      <c r="K62" s="5" t="str">
        <f>IFERROR(__xludf.DUMMYFUNCTION("GOOGLETRANSLATE(E62, ""en"", ""fr"")"),"Dans un terrain à trois murs, la balle peut rebondir sur les murs dans n'importe quel ordre, pourvu qu'elle touche d'abord le mur avant et qu'elle ne rebondisse qu'une seule fois sur le sol.")</f>
        <v>Dans un terrain à trois murs, la balle peut rebondir sur les murs dans n'importe quel ordre, pourvu qu'elle touche d'abord le mur avant et qu'elle ne rebondisse qu'une seule fois sur le sol.</v>
      </c>
    </row>
    <row r="63" ht="22.5" customHeight="1">
      <c r="A63" s="3">
        <v>62.0</v>
      </c>
      <c r="B63" s="4" t="s">
        <v>963</v>
      </c>
      <c r="C63" s="4" t="s">
        <v>964</v>
      </c>
      <c r="D63" s="4" t="s">
        <v>965</v>
      </c>
      <c r="E63" s="4" t="s">
        <v>966</v>
      </c>
      <c r="G63" s="5" t="str">
        <f>IFERROR(__xludf.DUMMYFUNCTION("GOOGLETRANSLATE(A63, ""en"", ""fr"")"),"62")</f>
        <v>62</v>
      </c>
      <c r="H63" s="5" t="str">
        <f>IFERROR(__xludf.DUMMYFUNCTION("GOOGLETRANSLATE(B63, ""en"", ""fr"")"),"Un joueur est pénalisé pour une faute hors du terrain. Qu'a-t-il pu faire ?")</f>
        <v>Un joueur est pénalisé pour une faute hors du terrain. Qu'a-t-il pu faire ?</v>
      </c>
      <c r="I63" s="5" t="str">
        <f>IFERROR(__xludf.DUMMYFUNCTION("GOOGLETRANSLATE(C63, ""en"", ""fr"")"),"A) Envoyer la balle hors du court, B) Sortir du court pour jouer une balle, C) Contester la décision de l'arbitre depuis le banc, D) Servir en dehors du carré de service")</f>
        <v>A) Envoyer la balle hors du court, B) Sortir du court pour jouer une balle, C) Contester la décision de l'arbitre depuis le banc, D) Servir en dehors du carré de service</v>
      </c>
      <c r="J63" s="5" t="str">
        <f>IFERROR(__xludf.DUMMYFUNCTION("GOOGLETRANSLATE(D63, ""en"", ""fr"")"),"D) Servi depuis l'extérieur du plateau de service")</f>
        <v>D) Servi depuis l'extérieur du plateau de service</v>
      </c>
      <c r="K63" s="5" t="str">
        <f>IFERROR(__xludf.DUMMYFUNCTION("GOOGLETRANSLATE(E63, ""en"", ""fr"")"),"Un joueur doit se trouver à l'intérieur de la zone de service désignée lorsqu'il initie le service.")</f>
        <v>Un joueur doit se trouver à l'intérieur de la zone de service désignée lorsqu'il initie le service.</v>
      </c>
    </row>
    <row r="64" ht="22.5" customHeight="1">
      <c r="A64" s="3">
        <v>63.0</v>
      </c>
      <c r="B64" s="4" t="s">
        <v>967</v>
      </c>
      <c r="C64" s="4" t="s">
        <v>968</v>
      </c>
      <c r="D64" s="4" t="s">
        <v>969</v>
      </c>
      <c r="E64" s="4" t="s">
        <v>970</v>
      </c>
      <c r="G64" s="5" t="str">
        <f>IFERROR(__xludf.DUMMYFUNCTION("GOOGLETRANSLATE(A64, ""en"", ""fr"")"),"63")</f>
        <v>63</v>
      </c>
      <c r="H64" s="5" t="str">
        <f>IFERROR(__xludf.DUMMYFUNCTION("GOOGLETRANSLATE(B64, ""en"", ""fr"")"),"Lors d'un match de main nue, un joueur frappe la balle avec ses phalanges au lieu de la paume. Est-ce légal ?")</f>
        <v>Lors d'un match de main nue, un joueur frappe la balle avec ses phalanges au lieu de la paume. Est-ce légal ?</v>
      </c>
      <c r="I64" s="5" t="str">
        <f>IFERROR(__xludf.DUMMYFUNCTION("GOOGLETRANSLATE(C64, ""en"", ""fr"")"),"A) Non, seule la paume est autorisée. B) Oui, différentes parties de la main peuvent être utilisées. C) C'est une faute. D) Le point est rejoué.")</f>
        <v>A) Non, seule la paume est autorisée. B) Oui, différentes parties de la main peuvent être utilisées. C) C'est une faute. D) Le point est rejoué.</v>
      </c>
      <c r="J64" s="5" t="str">
        <f>IFERROR(__xludf.DUMMYFUNCTION("GOOGLETRANSLATE(D64, ""en"", ""fr"")"),"B) Oui, différentes parties de la main peuvent être utilisées")</f>
        <v>B) Oui, différentes parties de la main peuvent être utilisées</v>
      </c>
      <c r="K64" s="5" t="str">
        <f>IFERROR(__xludf.DUMMYFUNCTION("GOOGLETRANSLATE(E64, ""en"", ""fr"")"),"Les joueurs expérimentés de tennis à mains nues utilisent différentes parties de leur main pour imprimer différentes rotations et vitesses à la balle.")</f>
        <v>Les joueurs expérimentés de tennis à mains nues utilisent différentes parties de leur main pour imprimer différentes rotations et vitesses à la balle.</v>
      </c>
    </row>
    <row r="65" ht="22.5" customHeight="1">
      <c r="A65" s="3">
        <v>64.0</v>
      </c>
      <c r="B65" s="4" t="s">
        <v>971</v>
      </c>
      <c r="C65" s="4" t="s">
        <v>972</v>
      </c>
      <c r="D65" s="4" t="s">
        <v>973</v>
      </c>
      <c r="E65" s="4" t="s">
        <v>974</v>
      </c>
      <c r="G65" s="5" t="str">
        <f>IFERROR(__xludf.DUMMYFUNCTION("GOOGLETRANSLATE(A65, ""en"", ""fr"")"),"64")</f>
        <v>64</v>
      </c>
      <c r="H65" s="5" t="str">
        <f>IFERROR(__xludf.DUMMYFUNCTION("GOOGLETRANSLATE(B65, ""en"", ""fr"")"),"L'arbitre crie « Tanto ! » Qu'est-ce que cela signifie ?")</f>
        <v>L'arbitre crie « Tanto ! » Qu'est-ce que cela signifie ?</v>
      </c>
      <c r="I65" s="5" t="str">
        <f>IFERROR(__xludf.DUMMYFUNCTION("GOOGLETRANSLATE(C65, ""en"", ""fr"")"),"A) Une faute a été commise, B) Le point est accordé, C) Le match est terminé, D) Un temps mort est demandé")</f>
        <v>A) Une faute a été commise, B) Le point est accordé, C) Le match est terminé, D) Un temps mort est demandé</v>
      </c>
      <c r="J65" s="5" t="str">
        <f>IFERROR(__xludf.DUMMYFUNCTION("GOOGLETRANSLATE(D65, ""en"", ""fr"")"),"B) Le point est attribué.")</f>
        <v>B) Le point est attribué.</v>
      </c>
      <c r="K65" s="5" t="str">
        <f>IFERROR(__xludf.DUMMYFUNCTION("GOOGLETRANSLATE(E65, ""en"", ""fr"")"),"Tanto est l'annonce traditionnelle faite par l'arbitre pour signaler qu'un point a été marqué.")</f>
        <v>Tanto est l'annonce traditionnelle faite par l'arbitre pour signaler qu'un point a été marqué.</v>
      </c>
    </row>
    <row r="66" ht="22.5" customHeight="1">
      <c r="A66" s="3">
        <v>65.0</v>
      </c>
      <c r="B66" s="4" t="s">
        <v>975</v>
      </c>
      <c r="C66" s="4" t="s">
        <v>976</v>
      </c>
      <c r="D66" s="4" t="s">
        <v>977</v>
      </c>
      <c r="E66" s="4" t="s">
        <v>978</v>
      </c>
      <c r="G66" s="5" t="str">
        <f>IFERROR(__xludf.DUMMYFUNCTION("GOOGLETRANSLATE(A66, ""en"", ""fr"")"),"65")</f>
        <v>65</v>
      </c>
      <c r="H66" s="5" t="str">
        <f>IFERROR(__xludf.DUMMYFUNCTION("GOOGLETRANSLATE(B66, ""en"", ""fr"")"),"Un joueur utilise une épée légèrement plus lourde que le poids réglementaire maximal. Quelle est la pénalité ?")</f>
        <v>Un joueur utilise une épée légèrement plus lourde que le poids réglementaire maximal. Quelle est la pénalité ?</v>
      </c>
      <c r="I66" s="5" t="str">
        <f>IFERROR(__xludf.DUMMYFUNCTION("GOOGLETRANSLATE(C66, ""en"", ""fr"")"),"A) Un avertissement, B) Une disqualification, C) Une pénalité d'un point, D) La palette est remplacée")</f>
        <v>A) Un avertissement, B) Une disqualification, C) Une pénalité d'un point, D) La palette est remplacée</v>
      </c>
      <c r="J66" s="5" t="str">
        <f>IFERROR(__xludf.DUMMYFUNCTION("GOOGLETRANSLATE(D66, ""en"", ""fr"")"),"B) Disqualification")</f>
        <v>B) Disqualification</v>
      </c>
      <c r="K66" s="5" t="str">
        <f>IFERROR(__xludf.DUMMYFUNCTION("GOOGLETRANSLATE(E66, ""en"", ""fr"")"),"L'utilisation d'équipement illégal procurant un avantage indu constitue une infraction majeure et entraîne la disqualification du match.")</f>
        <v>L'utilisation d'équipement illégal procurant un avantage indu constitue une infraction majeure et entraîne la disqualification du match.</v>
      </c>
    </row>
    <row r="67" ht="22.5" customHeight="1">
      <c r="A67" s="3">
        <v>66.0</v>
      </c>
      <c r="B67" s="4" t="s">
        <v>979</v>
      </c>
      <c r="C67" s="4" t="s">
        <v>980</v>
      </c>
      <c r="D67" s="4" t="s">
        <v>981</v>
      </c>
      <c r="E67" s="4" t="s">
        <v>982</v>
      </c>
      <c r="G67" s="5" t="str">
        <f>IFERROR(__xludf.DUMMYFUNCTION("GOOGLETRANSLATE(A67, ""en"", ""fr"")"),"66")</f>
        <v>66</v>
      </c>
      <c r="H67" s="5" t="str">
        <f>IFERROR(__xludf.DUMMYFUNCTION("GOOGLETRANSLATE(B67, ""en"", ""fr"")"),"Quelle est la principale raison pour laquelle la chistera est fabriquée en osier tressé ?")</f>
        <v>Quelle est la principale raison pour laquelle la chistera est fabriquée en osier tressé ?</v>
      </c>
      <c r="I67" s="5" t="str">
        <f>IFERROR(__xludf.DUMMYFUNCTION("GOOGLETRANSLATE(C67, ""en"", ""fr"")"),"A) C'est le matériau le moins cher, B) Il est léger, solide et légèrement flexible, ce qui est idéal pour attraper et lancer, C) Il est traditionnel, D) Il est imperméable")</f>
        <v>A) C'est le matériau le moins cher, B) Il est léger, solide et légèrement flexible, ce qui est idéal pour attraper et lancer, C) Il est traditionnel, D) Il est imperméable</v>
      </c>
      <c r="J67" s="5" t="str">
        <f>IFERROR(__xludf.DUMMYFUNCTION("GOOGLETRANSLATE(D67, ""en"", ""fr"")"),"B) Il est léger, solide et légèrement flexible, ce qui est idéal pour attraper et lancer.")</f>
        <v>B) Il est léger, solide et légèrement flexible, ce qui est idéal pour attraper et lancer.</v>
      </c>
      <c r="K67" s="5" t="str">
        <f>IFERROR(__xludf.DUMMYFUNCTION("GOOGLETRANSLATE(E67, ""en"", ""fr"")"),"L'osier offre la combinaison parfaite de propriétés pour la fonction unique de la chistera.")</f>
        <v>L'osier offre la combinaison parfaite de propriétés pour la fonction unique de la chistera.</v>
      </c>
    </row>
    <row r="68" ht="22.5" customHeight="1">
      <c r="A68" s="3">
        <v>67.0</v>
      </c>
      <c r="B68" s="4" t="s">
        <v>983</v>
      </c>
      <c r="C68" s="4" t="s">
        <v>984</v>
      </c>
      <c r="D68" s="4" t="s">
        <v>985</v>
      </c>
      <c r="E68" s="4" t="s">
        <v>986</v>
      </c>
      <c r="G68" s="5" t="str">
        <f>IFERROR(__xludf.DUMMYFUNCTION("GOOGLETRANSLATE(A68, ""en"", ""fr"")"),"67")</f>
        <v>67</v>
      </c>
      <c r="H68" s="5" t="str">
        <f>IFERROR(__xludf.DUMMYFUNCTION("GOOGLETRANSLATE(B68, ""en"", ""fr"")"),"Un joueur effectue un service, la balle heurte le mur frontal puis rebondit deux fois dans la zone de service. Quelle est la décision arbitrale ?")</f>
        <v>Un joueur effectue un service, la balle heurte le mur frontal puis rebondit deux fois dans la zone de service. Quelle est la décision arbitrale ?</v>
      </c>
      <c r="I68" s="5" t="str">
        <f>IFERROR(__xludf.DUMMYFUNCTION("GOOGLETRANSLATE(C68, ""en"", ""fr"")"),"A) Le service est régulier. B) Il y a faute pour un double rebond. C) Le point est rejoué. D) Le serveur perd le point.")</f>
        <v>A) Le service est régulier. B) Il y a faute pour un double rebond. C) Le point est rejoué. D) Le serveur perd le point.</v>
      </c>
      <c r="J68" s="5" t="str">
        <f>IFERROR(__xludf.DUMMYFUNCTION("GOOGLETRANSLATE(D68, ""en"", ""fr"")"),"D) Le serveur perd le point")</f>
        <v>D) Le serveur perd le point</v>
      </c>
      <c r="K68" s="5" t="str">
        <f>IFERROR(__xludf.DUMMYFUNCTION("GOOGLETRANSLATE(E68, ""en"", ""fr"")"),"L'équipe adverse doit renvoyer le service après le premier rebond. Si elle ne le fait pas, l'équipe au service remporte le point.")</f>
        <v>L'équipe adverse doit renvoyer le service après le premier rebond. Si elle ne le fait pas, l'équipe au service remporte le point.</v>
      </c>
    </row>
    <row r="69" ht="22.5" customHeight="1">
      <c r="A69" s="3">
        <v>68.0</v>
      </c>
      <c r="B69" s="4" t="s">
        <v>987</v>
      </c>
      <c r="C69" s="4" t="s">
        <v>988</v>
      </c>
      <c r="D69" s="4" t="s">
        <v>989</v>
      </c>
      <c r="E69" s="4" t="s">
        <v>990</v>
      </c>
      <c r="G69" s="5" t="str">
        <f>IFERROR(__xludf.DUMMYFUNCTION("GOOGLETRANSLATE(A69, ""en"", ""fr"")"),"68")</f>
        <v>68</v>
      </c>
      <c r="H69" s="5" t="str">
        <f>IFERROR(__xludf.DUMMYFUNCTION("GOOGLETRANSLATE(B69, ""en"", ""fr"")"),"Quelle est la principale différence entre Cesta Punta et Joko Garbi ?")</f>
        <v>Quelle est la principale différence entre Cesta Punta et Joko Garbi ?</v>
      </c>
      <c r="I69" s="5" t="str">
        <f>IFERROR(__xludf.DUMMYFUNCTION("GOOGLETRANSLATE(C69, ""en"", ""fr"")"),"A) La taille du terrain, B) Au Joko Garbi, la balle doit être renvoyée immédiatement sans être retenue dans la chistera, C) Le nombre de joueurs, D) Le Joko Garbi utilise une balle plus souple")</f>
        <v>A) La taille du terrain, B) Au Joko Garbi, la balle doit être renvoyée immédiatement sans être retenue dans la chistera, C) Le nombre de joueurs, D) Le Joko Garbi utilise une balle plus souple</v>
      </c>
      <c r="J69" s="5" t="str">
        <f>IFERROR(__xludf.DUMMYFUNCTION("GOOGLETRANSLATE(D69, ""en"", ""fr"")"),"B) En Joko Garbi, la balle doit être renvoyée immédiatement sans être retenue dans la chistera")</f>
        <v>B) En Joko Garbi, la balle doit être renvoyée immédiatement sans être retenue dans la chistera</v>
      </c>
      <c r="K69" s="5" t="str">
        <f>IFERROR(__xludf.DUMMYFUNCTION("GOOGLETRANSLATE(E69, ""en"", ""fr"")"),"Joko Garbi (« jeu propre ») utilise une chistera plus petite et un style de jeu plus continu, semblable à une volée, sans le lancer « fronde » de la Cesta Punta.")</f>
        <v>Joko Garbi (« jeu propre ») utilise une chistera plus petite et un style de jeu plus continu, semblable à une volée, sans le lancer « fronde » de la Cesta Punta.</v>
      </c>
    </row>
    <row r="70" ht="22.5" customHeight="1">
      <c r="A70" s="3">
        <v>69.0</v>
      </c>
      <c r="B70" s="4" t="s">
        <v>991</v>
      </c>
      <c r="C70" s="4" t="s">
        <v>992</v>
      </c>
      <c r="D70" s="4" t="s">
        <v>386</v>
      </c>
      <c r="E70" s="4" t="s">
        <v>993</v>
      </c>
      <c r="G70" s="5" t="str">
        <f>IFERROR(__xludf.DUMMYFUNCTION("GOOGLETRANSLATE(A70, ""en"", ""fr"")"),"69")</f>
        <v>69</v>
      </c>
      <c r="H70" s="5" t="str">
        <f>IFERROR(__xludf.DUMMYFUNCTION("GOOGLETRANSLATE(B70, ""en"", ""fr"")"),"Un joueur reçoit un avertissement pour avoir retardé le jeu. Qu'a-t-il bien pu faire ?")</f>
        <v>Un joueur reçoit un avertissement pour avoir retardé le jeu. Qu'a-t-il bien pu faire ?</v>
      </c>
      <c r="I70" s="5" t="str">
        <f>IFERROR(__xludf.DUMMYFUNCTION("GOOGLETRANSLATE(C70, ""en"", ""fr"")"),"A) A mis trop de temps à servir, B) A contesté la décision de l'arbitre, C) A simulé une blessure, D) Toutes les réponses ci-dessus")</f>
        <v>A) A mis trop de temps à servir, B) A contesté la décision de l'arbitre, C) A simulé une blessure, D) Toutes les réponses ci-dessus</v>
      </c>
      <c r="J70" s="5" t="str">
        <f>IFERROR(__xludf.DUMMYFUNCTION("GOOGLETRANSLATE(D70, ""en"", ""fr"")"),"D) Toutes les réponses ci-dessus")</f>
        <v>D) Toutes les réponses ci-dessus</v>
      </c>
      <c r="K70" s="5" t="str">
        <f>IFERROR(__xludf.DUMMYFUNCTION("GOOGLETRANSLATE(E70, ""en"", ""fr"")"),"Toute action perçue par l'arbitre comme une tentative intentionnelle de ralentir le rythme du match peut être sanctionnée.")</f>
        <v>Toute action perçue par l'arbitre comme une tentative intentionnelle de ralentir le rythme du match peut être sanctionnée.</v>
      </c>
    </row>
    <row r="71" ht="22.5" customHeight="1">
      <c r="A71" s="3">
        <v>70.0</v>
      </c>
      <c r="B71" s="4" t="s">
        <v>994</v>
      </c>
      <c r="C71" s="4" t="s">
        <v>995</v>
      </c>
      <c r="D71" s="4" t="s">
        <v>996</v>
      </c>
      <c r="E71" s="4" t="s">
        <v>997</v>
      </c>
      <c r="G71" s="5" t="str">
        <f>IFERROR(__xludf.DUMMYFUNCTION("GOOGLETRANSLATE(A71, ""en"", ""fr"")"),"70")</f>
        <v>70</v>
      </c>
      <c r="H71" s="5" t="str">
        <f>IFERROR(__xludf.DUMMYFUNCTION("GOOGLETRANSLATE(B71, ""en"", ""fr"")"),"Lors d'un match de double, le partenaire du serveur se tient devant la ligne courte (falta) pendant le service. Quelle est la règle ?")</f>
        <v>Lors d'un match de double, le partenaire du serveur se tient devant la ligne courte (falta) pendant le service. Quelle est la règle ?</v>
      </c>
      <c r="I71" s="5" t="str">
        <f>IFERROR(__xludf.DUMMYFUNCTION("GOOGLETRANSLATE(C71, ""en"", ""fr"")"),"A) C'est une position légale, B) C'est une faute, C) Le point est rejoué, D) Un avertissement est donné")</f>
        <v>A) C'est une position légale, B) C'est une faute, C) Le point est rejoué, D) Un avertissement est donné</v>
      </c>
      <c r="J71" s="5" t="str">
        <f>IFERROR(__xludf.DUMMYFUNCTION("GOOGLETRANSLATE(D71, ""en"", ""fr"")"),"B) C'est un défaut")</f>
        <v>B) C'est un défaut</v>
      </c>
      <c r="K71" s="5" t="str">
        <f>IFERROR(__xludf.DUMMYFUNCTION("GOOGLETRANSLATE(E71, ""en"", ""fr"")"),"Le partenaire du serveur doit se trouver à l'endroit qui lui est désigné et ne peut pas se trouver dans une zone illégale pendant le service.")</f>
        <v>Le partenaire du serveur doit se trouver à l'endroit qui lui est désigné et ne peut pas se trouver dans une zone illégale pendant le service.</v>
      </c>
    </row>
    <row r="72" ht="22.5" customHeight="1">
      <c r="A72" s="3">
        <v>71.0</v>
      </c>
      <c r="B72" s="4" t="s">
        <v>998</v>
      </c>
      <c r="C72" s="4" t="s">
        <v>999</v>
      </c>
      <c r="D72" s="4" t="s">
        <v>1000</v>
      </c>
      <c r="E72" s="4" t="s">
        <v>1001</v>
      </c>
      <c r="G72" s="5" t="str">
        <f>IFERROR(__xludf.DUMMYFUNCTION("GOOGLETRANSLATE(A72, ""en"", ""fr"")"),"71")</f>
        <v>71</v>
      </c>
      <c r="H72" s="5" t="str">
        <f>IFERROR(__xludf.DUMMYFUNCTION("GOOGLETRANSLATE(B72, ""en"", ""fr"")"),"Quelle est la principale caractéristique d'un ""drop shot"" ou dejada ?")</f>
        <v>Quelle est la principale caractéristique d'un "drop shot" ou dejada ?</v>
      </c>
      <c r="I72" s="5" t="str">
        <f>IFERROR(__xludf.DUMMYFUNCTION("GOOGLETRANSLATE(C72, ""en"", ""fr"")"),"A) C'est un coup très puissant. B) C'est un coup doux, frappé avec un effet rétro pour que la balle rebondisse bas et s'arrête près du mur frontal. C) C'est un coup qui touche d'abord le mur du fond. D) C'est un coup illégal.")</f>
        <v>A) C'est un coup très puissant. B) C'est un coup doux, frappé avec un effet rétro pour que la balle rebondisse bas et s'arrête près du mur frontal. C) C'est un coup qui touche d'abord le mur du fond. D) C'est un coup illégal.</v>
      </c>
      <c r="J72" s="5" t="str">
        <f>IFERROR(__xludf.DUMMYFUNCTION("GOOGLETRANSLATE(D72, ""en"", ""fr"")"),"B) C'est un coup doux, frappé avec un effet rétro pour que la balle rebondisse bas et s'arrête près du mur frontal.")</f>
        <v>B) C'est un coup doux, frappé avec un effet rétro pour que la balle rebondisse bas et s'arrête près du mur frontal.</v>
      </c>
      <c r="K72" s="5" t="str">
        <f>IFERROR(__xludf.DUMMYFUNCTION("GOOGLETRANSLATE(E72, ""en"", ""fr"")"),"La dejada est un coup de finesse utilisé pour surprendre un adversaire jouant loin dans le court.")</f>
        <v>La dejada est un coup de finesse utilisé pour surprendre un adversaire jouant loin dans le court.</v>
      </c>
    </row>
    <row r="73" ht="22.5" customHeight="1">
      <c r="A73" s="3">
        <v>72.0</v>
      </c>
      <c r="B73" s="4" t="s">
        <v>1002</v>
      </c>
      <c r="C73" s="4" t="s">
        <v>1003</v>
      </c>
      <c r="D73" s="4" t="s">
        <v>1004</v>
      </c>
      <c r="E73" s="4" t="s">
        <v>1005</v>
      </c>
      <c r="G73" s="5" t="str">
        <f>IFERROR(__xludf.DUMMYFUNCTION("GOOGLETRANSLATE(A73, ""en"", ""fr"")"),"72")</f>
        <v>72</v>
      </c>
      <c r="H73" s="5" t="str">
        <f>IFERROR(__xludf.DUMMYFUNCTION("GOOGLETRANSLATE(B73, ""en"", ""fr"")"),"Le retour d'un joueur heurte le mur frontal puis se coince dans l'angle entre le mur frontal et le mur latéral. Quelle est la décision arbitrale ?")</f>
        <v>Le retour d'un joueur heurte le mur frontal puis se coince dans l'angle entre le mur frontal et le mur latéral. Quelle est la décision arbitrale ?</v>
      </c>
      <c r="I73" s="5" t="str">
        <f>IFERROR(__xludf.DUMMYFUNCTION("GOOGLETRANSLATE(C73, ""en"", ""fr"")"),"A) Le joueur qui a touché la balle remporte le point. B) Le joueur qui a touché la balle perd le point. C) Le point est rejoué. D) Le premier joueur à toucher la balle remporte le point.")</f>
        <v>A) Le joueur qui a touché la balle remporte le point. B) Le joueur qui a touché la balle perd le point. C) Le point est rejoué. D) Le premier joueur à toucher la balle remporte le point.</v>
      </c>
      <c r="J73" s="5" t="str">
        <f>IFERROR(__xludf.DUMMYFUNCTION("GOOGLETRANSLATE(D73, ""en"", ""fr"")"),"C) Le point est rejoué")</f>
        <v>C) Le point est rejoué</v>
      </c>
      <c r="K73" s="5" t="str">
        <f>IFERROR(__xludf.DUMMYFUNCTION("GOOGLETRANSLATE(E73, ""en"", ""fr"")"),"Si la balle se retrouve coincée dans une partie du court et devient injouable, le point est un « let » et est rejoué.")</f>
        <v>Si la balle se retrouve coincée dans une partie du court et devient injouable, le point est un « let » et est rejoué.</v>
      </c>
    </row>
    <row r="74" ht="22.5" customHeight="1">
      <c r="A74" s="3">
        <v>73.0</v>
      </c>
      <c r="B74" s="4" t="s">
        <v>1006</v>
      </c>
      <c r="C74" s="4" t="s">
        <v>1007</v>
      </c>
      <c r="D74" s="4" t="s">
        <v>1008</v>
      </c>
      <c r="E74" s="4" t="s">
        <v>1009</v>
      </c>
      <c r="G74" s="5" t="str">
        <f>IFERROR(__xludf.DUMMYFUNCTION("GOOGLETRANSLATE(A74, ""en"", ""fr"")"),"73")</f>
        <v>73</v>
      </c>
      <c r="H74" s="5" t="str">
        <f>IFERROR(__xludf.DUMMYFUNCTION("GOOGLETRANSLATE(B74, ""en"", ""fr"")"),"Quel est le but principal du revêtement en cuir d'une pelote de pétanque ?")</f>
        <v>Quel est le but principal du revêtement en cuir d'une pelote de pétanque ?</v>
      </c>
      <c r="I74" s="5" t="str">
        <f>IFERROR(__xludf.DUMMYFUNCTION("GOOGLETRANSLATE(C74, ""en"", ""fr"")"),"A) Pour l'esthétique, B) Pour protéger le noyau interne et offrir une surface de frappe durable et uniforme, C) Pour l'adoucir, D) Pour augmenter son poids")</f>
        <v>A) Pour l'esthétique, B) Pour protéger le noyau interne et offrir une surface de frappe durable et uniforme, C) Pour l'adoucir, D) Pour augmenter son poids</v>
      </c>
      <c r="J74" s="5" t="str">
        <f>IFERROR(__xludf.DUMMYFUNCTION("GOOGLETRANSLATE(D74, ""en"", ""fr"")"),"B) Pour protéger le noyau interne et fournir une surface de frappe durable et uniforme")</f>
        <v>B) Pour protéger le noyau interne et fournir une surface de frappe durable et uniforme</v>
      </c>
      <c r="K74" s="5" t="str">
        <f>IFERROR(__xludf.DUMMYFUNCTION("GOOGLETRANSLATE(E74, ""en"", ""fr"")"),"Le cuir cousu à la main constitue la couche extérieure résistante qui doit supporter des impacts répétés à grande vitesse.")</f>
        <v>Le cuir cousu à la main constitue la couche extérieure résistante qui doit supporter des impacts répétés à grande vitesse.</v>
      </c>
    </row>
    <row r="75" ht="22.5" customHeight="1">
      <c r="A75" s="3">
        <v>74.0</v>
      </c>
      <c r="B75" s="4" t="s">
        <v>1010</v>
      </c>
      <c r="C75" s="4" t="s">
        <v>1011</v>
      </c>
      <c r="D75" s="4" t="s">
        <v>1012</v>
      </c>
      <c r="E75" s="4" t="s">
        <v>1013</v>
      </c>
      <c r="G75" s="5" t="str">
        <f>IFERROR(__xludf.DUMMYFUNCTION("GOOGLETRANSLATE(A75, ""en"", ""fr"")"),"74")</f>
        <v>74</v>
      </c>
      <c r="H75" s="5" t="str">
        <f>IFERROR(__xludf.DUMMYFUNCTION("GOOGLETRANSLATE(B75, ""en"", ""fr"")"),"Un joueur conteste une décision de l'arbitre. Si le tournoi prévoit l'utilisation de la vidéo, quelle est la procédure ?")</f>
        <v>Un joueur conteste une décision de l'arbitre. Si le tournoi prévoit l'utilisation de la vidéo, quelle est la procédure ?</v>
      </c>
      <c r="I75" s="5" t="str">
        <f>IFERROR(__xludf.DUMMYFUNCTION("GOOGLETRANSLATE(C75, ""en"", ""fr"")"),"A) La décision de l'arbitre est maintenue, B) La vidéo est visionnée par un juge principal, et la décision peut être annulée, C) Les joueurs votent sur la décision, D) Le point est automatiquement rejoué")</f>
        <v>A) La décision de l'arbitre est maintenue, B) La vidéo est visionnée par un juge principal, et la décision peut être annulée, C) Les joueurs votent sur la décision, D) Le point est automatiquement rejoué</v>
      </c>
      <c r="J75" s="5" t="str">
        <f>IFERROR(__xludf.DUMMYFUNCTION("GOOGLETRANSLATE(D75, ""en"", ""fr"")"),"B) La vidéo est visionnée par un juge principal, et la décision peut être annulée.")</f>
        <v>B) La vidéo est visionnée par un juge principal, et la décision peut être annulée.</v>
      </c>
      <c r="K75" s="5" t="str">
        <f>IFERROR(__xludf.DUMMYFUNCTION("GOOGLETRANSLATE(E75, ""en"", ""fr"")"),"Dans les tournois modernes dotés de cette technologie, le ralenti vidéo est utilisé pour garantir la précision des décisions litigieuses sur les lignes.")</f>
        <v>Dans les tournois modernes dotés de cette technologie, le ralenti vidéo est utilisé pour garantir la précision des décisions litigieuses sur les lignes.</v>
      </c>
    </row>
    <row r="76" ht="22.5" customHeight="1">
      <c r="A76" s="3">
        <v>75.0</v>
      </c>
      <c r="B76" s="4" t="s">
        <v>1014</v>
      </c>
      <c r="C76" s="4" t="s">
        <v>1015</v>
      </c>
      <c r="D76" s="4" t="s">
        <v>1016</v>
      </c>
      <c r="E76" s="4" t="s">
        <v>1017</v>
      </c>
      <c r="G76" s="5" t="str">
        <f>IFERROR(__xludf.DUMMYFUNCTION("GOOGLETRANSLATE(A76, ""en"", ""fr"")"),"75")</f>
        <v>75</v>
      </c>
      <c r="H76" s="5" t="str">
        <f>IFERROR(__xludf.DUMMYFUNCTION("GOOGLETRANSLATE(B76, ""en"", ""fr"")"),"Pourquoi les joueurs n'ont-ils pas le droit de porter des bijoux pendant un match ?")</f>
        <v>Pourquoi les joueurs n'ont-ils pas le droit de porter des bijoux pendant un match ?</v>
      </c>
      <c r="I76" s="5" t="str">
        <f>IFERROR(__xludf.DUMMYFUNCTION("GOOGLETRANSLATE(C76, ""en"", ""fr"")"),"A) C'est une distraction, B) Pour des raisons de sécurité, afin d'éviter les blessures pour eux-mêmes ou leurs adversaires, C) C'est considéré comme non professionnel, D) Cela peut endommager le ballon")</f>
        <v>A) C'est une distraction, B) Pour des raisons de sécurité, afin d'éviter les blessures pour eux-mêmes ou leurs adversaires, C) C'est considéré comme non professionnel, D) Cela peut endommager le ballon</v>
      </c>
      <c r="J76" s="5" t="str">
        <f>IFERROR(__xludf.DUMMYFUNCTION("GOOGLETRANSLATE(D76, ""en"", ""fr"")"),"B) Par mesure de sécurité, afin d'éviter les blessures à eux-mêmes ou à leurs adversaires")</f>
        <v>B) Par mesure de sécurité, afin d'éviter les blessures à eux-mêmes ou à leurs adversaires</v>
      </c>
      <c r="K76" s="5" t="str">
        <f>IFERROR(__xludf.DUMMYFUNCTION("GOOGLETRANSLATE(E76, ""en"", ""fr"")"),"Il s'agit d'une règle de sécurité standard dans tous les sports de combat et les sports de vitesse.")</f>
        <v>Il s'agit d'une règle de sécurité standard dans tous les sports de combat et les sports de vitesse.</v>
      </c>
    </row>
    <row r="77" ht="22.5" customHeight="1">
      <c r="A77" s="3">
        <v>76.0</v>
      </c>
      <c r="B77" s="4" t="s">
        <v>1018</v>
      </c>
      <c r="C77" s="4" t="s">
        <v>1019</v>
      </c>
      <c r="D77" s="4" t="s">
        <v>1020</v>
      </c>
      <c r="E77" s="4" t="s">
        <v>1021</v>
      </c>
      <c r="G77" s="5" t="str">
        <f>IFERROR(__xludf.DUMMYFUNCTION("GOOGLETRANSLATE(A77, ""en"", ""fr"")"),"76")</f>
        <v>76</v>
      </c>
      <c r="H77" s="5" t="str">
        <f>IFERROR(__xludf.DUMMYFUNCTION("GOOGLETRANSLATE(B77, ""en"", ""fr"")"),"Un joueur utilise une chistera modifiée illégalement, avec une poche plus profonde. Pourquoi est-ce une faute ?")</f>
        <v>Un joueur utilise une chistera modifiée illégalement, avec une poche plus profonde. Pourquoi est-ce une faute ?</v>
      </c>
      <c r="I77" s="5" t="str">
        <f>IFERROR(__xludf.DUMMYFUNCTION("GOOGLETRANSLATE(C77, ""en"", ""fr"")"),"A) Cela alourdit la chistera, B) Cela permet au joueur de tenir la balle plus longtemps, ce qui constitue un avantage injuste, C) Ce n'est pas traditionnel, D) Cela peut endommager la balle")</f>
        <v>A) Cela alourdit la chistera, B) Cela permet au joueur de tenir la balle plus longtemps, ce qui constitue un avantage injuste, C) Ce n'est pas traditionnel, D) Cela peut endommager la balle</v>
      </c>
      <c r="J77" s="5" t="str">
        <f>IFERROR(__xludf.DUMMYFUNCTION("GOOGLETRANSLATE(D77, ""en"", ""fr"")"),"B) Cela permet au joueur de conserver le ballon plus longtemps, ce qui constitue un avantage injuste.")</f>
        <v>B) Cela permet au joueur de conserver le ballon plus longtemps, ce qui constitue un avantage injuste.</v>
      </c>
      <c r="K77" s="5" t="str">
        <f>IFERROR(__xludf.DUMMYFUNCTION("GOOGLETRANSLATE(E77, ""en"", ""fr"")"),"Les dimensions de la chistera sont strictement réglementées afin de garantir que le mouvement de réception et de lancer soit fluide et non une «maintien» prolongé.")</f>
        <v>Les dimensions de la chistera sont strictement réglementées afin de garantir que le mouvement de réception et de lancer soit fluide et non une «maintien» prolongé.</v>
      </c>
    </row>
    <row r="78" ht="22.5" customHeight="1">
      <c r="A78" s="3">
        <v>77.0</v>
      </c>
      <c r="B78" s="4" t="s">
        <v>1022</v>
      </c>
      <c r="C78" s="4" t="s">
        <v>1023</v>
      </c>
      <c r="D78" s="4" t="s">
        <v>1024</v>
      </c>
      <c r="E78" s="4" t="s">
        <v>1025</v>
      </c>
      <c r="G78" s="5" t="str">
        <f>IFERROR(__xludf.DUMMYFUNCTION("GOOGLETRANSLATE(A78, ""en"", ""fr"")"),"77")</f>
        <v>77</v>
      </c>
      <c r="H78" s="5" t="str">
        <f>IFERROR(__xludf.DUMMYFUNCTION("GOOGLETRANSLATE(B78, ""en"", ""fr"")"),"Lors d'un match de double, la balle circule entre deux adversaires. L'un des partenaires peut-il légalement se placer sur leur chemin pour leur bloquer la vue ?")</f>
        <v>Lors d'un match de double, la balle circule entre deux adversaires. L'un des partenaires peut-il légalement se placer sur leur chemin pour leur bloquer la vue ?</v>
      </c>
      <c r="I78" s="5" t="str">
        <f>IFERROR(__xludf.DUMMYFUNCTION("GOOGLETRANSLATE(C78, ""en"", ""fr"")"),"A) Oui, il s'agit d'un écran légal. B) Non, il s'agit d'une interférence illégale. C) Uniquement s'ils ne bougent pas. D) C'est à la discrétion de l'arbitre.")</f>
        <v>A) Oui, il s'agit d'un écran légal. B) Non, il s'agit d'une interférence illégale. C) Uniquement s'ils ne bougent pas. D) C'est à la discrétion de l'arbitre.</v>
      </c>
      <c r="J78" s="5" t="str">
        <f>IFERROR(__xludf.DUMMYFUNCTION("GOOGLETRANSLATE(D78, ""en"", ""fr"")"),"B) Non, il s'agit d'une ingérence illégale")</f>
        <v>B) Non, il s'agit d'une ingérence illégale</v>
      </c>
      <c r="K78" s="5" t="str">
        <f>IFERROR(__xludf.DUMMYFUNCTION("GOOGLETRANSLATE(E78, ""en"", ""fr"")"),"Un joueur ne peut pas obstruer intentionnellement la ligne de vue d'un adversaire sur la balle.")</f>
        <v>Un joueur ne peut pas obstruer intentionnellement la ligne de vue d'un adversaire sur la balle.</v>
      </c>
    </row>
    <row r="79" ht="22.5" customHeight="1">
      <c r="A79" s="3">
        <v>78.0</v>
      </c>
      <c r="B79" s="4" t="s">
        <v>1026</v>
      </c>
      <c r="C79" s="4" t="s">
        <v>1027</v>
      </c>
      <c r="D79" s="4" t="s">
        <v>1028</v>
      </c>
      <c r="E79" s="4" t="s">
        <v>1029</v>
      </c>
      <c r="G79" s="5" t="str">
        <f>IFERROR(__xludf.DUMMYFUNCTION("GOOGLETRANSLATE(A79, ""en"", ""fr"")"),"78")</f>
        <v>78</v>
      </c>
      <c r="H79" s="5" t="str">
        <f>IFERROR(__xludf.DUMMYFUNCTION("GOOGLETRANSLATE(B79, ""en"", ""fr"")"),"Le retour de balle d'un joueur est si rapide qu'il se coince dans une fissure du mur frontal. Quelle est la décision arbitrale ?")</f>
        <v>Le retour de balle d'un joueur est si rapide qu'il se coince dans une fissure du mur frontal. Quelle est la décision arbitrale ?</v>
      </c>
      <c r="I79" s="5" t="str">
        <f>IFERROR(__xludf.DUMMYFUNCTION("GOOGLETRANSLATE(C79, ""en"", ""fr"")"),"A) Le joueur qui a frappé la balle remporte le point. B) Le point est rejoué. C) Le joueur qui a frappé la balle perd le point. D) L'arbitre doit récupérer la balle.")</f>
        <v>A) Le joueur qui a frappé la balle remporte le point. B) Le point est rejoué. C) Le joueur qui a frappé la balle perd le point. D) L'arbitre doit récupérer la balle.</v>
      </c>
      <c r="J79" s="5" t="str">
        <f>IFERROR(__xludf.DUMMYFUNCTION("GOOGLETRANSLATE(D79, ""en"", ""fr"")"),"A) Le joueur qui touche la balle remporte le point.")</f>
        <v>A) Le joueur qui touche la balle remporte le point.</v>
      </c>
      <c r="K79" s="5" t="str">
        <f>IFERROR(__xludf.DUMMYFUNCTION("GOOGLETRANSLATE(E79, ""en"", ""fr"")"),"Si le tir d'un joueur est si puissant qu'il rend la balle injouable en la faisant se bloquer, il est considéré comme un tir gagnant.")</f>
        <v>Si le tir d'un joueur est si puissant qu'il rend la balle injouable en la faisant se bloquer, il est considéré comme un tir gagnant.</v>
      </c>
    </row>
    <row r="80" ht="22.5" customHeight="1">
      <c r="A80" s="3">
        <v>79.0</v>
      </c>
      <c r="B80" s="4" t="s">
        <v>1030</v>
      </c>
      <c r="C80" s="4" t="s">
        <v>1031</v>
      </c>
      <c r="D80" s="4" t="s">
        <v>1032</v>
      </c>
      <c r="E80" s="4" t="s">
        <v>1033</v>
      </c>
      <c r="G80" s="5" t="str">
        <f>IFERROR(__xludf.DUMMYFUNCTION("GOOGLETRANSLATE(A80, ""en"", ""fr"")"),"79")</f>
        <v>79</v>
      </c>
      <c r="H80" s="5" t="str">
        <f>IFERROR(__xludf.DUMMYFUNCTION("GOOGLETRANSLATE(B80, ""en"", ""fr"")"),"Quelle est la principale raison pour laquelle la pelote basque est considérée comme une famille de sports et non comme un sport unique ?")</f>
        <v>Quelle est la principale raison pour laquelle la pelote basque est considérée comme une famille de sports et non comme un sport unique ?</v>
      </c>
      <c r="I80" s="5" t="str">
        <f>IFERROR(__xludf.DUMMYFUNCTION("GOOGLETRANSLATE(C80, ""en"", ""fr"")"),"A) Il se pratique dans de nombreux pays, B) Il existe de nombreuses variantes avec des terrains, des équipements et des règles différents, C) Il est pratiqué par les hommes et les femmes, D) C'est un sport à la fois amateur et professionnel")</f>
        <v>A) Il se pratique dans de nombreux pays, B) Il existe de nombreuses variantes avec des terrains, des équipements et des règles différents, C) Il est pratiqué par les hommes et les femmes, D) C'est un sport à la fois amateur et professionnel</v>
      </c>
      <c r="J80" s="5" t="str">
        <f>IFERROR(__xludf.DUMMYFUNCTION("GOOGLETRANSLATE(D80, ""en"", ""fr"")"),"B) Il comporte de nombreuses modalités différentes, avec des terrains, des équipements et des règles variés.")</f>
        <v>B) Il comporte de nombreuses modalités différentes, avec des terrains, des équipements et des règles variés.</v>
      </c>
      <c r="K80" s="5" t="str">
        <f>IFERROR(__xludf.DUMMYFUNCTION("GOOGLETRANSLATE(E80, ""en"", ""fr"")"),"Le terme « pelote basque » désigne un ensemble de jeux de balle apparentés mais distincts.")</f>
        <v>Le terme « pelote basque » désigne un ensemble de jeux de balle apparentés mais distincts.</v>
      </c>
    </row>
    <row r="81" ht="22.5" customHeight="1">
      <c r="A81" s="3">
        <v>80.0</v>
      </c>
      <c r="B81" s="4" t="s">
        <v>1034</v>
      </c>
      <c r="C81" s="4" t="s">
        <v>1035</v>
      </c>
      <c r="D81" s="4" t="s">
        <v>1036</v>
      </c>
      <c r="E81" s="4" t="s">
        <v>1037</v>
      </c>
      <c r="G81" s="5" t="str">
        <f>IFERROR(__xludf.DUMMYFUNCTION("GOOGLETRANSLATE(A81, ""en"", ""fr"")"),"80")</f>
        <v>80</v>
      </c>
      <c r="H81" s="5" t="str">
        <f>IFERROR(__xludf.DUMMYFUNCTION("GOOGLETRANSLATE(B81, ""en"", ""fr"")"),"Un joueur est pénalisé pour « conduite antisportive ». Laquelle de ces actions serait considérée comme telle ?")</f>
        <v>Un joueur est pénalisé pour « conduite antisportive ». Laquelle de ces actions serait considérée comme telle ?</v>
      </c>
      <c r="I81" s="5" t="str">
        <f>IFERROR(__xludf.DUMMYFUNCTION("GOOGLETRANSLATE(C81, ""en"", ""fr"")"),"A) Célébrer un point, B) Jeter intentionnellement sa raquette par colère, C) Contester une décision arbitrale, D) Jouer un coup défensif")</f>
        <v>A) Célébrer un point, B) Jeter intentionnellement sa raquette par colère, C) Contester une décision arbitrale, D) Jouer un coup défensif</v>
      </c>
      <c r="J81" s="5" t="str">
        <f>IFERROR(__xludf.DUMMYFUNCTION("GOOGLETRANSLATE(D81, ""en"", ""fr"")"),"B) Jeter intentionnellement sa raquette par colère")</f>
        <v>B) Jeter intentionnellement sa raquette par colère</v>
      </c>
      <c r="K81" s="5" t="str">
        <f>IFERROR(__xludf.DUMMYFUNCTION("GOOGLETRANSLATE(E81, ""en"", ""fr"")"),"Tout acte témoignant d'un manque de respect manifeste envers l'adversaire, les officiels ou le sport lui-même est sanctionné.")</f>
        <v>Tout acte témoignant d'un manque de respect manifeste envers l'adversaire, les officiels ou le sport lui-même est sanctionné.</v>
      </c>
    </row>
    <row r="82" ht="22.5" customHeight="1">
      <c r="A82" s="3">
        <v>81.0</v>
      </c>
      <c r="B82" s="4" t="s">
        <v>1038</v>
      </c>
      <c r="C82" s="4" t="s">
        <v>1039</v>
      </c>
      <c r="D82" s="4" t="s">
        <v>1040</v>
      </c>
      <c r="E82" s="4" t="s">
        <v>1041</v>
      </c>
      <c r="G82" s="5" t="str">
        <f>IFERROR(__xludf.DUMMYFUNCTION("GOOGLETRANSLATE(A82, ""en"", ""fr"")"),"81")</f>
        <v>81</v>
      </c>
      <c r="H82" s="5" t="str">
        <f>IFERROR(__xludf.DUMMYFUNCTION("GOOGLETRANSLATE(B82, ""en"", ""fr"")"),"Un joueur sert, la balle heurte le mur frontal puis rebondit dans le carré de service. L'adversaire effectue une volée (il frappe la balle avant qu'elle ne rebondisse à nouveau). Est-ce autorisé ?")</f>
        <v>Un joueur sert, la balle heurte le mur frontal puis rebondit dans le carré de service. L'adversaire effectue une volée (il frappe la balle avant qu'elle ne rebondisse à nouveau). Est-ce autorisé ?</v>
      </c>
      <c r="I82" s="5" t="str">
        <f>IFERROR(__xludf.DUMMYFUNCTION("GOOGLETRANSLATE(C82, ""en"", ""fr"")"),"A) Non, ils doivent laisser la balle rebondir. B) Oui, une volée est un retour légal. C) Le point est rejoué. D) C'est une faute.")</f>
        <v>A) Non, ils doivent laisser la balle rebondir. B) Oui, une volée est un retour légal. C) Le point est rejoué. D) C'est une faute.</v>
      </c>
      <c r="J82" s="5" t="str">
        <f>IFERROR(__xludf.DUMMYFUNCTION("GOOGLETRANSLATE(D82, ""en"", ""fr"")"),"B) Oui, une volée est un retour légal")</f>
        <v>B) Oui, une volée est un retour légal</v>
      </c>
      <c r="K82" s="5" t="str">
        <f>IFERROR(__xludf.DUMMYFUNCTION("GOOGLETRANSLATE(E82, ""en"", ""fr"")"),"Un joueur peut choisir de jouer la balle soit après un rebond, soit directement en l'air en volée.")</f>
        <v>Un joueur peut choisir de jouer la balle soit après un rebond, soit directement en l'air en volée.</v>
      </c>
    </row>
    <row r="83" ht="22.5" customHeight="1">
      <c r="A83" s="3">
        <v>82.0</v>
      </c>
      <c r="B83" s="4" t="s">
        <v>1042</v>
      </c>
      <c r="C83" s="4" t="s">
        <v>1043</v>
      </c>
      <c r="D83" s="4" t="s">
        <v>1044</v>
      </c>
      <c r="E83" s="4" t="s">
        <v>1045</v>
      </c>
      <c r="G83" s="5" t="str">
        <f>IFERROR(__xludf.DUMMYFUNCTION("GOOGLETRANSLATE(A83, ""en"", ""fr"")"),"82")</f>
        <v>82</v>
      </c>
      <c r="H83" s="5" t="str">
        <f>IFERROR(__xludf.DUMMYFUNCTION("GOOGLETRANSLATE(B83, ""en"", ""fr"")"),"Lors d'un match de double, la balle d'un joueur sort des limites du terrain, mais elle touche son adversaire avant de toucher le sol. Qui remporte le point ?")</f>
        <v>Lors d'un match de double, la balle d'un joueur sort des limites du terrain, mais elle touche son adversaire avant de toucher le sol. Qui remporte le point ?</v>
      </c>
      <c r="I83" s="5" t="str">
        <f>IFERROR(__xludf.DUMMYFUNCTION("GOOGLETRANSLATE(C83, ""en"", ""fr"")"),"A) L'équipe du joueur qui a été touché, B) L'équipe du joueur qui a tiré, C) Le point est rejoué, D) C'est une faute des deux équipes")</f>
        <v>A) L'équipe du joueur qui a été touché, B) L'équipe du joueur qui a tiré, C) Le point est rejoué, D) C'est une faute des deux équipes</v>
      </c>
      <c r="J83" s="5" t="str">
        <f>IFERROR(__xludf.DUMMYFUNCTION("GOOGLETRANSLATE(D83, ""en"", ""fr"")"),"A) L'équipe du joueur qui a été touché")</f>
        <v>A) L'équipe du joueur qui a été touché</v>
      </c>
      <c r="K83" s="5" t="str">
        <f>IFERROR(__xludf.DUMMYFUNCTION("GOOGLETRANSLATE(E83, ""en"", ""fr"")"),"Le tir était « sortant », donc l'équipe qui a tiré aurait perdu le point. Le fait qu'il ait touché l'adversaire ne change rien à ce résultat.")</f>
        <v>Le tir était « sortant », donc l'équipe qui a tiré aurait perdu le point. Le fait qu'il ait touché l'adversaire ne change rien à ce résultat.</v>
      </c>
    </row>
    <row r="84" ht="22.5" customHeight="1">
      <c r="A84" s="3">
        <v>83.0</v>
      </c>
      <c r="B84" s="4" t="s">
        <v>1046</v>
      </c>
      <c r="C84" s="4" t="s">
        <v>1047</v>
      </c>
      <c r="D84" s="4" t="s">
        <v>1048</v>
      </c>
      <c r="E84" s="4" t="s">
        <v>1049</v>
      </c>
      <c r="G84" s="5" t="str">
        <f>IFERROR(__xludf.DUMMYFUNCTION("GOOGLETRANSLATE(A84, ""en"", ""fr"")"),"83")</f>
        <v>83</v>
      </c>
      <c r="H84" s="5" t="str">
        <f>IFERROR(__xludf.DUMMYFUNCTION("GOOGLETRANSLATE(B84, ""en"", ""fr"")"),"Le pied d'un joueur touche la chapa (bande métallique basse) du mur frontal au moment de la frappe. Y a-t-il faute ?")</f>
        <v>Le pied d'un joueur touche la chapa (bande métallique basse) du mur frontal au moment de la frappe. Y a-t-il faute ?</v>
      </c>
      <c r="I84" s="5" t="str">
        <f>IFERROR(__xludf.DUMMYFUNCTION("GOOGLETRANSLATE(C84, ""en"", ""fr"")"),"A) Non, B) Oui, C) Seulement si la balle touche aussi le chapa, D) C'est un avertissement")</f>
        <v>A) Non, B) Oui, C) Seulement si la balle touche aussi le chapa, D) C'est un avertissement</v>
      </c>
      <c r="J84" s="5" t="str">
        <f>IFERROR(__xludf.DUMMYFUNCTION("GOOGLETRANSLATE(D84, ""en"", ""fr"")"),"B) Oui")</f>
        <v>B) Oui</v>
      </c>
      <c r="K84" s="5" t="str">
        <f>IFERROR(__xludf.DUMMYFUNCTION("GOOGLETRANSLATE(E84, ""en"", ""fr"")"),"Un joueur ne peut pas toucher la zone extérieure du mur avant lors de son mouvement de frappe.")</f>
        <v>Un joueur ne peut pas toucher la zone extérieure du mur avant lors de son mouvement de frappe.</v>
      </c>
    </row>
    <row r="85" ht="22.5" customHeight="1">
      <c r="A85" s="3">
        <v>84.0</v>
      </c>
      <c r="B85" s="4" t="s">
        <v>1050</v>
      </c>
      <c r="C85" s="4" t="s">
        <v>1051</v>
      </c>
      <c r="D85" s="4" t="s">
        <v>1052</v>
      </c>
      <c r="E85" s="4" t="s">
        <v>1053</v>
      </c>
      <c r="G85" s="5" t="str">
        <f>IFERROR(__xludf.DUMMYFUNCTION("GOOGLETRANSLATE(A85, ""en"", ""fr"")"),"84")</f>
        <v>84</v>
      </c>
      <c r="H85" s="5" t="str">
        <f>IFERROR(__xludf.DUMMYFUNCTION("GOOGLETRANSLATE(B85, ""en"", ""fr"")"),"Quelle est la principale raison des règles strictes concernant la composition et la construction de la pelote basque ?")</f>
        <v>Quelle est la principale raison des règles strictes concernant la composition et la construction de la pelote basque ?</v>
      </c>
      <c r="I85" s="5" t="str">
        <f>IFERROR(__xludf.DUMMYFUNCTION("GOOGLETRANSLATE(C85, ""en"", ""fr"")"),"A) Pour maintenir un prix élevé pour les balles, B) Pour garantir des performances constantes et prévisibles en termes de vitesse et de rebond, C) Pour protéger les mains des joueurs, D) C'est un secret bien gardé par les fabricants")</f>
        <v>A) Pour maintenir un prix élevé pour les balles, B) Pour garantir des performances constantes et prévisibles en termes de vitesse et de rebond, C) Pour protéger les mains des joueurs, D) C'est un secret bien gardé par les fabricants</v>
      </c>
      <c r="J85" s="5" t="str">
        <f>IFERROR(__xludf.DUMMYFUNCTION("GOOGLETRANSLATE(D85, ""en"", ""fr"")"),"B) Afin de garantir des performances constantes et prévisibles en termes de vitesse et de rebond")</f>
        <v>B) Afin de garantir des performances constantes et prévisibles en termes de vitesse et de rebond</v>
      </c>
      <c r="K85" s="5" t="str">
        <f>IFERROR(__xludf.DUMMYFUNCTION("GOOGLETRANSLATE(E85, ""en"", ""fr"")"),"Un ballon standardisé est essentiel pour une compétition équitable et de haut niveau.")</f>
        <v>Un ballon standardisé est essentiel pour une compétition équitable et de haut niveau.</v>
      </c>
    </row>
    <row r="86" ht="22.5" customHeight="1">
      <c r="A86" s="3">
        <v>85.0</v>
      </c>
      <c r="B86" s="4" t="s">
        <v>1054</v>
      </c>
      <c r="C86" s="4" t="s">
        <v>1055</v>
      </c>
      <c r="D86" s="4" t="s">
        <v>1056</v>
      </c>
      <c r="E86" s="4" t="s">
        <v>1057</v>
      </c>
      <c r="G86" s="5" t="str">
        <f>IFERROR(__xludf.DUMMYFUNCTION("GOOGLETRANSLATE(A86, ""en"", ""fr"")"),"85")</f>
        <v>85</v>
      </c>
      <c r="H86" s="5" t="str">
        <f>IFERROR(__xludf.DUMMYFUNCTION("GOOGLETRANSLATE(B86, ""en"", ""fr"")"),"L'arbitre crie « ¡Falta! » pendant un service. Qu'est-ce que cela signifie ?")</f>
        <v>L'arbitre crie « ¡Falta! » pendant un service. Qu'est-ce que cela signifie ?</v>
      </c>
      <c r="I86" s="5" t="str">
        <f>IFERROR(__xludf.DUMMYFUNCTION("GOOGLETRANSLATE(C86, ""en"", ""fr"")"),"A) Le service était bon, B) Le service était une faute, C) Le point est un let, D) Le jeu est terminé")</f>
        <v>A) Le service était bon, B) Le service était une faute, C) Le point est un let, D) Le jeu est terminé</v>
      </c>
      <c r="J86" s="5" t="str">
        <f>IFERROR(__xludf.DUMMYFUNCTION("GOOGLETRANSLATE(D86, ""en"", ""fr"")"),"B) Le service était une faute")</f>
        <v>B) Le service était une faute</v>
      </c>
      <c r="K86" s="5" t="str">
        <f>IFERROR(__xludf.DUMMYFUNCTION("GOOGLETRANSLATE(E86, ""en"", ""fr"")"),"Falta est le mot espagnol pour «faute», utilisé par l'arbitre pour signaler un service illégal.")</f>
        <v>Falta est le mot espagnol pour «faute», utilisé par l'arbitre pour signaler un service illégal.</v>
      </c>
    </row>
    <row r="87" ht="22.5" customHeight="1">
      <c r="A87" s="3">
        <v>86.0</v>
      </c>
      <c r="B87" s="4" t="s">
        <v>1058</v>
      </c>
      <c r="C87" s="4" t="s">
        <v>1059</v>
      </c>
      <c r="D87" s="4" t="s">
        <v>1060</v>
      </c>
      <c r="E87" s="4" t="s">
        <v>1061</v>
      </c>
      <c r="G87" s="5" t="str">
        <f>IFERROR(__xludf.DUMMYFUNCTION("GOOGLETRANSLATE(A87, ""en"", ""fr"")"),"86")</f>
        <v>86</v>
      </c>
      <c r="H87" s="5" t="str">
        <f>IFERROR(__xludf.DUMMYFUNCTION("GOOGLETRANSLATE(B87, ""en"", ""fr"")"),"Quel est l'objectif principal du « mur de rebond » ou rebote ?")</f>
        <v>Quel est l'objectif principal du « mur de rebond » ou rebote ?</v>
      </c>
      <c r="I87" s="5" t="str">
        <f>IFERROR(__xludf.DUMMYFUNCTION("GOOGLETRANSLATE(C87, ""en"", ""fr"")"),"A) Elle sert à arrêter la balle, B) Elle permet des échanges plus longs et exige des joueurs une bonne endurance et un bon placement, C) Elle est destinée aux spectateurs, D) C'est un élément traditionnel sans fonction")</f>
        <v>A) Elle sert à arrêter la balle, B) Elle permet des échanges plus longs et exige des joueurs une bonne endurance et un bon placement, C) Elle est destinée aux spectateurs, D) C'est un élément traditionnel sans fonction</v>
      </c>
      <c r="J87" s="5" t="str">
        <f>IFERROR(__xludf.DUMMYFUNCTION("GOOGLETRANSLATE(D87, ""en"", ""fr"")"),"B) Il permet des échanges plus longs et exige des joueurs une bonne endurance et un bon placement.")</f>
        <v>B) Il permet des échanges plus longs et exige des joueurs une bonne endurance et un bon placement.</v>
      </c>
      <c r="K87" s="5" t="str">
        <f>IFERROR(__xludf.DUMMYFUNCTION("GOOGLETRANSLATE(E87, ""en"", ""fr"")"),"Le mur du fond permet de maintenir le ballon en jeu, créant ainsi un jeu beaucoup plus dynamique et exigeant physiquement.")</f>
        <v>Le mur du fond permet de maintenir le ballon en jeu, créant ainsi un jeu beaucoup plus dynamique et exigeant physiquement.</v>
      </c>
    </row>
    <row r="88" ht="22.5" customHeight="1">
      <c r="A88" s="3">
        <v>87.0</v>
      </c>
      <c r="B88" s="4" t="s">
        <v>1062</v>
      </c>
      <c r="C88" s="4" t="s">
        <v>1063</v>
      </c>
      <c r="D88" s="4" t="s">
        <v>1064</v>
      </c>
      <c r="E88" s="4" t="s">
        <v>1065</v>
      </c>
      <c r="G88" s="5" t="str">
        <f>IFERROR(__xludf.DUMMYFUNCTION("GOOGLETRANSLATE(A88, ""en"", ""fr"")"),"87")</f>
        <v>87</v>
      </c>
      <c r="H88" s="5" t="str">
        <f>IFERROR(__xludf.DUMMYFUNCTION("GOOGLETRANSLATE(B88, ""en"", ""fr"")"),"Un joueur est averti pour avoir trop tardé entre les points. Quel est le délai habituel ?")</f>
        <v>Un joueur est averti pour avoir trop tardé entre les points. Quel est le délai habituel ?</v>
      </c>
      <c r="I88" s="5" t="str">
        <f>IFERROR(__xludf.DUMMYFUNCTION("GOOGLETRANSLATE(C88, ""en"", ""fr"")"),"A) 10 secondes, B) 15 secondes, C) 25 secondes, D) Il n'y a pas de limite de temps")</f>
        <v>A) 10 secondes, B) 15 secondes, C) 25 secondes, D) Il n'y a pas de limite de temps</v>
      </c>
      <c r="J88" s="5" t="str">
        <f>IFERROR(__xludf.DUMMYFUNCTION("GOOGLETRANSLATE(D88, ""en"", ""fr"")"),"C) 25 secondes")</f>
        <v>C) 25 secondes</v>
      </c>
      <c r="K88" s="5" t="str">
        <f>IFERROR(__xludf.DUMMYFUNCTION("GOOGLETRANSLATE(E88, ""en"", ""fr"")"),"Comme au tennis, un temps limite est imposé entre les points afin de garantir un rythme de match raisonnable.")</f>
        <v>Comme au tennis, un temps limite est imposé entre les points afin de garantir un rythme de match raisonnable.</v>
      </c>
    </row>
    <row r="89" ht="22.5" customHeight="1">
      <c r="A89" s="3">
        <v>88.0</v>
      </c>
      <c r="B89" s="4" t="s">
        <v>1066</v>
      </c>
      <c r="C89" s="4" t="s">
        <v>1067</v>
      </c>
      <c r="D89" s="4" t="s">
        <v>1068</v>
      </c>
      <c r="E89" s="4" t="s">
        <v>1069</v>
      </c>
      <c r="G89" s="5" t="str">
        <f>IFERROR(__xludf.DUMMYFUNCTION("GOOGLETRANSLATE(A89, ""en"", ""fr"")"),"88")</f>
        <v>88</v>
      </c>
      <c r="H89" s="5" t="str">
        <f>IFERROR(__xludf.DUMMYFUNCTION("GOOGLETRANSLATE(B89, ""en"", ""fr"")"),"Dans le mode Paleta Goma, de quoi est faite la balle ?")</f>
        <v>Dans le mode Paleta Goma, de quoi est faite la balle ?</v>
      </c>
      <c r="I89" s="5" t="str">
        <f>IFERROR(__xludf.DUMMYFUNCTION("GOOGLETRANSLATE(C89, ""en"", ""fr"")"),"A) Cuir, B) Bois, C) Caoutchouc solide sous pression, D) Liège")</f>
        <v>A) Cuir, B) Bois, C) Caoutchouc solide sous pression, D) Liège</v>
      </c>
      <c r="J89" s="5" t="str">
        <f>IFERROR(__xludf.DUMMYFUNCTION("GOOGLETRANSLATE(D89, ""en"", ""fr"")"),"C) Caoutchouc solide sous pression")</f>
        <v>C) Caoutchouc solide sous pression</v>
      </c>
      <c r="K89" s="5" t="str">
        <f>IFERROR(__xludf.DUMMYFUNCTION("GOOGLETRANSLATE(E89, ""en"", ""fr"")"),"Cette variante utilise une simple balle en caoutchouc, ce qui explique qu'elle soit l'une des versions les plus accessibles et les plus pratiquées de ce sport.")</f>
        <v>Cette variante utilise une simple balle en caoutchouc, ce qui explique qu'elle soit l'une des versions les plus accessibles et les plus pratiquées de ce sport.</v>
      </c>
    </row>
    <row r="90" ht="22.5" customHeight="1">
      <c r="A90" s="3">
        <v>89.0</v>
      </c>
      <c r="B90" s="4" t="s">
        <v>1070</v>
      </c>
      <c r="C90" s="4" t="s">
        <v>1071</v>
      </c>
      <c r="D90" s="4" t="s">
        <v>1072</v>
      </c>
      <c r="E90" s="4" t="s">
        <v>1073</v>
      </c>
      <c r="G90" s="5" t="str">
        <f>IFERROR(__xludf.DUMMYFUNCTION("GOOGLETRANSLATE(A90, ""en"", ""fr"")"),"89")</f>
        <v>89</v>
      </c>
      <c r="H90" s="5" t="str">
        <f>IFERROR(__xludf.DUMMYFUNCTION("GOOGLETRANSLATE(B90, ""en"", ""fr"")"),"Quelle est la règle si un joueur tente intentionnellement de déconcentrer son adversaire en criant pendant son swing ?")</f>
        <v>Quelle est la règle si un joueur tente intentionnellement de déconcentrer son adversaire en criant pendant son swing ?</v>
      </c>
      <c r="I90" s="5" t="str">
        <f>IFERROR(__xludf.DUMMYFUNCTION("GOOGLETRANSLATE(C90, ""en"", ""fr"")"),"A) Il s'agit d'une manœuvre sportive légale. B) Il s'agit d'une faute pour conduite antisportive. C) Le point est rejoué. D) Le joueur qui a crié est averti.")</f>
        <v>A) Il s'agit d'une manœuvre sportive légale. B) Il s'agit d'une faute pour conduite antisportive. C) Le point est rejoué. D) Le joueur qui a crié est averti.</v>
      </c>
      <c r="J90" s="5" t="str">
        <f>IFERROR(__xludf.DUMMYFUNCTION("GOOGLETRANSLATE(D90, ""en"", ""fr"")"),"B) Il s'agit d'une faute pour conduite antisportive")</f>
        <v>B) Il s'agit d'une faute pour conduite antisportive</v>
      </c>
      <c r="K90" s="5" t="str">
        <f>IFERROR(__xludf.DUMMYFUNCTION("GOOGLETRANSLATE(E90, ""en"", ""fr"")"),"Toute interférence délibérée avec la concentration d'un adversaire pendant son tir constitue une violation des règles.")</f>
        <v>Toute interférence délibérée avec la concentration d'un adversaire pendant son tir constitue une violation des règles.</v>
      </c>
    </row>
    <row r="91" ht="22.5" customHeight="1">
      <c r="A91" s="3">
        <v>90.0</v>
      </c>
      <c r="B91" s="4" t="s">
        <v>1074</v>
      </c>
      <c r="C91" s="4" t="s">
        <v>1075</v>
      </c>
      <c r="D91" s="4" t="s">
        <v>1076</v>
      </c>
      <c r="E91" s="4" t="s">
        <v>1077</v>
      </c>
      <c r="G91" s="5" t="str">
        <f>IFERROR(__xludf.DUMMYFUNCTION("GOOGLETRANSLATE(A91, ""en"", ""fr"")"),"90")</f>
        <v>90</v>
      </c>
      <c r="H91" s="5" t="str">
        <f>IFERROR(__xludf.DUMMYFUNCTION("GOOGLETRANSLATE(B91, ""en"", ""fr"")"),"Quel est l’objectif ultime de la Fédération Internationale de Pelota Basque (FIPV) ?")</f>
        <v>Quel est l’objectif ultime de la Fédération Internationale de Pelota Basque (FIPV) ?</v>
      </c>
      <c r="I91" s="5" t="str">
        <f>IFERROR(__xludf.DUMMYFUNCTION("GOOGLETRANSLATE(C91, ""en"", ""fr"")"),"A) Professionnaliser la pelote basque à l'échelle mondiale, B) Faire de la pelote basque un sport olympique permanent, C) Interdire tous les autres sports de raquette, D) Construire un fronton dans chaque pays")</f>
        <v>A) Professionnaliser la pelote basque à l'échelle mondiale, B) Faire de la pelote basque un sport olympique permanent, C) Interdire tous les autres sports de raquette, D) Construire un fronton dans chaque pays</v>
      </c>
      <c r="J91" s="5" t="str">
        <f>IFERROR(__xludf.DUMMYFUNCTION("GOOGLETRANSLATE(D91, ""en"", ""fr"")"),"B) Faire inclure la pelote basque comme sport olympique permanent")</f>
        <v>B) Faire inclure la pelote basque comme sport olympique permanent</v>
      </c>
      <c r="K91" s="5" t="str">
        <f>IFERROR(__xludf.DUMMYFUNCTION("GOOGLETRANSLATE(E91, ""en"", ""fr"")"),"L'obtention du statut olympique permanent est la plus haute ambition de l'instance dirigeante de ce sport.")</f>
        <v>L'obtention du statut olympique permanent est la plus haute ambition de l'instance dirigeante de ce sport.</v>
      </c>
    </row>
    <row r="92" ht="22.5" customHeight="1">
      <c r="A92" s="3">
        <v>91.0</v>
      </c>
      <c r="B92" s="4" t="s">
        <v>1078</v>
      </c>
      <c r="C92" s="4" t="s">
        <v>1079</v>
      </c>
      <c r="D92" s="4" t="s">
        <v>847</v>
      </c>
      <c r="E92" s="4" t="s">
        <v>1080</v>
      </c>
      <c r="G92" s="5" t="str">
        <f>IFERROR(__xludf.DUMMYFUNCTION("GOOGLETRANSLATE(A92, ""en"", ""fr"")"),"91")</f>
        <v>91</v>
      </c>
      <c r="H92" s="5" t="str">
        <f>IFERROR(__xludf.DUMMYFUNCTION("GOOGLETRANSLATE(B92, ""en"", ""fr"")"),"Un joueur frappe la balle et celle-ci se coince dans les poutres du plafond. Quelle est la décision arbitrale ?")</f>
        <v>Un joueur frappe la balle et celle-ci se coince dans les poutres du plafond. Quelle est la décision arbitrale ?</v>
      </c>
      <c r="I92" s="5" t="str">
        <f>IFERROR(__xludf.DUMMYFUNCTION("GOOGLETRANSLATE(C92, ""en"", ""fr"")"),"A) Le point est rejoué. B) Le joueur qui a touché la balle remporte le point. C) Le joueur qui a touché la balle perd le point. D) Le premier joueur à poser la balle au sol gagne.")</f>
        <v>A) Le point est rejoué. B) Le joueur qui a touché la balle remporte le point. C) Le joueur qui a touché la balle perd le point. D) Le premier joueur à poser la balle au sol gagne.</v>
      </c>
      <c r="J92" s="5" t="str">
        <f>IFERROR(__xludf.DUMMYFUNCTION("GOOGLETRANSLATE(D92, ""en"", ""fr"")"),"C) Le joueur qui a touché la balle perd le point.")</f>
        <v>C) Le joueur qui a touché la balle perd le point.</v>
      </c>
      <c r="K92" s="5" t="str">
        <f>IFERROR(__xludf.DUMMYFUNCTION("GOOGLETRANSLATE(E92, ""en"", ""fr"")"),"Le plafond est hors jeu. Une balle qui se coince dans un élément de structure en hauteur constitue une faute contre le joueur qui l'a frappée à cet endroit.")</f>
        <v>Le plafond est hors jeu. Une balle qui se coince dans un élément de structure en hauteur constitue une faute contre le joueur qui l'a frappée à cet endroit.</v>
      </c>
    </row>
    <row r="93" ht="22.5" customHeight="1">
      <c r="A93" s="3">
        <v>92.0</v>
      </c>
      <c r="B93" s="4" t="s">
        <v>1081</v>
      </c>
      <c r="C93" s="4" t="s">
        <v>1082</v>
      </c>
      <c r="D93" s="4" t="s">
        <v>1083</v>
      </c>
      <c r="E93" s="4" t="s">
        <v>1084</v>
      </c>
      <c r="G93" s="5" t="str">
        <f>IFERROR(__xludf.DUMMYFUNCTION("GOOGLETRANSLATE(A93, ""en"", ""fr"")"),"92")</f>
        <v>92</v>
      </c>
      <c r="H93" s="5" t="str">
        <f>IFERROR(__xludf.DUMMYFUNCTION("GOOGLETRANSLATE(B93, ""en"", ""fr"")"),"Qu'est-ce que le service « à la volée » en pelote basque ?")</f>
        <v>Qu'est-ce que le service « à la volée » en pelote basque ?</v>
      </c>
      <c r="I93" s="5" t="str">
        <f>IFERROR(__xludf.DUMMYFUNCTION("GOOGLETRANSLATE(C93, ""en"", ""fr"")"),"A) C'est le seul service légal. B) C'est un service illégal. C) C'est un service plus doux et plus contrôlé, contrairement au puissant service droit. D) C'est un service utilisé uniquement par les femmes.")</f>
        <v>A) C'est le seul service légal. B) C'est un service illégal. C) C'est un service plus doux et plus contrôlé, contrairement au puissant service droit. D) C'est un service utilisé uniquement par les femmes.</v>
      </c>
      <c r="J93" s="5" t="str">
        <f>IFERROR(__xludf.DUMMYFUNCTION("GOOGLETRANSLATE(D93, ""en"", ""fr"")"),"C) Il s'agit d'un service plus doux et plus contrôlé, contrairement au service puissant par-dessus la tête")</f>
        <v>C) Il s'agit d'un service plus doux et plus contrôlé, contrairement au service puissant par-dessus la tête</v>
      </c>
      <c r="K93" s="5" t="str">
        <f>IFERROR(__xludf.DUMMYFUNCTION("GOOGLETRANSLATE(E93, ""en"", ""fr"")"),"Les joueurs peuvent choisir entre un service puissant par-dessus l'épaule ou un service plus contrôlé par en dessous, selon leur stratégie.")</f>
        <v>Les joueurs peuvent choisir entre un service puissant par-dessus l'épaule ou un service plus contrôlé par en dessous, selon leur stratégie.</v>
      </c>
    </row>
    <row r="94" ht="22.5" customHeight="1">
      <c r="A94" s="3">
        <v>93.0</v>
      </c>
      <c r="B94" s="4" t="s">
        <v>1085</v>
      </c>
      <c r="C94" s="4" t="s">
        <v>1019</v>
      </c>
      <c r="D94" s="4" t="s">
        <v>1020</v>
      </c>
      <c r="E94" s="4" t="s">
        <v>1021</v>
      </c>
      <c r="G94" s="5" t="str">
        <f>IFERROR(__xludf.DUMMYFUNCTION("GOOGLETRANSLATE(A94, ""en"", ""fr"")"),"93")</f>
        <v>93</v>
      </c>
      <c r="H94" s="5" t="str">
        <f>IFERROR(__xludf.DUMMYFUNCTION("GOOGLETRANSLATE(B94, ""en"", ""fr"")"),"Un joueur est contrôlé avec une chistera modifiée illégalement, dont la poche est plus profonde que la normale. Pourquoi est-ce une faute ?")</f>
        <v>Un joueur est contrôlé avec une chistera modifiée illégalement, dont la poche est plus profonde que la normale. Pourquoi est-ce une faute ?</v>
      </c>
      <c r="I94" s="5" t="str">
        <f>IFERROR(__xludf.DUMMYFUNCTION("GOOGLETRANSLATE(C94, ""en"", ""fr"")"),"A) Cela alourdit la chistera, B) Cela permet au joueur de tenir la balle plus longtemps, ce qui constitue un avantage injuste, C) Ce n'est pas traditionnel, D) Cela peut endommager la balle")</f>
        <v>A) Cela alourdit la chistera, B) Cela permet au joueur de tenir la balle plus longtemps, ce qui constitue un avantage injuste, C) Ce n'est pas traditionnel, D) Cela peut endommager la balle</v>
      </c>
      <c r="J94" s="5" t="str">
        <f>IFERROR(__xludf.DUMMYFUNCTION("GOOGLETRANSLATE(D94, ""en"", ""fr"")"),"B) Cela permet au joueur de conserver le ballon plus longtemps, ce qui constitue un avantage injuste.")</f>
        <v>B) Cela permet au joueur de conserver le ballon plus longtemps, ce qui constitue un avantage injuste.</v>
      </c>
      <c r="K94" s="5" t="str">
        <f>IFERROR(__xludf.DUMMYFUNCTION("GOOGLETRANSLATE(E94, ""en"", ""fr"")"),"Les dimensions de la chistera sont strictement réglementées afin de garantir que le mouvement de réception et de lancer soit fluide et non une «maintien» prolongé.")</f>
        <v>Les dimensions de la chistera sont strictement réglementées afin de garantir que le mouvement de réception et de lancer soit fluide et non une «maintien» prolongé.</v>
      </c>
    </row>
    <row r="95" ht="22.5" customHeight="1">
      <c r="A95" s="3">
        <v>94.0</v>
      </c>
      <c r="B95" s="4" t="s">
        <v>1086</v>
      </c>
      <c r="C95" s="4" t="s">
        <v>1087</v>
      </c>
      <c r="D95" s="4" t="s">
        <v>1088</v>
      </c>
      <c r="E95" s="4" t="s">
        <v>1089</v>
      </c>
      <c r="G95" s="5" t="str">
        <f>IFERROR(__xludf.DUMMYFUNCTION("GOOGLETRANSLATE(A95, ""en"", ""fr"")"),"94")</f>
        <v>94</v>
      </c>
      <c r="H95" s="5" t="str">
        <f>IFERROR(__xludf.DUMMYFUNCTION("GOOGLETRANSLATE(B95, ""en"", ""fr"")"),"Quelle est la principale raison pour laquelle la pelota jouit d'un statut culturel beaucoup plus élevé au Pays basque que dans d'autres parties du monde ?")</f>
        <v>Quelle est la principale raison pour laquelle la pelota jouit d'un statut culturel beaucoup plus élevé au Pays basque que dans d'autres parties du monde ?</v>
      </c>
      <c r="I95" s="5" t="str">
        <f>IFERROR(__xludf.DUMMYFUNCTION("GOOGLETRANSLATE(C95, ""en"", ""fr"")"),"A) C'est un symbole de leur identité nationale et culturelle unique, B) C'est le seul sport qu'ils pratiquent, C) Les prix y sont beaucoup plus élevés, D) Les meilleurs joueurs viennent tous de là-bas")</f>
        <v>A) C'est un symbole de leur identité nationale et culturelle unique, B) C'est le seul sport qu'ils pratiquent, C) Les prix y sont beaucoup plus élevés, D) Les meilleurs joueurs viennent tous de là-bas</v>
      </c>
      <c r="J95" s="5" t="str">
        <f>IFERROR(__xludf.DUMMYFUNCTION("GOOGLETRANSLATE(D95, ""en"", ""fr"")"),"A) C'est un symbole de leur identité nationale et culturelle unique")</f>
        <v>A) C'est un symbole de leur identité nationale et culturelle unique</v>
      </c>
      <c r="K95" s="5" t="str">
        <f>IFERROR(__xludf.DUMMYFUNCTION("GOOGLETRANSLATE(E95, ""en"", ""fr"")"),"La pelote est bien plus qu'un simple jeu ; c'est un trésor culturel précieux, une institution sociale et une puissante expression du patrimoine basque.")</f>
        <v>La pelote est bien plus qu'un simple jeu ; c'est un trésor culturel précieux, une institution sociale et une puissante expression du patrimoine basque.</v>
      </c>
    </row>
    <row r="96" ht="22.5" customHeight="1">
      <c r="A96" s="3">
        <v>95.0</v>
      </c>
      <c r="B96" s="4" t="s">
        <v>955</v>
      </c>
      <c r="C96" s="4" t="s">
        <v>956</v>
      </c>
      <c r="D96" s="4" t="s">
        <v>957</v>
      </c>
      <c r="E96" s="4" t="s">
        <v>958</v>
      </c>
      <c r="G96" s="5" t="str">
        <f>IFERROR(__xludf.DUMMYFUNCTION("GOOGLETRANSLATE(A96, ""en"", ""fr"")"),"95")</f>
        <v>95</v>
      </c>
      <c r="H96" s="5" t="str">
        <f>IFERROR(__xludf.DUMMYFUNCTION("GOOGLETRANSLATE(B96, ""en"", ""fr"")"),"Un joueur porte un casque lors d'un match de pelote basque. Pourquoi est-ce une exigence moderne ?")</f>
        <v>Un joueur porte un casque lors d'un match de pelote basque. Pourquoi est-ce une exigence moderne ?</v>
      </c>
      <c r="I96" s="5" t="str">
        <f>IFERROR(__xludf.DUMMYFUNCTION("GOOGLETRANSLATE(C96, ""en"", ""fr"")"),"A) Pour faire professionnel, B) La vitesse incroyable du ballon peut être mortelle s'il heurte la tête d'un joueur, C) Pour se protéger des chutes, D) C'est une exigence du sponsor")</f>
        <v>A) Pour faire professionnel, B) La vitesse incroyable du ballon peut être mortelle s'il heurte la tête d'un joueur, C) Pour se protéger des chutes, D) C'est une exigence du sponsor</v>
      </c>
      <c r="J96" s="5" t="str">
        <f>IFERROR(__xludf.DUMMYFUNCTION("GOOGLETRANSLATE(D96, ""en"", ""fr"")"),"B) L'incroyable vitesse de la balle peut être mortelle si elle frappe un joueur à la tête.")</f>
        <v>B) L'incroyable vitesse de la balle peut être mortelle si elle frappe un joueur à la tête.</v>
      </c>
      <c r="K96" s="5" t="str">
        <f>IFERROR(__xludf.DUMMYFUNCTION("GOOGLETRANSLATE(E96, ""en"", ""fr"")"),"Avec des vitesses de balle dépassant les 300 km/h, le casque est un équipement de sécurité essentiel pour prévenir les blessures graves ou mortelles à la tête.")</f>
        <v>Avec des vitesses de balle dépassant les 300 km/h, le casque est un équipement de sécurité essentiel pour prévenir les blessures graves ou mortelles à la tête.</v>
      </c>
    </row>
    <row r="97" ht="22.5" customHeight="1">
      <c r="A97" s="3">
        <v>96.0</v>
      </c>
      <c r="B97" s="4" t="s">
        <v>1090</v>
      </c>
      <c r="C97" s="4" t="s">
        <v>1091</v>
      </c>
      <c r="D97" s="4" t="s">
        <v>1092</v>
      </c>
      <c r="E97" s="4" t="s">
        <v>1093</v>
      </c>
      <c r="G97" s="5" t="str">
        <f>IFERROR(__xludf.DUMMYFUNCTION("GOOGLETRANSLATE(A97, ""en"", ""fr"")"),"96")</f>
        <v>96</v>
      </c>
      <c r="H97" s="5" t="str">
        <f>IFERROR(__xludf.DUMMYFUNCTION("GOOGLETRANSLATE(B97, ""en"", ""fr"")"),"Le système de paris au Jai Alai, le quiniela, consiste à parier sur les équipes qui termineront à quelles positions ?")</f>
        <v>Le système de paris au Jai Alai, le quiniela, consiste à parier sur les équipes qui termineront à quelles positions ?</v>
      </c>
      <c r="I97" s="5" t="str">
        <f>IFERROR(__xludf.DUMMYFUNCTION("GOOGLETRANSLATE(C97, ""en"", ""fr"")"),"A) Première place seulement, B) Première et deuxième places (Victoire et Placement), C) Première, deuxième et troisième places (Trifecta), D) L'équipe dernière")</f>
        <v>A) Première place seulement, B) Première et deuxième places (Victoire et Placement), C) Première, deuxième et troisième places (Trifecta), D) L'équipe dernière</v>
      </c>
      <c r="J97" s="5" t="str">
        <f>IFERROR(__xludf.DUMMYFUNCTION("GOOGLETRANSLATE(D97, ""en"", ""fr"")"),"B) Première et deuxième place (Victoire et Place)")</f>
        <v>B) Première et deuxième place (Victoire et Place)</v>
      </c>
      <c r="K97" s="5" t="str">
        <f>IFERROR(__xludf.DUMMYFUNCTION("GOOGLETRANSLATE(E97, ""en"", ""fr"")"),"Le quiniela est un système de pari mutuel classique dont le but est de prédire les deux premiers du match.")</f>
        <v>Le quiniela est un système de pari mutuel classique dont le but est de prédire les deux premiers du match.</v>
      </c>
    </row>
    <row r="98" ht="22.5" customHeight="1">
      <c r="A98" s="3">
        <v>97.0</v>
      </c>
      <c r="B98" s="4" t="s">
        <v>1094</v>
      </c>
      <c r="C98" s="4" t="s">
        <v>1095</v>
      </c>
      <c r="D98" s="4" t="s">
        <v>1096</v>
      </c>
      <c r="E98" s="4" t="s">
        <v>1097</v>
      </c>
      <c r="G98" s="5" t="str">
        <f>IFERROR(__xludf.DUMMYFUNCTION("GOOGLETRANSLATE(A98, ""en"", ""fr"")"),"97")</f>
        <v>97</v>
      </c>
      <c r="H98" s="5" t="str">
        <f>IFERROR(__xludf.DUMMYFUNCTION("GOOGLETRANSLATE(B98, ""en"", ""fr"")"),"Un joueur renvoie la balle, qui touche le mur avant, puis le mur arrière, puis le sol. Ce coup est-il autorisé ?")</f>
        <v>Un joueur renvoie la balle, qui touche le mur avant, puis le mur arrière, puis le sol. Ce coup est-il autorisé ?</v>
      </c>
      <c r="I98" s="5" t="str">
        <f>IFERROR(__xludf.DUMMYFUNCTION("GOOGLETRANSLATE(C98, ""en"", ""fr"")"),"A) Non, la bille doit rebondir avant de toucher le mur du fond. B) Oui, c'est un coup de carambole légal. C) Le point est rejoué. D) C'est une faute.")</f>
        <v>A) Non, la bille doit rebondir avant de toucher le mur du fond. B) Oui, c'est un coup de carambole légal. C) Le point est rejoué. D) C'est une faute.</v>
      </c>
      <c r="J98" s="5" t="str">
        <f>IFERROR(__xludf.DUMMYFUNCTION("GOOGLETRANSLATE(D98, ""en"", ""fr"")"),"B) Oui, il s'agit d'un coup de carambole légal.")</f>
        <v>B) Oui, il s'agit d'un coup de carambole légal.</v>
      </c>
      <c r="K98" s="5" t="str">
        <f>IFERROR(__xludf.DUMMYFUNCTION("GOOGLETRANSLATE(E98, ""en"", ""fr"")"),"L'utilisation du mur arrière (rebote) est un élément clé de la stratégie, en particulier dans le fronton à trois murs.")</f>
        <v>L'utilisation du mur arrière (rebote) est un élément clé de la stratégie, en particulier dans le fronton à trois murs.</v>
      </c>
    </row>
    <row r="99" ht="22.5" customHeight="1">
      <c r="A99" s="3">
        <v>98.0</v>
      </c>
      <c r="B99" s="4" t="s">
        <v>1098</v>
      </c>
      <c r="C99" s="4" t="s">
        <v>1099</v>
      </c>
      <c r="D99" s="4" t="s">
        <v>1100</v>
      </c>
      <c r="E99" s="4" t="s">
        <v>1101</v>
      </c>
      <c r="G99" s="5" t="str">
        <f>IFERROR(__xludf.DUMMYFUNCTION("GOOGLETRANSLATE(A99, ""en"", ""fr"")"),"98")</f>
        <v>98</v>
      </c>
      <c r="H99" s="5" t="str">
        <f>IFERROR(__xludf.DUMMYFUNCTION("GOOGLETRANSLATE(B99, ""en"", ""fr"")"),"Dans un trinquet, qu'est-ce que le xilo ?")</f>
        <v>Dans un trinquet, qu'est-ce que le xilo ?</v>
      </c>
      <c r="I99" s="5" t="str">
        <f>IFERROR(__xludf.DUMMYFUNCTION("GOOGLETRANSLATE(C99, ""en"", ""fr"")"),"A) Le mur du fond, B) Le filet, C) Un petit trou dans le mur avant qui constitue un coup gagnant automatique s'il est touché, D) La tribune latérale")</f>
        <v>A) Le mur du fond, B) Le filet, C) Un petit trou dans le mur avant qui constitue un coup gagnant automatique s'il est touché, D) La tribune latérale</v>
      </c>
      <c r="J99" s="5" t="str">
        <f>IFERROR(__xludf.DUMMYFUNCTION("GOOGLETRANSLATE(D99, ""en"", ""fr"")"),"C) Un petit trou dans la paroi avant qui, s'il est atteint, constitue un coup gagnant automatique.")</f>
        <v>C) Un petit trou dans la paroi avant qui, s'il est atteint, constitue un coup gagnant automatique.</v>
      </c>
      <c r="K99" s="5" t="str">
        <f>IFERROR(__xludf.DUMMYFUNCTION("GOOGLETRANSLATE(E99, ""en"", ""fr"")"),"Frapper la balle dans le xilo (trou) est un coup difficile et qui permet de gagner instantanément la partie dans certaines modalités.")</f>
        <v>Frapper la balle dans le xilo (trou) est un coup difficile et qui permet de gagner instantanément la partie dans certaines modalités.</v>
      </c>
    </row>
    <row r="100" ht="22.5" customHeight="1">
      <c r="A100" s="3">
        <v>99.0</v>
      </c>
      <c r="B100" s="4" t="s">
        <v>948</v>
      </c>
      <c r="C100" s="4" t="s">
        <v>949</v>
      </c>
      <c r="D100" s="4" t="s">
        <v>950</v>
      </c>
      <c r="E100" s="4" t="s">
        <v>951</v>
      </c>
      <c r="G100" s="5" t="str">
        <f>IFERROR(__xludf.DUMMYFUNCTION("GOOGLETRANSLATE(A100, ""en"", ""fr"")"),"99")</f>
        <v>99</v>
      </c>
      <c r="H100" s="5" t="str">
        <f>IFERROR(__xludf.DUMMYFUNCTION("GOOGLETRANSLATE(B100, ""en"", ""fr"")"),"On voit un joueur s'appliquer une substance collante, comme de la résine de pin, sur les mains avant un match de nue principal. Pourquoi ?")</f>
        <v>On voit un joueur s'appliquer une substance collante, comme de la résine de pin, sur les mains avant un match de nue principal. Pourquoi ?</v>
      </c>
      <c r="I100" s="5" t="str">
        <f>IFERROR(__xludf.DUMMYFUNCTION("GOOGLETRANSLATE(C100, ""en"", ""fr"")"),"A) C'est une substance illégale. B) Pour mieux contrôler la balle lors de la frappe. C) Pour se protéger les mains des blessures. D) Pour donner un effet à la balle.")</f>
        <v>A) C'est une substance illégale. B) Pour mieux contrôler la balle lors de la frappe. C) Pour se protéger les mains des blessures. D) Pour donner un effet à la balle.</v>
      </c>
      <c r="J100" s="5" t="str">
        <f>IFERROR(__xludf.DUMMYFUNCTION("GOOGLETRANSLATE(D100, ""en"", ""fr"")"),"B) Pour avoir une meilleure prise sur la balle lors de la frappe")</f>
        <v>B) Pour avoir une meilleure prise sur la balle lors de la frappe</v>
      </c>
      <c r="K100" s="5" t="str">
        <f>IFERROR(__xludf.DUMMYFUNCTION("GOOGLETRANSLATE(E100, ""en"", ""fr"")"),"Une petite quantité de résine peut aider le joueur à obtenir plus d'adhérence sur la balle, lui permettant ainsi de lui imprimer plus d'effet et de contrôle.")</f>
        <v>Une petite quantité de résine peut aider le joueur à obtenir plus d'adhérence sur la balle, lui permettant ainsi de lui imprimer plus d'effet et de contrôle.</v>
      </c>
    </row>
    <row r="101" ht="22.5" customHeight="1">
      <c r="A101" s="3">
        <v>100.0</v>
      </c>
      <c r="B101" s="4" t="s">
        <v>1102</v>
      </c>
      <c r="C101" s="4" t="s">
        <v>1103</v>
      </c>
      <c r="D101" s="4" t="s">
        <v>1104</v>
      </c>
      <c r="E101" s="4" t="s">
        <v>1105</v>
      </c>
      <c r="G101" s="5" t="str">
        <f>IFERROR(__xludf.DUMMYFUNCTION("GOOGLETRANSLATE(A101, ""en"", ""fr"")"),"100")</f>
        <v>100</v>
      </c>
      <c r="H101" s="5" t="str">
        <f>IFERROR(__xludf.DUMMYFUNCTION("GOOGLETRANSLATE(B101, ""en"", ""fr"")"),"Qu'est-ce qu'une « école de pelote » ou escuela de pelota ?")</f>
        <v>Qu'est-ce qu'une « école de pelote » ou escuela de pelota ?</v>
      </c>
      <c r="I101" s="5" t="str">
        <f>IFERROR(__xludf.DUMMYFUNCTION("GOOGLETRANSLATE(C101, ""en"", ""fr"")"),"A) Une université qui étudie ce sport, B) Un centre de formation pour jeunes joueurs, C) Le titre d'un livre célèbre sur ce sport, D) Un lieu de fabrication des balles")</f>
        <v>A) Une université qui étudie ce sport, B) Un centre de formation pour jeunes joueurs, C) Le titre d'un livre célèbre sur ce sport, D) Un lieu de fabrication des balles</v>
      </c>
      <c r="J101" s="5" t="str">
        <f>IFERROR(__xludf.DUMMYFUNCTION("GOOGLETRANSLATE(D101, ""en"", ""fr"")"),"B) Une académie de formation pour jeunes joueurs")</f>
        <v>B) Une académie de formation pour jeunes joueurs</v>
      </c>
      <c r="K101" s="5" t="str">
        <f>IFERROR(__xludf.DUMMYFUNCTION("GOOGLETRANSLATE(E101, ""en"", ""fr"")"),"Ces écoles sont au cœur du développement de ce sport, où les jeunes enfants apprennent les fondamentaux auprès d'entraîneurs expérimentés.")</f>
        <v>Ces écoles sont au cœur du développement de ce sport, où les jeunes enfants apprennent les fondamentaux auprès d'entraîneurs expérimentés.</v>
      </c>
    </row>
    <row r="102" ht="22.5" customHeight="1">
      <c r="A102" s="3">
        <v>101.0</v>
      </c>
      <c r="B102" s="4" t="s">
        <v>488</v>
      </c>
      <c r="C102" s="4" t="s">
        <v>489</v>
      </c>
      <c r="D102" s="4" t="s">
        <v>490</v>
      </c>
      <c r="E102" s="4" t="s">
        <v>491</v>
      </c>
      <c r="G102" s="5" t="str">
        <f>IFERROR(__xludf.DUMMYFUNCTION("GOOGLETRANSLATE(A102, ""en"", ""fr"")"),"101")</f>
        <v>101</v>
      </c>
      <c r="H102" s="5" t="str">
        <f>IFERROR(__xludf.DUMMYFUNCTION("GOOGLETRANSLATE(B102, ""en"", ""fr"")"),"Quel est l’héritage le plus durable du jeu de paume ?")</f>
        <v>Quel est l’héritage le plus durable du jeu de paume ?</v>
      </c>
      <c r="I102" s="5" t="str">
        <f>IFERROR(__xludf.DUMMYFUNCTION("GOOGLETRANSLATE(C102, ""en"", ""fr"")"),"A) C'est encore un sport populaire dans le monde entier. B) Il a fourni les règles, la terminologie et les concepts fondamentaux des sports modernes comme le tennis et la pelote basque. C) C'était le premier sport à utiliser une raquette. D) C'était un sp"&amp;"ort olympique.")</f>
        <v>A) C'est encore un sport populaire dans le monde entier. B) Il a fourni les règles, la terminologie et les concepts fondamentaux des sports modernes comme le tennis et la pelote basque. C) C'était le premier sport à utiliser une raquette. D) C'était un sport olympique.</v>
      </c>
      <c r="J102" s="5" t="str">
        <f>IFERROR(__xludf.DUMMYFUNCTION("GOOGLETRANSLATE(D102, ""en"", ""fr"")"),"B) Il a fourni les règles fondamentales, la terminologie et les concepts des sports modernes comme le tennis et la pelote basque.")</f>
        <v>B) Il a fourni les règles fondamentales, la terminologie et les concepts des sports modernes comme le tennis et la pelote basque.</v>
      </c>
      <c r="K102" s="5" t="str">
        <f>IFERROR(__xludf.DUMMYFUNCTION("GOOGLETRANSLATE(E102, ""en"", ""fr"")"),"L'ancien « jeu de la paume » est l'un des ancêtres les plus importants de l'histoire du sport, à l'origine de nombreux jeux de raquette et de balle modernes.")</f>
        <v>L'ancien « jeu de la paume » est l'un des ancêtres les plus importants de l'histoire du sport, à l'origine de nombreux jeux de raquette et de balle modernes.</v>
      </c>
    </row>
    <row r="103" ht="22.5" customHeight="1">
      <c r="A103" s="3">
        <v>102.0</v>
      </c>
      <c r="B103" s="4" t="s">
        <v>935</v>
      </c>
      <c r="C103" s="4" t="s">
        <v>936</v>
      </c>
      <c r="D103" s="4" t="s">
        <v>937</v>
      </c>
      <c r="E103" s="4" t="s">
        <v>938</v>
      </c>
      <c r="G103" s="5" t="str">
        <f>IFERROR(__xludf.DUMMYFUNCTION("GOOGLETRANSLATE(A103, ""en"", ""fr"")"),"102")</f>
        <v>102</v>
      </c>
      <c r="H103" s="5" t="str">
        <f>IFERROR(__xludf.DUMMYFUNCTION("GOOGLETRANSLATE(B103, ""en"", ""fr"")"),"Un joueur est touché par la balle pendant un échange. Quelle est la décision arbitrale ?")</f>
        <v>Un joueur est touché par la balle pendant un échange. Quelle est la décision arbitrale ?</v>
      </c>
      <c r="I103" s="5" t="str">
        <f>IFERROR(__xludf.DUMMYFUNCTION("GOOGLETRANSLATE(C103, ""en"", ""fr"")"),"A) Le joueur touché perd le point. B) Le point est rejoué. C) Le joueur qui a frappé la balle perd le point. D) Le joueur touché reçoit une pénalité.")</f>
        <v>A) Le joueur touché perd le point. B) Le point est rejoué. C) Le joueur qui a frappé la balle perd le point. D) Le joueur touché reçoit une pénalité.</v>
      </c>
      <c r="J103" s="5" t="str">
        <f>IFERROR(__xludf.DUMMYFUNCTION("GOOGLETRANSLATE(D103, ""en"", ""fr"")"),"A) Le joueur touché perd le point.")</f>
        <v>A) Le joueur touché perd le point.</v>
      </c>
      <c r="K103" s="5" t="str">
        <f>IFERROR(__xludf.DUMMYFUNCTION("GOOGLETRANSLATE(E103, ""en"", ""fr"")"),"Si la balle, après avoir heurté le mur frontal, touche un joueur avant d'avoir rebondi sur le sol, ce joueur est considéré comme « touché » et perd le point.")</f>
        <v>Si la balle, après avoir heurté le mur frontal, touche un joueur avant d'avoir rebondi sur le sol, ce joueur est considéré comme « touché » et perd le point.</v>
      </c>
    </row>
    <row r="104" ht="22.5" customHeight="1">
      <c r="A104" s="3">
        <v>103.0</v>
      </c>
      <c r="B104" s="4" t="s">
        <v>1106</v>
      </c>
      <c r="C104" s="4" t="s">
        <v>1107</v>
      </c>
      <c r="D104" s="4" t="s">
        <v>1108</v>
      </c>
      <c r="E104" s="4" t="s">
        <v>1109</v>
      </c>
      <c r="G104" s="5" t="str">
        <f>IFERROR(__xludf.DUMMYFUNCTION("GOOGLETRANSLATE(A104, ""en"", ""fr"")"),"103")</f>
        <v>103</v>
      </c>
      <c r="H104" s="5" t="str">
        <f>IFERROR(__xludf.DUMMYFUNCTION("GOOGLETRANSLATE(B104, ""en"", ""fr"")"),"Qu'est-ce qu'un « dos paredes » ?")</f>
        <v>Qu'est-ce qu'un « dos paredes » ?</v>
      </c>
      <c r="I104" s="5" t="str">
        <f>IFERROR(__xludf.DUMMYFUNCTION("GOOGLETRANSLATE(C104, ""en"", ""fr"")"),"A) Un coup qui touche deux murs, B) Un type de service, C) Un mouvement défensif, D) Un terme désignant un match de double")</f>
        <v>A) Un coup qui touche deux murs, B) Un type de service, C) Un mouvement défensif, D) Un terme désignant un match de double</v>
      </c>
      <c r="J104" s="5" t="str">
        <f>IFERROR(__xludf.DUMMYFUNCTION("GOOGLETRANSLATE(D104, ""en"", ""fr"")"),"A) Un tir qui touche deux murs")</f>
        <v>A) Un tir qui touche deux murs</v>
      </c>
      <c r="K104" s="5" t="str">
        <f>IFERROR(__xludf.DUMMYFUNCTION("GOOGLETRANSLATE(E104, ""en"", ""fr"")"),"Le tir « à deux murs » est une tactique courante où la balle est frappée contre le mur latéral puis contre le mur frontal, ou inversement, afin de créer un angle difficile.")</f>
        <v>Le tir « à deux murs » est une tactique courante où la balle est frappée contre le mur latéral puis contre le mur frontal, ou inversement, afin de créer un angle difficile.</v>
      </c>
    </row>
    <row r="105" ht="22.5" customHeight="1">
      <c r="A105" s="3">
        <v>104.0</v>
      </c>
      <c r="B105" s="4" t="s">
        <v>1110</v>
      </c>
      <c r="C105" s="4" t="s">
        <v>1111</v>
      </c>
      <c r="D105" s="4" t="s">
        <v>1112</v>
      </c>
      <c r="E105" s="4" t="s">
        <v>1113</v>
      </c>
      <c r="G105" s="5" t="str">
        <f>IFERROR(__xludf.DUMMYFUNCTION("GOOGLETRANSLATE(A105, ""en"", ""fr"")"),"104")</f>
        <v>104</v>
      </c>
      <c r="H105" s="5" t="str">
        <f>IFERROR(__xludf.DUMMYFUNCTION("GOOGLETRANSLATE(B105, ""en"", ""fr"")"),"Au jeu de Xare, à quoi ressemble la raquette ?")</f>
        <v>Au jeu de Xare, à quoi ressemble la raquette ?</v>
      </c>
      <c r="I105" s="5" t="str">
        <f>IFERROR(__xludf.DUMMYFUNCTION("GOOGLETRANSLATE(C105, ""en"", ""fr"")"),"A) Une pagaie en bois massif, B) Un panier tressé, C) Une raquette à cordes avec un tamis souple en forme de filet, D) Il n'y a pas de raquette")</f>
        <v>A) Une pagaie en bois massif, B) Un panier tressé, C) Une raquette à cordes avec un tamis souple en forme de filet, D) Il n'y a pas de raquette</v>
      </c>
      <c r="J105" s="5" t="str">
        <f>IFERROR(__xludf.DUMMYFUNCTION("GOOGLETRANSLATE(D105, ""en"", ""fr"")"),"C) Une raquette cordée avec un manche lâche en forme de filet")</f>
        <v>C) Une raquette cordée avec un manche lâche en forme de filet</v>
      </c>
      <c r="K105" s="5" t="str">
        <f>IFERROR(__xludf.DUMMYFUNCTION("GOOGLETRANSLATE(E105, ""en"", ""fr"")"),"Le xare (ou « raquette argentine ») utilise une raquette unique qui ressemble à une crosse de lacrosse, servant à attraper et à lancer la balle molle.")</f>
        <v>Le xare (ou « raquette argentine ») utilise une raquette unique qui ressemble à une crosse de lacrosse, servant à attraper et à lancer la balle molle.</v>
      </c>
    </row>
    <row r="106" ht="22.5" customHeight="1">
      <c r="A106" s="3">
        <v>105.0</v>
      </c>
      <c r="B106" s="4" t="s">
        <v>1114</v>
      </c>
      <c r="C106" s="4" t="s">
        <v>1115</v>
      </c>
      <c r="D106" s="4" t="s">
        <v>799</v>
      </c>
      <c r="E106" s="4" t="s">
        <v>1116</v>
      </c>
      <c r="G106" s="5" t="str">
        <f>IFERROR(__xludf.DUMMYFUNCTION("GOOGLETRANSLATE(A106, ""en"", ""fr"")"),"105")</f>
        <v>105</v>
      </c>
      <c r="H106" s="5" t="str">
        <f>IFERROR(__xludf.DUMMYFUNCTION("GOOGLETRANSLATE(B106, ""en"", ""fr"")"),"Un joueur est surpris en possession d'un ballon modifié illégalement, qui rebondit anormalement. Quelle est la conséquence ?")</f>
        <v>Un joueur est surpris en possession d'un ballon modifié illégalement, qui rebondit anormalement. Quelle est la conséquence ?</v>
      </c>
      <c r="I106" s="5" t="str">
        <f>IFERROR(__xludf.DUMMYFUNCTION("GOOGLETRANSLATE(C106, ""en"", ""fr"")"),"A) Un avertissement, B) Perte du match, C) Un point de pénalité, D) Le ballon est simplement remplacé")</f>
        <v>A) Un avertissement, B) Perte du match, C) Un point de pénalité, D) Le ballon est simplement remplacé</v>
      </c>
      <c r="J106" s="5" t="str">
        <f>IFERROR(__xludf.DUMMYFUNCTION("GOOGLETRANSLATE(D106, ""en"", ""fr"")"),"B) Forfait du match")</f>
        <v>B) Forfait du match</v>
      </c>
      <c r="K106" s="5" t="str">
        <f>IFERROR(__xludf.DUMMYFUNCTION("GOOGLETRANSLATE(E106, ""en"", ""fr"")"),"Toute altération du ballon visant à obtenir un avantage indu constitue un acte de tricherie majeur et entraînerait la perte du match.")</f>
        <v>Toute altération du ballon visant à obtenir un avantage indu constitue un acte de tricherie majeur et entraînerait la perte du match.</v>
      </c>
    </row>
    <row r="107" ht="22.5" customHeight="1">
      <c r="A107" s="3">
        <v>106.0</v>
      </c>
      <c r="B107" s="4" t="s">
        <v>955</v>
      </c>
      <c r="C107" s="4" t="s">
        <v>956</v>
      </c>
      <c r="D107" s="4" t="s">
        <v>957</v>
      </c>
      <c r="E107" s="4" t="s">
        <v>958</v>
      </c>
      <c r="G107" s="5" t="str">
        <f>IFERROR(__xludf.DUMMYFUNCTION("GOOGLETRANSLATE(A107, ""en"", ""fr"")"),"106")</f>
        <v>106</v>
      </c>
      <c r="H107" s="5" t="str">
        <f>IFERROR(__xludf.DUMMYFUNCTION("GOOGLETRANSLATE(B107, ""en"", ""fr"")"),"Un joueur porte un casque lors d'un match de pelote basque. Pourquoi est-ce une exigence moderne ?")</f>
        <v>Un joueur porte un casque lors d'un match de pelote basque. Pourquoi est-ce une exigence moderne ?</v>
      </c>
      <c r="I107" s="5" t="str">
        <f>IFERROR(__xludf.DUMMYFUNCTION("GOOGLETRANSLATE(C107, ""en"", ""fr"")"),"A) Pour faire professionnel, B) La vitesse incroyable du ballon peut être mortelle s'il heurte la tête d'un joueur, C) Pour se protéger des chutes, D) C'est une exigence du sponsor")</f>
        <v>A) Pour faire professionnel, B) La vitesse incroyable du ballon peut être mortelle s'il heurte la tête d'un joueur, C) Pour se protéger des chutes, D) C'est une exigence du sponsor</v>
      </c>
      <c r="J107" s="5" t="str">
        <f>IFERROR(__xludf.DUMMYFUNCTION("GOOGLETRANSLATE(D107, ""en"", ""fr"")"),"B) L'incroyable vitesse de la balle peut être mortelle si elle frappe un joueur à la tête.")</f>
        <v>B) L'incroyable vitesse de la balle peut être mortelle si elle frappe un joueur à la tête.</v>
      </c>
      <c r="K107" s="5" t="str">
        <f>IFERROR(__xludf.DUMMYFUNCTION("GOOGLETRANSLATE(E107, ""en"", ""fr"")"),"Avec des vitesses de balle dépassant les 300 km/h, le casque est un équipement de sécurité essentiel pour prévenir les blessures graves ou mortelles à la tête.")</f>
        <v>Avec des vitesses de balle dépassant les 300 km/h, le casque est un équipement de sécurité essentiel pour prévenir les blessures graves ou mortelles à la tête.</v>
      </c>
    </row>
    <row r="108" ht="22.5" customHeight="1">
      <c r="A108" s="3">
        <v>107.0</v>
      </c>
      <c r="B108" s="4" t="s">
        <v>1094</v>
      </c>
      <c r="C108" s="4" t="s">
        <v>1095</v>
      </c>
      <c r="D108" s="4" t="s">
        <v>1096</v>
      </c>
      <c r="E108" s="4" t="s">
        <v>1097</v>
      </c>
      <c r="G108" s="5" t="str">
        <f>IFERROR(__xludf.DUMMYFUNCTION("GOOGLETRANSLATE(A108, ""en"", ""fr"")"),"107")</f>
        <v>107</v>
      </c>
      <c r="H108" s="5" t="str">
        <f>IFERROR(__xludf.DUMMYFUNCTION("GOOGLETRANSLATE(B108, ""en"", ""fr"")"),"Un joueur renvoie la balle, qui touche le mur avant, puis le mur arrière, puis le sol. Ce coup est-il autorisé ?")</f>
        <v>Un joueur renvoie la balle, qui touche le mur avant, puis le mur arrière, puis le sol. Ce coup est-il autorisé ?</v>
      </c>
      <c r="I108" s="5" t="str">
        <f>IFERROR(__xludf.DUMMYFUNCTION("GOOGLETRANSLATE(C108, ""en"", ""fr"")"),"A) Non, la bille doit rebondir avant de toucher le mur du fond. B) Oui, c'est un coup de carambole légal. C) Le point est rejoué. D) C'est une faute.")</f>
        <v>A) Non, la bille doit rebondir avant de toucher le mur du fond. B) Oui, c'est un coup de carambole légal. C) Le point est rejoué. D) C'est une faute.</v>
      </c>
      <c r="J108" s="5" t="str">
        <f>IFERROR(__xludf.DUMMYFUNCTION("GOOGLETRANSLATE(D108, ""en"", ""fr"")"),"B) Oui, il s'agit d'un coup de carambole légal.")</f>
        <v>B) Oui, il s'agit d'un coup de carambole légal.</v>
      </c>
      <c r="K108" s="5" t="str">
        <f>IFERROR(__xludf.DUMMYFUNCTION("GOOGLETRANSLATE(E108, ""en"", ""fr"")"),"L'utilisation du mur arrière (rebote) est un élément clé de la stratégie, en particulier dans le fronton à trois murs.")</f>
        <v>L'utilisation du mur arrière (rebote) est un élément clé de la stratégie, en particulier dans le fronton à trois murs.</v>
      </c>
    </row>
    <row r="109" ht="22.5" customHeight="1">
      <c r="A109" s="3">
        <v>108.0</v>
      </c>
      <c r="B109" s="4" t="s">
        <v>944</v>
      </c>
      <c r="C109" s="4" t="s">
        <v>945</v>
      </c>
      <c r="D109" s="4" t="s">
        <v>946</v>
      </c>
      <c r="E109" s="4" t="s">
        <v>947</v>
      </c>
      <c r="G109" s="5" t="str">
        <f>IFERROR(__xludf.DUMMYFUNCTION("GOOGLETRANSLATE(A109, ""en"", ""fr"")"),"108")</f>
        <v>108</v>
      </c>
      <c r="H109" s="5" t="str">
        <f>IFERROR(__xludf.DUMMYFUNCTION("GOOGLETRANSLATE(B109, ""en"", ""fr"")"),"Un joueur sert, et la balle touche la ligne entre le mur frontal et le mur latéral. Quelle est la décision ?")</f>
        <v>Un joueur sert, et la balle touche la ligne entre le mur frontal et le mur latéral. Quelle est la décision ?</v>
      </c>
      <c r="I109" s="5" t="str">
        <f>IFERROR(__xludf.DUMMYFUNCTION("GOOGLETRANSLATE(C109, ""en"", ""fr"")"),"A) Service régulier, B) Faute, C) Point rejoué, D) Choix de l'adversaire")</f>
        <v>A) Service régulier, B) Faute, C) Point rejoué, D) Choix de l'adversaire</v>
      </c>
      <c r="J109" s="5" t="str">
        <f>IFERROR(__xludf.DUMMYFUNCTION("GOOGLETRANSLATE(D109, ""en"", ""fr"")"),"A) Un service légal")</f>
        <v>A) Un service légal</v>
      </c>
      <c r="K109" s="5" t="str">
        <f>IFERROR(__xludf.DUMMYFUNCTION("GOOGLETRANSLATE(E109, ""en"", ""fr"")"),"Contrairement à la ligne tracée au sol, le coin où deux surfaces de jeu se rejoignent est considéré comme « dedans ».")</f>
        <v>Contrairement à la ligne tracée au sol, le coin où deux surfaces de jeu se rejoignent est considéré comme « dedans ».</v>
      </c>
    </row>
    <row r="110" ht="22.5" customHeight="1">
      <c r="A110" s="3">
        <v>109.0</v>
      </c>
      <c r="B110" s="4" t="s">
        <v>1117</v>
      </c>
      <c r="C110" s="4" t="s">
        <v>1118</v>
      </c>
      <c r="D110" s="4" t="s">
        <v>1119</v>
      </c>
      <c r="E110" s="4" t="s">
        <v>1120</v>
      </c>
      <c r="G110" s="5" t="str">
        <f>IFERROR(__xludf.DUMMYFUNCTION("GOOGLETRANSLATE(A110, ""en"", ""fr"")"),"109")</f>
        <v>109</v>
      </c>
      <c r="H110" s="5" t="str">
        <f>IFERROR(__xludf.DUMMYFUNCTION("GOOGLETRANSLATE(B110, ""en"", ""fr"")"),"À quoi correspond le numéro inscrit dans le dos d'un joueur de pelote basque ?")</f>
        <v>À quoi correspond le numéro inscrit dans le dos d'un joueur de pelote basque ?</v>
      </c>
      <c r="I110" s="5" t="str">
        <f>IFERROR(__xludf.DUMMYFUNCTION("GOOGLETRANSLATE(C110, ""en"", ""fr"")"),"A) Leur âge, B) Leur grade, C) Leur position dans le système de paris combinés, D) Leur taille de maillot")</f>
        <v>A) Leur âge, B) Leur grade, C) Leur position dans le système de paris combinés, D) Leur taille de maillot</v>
      </c>
      <c r="J110" s="5" t="str">
        <f>IFERROR(__xludf.DUMMYFUNCTION("GOOGLETRANSLATE(D110, ""en"", ""fr"")"),"C) Leur position dans le système de paris quiniela")</f>
        <v>C) Leur position dans le système de paris quiniela</v>
      </c>
      <c r="K110" s="5" t="str">
        <f>IFERROR(__xludf.DUMMYFUNCTION("GOOGLETRANSLATE(E110, ""en"", ""fr"")"),"Les numéros de 1 à 8 servent à identifier les joueurs ou les équipes pour les parieurs.")</f>
        <v>Les numéros de 1 à 8 servent à identifier les joueurs ou les équipes pour les parieurs.</v>
      </c>
    </row>
    <row r="111" ht="22.5" customHeight="1">
      <c r="A111" s="3">
        <v>110.0</v>
      </c>
      <c r="B111" s="4" t="s">
        <v>952</v>
      </c>
      <c r="C111" s="4" t="s">
        <v>945</v>
      </c>
      <c r="D111" s="4" t="s">
        <v>953</v>
      </c>
      <c r="E111" s="4" t="s">
        <v>954</v>
      </c>
      <c r="G111" s="5" t="str">
        <f>IFERROR(__xludf.DUMMYFUNCTION("GOOGLETRANSLATE(A111, ""en"", ""fr"")"),"110")</f>
        <v>110</v>
      </c>
      <c r="H111" s="5" t="str">
        <f>IFERROR(__xludf.DUMMYFUNCTION("GOOGLETRANSLATE(B111, ""en"", ""fr"")"),"Un joueur sert, et la balle touche la ligne entre le mur frontal et le sol. Quelle est la décision ?")</f>
        <v>Un joueur sert, et la balle touche la ligne entre le mur frontal et le sol. Quelle est la décision ?</v>
      </c>
      <c r="I111" s="5" t="str">
        <f>IFERROR(__xludf.DUMMYFUNCTION("GOOGLETRANSLATE(C111, ""en"", ""fr"")"),"A) Service régulier, B) Faute, C) Point rejoué, D) Choix de l'adversaire")</f>
        <v>A) Service régulier, B) Faute, C) Point rejoué, D) Choix de l'adversaire</v>
      </c>
      <c r="J111" s="5" t="str">
        <f>IFERROR(__xludf.DUMMYFUNCTION("GOOGLETRANSLATE(D111, ""en"", ""fr"")"),"B) Un défaut")</f>
        <v>B) Un défaut</v>
      </c>
      <c r="K111" s="5" t="str">
        <f>IFERROR(__xludf.DUMMYFUNCTION("GOOGLETRANSLATE(E111, ""en"", ""fr"")"),"La balle doit toucher le mur frontal nettement au-dessus du sol. Toucher la ligne est une faute.")</f>
        <v>La balle doit toucher le mur frontal nettement au-dessus du sol. Toucher la ligne est une faute.</v>
      </c>
    </row>
    <row r="112" ht="22.5" customHeight="1">
      <c r="A112" s="3">
        <v>111.0</v>
      </c>
      <c r="B112" s="4" t="s">
        <v>1102</v>
      </c>
      <c r="C112" s="4" t="s">
        <v>1103</v>
      </c>
      <c r="D112" s="4" t="s">
        <v>1104</v>
      </c>
      <c r="E112" s="4" t="s">
        <v>1105</v>
      </c>
      <c r="G112" s="5" t="str">
        <f>IFERROR(__xludf.DUMMYFUNCTION("GOOGLETRANSLATE(A112, ""en"", ""fr"")"),"111")</f>
        <v>111</v>
      </c>
      <c r="H112" s="5" t="str">
        <f>IFERROR(__xludf.DUMMYFUNCTION("GOOGLETRANSLATE(B112, ""en"", ""fr"")"),"Qu'est-ce qu'une « école de pelote » ou escuela de pelota ?")</f>
        <v>Qu'est-ce qu'une « école de pelote » ou escuela de pelota ?</v>
      </c>
      <c r="I112" s="5" t="str">
        <f>IFERROR(__xludf.DUMMYFUNCTION("GOOGLETRANSLATE(C112, ""en"", ""fr"")"),"A) Une université qui étudie ce sport, B) Un centre de formation pour jeunes joueurs, C) Le titre d'un livre célèbre sur ce sport, D) Un lieu de fabrication des balles")</f>
        <v>A) Une université qui étudie ce sport, B) Un centre de formation pour jeunes joueurs, C) Le titre d'un livre célèbre sur ce sport, D) Un lieu de fabrication des balles</v>
      </c>
      <c r="J112" s="5" t="str">
        <f>IFERROR(__xludf.DUMMYFUNCTION("GOOGLETRANSLATE(D112, ""en"", ""fr"")"),"B) Une académie de formation pour jeunes joueurs")</f>
        <v>B) Une académie de formation pour jeunes joueurs</v>
      </c>
      <c r="K112" s="5" t="str">
        <f>IFERROR(__xludf.DUMMYFUNCTION("GOOGLETRANSLATE(E112, ""en"", ""fr"")"),"Ces écoles sont au cœur du développement de ce sport, où les jeunes enfants apprennent les fondamentaux auprès d'entraîneurs expérimentés.")</f>
        <v>Ces écoles sont au cœur du développement de ce sport, où les jeunes enfants apprennent les fondamentaux auprès d'entraîneurs expérimentés.</v>
      </c>
    </row>
    <row r="113" ht="22.5" customHeight="1">
      <c r="A113" s="3">
        <v>112.0</v>
      </c>
      <c r="B113" s="4" t="s">
        <v>911</v>
      </c>
      <c r="C113" s="4" t="s">
        <v>912</v>
      </c>
      <c r="D113" s="4" t="s">
        <v>913</v>
      </c>
      <c r="E113" s="4" t="s">
        <v>914</v>
      </c>
      <c r="G113" s="5" t="str">
        <f>IFERROR(__xludf.DUMMYFUNCTION("GOOGLETRANSLATE(A113, ""en"", ""fr"")"),"112")</f>
        <v>112</v>
      </c>
      <c r="H113" s="5" t="str">
        <f>IFERROR(__xludf.DUMMYFUNCTION("GOOGLETRANSLATE(B113, ""en"", ""fr"")"),"Quelle est la principale différence entre la paleta cuero et la paleta goma ?")</f>
        <v>Quelle est la principale différence entre la paleta cuero et la paleta goma ?</v>
      </c>
      <c r="I113" s="5" t="str">
        <f>IFERROR(__xludf.DUMMYFUNCTION("GOOGLETRANSLATE(C113, ""en"", ""fr"")"),"A) La taille du terrain, B) Le type de balle utilisée (balle en cuir ou balle en caoutchouc), C) Le nombre de joueurs, D) Le matériau de la raquette")</f>
        <v>A) La taille du terrain, B) Le type de balle utilisée (balle en cuir ou balle en caoutchouc), C) Le nombre de joueurs, D) Le matériau de la raquette</v>
      </c>
      <c r="J113" s="5" t="str">
        <f>IFERROR(__xludf.DUMMYFUNCTION("GOOGLETRANSLATE(D113, ""en"", ""fr"")"),"B) Le type de balle utilisée (balle en cuir ou balle en caoutchouc)")</f>
        <v>B) Le type de balle utilisée (balle en cuir ou balle en caoutchouc)</v>
      </c>
      <c r="K113" s="5" t="str">
        <f>IFERROR(__xludf.DUMMYFUNCTION("GOOGLETRANSLATE(E113, ""en"", ""fr"")"),"Il s'agit de deux modes de jeu de raquette différents : l'un se joue avec une balle traditionnelle en cuir dur et l'autre avec une balle en caoutchouc plus rebondissante.")</f>
        <v>Il s'agit de deux modes de jeu de raquette différents : l'un se joue avec une balle traditionnelle en cuir dur et l'autre avec une balle en caoutchouc plus rebondissante.</v>
      </c>
    </row>
    <row r="114" ht="22.5" customHeight="1">
      <c r="A114" s="3">
        <v>113.0</v>
      </c>
      <c r="B114" s="4" t="s">
        <v>1121</v>
      </c>
      <c r="C114" s="4" t="s">
        <v>1122</v>
      </c>
      <c r="D114" s="4" t="s">
        <v>1123</v>
      </c>
      <c r="E114" s="4" t="s">
        <v>1124</v>
      </c>
      <c r="G114" s="5" t="str">
        <f>IFERROR(__xludf.DUMMYFUNCTION("GOOGLETRANSLATE(A114, ""en"", ""fr"")"),"113")</f>
        <v>113</v>
      </c>
      <c r="H114" s="5" t="str">
        <f>IFERROR(__xludf.DUMMYFUNCTION("GOOGLETRANSLATE(B114, ""en"", ""fr"")"),"Quel est le rôle principal du mur gauche (pared izquierda) dans le jeu ?")</f>
        <v>Quel est le rôle principal du mur gauche (pared izquierda) dans le jeu ?</v>
      </c>
      <c r="I114" s="5" t="str">
        <f>IFERROR(__xludf.DUMMYFUNCTION("GOOGLETRANSLATE(C114, ""en"", ""fr"")"),"A) Fournir une surface de jeu légale pour la balle, créant des angles complexes ; B) Séparer les joueurs des spectateurs ; C) C'est hors limites ; D) C'est là que le score est consigné.")</f>
        <v>A) Fournir une surface de jeu légale pour la balle, créant des angles complexes ; B) Séparer les joueurs des spectateurs ; C) C'est hors limites ; D) C'est là que le score est consigné.</v>
      </c>
      <c r="J114" s="5" t="str">
        <f>IFERROR(__xludf.DUMMYFUNCTION("GOOGLETRANSLATE(D114, ""en"", ""fr"")"),"A) Fournir une surface permettant de jouer la balle légalement, créant des angles complexes")</f>
        <v>A) Fournir une surface permettant de jouer la balle légalement, créant des angles complexes</v>
      </c>
      <c r="K114" s="5" t="str">
        <f>IFERROR(__xludf.DUMMYFUNCTION("GOOGLETRANSLATE(E114, ""en"", ""fr"")"),"Le mur latéral est un élément fondamental du jeu, permettant des tirs avec rebond et des actions défensives impossibles dans un jeu à deux murs.")</f>
        <v>Le mur latéral est un élément fondamental du jeu, permettant des tirs avec rebond et des actions défensives impossibles dans un jeu à deux murs.</v>
      </c>
    </row>
    <row r="115" ht="22.5" customHeight="1">
      <c r="A115" s="3">
        <v>114.0</v>
      </c>
      <c r="B115" s="4" t="s">
        <v>900</v>
      </c>
      <c r="C115" s="4" t="s">
        <v>901</v>
      </c>
      <c r="D115" s="4" t="s">
        <v>902</v>
      </c>
      <c r="E115" s="4" t="s">
        <v>903</v>
      </c>
      <c r="G115" s="5" t="str">
        <f>IFERROR(__xludf.DUMMYFUNCTION("GOOGLETRANSLATE(A115, ""en"", ""fr"")"),"114")</f>
        <v>114</v>
      </c>
      <c r="H115" s="5" t="str">
        <f>IFERROR(__xludf.DUMMYFUNCTION("GOOGLETRANSLATE(B115, ""en"", ""fr"")"),"Un joueur est connu pour son puissant saque. De quoi s'agit-il ?")</f>
        <v>Un joueur est connu pour son puissant saque. De quoi s'agit-il ?</v>
      </c>
      <c r="I115" s="5" t="str">
        <f>IFERROR(__xludf.DUMMYFUNCTION("GOOGLETRANSLATE(C115, ""en"", ""fr"")"),"A) Leur coup droit, B) Leur revers, C) Leur service, D) Leur bloc défensif")</f>
        <v>A) Leur coup droit, B) Leur revers, C) Leur service, D) Leur bloc défensif</v>
      </c>
      <c r="J115" s="5" t="str">
        <f>IFERROR(__xludf.DUMMYFUNCTION("GOOGLETRANSLATE(D115, ""en"", ""fr"")"),"C) Leur service")</f>
        <v>C) Leur service</v>
      </c>
      <c r="K115" s="5" t="str">
        <f>IFERROR(__xludf.DUMMYFUNCTION("GOOGLETRANSLATE(E115, ""en"", ""fr"")"),"Le saque est le mot espagnol pour le service, le premier coup de chaque point.")</f>
        <v>Le saque est le mot espagnol pour le service, le premier coup de chaque point.</v>
      </c>
    </row>
    <row r="116" ht="22.5" customHeight="1">
      <c r="A116" s="3">
        <v>115.0</v>
      </c>
      <c r="B116" s="4" t="s">
        <v>904</v>
      </c>
      <c r="C116" s="4" t="s">
        <v>905</v>
      </c>
      <c r="D116" s="4" t="s">
        <v>906</v>
      </c>
      <c r="E116" s="4" t="s">
        <v>907</v>
      </c>
      <c r="G116" s="5" t="str">
        <f>IFERROR(__xludf.DUMMYFUNCTION("GOOGLETRANSLATE(A116, ""en"", ""fr"")"),"115")</f>
        <v>115</v>
      </c>
      <c r="H116" s="5" t="str">
        <f>IFERROR(__xludf.DUMMYFUNCTION("GOOGLETRANSLATE(B116, ""en"", ""fr"")"),"Pourquoi le sol d'un fronton de pelote basque professionnel est-il souvent en béton ou en granit ?")</f>
        <v>Pourquoi le sol d'un fronton de pelote basque professionnel est-il souvent en béton ou en granit ?</v>
      </c>
      <c r="I116" s="5" t="str">
        <f>IFERROR(__xludf.DUMMYFUNCTION("GOOGLETRANSLATE(C116, ""en"", ""fr"")"),"A) Il est bon marché, B) Il offre un rebond très rapide et régulier pour la balle dure, C) Il est traditionnel, D) Il est facile à nettoyer")</f>
        <v>A) Il est bon marché, B) Il offre un rebond très rapide et régulier pour la balle dure, C) Il est traditionnel, D) Il est facile à nettoyer</v>
      </c>
      <c r="J116" s="5" t="str">
        <f>IFERROR(__xludf.DUMMYFUNCTION("GOOGLETRANSLATE(D116, ""en"", ""fr"")"),"B) Il assure un rebond très rapide et régulier pour la balle dure")</f>
        <v>B) Il assure un rebond très rapide et régulier pour la balle dure</v>
      </c>
      <c r="K116" s="5" t="str">
        <f>IFERROR(__xludf.DUMMYFUNCTION("GOOGLETRANSLATE(E116, ""en"", ""fr"")"),"La surface dure et lisse est essentielle pour le rythme rapide et les rebonds importants propres à ce jeu.")</f>
        <v>La surface dure et lisse est essentielle pour le rythme rapide et les rebonds importants propres à ce jeu.</v>
      </c>
    </row>
    <row r="117" ht="22.5" customHeight="1">
      <c r="A117" s="3">
        <v>116.0</v>
      </c>
      <c r="B117" s="4" t="s">
        <v>908</v>
      </c>
      <c r="C117" s="4" t="s">
        <v>909</v>
      </c>
      <c r="D117" s="4" t="s">
        <v>689</v>
      </c>
      <c r="E117" s="4" t="s">
        <v>910</v>
      </c>
      <c r="G117" s="5" t="str">
        <f>IFERROR(__xludf.DUMMYFUNCTION("GOOGLETRANSLATE(A117, ""en"", ""fr"")"),"116")</f>
        <v>116</v>
      </c>
      <c r="H117" s="5" t="str">
        <f>IFERROR(__xludf.DUMMYFUNCTION("GOOGLETRANSLATE(B117, ""en"", ""fr"")"),"La chemise d'un joueur se casse en plein point. Que se passe-t-il ?")</f>
        <v>La chemise d'un joueur se casse en plein point. Que se passe-t-il ?</v>
      </c>
      <c r="I117" s="5" t="str">
        <f>IFERROR(__xludf.DUMMYFUNCTION("GOOGLETRANSLATE(C117, ""en"", ""fr"")"),"A) Le joueur est disqualifié, B) Le point est immédiatement arrêté et rejoué, C) Le joueur peut tenter de continuer le point avec la chestera cassée, D) Le joueur peut aller en chercher une nouvelle")</f>
        <v>A) Le joueur est disqualifié, B) Le point est immédiatement arrêté et rejoué, C) Le joueur peut tenter de continuer le point avec la chestera cassée, D) Le joueur peut aller en chercher une nouvelle</v>
      </c>
      <c r="J117" s="5" t="str">
        <f>IFERROR(__xludf.DUMMYFUNCTION("GOOGLETRANSLATE(D117, ""en"", ""fr"")"),"B) Le point est immédiatement interrompu et rejoué.")</f>
        <v>B) Le point est immédiatement interrompu et rejoué.</v>
      </c>
      <c r="K117" s="5" t="str">
        <f>IFERROR(__xludf.DUMMYFUNCTION("GOOGLETRANSLATE(E117, ""en"", ""fr"")"),"Si l'équipement essentiel d'un joueur se brise pendant un échange en direct sans qu'il y soit pour rien, le point est généralement rejoué.")</f>
        <v>Si l'équipement essentiel d'un joueur se brise pendant un échange en direct sans qu'il y soit pour rien, le point est généralement rejoué.</v>
      </c>
    </row>
    <row r="118" ht="22.5" customHeight="1">
      <c r="A118" s="3">
        <v>117.0</v>
      </c>
      <c r="B118" s="4" t="s">
        <v>915</v>
      </c>
      <c r="C118" s="4" t="s">
        <v>916</v>
      </c>
      <c r="D118" s="4" t="s">
        <v>917</v>
      </c>
      <c r="E118" s="4" t="s">
        <v>918</v>
      </c>
      <c r="G118" s="5" t="str">
        <f>IFERROR(__xludf.DUMMYFUNCTION("GOOGLETRANSLATE(A118, ""en"", ""fr"")"),"117")</f>
        <v>117</v>
      </c>
      <c r="H118" s="5" t="str">
        <f>IFERROR(__xludf.DUMMYFUNCTION("GOOGLETRANSLATE(B118, ""en"", ""fr"")"),"Un joueur reçoit un avertissement pour « interférence ». Qu'a-t-il bien pu faire ?")</f>
        <v>Un joueur reçoit un avertissement pour « interférence ». Qu'a-t-il bien pu faire ?</v>
      </c>
      <c r="I118" s="5" t="str">
        <f>IFERROR(__xludf.DUMMYFUNCTION("GOOGLETRANSLATE(C118, ""en"", ""fr"")"),"A) A frappé la balle trop fort, B) S'est placé de manière à bloquer le passage de l'adversaire vers la balle, C) A parlé à son partenaire, D) A contesté l'arbitre")</f>
        <v>A) A frappé la balle trop fort, B) S'est placé de manière à bloquer le passage de l'adversaire vers la balle, C) A parlé à son partenaire, D) A contesté l'arbitre</v>
      </c>
      <c r="J118" s="5" t="str">
        <f>IFERROR(__xludf.DUMMYFUNCTION("GOOGLETRANSLATE(D118, ""en"", ""fr"")"),"B) S'est placé de manière à bloquer le passage de l'adversaire vers la balle")</f>
        <v>B) S'est placé de manière à bloquer le passage de l'adversaire vers la balle</v>
      </c>
      <c r="K118" s="5" t="str">
        <f>IFERROR(__xludf.DUMMYFUNCTION("GOOGLETRANSLATE(E118, ""en"", ""fr"")"),"Un joueur ne peut pas intentionnellement obstruer les mouvements ou la ligne de vue d'un adversaire vers le ballon. Il s'agit d'une faute.")</f>
        <v>Un joueur ne peut pas intentionnellement obstruer les mouvements ou la ligne de vue d'un adversaire vers le ballon. Il s'agit d'une faute.</v>
      </c>
    </row>
    <row r="119" ht="22.5" customHeight="1">
      <c r="A119" s="3">
        <v>118.0</v>
      </c>
      <c r="B119" s="4" t="s">
        <v>919</v>
      </c>
      <c r="C119" s="4" t="s">
        <v>920</v>
      </c>
      <c r="D119" s="4" t="s">
        <v>921</v>
      </c>
      <c r="E119" s="4" t="s">
        <v>922</v>
      </c>
      <c r="G119" s="5" t="str">
        <f>IFERROR(__xludf.DUMMYFUNCTION("GOOGLETRANSLATE(A119, ""en"", ""fr"")"),"118")</f>
        <v>118</v>
      </c>
      <c r="H119" s="5" t="str">
        <f>IFERROR(__xludf.DUMMYFUNCTION("GOOGLETRANSLATE(B119, ""en"", ""fr"")"),"Un joueur sert. La balle touche le mur frontal, puis le sol dans le carré de service, et enfin le mur du fond. Ce service est-il valide ?")</f>
        <v>Un joueur sert. La balle touche le mur frontal, puis le sol dans le carré de service, et enfin le mur du fond. Ce service est-il valide ?</v>
      </c>
      <c r="I119" s="5" t="str">
        <f>IFERROR(__xludf.DUMMYFUNCTION("GOOGLETRANSLATE(C119, ""en"", ""fr"")"),"A) Non, la balle doit être renvoyée avant de toucher le mur du fond. B) Oui, c'est un service régulier. C) Le point est rejoué. D) C'est une faute.")</f>
        <v>A) Non, la balle doit être renvoyée avant de toucher le mur du fond. B) Oui, c'est un service régulier. C) Le point est rejoué. D) C'est une faute.</v>
      </c>
      <c r="J119" s="5" t="str">
        <f>IFERROR(__xludf.DUMMYFUNCTION("GOOGLETRANSLATE(D119, ""en"", ""fr"")"),"B) Oui, c'est un service légal")</f>
        <v>B) Oui, c'est un service légal</v>
      </c>
      <c r="K119" s="5" t="str">
        <f>IFERROR(__xludf.DUMMYFUNCTION("GOOGLETRANSLATE(E119, ""en"", ""fr"")"),"Tant que le service touche le mur frontal et rebondit dans la zone prévue, la balle est valable, même si elle touche ensuite le mur du fond.")</f>
        <v>Tant que le service touche le mur frontal et rebondit dans la zone prévue, la balle est valable, même si elle touche ensuite le mur du fond.</v>
      </c>
    </row>
    <row r="120" ht="22.5" customHeight="1">
      <c r="A120" s="3">
        <v>119.0</v>
      </c>
      <c r="B120" s="4" t="s">
        <v>1125</v>
      </c>
      <c r="C120" s="4" t="s">
        <v>1087</v>
      </c>
      <c r="D120" s="4" t="s">
        <v>1088</v>
      </c>
      <c r="E120" s="4" t="s">
        <v>1089</v>
      </c>
      <c r="G120" s="5" t="str">
        <f>IFERROR(__xludf.DUMMYFUNCTION("GOOGLETRANSLATE(A120, ""en"", ""fr"")"),"119")</f>
        <v>119</v>
      </c>
      <c r="H120" s="5" t="str">
        <f>IFERROR(__xludf.DUMMYFUNCTION("GOOGLETRANSLATE(B120, ""en"", ""fr"")"),"Quelle est la principale raison pour laquelle la pelota jouit d'un statut culturel beaucoup plus élevé au Pays basque qu'ailleurs ?")</f>
        <v>Quelle est la principale raison pour laquelle la pelota jouit d'un statut culturel beaucoup plus élevé au Pays basque qu'ailleurs ?</v>
      </c>
      <c r="I120" s="5" t="str">
        <f>IFERROR(__xludf.DUMMYFUNCTION("GOOGLETRANSLATE(C120, ""en"", ""fr"")"),"A) C'est un symbole de leur identité nationale et culturelle unique, B) C'est le seul sport qu'ils pratiquent, C) Les prix y sont beaucoup plus élevés, D) Les meilleurs joueurs viennent tous de là-bas")</f>
        <v>A) C'est un symbole de leur identité nationale et culturelle unique, B) C'est le seul sport qu'ils pratiquent, C) Les prix y sont beaucoup plus élevés, D) Les meilleurs joueurs viennent tous de là-bas</v>
      </c>
      <c r="J120" s="5" t="str">
        <f>IFERROR(__xludf.DUMMYFUNCTION("GOOGLETRANSLATE(D120, ""en"", ""fr"")"),"A) C'est un symbole de leur identité nationale et culturelle unique")</f>
        <v>A) C'est un symbole de leur identité nationale et culturelle unique</v>
      </c>
      <c r="K120" s="5" t="str">
        <f>IFERROR(__xludf.DUMMYFUNCTION("GOOGLETRANSLATE(E120, ""en"", ""fr"")"),"La pelote est bien plus qu'un simple jeu ; c'est un trésor culturel précieux, une institution sociale et une puissante expression du patrimoine basque.")</f>
        <v>La pelote est bien plus qu'un simple jeu ; c'est un trésor culturel précieux, une institution sociale et une puissante expression du patrimoine basque.</v>
      </c>
    </row>
    <row r="121" ht="22.5" customHeight="1">
      <c r="A121" s="3">
        <v>120.0</v>
      </c>
      <c r="B121" s="4" t="s">
        <v>955</v>
      </c>
      <c r="C121" s="4" t="s">
        <v>956</v>
      </c>
      <c r="D121" s="4" t="s">
        <v>957</v>
      </c>
      <c r="E121" s="4" t="s">
        <v>958</v>
      </c>
      <c r="G121" s="5" t="str">
        <f>IFERROR(__xludf.DUMMYFUNCTION("GOOGLETRANSLATE(A121, ""en"", ""fr"")"),"120")</f>
        <v>120</v>
      </c>
      <c r="H121" s="5" t="str">
        <f>IFERROR(__xludf.DUMMYFUNCTION("GOOGLETRANSLATE(B121, ""en"", ""fr"")"),"Un joueur porte un casque lors d'un match de pelote basque. Pourquoi est-ce une exigence moderne ?")</f>
        <v>Un joueur porte un casque lors d'un match de pelote basque. Pourquoi est-ce une exigence moderne ?</v>
      </c>
      <c r="I121" s="5" t="str">
        <f>IFERROR(__xludf.DUMMYFUNCTION("GOOGLETRANSLATE(C121, ""en"", ""fr"")"),"A) Pour faire professionnel, B) La vitesse incroyable du ballon peut être mortelle s'il heurte la tête d'un joueur, C) Pour se protéger des chutes, D) C'est une exigence du sponsor")</f>
        <v>A) Pour faire professionnel, B) La vitesse incroyable du ballon peut être mortelle s'il heurte la tête d'un joueur, C) Pour se protéger des chutes, D) C'est une exigence du sponsor</v>
      </c>
      <c r="J121" s="5" t="str">
        <f>IFERROR(__xludf.DUMMYFUNCTION("GOOGLETRANSLATE(D121, ""en"", ""fr"")"),"B) L'incroyable vitesse de la balle peut être mortelle si elle frappe un joueur à la tête.")</f>
        <v>B) L'incroyable vitesse de la balle peut être mortelle si elle frappe un joueur à la tête.</v>
      </c>
      <c r="K121" s="5" t="str">
        <f>IFERROR(__xludf.DUMMYFUNCTION("GOOGLETRANSLATE(E121, ""en"", ""fr"")"),"Avec des vitesses de balle dépassant les 300 km/h, le casque est un équipement de sécurité essentiel pour prévenir les blessures graves ou mortelles à la tête.")</f>
        <v>Avec des vitesses de balle dépassant les 300 km/h, le casque est un équipement de sécurité essentiel pour prévenir les blessures graves ou mortelles à la tête.</v>
      </c>
    </row>
    <row r="122" ht="22.5" customHeight="1">
      <c r="A122" s="3">
        <v>121.0</v>
      </c>
      <c r="B122" s="4" t="s">
        <v>896</v>
      </c>
      <c r="C122" s="4" t="s">
        <v>897</v>
      </c>
      <c r="D122" s="4" t="s">
        <v>898</v>
      </c>
      <c r="E122" s="4" t="s">
        <v>899</v>
      </c>
      <c r="G122" s="5" t="str">
        <f>IFERROR(__xludf.DUMMYFUNCTION("GOOGLETRANSLATE(A122, ""en"", ""fr"")"),"121")</f>
        <v>121</v>
      </c>
      <c r="H122" s="5" t="str">
        <f>IFERROR(__xludf.DUMMYFUNCTION("GOOGLETRANSLATE(B122, ""en"", ""fr"")"),"Quel est le rôle principal de la Fédération internationale de pelote basque (FIPV) ?")</f>
        <v>Quel est le rôle principal de la Fédération internationale de pelote basque (FIPV) ?</v>
      </c>
      <c r="I122" s="5" t="str">
        <f>IFERROR(__xludf.DUMMYFUNCTION("GOOGLETRANSLATE(C122, ""en"", ""fr"")"),"A) Organiser des paris professionnels, B) Gouverner le sport, normaliser les règles et organiser des championnats du monde, C) Entraîner l'équipe nationale espagnole, D) Fabriquer l'équipement")</f>
        <v>A) Organiser des paris professionnels, B) Gouverner le sport, normaliser les règles et organiser des championnats du monde, C) Entraîner l'équipe nationale espagnole, D) Fabriquer l'équipement</v>
      </c>
      <c r="J122" s="5" t="str">
        <f>IFERROR(__xludf.DUMMYFUNCTION("GOOGLETRANSLATE(D122, ""en"", ""fr"")"),"B) Gouverner le sport, normaliser les règles et organiser les championnats du monde")</f>
        <v>B) Gouverner le sport, normaliser les règles et organiser les championnats du monde</v>
      </c>
      <c r="K122" s="5" t="str">
        <f>IFERROR(__xludf.DUMMYFUNCTION("GOOGLETRANSLATE(E122, ""en"", ""fr"")"),"La FIPV est l'instance dirigeante mondiale chargée de l'administration et de la promotion de toutes les modalités officielles de ce sport.")</f>
        <v>La FIPV est l'instance dirigeante mondiale chargée de l'administration et de la promotion de toutes les modalités officielles de ce sport.</v>
      </c>
    </row>
    <row r="123" ht="22.5" customHeight="1">
      <c r="A123" s="3">
        <v>122.0</v>
      </c>
      <c r="B123" s="4" t="s">
        <v>935</v>
      </c>
      <c r="C123" s="4" t="s">
        <v>936</v>
      </c>
      <c r="D123" s="4" t="s">
        <v>937</v>
      </c>
      <c r="E123" s="4" t="s">
        <v>938</v>
      </c>
      <c r="G123" s="5" t="str">
        <f>IFERROR(__xludf.DUMMYFUNCTION("GOOGLETRANSLATE(A123, ""en"", ""fr"")"),"122")</f>
        <v>122</v>
      </c>
      <c r="H123" s="5" t="str">
        <f>IFERROR(__xludf.DUMMYFUNCTION("GOOGLETRANSLATE(B123, ""en"", ""fr"")"),"Un joueur est touché par la balle pendant un échange. Quelle est la décision arbitrale ?")</f>
        <v>Un joueur est touché par la balle pendant un échange. Quelle est la décision arbitrale ?</v>
      </c>
      <c r="I123" s="5" t="str">
        <f>IFERROR(__xludf.DUMMYFUNCTION("GOOGLETRANSLATE(C123, ""en"", ""fr"")"),"A) Le joueur touché perd le point. B) Le point est rejoué. C) Le joueur qui a frappé la balle perd le point. D) Le joueur touché reçoit une pénalité.")</f>
        <v>A) Le joueur touché perd le point. B) Le point est rejoué. C) Le joueur qui a frappé la balle perd le point. D) Le joueur touché reçoit une pénalité.</v>
      </c>
      <c r="J123" s="5" t="str">
        <f>IFERROR(__xludf.DUMMYFUNCTION("GOOGLETRANSLATE(D123, ""en"", ""fr"")"),"A) Le joueur touché perd le point.")</f>
        <v>A) Le joueur touché perd le point.</v>
      </c>
      <c r="K123" s="5" t="str">
        <f>IFERROR(__xludf.DUMMYFUNCTION("GOOGLETRANSLATE(E123, ""en"", ""fr"")"),"Si la balle, après avoir heurté le mur frontal, touche un joueur avant d'avoir rebondi sur le sol, ce joueur est considéré comme « touché » et perd le point.")</f>
        <v>Si la balle, après avoir heurté le mur frontal, touche un joueur avant d'avoir rebondi sur le sol, ce joueur est considéré comme « touché » et perd le point.</v>
      </c>
    </row>
    <row r="124" ht="22.5" customHeight="1">
      <c r="A124" s="3">
        <v>123.0</v>
      </c>
      <c r="B124" s="4" t="s">
        <v>1114</v>
      </c>
      <c r="C124" s="4" t="s">
        <v>1115</v>
      </c>
      <c r="D124" s="4" t="s">
        <v>799</v>
      </c>
      <c r="E124" s="4" t="s">
        <v>1116</v>
      </c>
      <c r="G124" s="5" t="str">
        <f>IFERROR(__xludf.DUMMYFUNCTION("GOOGLETRANSLATE(A124, ""en"", ""fr"")"),"123")</f>
        <v>123</v>
      </c>
      <c r="H124" s="5" t="str">
        <f>IFERROR(__xludf.DUMMYFUNCTION("GOOGLETRANSLATE(B124, ""en"", ""fr"")"),"Un joueur est surpris en possession d'un ballon modifié illégalement, qui rebondit anormalement. Quelle est la conséquence ?")</f>
        <v>Un joueur est surpris en possession d'un ballon modifié illégalement, qui rebondit anormalement. Quelle est la conséquence ?</v>
      </c>
      <c r="I124" s="5" t="str">
        <f>IFERROR(__xludf.DUMMYFUNCTION("GOOGLETRANSLATE(C124, ""en"", ""fr"")"),"A) Un avertissement, B) Perte du match, C) Un point de pénalité, D) Le ballon est simplement remplacé")</f>
        <v>A) Un avertissement, B) Perte du match, C) Un point de pénalité, D) Le ballon est simplement remplacé</v>
      </c>
      <c r="J124" s="5" t="str">
        <f>IFERROR(__xludf.DUMMYFUNCTION("GOOGLETRANSLATE(D124, ""en"", ""fr"")"),"B) Forfait du match")</f>
        <v>B) Forfait du match</v>
      </c>
      <c r="K124" s="5" t="str">
        <f>IFERROR(__xludf.DUMMYFUNCTION("GOOGLETRANSLATE(E124, ""en"", ""fr"")"),"Toute altération du ballon visant à obtenir un avantage indu constitue un acte de tricherie majeur et entraînerait la perte du match.")</f>
        <v>Toute altération du ballon visant à obtenir un avantage indu constitue un acte de tricherie majeur et entraînerait la perte du match.</v>
      </c>
    </row>
    <row r="125" ht="22.5" customHeight="1">
      <c r="A125" s="3">
        <v>124.0</v>
      </c>
      <c r="B125" s="4" t="s">
        <v>911</v>
      </c>
      <c r="C125" s="4" t="s">
        <v>912</v>
      </c>
      <c r="D125" s="4" t="s">
        <v>913</v>
      </c>
      <c r="E125" s="4" t="s">
        <v>914</v>
      </c>
      <c r="G125" s="5" t="str">
        <f>IFERROR(__xludf.DUMMYFUNCTION("GOOGLETRANSLATE(A125, ""en"", ""fr"")"),"124")</f>
        <v>124</v>
      </c>
      <c r="H125" s="5" t="str">
        <f>IFERROR(__xludf.DUMMYFUNCTION("GOOGLETRANSLATE(B125, ""en"", ""fr"")"),"Quelle est la principale différence entre la paleta cuero et la paleta goma ?")</f>
        <v>Quelle est la principale différence entre la paleta cuero et la paleta goma ?</v>
      </c>
      <c r="I125" s="5" t="str">
        <f>IFERROR(__xludf.DUMMYFUNCTION("GOOGLETRANSLATE(C125, ""en"", ""fr"")"),"A) La taille du terrain, B) Le type de balle utilisée (balle en cuir ou balle en caoutchouc), C) Le nombre de joueurs, D) Le matériau de la raquette")</f>
        <v>A) La taille du terrain, B) Le type de balle utilisée (balle en cuir ou balle en caoutchouc), C) Le nombre de joueurs, D) Le matériau de la raquette</v>
      </c>
      <c r="J125" s="5" t="str">
        <f>IFERROR(__xludf.DUMMYFUNCTION("GOOGLETRANSLATE(D125, ""en"", ""fr"")"),"B) Le type de balle utilisée (balle en cuir ou balle en caoutchouc)")</f>
        <v>B) Le type de balle utilisée (balle en cuir ou balle en caoutchouc)</v>
      </c>
      <c r="K125" s="5" t="str">
        <f>IFERROR(__xludf.DUMMYFUNCTION("GOOGLETRANSLATE(E125, ""en"", ""fr"")"),"Il s'agit de deux modes de jeu de raquette différents : l'un se joue avec une balle traditionnelle en cuir dur et l'autre avec une balle en caoutchouc plus rebondissante.")</f>
        <v>Il s'agit de deux modes de jeu de raquette différents : l'un se joue avec une balle traditionnelle en cuir dur et l'autre avec une balle en caoutchouc plus rebondissante.</v>
      </c>
    </row>
    <row r="126" ht="22.5" customHeight="1">
      <c r="A126" s="3">
        <v>125.0</v>
      </c>
      <c r="B126" s="4" t="s">
        <v>900</v>
      </c>
      <c r="C126" s="4" t="s">
        <v>901</v>
      </c>
      <c r="D126" s="4" t="s">
        <v>902</v>
      </c>
      <c r="E126" s="4" t="s">
        <v>903</v>
      </c>
      <c r="G126" s="5" t="str">
        <f>IFERROR(__xludf.DUMMYFUNCTION("GOOGLETRANSLATE(A126, ""en"", ""fr"")"),"125")</f>
        <v>125</v>
      </c>
      <c r="H126" s="5" t="str">
        <f>IFERROR(__xludf.DUMMYFUNCTION("GOOGLETRANSLATE(B126, ""en"", ""fr"")"),"Un joueur est connu pour son puissant saque. De quoi s'agit-il ?")</f>
        <v>Un joueur est connu pour son puissant saque. De quoi s'agit-il ?</v>
      </c>
      <c r="I126" s="5" t="str">
        <f>IFERROR(__xludf.DUMMYFUNCTION("GOOGLETRANSLATE(C126, ""en"", ""fr"")"),"A) Leur coup droit, B) Leur revers, C) Leur service, D) Leur bloc défensif")</f>
        <v>A) Leur coup droit, B) Leur revers, C) Leur service, D) Leur bloc défensif</v>
      </c>
      <c r="J126" s="5" t="str">
        <f>IFERROR(__xludf.DUMMYFUNCTION("GOOGLETRANSLATE(D126, ""en"", ""fr"")"),"C) Leur service")</f>
        <v>C) Leur service</v>
      </c>
      <c r="K126" s="5" t="str">
        <f>IFERROR(__xludf.DUMMYFUNCTION("GOOGLETRANSLATE(E126, ""en"", ""fr"")"),"Le saque est le mot espagnol pour le service, le premier coup de chaque point.")</f>
        <v>Le saque est le mot espagnol pour le service, le premier coup de chaque point.</v>
      </c>
    </row>
    <row r="127" ht="22.5" customHeight="1">
      <c r="A127" s="3">
        <v>126.0</v>
      </c>
      <c r="B127" s="4" t="s">
        <v>908</v>
      </c>
      <c r="C127" s="4" t="s">
        <v>909</v>
      </c>
      <c r="D127" s="4" t="s">
        <v>689</v>
      </c>
      <c r="E127" s="4" t="s">
        <v>910</v>
      </c>
      <c r="G127" s="5" t="str">
        <f>IFERROR(__xludf.DUMMYFUNCTION("GOOGLETRANSLATE(A127, ""en"", ""fr"")"),"126")</f>
        <v>126</v>
      </c>
      <c r="H127" s="5" t="str">
        <f>IFERROR(__xludf.DUMMYFUNCTION("GOOGLETRANSLATE(B127, ""en"", ""fr"")"),"La chemise d'un joueur se casse en plein point. Que se passe-t-il ?")</f>
        <v>La chemise d'un joueur se casse en plein point. Que se passe-t-il ?</v>
      </c>
      <c r="I127" s="5" t="str">
        <f>IFERROR(__xludf.DUMMYFUNCTION("GOOGLETRANSLATE(C127, ""en"", ""fr"")"),"A) Le joueur est disqualifié, B) Le point est immédiatement arrêté et rejoué, C) Le joueur peut tenter de continuer le point avec la chestera cassée, D) Le joueur peut aller en chercher une nouvelle")</f>
        <v>A) Le joueur est disqualifié, B) Le point est immédiatement arrêté et rejoué, C) Le joueur peut tenter de continuer le point avec la chestera cassée, D) Le joueur peut aller en chercher une nouvelle</v>
      </c>
      <c r="J127" s="5" t="str">
        <f>IFERROR(__xludf.DUMMYFUNCTION("GOOGLETRANSLATE(D127, ""en"", ""fr"")"),"B) Le point est immédiatement interrompu et rejoué.")</f>
        <v>B) Le point est immédiatement interrompu et rejoué.</v>
      </c>
      <c r="K127" s="5" t="str">
        <f>IFERROR(__xludf.DUMMYFUNCTION("GOOGLETRANSLATE(E127, ""en"", ""fr"")"),"Si l'équipement essentiel d'un joueur se brise pendant un échange en direct sans qu'il y soit pour rien, le point est généralement rejoué.")</f>
        <v>Si l'équipement essentiel d'un joueur se brise pendant un échange en direct sans qu'il y soit pour rien, le point est généralement rejoué.</v>
      </c>
    </row>
    <row r="128" ht="22.5" customHeight="1">
      <c r="A128" s="3">
        <v>127.0</v>
      </c>
      <c r="B128" s="4" t="s">
        <v>915</v>
      </c>
      <c r="C128" s="4" t="s">
        <v>916</v>
      </c>
      <c r="D128" s="4" t="s">
        <v>917</v>
      </c>
      <c r="E128" s="4" t="s">
        <v>918</v>
      </c>
      <c r="G128" s="5" t="str">
        <f>IFERROR(__xludf.DUMMYFUNCTION("GOOGLETRANSLATE(A128, ""en"", ""fr"")"),"127")</f>
        <v>127</v>
      </c>
      <c r="H128" s="5" t="str">
        <f>IFERROR(__xludf.DUMMYFUNCTION("GOOGLETRANSLATE(B128, ""en"", ""fr"")"),"Un joueur reçoit un avertissement pour « interférence ». Qu'a-t-il bien pu faire ?")</f>
        <v>Un joueur reçoit un avertissement pour « interférence ». Qu'a-t-il bien pu faire ?</v>
      </c>
      <c r="I128" s="5" t="str">
        <f>IFERROR(__xludf.DUMMYFUNCTION("GOOGLETRANSLATE(C128, ""en"", ""fr"")"),"A) A frappé la balle trop fort, B) S'est placé de manière à bloquer le passage de l'adversaire vers la balle, C) A parlé à son partenaire, D) A contesté l'arbitre")</f>
        <v>A) A frappé la balle trop fort, B) S'est placé de manière à bloquer le passage de l'adversaire vers la balle, C) A parlé à son partenaire, D) A contesté l'arbitre</v>
      </c>
      <c r="J128" s="5" t="str">
        <f>IFERROR(__xludf.DUMMYFUNCTION("GOOGLETRANSLATE(D128, ""en"", ""fr"")"),"B) S'est placé de manière à bloquer le passage de l'adversaire vers la balle")</f>
        <v>B) S'est placé de manière à bloquer le passage de l'adversaire vers la balle</v>
      </c>
      <c r="K128" s="5" t="str">
        <f>IFERROR(__xludf.DUMMYFUNCTION("GOOGLETRANSLATE(E128, ""en"", ""fr"")"),"Un joueur ne peut pas intentionnellement obstruer les mouvements ou la ligne de vue d'un adversaire vers le ballon. Il s'agit d'une faute.")</f>
        <v>Un joueur ne peut pas intentionnellement obstruer les mouvements ou la ligne de vue d'un adversaire vers le ballon. Il s'agit d'une faute.</v>
      </c>
    </row>
    <row r="129" ht="22.5" customHeight="1">
      <c r="A129" s="3">
        <v>128.0</v>
      </c>
      <c r="B129" s="4" t="s">
        <v>1125</v>
      </c>
      <c r="C129" s="4" t="s">
        <v>1087</v>
      </c>
      <c r="D129" s="4" t="s">
        <v>1088</v>
      </c>
      <c r="E129" s="4" t="s">
        <v>1089</v>
      </c>
      <c r="G129" s="5" t="str">
        <f>IFERROR(__xludf.DUMMYFUNCTION("GOOGLETRANSLATE(A129, ""en"", ""fr"")"),"128")</f>
        <v>128</v>
      </c>
      <c r="H129" s="5" t="str">
        <f>IFERROR(__xludf.DUMMYFUNCTION("GOOGLETRANSLATE(B129, ""en"", ""fr"")"),"Quelle est la principale raison pour laquelle la pelota jouit d'un statut culturel beaucoup plus élevé au Pays basque qu'ailleurs ?")</f>
        <v>Quelle est la principale raison pour laquelle la pelota jouit d'un statut culturel beaucoup plus élevé au Pays basque qu'ailleurs ?</v>
      </c>
      <c r="I129" s="5" t="str">
        <f>IFERROR(__xludf.DUMMYFUNCTION("GOOGLETRANSLATE(C129, ""en"", ""fr"")"),"A) C'est un symbole de leur identité nationale et culturelle unique, B) C'est le seul sport qu'ils pratiquent, C) Les prix y sont beaucoup plus élevés, D) Les meilleurs joueurs viennent tous de là-bas")</f>
        <v>A) C'est un symbole de leur identité nationale et culturelle unique, B) C'est le seul sport qu'ils pratiquent, C) Les prix y sont beaucoup plus élevés, D) Les meilleurs joueurs viennent tous de là-bas</v>
      </c>
      <c r="J129" s="5" t="str">
        <f>IFERROR(__xludf.DUMMYFUNCTION("GOOGLETRANSLATE(D129, ""en"", ""fr"")"),"A) C'est un symbole de leur identité nationale et culturelle unique")</f>
        <v>A) C'est un symbole de leur identité nationale et culturelle unique</v>
      </c>
      <c r="K129" s="5" t="str">
        <f>IFERROR(__xludf.DUMMYFUNCTION("GOOGLETRANSLATE(E129, ""en"", ""fr"")"),"La pelote est bien plus qu'un simple jeu ; c'est un trésor culturel précieux, une institution sociale et une puissante expression du patrimoine basque.")</f>
        <v>La pelote est bien plus qu'un simple jeu ; c'est un trésor culturel précieux, une institution sociale et une puissante expression du patrimoine basque.</v>
      </c>
    </row>
    <row r="130" ht="22.5" customHeight="1">
      <c r="A130" s="3">
        <v>129.0</v>
      </c>
      <c r="B130" s="4" t="s">
        <v>955</v>
      </c>
      <c r="C130" s="4" t="s">
        <v>956</v>
      </c>
      <c r="D130" s="4" t="s">
        <v>957</v>
      </c>
      <c r="E130" s="4" t="s">
        <v>958</v>
      </c>
      <c r="G130" s="5" t="str">
        <f>IFERROR(__xludf.DUMMYFUNCTION("GOOGLETRANSLATE(A130, ""en"", ""fr"")"),"129")</f>
        <v>129</v>
      </c>
      <c r="H130" s="5" t="str">
        <f>IFERROR(__xludf.DUMMYFUNCTION("GOOGLETRANSLATE(B130, ""en"", ""fr"")"),"Un joueur porte un casque lors d'un match de pelote basque. Pourquoi est-ce une exigence moderne ?")</f>
        <v>Un joueur porte un casque lors d'un match de pelote basque. Pourquoi est-ce une exigence moderne ?</v>
      </c>
      <c r="I130" s="5" t="str">
        <f>IFERROR(__xludf.DUMMYFUNCTION("GOOGLETRANSLATE(C130, ""en"", ""fr"")"),"A) Pour faire professionnel, B) La vitesse incroyable du ballon peut être mortelle s'il heurte la tête d'un joueur, C) Pour se protéger des chutes, D) C'est une exigence du sponsor")</f>
        <v>A) Pour faire professionnel, B) La vitesse incroyable du ballon peut être mortelle s'il heurte la tête d'un joueur, C) Pour se protéger des chutes, D) C'est une exigence du sponsor</v>
      </c>
      <c r="J130" s="5" t="str">
        <f>IFERROR(__xludf.DUMMYFUNCTION("GOOGLETRANSLATE(D130, ""en"", ""fr"")"),"B) L'incroyable vitesse de la balle peut être mortelle si elle frappe un joueur à la tête.")</f>
        <v>B) L'incroyable vitesse de la balle peut être mortelle si elle frappe un joueur à la tête.</v>
      </c>
      <c r="K130" s="5" t="str">
        <f>IFERROR(__xludf.DUMMYFUNCTION("GOOGLETRANSLATE(E130, ""en"", ""fr"")"),"Avec des vitesses de balle dépassant les 300 km/h, le casque est un équipement de sécurité essentiel pour prévenir les blessures graves ou mortelles à la tête.")</f>
        <v>Avec des vitesses de balle dépassant les 300 km/h, le casque est un équipement de sécurité essentiel pour prévenir les blessures graves ou mortelles à la tête.</v>
      </c>
    </row>
    <row r="131" ht="22.5" customHeight="1">
      <c r="A131" s="3">
        <v>130.0</v>
      </c>
      <c r="B131" s="4" t="s">
        <v>1090</v>
      </c>
      <c r="C131" s="4" t="s">
        <v>1091</v>
      </c>
      <c r="D131" s="4" t="s">
        <v>1092</v>
      </c>
      <c r="E131" s="4" t="s">
        <v>1093</v>
      </c>
      <c r="G131" s="5" t="str">
        <f>IFERROR(__xludf.DUMMYFUNCTION("GOOGLETRANSLATE(A131, ""en"", ""fr"")"),"130")</f>
        <v>130</v>
      </c>
      <c r="H131" s="5" t="str">
        <f>IFERROR(__xludf.DUMMYFUNCTION("GOOGLETRANSLATE(B131, ""en"", ""fr"")"),"Le système de paris au Jai Alai, le quiniela, consiste à parier sur les équipes qui termineront à quelles positions ?")</f>
        <v>Le système de paris au Jai Alai, le quiniela, consiste à parier sur les équipes qui termineront à quelles positions ?</v>
      </c>
      <c r="I131" s="5" t="str">
        <f>IFERROR(__xludf.DUMMYFUNCTION("GOOGLETRANSLATE(C131, ""en"", ""fr"")"),"A) Première place seulement, B) Première et deuxième places (Victoire et Placement), C) Première, deuxième et troisième places (Trifecta), D) L'équipe dernière")</f>
        <v>A) Première place seulement, B) Première et deuxième places (Victoire et Placement), C) Première, deuxième et troisième places (Trifecta), D) L'équipe dernière</v>
      </c>
      <c r="J131" s="5" t="str">
        <f>IFERROR(__xludf.DUMMYFUNCTION("GOOGLETRANSLATE(D131, ""en"", ""fr"")"),"B) Première et deuxième place (Victoire et Place)")</f>
        <v>B) Première et deuxième place (Victoire et Place)</v>
      </c>
      <c r="K131" s="5" t="str">
        <f>IFERROR(__xludf.DUMMYFUNCTION("GOOGLETRANSLATE(E131, ""en"", ""fr"")"),"Le quiniela est un système de pari mutuel classique dont le but est de prédire les deux premiers du match.")</f>
        <v>Le quiniela est un système de pari mutuel classique dont le but est de prédire les deux premiers du match.</v>
      </c>
    </row>
    <row r="132" ht="22.5" customHeight="1">
      <c r="A132" s="3">
        <v>131.0</v>
      </c>
      <c r="B132" s="4" t="s">
        <v>944</v>
      </c>
      <c r="C132" s="4" t="s">
        <v>945</v>
      </c>
      <c r="D132" s="4" t="s">
        <v>946</v>
      </c>
      <c r="E132" s="4" t="s">
        <v>947</v>
      </c>
      <c r="G132" s="5" t="str">
        <f>IFERROR(__xludf.DUMMYFUNCTION("GOOGLETRANSLATE(A132, ""en"", ""fr"")"),"131")</f>
        <v>131</v>
      </c>
      <c r="H132" s="5" t="str">
        <f>IFERROR(__xludf.DUMMYFUNCTION("GOOGLETRANSLATE(B132, ""en"", ""fr"")"),"Un joueur sert, et la balle touche la ligne entre le mur frontal et le mur latéral. Quelle est la décision ?")</f>
        <v>Un joueur sert, et la balle touche la ligne entre le mur frontal et le mur latéral. Quelle est la décision ?</v>
      </c>
      <c r="I132" s="5" t="str">
        <f>IFERROR(__xludf.DUMMYFUNCTION("GOOGLETRANSLATE(C132, ""en"", ""fr"")"),"A) Service régulier, B) Faute, C) Point rejoué, D) Choix de l'adversaire")</f>
        <v>A) Service régulier, B) Faute, C) Point rejoué, D) Choix de l'adversaire</v>
      </c>
      <c r="J132" s="5" t="str">
        <f>IFERROR(__xludf.DUMMYFUNCTION("GOOGLETRANSLATE(D132, ""en"", ""fr"")"),"A) Un service légal")</f>
        <v>A) Un service légal</v>
      </c>
      <c r="K132" s="5" t="str">
        <f>IFERROR(__xludf.DUMMYFUNCTION("GOOGLETRANSLATE(E132, ""en"", ""fr"")"),"Contrairement à la ligne tracée au sol, le coin où deux surfaces de jeu se rejoignent est considéré comme « dedans ».")</f>
        <v>Contrairement à la ligne tracée au sol, le coin où deux surfaces de jeu se rejoignent est considéré comme « dedans ».</v>
      </c>
    </row>
    <row r="133" ht="22.5" customHeight="1">
      <c r="A133" s="3">
        <v>132.0</v>
      </c>
      <c r="B133" s="4" t="s">
        <v>1098</v>
      </c>
      <c r="C133" s="4" t="s">
        <v>1099</v>
      </c>
      <c r="D133" s="4" t="s">
        <v>1100</v>
      </c>
      <c r="E133" s="4" t="s">
        <v>1101</v>
      </c>
      <c r="G133" s="5" t="str">
        <f>IFERROR(__xludf.DUMMYFUNCTION("GOOGLETRANSLATE(A133, ""en"", ""fr"")"),"132")</f>
        <v>132</v>
      </c>
      <c r="H133" s="5" t="str">
        <f>IFERROR(__xludf.DUMMYFUNCTION("GOOGLETRANSLATE(B133, ""en"", ""fr"")"),"Dans un trinquet, qu'est-ce que le xilo ?")</f>
        <v>Dans un trinquet, qu'est-ce que le xilo ?</v>
      </c>
      <c r="I133" s="5" t="str">
        <f>IFERROR(__xludf.DUMMYFUNCTION("GOOGLETRANSLATE(C133, ""en"", ""fr"")"),"A) Le mur du fond, B) Le filet, C) Un petit trou dans le mur avant qui constitue un coup gagnant automatique s'il est touché, D) La tribune latérale")</f>
        <v>A) Le mur du fond, B) Le filet, C) Un petit trou dans le mur avant qui constitue un coup gagnant automatique s'il est touché, D) La tribune latérale</v>
      </c>
      <c r="J133" s="5" t="str">
        <f>IFERROR(__xludf.DUMMYFUNCTION("GOOGLETRANSLATE(D133, ""en"", ""fr"")"),"C) Un petit trou dans la paroi avant qui, s'il est atteint, constitue un coup gagnant automatique.")</f>
        <v>C) Un petit trou dans la paroi avant qui, s'il est atteint, constitue un coup gagnant automatique.</v>
      </c>
      <c r="K133" s="5" t="str">
        <f>IFERROR(__xludf.DUMMYFUNCTION("GOOGLETRANSLATE(E133, ""en"", ""fr"")"),"Frapper la balle dans le xilo (trou) est un coup difficile et qui permet de gagner instantanément la partie dans certaines modalités.")</f>
        <v>Frapper la balle dans le xilo (trou) est un coup difficile et qui permet de gagner instantanément la partie dans certaines modalités.</v>
      </c>
    </row>
    <row r="134" ht="22.5" customHeight="1">
      <c r="A134" s="3">
        <v>133.0</v>
      </c>
      <c r="B134" s="4" t="s">
        <v>948</v>
      </c>
      <c r="C134" s="4" t="s">
        <v>949</v>
      </c>
      <c r="D134" s="4" t="s">
        <v>950</v>
      </c>
      <c r="E134" s="4" t="s">
        <v>951</v>
      </c>
      <c r="G134" s="5" t="str">
        <f>IFERROR(__xludf.DUMMYFUNCTION("GOOGLETRANSLATE(A134, ""en"", ""fr"")"),"133")</f>
        <v>133</v>
      </c>
      <c r="H134" s="5" t="str">
        <f>IFERROR(__xludf.DUMMYFUNCTION("GOOGLETRANSLATE(B134, ""en"", ""fr"")"),"On voit un joueur s'appliquer une substance collante, comme de la résine de pin, sur les mains avant un match de nue principal. Pourquoi ?")</f>
        <v>On voit un joueur s'appliquer une substance collante, comme de la résine de pin, sur les mains avant un match de nue principal. Pourquoi ?</v>
      </c>
      <c r="I134" s="5" t="str">
        <f>IFERROR(__xludf.DUMMYFUNCTION("GOOGLETRANSLATE(C134, ""en"", ""fr"")"),"A) C'est une substance illégale. B) Pour mieux contrôler la balle lors de la frappe. C) Pour se protéger les mains des blessures. D) Pour donner un effet à la balle.")</f>
        <v>A) C'est une substance illégale. B) Pour mieux contrôler la balle lors de la frappe. C) Pour se protéger les mains des blessures. D) Pour donner un effet à la balle.</v>
      </c>
      <c r="J134" s="5" t="str">
        <f>IFERROR(__xludf.DUMMYFUNCTION("GOOGLETRANSLATE(D134, ""en"", ""fr"")"),"B) Pour avoir une meilleure prise sur la balle lors de la frappe")</f>
        <v>B) Pour avoir une meilleure prise sur la balle lors de la frappe</v>
      </c>
      <c r="K134" s="5" t="str">
        <f>IFERROR(__xludf.DUMMYFUNCTION("GOOGLETRANSLATE(E134, ""en"", ""fr"")"),"Une petite quantité de résine peut aider le joueur à obtenir plus d'adhérence sur la balle, lui permettant ainsi de lui imprimer plus d'effet et de contrôle.")</f>
        <v>Une petite quantité de résine peut aider le joueur à obtenir plus d'adhérence sur la balle, lui permettant ainsi de lui imprimer plus d'effet et de contrôle.</v>
      </c>
    </row>
    <row r="135" ht="22.5" customHeight="1">
      <c r="A135" s="3">
        <v>134.0</v>
      </c>
      <c r="B135" s="4" t="s">
        <v>1117</v>
      </c>
      <c r="C135" s="4" t="s">
        <v>1118</v>
      </c>
      <c r="D135" s="4" t="s">
        <v>1119</v>
      </c>
      <c r="E135" s="4" t="s">
        <v>1120</v>
      </c>
      <c r="G135" s="5" t="str">
        <f>IFERROR(__xludf.DUMMYFUNCTION("GOOGLETRANSLATE(A135, ""en"", ""fr"")"),"134")</f>
        <v>134</v>
      </c>
      <c r="H135" s="5" t="str">
        <f>IFERROR(__xludf.DUMMYFUNCTION("GOOGLETRANSLATE(B135, ""en"", ""fr"")"),"À quoi correspond le numéro inscrit dans le dos d'un joueur de pelote basque ?")</f>
        <v>À quoi correspond le numéro inscrit dans le dos d'un joueur de pelote basque ?</v>
      </c>
      <c r="I135" s="5" t="str">
        <f>IFERROR(__xludf.DUMMYFUNCTION("GOOGLETRANSLATE(C135, ""en"", ""fr"")"),"A) Leur âge, B) Leur grade, C) Leur position dans le système de paris combinés, D) Leur taille de maillot")</f>
        <v>A) Leur âge, B) Leur grade, C) Leur position dans le système de paris combinés, D) Leur taille de maillot</v>
      </c>
      <c r="J135" s="5" t="str">
        <f>IFERROR(__xludf.DUMMYFUNCTION("GOOGLETRANSLATE(D135, ""en"", ""fr"")"),"C) Leur position dans le système de paris quiniela")</f>
        <v>C) Leur position dans le système de paris quiniela</v>
      </c>
      <c r="K135" s="5" t="str">
        <f>IFERROR(__xludf.DUMMYFUNCTION("GOOGLETRANSLATE(E135, ""en"", ""fr"")"),"Les numéros de 1 à 8 servent à identifier les joueurs ou les équipes pour les parieurs.")</f>
        <v>Les numéros de 1 à 8 servent à identifier les joueurs ou les équipes pour les parieurs.</v>
      </c>
    </row>
    <row r="136" ht="22.5" customHeight="1">
      <c r="A136" s="3">
        <v>135.0</v>
      </c>
      <c r="B136" s="4" t="s">
        <v>952</v>
      </c>
      <c r="C136" s="4" t="s">
        <v>945</v>
      </c>
      <c r="D136" s="4" t="s">
        <v>953</v>
      </c>
      <c r="E136" s="4" t="s">
        <v>954</v>
      </c>
      <c r="G136" s="5" t="str">
        <f>IFERROR(__xludf.DUMMYFUNCTION("GOOGLETRANSLATE(A136, ""en"", ""fr"")"),"135")</f>
        <v>135</v>
      </c>
      <c r="H136" s="5" t="str">
        <f>IFERROR(__xludf.DUMMYFUNCTION("GOOGLETRANSLATE(B136, ""en"", ""fr"")"),"Un joueur sert, et la balle touche la ligne entre le mur frontal et le sol. Quelle est la décision ?")</f>
        <v>Un joueur sert, et la balle touche la ligne entre le mur frontal et le sol. Quelle est la décision ?</v>
      </c>
      <c r="I136" s="5" t="str">
        <f>IFERROR(__xludf.DUMMYFUNCTION("GOOGLETRANSLATE(C136, ""en"", ""fr"")"),"A) Service régulier, B) Faute, C) Point rejoué, D) Choix de l'adversaire")</f>
        <v>A) Service régulier, B) Faute, C) Point rejoué, D) Choix de l'adversaire</v>
      </c>
      <c r="J136" s="5" t="str">
        <f>IFERROR(__xludf.DUMMYFUNCTION("GOOGLETRANSLATE(D136, ""en"", ""fr"")"),"B) Un défaut")</f>
        <v>B) Un défaut</v>
      </c>
      <c r="K136" s="5" t="str">
        <f>IFERROR(__xludf.DUMMYFUNCTION("GOOGLETRANSLATE(E136, ""en"", ""fr"")"),"La balle doit toucher le mur frontal nettement au-dessus du sol. Toucher la ligne est une faute.")</f>
        <v>La balle doit toucher le mur frontal nettement au-dessus du sol. Toucher la ligne est une faute.</v>
      </c>
    </row>
    <row r="137" ht="22.5" customHeight="1">
      <c r="A137" s="3">
        <v>136.0</v>
      </c>
      <c r="B137" s="4" t="s">
        <v>1102</v>
      </c>
      <c r="C137" s="4" t="s">
        <v>1103</v>
      </c>
      <c r="D137" s="4" t="s">
        <v>1104</v>
      </c>
      <c r="E137" s="4" t="s">
        <v>1105</v>
      </c>
      <c r="G137" s="5" t="str">
        <f>IFERROR(__xludf.DUMMYFUNCTION("GOOGLETRANSLATE(A137, ""en"", ""fr"")"),"136")</f>
        <v>136</v>
      </c>
      <c r="H137" s="5" t="str">
        <f>IFERROR(__xludf.DUMMYFUNCTION("GOOGLETRANSLATE(B137, ""en"", ""fr"")"),"Qu'est-ce qu'une « école de pelote » ou escuela de pelota ?")</f>
        <v>Qu'est-ce qu'une « école de pelote » ou escuela de pelota ?</v>
      </c>
      <c r="I137" s="5" t="str">
        <f>IFERROR(__xludf.DUMMYFUNCTION("GOOGLETRANSLATE(C137, ""en"", ""fr"")"),"A) Une université qui étudie ce sport, B) Un centre de formation pour jeunes joueurs, C) Le titre d'un livre célèbre sur ce sport, D) Un lieu de fabrication des balles")</f>
        <v>A) Une université qui étudie ce sport, B) Un centre de formation pour jeunes joueurs, C) Le titre d'un livre célèbre sur ce sport, D) Un lieu de fabrication des balles</v>
      </c>
      <c r="J137" s="5" t="str">
        <f>IFERROR(__xludf.DUMMYFUNCTION("GOOGLETRANSLATE(D137, ""en"", ""fr"")"),"B) Une académie de formation pour jeunes joueurs")</f>
        <v>B) Une académie de formation pour jeunes joueurs</v>
      </c>
      <c r="K137" s="5" t="str">
        <f>IFERROR(__xludf.DUMMYFUNCTION("GOOGLETRANSLATE(E137, ""en"", ""fr"")"),"Ces écoles sont au cœur du développement de ce sport, où les jeunes enfants apprennent les fondamentaux auprès d'entraîneurs expérimentés.")</f>
        <v>Ces écoles sont au cœur du développement de ce sport, où les jeunes enfants apprennent les fondamentaux auprès d'entraîneurs expérimentés.</v>
      </c>
    </row>
    <row r="138" ht="22.5" customHeight="1">
      <c r="A138" s="3">
        <v>137.0</v>
      </c>
      <c r="B138" s="4" t="s">
        <v>488</v>
      </c>
      <c r="C138" s="4" t="s">
        <v>489</v>
      </c>
      <c r="D138" s="4" t="s">
        <v>490</v>
      </c>
      <c r="E138" s="4" t="s">
        <v>491</v>
      </c>
      <c r="G138" s="5" t="str">
        <f>IFERROR(__xludf.DUMMYFUNCTION("GOOGLETRANSLATE(A138, ""en"", ""fr"")"),"137")</f>
        <v>137</v>
      </c>
      <c r="H138" s="5" t="str">
        <f>IFERROR(__xludf.DUMMYFUNCTION("GOOGLETRANSLATE(B138, ""en"", ""fr"")"),"Quel est l’héritage le plus durable du jeu de paume ?")</f>
        <v>Quel est l’héritage le plus durable du jeu de paume ?</v>
      </c>
      <c r="I138" s="5" t="str">
        <f>IFERROR(__xludf.DUMMYFUNCTION("GOOGLETRANSLATE(C138, ""en"", ""fr"")"),"A) C'est encore un sport populaire dans le monde entier. B) Il a fourni les règles, la terminologie et les concepts fondamentaux des sports modernes comme le tennis et la pelote basque. C) C'était le premier sport à utiliser une raquette. D) C'était un sp"&amp;"ort olympique.")</f>
        <v>A) C'est encore un sport populaire dans le monde entier. B) Il a fourni les règles, la terminologie et les concepts fondamentaux des sports modernes comme le tennis et la pelote basque. C) C'était le premier sport à utiliser une raquette. D) C'était un sport olympique.</v>
      </c>
      <c r="J138" s="5" t="str">
        <f>IFERROR(__xludf.DUMMYFUNCTION("GOOGLETRANSLATE(D138, ""en"", ""fr"")"),"B) Il a fourni les règles fondamentales, la terminologie et les concepts des sports modernes comme le tennis et la pelote basque.")</f>
        <v>B) Il a fourni les règles fondamentales, la terminologie et les concepts des sports modernes comme le tennis et la pelote basque.</v>
      </c>
      <c r="K138" s="5" t="str">
        <f>IFERROR(__xludf.DUMMYFUNCTION("GOOGLETRANSLATE(E138, ""en"", ""fr"")"),"L'ancien « jeu de la paume » est l'un des ancêtres les plus importants de l'histoire du sport, à l'origine de nombreux jeux de raquette et de balle modernes.")</f>
        <v>L'ancien « jeu de la paume » est l'un des ancêtres les plus importants de l'histoire du sport, à l'origine de nombreux jeux de raquette et de balle modernes.</v>
      </c>
    </row>
    <row r="139" ht="22.5" customHeight="1">
      <c r="A139" s="3">
        <v>138.0</v>
      </c>
      <c r="B139" s="4" t="s">
        <v>935</v>
      </c>
      <c r="C139" s="4" t="s">
        <v>936</v>
      </c>
      <c r="D139" s="4" t="s">
        <v>937</v>
      </c>
      <c r="E139" s="4" t="s">
        <v>938</v>
      </c>
      <c r="G139" s="5" t="str">
        <f>IFERROR(__xludf.DUMMYFUNCTION("GOOGLETRANSLATE(A139, ""en"", ""fr"")"),"138")</f>
        <v>138</v>
      </c>
      <c r="H139" s="5" t="str">
        <f>IFERROR(__xludf.DUMMYFUNCTION("GOOGLETRANSLATE(B139, ""en"", ""fr"")"),"Un joueur est touché par la balle pendant un échange. Quelle est la décision arbitrale ?")</f>
        <v>Un joueur est touché par la balle pendant un échange. Quelle est la décision arbitrale ?</v>
      </c>
      <c r="I139" s="5" t="str">
        <f>IFERROR(__xludf.DUMMYFUNCTION("GOOGLETRANSLATE(C139, ""en"", ""fr"")"),"A) Le joueur touché perd le point. B) Le point est rejoué. C) Le joueur qui a frappé la balle perd le point. D) Le joueur touché reçoit une pénalité.")</f>
        <v>A) Le joueur touché perd le point. B) Le point est rejoué. C) Le joueur qui a frappé la balle perd le point. D) Le joueur touché reçoit une pénalité.</v>
      </c>
      <c r="J139" s="5" t="str">
        <f>IFERROR(__xludf.DUMMYFUNCTION("GOOGLETRANSLATE(D139, ""en"", ""fr"")"),"A) Le joueur touché perd le point.")</f>
        <v>A) Le joueur touché perd le point.</v>
      </c>
      <c r="K139" s="5" t="str">
        <f>IFERROR(__xludf.DUMMYFUNCTION("GOOGLETRANSLATE(E139, ""en"", ""fr"")"),"Si la balle, après avoir heurté le mur frontal, touche un joueur avant d'avoir rebondi sur le sol, ce joueur est considéré comme « touché » et perd le point.")</f>
        <v>Si la balle, après avoir heurté le mur frontal, touche un joueur avant d'avoir rebondi sur le sol, ce joueur est considéré comme « touché » et perd le point.</v>
      </c>
    </row>
    <row r="140" ht="22.5" customHeight="1">
      <c r="A140" s="3">
        <v>139.0</v>
      </c>
      <c r="B140" s="4" t="s">
        <v>1106</v>
      </c>
      <c r="C140" s="4" t="s">
        <v>1107</v>
      </c>
      <c r="D140" s="4" t="s">
        <v>1108</v>
      </c>
      <c r="E140" s="4" t="s">
        <v>1109</v>
      </c>
      <c r="G140" s="5" t="str">
        <f>IFERROR(__xludf.DUMMYFUNCTION("GOOGLETRANSLATE(A140, ""en"", ""fr"")"),"139")</f>
        <v>139</v>
      </c>
      <c r="H140" s="5" t="str">
        <f>IFERROR(__xludf.DUMMYFUNCTION("GOOGLETRANSLATE(B140, ""en"", ""fr"")"),"Qu'est-ce qu'un « dos paredes » ?")</f>
        <v>Qu'est-ce qu'un « dos paredes » ?</v>
      </c>
      <c r="I140" s="5" t="str">
        <f>IFERROR(__xludf.DUMMYFUNCTION("GOOGLETRANSLATE(C140, ""en"", ""fr"")"),"A) Un coup qui touche deux murs, B) Un type de service, C) Un mouvement défensif, D) Un terme désignant un match de double")</f>
        <v>A) Un coup qui touche deux murs, B) Un type de service, C) Un mouvement défensif, D) Un terme désignant un match de double</v>
      </c>
      <c r="J140" s="5" t="str">
        <f>IFERROR(__xludf.DUMMYFUNCTION("GOOGLETRANSLATE(D140, ""en"", ""fr"")"),"A) Un tir qui touche deux murs")</f>
        <v>A) Un tir qui touche deux murs</v>
      </c>
      <c r="K140" s="5" t="str">
        <f>IFERROR(__xludf.DUMMYFUNCTION("GOOGLETRANSLATE(E140, ""en"", ""fr"")"),"Le tir « à deux murs » est une tactique courante où la balle est frappée contre le mur latéral puis contre le mur frontal, ou inversement, afin de créer un angle difficile.")</f>
        <v>Le tir « à deux murs » est une tactique courante où la balle est frappée contre le mur latéral puis contre le mur frontal, ou inversement, afin de créer un angle difficile.</v>
      </c>
    </row>
    <row r="141" ht="22.5" customHeight="1">
      <c r="A141" s="3">
        <v>140.0</v>
      </c>
      <c r="B141" s="4" t="s">
        <v>1110</v>
      </c>
      <c r="C141" s="4" t="s">
        <v>1111</v>
      </c>
      <c r="D141" s="4" t="s">
        <v>1112</v>
      </c>
      <c r="E141" s="4" t="s">
        <v>1113</v>
      </c>
      <c r="G141" s="5" t="str">
        <f>IFERROR(__xludf.DUMMYFUNCTION("GOOGLETRANSLATE(A141, ""en"", ""fr"")"),"140")</f>
        <v>140</v>
      </c>
      <c r="H141" s="5" t="str">
        <f>IFERROR(__xludf.DUMMYFUNCTION("GOOGLETRANSLATE(B141, ""en"", ""fr"")"),"Au jeu de Xare, à quoi ressemble la raquette ?")</f>
        <v>Au jeu de Xare, à quoi ressemble la raquette ?</v>
      </c>
      <c r="I141" s="5" t="str">
        <f>IFERROR(__xludf.DUMMYFUNCTION("GOOGLETRANSLATE(C141, ""en"", ""fr"")"),"A) Une pagaie en bois massif, B) Un panier tressé, C) Une raquette à cordes avec un tamis souple en forme de filet, D) Il n'y a pas de raquette")</f>
        <v>A) Une pagaie en bois massif, B) Un panier tressé, C) Une raquette à cordes avec un tamis souple en forme de filet, D) Il n'y a pas de raquette</v>
      </c>
      <c r="J141" s="5" t="str">
        <f>IFERROR(__xludf.DUMMYFUNCTION("GOOGLETRANSLATE(D141, ""en"", ""fr"")"),"C) Une raquette cordée avec un manche lâche en forme de filet")</f>
        <v>C) Une raquette cordée avec un manche lâche en forme de filet</v>
      </c>
      <c r="K141" s="5" t="str">
        <f>IFERROR(__xludf.DUMMYFUNCTION("GOOGLETRANSLATE(E141, ""en"", ""fr"")"),"Le xare (ou « raquette argentine ») utilise une raquette unique qui ressemble à une crosse de lacrosse, servant à attraper et à lancer la balle molle.")</f>
        <v>Le xare (ou « raquette argentine ») utilise une raquette unique qui ressemble à une crosse de lacrosse, servant à attraper et à lancer la balle molle.</v>
      </c>
    </row>
    <row r="142" ht="22.5" customHeight="1">
      <c r="A142" s="3">
        <v>141.0</v>
      </c>
      <c r="B142" s="4" t="s">
        <v>1114</v>
      </c>
      <c r="C142" s="4" t="s">
        <v>1115</v>
      </c>
      <c r="D142" s="4" t="s">
        <v>799</v>
      </c>
      <c r="E142" s="4" t="s">
        <v>1116</v>
      </c>
      <c r="G142" s="5" t="str">
        <f>IFERROR(__xludf.DUMMYFUNCTION("GOOGLETRANSLATE(A142, ""en"", ""fr"")"),"141")</f>
        <v>141</v>
      </c>
      <c r="H142" s="5" t="str">
        <f>IFERROR(__xludf.DUMMYFUNCTION("GOOGLETRANSLATE(B142, ""en"", ""fr"")"),"Un joueur est surpris en possession d'un ballon modifié illégalement, qui rebondit anormalement. Quelle est la conséquence ?")</f>
        <v>Un joueur est surpris en possession d'un ballon modifié illégalement, qui rebondit anormalement. Quelle est la conséquence ?</v>
      </c>
      <c r="I142" s="5" t="str">
        <f>IFERROR(__xludf.DUMMYFUNCTION("GOOGLETRANSLATE(C142, ""en"", ""fr"")"),"A) Un avertissement, B) Perte du match, C) Un point de pénalité, D) Le ballon est simplement remplacé")</f>
        <v>A) Un avertissement, B) Perte du match, C) Un point de pénalité, D) Le ballon est simplement remplacé</v>
      </c>
      <c r="J142" s="5" t="str">
        <f>IFERROR(__xludf.DUMMYFUNCTION("GOOGLETRANSLATE(D142, ""en"", ""fr"")"),"B) Forfait du match")</f>
        <v>B) Forfait du match</v>
      </c>
      <c r="K142" s="5" t="str">
        <f>IFERROR(__xludf.DUMMYFUNCTION("GOOGLETRANSLATE(E142, ""en"", ""fr"")"),"Toute altération du ballon visant à obtenir un avantage indu constitue un acte de tricherie majeur et entraînerait la perte du match.")</f>
        <v>Toute altération du ballon visant à obtenir un avantage indu constitue un acte de tricherie majeur et entraînerait la perte du match.</v>
      </c>
    </row>
    <row r="143" ht="22.5" customHeight="1">
      <c r="A143" s="3">
        <v>142.0</v>
      </c>
      <c r="B143" s="4" t="s">
        <v>1121</v>
      </c>
      <c r="C143" s="4" t="s">
        <v>1122</v>
      </c>
      <c r="D143" s="4" t="s">
        <v>1123</v>
      </c>
      <c r="E143" s="4" t="s">
        <v>1124</v>
      </c>
      <c r="G143" s="5" t="str">
        <f>IFERROR(__xludf.DUMMYFUNCTION("GOOGLETRANSLATE(A143, ""en"", ""fr"")"),"142")</f>
        <v>142</v>
      </c>
      <c r="H143" s="5" t="str">
        <f>IFERROR(__xludf.DUMMYFUNCTION("GOOGLETRANSLATE(B143, ""en"", ""fr"")"),"Quel est le rôle principal du mur gauche (pared izquierda) dans le jeu ?")</f>
        <v>Quel est le rôle principal du mur gauche (pared izquierda) dans le jeu ?</v>
      </c>
      <c r="I143" s="5" t="str">
        <f>IFERROR(__xludf.DUMMYFUNCTION("GOOGLETRANSLATE(C143, ""en"", ""fr"")"),"A) Fournir une surface de jeu légale pour la balle, créant des angles complexes ; B) Séparer les joueurs des spectateurs ; C) C'est hors limites ; D) C'est là que le score est consigné.")</f>
        <v>A) Fournir une surface de jeu légale pour la balle, créant des angles complexes ; B) Séparer les joueurs des spectateurs ; C) C'est hors limites ; D) C'est là que le score est consigné.</v>
      </c>
      <c r="J143" s="5" t="str">
        <f>IFERROR(__xludf.DUMMYFUNCTION("GOOGLETRANSLATE(D143, ""en"", ""fr"")"),"A) Fournir une surface permettant de jouer la balle légalement, créant des angles complexes")</f>
        <v>A) Fournir une surface permettant de jouer la balle légalement, créant des angles complexes</v>
      </c>
      <c r="K143" s="5" t="str">
        <f>IFERROR(__xludf.DUMMYFUNCTION("GOOGLETRANSLATE(E143, ""en"", ""fr"")"),"Le mur latéral est un élément fondamental du jeu, permettant des tirs avec rebond et des actions défensives impossibles dans un jeu à deux murs.")</f>
        <v>Le mur latéral est un élément fondamental du jeu, permettant des tirs avec rebond et des actions défensives impossibles dans un jeu à deux murs.</v>
      </c>
    </row>
    <row r="144" ht="22.5" customHeight="1">
      <c r="A144" s="3">
        <v>143.0</v>
      </c>
      <c r="B144" s="4" t="s">
        <v>900</v>
      </c>
      <c r="C144" s="4" t="s">
        <v>901</v>
      </c>
      <c r="D144" s="4" t="s">
        <v>902</v>
      </c>
      <c r="E144" s="4" t="s">
        <v>903</v>
      </c>
      <c r="G144" s="5" t="str">
        <f>IFERROR(__xludf.DUMMYFUNCTION("GOOGLETRANSLATE(A144, ""en"", ""fr"")"),"143")</f>
        <v>143</v>
      </c>
      <c r="H144" s="5" t="str">
        <f>IFERROR(__xludf.DUMMYFUNCTION("GOOGLETRANSLATE(B144, ""en"", ""fr"")"),"Un joueur est connu pour son puissant saque. De quoi s'agit-il ?")</f>
        <v>Un joueur est connu pour son puissant saque. De quoi s'agit-il ?</v>
      </c>
      <c r="I144" s="5" t="str">
        <f>IFERROR(__xludf.DUMMYFUNCTION("GOOGLETRANSLATE(C144, ""en"", ""fr"")"),"A) Leur coup droit, B) Leur revers, C) Leur service, D) Leur bloc défensif")</f>
        <v>A) Leur coup droit, B) Leur revers, C) Leur service, D) Leur bloc défensif</v>
      </c>
      <c r="J144" s="5" t="str">
        <f>IFERROR(__xludf.DUMMYFUNCTION("GOOGLETRANSLATE(D144, ""en"", ""fr"")"),"C) Leur service")</f>
        <v>C) Leur service</v>
      </c>
      <c r="K144" s="5" t="str">
        <f>IFERROR(__xludf.DUMMYFUNCTION("GOOGLETRANSLATE(E144, ""en"", ""fr"")"),"Le saque est le mot espagnol pour le service, le premier coup de chaque point.")</f>
        <v>Le saque est le mot espagnol pour le service, le premier coup de chaque point.</v>
      </c>
    </row>
    <row r="145" ht="22.5" customHeight="1">
      <c r="A145" s="3">
        <v>144.0</v>
      </c>
      <c r="B145" s="4" t="s">
        <v>904</v>
      </c>
      <c r="C145" s="4" t="s">
        <v>905</v>
      </c>
      <c r="D145" s="4" t="s">
        <v>906</v>
      </c>
      <c r="E145" s="4" t="s">
        <v>907</v>
      </c>
      <c r="G145" s="5" t="str">
        <f>IFERROR(__xludf.DUMMYFUNCTION("GOOGLETRANSLATE(A145, ""en"", ""fr"")"),"144")</f>
        <v>144</v>
      </c>
      <c r="H145" s="5" t="str">
        <f>IFERROR(__xludf.DUMMYFUNCTION("GOOGLETRANSLATE(B145, ""en"", ""fr"")"),"Pourquoi le sol d'un fronton de pelote basque professionnel est-il souvent en béton ou en granit ?")</f>
        <v>Pourquoi le sol d'un fronton de pelote basque professionnel est-il souvent en béton ou en granit ?</v>
      </c>
      <c r="I145" s="5" t="str">
        <f>IFERROR(__xludf.DUMMYFUNCTION("GOOGLETRANSLATE(C145, ""en"", ""fr"")"),"A) Il est bon marché, B) Il offre un rebond très rapide et régulier pour la balle dure, C) Il est traditionnel, D) Il est facile à nettoyer")</f>
        <v>A) Il est bon marché, B) Il offre un rebond très rapide et régulier pour la balle dure, C) Il est traditionnel, D) Il est facile à nettoyer</v>
      </c>
      <c r="J145" s="5" t="str">
        <f>IFERROR(__xludf.DUMMYFUNCTION("GOOGLETRANSLATE(D145, ""en"", ""fr"")"),"B) Il assure un rebond très rapide et régulier pour la balle dure")</f>
        <v>B) Il assure un rebond très rapide et régulier pour la balle dure</v>
      </c>
      <c r="K145" s="5" t="str">
        <f>IFERROR(__xludf.DUMMYFUNCTION("GOOGLETRANSLATE(E145, ""en"", ""fr"")"),"La surface dure et lisse est essentielle pour le rythme rapide et les rebonds importants propres à ce jeu.")</f>
        <v>La surface dure et lisse est essentielle pour le rythme rapide et les rebonds importants propres à ce jeu.</v>
      </c>
    </row>
    <row r="146" ht="22.5" customHeight="1">
      <c r="A146" s="3">
        <v>145.0</v>
      </c>
      <c r="B146" s="4" t="s">
        <v>908</v>
      </c>
      <c r="C146" s="4" t="s">
        <v>909</v>
      </c>
      <c r="D146" s="4" t="s">
        <v>689</v>
      </c>
      <c r="E146" s="4" t="s">
        <v>910</v>
      </c>
      <c r="G146" s="5" t="str">
        <f>IFERROR(__xludf.DUMMYFUNCTION("GOOGLETRANSLATE(A146, ""en"", ""fr"")"),"145")</f>
        <v>145</v>
      </c>
      <c r="H146" s="5" t="str">
        <f>IFERROR(__xludf.DUMMYFUNCTION("GOOGLETRANSLATE(B146, ""en"", ""fr"")"),"La chemise d'un joueur se casse en plein point. Que se passe-t-il ?")</f>
        <v>La chemise d'un joueur se casse en plein point. Que se passe-t-il ?</v>
      </c>
      <c r="I146" s="5" t="str">
        <f>IFERROR(__xludf.DUMMYFUNCTION("GOOGLETRANSLATE(C146, ""en"", ""fr"")"),"A) Le joueur est disqualifié, B) Le point est immédiatement arrêté et rejoué, C) Le joueur peut tenter de continuer le point avec la chestera cassée, D) Le joueur peut aller en chercher une nouvelle")</f>
        <v>A) Le joueur est disqualifié, B) Le point est immédiatement arrêté et rejoué, C) Le joueur peut tenter de continuer le point avec la chestera cassée, D) Le joueur peut aller en chercher une nouvelle</v>
      </c>
      <c r="J146" s="5" t="str">
        <f>IFERROR(__xludf.DUMMYFUNCTION("GOOGLETRANSLATE(D146, ""en"", ""fr"")"),"B) Le point est immédiatement interrompu et rejoué.")</f>
        <v>B) Le point est immédiatement interrompu et rejoué.</v>
      </c>
      <c r="K146" s="5" t="str">
        <f>IFERROR(__xludf.DUMMYFUNCTION("GOOGLETRANSLATE(E146, ""en"", ""fr"")"),"Si l'équipement essentiel d'un joueur se brise pendant un échange en direct sans qu'il y soit pour rien, le point est généralement rejoué.")</f>
        <v>Si l'équipement essentiel d'un joueur se brise pendant un échange en direct sans qu'il y soit pour rien, le point est généralement rejoué.</v>
      </c>
    </row>
    <row r="147" ht="22.5" customHeight="1">
      <c r="A147" s="3">
        <v>146.0</v>
      </c>
      <c r="B147" s="4" t="s">
        <v>915</v>
      </c>
      <c r="C147" s="4" t="s">
        <v>916</v>
      </c>
      <c r="D147" s="4" t="s">
        <v>917</v>
      </c>
      <c r="E147" s="4" t="s">
        <v>918</v>
      </c>
      <c r="G147" s="5" t="str">
        <f>IFERROR(__xludf.DUMMYFUNCTION("GOOGLETRANSLATE(A147, ""en"", ""fr"")"),"146")</f>
        <v>146</v>
      </c>
      <c r="H147" s="5" t="str">
        <f>IFERROR(__xludf.DUMMYFUNCTION("GOOGLETRANSLATE(B147, ""en"", ""fr"")"),"Un joueur reçoit un avertissement pour « interférence ». Qu'a-t-il bien pu faire ?")</f>
        <v>Un joueur reçoit un avertissement pour « interférence ». Qu'a-t-il bien pu faire ?</v>
      </c>
      <c r="I147" s="5" t="str">
        <f>IFERROR(__xludf.DUMMYFUNCTION("GOOGLETRANSLATE(C147, ""en"", ""fr"")"),"A) A frappé la balle trop fort, B) S'est placé de manière à bloquer le passage de l'adversaire vers la balle, C) A parlé à son partenaire, D) A contesté l'arbitre")</f>
        <v>A) A frappé la balle trop fort, B) S'est placé de manière à bloquer le passage de l'adversaire vers la balle, C) A parlé à son partenaire, D) A contesté l'arbitre</v>
      </c>
      <c r="J147" s="5" t="str">
        <f>IFERROR(__xludf.DUMMYFUNCTION("GOOGLETRANSLATE(D147, ""en"", ""fr"")"),"B) S'est placé de manière à bloquer le passage de l'adversaire vers la balle")</f>
        <v>B) S'est placé de manière à bloquer le passage de l'adversaire vers la balle</v>
      </c>
      <c r="K147" s="5" t="str">
        <f>IFERROR(__xludf.DUMMYFUNCTION("GOOGLETRANSLATE(E147, ""en"", ""fr"")"),"Un joueur ne peut pas intentionnellement obstruer les mouvements ou la ligne de vue d'un adversaire vers le ballon. Il s'agit d'une faute.")</f>
        <v>Un joueur ne peut pas intentionnellement obstruer les mouvements ou la ligne de vue d'un adversaire vers le ballon. Il s'agit d'une faute.</v>
      </c>
    </row>
    <row r="148" ht="22.5" customHeight="1">
      <c r="A148" s="3">
        <v>147.0</v>
      </c>
      <c r="B148" s="4" t="s">
        <v>919</v>
      </c>
      <c r="C148" s="4" t="s">
        <v>920</v>
      </c>
      <c r="D148" s="4" t="s">
        <v>921</v>
      </c>
      <c r="E148" s="4" t="s">
        <v>922</v>
      </c>
      <c r="G148" s="5" t="str">
        <f>IFERROR(__xludf.DUMMYFUNCTION("GOOGLETRANSLATE(A148, ""en"", ""fr"")"),"147")</f>
        <v>147</v>
      </c>
      <c r="H148" s="5" t="str">
        <f>IFERROR(__xludf.DUMMYFUNCTION("GOOGLETRANSLATE(B148, ""en"", ""fr"")"),"Un joueur sert. La balle touche le mur frontal, puis le sol dans le carré de service, et enfin le mur du fond. Ce service est-il valide ?")</f>
        <v>Un joueur sert. La balle touche le mur frontal, puis le sol dans le carré de service, et enfin le mur du fond. Ce service est-il valide ?</v>
      </c>
      <c r="I148" s="5" t="str">
        <f>IFERROR(__xludf.DUMMYFUNCTION("GOOGLETRANSLATE(C148, ""en"", ""fr"")"),"A) Non, la balle doit être renvoyée avant de toucher le mur du fond. B) Oui, c'est un service régulier. C) Le point est rejoué. D) C'est une faute.")</f>
        <v>A) Non, la balle doit être renvoyée avant de toucher le mur du fond. B) Oui, c'est un service régulier. C) Le point est rejoué. D) C'est une faute.</v>
      </c>
      <c r="J148" s="5" t="str">
        <f>IFERROR(__xludf.DUMMYFUNCTION("GOOGLETRANSLATE(D148, ""en"", ""fr"")"),"B) Oui, c'est un service légal")</f>
        <v>B) Oui, c'est un service légal</v>
      </c>
      <c r="K148" s="5" t="str">
        <f>IFERROR(__xludf.DUMMYFUNCTION("GOOGLETRANSLATE(E148, ""en"", ""fr"")"),"Tant que le service touche le mur frontal et rebondit dans la zone prévue, la balle est valable, même si elle touche ensuite le mur du fond.")</f>
        <v>Tant que le service touche le mur frontal et rebondit dans la zone prévue, la balle est valable, même si elle touche ensuite le mur du fond.</v>
      </c>
    </row>
    <row r="149" ht="22.5" customHeight="1">
      <c r="A149" s="3">
        <v>148.0</v>
      </c>
      <c r="B149" s="4" t="s">
        <v>1125</v>
      </c>
      <c r="C149" s="4" t="s">
        <v>1087</v>
      </c>
      <c r="D149" s="4" t="s">
        <v>1088</v>
      </c>
      <c r="E149" s="4" t="s">
        <v>1089</v>
      </c>
      <c r="G149" s="5" t="str">
        <f>IFERROR(__xludf.DUMMYFUNCTION("GOOGLETRANSLATE(A149, ""en"", ""fr"")"),"148")</f>
        <v>148</v>
      </c>
      <c r="H149" s="5" t="str">
        <f>IFERROR(__xludf.DUMMYFUNCTION("GOOGLETRANSLATE(B149, ""en"", ""fr"")"),"Quelle est la principale raison pour laquelle la pelota jouit d'un statut culturel beaucoup plus élevé au Pays basque qu'ailleurs ?")</f>
        <v>Quelle est la principale raison pour laquelle la pelota jouit d'un statut culturel beaucoup plus élevé au Pays basque qu'ailleurs ?</v>
      </c>
      <c r="I149" s="5" t="str">
        <f>IFERROR(__xludf.DUMMYFUNCTION("GOOGLETRANSLATE(C149, ""en"", ""fr"")"),"A) C'est un symbole de leur identité nationale et culturelle unique, B) C'est le seul sport qu'ils pratiquent, C) Les prix y sont beaucoup plus élevés, D) Les meilleurs joueurs viennent tous de là-bas")</f>
        <v>A) C'est un symbole de leur identité nationale et culturelle unique, B) C'est le seul sport qu'ils pratiquent, C) Les prix y sont beaucoup plus élevés, D) Les meilleurs joueurs viennent tous de là-bas</v>
      </c>
      <c r="J149" s="5" t="str">
        <f>IFERROR(__xludf.DUMMYFUNCTION("GOOGLETRANSLATE(D149, ""en"", ""fr"")"),"A) C'est un symbole de leur identité nationale et culturelle unique")</f>
        <v>A) C'est un symbole de leur identité nationale et culturelle unique</v>
      </c>
      <c r="K149" s="5" t="str">
        <f>IFERROR(__xludf.DUMMYFUNCTION("GOOGLETRANSLATE(E149, ""en"", ""fr"")"),"La pelote est bien plus qu'un simple jeu ; c'est un trésor culturel précieux, une institution sociale et une puissante expression du patrimoine basque.")</f>
        <v>La pelote est bien plus qu'un simple jeu ; c'est un trésor culturel précieux, une institution sociale et une puissante expression du patrimoine basque.</v>
      </c>
    </row>
    <row r="150" ht="22.5" customHeight="1">
      <c r="A150" s="3">
        <v>149.0</v>
      </c>
      <c r="B150" s="4" t="s">
        <v>955</v>
      </c>
      <c r="C150" s="4" t="s">
        <v>956</v>
      </c>
      <c r="D150" s="4" t="s">
        <v>957</v>
      </c>
      <c r="E150" s="4" t="s">
        <v>958</v>
      </c>
      <c r="G150" s="5" t="str">
        <f>IFERROR(__xludf.DUMMYFUNCTION("GOOGLETRANSLATE(A150, ""en"", ""fr"")"),"149")</f>
        <v>149</v>
      </c>
      <c r="H150" s="5" t="str">
        <f>IFERROR(__xludf.DUMMYFUNCTION("GOOGLETRANSLATE(B150, ""en"", ""fr"")"),"Un joueur porte un casque lors d'un match de pelote basque. Pourquoi est-ce une exigence moderne ?")</f>
        <v>Un joueur porte un casque lors d'un match de pelote basque. Pourquoi est-ce une exigence moderne ?</v>
      </c>
      <c r="I150" s="5" t="str">
        <f>IFERROR(__xludf.DUMMYFUNCTION("GOOGLETRANSLATE(C150, ""en"", ""fr"")"),"A) Pour faire professionnel, B) La vitesse incroyable du ballon peut être mortelle s'il heurte la tête d'un joueur, C) Pour se protéger des chutes, D) C'est une exigence du sponsor")</f>
        <v>A) Pour faire professionnel, B) La vitesse incroyable du ballon peut être mortelle s'il heurte la tête d'un joueur, C) Pour se protéger des chutes, D) C'est une exigence du sponsor</v>
      </c>
      <c r="J150" s="5" t="str">
        <f>IFERROR(__xludf.DUMMYFUNCTION("GOOGLETRANSLATE(D150, ""en"", ""fr"")"),"B) L'incroyable vitesse de la balle peut être mortelle si elle frappe un joueur à la tête.")</f>
        <v>B) L'incroyable vitesse de la balle peut être mortelle si elle frappe un joueur à la tête.</v>
      </c>
      <c r="K150" s="5" t="str">
        <f>IFERROR(__xludf.DUMMYFUNCTION("GOOGLETRANSLATE(E150, ""en"", ""fr"")"),"Avec des vitesses de balle dépassant les 300 km/h, le casque est un équipement de sécurité essentiel pour prévenir les blessures graves ou mortelles à la tête.")</f>
        <v>Avec des vitesses de balle dépassant les 300 km/h, le casque est un équipement de sécurité essentiel pour prévenir les blessures graves ou mortelles à la tête.</v>
      </c>
    </row>
    <row r="151" ht="22.5" customHeight="1">
      <c r="A151" s="3">
        <v>150.0</v>
      </c>
      <c r="B151" s="4" t="s">
        <v>896</v>
      </c>
      <c r="C151" s="4" t="s">
        <v>897</v>
      </c>
      <c r="D151" s="4" t="s">
        <v>898</v>
      </c>
      <c r="E151" s="4" t="s">
        <v>899</v>
      </c>
      <c r="G151" s="5" t="str">
        <f>IFERROR(__xludf.DUMMYFUNCTION("GOOGLETRANSLATE(A151, ""en"", ""fr"")"),"150")</f>
        <v>150</v>
      </c>
      <c r="H151" s="5" t="str">
        <f>IFERROR(__xludf.DUMMYFUNCTION("GOOGLETRANSLATE(B151, ""en"", ""fr"")"),"Quel est le rôle principal de la Fédération internationale de pelote basque (FIPV) ?")</f>
        <v>Quel est le rôle principal de la Fédération internationale de pelote basque (FIPV) ?</v>
      </c>
      <c r="I151" s="5" t="str">
        <f>IFERROR(__xludf.DUMMYFUNCTION("GOOGLETRANSLATE(C151, ""en"", ""fr"")"),"A) Organiser des paris professionnels, B) Gouverner le sport, normaliser les règles et organiser des championnats du monde, C) Entraîner l'équipe nationale espagnole, D) Fabriquer l'équipement")</f>
        <v>A) Organiser des paris professionnels, B) Gouverner le sport, normaliser les règles et organiser des championnats du monde, C) Entraîner l'équipe nationale espagnole, D) Fabriquer l'équipement</v>
      </c>
      <c r="J151" s="5" t="str">
        <f>IFERROR(__xludf.DUMMYFUNCTION("GOOGLETRANSLATE(D151, ""en"", ""fr"")"),"B) Gouverner le sport, normaliser les règles et organiser les championnats du monde")</f>
        <v>B) Gouverner le sport, normaliser les règles et organiser les championnats du monde</v>
      </c>
      <c r="K151" s="5" t="str">
        <f>IFERROR(__xludf.DUMMYFUNCTION("GOOGLETRANSLATE(E151, ""en"", ""fr"")"),"La FIPV est l'instance dirigeante mondiale chargée de l'administration et de la promotion de toutes les modalités officielles de ce sport.")</f>
        <v>La FIPV est l'instance dirigeante mondiale chargée de l'administration et de la promotion de toutes les modalités officielles de ce sport.</v>
      </c>
    </row>
  </sheetData>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5" width="37.63"/>
    <col customWidth="1" min="7" max="7" width="14.13"/>
    <col customWidth="1" min="8" max="11" width="37.63"/>
  </cols>
  <sheetData>
    <row r="1" ht="22.5" customHeight="1">
      <c r="A1" s="1" t="s">
        <v>0</v>
      </c>
      <c r="B1" s="1" t="s">
        <v>1</v>
      </c>
      <c r="C1" s="1" t="s">
        <v>2</v>
      </c>
      <c r="D1" s="1" t="s">
        <v>3</v>
      </c>
      <c r="E1" s="1" t="s">
        <v>4</v>
      </c>
      <c r="G1" s="2" t="s">
        <v>5</v>
      </c>
      <c r="H1" s="2" t="s">
        <v>6</v>
      </c>
      <c r="I1" s="2" t="s">
        <v>7</v>
      </c>
      <c r="J1" s="2" t="s">
        <v>8</v>
      </c>
      <c r="K1" s="2" t="s">
        <v>4</v>
      </c>
    </row>
    <row r="2" ht="22.5" customHeight="1">
      <c r="A2" s="3">
        <v>1.0</v>
      </c>
      <c r="B2" s="4" t="s">
        <v>1126</v>
      </c>
      <c r="C2" s="4" t="s">
        <v>1127</v>
      </c>
      <c r="D2" s="4" t="s">
        <v>1128</v>
      </c>
      <c r="E2" s="4" t="s">
        <v>1129</v>
      </c>
      <c r="G2" s="5" t="str">
        <f>IFERROR(__xludf.DUMMYFUNCTION("GOOGLETRANSLATE(A2, ""en"", ""fr"")"),"1")</f>
        <v>1</v>
      </c>
      <c r="H2" s="5" t="str">
        <f>IFERROR(__xludf.DUMMYFUNCTION("GOOGLETRANSLATE(B2, ""en"", ""fr"")"),"Lors d'un match de Gouren, le lutteur Ruz exécute une projection parfaite et le lutteur Gwer atterrit à plat dos, les deux omoplates touchant simultanément le tapis. Quel est le résultat immédiat ?")</f>
        <v>Lors d'un match de Gouren, le lutteur Ruz exécute une projection parfaite et le lutteur Gwer atterrit à plat dos, les deux omoplates touchant simultanément le tapis. Quel est le résultat immédiat ?</v>
      </c>
      <c r="I2" s="5" t="str">
        <f>IFERROR(__xludf.DUMMYFUNCTION("GOOGLETRANSLATE(C2, ""en"", ""fr"")"),"A) Ruz obtient un Kostin, B) Ruz remporte le match instantanément par un Lamm, C) Le match continue, D) La manche se termine et passe aux points")</f>
        <v>A) Ruz obtient un Kostin, B) Ruz remporte le match instantanément par un Lamm, C) Le match continue, D) La manche se termine et passe aux points</v>
      </c>
      <c r="J2" s="5" t="str">
        <f>IFERROR(__xludf.DUMMYFUNCTION("GOOGLETRANSLATE(D2, ""en"", ""fr"")"),"B) Ruz remporte le match instantanément par un Lamm")</f>
        <v>B) Ruz remporte le match instantanément par un Lamm</v>
      </c>
      <c r="K2" s="5" t="str">
        <f>IFERROR(__xludf.DUMMYFUNCTION("GOOGLETRANSLATE(E2, ""en"", ""fr"")"),"Le Lamm est la chute parfaite et l'objectif ultime à Gouren. Le réussir entraîne une victoire immédiate, quels que soient le temps et le score.")</f>
        <v>Le Lamm est la chute parfaite et l'objectif ultime à Gouren. Le réussir entraîne une victoire immédiate, quels que soient le temps et le score.</v>
      </c>
    </row>
    <row r="3" ht="22.5" customHeight="1">
      <c r="A3" s="3">
        <v>2.0</v>
      </c>
      <c r="B3" s="4" t="s">
        <v>1130</v>
      </c>
      <c r="C3" s="4" t="s">
        <v>1131</v>
      </c>
      <c r="D3" s="4" t="s">
        <v>1132</v>
      </c>
      <c r="E3" s="4" t="s">
        <v>1133</v>
      </c>
      <c r="G3" s="5" t="str">
        <f>IFERROR(__xludf.DUMMYFUNCTION("GOOGLETRANSLATE(A3, ""en"", ""fr"")"),"2")</f>
        <v>2</v>
      </c>
      <c r="H3" s="5" t="str">
        <f>IFERROR(__xludf.DUMMYFUNCTION("GOOGLETRANSLATE(B3, ""en"", ""fr"")"),"Un lutteur effectue une projection, mais son adversaire retombe sur le côté, une omoplate touchée. Quel est le résultat de cette action ?")</f>
        <v>Un lutteur effectue une projection, mais son adversaire retombe sur le côté, une omoplate touchée. Quel est le résultat de cette action ?</v>
      </c>
      <c r="I3" s="5" t="str">
        <f>IFERROR(__xludf.DUMMYFUNCTION("GOOGLETRANSLATE(C3, ""en"", ""fr"")"),"A) A Lamm (chute parfaite), B) A Kostin (chute partielle), C) A Kein (avantage), D) A Netra (aucun résultat)")</f>
        <v>A) A Lamm (chute parfaite), B) A Kostin (chute partielle), C) A Kein (avantage), D) A Netra (aucun résultat)</v>
      </c>
      <c r="J3" s="5" t="str">
        <f>IFERROR(__xludf.DUMMYFUNCTION("GOOGLETRANSLATE(D3, ""en"", ""fr"")"),"B) A Kostin (chute partielle)")</f>
        <v>B) A Kostin (chute partielle)</v>
      </c>
      <c r="K3" s="5" t="str">
        <f>IFERROR(__xludf.DUMMYFUNCTION("GOOGLETRANSLATE(E3, ""en"", ""fr"")"),"Un Kostin est décerné pour une chute qui n'est pas parfaite mais qui constitue tout de même un résultat significatif, comme une réception sur une épaule ou le haut du dos.")</f>
        <v>Un Kostin est décerné pour une chute qui n'est pas parfaite mais qui constitue tout de même un résultat significatif, comme une réception sur une épaule ou le haut du dos.</v>
      </c>
    </row>
    <row r="4" ht="22.5" customHeight="1">
      <c r="A4" s="3">
        <v>3.0</v>
      </c>
      <c r="B4" s="4" t="s">
        <v>1134</v>
      </c>
      <c r="C4" s="4" t="s">
        <v>1135</v>
      </c>
      <c r="D4" s="4" t="s">
        <v>1136</v>
      </c>
      <c r="E4" s="4" t="s">
        <v>1137</v>
      </c>
      <c r="G4" s="5" t="str">
        <f>IFERROR(__xludf.DUMMYFUNCTION("GOOGLETRANSLATE(A4, ""en"", ""fr"")"),"3")</f>
        <v>3</v>
      </c>
      <c r="H4" s="5" t="str">
        <f>IFERROR(__xludf.DUMMYFUNCTION("GOOGLETRANSLATE(B4, ""en"", ""fr"")"),"Avant le début du tournoi, tous les lutteurs se rassemblent en cercle et récitent ensemble un serment. À quoi s'engagent-ils ?")</f>
        <v>Avant le début du tournoi, tous les lutteurs se rassemblent en cercle et récitent ensemble un serment. À quoi s'engagent-ils ?</v>
      </c>
      <c r="I4" s="5" t="str">
        <f>IFERROR(__xludf.DUMMYFUNCTION("GOOGLETRANSLATE(C4, ""en"", ""fr"")"),"A) Gagner à tout prix, B) Combattre avec loyauté, fair-play et sans brutalité, C) Obéir à leurs entraîneurs, D) Divertir le public")</f>
        <v>A) Gagner à tout prix, B) Combattre avec loyauté, fair-play et sans brutalité, C) Obéir à leurs entraîneurs, D) Divertir le public</v>
      </c>
      <c r="J4" s="5" t="str">
        <f>IFERROR(__xludf.DUMMYFUNCTION("GOOGLETRANSLATE(D4, ""en"", ""fr"")"),"B) Combattre avec équité, loyauté et sans brutalité")</f>
        <v>B) Combattre avec équité, loyauté et sans brutalité</v>
      </c>
      <c r="K4" s="5" t="str">
        <f>IFERROR(__xludf.DUMMYFUNCTION("GOOGLETRANSLATE(E4, ""en"", ""fr"")"),"Le serment du lutteur (serment) est un rituel obligatoire qui donne le ton éthique et sportif à la compétition.")</f>
        <v>Le serment du lutteur (serment) est un rituel obligatoire qui donne le ton éthique et sportif à la compétition.</v>
      </c>
    </row>
    <row r="5" ht="22.5" customHeight="1">
      <c r="A5" s="3">
        <v>4.0</v>
      </c>
      <c r="B5" s="4" t="s">
        <v>1138</v>
      </c>
      <c r="C5" s="4" t="s">
        <v>1139</v>
      </c>
      <c r="D5" s="4" t="s">
        <v>1140</v>
      </c>
      <c r="E5" s="4" t="s">
        <v>1141</v>
      </c>
      <c r="G5" s="5" t="str">
        <f>IFERROR(__xludf.DUMMYFUNCTION("GOOGLETRANSLATE(A5, ""en"", ""fr"")"),"4")</f>
        <v>4</v>
      </c>
      <c r="H5" s="5" t="str">
        <f>IFERROR(__xludf.DUMMYFUNCTION("GOOGLETRANSLATE(B5, ""en"", ""fr"")"),"Lors d'un combat, un lutteur est pénalisé pour avoir saisi le pantalon de son adversaire (bragoù). Quelle est la règle correcte pour cette action ?")</f>
        <v>Lors d'un combat, un lutteur est pénalisé pour avoir saisi le pantalon de son adversaire (bragoù). Quelle est la règle correcte pour cette action ?</v>
      </c>
      <c r="I5" s="5" t="str">
        <f>IFERROR(__xludf.DUMMYFUNCTION("GOOGLETRANSLATE(C5, ""en"", ""fr"")"),"A) La prise est légale, B) L'arbitre donne un avertissement (Diwall), C) C'est une faute (Fazi), D) Le lutteur est disqualifié")</f>
        <v>A) La prise est légale, B) L'arbitre donne un avertissement (Diwall), C) C'est une faute (Fazi), D) Le lutteur est disqualifié</v>
      </c>
      <c r="J5" s="5" t="str">
        <f>IFERROR(__xludf.DUMMYFUNCTION("GOOGLETRANSLATE(D5, ""en"", ""fr"")"),"C) C'est une faute (Fazi)")</f>
        <v>C) C'est une faute (Fazi)</v>
      </c>
      <c r="K5" s="5" t="str">
        <f>IFERROR(__xludf.DUMMYFUNCTION("GOOGLETRANSLATE(E5, ""en"", ""fr"")"),"Le Gouren est un style de lutte avec veste. Toutes les prises doivent se faire sur la veste, au-dessus de la ceinture. Saisir le pantalon est interdit.")</f>
        <v>Le Gouren est un style de lutte avec veste. Toutes les prises doivent se faire sur la veste, au-dessus de la ceinture. Saisir le pantalon est interdit.</v>
      </c>
    </row>
    <row r="6" ht="22.5" customHeight="1">
      <c r="A6" s="3">
        <v>5.0</v>
      </c>
      <c r="B6" s="4" t="s">
        <v>1142</v>
      </c>
      <c r="C6" s="4" t="s">
        <v>1143</v>
      </c>
      <c r="D6" s="4" t="s">
        <v>1144</v>
      </c>
      <c r="E6" s="4" t="s">
        <v>1145</v>
      </c>
      <c r="G6" s="5" t="str">
        <f>IFERROR(__xludf.DUMMYFUNCTION("GOOGLETRANSLATE(A6, ""en"", ""fr"")"),"5")</f>
        <v>5</v>
      </c>
      <c r="H6" s="5" t="str">
        <f>IFERROR(__xludf.DUMMYFUNCTION("GOOGLETRANSLATE(B6, ""en"", ""fr"")"),"Un lutteur reçoit un deuxième avertissement (Diwall) pour la même faute mineure. Quelle est la conséquence immédiate ?")</f>
        <v>Un lutteur reçoit un deuxième avertissement (Diwall) pour la même faute mineure. Quelle est la conséquence immédiate ?</v>
      </c>
      <c r="I6" s="5" t="str">
        <f>IFERROR(__xludf.DUMMYFUNCTION("GOOGLETRANSLATE(C6, ""en"", ""fr"")"),"A) Ils sont disqualifiés, B) Rien ne se passe, c'est juste un autre avertissement, C) Leur adversaire obtient un point (avantage), D) Le match est relancé")</f>
        <v>A) Ils sont disqualifiés, B) Rien ne se passe, c'est juste un autre avertissement, C) Leur adversaire obtient un point (avantage), D) Le match est relancé</v>
      </c>
      <c r="J6" s="5" t="str">
        <f>IFERROR(__xludf.DUMMYFUNCTION("GOOGLETRANSLATE(D6, ""en"", ""fr"")"),"C) Leur adversaire se voit attribuer un Poent (point/avantage)")</f>
        <v>C) Leur adversaire se voit attribuer un Poent (point/avantage)</v>
      </c>
      <c r="K6" s="5" t="str">
        <f>IFERROR(__xludf.DUMMYFUNCTION("GOOGLETRANSLATE(E6, ""en"", ""fr"")"),"Le système de sanctions s'intensifie. Deux avertissements pour des fautes mineures entraînent l'attribution d'un point à l'adversaire.")</f>
        <v>Le système de sanctions s'intensifie. Deux avertissements pour des fautes mineures entraînent l'attribution d'un point à l'adversaire.</v>
      </c>
    </row>
    <row r="7" ht="22.5" customHeight="1">
      <c r="A7" s="3">
        <v>6.0</v>
      </c>
      <c r="B7" s="4" t="s">
        <v>1146</v>
      </c>
      <c r="C7" s="4" t="s">
        <v>1147</v>
      </c>
      <c r="D7" s="4" t="s">
        <v>1148</v>
      </c>
      <c r="E7" s="4" t="s">
        <v>1149</v>
      </c>
      <c r="G7" s="5" t="str">
        <f>IFERROR(__xludf.DUMMYFUNCTION("GOOGLETRANSLATE(A7, ""en"", ""fr"")"),"6")</f>
        <v>6</v>
      </c>
      <c r="H7" s="5" t="str">
        <f>IFERROR(__xludf.DUMMYFUNCTION("GOOGLETRANSLATE(B7, ""en"", ""fr"")"),"Un match se termine. Le score est de parité, un but partout. La prolongation se termine également sans autre but marqué. Comment un vainqueur est-il désigné ?")</f>
        <v>Un match se termine. Le score est de parité, un but partout. La prolongation se termine également sans autre but marqué. Comment un vainqueur est-il désigné ?</v>
      </c>
      <c r="I7" s="5" t="str">
        <f>IFERROR(__xludf.DUMMYFUNCTION("GOOGLETRANSLATE(C7, ""en"", ""fr"")"),"A) Le match se termine par un match nul. B) Les arbitres accordent un avantage au lutteur le plus agressif. C) Par un tirage à pile ou face. D) Le dernier lutteur à marquer des points remporte le match.")</f>
        <v>A) Le match se termine par un match nul. B) Les arbitres accordent un avantage au lutteur le plus agressif. C) Par un tirage à pile ou face. D) Le dernier lutteur à marquer des points remporte le match.</v>
      </c>
      <c r="J7" s="5" t="str">
        <f>IFERROR(__xludf.DUMMYFUNCTION("GOOGLETRANSLATE(D7, ""en"", ""fr"")"),"B) Les arbitres accordent un avantage au lutteur le plus agressif.")</f>
        <v>B) Les arbitres accordent un avantage au lutteur le plus agressif.</v>
      </c>
      <c r="K7" s="5" t="str">
        <f>IFERROR(__xludf.DUMMYFUNCTION("GOOGLETRANSLATE(E7, ""en"", ""fr"")"),"Si la prolongation se termine sans point, les arbitres peuvent attribuer un Kein au lutteur qui a montré le plus d'action offensive, ce qui permet de départager les deux équipes.")</f>
        <v>Si la prolongation se termine sans point, les arbitres peuvent attribuer un Kein au lutteur qui a montré le plus d'action offensive, ce qui permet de départager les deux équipes.</v>
      </c>
    </row>
    <row r="8" ht="22.5" customHeight="1">
      <c r="A8" s="3">
        <v>7.0</v>
      </c>
      <c r="B8" s="4" t="s">
        <v>1150</v>
      </c>
      <c r="C8" s="4" t="s">
        <v>1151</v>
      </c>
      <c r="D8" s="4" t="s">
        <v>1152</v>
      </c>
      <c r="E8" s="4" t="s">
        <v>1153</v>
      </c>
      <c r="G8" s="5" t="str">
        <f>IFERROR(__xludf.DUMMYFUNCTION("GOOGLETRANSLATE(A8, ""en"", ""fr"")"),"7")</f>
        <v>7</v>
      </c>
      <c r="H8" s="5" t="str">
        <f>IFERROR(__xludf.DUMMYFUNCTION("GOOGLETRANSLATE(B8, ""en"", ""fr"")"),"Le lutteur Ruz accumule trois Fazi (pénalités) au cours d'un seul match. Quel est le résultat ?")</f>
        <v>Le lutteur Ruz accumule trois Fazi (pénalités) au cours d'un seul match. Quel est le résultat ?</v>
      </c>
      <c r="I8" s="5" t="str">
        <f>IFERROR(__xludf.DUMMYFUNCTION("GOOGLETRANSLATE(C8, ""en"", ""fr"")"),"A) Ils reçoivent un dernier avertissement, B) Ils sont disqualifiés, C) Ils écopent d'une pénalité de 3 points, D) Le match continue")</f>
        <v>A) Ils reçoivent un dernier avertissement, B) Ils sont disqualifiés, C) Ils écopent d'une pénalité de 3 points, D) Le match continue</v>
      </c>
      <c r="J8" s="5" t="str">
        <f>IFERROR(__xludf.DUMMYFUNCTION("GOOGLETRANSLATE(D8, ""en"", ""fr"")"),"B) Ils perdent par disqualification")</f>
        <v>B) Ils perdent par disqualification</v>
      </c>
      <c r="K8" s="5" t="str">
        <f>IFERROR(__xludf.DUMMYFUNCTION("GOOGLETRANSLATE(E8, ""en"", ""fr"")"),"La règle des « trois fautes » est absolue. Trois fautes entraînent la défaite automatique du match.")</f>
        <v>La règle des « trois fautes » est absolue. Trois fautes entraînent la défaite automatique du match.</v>
      </c>
    </row>
    <row r="9" ht="22.5" customHeight="1">
      <c r="A9" s="3">
        <v>8.0</v>
      </c>
      <c r="B9" s="4" t="s">
        <v>1154</v>
      </c>
      <c r="C9" s="4" t="s">
        <v>1155</v>
      </c>
      <c r="D9" s="4" t="s">
        <v>1156</v>
      </c>
      <c r="E9" s="4" t="s">
        <v>1157</v>
      </c>
      <c r="G9" s="5" t="str">
        <f>IFERROR(__xludf.DUMMYFUNCTION("GOOGLETRANSLATE(A9, ""en"", ""fr"")"),"8")</f>
        <v>8</v>
      </c>
      <c r="H9" s="5" t="str">
        <f>IFERROR(__xludf.DUMMYFUNCTION("GOOGLETRANSLATE(B9, ""en"", ""fr"")"),"Le lutteur Gwer est projeté au sol, mais il retombe sur le torse et le ventre. Quelle est la décision de l'arbitre ?")</f>
        <v>Le lutteur Gwer est projeté au sol, mais il retombe sur le torse et le ventre. Quelle est la décision de l'arbitre ?</v>
      </c>
      <c r="I9" s="5" t="str">
        <f>IFERROR(__xludf.DUMMYFUNCTION("GOOGLETRANSLATE(C9, ""en"", ""fr"")"),"A) Un Kostin pour l'adversaire de Gwer, B) Un Netra (aucun résultat), C) Un Lamm pour l'adversaire de Gwer, D) Un Kein pour l'adversaire de Gwer")</f>
        <v>A) Un Kostin pour l'adversaire de Gwer, B) Un Netra (aucun résultat), C) Un Lamm pour l'adversaire de Gwer, D) Un Kein pour l'adversaire de Gwer</v>
      </c>
      <c r="J9" s="5" t="str">
        <f>IFERROR(__xludf.DUMMYFUNCTION("GOOGLETRANSLATE(D9, ""en"", ""fr"")"),"B) Un Netra (aucun résultat)")</f>
        <v>B) Un Netra (aucun résultat)</v>
      </c>
      <c r="K9" s="5" t="str">
        <f>IFERROR(__xludf.DUMMYFUNCTION("GOOGLETRANSLATE(E9, ""en"", ""fr"")"),"Un point ne peut être marqué que si l'adversaire tombe sur le dos ou les épaules. Une chute sur le ventre donne un résultat neutre et le match est remis à zéro.")</f>
        <v>Un point ne peut être marqué que si l'adversaire tombe sur le dos ou les épaules. Une chute sur le ventre donne un résultat neutre et le match est remis à zéro.</v>
      </c>
    </row>
    <row r="10" ht="22.5" customHeight="1">
      <c r="A10" s="3">
        <v>9.0</v>
      </c>
      <c r="B10" s="4" t="s">
        <v>1158</v>
      </c>
      <c r="C10" s="4" t="s">
        <v>1159</v>
      </c>
      <c r="D10" s="4" t="s">
        <v>1160</v>
      </c>
      <c r="E10" s="4" t="s">
        <v>1161</v>
      </c>
      <c r="G10" s="5" t="str">
        <f>IFERROR(__xludf.DUMMYFUNCTION("GOOGLETRANSLATE(A10, ""en"", ""fr"")"),"9")</f>
        <v>9</v>
      </c>
      <c r="H10" s="5" t="str">
        <f>IFERROR(__xludf.DUMMYFUNCTION("GOOGLETRANSLATE(B10, ""en"", ""fr"")"),"Quel est le nom du tournoi traditionnel toutes catégories où le grand prix est un bélier vivant (maout) ?")</f>
        <v>Quel est le nom du tournoi traditionnel toutes catégories où le grand prix est un bélier vivant (maout) ?</v>
      </c>
      <c r="I10" s="5" t="str">
        <f>IFERROR(__xludf.DUMMYFUNCTION("GOOGLETRANSLATE(C10, ""en"", ""fr"")"),"A) Le championnat de Bretagne, B) Le tournoi Mod-Kozh, C) La Coupe Celtique, D) Le défi de Quimperlé")</f>
        <v>A) Le championnat de Bretagne, B) Le tournoi Mod-Kozh, C) La Coupe Celtique, D) Le défi de Quimperlé</v>
      </c>
      <c r="J10" s="5" t="str">
        <f>IFERROR(__xludf.DUMMYFUNCTION("GOOGLETRANSLATE(D10, ""en"", ""fr"")"),"B) Le tournoi Mod-Kozh")</f>
        <v>B) Le tournoi Mod-Kozh</v>
      </c>
      <c r="K10" s="5" t="str">
        <f>IFERROR(__xludf.DUMMYFUNCTION("GOOGLETRANSLATE(E10, ""en"", ""fr"")"),"Le tournoi « à l'ancienne » (mod-kozh) est un événement spécial qui préserve l'ancien format de défi et le prix traditionnel du bélier.")</f>
        <v>Le tournoi « à l'ancienne » (mod-kozh) est un événement spécial qui préserve l'ancien format de défi et le prix traditionnel du bélier.</v>
      </c>
    </row>
    <row r="11" ht="22.5" customHeight="1">
      <c r="A11" s="3">
        <v>10.0</v>
      </c>
      <c r="B11" s="4" t="s">
        <v>1162</v>
      </c>
      <c r="C11" s="4" t="s">
        <v>1163</v>
      </c>
      <c r="D11" s="4" t="s">
        <v>1164</v>
      </c>
      <c r="E11" s="4" t="s">
        <v>1165</v>
      </c>
      <c r="G11" s="5" t="str">
        <f>IFERROR(__xludf.DUMMYFUNCTION("GOOGLETRANSLATE(A11, ""en"", ""fr"")"),"10")</f>
        <v>10</v>
      </c>
      <c r="H11" s="5" t="str">
        <f>IFERROR(__xludf.DUMMYFUNCTION("GOOGLETRANSLATE(B11, ""en"", ""fr"")"),"Un lutteur est disqualifié de tout le tournoi pour une seule faute grave, comme insulter un officiel. Comment s'appelle cette sanction sévère ?")</f>
        <v>Un lutteur est disqualifié de tout le tournoi pour une seule faute grave, comme insulter un officiel. Comment s'appelle cette sanction sévère ?</v>
      </c>
      <c r="I11" s="5" t="str">
        <f>IFERROR(__xludf.DUMMYFUNCTION("GOOGLETRANSLATE(C11, ""en"", ""fr"")"),"A) Fazi Vraz, B) Lamm, C) Divrud, D) Kostin")</f>
        <v>A) Fazi Vraz, B) Lamm, C) Divrud, D) Kostin</v>
      </c>
      <c r="J11" s="5" t="str">
        <f>IFERROR(__xludf.DUMMYFUNCTION("GOOGLETRANSLATE(D11, ""en"", ""fr"")"),"C) Divrud")</f>
        <v>C) Divrud</v>
      </c>
      <c r="K11" s="5" t="str">
        <f>IFERROR(__xludf.DUMMYFUNCTION("GOOGLETRANSLATE(E11, ""en"", ""fr"")"),"Le Divrud est la sanction la plus sévère, réservée aux infractions graves, entraînant l'expulsion du lutteur de toute la compétition.")</f>
        <v>Le Divrud est la sanction la plus sévère, réservée aux infractions graves, entraînant l'expulsion du lutteur de toute la compétition.</v>
      </c>
    </row>
    <row r="12" ht="22.5" customHeight="1">
      <c r="A12" s="3">
        <v>11.0</v>
      </c>
      <c r="B12" s="4" t="s">
        <v>1166</v>
      </c>
      <c r="C12" s="4" t="s">
        <v>1167</v>
      </c>
      <c r="D12" s="4" t="s">
        <v>1168</v>
      </c>
      <c r="E12" s="4" t="s">
        <v>1169</v>
      </c>
      <c r="G12" s="5" t="str">
        <f>IFERROR(__xludf.DUMMYFUNCTION("GOOGLETRANSLATE(A12, ""en"", ""fr"")"),"11")</f>
        <v>11</v>
      </c>
      <c r="H12" s="5" t="str">
        <f>IFERROR(__xludf.DUMMYFUNCTION("GOOGLETRANSLATE(B12, ""en"", ""fr"")"),"Avant un combat, les lutteurs exécutent la dornade. En quoi consiste-t-elle ?")</f>
        <v>Avant un combat, les lutteurs exécutent la dornade. En quoi consiste-t-elle ?</v>
      </c>
      <c r="I12" s="5" t="str">
        <f>IFERROR(__xludf.DUMMYFUNCTION("GOOGLETRANSLATE(C12, ""en"", ""fr"")"),"A) Une danse cérémonielle, B) La récitation du serment, C) Une poignée de main spécifique où ils entrelacent leurs doigts et se saisissent les vestes, D) Une révérence aux arbitres")</f>
        <v>A) Une danse cérémonielle, B) La récitation du serment, C) Une poignée de main spécifique où ils entrelacent leurs doigts et se saisissent les vestes, D) Une révérence aux arbitres</v>
      </c>
      <c r="J12" s="5" t="str">
        <f>IFERROR(__xludf.DUMMYFUNCTION("GOOGLETRANSLATE(D12, ""en"", ""fr"")"),"C) Une poignée de main spécifique où ils entrelacent leurs doigts et se saisissent les vestes.")</f>
        <v>C) Une poignée de main spécifique où ils entrelacent leurs doigts et se saisissent les vestes.</v>
      </c>
      <c r="K12" s="5" t="str">
        <f>IFERROR(__xludf.DUMMYFUNCTION("GOOGLETRANSLATE(E12, ""en"", ""fr"")"),"La dornade est à la fois un rituel de respect et la prise de départ technique à partir de laquelle toute l'action du match commence.")</f>
        <v>La dornade est à la fois un rituel de respect et la prise de départ technique à partir de laquelle toute l'action du match commence.</v>
      </c>
    </row>
    <row r="13" ht="22.5" customHeight="1">
      <c r="A13" s="3">
        <v>12.0</v>
      </c>
      <c r="B13" s="4" t="s">
        <v>1170</v>
      </c>
      <c r="C13" s="4" t="s">
        <v>1171</v>
      </c>
      <c r="D13" s="4" t="s">
        <v>1172</v>
      </c>
      <c r="E13" s="4" t="s">
        <v>1173</v>
      </c>
      <c r="G13" s="5" t="str">
        <f>IFERROR(__xludf.DUMMYFUNCTION("GOOGLETRANSLATE(A13, ""en"", ""fr"")"),"12")</f>
        <v>12</v>
      </c>
      <c r="H13" s="5" t="str">
        <f>IFERROR(__xludf.DUMMYFUNCTION("GOOGLETRANSLATE(B13, ""en"", ""fr"")"),"Un lutteur est pieds nus, vêtu d'une veste blanche (roched) et d'un pantalon noir (bragoù). Sa tenue est-elle correcte pour la compétition ?")</f>
        <v>Un lutteur est pieds nus, vêtu d'une veste blanche (roched) et d'un pantalon noir (bragoù). Sa tenue est-elle correcte pour la compétition ?</v>
      </c>
      <c r="I13" s="5" t="str">
        <f>IFERROR(__xludf.DUMMYFUNCTION("GOOGLETRANSLATE(C13, ""en"", ""fr"")"),"A) Non, ils doivent porter des chaussures. B) Non, le pantalon doit être blanc. C) Oui, c'est l'uniforme officiel correct. D) Non, la veste doit être noire.")</f>
        <v>A) Non, ils doivent porter des chaussures. B) Non, le pantalon doit être blanc. C) Oui, c'est l'uniforme officiel correct. D) Non, la veste doit être noire.</v>
      </c>
      <c r="J13" s="5" t="str">
        <f>IFERROR(__xludf.DUMMYFUNCTION("GOOGLETRANSLATE(D13, ""en"", ""fr"")"),"C) Oui, il s'agit bien de l'uniforme officiel.")</f>
        <v>C) Oui, il s'agit bien de l'uniforme officiel.</v>
      </c>
      <c r="K13" s="5" t="str">
        <f>IFERROR(__xludf.DUMMYFUNCTION("GOOGLETRANSLATE(E13, ""en"", ""fr"")"),"L'uniforme de Gouren est très spécifique : une roche blanche fermée par une ceinture, un bragoù noir mi-long et des pieds nus.")</f>
        <v>L'uniforme de Gouren est très spécifique : une roche blanche fermée par une ceinture, un bragoù noir mi-long et des pieds nus.</v>
      </c>
    </row>
    <row r="14" ht="22.5" customHeight="1">
      <c r="A14" s="3">
        <v>13.0</v>
      </c>
      <c r="B14" s="4" t="s">
        <v>1174</v>
      </c>
      <c r="C14" s="4" t="s">
        <v>1175</v>
      </c>
      <c r="D14" s="4" t="s">
        <v>1176</v>
      </c>
      <c r="E14" s="4" t="s">
        <v>1177</v>
      </c>
      <c r="G14" s="5" t="str">
        <f>IFERROR(__xludf.DUMMYFUNCTION("GOOGLETRANSLATE(A14, ""en"", ""fr"")"),"13")</f>
        <v>13</v>
      </c>
      <c r="H14" s="5" t="str">
        <f>IFERROR(__xludf.DUMMYFUNCTION("GOOGLETRANSLATE(B14, ""en"", ""fr"")"),"La durée standard d'un match senior masculin est de 3 minutes. Quelle est la durée de la prolongation (astenn) ?")</f>
        <v>La durée standard d'un match senior masculin est de 3 minutes. Quelle est la durée de la prolongation (astenn) ?</v>
      </c>
      <c r="I14" s="5" t="str">
        <f>IFERROR(__xludf.DUMMYFUNCTION("GOOGLETRANSLATE(C14, ""en"", ""fr"")"),"A) 3 minutes, B) 1 minute 30 secondes, C) 5 minutes, D) 2 minutes")</f>
        <v>A) 3 minutes, B) 1 minute 30 secondes, C) 5 minutes, D) 2 minutes</v>
      </c>
      <c r="J14" s="5" t="str">
        <f>IFERROR(__xludf.DUMMYFUNCTION("GOOGLETRANSLATE(D14, ""en"", ""fr"")"),"B) 1 minute 30 secondes")</f>
        <v>B) 1 minute 30 secondes</v>
      </c>
      <c r="K14" s="5" t="str">
        <f>IFERROR(__xludf.DUMMYFUNCTION("GOOGLETRANSLATE(E14, ""en"", ""fr"")"),"La durée des heures supplémentaires est toujours la moitié de la durée d'un tour standard.")</f>
        <v>La durée des heures supplémentaires est toujours la moitié de la durée d'un tour standard.</v>
      </c>
    </row>
    <row r="15" ht="22.5" customHeight="1">
      <c r="A15" s="3">
        <v>14.0</v>
      </c>
      <c r="B15" s="4" t="s">
        <v>1178</v>
      </c>
      <c r="C15" s="4" t="s">
        <v>1179</v>
      </c>
      <c r="D15" s="4" t="s">
        <v>1180</v>
      </c>
      <c r="E15" s="4" t="s">
        <v>1181</v>
      </c>
      <c r="G15" s="5" t="str">
        <f>IFERROR(__xludf.DUMMYFUNCTION("GOOGLETRANSLATE(A15, ""en"", ""fr"")"),"14")</f>
        <v>14</v>
      </c>
      <c r="H15" s="5" t="str">
        <f>IFERROR(__xludf.DUMMYFUNCTION("GOOGLETRANSLATE(B15, ""en"", ""fr"")"),"Le lutteur Ruz tente une projection, mais le lutteur Gwer parvient à poser la main sur le tapis pour stopper la chute. Quelle est la décision ?")</f>
        <v>Le lutteur Ruz tente une projection, mais le lutteur Gwer parvient à poser la main sur le tapis pour stopper la chute. Quelle est la décision ?</v>
      </c>
      <c r="I15" s="5" t="str">
        <f>IFERROR(__xludf.DUMMYFUNCTION("GOOGLETRANSLATE(C15, ""en"", ""fr"")"),"A) Il s'agit d'un moyen de défense légal, B) Le lutteur Gwer commet une faute en bloquant la projection, C) Le match continue, D) La projection est retentée.")</f>
        <v>A) Il s'agit d'un moyen de défense légal, B) Le lutteur Gwer commet une faute en bloquant la projection, C) Le match continue, D) La projection est retentée.</v>
      </c>
      <c r="J15" s="5" t="str">
        <f>IFERROR(__xludf.DUMMYFUNCTION("GOOGLETRANSLATE(D15, ""en"", ""fr"")"),"B) Le lutteur Gwer commet une faute pour avoir bloqué le lancer.")</f>
        <v>B) Le lutteur Gwer commet une faute pour avoir bloqué le lancer.</v>
      </c>
      <c r="K15" s="5" t="str">
        <f>IFERROR(__xludf.DUMMYFUNCTION("GOOGLETRANSLATE(E15, ""en"", ""fr"")"),"Un lutteur ne peut pas utiliser sa main sur le tapis pour empêcher une chute. Cette action constitue une faute (fazi) pour défense illégale.")</f>
        <v>Un lutteur ne peut pas utiliser sa main sur le tapis pour empêcher une chute. Cette action constitue une faute (fazi) pour défense illégale.</v>
      </c>
    </row>
    <row r="16" ht="22.5" customHeight="1">
      <c r="A16" s="3">
        <v>15.0</v>
      </c>
      <c r="B16" s="4" t="s">
        <v>1182</v>
      </c>
      <c r="C16" s="4" t="s">
        <v>1183</v>
      </c>
      <c r="D16" s="4" t="s">
        <v>1184</v>
      </c>
      <c r="E16" s="4" t="s">
        <v>1185</v>
      </c>
      <c r="G16" s="5" t="str">
        <f>IFERROR(__xludf.DUMMYFUNCTION("GOOGLETRANSLATE(A16, ""en"", ""fr"")"),"15")</f>
        <v>15</v>
      </c>
      <c r="H16" s="5" t="str">
        <f>IFERROR(__xludf.DUMMYFUNCTION("GOOGLETRANSLATE(B16, ""en"", ""fr"")"),"Lors d'un tournoi de Mod-Kozh, un lutteur souhaite défier le champion en titre. Quelle est la méthode traditionnelle pour ce faire ?")</f>
        <v>Lors d'un tournoi de Mod-Kozh, un lutteur souhaite défier le champion en titre. Quelle est la méthode traditionnelle pour ce faire ?</v>
      </c>
      <c r="I16" s="5" t="str">
        <f>IFERROR(__xludf.DUMMYFUNCTION("GOOGLETRANSLATE(C16, ""en"", ""fr"")"),"A) Crier leur nom, B) Lever la main, C) S'approcher et toucher l'épaule du champion, D) Informer l'arbitre")</f>
        <v>A) Crier leur nom, B) Lever la main, C) S'approcher et toucher l'épaule du champion, D) Informer l'arbitre</v>
      </c>
      <c r="J16" s="5" t="str">
        <f>IFERROR(__xludf.DUMMYFUNCTION("GOOGLETRANSLATE(D16, ""en"", ""fr"")"),"C) S'approcher et toucher l'épaule du champion")</f>
        <v>C) S'approcher et toucher l'épaule du champion</v>
      </c>
      <c r="K16" s="5" t="str">
        <f>IFERROR(__xludf.DUMMYFUNCTION("GOOGLETRANSLATE(E16, ""en"", ""fr"")"),"La méthode traditionnelle pour défier un adversaire consiste en une simple tape respectueuse sur l'épaule du lutteur qu'ils souhaitent affronter.")</f>
        <v>La méthode traditionnelle pour défier un adversaire consiste en une simple tape respectueuse sur l'épaule du lutteur qu'ils souhaitent affronter.</v>
      </c>
    </row>
    <row r="17" ht="22.5" customHeight="1">
      <c r="A17" s="3">
        <v>16.0</v>
      </c>
      <c r="B17" s="4" t="s">
        <v>1186</v>
      </c>
      <c r="C17" s="4" t="s">
        <v>1187</v>
      </c>
      <c r="D17" s="4" t="s">
        <v>1188</v>
      </c>
      <c r="E17" s="4" t="s">
        <v>1189</v>
      </c>
      <c r="G17" s="5" t="str">
        <f>IFERROR(__xludf.DUMMYFUNCTION("GOOGLETRANSLATE(A17, ""en"", ""fr"")"),"16")</f>
        <v>16</v>
      </c>
      <c r="H17" s="5" t="str">
        <f>IFERROR(__xludf.DUMMYFUNCTION("GOOGLETRANSLATE(B17, ""en"", ""fr"")"),"La Fédération internationale de lutte celtique (FILC) inclut le Gouren et quel autre style majeur ?")</f>
        <v>La Fédération internationale de lutte celtique (FILC) inclut le Gouren et quel autre style majeur ?</v>
      </c>
      <c r="I17" s="5" t="str">
        <f>IFERROR(__xludf.DUMMYFUNCTION("GOOGLETRANSLATE(C17, ""en"", ""fr"")"),"A) Le sumo du Japon, B) La lutte cornique de Grande-Bretagne, C) Le glima d'Islande, D) B et C")</f>
        <v>A) Le sumo du Japon, B) La lutte cornique de Grande-Bretagne, C) Le glima d'Islande, D) B et C</v>
      </c>
      <c r="J17" s="5" t="str">
        <f>IFERROR(__xludf.DUMMYFUNCTION("GOOGLETRANSLATE(D17, ""en"", ""fr"")"),"D) B et C")</f>
        <v>D) B et C</v>
      </c>
      <c r="K17" s="5" t="str">
        <f>IFERROR(__xludf.DUMMYFUNCTION("GOOGLETRANSLATE(E17, ""en"", ""fr"")"),"La FILC réunit les traditions de lutte des nations celtiques et nordiques, notamment les styles cornique, écossais et islandais, ainsi que le Gouren.")</f>
        <v>La FILC réunit les traditions de lutte des nations celtiques et nordiques, notamment les styles cornique, écossais et islandais, ainsi que le Gouren.</v>
      </c>
    </row>
    <row r="18" ht="22.5" customHeight="1">
      <c r="A18" s="3">
        <v>17.0</v>
      </c>
      <c r="B18" s="4" t="s">
        <v>1190</v>
      </c>
      <c r="C18" s="4" t="s">
        <v>1191</v>
      </c>
      <c r="D18" s="4" t="s">
        <v>1192</v>
      </c>
      <c r="E18" s="4" t="s">
        <v>1193</v>
      </c>
      <c r="G18" s="5" t="str">
        <f>IFERROR(__xludf.DUMMYFUNCTION("GOOGLETRANSLATE(A18, ""en"", ""fr"")"),"17")</f>
        <v>17</v>
      </c>
      <c r="H18" s="5" t="str">
        <f>IFERROR(__xludf.DUMMYFUNCTION("GOOGLETRANSLATE(B18, ""en"", ""fr"")"),"Un lutteur effectue une projection qui se solde par un Kostin. Quelles conséquences cela aura-t-il sur le déroulement du match ?")</f>
        <v>Un lutteur effectue une projection qui se solde par un Kostin. Quelles conséquences cela aura-t-il sur le déroulement du match ?</v>
      </c>
      <c r="I18" s="5" t="str">
        <f>IFERROR(__xludf.DUMMYFUNCTION("GOOGLETRANSLATE(C18, ""en"", ""fr"")"),"A) Le lutteur remporte immédiatement le match. B) Le match se termine par un match nul. C) Le lutteur est désormais en tête et ne peut être vaincu que si son adversaire marque un point. D) Le lutteur perd le round.")</f>
        <v>A) Le lutteur remporte immédiatement le match. B) Le match se termine par un match nul. C) Le lutteur est désormais en tête et ne peut être vaincu que si son adversaire marque un point. D) Le lutteur perd le round.</v>
      </c>
      <c r="J18" s="5" t="str">
        <f>IFERROR(__xludf.DUMMYFUNCTION("GOOGLETRANSLATE(D18, ""en"", ""fr"")"),"C) Le lutteur est maintenant en train de gagner et ne peut être vaincu que si son adversaire marque un Lamm")</f>
        <v>C) Le lutteur est maintenant en train de gagner et ne peut être vaincu que si son adversaire marque un Lamm</v>
      </c>
      <c r="K18" s="5" t="str">
        <f>IFERROR(__xludf.DUMMYFUNCTION("GOOGLETRANSLATE(E18, ""en"", ""fr"")"),"Un Kostin est un résultat important qui donne l'avantage au lutteur. Un résultat moindre (comme un Kein) de l'adversaire ne suffira pas pour gagner.")</f>
        <v>Un Kostin est un résultat important qui donne l'avantage au lutteur. Un résultat moindre (comme un Kein) de l'adversaire ne suffira pas pour gagner.</v>
      </c>
    </row>
    <row r="19" ht="22.5" customHeight="1">
      <c r="A19" s="3">
        <v>18.0</v>
      </c>
      <c r="B19" s="4" t="s">
        <v>1194</v>
      </c>
      <c r="C19" s="4" t="s">
        <v>1195</v>
      </c>
      <c r="D19" s="4" t="s">
        <v>1196</v>
      </c>
      <c r="E19" s="4" t="s">
        <v>1197</v>
      </c>
      <c r="G19" s="5" t="str">
        <f>IFERROR(__xludf.DUMMYFUNCTION("GOOGLETRANSLATE(A19, ""en"", ""fr"")"),"18")</f>
        <v>18</v>
      </c>
      <c r="H19" s="5" t="str">
        <f>IFERROR(__xludf.DUMMYFUNCTION("GOOGLETRANSLATE(B19, ""en"", ""fr"")"),"Quel est le rôle des skoliou (écoles de Gouren) dans un grand tournoi ?")</f>
        <v>Quel est le rôle des skoliou (écoles de Gouren) dans un grand tournoi ?</v>
      </c>
      <c r="I19" s="5" t="str">
        <f>IFERROR(__xludf.DUMMYFUNCTION("GOOGLETRANSLATE(C19, ""en"", ""fr"")"),"A) Fournir du personnel médical, B) Faire office d'arbitres, C) Gérer stratégiquement leurs lutteurs dans le tableau pour éviter qu'ils ne s'affrontent en début de tournoi, D) Vendre des billets")</f>
        <v>A) Fournir du personnel médical, B) Faire office d'arbitres, C) Gérer stratégiquement leurs lutteurs dans le tableau pour éviter qu'ils ne s'affrontent en début de tournoi, D) Vendre des billets</v>
      </c>
      <c r="J19" s="5" t="str">
        <f>IFERROR(__xludf.DUMMYFUNCTION("GOOGLETRANSLATE(D19, ""en"", ""fr"")"),"C) Gérer stratégiquement leurs lutteurs dans le tableau pour éviter qu'ils ne s'affrontent entre eux dès le début.")</f>
        <v>C) Gérer stratégiquement leurs lutteurs dans le tableau pour éviter qu'ils ne s'affrontent entre eux dès le début.</v>
      </c>
      <c r="K19" s="5" t="str">
        <f>IFERROR(__xludf.DUMMYFUNCTION("GOOGLETRANSLATE(E19, ""en"", ""fr"")"),"Il s'agit d'un élément clé de la stratégie de l'équipe, garantissant à l'école les meilleures chances de qualifier un lutteur pour les phases finales.")</f>
        <v>Il s'agit d'un élément clé de la stratégie de l'équipe, garantissant à l'école les meilleures chances de qualifier un lutteur pour les phases finales.</v>
      </c>
    </row>
    <row r="20" ht="22.5" customHeight="1">
      <c r="A20" s="3">
        <v>19.0</v>
      </c>
      <c r="B20" s="4" t="s">
        <v>1198</v>
      </c>
      <c r="C20" s="4" t="s">
        <v>1199</v>
      </c>
      <c r="D20" s="4" t="s">
        <v>1200</v>
      </c>
      <c r="E20" s="4" t="s">
        <v>1201</v>
      </c>
      <c r="G20" s="5" t="str">
        <f>IFERROR(__xludf.DUMMYFUNCTION("GOOGLETRANSLATE(A20, ""en"", ""fr"")"),"19")</f>
        <v>19</v>
      </c>
      <c r="H20" s="5" t="str">
        <f>IFERROR(__xludf.DUMMYFUNCTION("GOOGLETRANSLATE(B20, ""en"", ""fr"")"),"Un lutteur est pénalisé pour avoir utilisé son genou afin de bloquer un balayage de jambe de son adversaire. Cette décision est-elle justifiée ?")</f>
        <v>Un lutteur est pénalisé pour avoir utilisé son genou afin de bloquer un balayage de jambe de son adversaire. Cette décision est-elle justifiée ?</v>
      </c>
      <c r="I20" s="5" t="str">
        <f>IFERROR(__xludf.DUMMYFUNCTION("GOOGLETRANSLATE(C20, ""en"", ""fr"")"),"A) Non, ce blocage est légal. B) Oui, utiliser le genou comme point d'appui pour frapper ou bloquer est illégal. C) Uniquement si cela provoque une blessure. D) Uniquement si l'arbitre le voit.")</f>
        <v>A) Non, ce blocage est légal. B) Oui, utiliser le genou comme point d'appui pour frapper ou bloquer est illégal. C) Uniquement si cela provoque une blessure. D) Uniquement si l'arbitre le voit.</v>
      </c>
      <c r="J20" s="5" t="str">
        <f>IFERROR(__xludf.DUMMYFUNCTION("GOOGLETRANSLATE(D20, ""en"", ""fr"")"),"B) Oui, utiliser le genou comme « point d'appui » pour frapper ou bloquer est illégal.")</f>
        <v>B) Oui, utiliser le genou comme « point d'appui » pour frapper ou bloquer est illégal.</v>
      </c>
      <c r="K20" s="5" t="str">
        <f>IFERROR(__xludf.DUMMYFUNCTION("GOOGLETRANSLATE(E20, ""en"", ""fr"")"),"Un lutteur doit utiliser ses pieds et le mouvement de ses jambes pour les balayages et les blocages, et non la pointe du genou.")</f>
        <v>Un lutteur doit utiliser ses pieds et le mouvement de ses jambes pour les balayages et les blocages, et non la pointe du genou.</v>
      </c>
    </row>
    <row r="21" ht="22.5" customHeight="1">
      <c r="A21" s="3">
        <v>20.0</v>
      </c>
      <c r="B21" s="4" t="s">
        <v>1202</v>
      </c>
      <c r="C21" s="4" t="s">
        <v>1203</v>
      </c>
      <c r="D21" s="4" t="s">
        <v>1204</v>
      </c>
      <c r="E21" s="4" t="s">
        <v>1205</v>
      </c>
      <c r="G21" s="5" t="str">
        <f>IFERROR(__xludf.DUMMYFUNCTION("GOOGLETRANSLATE(A21, ""en"", ""fr"")"),"20")</f>
        <v>20</v>
      </c>
      <c r="H21" s="5" t="str">
        <f>IFERROR(__xludf.DUMMYFUNCTION("GOOGLETRANSLATE(B21, ""en"", ""fr"")"),"Si un lutteur est blessé suite à une projection légale de son adversaire et ne peut plus continuer, quelle est la conséquence ?")</f>
        <v>Si un lutteur est blessé suite à une projection légale de son adversaire et ne peut plus continuer, quelle est la conséquence ?</v>
      </c>
      <c r="I21" s="5" t="str">
        <f>IFERROR(__xludf.DUMMYFUNCTION("GOOGLETRANSLATE(C21, ""en"", ""fr"")"),"A) L'adversaire est pénalisé. B) Le lutteur blessé remporte le match. C) Le lutteur blessé perd le match par abandon. D) Le match est déclaré nul.")</f>
        <v>A) L'adversaire est pénalisé. B) Le lutteur blessé remporte le match. C) Le lutteur blessé perd le match par abandon. D) Le match est déclaré nul.</v>
      </c>
      <c r="J21" s="5" t="str">
        <f>IFERROR(__xludf.DUMMYFUNCTION("GOOGLETRANSLATE(D21, ""en"", ""fr"")"),"C) Le lutteur blessé perd le match par abandon.")</f>
        <v>C) Le lutteur blessé perd le match par abandon.</v>
      </c>
      <c r="K21" s="5" t="str">
        <f>IFERROR(__xludf.DUMMYFUNCTION("GOOGLETRANSLATE(E21, ""en"", ""fr"")"),"Si un lutteur est dans l'incapacité de continuer en raison d'une blessure subie suite à une technique légale, il doit abandonner et son adversaire est déclaré vainqueur.")</f>
        <v>Si un lutteur est dans l'incapacité de continuer en raison d'une blessure subie suite à une technique légale, il doit abandonner et son adversaire est déclaré vainqueur.</v>
      </c>
    </row>
    <row r="22" ht="22.5" customHeight="1">
      <c r="A22" s="3">
        <v>21.0</v>
      </c>
      <c r="B22" s="4" t="s">
        <v>1206</v>
      </c>
      <c r="C22" s="4" t="s">
        <v>1207</v>
      </c>
      <c r="D22" s="4" t="s">
        <v>1208</v>
      </c>
      <c r="E22" s="4" t="s">
        <v>1209</v>
      </c>
      <c r="G22" s="5" t="str">
        <f>IFERROR(__xludf.DUMMYFUNCTION("GOOGLETRANSLATE(A22, ""en"", ""fr"")"),"21")</f>
        <v>21</v>
      </c>
      <c r="H22" s="5" t="str">
        <f>IFERROR(__xludf.DUMMYFUNCTION("GOOGLETRANSLATE(B22, ""en"", ""fr"")"),"Un lutteur est surpris avec du ruban adhésif sur les mains, collé illégalement. Quelles sont les conséquences ?")</f>
        <v>Un lutteur est surpris avec du ruban adhésif sur les mains, collé illégalement. Quelles sont les conséquences ?</v>
      </c>
      <c r="I22" s="5" t="str">
        <f>IFERROR(__xludf.DUMMYFUNCTION("GOOGLETRANSLATE(C22, ""en"", ""fr"")"),"A) La bande est retirée et un avertissement est donné, B) Le lutteur est immédiatement disqualifié pour tricherie, C) L'adversaire se voit attribuer 5 points, D) Le round est rejoué")</f>
        <v>A) La bande est retirée et un avertissement est donné, B) Le lutteur est immédiatement disqualifié pour tricherie, C) L'adversaire se voit attribuer 5 points, D) Le round est rejoué</v>
      </c>
      <c r="J22" s="5" t="str">
        <f>IFERROR(__xludf.DUMMYFUNCTION("GOOGLETRANSLATE(D22, ""en"", ""fr"")"),"B) Le lutteur est immédiatement disqualifié pour tricherie.")</f>
        <v>B) Le lutteur est immédiatement disqualifié pour tricherie.</v>
      </c>
      <c r="K22" s="5" t="str">
        <f>IFERROR(__xludf.DUMMYFUNCTION("GOOGLETRANSLATE(E22, ""en"", ""fr"")"),"Toute altération de l'équipement ou tout collage d'adhésif visant à créer une arme ou un avantage indu constitue une violation majeure et entraîne la disqualification.")</f>
        <v>Toute altération de l'équipement ou tout collage d'adhésif visant à créer une arme ou un avantage indu constitue une violation majeure et entraîne la disqualification.</v>
      </c>
    </row>
    <row r="23" ht="22.5" customHeight="1">
      <c r="A23" s="3">
        <v>22.0</v>
      </c>
      <c r="B23" s="4" t="s">
        <v>1210</v>
      </c>
      <c r="C23" s="4" t="s">
        <v>1211</v>
      </c>
      <c r="D23" s="4" t="s">
        <v>1212</v>
      </c>
      <c r="E23" s="4" t="s">
        <v>1213</v>
      </c>
      <c r="G23" s="5" t="str">
        <f>IFERROR(__xludf.DUMMYFUNCTION("GOOGLETRANSLATE(A23, ""en"", ""fr"")"),"22")</f>
        <v>22</v>
      </c>
      <c r="H23" s="5" t="str">
        <f>IFERROR(__xludf.DUMMYFUNCTION("GOOGLETRANSLATE(B23, ""en"", ""fr"")"),"Pourquoi la lutte au sol ne fait-elle pas partie du Gouren ?")</f>
        <v>Pourquoi la lutte au sol ne fait-elle pas partie du Gouren ?</v>
      </c>
      <c r="I23" s="5" t="str">
        <f>IFERROR(__xludf.DUMMYFUNCTION("GOOGLETRANSLATE(C23, ""en"", ""fr"")"),"A) Les tapis sont trop durs, B) C'est considéré comme moins technique, C) La tradition est basée sur le combat militaire, où tomber au sol était souvent fatal, D) Cela rallongerait trop les combats")</f>
        <v>A) Les tapis sont trop durs, B) C'est considéré comme moins technique, C) La tradition est basée sur le combat militaire, où tomber au sol était souvent fatal, D) Cela rallongerait trop les combats</v>
      </c>
      <c r="J23" s="5" t="str">
        <f>IFERROR(__xludf.DUMMYFUNCTION("GOOGLETRANSLATE(D23, ""en"", ""fr"")"),"C) Cette tradition est fondée sur les combats militaires, où le fait de se mettre à terre était souvent fatal.")</f>
        <v>C) Cette tradition est fondée sur les combats militaires, où le fait de se mettre à terre était souvent fatal.</v>
      </c>
      <c r="K23" s="5" t="str">
        <f>IFERROR(__xludf.DUMMYFUNCTION("GOOGLETRANSLATE(E23, ""en"", ""fr"")"),"L'objectif était de projeter un adversaire au sol et de rester debout, prêt à affronter le suivant. Être au sol représentait une position d'extrême vulnérabilité au combat.")</f>
        <v>L'objectif était de projeter un adversaire au sol et de rester debout, prêt à affronter le suivant. Être au sol représentait une position d'extrême vulnérabilité au combat.</v>
      </c>
    </row>
    <row r="24" ht="22.5" customHeight="1">
      <c r="A24" s="3">
        <v>23.0</v>
      </c>
      <c r="B24" s="4" t="s">
        <v>1214</v>
      </c>
      <c r="C24" s="4" t="s">
        <v>1215</v>
      </c>
      <c r="D24" s="4" t="s">
        <v>1216</v>
      </c>
      <c r="E24" s="4" t="s">
        <v>1217</v>
      </c>
      <c r="G24" s="5" t="str">
        <f>IFERROR(__xludf.DUMMYFUNCTION("GOOGLETRANSLATE(A24, ""en"", ""fr"")"),"23")</f>
        <v>23</v>
      </c>
      <c r="H24" s="5" t="str">
        <f>IFERROR(__xludf.DUMMYFUNCTION("GOOGLETRANSLATE(B24, ""en"", ""fr"")"),"Un lutteur exécute un Lamm parfait, mais son pied se trouve sur la ligne de bord du tapis (pallenn). Quel est le résultat ?")</f>
        <v>Un lutteur exécute un Lamm parfait, mais son pied se trouve sur la ligne de bord du tapis (pallenn). Quel est le résultat ?</v>
      </c>
      <c r="I24" s="5" t="str">
        <f>IFERROR(__xludf.DUMMYFUNCTION("GOOGLETRANSLATE(C24, ""en"", ""fr"")"),"A) Le Lamm est valide, B) Le lancer est invalide pour violation des limites du terrain et le match est réinitialisé, C) Un Kostin est accordé à la place, D) Le match est rejoué")</f>
        <v>A) Le Lamm est valide, B) Le lancer est invalide pour violation des limites du terrain et le match est réinitialisé, C) Un Kostin est accordé à la place, D) Le match est rejoué</v>
      </c>
      <c r="J24" s="5" t="str">
        <f>IFERROR(__xludf.DUMMYFUNCTION("GOOGLETRANSLATE(D24, ""en"", ""fr"")"),"B) Le lancer est invalide en raison d'une violation de limite, et le match est réinitialisé.")</f>
        <v>B) Le lancer est invalide en raison d'une violation de limite, et le match est réinitialisé.</v>
      </c>
      <c r="K24" s="5" t="str">
        <f>IFERROR(__xludf.DUMMYFUNCTION("GOOGLETRANSLATE(E24, ""en"", ""fr"")"),"Toutes les actions de score doivent être effectuées alors que les deux lutteurs se trouvent entièrement à l'intérieur de la zone de combat désignée.")</f>
        <v>Toutes les actions de score doivent être effectuées alors que les deux lutteurs se trouvent entièrement à l'intérieur de la zone de combat désignée.</v>
      </c>
    </row>
    <row r="25" ht="22.5" customHeight="1">
      <c r="A25" s="3">
        <v>24.0</v>
      </c>
      <c r="B25" s="4" t="s">
        <v>1218</v>
      </c>
      <c r="C25" s="4" t="s">
        <v>1219</v>
      </c>
      <c r="D25" s="4" t="s">
        <v>1220</v>
      </c>
      <c r="E25" s="4" t="s">
        <v>1221</v>
      </c>
      <c r="G25" s="5" t="str">
        <f>IFERROR(__xludf.DUMMYFUNCTION("GOOGLETRANSLATE(A25, ""en"", ""fr"")"),"24")</f>
        <v>24</v>
      </c>
      <c r="H25" s="5" t="str">
        <f>IFERROR(__xludf.DUMMYFUNCTION("GOOGLETRANSLATE(B25, ""en"", ""fr"")"),"L'arbitre central signale un Lamm, mais un juge de coin signale un Kostin et l'autre un Netra. Quelle est la décision finale ?")</f>
        <v>L'arbitre central signale un Lamm, mais un juge de coin signale un Kostin et l'autre un Netra. Quelle est la décision finale ?</v>
      </c>
      <c r="I25" s="5" t="str">
        <f>IFERROR(__xludf.DUMMYFUNCTION("GOOGLETRANSLATE(C25, ""en"", ""fr"")"),"A) C'est un Lamm, car l'arbitre central est le chef, B) C'est un Kostin, basé sur le vote majoritaire, C) Le match est rejoué, D) Le jet est un Netra (pas de résultat)")</f>
        <v>A) C'est un Lamm, car l'arbitre central est le chef, B) C'est un Kostin, basé sur le vote majoritaire, C) Le match est rejoué, D) Le jet est un Netra (pas de résultat)</v>
      </c>
      <c r="J25" s="5" t="str">
        <f>IFERROR(__xludf.DUMMYFUNCTION("GOOGLETRANSLATE(D25, ""en"", ""fr"")"),"B) C'est un Kostin, basé sur le vote majoritaire")</f>
        <v>B) C'est un Kostin, basé sur le vote majoritaire</v>
      </c>
      <c r="K25" s="5" t="str">
        <f>IFERROR(__xludf.DUMMYFUNCTION("GOOGLETRANSLATE(E25, ""en"", ""fr"")"),"La décision finale est prise à la majorité des voix des trois officiels. En l'occurrence, deux des trois n'ont pas constaté de chute parfaite, le résultat est donc un Kostin.")</f>
        <v>La décision finale est prise à la majorité des voix des trois officiels. En l'occurrence, deux des trois n'ont pas constaté de chute parfaite, le résultat est donc un Kostin.</v>
      </c>
    </row>
    <row r="26" ht="22.5" customHeight="1">
      <c r="A26" s="3">
        <v>25.0</v>
      </c>
      <c r="B26" s="4" t="s">
        <v>1222</v>
      </c>
      <c r="C26" s="4" t="s">
        <v>1223</v>
      </c>
      <c r="D26" s="4" t="s">
        <v>1224</v>
      </c>
      <c r="E26" s="4" t="s">
        <v>1225</v>
      </c>
      <c r="G26" s="5" t="str">
        <f>IFERROR(__xludf.DUMMYFUNCTION("GOOGLETRANSLATE(A26, ""en"", ""fr"")"),"25")</f>
        <v>25</v>
      </c>
      <c r="H26" s="5" t="str">
        <f>IFERROR(__xludf.DUMMYFUNCTION("GOOGLETRANSLATE(B26, ""en"", ""fr"")"),"Après une défaite, un lutteur refuse d'effectuer la danse traditionnelle d'après-match avec le vainqueur. Quelle en est la conséquence possible ?")</f>
        <v>Après une défaite, un lutteur refuse d'effectuer la danse traditionnelle d'après-match avec le vainqueur. Quelle en est la conséquence possible ?</v>
      </c>
      <c r="I26" s="5" t="str">
        <f>IFERROR(__xludf.DUMMYFUNCTION("GOOGLETRANSLATE(C26, ""en"", ""fr"")"),"A) Rien, c'est leur choix. B) L'arbitre peut prononcer une disqualification (divrud) pour manque de respect flagrant. C) Le résultat du match est annulé. D) Le lutteur doit payer une amende.")</f>
        <v>A) Rien, c'est leur choix. B) L'arbitre peut prononcer une disqualification (divrud) pour manque de respect flagrant. C) Le résultat du match est annulé. D) Le lutteur doit payer une amende.</v>
      </c>
      <c r="J26" s="5" t="str">
        <f>IFERROR(__xludf.DUMMYFUNCTION("GOOGLETRANSLATE(D26, ""en"", ""fr"")"),"B) L'arbitre peut prononcer un Divrud (disqualification du tournoi) pour manque de respect flagrant.")</f>
        <v>B) L'arbitre peut prononcer un Divrud (disqualification du tournoi) pour manque de respect flagrant.</v>
      </c>
      <c r="K26" s="5" t="str">
        <f>IFERROR(__xludf.DUMMYFUNCTION("GOOGLETRANSLATE(E26, ""en"", ""fr"")"),"La dornade est un signe de respect obligatoire. La refuser constitue une violation grave du code d'éthique du sport et peut entraîner l'exclusion.")</f>
        <v>La dornade est un signe de respect obligatoire. La refuser constitue une violation grave du code d'éthique du sport et peut entraîner l'exclusion.</v>
      </c>
    </row>
    <row r="27" ht="22.5" customHeight="1">
      <c r="A27" s="3">
        <v>26.0</v>
      </c>
      <c r="B27" s="4" t="s">
        <v>1226</v>
      </c>
      <c r="C27" s="4" t="s">
        <v>1227</v>
      </c>
      <c r="D27" s="4" t="s">
        <v>1228</v>
      </c>
      <c r="E27" s="4" t="s">
        <v>1229</v>
      </c>
      <c r="G27" s="5" t="str">
        <f>IFERROR(__xludf.DUMMYFUNCTION("GOOGLETRANSLATE(A27, ""en"", ""fr"")"),"26")</f>
        <v>26</v>
      </c>
      <c r="H27" s="5" t="str">
        <f>IFERROR(__xludf.DUMMYFUNCTION("GOOGLETRANSLATE(B27, ""en"", ""fr"")"),"Quelle est la principale caractéristique d'un kliked ?")</f>
        <v>Quelle est la principale caractéristique d'un kliked ?</v>
      </c>
      <c r="I27" s="5" t="str">
        <f>IFERROR(__xludf.DUMMYFUNCTION("GOOGLETRANSLATE(C27, ""en"", ""fr"")"),"A) C'est un balayage de jambe, B) C'est un lancer puissant en rotation ou en roulade, C) C'est un mouvement défensif, D) C'est un soulèvement depuis le sol")</f>
        <v>A) C'est un balayage de jambe, B) C'est un lancer puissant en rotation ou en roulade, C) C'est un mouvement défensif, D) C'est un soulèvement depuis le sol</v>
      </c>
      <c r="J27" s="5" t="str">
        <f>IFERROR(__xludf.DUMMYFUNCTION("GOOGLETRANSLATE(D27, ""en"", ""fr"")"),"B) Il s'agit d'un puissant mouvement d'enroulement ou de roulement")</f>
        <v>B) Il s'agit d'un puissant mouvement d'enroulement ou de roulement</v>
      </c>
      <c r="K27" s="5" t="str">
        <f>IFERROR(__xludf.DUMMYFUNCTION("GOOGLETRANSLATE(E27, ""en"", ""fr"")"),"Le kliked est une projection rotative dynamique qui est l'une des techniques emblématiques de Gouren, nécessitant une grande habileté pour être exécutée.")</f>
        <v>Le kliked est une projection rotative dynamique qui est l'une des techniques emblématiques de Gouren, nécessitant une grande habileté pour être exécutée.</v>
      </c>
    </row>
    <row r="28" ht="22.5" customHeight="1">
      <c r="A28" s="3">
        <v>27.0</v>
      </c>
      <c r="B28" s="4" t="s">
        <v>1230</v>
      </c>
      <c r="C28" s="4" t="s">
        <v>1231</v>
      </c>
      <c r="D28" s="4" t="s">
        <v>1232</v>
      </c>
      <c r="E28" s="4" t="s">
        <v>1233</v>
      </c>
      <c r="G28" s="5" t="str">
        <f>IFERROR(__xludf.DUMMYFUNCTION("GOOGLETRANSLATE(A28, ""en"", ""fr"")"),"27")</f>
        <v>27</v>
      </c>
      <c r="H28" s="5" t="str">
        <f>IFERROR(__xludf.DUMMYFUNCTION("GOOGLETRANSLATE(B28, ""en"", ""fr"")"),"Un lutteur reçoit un avertissement pour avoir utilisé la prise de son adversaire pour l'étrangler. Est-ce une décision justifiée ?")</f>
        <v>Un lutteur reçoit un avertissement pour avoir utilisé la prise de son adversaire pour l'étrangler. Est-ce une décision justifiée ?</v>
      </c>
      <c r="I28" s="5" t="str">
        <f>IFERROR(__xludf.DUMMYFUNCTION("GOOGLETRANSLATE(C28, ""en"", ""fr"")"),"A) Non, il s'agit d'une technique d'étranglement par le revers légale. B) Oui, utiliser l'uniforme pour étrangler un adversaire est une faute illégale et dangereuse. C) Uniquement si l'adversaire perd connaissance. D) C'est légal, mais mal vu.")</f>
        <v>A) Non, il s'agit d'une technique d'étranglement par le revers légale. B) Oui, utiliser l'uniforme pour étrangler un adversaire est une faute illégale et dangereuse. C) Uniquement si l'adversaire perd connaissance. D) C'est légal, mais mal vu.</v>
      </c>
      <c r="J28" s="5" t="str">
        <f>IFERROR(__xludf.DUMMYFUNCTION("GOOGLETRANSLATE(D28, ""en"", ""fr"")"),"B) Oui, utiliser son uniforme pour étrangler un adversaire est une faute illégale et dangereuse.")</f>
        <v>B) Oui, utiliser son uniforme pour étrangler un adversaire est une faute illégale et dangereuse.</v>
      </c>
      <c r="K28" s="5" t="str">
        <f>IFERROR(__xludf.DUMMYFUNCTION("GOOGLETRANSLATE(E28, ""en"", ""fr"")"),"Cette veste est uniquement destinée à la préhension et au lancer. L'utiliser comme une ligature pour étrangler un adversaire constitue une faute grave.")</f>
        <v>Cette veste est uniquement destinée à la préhension et au lancer. L'utiliser comme une ligature pour étrangler un adversaire constitue une faute grave.</v>
      </c>
    </row>
    <row r="29" ht="22.5" customHeight="1">
      <c r="A29" s="3">
        <v>28.0</v>
      </c>
      <c r="B29" s="4" t="s">
        <v>1234</v>
      </c>
      <c r="C29" s="4" t="s">
        <v>1235</v>
      </c>
      <c r="D29" s="4" t="s">
        <v>1236</v>
      </c>
      <c r="E29" s="4" t="s">
        <v>1237</v>
      </c>
      <c r="G29" s="5" t="str">
        <f>IFERROR(__xludf.DUMMYFUNCTION("GOOGLETRANSLATE(A29, ""en"", ""fr"")"),"28")</f>
        <v>28</v>
      </c>
      <c r="H29" s="5" t="str">
        <f>IFERROR(__xludf.DUMMYFUNCTION("GOOGLETRANSLATE(B29, ""en"", ""fr"")"),"Quelle est la principale raison de la coupe mi-longue spécifique du bragoù (pantalon) ?")</f>
        <v>Quelle est la principale raison de la coupe mi-longue spécifique du bragoù (pantalon) ?</v>
      </c>
      <c r="I29" s="5" t="str">
        <f>IFERROR(__xludf.DUMMYFUNCTION("GOOGLETRANSLATE(C29, ""en"", ""fr"")"),"A) C'est une mode moderne, B) Pour que les jambes et les pieds des lutteurs soient visibles afin de juger les techniques de jambes, C) C'est plus frais en été, D) Cela permet d'économiser du matériel")</f>
        <v>A) C'est une mode moderne, B) Pour que les jambes et les pieds des lutteurs soient visibles afin de juger les techniques de jambes, C) C'est plus frais en été, D) Cela permet d'économiser du matériel</v>
      </c>
      <c r="J29" s="5" t="str">
        <f>IFERROR(__xludf.DUMMYFUNCTION("GOOGLETRANSLATE(D29, ""en"", ""fr"")"),"B) Afin de garantir que les jambes et les pieds des lutteurs soient visibles pour l'évaluation des techniques de jambes")</f>
        <v>B) Afin de garantir que les jambes et les pieds des lutteurs soient visibles pour l'évaluation des techniques de jambes</v>
      </c>
      <c r="K29" s="5" t="str">
        <f>IFERROR(__xludf.DUMMYFUNCTION("GOOGLETRANSLATE(E29, ""en"", ""fr"")"),"La longueur du pantalon est spécifiée afin de permettre aux arbitres d'avoir une vue dégagée sur les actions complexes et légales de balayage et de croche-pied.")</f>
        <v>La longueur du pantalon est spécifiée afin de permettre aux arbitres d'avoir une vue dégagée sur les actions complexes et légales de balayage et de croche-pied.</v>
      </c>
    </row>
    <row r="30" ht="22.5" customHeight="1">
      <c r="A30" s="3">
        <v>29.0</v>
      </c>
      <c r="B30" s="4" t="s">
        <v>1238</v>
      </c>
      <c r="C30" s="4" t="s">
        <v>1239</v>
      </c>
      <c r="D30" s="4" t="s">
        <v>1240</v>
      </c>
      <c r="E30" s="4" t="s">
        <v>1241</v>
      </c>
      <c r="G30" s="5" t="str">
        <f>IFERROR(__xludf.DUMMYFUNCTION("GOOGLETRANSLATE(A30, ""en"", ""fr"")"),"29")</f>
        <v>29</v>
      </c>
      <c r="H30" s="5" t="str">
        <f>IFERROR(__xludf.DUMMYFUNCTION("GOOGLETRANSLATE(B30, ""en"", ""fr"")"),"Un lutteur est pénalisé pour passivité excessive. Que doit-il faire pour éviter d'autres sanctions ?")</f>
        <v>Un lutteur est pénalisé pour passivité excessive. Que doit-il faire pour éviter d'autres sanctions ?</v>
      </c>
      <c r="I30" s="5" t="str">
        <f>IFERROR(__xludf.DUMMYFUNCTION("GOOGLETRANSLATE(C30, ""en"", ""fr"")"),"A) Se défendre plus efficacement, B) Tenter davantage de projections, C) Communiquer avec l'arbitre, D) Pousser son adversaire")</f>
        <v>A) Se défendre plus efficacement, B) Tenter davantage de projections, C) Communiquer avec l'arbitre, D) Pousser son adversaire</v>
      </c>
      <c r="J30" s="5" t="str">
        <f>IFERROR(__xludf.DUMMYFUNCTION("GOOGLETRANSLATE(D30, ""en"", ""fr"")"),"B) Augmentez vos tentatives de lancer.")</f>
        <v>B) Augmentez vos tentatives de lancer.</v>
      </c>
      <c r="K30" s="5" t="str">
        <f>IFERROR(__xludf.DUMMYFUNCTION("GOOGLETRANSLATE(E30, ""en"", ""fr"")"),"Pour éviter d'être pénalisé pour passivité, un lutteur doit démontrer une intention offensive claire en essayant activement de déséquilibrer et de projeter son adversaire.")</f>
        <v>Pour éviter d'être pénalisé pour passivité, un lutteur doit démontrer une intention offensive claire en essayant activement de déséquilibrer et de projeter son adversaire.</v>
      </c>
    </row>
    <row r="31" ht="22.5" customHeight="1">
      <c r="A31" s="3">
        <v>30.0</v>
      </c>
      <c r="B31" s="4" t="s">
        <v>1242</v>
      </c>
      <c r="C31" s="4" t="s">
        <v>1243</v>
      </c>
      <c r="D31" s="4" t="s">
        <v>1244</v>
      </c>
      <c r="E31" s="4" t="s">
        <v>1245</v>
      </c>
      <c r="G31" s="5" t="str">
        <f>IFERROR(__xludf.DUMMYFUNCTION("GOOGLETRANSLATE(A31, ""en"", ""fr"")"),"30")</f>
        <v>30</v>
      </c>
      <c r="H31" s="5" t="str">
        <f>IFERROR(__xludf.DUMMYFUNCTION("GOOGLETRANSLATE(B31, ""en"", ""fr"")"),"La finale d'un tournoi oppose deux lutteurs du même club. Quel est le résultat probable ?")</f>
        <v>La finale d'un tournoi oppose deux lutteurs du même club. Quel est le résultat probable ?</v>
      </c>
      <c r="I31" s="5" t="str">
        <f>IFERROR(__xludf.DUMMYFUNCTION("GOOGLETRANSLATE(C31, ""en"", ""fr"")"),"A) Ils seront disqualifiés, B) Ils pourraient décider de partager le prix plutôt que de se battre avec un coéquipier, C) Le match sera plus agressif que d'habitude, D) Les règles sont différentes pour les coéquipiers")</f>
        <v>A) Ils seront disqualifiés, B) Ils pourraient décider de partager le prix plutôt que de se battre avec un coéquipier, C) Le match sera plus agressif que d'habitude, D) Les règles sont différentes pour les coéquipiers</v>
      </c>
      <c r="J31" s="5" t="str">
        <f>IFERROR(__xludf.DUMMYFUNCTION("GOOGLETRANSLATE(D31, ""en"", ""fr"")"),"B) Ils pourraient décider de partager le prix plutôt que de se battre avec un coéquipier.")</f>
        <v>B) Ils pourraient décider de partager le prix plutôt que de se battre avec un coéquipier.</v>
      </c>
      <c r="K31" s="5" t="str">
        <f>IFERROR(__xludf.DUMMYFUNCTION("GOOGLETRANSLATE(E31, ""en"", ""fr"")"),"Il est courant et respecté que les lutteurs d'une même école refusent de s'affronter en finale, partageant souvent l'honneur et le prix.")</f>
        <v>Il est courant et respecté que les lutteurs d'une même école refusent de s'affronter en finale, partageant souvent l'honneur et le prix.</v>
      </c>
    </row>
    <row r="32" ht="22.5" customHeight="1">
      <c r="A32" s="3">
        <v>31.0</v>
      </c>
      <c r="B32" s="4" t="s">
        <v>1246</v>
      </c>
      <c r="C32" s="4" t="s">
        <v>1247</v>
      </c>
      <c r="D32" s="4" t="s">
        <v>1248</v>
      </c>
      <c r="E32" s="4" t="s">
        <v>1249</v>
      </c>
      <c r="G32" s="5" t="str">
        <f>IFERROR(__xludf.DUMMYFUNCTION("GOOGLETRANSLATE(A32, ""en"", ""fr"")"),"31")</f>
        <v>31</v>
      </c>
      <c r="H32" s="5" t="str">
        <f>IFERROR(__xludf.DUMMYFUNCTION("GOOGLETRANSLATE(B32, ""en"", ""fr"")"),"Un lutteur effectue une projection, et son adversaire atterrit sur le côté, et non sur le dos. Quelle est la décision arbitrale ?")</f>
        <v>Un lutteur effectue une projection, et son adversaire atterrit sur le côté, et non sur le dos. Quelle est la décision arbitrale ?</v>
      </c>
      <c r="I32" s="5" t="str">
        <f>IFERROR(__xludf.DUMMYFUNCTION("GOOGLETRANSLATE(C32, ""en"", ""fr"")"),"A) Un point entier est accordé. B) Aucun point n'est accordé ; le match est réinitialisé. C) Un score partiel est accordé. D) Le lancer doit être refait.")</f>
        <v>A) Un point entier est accordé. B) Aucun point n'est accordé ; le match est réinitialisé. C) Un score partiel est accordé. D) Le lancer doit être refait.</v>
      </c>
      <c r="J32" s="5" t="str">
        <f>IFERROR(__xludf.DUMMYFUNCTION("GOOGLETRANSLATE(D32, ""en"", ""fr"")"),"B) Aucun point n'est attribué ; le match est réinitialisé.")</f>
        <v>B) Aucun point n'est attribué ; le match est réinitialisé.</v>
      </c>
      <c r="K32" s="5" t="str">
        <f>IFERROR(__xludf.DUMMYFUNCTION("GOOGLETRANSLATE(E32, ""en"", ""fr"")"),"Pour être valide, la projection doit avoir pour effet que le dos de l'adversaire, et plus précisément ses deux omoplates, touche le sol. Une chute latérale ne compte pas.")</f>
        <v>Pour être valide, la projection doit avoir pour effet que le dos de l'adversaire, et plus précisément ses deux omoplates, touche le sol. Une chute latérale ne compte pas.</v>
      </c>
    </row>
    <row r="33" ht="22.5" customHeight="1">
      <c r="A33" s="3">
        <v>32.0</v>
      </c>
      <c r="B33" s="4" t="s">
        <v>1250</v>
      </c>
      <c r="C33" s="4" t="s">
        <v>1251</v>
      </c>
      <c r="D33" s="4" t="s">
        <v>1252</v>
      </c>
      <c r="E33" s="4" t="s">
        <v>1253</v>
      </c>
      <c r="G33" s="5" t="str">
        <f>IFERROR(__xludf.DUMMYFUNCTION("GOOGLETRANSLATE(A33, ""en"", ""fr"")"),"32")</f>
        <v>32</v>
      </c>
      <c r="H33" s="5" t="str">
        <f>IFERROR(__xludf.DUMMYFUNCTION("GOOGLETRANSLATE(B33, ""en"", ""fr"")"),"Un lutteur reçoit un avertissement pour avoir saisi le poignet de son adversaire de sa main libre. Est-ce une faute ?")</f>
        <v>Un lutteur reçoit un avertissement pour avoir saisi le poignet de son adversaire de sa main libre. Est-ce une faute ?</v>
      </c>
      <c r="I33" s="5" t="str">
        <f>IFERROR(__xludf.DUMMYFUNCTION("GOOGLETRANSLATE(C33, ""en"", ""fr"")"),"A) Non, c'est une manœuvre légale pour contrôler l'adversaire. B) Oui, la main libre ne peut pas être utilisée pour saisir l'adversaire. C) Uniquement si la prise est maintenue pendant plus de 3 secondes. D) Ce n'est pas une faute, mais c'est un manque de"&amp;" fair-play.")</f>
        <v>A) Non, c'est une manœuvre légale pour contrôler l'adversaire. B) Oui, la main libre ne peut pas être utilisée pour saisir l'adversaire. C) Uniquement si la prise est maintenue pendant plus de 3 secondes. D) Ce n'est pas une faute, mais c'est un manque de fair-play.</v>
      </c>
      <c r="J33" s="5" t="str">
        <f>IFERROR(__xludf.DUMMYFUNCTION("GOOGLETRANSLATE(D33, ""en"", ""fr"")"),"B) Oui, la main libre ne peut pas être utilisée pour saisir l'adversaire.")</f>
        <v>B) Oui, la main libre ne peut pas être utilisée pour saisir l'adversaire.</v>
      </c>
      <c r="K33" s="5" t="str">
        <f>IFERROR(__xludf.DUMMYFUNCTION("GOOGLETRANSLATE(E33, ""en"", ""fr"")"),"La main libre sert à l'équilibre et au blocage, pas à saisir illégalement les membres de l'adversaire.")</f>
        <v>La main libre sert à l'équilibre et au blocage, pas à saisir illégalement les membres de l'adversaire.</v>
      </c>
    </row>
    <row r="34" ht="22.5" customHeight="1">
      <c r="A34" s="3">
        <v>33.0</v>
      </c>
      <c r="B34" s="4" t="s">
        <v>1254</v>
      </c>
      <c r="C34" s="4" t="s">
        <v>1255</v>
      </c>
      <c r="D34" s="4" t="s">
        <v>1204</v>
      </c>
      <c r="E34" s="4" t="s">
        <v>1205</v>
      </c>
      <c r="G34" s="5" t="str">
        <f>IFERROR(__xludf.DUMMYFUNCTION("GOOGLETRANSLATE(A34, ""en"", ""fr"")"),"33")</f>
        <v>33</v>
      </c>
      <c r="H34" s="5" t="str">
        <f>IFERROR(__xludf.DUMMYFUNCTION("GOOGLETRANSLATE(B34, ""en"", ""fr"")"),"Quelle est la décision à prendre si un lutteur se blesse à la suite d'une projection légale de son adversaire ?")</f>
        <v>Quelle est la décision à prendre si un lutteur se blesse à la suite d'une projection légale de son adversaire ?</v>
      </c>
      <c r="I34" s="5" t="str">
        <f>IFERROR(__xludf.DUMMYFUNCTION("GOOGLETRANSLATE(C34, ""en"", ""fr"")"),"A) L'adversaire est pénalisé. B) Le lutteur blessé remporte le match. C) Le lutteur blessé perd le match par abandon. D) Le match se termine par un match nul.")</f>
        <v>A) L'adversaire est pénalisé. B) Le lutteur blessé remporte le match. C) Le lutteur blessé perd le match par abandon. D) Le match se termine par un match nul.</v>
      </c>
      <c r="J34" s="5" t="str">
        <f>IFERROR(__xludf.DUMMYFUNCTION("GOOGLETRANSLATE(D34, ""en"", ""fr"")"),"C) Le lutteur blessé perd le match par abandon.")</f>
        <v>C) Le lutteur blessé perd le match par abandon.</v>
      </c>
      <c r="K34" s="5" t="str">
        <f>IFERROR(__xludf.DUMMYFUNCTION("GOOGLETRANSLATE(E34, ""en"", ""fr"")"),"Si un lutteur est dans l'incapacité de continuer en raison d'une blessure subie suite à une technique légale, il doit abandonner et son adversaire est déclaré vainqueur.")</f>
        <v>Si un lutteur est dans l'incapacité de continuer en raison d'une blessure subie suite à une technique légale, il doit abandonner et son adversaire est déclaré vainqueur.</v>
      </c>
    </row>
    <row r="35" ht="22.5" customHeight="1">
      <c r="A35" s="3">
        <v>34.0</v>
      </c>
      <c r="B35" s="4" t="s">
        <v>1256</v>
      </c>
      <c r="C35" s="4" t="s">
        <v>1257</v>
      </c>
      <c r="D35" s="4" t="s">
        <v>1258</v>
      </c>
      <c r="E35" s="4" t="s">
        <v>1259</v>
      </c>
      <c r="G35" s="5" t="str">
        <f>IFERROR(__xludf.DUMMYFUNCTION("GOOGLETRANSLATE(A35, ""en"", ""fr"")"),"34")</f>
        <v>34</v>
      </c>
      <c r="H35" s="5" t="str">
        <f>IFERROR(__xludf.DUMMYFUNCTION("GOOGLETRANSLATE(B35, ""en"", ""fr"")"),"Quel est l'objectif principal du tapis de lutte moderne et épais (pallenn) ?")</f>
        <v>Quel est l'objectif principal du tapis de lutte moderne et épais (pallenn) ?</v>
      </c>
      <c r="I35" s="5" t="str">
        <f>IFERROR(__xludf.DUMMYFUNCTION("GOOGLETRANSLATE(C35, ""en"", ""fr"")"),"A) Pour délimiter l'aire de jeu, B) Pour fournir une surface sûre et amortissante afin d'absorber l'impact des projections, C) Pour garder les lutteurs propres, D) Pour les logos des sponsors")</f>
        <v>A) Pour délimiter l'aire de jeu, B) Pour fournir une surface sûre et amortissante afin d'absorber l'impact des projections, C) Pour garder les lutteurs propres, D) Pour les logos des sponsors</v>
      </c>
      <c r="J35" s="5" t="str">
        <f>IFERROR(__xludf.DUMMYFUNCTION("GOOGLETRANSLATE(D35, ""en"", ""fr"")"),"B) Fournir une surface sûre et amortissante pour absorber l'impact des lancers")</f>
        <v>B) Fournir une surface sûre et amortissante pour absorber l'impact des lancers</v>
      </c>
      <c r="K35" s="5" t="str">
        <f>IFERROR(__xludf.DUMMYFUNCTION("GOOGLETRANSLATE(E35, ""en"", ""fr"")"),"Le tapis est l'élément de sécurité le plus important dans le sport moderne, remplaçant les traditionnels terrains d'herbe ou de sable.")</f>
        <v>Le tapis est l'élément de sécurité le plus important dans le sport moderne, remplaçant les traditionnels terrains d'herbe ou de sable.</v>
      </c>
    </row>
    <row r="36" ht="22.5" customHeight="1">
      <c r="A36" s="3">
        <v>35.0</v>
      </c>
      <c r="B36" s="4" t="s">
        <v>1260</v>
      </c>
      <c r="C36" s="4" t="s">
        <v>1261</v>
      </c>
      <c r="D36" s="4" t="s">
        <v>1262</v>
      </c>
      <c r="E36" s="4" t="s">
        <v>1263</v>
      </c>
      <c r="G36" s="5" t="str">
        <f>IFERROR(__xludf.DUMMYFUNCTION("GOOGLETRANSLATE(A36, ""en"", ""fr"")"),"35")</f>
        <v>35</v>
      </c>
      <c r="H36" s="5" t="str">
        <f>IFERROR(__xludf.DUMMYFUNCTION("GOOGLETRANSLATE(B36, ""en"", ""fr"")"),"Un lutteur remporte un Lamm parfait. L'entraîneur de son adversaire proteste. Sur quels fondements cette protestation pourrait-elle être valable ?")</f>
        <v>Un lutteur remporte un Lamm parfait. L'entraîneur de son adversaire proteste. Sur quels fondements cette protestation pourrait-elle être valable ?</v>
      </c>
      <c r="I36" s="5" t="str">
        <f>IFERROR(__xludf.DUMMYFUNCTION("GOOGLETRANSLATE(C36, ""en"", ""fr"")"),"A) La projection était trop puissante. B) Le lutteur vainqueur a commis une faute (par exemple, en attrapant la jambe) lors de la projection. C) L'entraîneur n'a pas apprécié le résultat. D) Le lutteur vainqueur a trop célébré sa victoire.")</f>
        <v>A) La projection était trop puissante. B) Le lutteur vainqueur a commis une faute (par exemple, en attrapant la jambe) lors de la projection. C) L'entraîneur n'a pas apprécié le résultat. D) Le lutteur vainqueur a trop célébré sa victoire.</v>
      </c>
      <c r="J36" s="5" t="str">
        <f>IFERROR(__xludf.DUMMYFUNCTION("GOOGLETRANSLATE(D36, ""en"", ""fr"")"),"B) Le lutteur vainqueur a commis une faute (par exemple, en attrapant la jambe) pendant la projection.")</f>
        <v>B) Le lutteur vainqueur a commis une faute (par exemple, en attrapant la jambe) pendant la projection.</v>
      </c>
      <c r="K36" s="5" t="str">
        <f>IFERROR(__xludf.DUMMYFUNCTION("GOOGLETRANSLATE(E36, ""en"", ""fr"")"),"Une protestation ne peut être déposée que sur la base d'une violation technique des règles, et non sur un jugement de style ou de force.")</f>
        <v>Une protestation ne peut être déposée que sur la base d'une violation technique des règles, et non sur un jugement de style ou de force.</v>
      </c>
    </row>
    <row r="37" ht="22.5" customHeight="1">
      <c r="A37" s="3">
        <v>36.0</v>
      </c>
      <c r="B37" s="4" t="s">
        <v>1264</v>
      </c>
      <c r="C37" s="4" t="s">
        <v>1265</v>
      </c>
      <c r="D37" s="4" t="s">
        <v>1266</v>
      </c>
      <c r="E37" s="4" t="s">
        <v>1267</v>
      </c>
      <c r="G37" s="5" t="str">
        <f>IFERROR(__xludf.DUMMYFUNCTION("GOOGLETRANSLATE(A37, ""en"", ""fr"")"),"36")</f>
        <v>36</v>
      </c>
      <c r="H37" s="5" t="str">
        <f>IFERROR(__xludf.DUMMYFUNCTION("GOOGLETRANSLATE(B37, ""en"", ""fr"")"),"La fédération Gouren moderne est affiliée à quelle instance sportive française plus importante ?")</f>
        <v>La fédération Gouren moderne est affiliée à quelle instance sportive française plus importante ?</v>
      </c>
      <c r="I37" s="5" t="str">
        <f>IFERROR(__xludf.DUMMYFUNCTION("GOOGLETRANSLATE(C37, ""en"", ""fr"")"),"A) La Fédération Française de Football, B) La Fédération Française de Judo, C) La Fédération Française de Lutte (FFL), D) Le Comité Olympique Français")</f>
        <v>A) La Fédération Française de Football, B) La Fédération Française de Judo, C) La Fédération Française de Lutte (FFL), D) Le Comité Olympique Français</v>
      </c>
      <c r="J37" s="5" t="str">
        <f>IFERROR(__xludf.DUMMYFUNCTION("GOOGLETRANSLATE(D37, ""en"", ""fr"")"),"C) La Fédération Française de Lutte (FFL)")</f>
        <v>C) La Fédération Française de Lutte (FFL)</v>
      </c>
      <c r="K37" s="5" t="str">
        <f>IFERROR(__xludf.DUMMYFUNCTION("GOOGLETRANSLATE(E37, ""en"", ""fr"")"),"Le gouren est officiellement reconnu et administré comme un style de lutte régional sous l'égide de la Fédération Française de Lutte.")</f>
        <v>Le gouren est officiellement reconnu et administré comme un style de lutte régional sous l'égide de la Fédération Française de Lutte.</v>
      </c>
    </row>
    <row r="38" ht="22.5" customHeight="1">
      <c r="A38" s="3">
        <v>37.0</v>
      </c>
      <c r="B38" s="4" t="s">
        <v>1268</v>
      </c>
      <c r="C38" s="4" t="s">
        <v>1269</v>
      </c>
      <c r="D38" s="4" t="s">
        <v>1270</v>
      </c>
      <c r="E38" s="4" t="s">
        <v>1271</v>
      </c>
      <c r="G38" s="5" t="str">
        <f>IFERROR(__xludf.DUMMYFUNCTION("GOOGLETRANSLATE(A38, ""en"", ""fr"")"),"37")</f>
        <v>37</v>
      </c>
      <c r="H38" s="5" t="str">
        <f>IFERROR(__xludf.DUMMYFUNCTION("GOOGLETRANSLATE(B38, ""en"", ""fr"")"),"Dans la FILC, quel est le style de lutte de quel pays connu sous le nom de Back-hold ?")</f>
        <v>Dans la FILC, quel est le style de lutte de quel pays connu sous le nom de Back-hold ?</v>
      </c>
      <c r="I38" s="5" t="str">
        <f>IFERROR(__xludf.DUMMYFUNCTION("GOOGLETRANSLATE(C38, ""en"", ""fr"")"),"A) Irlande, B) Bretagne, C) Cornouailles, D) Écosse")</f>
        <v>A) Irlande, B) Bretagne, C) Cornouailles, D) Écosse</v>
      </c>
      <c r="J38" s="5" t="str">
        <f>IFERROR(__xludf.DUMMYFUNCTION("GOOGLETRANSLATE(D38, ""en"", ""fr"")"),"D) Écosse")</f>
        <v>D) Écosse</v>
      </c>
      <c r="K38" s="5" t="str">
        <f>IFERROR(__xludf.DUMMYFUNCTION("GOOGLETRANSLATE(E38, ""en"", ""fr"")"),"La lutte écossaise en prise dorsale est un autre style celtique, connu pour sa prise de départ distinctive poitrine contre poitrine.")</f>
        <v>La lutte écossaise en prise dorsale est un autre style celtique, connu pour sa prise de départ distinctive poitrine contre poitrine.</v>
      </c>
    </row>
    <row r="39" ht="22.5" customHeight="1">
      <c r="A39" s="3">
        <v>38.0</v>
      </c>
      <c r="B39" s="4" t="s">
        <v>1272</v>
      </c>
      <c r="C39" s="4" t="s">
        <v>1273</v>
      </c>
      <c r="D39" s="4" t="s">
        <v>1274</v>
      </c>
      <c r="E39" s="4" t="s">
        <v>1275</v>
      </c>
      <c r="G39" s="5" t="str">
        <f>IFERROR(__xludf.DUMMYFUNCTION("GOOGLETRANSLATE(A39, ""en"", ""fr"")"),"38")</f>
        <v>38</v>
      </c>
      <c r="H39" s="5" t="str">
        <f>IFERROR(__xludf.DUMMYFUNCTION("GOOGLETRANSLATE(B39, ""en"", ""fr"")"),"Un lutteur remporte une projection, et le résultat est un kostin. Qu'est-ce que cela signifie ?")</f>
        <v>Un lutteur remporte une projection, et le résultat est un kostin. Qu'est-ce que cela signifie ?</v>
      </c>
      <c r="I39" s="5" t="str">
        <f>IFERROR(__xludf.DUMMYFUNCTION("GOOGLETRANSLATE(C39, ""en"", ""fr"")"),"A) L'adversaire a été blessé. B) La projection était parfaite. C) La projection n'a été que partiellement réussie, les deux lutteurs tombant. D) Le lutteur a triché.")</f>
        <v>A) L'adversaire a été blessé. B) La projection était parfaite. C) La projection n'a été que partiellement réussie, les deux lutteurs tombant. D) Le lutteur a triché.</v>
      </c>
      <c r="J39" s="5" t="str">
        <f>IFERROR(__xludf.DUMMYFUNCTION("GOOGLETRANSLATE(D39, ""en"", ""fr"")"),"C) La projection n'a été que partiellement réussie, les deux lutteurs tombant.")</f>
        <v>C) La projection n'a été que partiellement réussie, les deux lutteurs tombant.</v>
      </c>
      <c r="K39" s="5" t="str">
        <f>IFERROR(__xludf.DUMMYFUNCTION("GOOGLETRANSLATE(E39, ""en"", ""fr"")"),"Un kostin est un résultat où l'attaquant perd également l'équilibre et tombe, ce qui est un résultat moins bon qu'un Lamm propre.")</f>
        <v>Un kostin est un résultat où l'attaquant perd également l'équilibre et tombe, ce qui est un résultat moins bon qu'un Lamm propre.</v>
      </c>
    </row>
    <row r="40" ht="22.5" customHeight="1">
      <c r="A40" s="3">
        <v>39.0</v>
      </c>
      <c r="B40" s="4" t="s">
        <v>1276</v>
      </c>
      <c r="C40" s="4" t="s">
        <v>1277</v>
      </c>
      <c r="D40" s="4" t="s">
        <v>1278</v>
      </c>
      <c r="E40" s="4" t="s">
        <v>1279</v>
      </c>
      <c r="G40" s="5" t="str">
        <f>IFERROR(__xludf.DUMMYFUNCTION("GOOGLETRANSLATE(A40, ""en"", ""fr"")"),"39")</f>
        <v>39</v>
      </c>
      <c r="H40" s="5" t="str">
        <f>IFERROR(__xludf.DUMMYFUNCTION("GOOGLETRANSLATE(B40, ""en"", ""fr"")"),"Un lutteur est pénalisé pour avoir saisi le bragoù (pantalon) de son adversaire. Cette décision est-elle justifiée ?")</f>
        <v>Un lutteur est pénalisé pour avoir saisi le bragoù (pantalon) de son adversaire. Cette décision est-elle justifiée ?</v>
      </c>
      <c r="I40" s="5" t="str">
        <f>IFERROR(__xludf.DUMMYFUNCTION("GOOGLETRANSLATE(C40, ""en"", ""fr"")"),"A) Non, cela fait partie intégrante du catch en veste. B) Oui, toutes les prises doivent être effectuées sur le haut du corps (chemise). C) Uniquement si le pantalon se déchire. D) Uniquement lors d'un tournoi majeur.")</f>
        <v>A) Non, cela fait partie intégrante du catch en veste. B) Oui, toutes les prises doivent être effectuées sur le haut du corps (chemise). C) Uniquement si le pantalon se déchire. D) Uniquement lors d'un tournoi majeur.</v>
      </c>
      <c r="J40" s="5" t="str">
        <f>IFERROR(__xludf.DUMMYFUNCTION("GOOGLETRANSLATE(D40, ""en"", ""fr"")"),"B) Oui, toutes les prises doivent être sur le haut du corps (chemise).")</f>
        <v>B) Oui, toutes les prises doivent être sur le haut du corps (chemise).</v>
      </c>
      <c r="K40" s="5" t="str">
        <f>IFERROR(__xludf.DUMMYFUNCTION("GOOGLETRANSLATE(E40, ""en"", ""fr"")"),"Les règles du Gouren sont précises : la prise est limitée à la veste de lutte de l’adversaire. Saisir le pantalon est une faute.")</f>
        <v>Les règles du Gouren sont précises : la prise est limitée à la veste de lutte de l’adversaire. Saisir le pantalon est une faute.</v>
      </c>
    </row>
    <row r="41" ht="22.5" customHeight="1">
      <c r="A41" s="3">
        <v>40.0</v>
      </c>
      <c r="B41" s="4" t="s">
        <v>1280</v>
      </c>
      <c r="C41" s="4" t="s">
        <v>1281</v>
      </c>
      <c r="D41" s="4" t="s">
        <v>1282</v>
      </c>
      <c r="E41" s="4" t="s">
        <v>1283</v>
      </c>
      <c r="G41" s="5" t="str">
        <f>IFERROR(__xludf.DUMMYFUNCTION("GOOGLETRANSLATE(A41, ""en"", ""fr"")"),"40")</f>
        <v>40</v>
      </c>
      <c r="H41" s="5" t="str">
        <f>IFERROR(__xludf.DUMMYFUNCTION("GOOGLETRANSLATE(B41, ""en"", ""fr"")"),"Quel est le terme désignant une chute parfaite, qui représente le summum du gouren ?")</f>
        <v>Quel est le terme désignant une chute parfaite, qui représente le summum du gouren ?</v>
      </c>
      <c r="I41" s="5" t="str">
        <f>IFERROR(__xludf.DUMMYFUNCTION("GOOGLETRANSLATE(C41, ""en"", ""fr"")"),"A) Lamm, B) Kostin, C) Kein, D) Netra")</f>
        <v>A) Lamm, B) Kostin, C) Kein, D) Netra</v>
      </c>
      <c r="J41" s="5" t="str">
        <f>IFERROR(__xludf.DUMMYFUNCTION("GOOGLETRANSLATE(D41, ""en"", ""fr"")"),"A) Lamm")</f>
        <v>A) Lamm</v>
      </c>
      <c r="K41" s="5" t="str">
        <f>IFERROR(__xludf.DUMMYFUNCTION("GOOGLETRANSLATE(E41, ""en"", ""fr"")"),"Le Lamm est le but ultime, une projection parfaite où l'adversaire est projeté au sol de sorte que ses deux omoplates touchent le sol simultanément.")</f>
        <v>Le Lamm est le but ultime, une projection parfaite où l'adversaire est projeté au sol de sorte que ses deux omoplates touchent le sol simultanément.</v>
      </c>
    </row>
    <row r="42" ht="22.5" customHeight="1">
      <c r="A42" s="3">
        <v>41.0</v>
      </c>
      <c r="B42" s="4" t="s">
        <v>1230</v>
      </c>
      <c r="C42" s="4" t="s">
        <v>1284</v>
      </c>
      <c r="D42" s="4" t="s">
        <v>1232</v>
      </c>
      <c r="E42" s="4" t="s">
        <v>1233</v>
      </c>
      <c r="G42" s="5" t="str">
        <f>IFERROR(__xludf.DUMMYFUNCTION("GOOGLETRANSLATE(A42, ""en"", ""fr"")"),"41")</f>
        <v>41</v>
      </c>
      <c r="H42" s="5" t="str">
        <f>IFERROR(__xludf.DUMMYFUNCTION("GOOGLETRANSLATE(B42, ""en"", ""fr"")"),"Un lutteur reçoit un avertissement pour avoir utilisé la prise de son adversaire pour l'étrangler. Est-ce une décision justifiée ?")</f>
        <v>Un lutteur reçoit un avertissement pour avoir utilisé la prise de son adversaire pour l'étrangler. Est-ce une décision justifiée ?</v>
      </c>
      <c r="I42" s="5" t="str">
        <f>IFERROR(__xludf.DUMMYFUNCTION("GOOGLETRANSLATE(C42, ""en"", ""fr"")"),"A) Non, il s'agit d'un étranglement par le revers légal. B) Oui, utiliser l'uniforme pour étrangler un adversaire est une faute illégale et dangereuse. C) Uniquement si l'adversaire perd connaissance. D) C'est légal, mais mal vu.")</f>
        <v>A) Non, il s'agit d'un étranglement par le revers légal. B) Oui, utiliser l'uniforme pour étrangler un adversaire est une faute illégale et dangereuse. C) Uniquement si l'adversaire perd connaissance. D) C'est légal, mais mal vu.</v>
      </c>
      <c r="J42" s="5" t="str">
        <f>IFERROR(__xludf.DUMMYFUNCTION("GOOGLETRANSLATE(D42, ""en"", ""fr"")"),"B) Oui, utiliser son uniforme pour étrangler un adversaire est une faute illégale et dangereuse.")</f>
        <v>B) Oui, utiliser son uniforme pour étrangler un adversaire est une faute illégale et dangereuse.</v>
      </c>
      <c r="K42" s="5" t="str">
        <f>IFERROR(__xludf.DUMMYFUNCTION("GOOGLETRANSLATE(E42, ""en"", ""fr"")"),"Cette veste est uniquement destinée à la préhension et au lancer. L'utiliser comme une ligature pour étrangler un adversaire constitue une faute grave.")</f>
        <v>Cette veste est uniquement destinée à la préhension et au lancer. L'utiliser comme une ligature pour étrangler un adversaire constitue une faute grave.</v>
      </c>
    </row>
    <row r="43" ht="22.5" customHeight="1">
      <c r="A43" s="3">
        <v>42.0</v>
      </c>
      <c r="B43" s="4" t="s">
        <v>1285</v>
      </c>
      <c r="C43" s="4" t="s">
        <v>1286</v>
      </c>
      <c r="D43" s="4" t="s">
        <v>386</v>
      </c>
      <c r="E43" s="4" t="s">
        <v>1287</v>
      </c>
      <c r="G43" s="5" t="str">
        <f>IFERROR(__xludf.DUMMYFUNCTION("GOOGLETRANSLATE(A43, ""en"", ""fr"")"),"42")</f>
        <v>42</v>
      </c>
      <c r="H43" s="5" t="str">
        <f>IFERROR(__xludf.DUMMYFUNCTION("GOOGLETRANSLATE(B43, ""en"", ""fr"")"),"Quelle est la principale raison pour laquelle les coups (poings et pieds) sont interdits à Gouren ?")</f>
        <v>Quelle est la principale raison pour laquelle les coups (poings et pieds) sont interdits à Gouren ?</v>
      </c>
      <c r="I43" s="5" t="str">
        <f>IFERROR(__xludf.DUMMYFUNCTION("GOOGLETRANSLATE(C43, ""en"", ""fr"")"),"A) C'est un art martial de préhension pure, axé sur les projections et l'équilibre. B) Ce serait trop dangereux sans gants. C) Les lutteurs ont besoin de leurs mains pour saisir leurs adversaires. D) Toutes les réponses ci-dessus.")</f>
        <v>A) C'est un art martial de préhension pure, axé sur les projections et l'équilibre. B) Ce serait trop dangereux sans gants. C) Les lutteurs ont besoin de leurs mains pour saisir leurs adversaires. D) Toutes les réponses ci-dessus.</v>
      </c>
      <c r="J43" s="5" t="str">
        <f>IFERROR(__xludf.DUMMYFUNCTION("GOOGLETRANSLATE(D43, ""en"", ""fr"")"),"D) Toutes les réponses ci-dessus")</f>
        <v>D) Toutes les réponses ci-dessus</v>
      </c>
      <c r="K43" s="5" t="str">
        <f>IFERROR(__xludf.DUMMYFUNCTION("GOOGLETRANSLATE(E43, ""en"", ""fr"")"),"Les règles de Gouren ont été codifiées pour en faire un sport sûr et technique de lutte pure, distinct des arts martiaux de frappe.")</f>
        <v>Les règles de Gouren ont été codifiées pour en faire un sport sûr et technique de lutte pure, distinct des arts martiaux de frappe.</v>
      </c>
    </row>
    <row r="44" ht="22.5" customHeight="1">
      <c r="A44" s="3">
        <v>43.0</v>
      </c>
      <c r="B44" s="4" t="s">
        <v>1288</v>
      </c>
      <c r="C44" s="4" t="s">
        <v>1207</v>
      </c>
      <c r="D44" s="4" t="s">
        <v>1208</v>
      </c>
      <c r="E44" s="4" t="s">
        <v>1289</v>
      </c>
      <c r="G44" s="5" t="str">
        <f>IFERROR(__xludf.DUMMYFUNCTION("GOOGLETRANSLATE(A44, ""en"", ""fr"")"),"43")</f>
        <v>43</v>
      </c>
      <c r="H44" s="5" t="str">
        <f>IFERROR(__xludf.DUMMYFUNCTION("GOOGLETRANSLATE(B44, ""en"", ""fr"")"),"Un lutteur est surpris avec du ruban adhésif sur les mains, durci illégalement. Quelles sont les conséquences ?")</f>
        <v>Un lutteur est surpris avec du ruban adhésif sur les mains, durci illégalement. Quelles sont les conséquences ?</v>
      </c>
      <c r="I44" s="5" t="str">
        <f>IFERROR(__xludf.DUMMYFUNCTION("GOOGLETRANSLATE(C44, ""en"", ""fr"")"),"A) La bande est retirée et un avertissement est donné, B) Le lutteur est immédiatement disqualifié pour tricherie, C) L'adversaire se voit attribuer 5 points, D) Le round est rejoué")</f>
        <v>A) La bande est retirée et un avertissement est donné, B) Le lutteur est immédiatement disqualifié pour tricherie, C) L'adversaire se voit attribuer 5 points, D) Le round est rejoué</v>
      </c>
      <c r="J44" s="5" t="str">
        <f>IFERROR(__xludf.DUMMYFUNCTION("GOOGLETRANSLATE(D44, ""en"", ""fr"")"),"B) Le lutteur est immédiatement disqualifié pour tricherie.")</f>
        <v>B) Le lutteur est immédiatement disqualifié pour tricherie.</v>
      </c>
      <c r="K44" s="5" t="str">
        <f>IFERROR(__xludf.DUMMYFUNCTION("GOOGLETRANSLATE(E44, ""en"", ""fr"")"),"Toute altération de matériel ou tout collage d'étiquettes visant à créer une arme ou un avantage indu constitue une infraction majeure.")</f>
        <v>Toute altération de matériel ou tout collage d'étiquettes visant à créer une arme ou un avantage indu constitue une infraction majeure.</v>
      </c>
    </row>
    <row r="45" ht="22.5" customHeight="1">
      <c r="A45" s="3">
        <v>44.0</v>
      </c>
      <c r="B45" s="4" t="s">
        <v>1290</v>
      </c>
      <c r="C45" s="4" t="s">
        <v>1291</v>
      </c>
      <c r="D45" s="4" t="s">
        <v>1292</v>
      </c>
      <c r="E45" s="4" t="s">
        <v>1293</v>
      </c>
      <c r="G45" s="5" t="str">
        <f>IFERROR(__xludf.DUMMYFUNCTION("GOOGLETRANSLATE(A45, ""en"", ""fr"")"),"44")</f>
        <v>44</v>
      </c>
      <c r="H45" s="5" t="str">
        <f>IFERROR(__xludf.DUMMYFUNCTION("GOOGLETRANSLATE(B45, ""en"", ""fr"")"),"Quelle est la commande de l'arbitre pour que les lutteurs reprennent le combat au centre après un arrêt ?")</f>
        <v>Quelle est la commande de l'arbitre pour que les lutteurs reprennent le combat au centre après un arrêt ?</v>
      </c>
      <c r="I45" s="5" t="str">
        <f>IFERROR(__xludf.DUMMYFUNCTION("GOOGLETRANSLATE(C45, ""en"", ""fr"")"),"A) ""En garde!"", B) ""Reprenez!"" (Reprendre !), C) ""Dornad !"", D) ""Allez !"" (Aller!)")</f>
        <v>A) "En garde!", B) "Reprenez!" (Reprendre !), C) "Dornad !", D) "Allez !" (Aller!)</v>
      </c>
      <c r="J45" s="5" t="str">
        <f>IFERROR(__xludf.DUMMYFUNCTION("GOOGLETRANSLATE(D45, ""en"", ""fr"")"),"C) ""Dornade !""")</f>
        <v>C) "Dornade !"</v>
      </c>
      <c r="K45" s="5" t="str">
        <f>IFERROR(__xludf.DUMMYFUNCTION("GOOGLETRANSLATE(E45, ""en"", ""fr"")"),"On ordonne aux lutteurs de reprendre la poignée de main et la prise traditionnelles de la dornad.")</f>
        <v>On ordonne aux lutteurs de reprendre la poignée de main et la prise traditionnelles de la dornad.</v>
      </c>
    </row>
    <row r="46" ht="22.5" customHeight="1">
      <c r="A46" s="3">
        <v>45.0</v>
      </c>
      <c r="B46" s="4" t="s">
        <v>1294</v>
      </c>
      <c r="C46" s="4" t="s">
        <v>1295</v>
      </c>
      <c r="D46" s="4" t="s">
        <v>1296</v>
      </c>
      <c r="E46" s="4" t="s">
        <v>1297</v>
      </c>
      <c r="G46" s="5" t="str">
        <f>IFERROR(__xludf.DUMMYFUNCTION("GOOGLETRANSLATE(A46, ""en"", ""fr"")"),"45")</f>
        <v>45</v>
      </c>
      <c r="H46" s="5" t="str">
        <f>IFERROR(__xludf.DUMMYFUNCTION("GOOGLETRANSLATE(B46, ""en"", ""fr"")"),"Un lutteur est reconnu coupable d'avoir appliqué une substance collante sur ses mains pour améliorer sa prise. Quelle est la décision ?")</f>
        <v>Un lutteur est reconnu coupable d'avoir appliqué une substance collante sur ses mains pour améliorer sa prise. Quelle est la décision ?</v>
      </c>
      <c r="I46" s="5" t="str">
        <f>IFERROR(__xludf.DUMMYFUNCTION("GOOGLETRANSLATE(C46, ""en"", ""fr"")"),"A) C'est légal. B) Le lutteur est disqualifié pour tricherie. C) Le lutteur reçoit un avertissement et doit se laver les mains. D) L'adversaire marque un point.")</f>
        <v>A) C'est légal. B) Le lutteur est disqualifié pour tricherie. C) Le lutteur reçoit un avertissement et doit se laver les mains. D) L'adversaire marque un point.</v>
      </c>
      <c r="J46" s="5" t="str">
        <f>IFERROR(__xludf.DUMMYFUNCTION("GOOGLETRANSLATE(D46, ""en"", ""fr"")"),"B) Le lutteur est disqualifié pour tricherie.")</f>
        <v>B) Le lutteur est disqualifié pour tricherie.</v>
      </c>
      <c r="K46" s="5" t="str">
        <f>IFERROR(__xludf.DUMMYFUNCTION("GOOGLETRANSLATE(E46, ""en"", ""fr"")"),"L'utilisation de toute substance artificielle pour obtenir un avantage indu constitue une infraction majeure et entraîne la disqualification.")</f>
        <v>L'utilisation de toute substance artificielle pour obtenir un avantage indu constitue une infraction majeure et entraîne la disqualification.</v>
      </c>
    </row>
    <row r="47" ht="22.5" customHeight="1">
      <c r="A47" s="3">
        <v>46.0</v>
      </c>
      <c r="B47" s="4" t="s">
        <v>1298</v>
      </c>
      <c r="C47" s="4" t="s">
        <v>1299</v>
      </c>
      <c r="D47" s="4" t="s">
        <v>1300</v>
      </c>
      <c r="E47" s="4" t="s">
        <v>1301</v>
      </c>
      <c r="G47" s="5" t="str">
        <f>IFERROR(__xludf.DUMMYFUNCTION("GOOGLETRANSLATE(A47, ""en"", ""fr"")"),"46")</f>
        <v>46</v>
      </c>
      <c r="H47" s="5" t="str">
        <f>IFERROR(__xludf.DUMMYFUNCTION("GOOGLETRANSLATE(B47, ""en"", ""fr"")"),"En substance, Gouren est un test de la capacité d'un lutteur à faire quoi ?")</f>
        <v>En substance, Gouren est un test de la capacité d'un lutteur à faire quoi ?</v>
      </c>
      <c r="I47" s="5" t="str">
        <f>IFERROR(__xludf.DUMMYFUNCTION("GOOGLETRANSLATE(C47, ""en"", ""fr"")"),"A) Dépasser son adversaire par la force, B) Contrôler l'équilibre de son adversaire tout en conservant le sien, C) Endurer la douleur, D) Suivre les ordres de l'arbitre")</f>
        <v>A) Dépasser son adversaire par la force, B) Contrôler l'équilibre de son adversaire tout en conservant le sien, C) Endurer la douleur, D) Suivre les ordres de l'arbitre</v>
      </c>
      <c r="J47" s="5" t="str">
        <f>IFERROR(__xludf.DUMMYFUNCTION("GOOGLETRANSLATE(D47, ""en"", ""fr"")"),"B) Contrôler l'équilibre de leur adversaire tout en maintenant le leur")</f>
        <v>B) Contrôler l'équilibre de leur adversaire tout en maintenant le leur</v>
      </c>
      <c r="K47" s="5" t="str">
        <f>IFERROR(__xludf.DUMMYFUNCTION("GOOGLETRANSLATE(E47, ""en"", ""fr"")"),"Tout cet art repose sur l'interaction dynamique de l'équilibre, dans le but de briser la stabilité de l'adversaire tout en perfectionnant la sienne.")</f>
        <v>Tout cet art repose sur l'interaction dynamique de l'équilibre, dans le but de briser la stabilité de l'adversaire tout en perfectionnant la sienne.</v>
      </c>
    </row>
    <row r="48" ht="22.5" customHeight="1">
      <c r="A48" s="3">
        <v>47.0</v>
      </c>
      <c r="B48" s="4" t="s">
        <v>1254</v>
      </c>
      <c r="C48" s="4" t="s">
        <v>1255</v>
      </c>
      <c r="D48" s="4" t="s">
        <v>1204</v>
      </c>
      <c r="E48" s="4" t="s">
        <v>1205</v>
      </c>
      <c r="G48" s="5" t="str">
        <f>IFERROR(__xludf.DUMMYFUNCTION("GOOGLETRANSLATE(A48, ""en"", ""fr"")"),"47")</f>
        <v>47</v>
      </c>
      <c r="H48" s="5" t="str">
        <f>IFERROR(__xludf.DUMMYFUNCTION("GOOGLETRANSLATE(B48, ""en"", ""fr"")"),"Quelle est la décision à prendre si un lutteur se blesse à la suite d'une projection légale de son adversaire ?")</f>
        <v>Quelle est la décision à prendre si un lutteur se blesse à la suite d'une projection légale de son adversaire ?</v>
      </c>
      <c r="I48" s="5" t="str">
        <f>IFERROR(__xludf.DUMMYFUNCTION("GOOGLETRANSLATE(C48, ""en"", ""fr"")"),"A) L'adversaire est pénalisé. B) Le lutteur blessé remporte le match. C) Le lutteur blessé perd le match par abandon. D) Le match se termine par un match nul.")</f>
        <v>A) L'adversaire est pénalisé. B) Le lutteur blessé remporte le match. C) Le lutteur blessé perd le match par abandon. D) Le match se termine par un match nul.</v>
      </c>
      <c r="J48" s="5" t="str">
        <f>IFERROR(__xludf.DUMMYFUNCTION("GOOGLETRANSLATE(D48, ""en"", ""fr"")"),"C) Le lutteur blessé perd le match par abandon.")</f>
        <v>C) Le lutteur blessé perd le match par abandon.</v>
      </c>
      <c r="K48" s="5" t="str">
        <f>IFERROR(__xludf.DUMMYFUNCTION("GOOGLETRANSLATE(E48, ""en"", ""fr"")"),"Si un lutteur est dans l'incapacité de continuer en raison d'une blessure subie suite à une technique légale, il doit abandonner et son adversaire est déclaré vainqueur.")</f>
        <v>Si un lutteur est dans l'incapacité de continuer en raison d'une blessure subie suite à une technique légale, il doit abandonner et son adversaire est déclaré vainqueur.</v>
      </c>
    </row>
    <row r="49" ht="22.5" customHeight="1">
      <c r="A49" s="3">
        <v>48.0</v>
      </c>
      <c r="B49" s="4" t="s">
        <v>1302</v>
      </c>
      <c r="C49" s="4" t="s">
        <v>1257</v>
      </c>
      <c r="D49" s="4" t="s">
        <v>1258</v>
      </c>
      <c r="E49" s="4" t="s">
        <v>1303</v>
      </c>
      <c r="G49" s="5" t="str">
        <f>IFERROR(__xludf.DUMMYFUNCTION("GOOGLETRANSLATE(A49, ""en"", ""fr"")"),"48")</f>
        <v>48</v>
      </c>
      <c r="H49" s="5" t="str">
        <f>IFERROR(__xludf.DUMMYFUNCTION("GOOGLETRANSLATE(B49, ""en"", ""fr"")"),"Quel est le but principal du tapis de lutte épais (pallenn) ?")</f>
        <v>Quel est le but principal du tapis de lutte épais (pallenn) ?</v>
      </c>
      <c r="I49" s="5" t="str">
        <f>IFERROR(__xludf.DUMMYFUNCTION("GOOGLETRANSLATE(C49, ""en"", ""fr"")"),"A) Pour délimiter l'aire de jeu, B) Pour fournir une surface sûre et amortissante afin d'absorber l'impact des projections, C) Pour garder les lutteurs propres, D) Pour les logos des sponsors")</f>
        <v>A) Pour délimiter l'aire de jeu, B) Pour fournir une surface sûre et amortissante afin d'absorber l'impact des projections, C) Pour garder les lutteurs propres, D) Pour les logos des sponsors</v>
      </c>
      <c r="J49" s="5" t="str">
        <f>IFERROR(__xludf.DUMMYFUNCTION("GOOGLETRANSLATE(D49, ""en"", ""fr"")"),"B) Fournir une surface sûre et amortissante pour absorber l'impact des lancers")</f>
        <v>B) Fournir une surface sûre et amortissante pour absorber l'impact des lancers</v>
      </c>
      <c r="K49" s="5" t="str">
        <f>IFERROR(__xludf.DUMMYFUNCTION("GOOGLETRANSLATE(E49, ""en"", ""fr"")"),"Le tapis est l'équipement de sécurité le plus important dans le sport moderne.")</f>
        <v>Le tapis est l'équipement de sécurité le plus important dans le sport moderne.</v>
      </c>
    </row>
    <row r="50" ht="22.5" customHeight="1">
      <c r="A50" s="3">
        <v>49.0</v>
      </c>
      <c r="B50" s="4" t="s">
        <v>1304</v>
      </c>
      <c r="C50" s="4" t="s">
        <v>1305</v>
      </c>
      <c r="D50" s="4" t="s">
        <v>1306</v>
      </c>
      <c r="E50" s="4" t="s">
        <v>1307</v>
      </c>
      <c r="G50" s="5" t="str">
        <f>IFERROR(__xludf.DUMMYFUNCTION("GOOGLETRANSLATE(A50, ""en"", ""fr"")"),"49")</f>
        <v>49</v>
      </c>
      <c r="H50" s="5" t="str">
        <f>IFERROR(__xludf.DUMMYFUNCTION("GOOGLETRANSLATE(B50, ""en"", ""fr"")"),"Quelle est la principale différence entre le gouren et le glima islandais ?")</f>
        <v>Quelle est la principale différence entre le gouren et le glima islandais ?</v>
      </c>
      <c r="I50" s="5" t="str">
        <f>IFERROR(__xludf.DUMMYFUNCTION("GOOGLETRANSLATE(C50, ""en"", ""fr"")"),"A) Glima utilise un système de ceinture pour les prises, B) Gouren est plus ancien, C) Glima implique des frappes, D) Il n'y a pas de différence")</f>
        <v>A) Glima utilise un système de ceinture pour les prises, B) Gouren est plus ancien, C) Glima implique des frappes, D) Il n'y a pas de différence</v>
      </c>
      <c r="J50" s="5" t="str">
        <f>IFERROR(__xludf.DUMMYFUNCTION("GOOGLETRANSLATE(D50, ""en"", ""fr"")"),"A) Glima utilise un système de ceinture pour les poignées")</f>
        <v>A) Glima utilise un système de ceinture pour les poignées</v>
      </c>
      <c r="K50" s="5" t="str">
        <f>IFERROR(__xludf.DUMMYFUNCTION("GOOGLETRANSLATE(E50, ""en"", ""fr"")"),"Le Glima est une forme de lutte à la ceinture, fondamentalement différente du style de lutte en veste du Gouren.")</f>
        <v>Le Glima est une forme de lutte à la ceinture, fondamentalement différente du style de lutte en veste du Gouren.</v>
      </c>
    </row>
    <row r="51" ht="22.5" customHeight="1">
      <c r="A51" s="3">
        <v>50.0</v>
      </c>
      <c r="B51" s="4" t="s">
        <v>1308</v>
      </c>
      <c r="C51" s="4" t="s">
        <v>1309</v>
      </c>
      <c r="D51" s="4" t="s">
        <v>1310</v>
      </c>
      <c r="E51" s="4" t="s">
        <v>1311</v>
      </c>
      <c r="G51" s="5" t="str">
        <f>IFERROR(__xludf.DUMMYFUNCTION("GOOGLETRANSLATE(A51, ""en"", ""fr"")"),"50")</f>
        <v>50</v>
      </c>
      <c r="H51" s="5" t="str">
        <f>IFERROR(__xludf.DUMMYFUNCTION("GOOGLETRANSLATE(B51, ""en"", ""fr"")"),"Quelle est la principale différence entre Gouren et Swiss Schwingen ?")</f>
        <v>Quelle est la principale différence entre Gouren et Swiss Schwingen ?</v>
      </c>
      <c r="I51" s="5" t="str">
        <f>IFERROR(__xludf.DUMMYFUNCTION("GOOGLETRANSLATE(C51, ""en"", ""fr"")"),"A) Le Schwingen est plus ancien, B) Les lutteurs de Schwingen portent des shorts spéciaux en toile pour une meilleure prise, tandis que ceux de Gouren utilisent une veste, C) Le Schwingen est un sport d'équipe, D) Le Gouren est plus populaire")</f>
        <v>A) Le Schwingen est plus ancien, B) Les lutteurs de Schwingen portent des shorts spéciaux en toile pour une meilleure prise, tandis que ceux de Gouren utilisent une veste, C) Le Schwingen est un sport d'équipe, D) Le Gouren est plus populaire</v>
      </c>
      <c r="J51" s="5" t="str">
        <f>IFERROR(__xludf.DUMMYFUNCTION("GOOGLETRANSLATE(D51, ""en"", ""fr"")"),"B) Les lutteurs de Schwingen portent des shorts spéciaux en toile pour la prise, tandis que ceux de Gouren utilisent une veste")</f>
        <v>B) Les lutteurs de Schwingen portent des shorts spéciaux en toile pour la prise, tandis que ceux de Gouren utilisent une veste</v>
      </c>
      <c r="K51" s="5" t="str">
        <f>IFERROR(__xludf.DUMMYFUNCTION("GOOGLETRANSLATE(E51, ""en"", ""fr"")"),"Ce sont deux styles de lutte traditionnelle européenne, mais leurs règles et leurs techniques de prise diffèrent. Le Schwingen privilégie la prise sur le short de l'adversaire.")</f>
        <v>Ce sont deux styles de lutte traditionnelle européenne, mais leurs règles et leurs techniques de prise diffèrent. Le Schwingen privilégie la prise sur le short de l'adversaire.</v>
      </c>
    </row>
    <row r="52" ht="22.5" customHeight="1">
      <c r="A52" s="3">
        <v>51.0</v>
      </c>
      <c r="B52" s="4" t="s">
        <v>1312</v>
      </c>
      <c r="C52" s="4" t="s">
        <v>1313</v>
      </c>
      <c r="D52" s="4" t="s">
        <v>1314</v>
      </c>
      <c r="E52" s="4" t="s">
        <v>1315</v>
      </c>
      <c r="G52" s="5" t="str">
        <f>IFERROR(__xludf.DUMMYFUNCTION("GOOGLETRANSLATE(A52, ""en"", ""fr"")"),"51")</f>
        <v>51</v>
      </c>
      <c r="H52" s="5" t="str">
        <f>IFERROR(__xludf.DUMMYFUNCTION("GOOGLETRANSLATE(B52, ""en"", ""fr"")"),"Un lutteur est pénalisé pour avoir saisi son adversaire sous la ceinture. Cette décision est-elle justifiée ?")</f>
        <v>Un lutteur est pénalisé pour avoir saisi son adversaire sous la ceinture. Cette décision est-elle justifiée ?</v>
      </c>
      <c r="I52" s="5" t="str">
        <f>IFERROR(__xludf.DUMMYFUNCTION("GOOGLETRANSLATE(C52, ""en"", ""fr"")"),"A) Non, toutes les prises sont autorisées. B) Oui, toutes les prises doivent être effectuées sur la veste, au-dessus de la ceinture. C) Uniquement lors des tournois majeurs. D) Uniquement si l'adversaire se plaint.")</f>
        <v>A) Non, toutes les prises sont autorisées. B) Oui, toutes les prises doivent être effectuées sur la veste, au-dessus de la ceinture. C) Uniquement lors des tournois majeurs. D) Uniquement si l'adversaire se plaint.</v>
      </c>
      <c r="J52" s="5" t="str">
        <f>IFERROR(__xludf.DUMMYFUNCTION("GOOGLETRANSLATE(D52, ""en"", ""fr"")"),"B) Oui, toutes les poignées doivent être sur la veste, au-dessus de la ceinture.")</f>
        <v>B) Oui, toutes les poignées doivent être sur la veste, au-dessus de la ceinture.</v>
      </c>
      <c r="K52" s="5" t="str">
        <f>IFERROR(__xludf.DUMMYFUNCTION("GOOGLETRANSLATE(E52, ""en"", ""fr"")"),"Les règles du Gouren sont très précises concernant la zone de prise légale, qui est limitée à la veste de lutte de l'adversaire.")</f>
        <v>Les règles du Gouren sont très précises concernant la zone de prise légale, qui est limitée à la veste de lutte de l'adversaire.</v>
      </c>
    </row>
    <row r="53" ht="22.5" customHeight="1">
      <c r="A53" s="3">
        <v>52.0</v>
      </c>
      <c r="B53" s="4" t="s">
        <v>1272</v>
      </c>
      <c r="C53" s="4" t="s">
        <v>1273</v>
      </c>
      <c r="D53" s="4" t="s">
        <v>1274</v>
      </c>
      <c r="E53" s="4" t="s">
        <v>1316</v>
      </c>
      <c r="G53" s="5" t="str">
        <f>IFERROR(__xludf.DUMMYFUNCTION("GOOGLETRANSLATE(A53, ""en"", ""fr"")"),"52")</f>
        <v>52</v>
      </c>
      <c r="H53" s="5" t="str">
        <f>IFERROR(__xludf.DUMMYFUNCTION("GOOGLETRANSLATE(B53, ""en"", ""fr"")"),"Un lutteur remporte une projection, et le résultat est un kostin. Qu'est-ce que cela signifie ?")</f>
        <v>Un lutteur remporte une projection, et le résultat est un kostin. Qu'est-ce que cela signifie ?</v>
      </c>
      <c r="I53" s="5" t="str">
        <f>IFERROR(__xludf.DUMMYFUNCTION("GOOGLETRANSLATE(C53, ""en"", ""fr"")"),"A) L'adversaire a été blessé. B) La projection était parfaite. C) La projection n'a été que partiellement réussie, les deux lutteurs tombant. D) Le lutteur a triché.")</f>
        <v>A) L'adversaire a été blessé. B) La projection était parfaite. C) La projection n'a été que partiellement réussie, les deux lutteurs tombant. D) Le lutteur a triché.</v>
      </c>
      <c r="J53" s="5" t="str">
        <f>IFERROR(__xludf.DUMMYFUNCTION("GOOGLETRANSLATE(D53, ""en"", ""fr"")"),"C) La projection n'a été que partiellement réussie, les deux lutteurs tombant.")</f>
        <v>C) La projection n'a été que partiellement réussie, les deux lutteurs tombant.</v>
      </c>
      <c r="K53" s="5" t="str">
        <f>IFERROR(__xludf.DUMMYFUNCTION("GOOGLETRANSLATE(E53, ""en"", ""fr"")"),"Un kostin est un résultat où l'attaquant perd également l'équilibre et tombe, ce qui est un résultat moindre qu'un lamm propre.")</f>
        <v>Un kostin est un résultat où l'attaquant perd également l'équilibre et tombe, ce qui est un résultat moindre qu'un lamm propre.</v>
      </c>
    </row>
    <row r="54" ht="22.5" customHeight="1">
      <c r="A54" s="3">
        <v>53.0</v>
      </c>
      <c r="B54" s="4" t="s">
        <v>1317</v>
      </c>
      <c r="C54" s="4" t="s">
        <v>1318</v>
      </c>
      <c r="D54" s="4" t="s">
        <v>1319</v>
      </c>
      <c r="E54" s="4" t="s">
        <v>1320</v>
      </c>
      <c r="G54" s="5" t="str">
        <f>IFERROR(__xludf.DUMMYFUNCTION("GOOGLETRANSLATE(A54, ""en"", ""fr"")"),"53")</f>
        <v>53</v>
      </c>
      <c r="H54" s="5" t="str">
        <f>IFERROR(__xludf.DUMMYFUNCTION("GOOGLETRANSLATE(B54, ""en"", ""fr"")"),"Quel est le rôle du skoliou dans les compétitions de gouren ?")</f>
        <v>Quel est le rôle du skoliou dans les compétitions de gouren ?</v>
      </c>
      <c r="I54" s="5" t="str">
        <f>IFERROR(__xludf.DUMMYFUNCTION("GOOGLETRANSLATE(C54, ""en"", ""fr"")"),"A) Pour éviter les affrontements entre lutteurs d'un même club, B) Pour organiser des combats, C) Pour augmenter la durée des combats, D) Pour faire respecter les règles")</f>
        <v>A) Pour éviter les affrontements entre lutteurs d'un même club, B) Pour organiser des combats, C) Pour augmenter la durée des combats, D) Pour faire respecter les règles</v>
      </c>
      <c r="J54" s="5" t="str">
        <f>IFERROR(__xludf.DUMMYFUNCTION("GOOGLETRANSLATE(D54, ""en"", ""fr"")"),"A) Pour éviter les affrontements entre lutteurs d'un même club")</f>
        <v>A) Pour éviter les affrontements entre lutteurs d'un même club</v>
      </c>
      <c r="K54" s="5" t="str">
        <f>IFERROR(__xludf.DUMMYFUNCTION("GOOGLETRANSLATE(E54, ""en"", ""fr"")"),"Il s'agit d'un aspect stratégique du tournoi, visant à éviter que les coéquipiers ne s'éliminent mutuellement prématurément.")</f>
        <v>Il s'agit d'un aspect stratégique du tournoi, visant à éviter que les coéquipiers ne s'éliminent mutuellement prématurément.</v>
      </c>
    </row>
    <row r="55" ht="22.5" customHeight="1">
      <c r="A55" s="3">
        <v>54.0</v>
      </c>
      <c r="B55" s="4" t="s">
        <v>1321</v>
      </c>
      <c r="C55" s="4" t="s">
        <v>1322</v>
      </c>
      <c r="D55" s="4" t="s">
        <v>1323</v>
      </c>
      <c r="E55" s="4" t="s">
        <v>1324</v>
      </c>
      <c r="G55" s="5" t="str">
        <f>IFERROR(__xludf.DUMMYFUNCTION("GOOGLETRANSLATE(A55, ""en"", ""fr"")"),"54")</f>
        <v>54</v>
      </c>
      <c r="H55" s="5" t="str">
        <f>IFERROR(__xludf.DUMMYFUNCTION("GOOGLETRANSLATE(B55, ""en"", ""fr"")"),"Quel est le terme désignant une chute sur le dos évaluée pendant les heures supplémentaires ?")</f>
        <v>Quel est le terme désignant une chute sur le dos évaluée pendant les heures supplémentaires ?</v>
      </c>
      <c r="I55" s="5" t="str">
        <f>IFERROR(__xludf.DUMMYFUNCTION("GOOGLETRANSLATE(C55, ""en"", ""fr"")"),"A) Kein, B) Lamm, C) Kostin, D) Netra")</f>
        <v>A) Kein, B) Lamm, C) Kostin, D) Netra</v>
      </c>
      <c r="J55" s="5" t="str">
        <f>IFERROR(__xludf.DUMMYFUNCTION("GOOGLETRANSLATE(D55, ""en"", ""fr"")"),"A) Aucun")</f>
        <v>A) Aucun</v>
      </c>
      <c r="K55" s="5" t="str">
        <f>IFERROR(__xludf.DUMMYFUNCTION("GOOGLETRANSLATE(E55, ""en"", ""fr"")"),"Si aucun résultat majeur ne survient en prolongation, un Kein (avantage) peut être accordé pour un quasi-tombé afin de décider du vainqueur.")</f>
        <v>Si aucun résultat majeur ne survient en prolongation, un Kein (avantage) peut être accordé pour un quasi-tombé afin de décider du vainqueur.</v>
      </c>
    </row>
    <row r="56" ht="22.5" customHeight="1">
      <c r="A56" s="3">
        <v>55.0</v>
      </c>
      <c r="B56" s="4" t="s">
        <v>1325</v>
      </c>
      <c r="C56" s="4" t="s">
        <v>1326</v>
      </c>
      <c r="D56" s="4" t="s">
        <v>1327</v>
      </c>
      <c r="E56" s="4" t="s">
        <v>1328</v>
      </c>
      <c r="G56" s="5" t="str">
        <f>IFERROR(__xludf.DUMMYFUNCTION("GOOGLETRANSLATE(A56, ""en"", ""fr"")"),"55")</f>
        <v>55</v>
      </c>
      <c r="H56" s="5" t="str">
        <f>IFERROR(__xludf.DUMMYFUNCTION("GOOGLETRANSLATE(B56, ""en"", ""fr"")"),"Comment appelle-t-on un penalty accordé après une accumulation de fautes ?")</f>
        <v>Comment appelle-t-on un penalty accordé après une accumulation de fautes ?</v>
      </c>
      <c r="I56" s="5" t="str">
        <f>IFERROR(__xludf.DUMMYFUNCTION("GOOGLETRANSLATE(C56, ""en"", ""fr"")"),"A) Poent, B) Fazi, C) Diwall, D) Fazi Vraz")</f>
        <v>A) Poent, B) Fazi, C) Diwall, D) Fazi Vraz</v>
      </c>
      <c r="J56" s="5" t="str">
        <f>IFERROR(__xludf.DUMMYFUNCTION("GOOGLETRANSLATE(D56, ""en"", ""fr"")"),"A) Poent")</f>
        <v>A) Poent</v>
      </c>
      <c r="K56" s="5" t="str">
        <f>IFERROR(__xludf.DUMMYFUNCTION("GOOGLETRANSLATE(E56, ""en"", ""fr"")"),"Un Poent est le « point » ou l'avantage accordé à un lutteur après que son adversaire a commis deux fautes.")</f>
        <v>Un Poent est le « point » ou l'avantage accordé à un lutteur après que son adversaire a commis deux fautes.</v>
      </c>
    </row>
    <row r="57" ht="22.5" customHeight="1">
      <c r="A57" s="3">
        <v>56.0</v>
      </c>
      <c r="B57" s="4" t="s">
        <v>1329</v>
      </c>
      <c r="C57" s="4" t="s">
        <v>1281</v>
      </c>
      <c r="D57" s="4" t="s">
        <v>1282</v>
      </c>
      <c r="E57" s="4" t="s">
        <v>1330</v>
      </c>
      <c r="G57" s="5" t="str">
        <f>IFERROR(__xludf.DUMMYFUNCTION("GOOGLETRANSLATE(A57, ""en"", ""fr"")"),"56")</f>
        <v>56</v>
      </c>
      <c r="H57" s="5" t="str">
        <f>IFERROR(__xludf.DUMMYFUNCTION("GOOGLETRANSLATE(B57, ""en"", ""fr"")"),"Quel est le terme désignant une victoire parfaite dans un combat gouren ?")</f>
        <v>Quel est le terme désignant une victoire parfaite dans un combat gouren ?</v>
      </c>
      <c r="I57" s="5" t="str">
        <f>IFERROR(__xludf.DUMMYFUNCTION("GOOGLETRANSLATE(C57, ""en"", ""fr"")"),"A) Lamm, B) Kostin, C) Kein, D) Netra")</f>
        <v>A) Lamm, B) Kostin, C) Kein, D) Netra</v>
      </c>
      <c r="J57" s="5" t="str">
        <f>IFERROR(__xludf.DUMMYFUNCTION("GOOGLETRANSLATE(D57, ""en"", ""fr"")"),"A) Lamm")</f>
        <v>A) Lamm</v>
      </c>
      <c r="K57" s="5" t="str">
        <f>IFERROR(__xludf.DUMMYFUNCTION("GOOGLETRANSLATE(E57, ""en"", ""fr"")"),"Le Lamm est la chute parfaite et l'objectif ultime à Gouren.")</f>
        <v>Le Lamm est la chute parfaite et l'objectif ultime à Gouren.</v>
      </c>
    </row>
    <row r="58" ht="22.5" customHeight="1">
      <c r="A58" s="3">
        <v>57.0</v>
      </c>
      <c r="B58" s="4" t="s">
        <v>1331</v>
      </c>
      <c r="C58" s="4" t="s">
        <v>1332</v>
      </c>
      <c r="D58" s="4" t="s">
        <v>1333</v>
      </c>
      <c r="E58" s="4" t="s">
        <v>1334</v>
      </c>
      <c r="G58" s="5" t="str">
        <f>IFERROR(__xludf.DUMMYFUNCTION("GOOGLETRANSLATE(A58, ""en"", ""fr"")"),"57")</f>
        <v>57</v>
      </c>
      <c r="H58" s="5" t="str">
        <f>IFERROR(__xludf.DUMMYFUNCTION("GOOGLETRANSLATE(B58, ""en"", ""fr"")"),"Un lutteur est disqualifié du tournoi pour une faute grave. Comment appelle-t-on cela ?")</f>
        <v>Un lutteur est disqualifié du tournoi pour une faute grave. Comment appelle-t-on cela ?</v>
      </c>
      <c r="I58" s="5" t="str">
        <f>IFERROR(__xludf.DUMMYFUNCTION("GOOGLETRANSLATE(C58, ""en"", ""fr"")"),"A) Divrud, B) Fazi, C) Poent, D) Fazi Vraz")</f>
        <v>A) Divrud, B) Fazi, C) Poent, D) Fazi Vraz</v>
      </c>
      <c r="J58" s="5" t="str">
        <f>IFERROR(__xludf.DUMMYFUNCTION("GOOGLETRANSLATE(D58, ""en"", ""fr"")"),"A) Divrud")</f>
        <v>A) Divrud</v>
      </c>
      <c r="K58" s="5" t="str">
        <f>IFERROR(__xludf.DUMMYFUNCTION("GOOGLETRANSLATE(E58, ""en"", ""fr"")"),"Le Divrud est la sanction la plus sévère, entraînant l'expulsion d'un lutteur de toute la compétition pour des actes tels que se battre en dehors du match.")</f>
        <v>Le Divrud est la sanction la plus sévère, entraînant l'expulsion d'un lutteur de toute la compétition pour des actes tels que se battre en dehors du match.</v>
      </c>
    </row>
    <row r="59" ht="22.5" customHeight="1">
      <c r="A59" s="3">
        <v>58.0</v>
      </c>
      <c r="B59" s="4" t="s">
        <v>1335</v>
      </c>
      <c r="C59" s="4" t="s">
        <v>1336</v>
      </c>
      <c r="D59" s="4" t="s">
        <v>1337</v>
      </c>
      <c r="E59" s="4" t="s">
        <v>1338</v>
      </c>
      <c r="G59" s="5" t="str">
        <f>IFERROR(__xludf.DUMMYFUNCTION("GOOGLETRANSLATE(A59, ""en"", ""fr"")"),"58")</f>
        <v>58</v>
      </c>
      <c r="H59" s="5" t="str">
        <f>IFERROR(__xludf.DUMMYFUNCTION("GOOGLETRANSLATE(B59, ""en"", ""fr"")"),"Un lutteur reçoit un avertissement pour une faute mineure. Comment appelle-t-on cela ?")</f>
        <v>Un lutteur reçoit un avertissement pour une faute mineure. Comment appelle-t-on cela ?</v>
      </c>
      <c r="I59" s="5" t="str">
        <f>IFERROR(__xludf.DUMMYFUNCTION("GOOGLETRANSLATE(C59, ""en"", ""fr"")"),"A) Fazi, B) Poent, C) Diwall, D) Lamm")</f>
        <v>A) Fazi, B) Poent, C) Diwall, D) Lamm</v>
      </c>
      <c r="J59" s="5" t="str">
        <f>IFERROR(__xludf.DUMMYFUNCTION("GOOGLETRANSLATE(D59, ""en"", ""fr"")"),"C) Diwall")</f>
        <v>C) Diwall</v>
      </c>
      <c r="K59" s="5" t="str">
        <f>IFERROR(__xludf.DUMMYFUNCTION("GOOGLETRANSLATE(E59, ""en"", ""fr"")"),"Pour la première infraction mineure, l'arbitre émettra un Diwall (avertissement).")</f>
        <v>Pour la première infraction mineure, l'arbitre émettra un Diwall (avertissement).</v>
      </c>
    </row>
    <row r="60" ht="22.5" customHeight="1">
      <c r="A60" s="3">
        <v>59.0</v>
      </c>
      <c r="B60" s="4" t="s">
        <v>1339</v>
      </c>
      <c r="C60" s="4" t="s">
        <v>1340</v>
      </c>
      <c r="D60" s="4" t="s">
        <v>1341</v>
      </c>
      <c r="E60" s="4" t="s">
        <v>1342</v>
      </c>
      <c r="G60" s="5" t="str">
        <f>IFERROR(__xludf.DUMMYFUNCTION("GOOGLETRANSLATE(A60, ""en"", ""fr"")"),"59")</f>
        <v>59</v>
      </c>
      <c r="H60" s="5" t="str">
        <f>IFERROR(__xludf.DUMMYFUNCTION("GOOGLETRANSLATE(B60, ""en"", ""fr"")"),"Un lutteur commet une deuxième faute mineure. Quelle en est la conséquence ?")</f>
        <v>Un lutteur commet une deuxième faute mineure. Quelle en est la conséquence ?</v>
      </c>
      <c r="I60" s="5" t="str">
        <f>IFERROR(__xludf.DUMMYFUNCTION("GOOGLETRANSLATE(C60, ""en"", ""fr"")"),"A) Un Fazi est attribué à l'adversaire, B) Un Poent est attribué à l'adversaire, C) Un Diwall est donné, D) Un Kostin est attribué")</f>
        <v>A) Un Fazi est attribué à l'adversaire, B) Un Poent est attribué à l'adversaire, C) Un Diwall est donné, D) Un Kostin est attribué</v>
      </c>
      <c r="J60" s="5" t="str">
        <f>IFERROR(__xludf.DUMMYFUNCTION("GOOGLETRANSLATE(D60, ""en"", ""fr"")"),"A) Un Fazi est attribué à l'adversaire")</f>
        <v>A) Un Fazi est attribué à l'adversaire</v>
      </c>
      <c r="K60" s="5" t="str">
        <f>IFERROR(__xludf.DUMMYFUNCTION("GOOGLETRANSLATE(E60, ""en"", ""fr"")"),"La première faute est un avertissement (Diwall). La deuxième faute est un Fazi. La troisième faute entraîne la disqualification.")</f>
        <v>La première faute est un avertissement (Diwall). La deuxième faute est un Fazi. La troisième faute entraîne la disqualification.</v>
      </c>
    </row>
    <row r="61" ht="22.5" customHeight="1">
      <c r="A61" s="3">
        <v>60.0</v>
      </c>
      <c r="B61" s="4" t="s">
        <v>1343</v>
      </c>
      <c r="C61" s="4" t="s">
        <v>1281</v>
      </c>
      <c r="D61" s="4" t="s">
        <v>1344</v>
      </c>
      <c r="E61" s="4" t="s">
        <v>1345</v>
      </c>
      <c r="G61" s="5" t="str">
        <f>IFERROR(__xludf.DUMMYFUNCTION("GOOGLETRANSLATE(A61, ""en"", ""fr"")"),"60")</f>
        <v>60</v>
      </c>
      <c r="H61" s="5" t="str">
        <f>IFERROR(__xludf.DUMMYFUNCTION("GOOGLETRANSLATE(B61, ""en"", ""fr"")"),"Le match est à égalité, et en prolongation, un des lutteurs se montre plus offensif. Quel résultat pourrait-on leur attribuer ?")</f>
        <v>Le match est à égalité, et en prolongation, un des lutteurs se montre plus offensif. Quel résultat pourrait-on leur attribuer ?</v>
      </c>
      <c r="I61" s="5" t="str">
        <f>IFERROR(__xludf.DUMMYFUNCTION("GOOGLETRANSLATE(C61, ""en"", ""fr"")"),"A) Lamm, B) Kostin, C) Kein, D) Netra")</f>
        <v>A) Lamm, B) Kostin, C) Kein, D) Netra</v>
      </c>
      <c r="J61" s="5" t="str">
        <f>IFERROR(__xludf.DUMMYFUNCTION("GOOGLETRANSLATE(D61, ""en"", ""fr"")"),"C) Aucun")</f>
        <v>C) Aucun</v>
      </c>
      <c r="K61" s="5" t="str">
        <f>IFERROR(__xludf.DUMMYFUNCTION("GOOGLETRANSLATE(E61, ""en"", ""fr"")"),"Si aucune chute ne survient en prolongation, les arbitres peuvent accorder un Kein (avantage) au lutteur le plus actif pour décider du vainqueur.")</f>
        <v>Si aucune chute ne survient en prolongation, les arbitres peuvent accorder un Kein (avantage) au lutteur le plus actif pour décider du vainqueur.</v>
      </c>
    </row>
    <row r="62" ht="22.5" customHeight="1">
      <c r="A62" s="3">
        <v>61.0</v>
      </c>
      <c r="B62" s="4" t="s">
        <v>1346</v>
      </c>
      <c r="C62" s="4" t="s">
        <v>1347</v>
      </c>
      <c r="D62" s="4" t="s">
        <v>1252</v>
      </c>
      <c r="E62" s="4" t="s">
        <v>1253</v>
      </c>
      <c r="G62" s="5" t="str">
        <f>IFERROR(__xludf.DUMMYFUNCTION("GOOGLETRANSLATE(A62, ""en"", ""fr"")"),"61")</f>
        <v>61</v>
      </c>
      <c r="H62" s="5" t="str">
        <f>IFERROR(__xludf.DUMMYFUNCTION("GOOGLETRANSLATE(B62, ""en"", ""fr"")"),"Un lutteur est pénalisé pour avoir saisi le poignet de son adversaire avec sa main libre. Est-ce une faute ?")</f>
        <v>Un lutteur est pénalisé pour avoir saisi le poignet de son adversaire avec sa main libre. Est-ce une faute ?</v>
      </c>
      <c r="I62" s="5" t="str">
        <f>IFERROR(__xludf.DUMMYFUNCTION("GOOGLETRANSLATE(C62, ""en"", ""fr"")"),"A) Non, ce mouvement est légal. B) Oui, la main libre ne peut pas être utilisée pour saisir l'adversaire. C) Uniquement si la prise est maintenue pendant plus de 3 secondes. D) Ce n'est pas une faute, mais c'est un manque de fair-play.")</f>
        <v>A) Non, ce mouvement est légal. B) Oui, la main libre ne peut pas être utilisée pour saisir l'adversaire. C) Uniquement si la prise est maintenue pendant plus de 3 secondes. D) Ce n'est pas une faute, mais c'est un manque de fair-play.</v>
      </c>
      <c r="J62" s="5" t="str">
        <f>IFERROR(__xludf.DUMMYFUNCTION("GOOGLETRANSLATE(D62, ""en"", ""fr"")"),"B) Oui, la main libre ne peut pas être utilisée pour saisir l'adversaire.")</f>
        <v>B) Oui, la main libre ne peut pas être utilisée pour saisir l'adversaire.</v>
      </c>
      <c r="K62" s="5" t="str">
        <f>IFERROR(__xludf.DUMMYFUNCTION("GOOGLETRANSLATE(E62, ""en"", ""fr"")"),"La main libre sert à l'équilibre et au blocage, pas à saisir illégalement les membres de l'adversaire.")</f>
        <v>La main libre sert à l'équilibre et au blocage, pas à saisir illégalement les membres de l'adversaire.</v>
      </c>
    </row>
    <row r="63" ht="22.5" customHeight="1">
      <c r="A63" s="3">
        <v>62.0</v>
      </c>
      <c r="B63" s="4" t="s">
        <v>1254</v>
      </c>
      <c r="C63" s="4" t="s">
        <v>1255</v>
      </c>
      <c r="D63" s="4" t="s">
        <v>1204</v>
      </c>
      <c r="E63" s="4" t="s">
        <v>1205</v>
      </c>
      <c r="G63" s="5" t="str">
        <f>IFERROR(__xludf.DUMMYFUNCTION("GOOGLETRANSLATE(A63, ""en"", ""fr"")"),"62")</f>
        <v>62</v>
      </c>
      <c r="H63" s="5" t="str">
        <f>IFERROR(__xludf.DUMMYFUNCTION("GOOGLETRANSLATE(B63, ""en"", ""fr"")"),"Quelle est la décision à prendre si un lutteur se blesse à la suite d'une projection légale de son adversaire ?")</f>
        <v>Quelle est la décision à prendre si un lutteur se blesse à la suite d'une projection légale de son adversaire ?</v>
      </c>
      <c r="I63" s="5" t="str">
        <f>IFERROR(__xludf.DUMMYFUNCTION("GOOGLETRANSLATE(C63, ""en"", ""fr"")"),"A) L'adversaire est pénalisé. B) Le lutteur blessé remporte le match. C) Le lutteur blessé perd le match par abandon. D) Le match se termine par un match nul.")</f>
        <v>A) L'adversaire est pénalisé. B) Le lutteur blessé remporte le match. C) Le lutteur blessé perd le match par abandon. D) Le match se termine par un match nul.</v>
      </c>
      <c r="J63" s="5" t="str">
        <f>IFERROR(__xludf.DUMMYFUNCTION("GOOGLETRANSLATE(D63, ""en"", ""fr"")"),"C) Le lutteur blessé perd le match par abandon.")</f>
        <v>C) Le lutteur blessé perd le match par abandon.</v>
      </c>
      <c r="K63" s="5" t="str">
        <f>IFERROR(__xludf.DUMMYFUNCTION("GOOGLETRANSLATE(E63, ""en"", ""fr"")"),"Si un lutteur est dans l'incapacité de continuer en raison d'une blessure subie suite à une technique légale, il doit abandonner et son adversaire est déclaré vainqueur.")</f>
        <v>Si un lutteur est dans l'incapacité de continuer en raison d'une blessure subie suite à une technique légale, il doit abandonner et son adversaire est déclaré vainqueur.</v>
      </c>
    </row>
    <row r="64" ht="22.5" customHeight="1">
      <c r="A64" s="3">
        <v>63.0</v>
      </c>
      <c r="B64" s="4" t="s">
        <v>1264</v>
      </c>
      <c r="C64" s="4" t="s">
        <v>1265</v>
      </c>
      <c r="D64" s="4" t="s">
        <v>1266</v>
      </c>
      <c r="E64" s="4" t="s">
        <v>1267</v>
      </c>
      <c r="G64" s="5" t="str">
        <f>IFERROR(__xludf.DUMMYFUNCTION("GOOGLETRANSLATE(A64, ""en"", ""fr"")"),"63")</f>
        <v>63</v>
      </c>
      <c r="H64" s="5" t="str">
        <f>IFERROR(__xludf.DUMMYFUNCTION("GOOGLETRANSLATE(B64, ""en"", ""fr"")"),"La fédération Gouren moderne est affiliée à quelle instance sportive française plus importante ?")</f>
        <v>La fédération Gouren moderne est affiliée à quelle instance sportive française plus importante ?</v>
      </c>
      <c r="I64" s="5" t="str">
        <f>IFERROR(__xludf.DUMMYFUNCTION("GOOGLETRANSLATE(C64, ""en"", ""fr"")"),"A) La Fédération Française de Football, B) La Fédération Française de Judo, C) La Fédération Française de Lutte (FFL), D) Le Comité Olympique Français")</f>
        <v>A) La Fédération Française de Football, B) La Fédération Française de Judo, C) La Fédération Française de Lutte (FFL), D) Le Comité Olympique Français</v>
      </c>
      <c r="J64" s="5" t="str">
        <f>IFERROR(__xludf.DUMMYFUNCTION("GOOGLETRANSLATE(D64, ""en"", ""fr"")"),"C) La Fédération Française de Lutte (FFL)")</f>
        <v>C) La Fédération Française de Lutte (FFL)</v>
      </c>
      <c r="K64" s="5" t="str">
        <f>IFERROR(__xludf.DUMMYFUNCTION("GOOGLETRANSLATE(E64, ""en"", ""fr"")"),"Le gouren est officiellement reconnu et administré comme un style de lutte régional sous l'égide de la Fédération Française de Lutte.")</f>
        <v>Le gouren est officiellement reconnu et administré comme un style de lutte régional sous l'égide de la Fédération Française de Lutte.</v>
      </c>
    </row>
    <row r="65" ht="22.5" customHeight="1">
      <c r="A65" s="3">
        <v>64.0</v>
      </c>
      <c r="B65" s="4" t="s">
        <v>1268</v>
      </c>
      <c r="C65" s="4" t="s">
        <v>1269</v>
      </c>
      <c r="D65" s="4" t="s">
        <v>1270</v>
      </c>
      <c r="E65" s="4" t="s">
        <v>1271</v>
      </c>
      <c r="G65" s="5" t="str">
        <f>IFERROR(__xludf.DUMMYFUNCTION("GOOGLETRANSLATE(A65, ""en"", ""fr"")"),"64")</f>
        <v>64</v>
      </c>
      <c r="H65" s="5" t="str">
        <f>IFERROR(__xludf.DUMMYFUNCTION("GOOGLETRANSLATE(B65, ""en"", ""fr"")"),"Dans la FILC, quel est le style de lutte de quel pays connu sous le nom de Back-hold ?")</f>
        <v>Dans la FILC, quel est le style de lutte de quel pays connu sous le nom de Back-hold ?</v>
      </c>
      <c r="I65" s="5" t="str">
        <f>IFERROR(__xludf.DUMMYFUNCTION("GOOGLETRANSLATE(C65, ""en"", ""fr"")"),"A) Irlande, B) Bretagne, C) Cornouailles, D) Écosse")</f>
        <v>A) Irlande, B) Bretagne, C) Cornouailles, D) Écosse</v>
      </c>
      <c r="J65" s="5" t="str">
        <f>IFERROR(__xludf.DUMMYFUNCTION("GOOGLETRANSLATE(D65, ""en"", ""fr"")"),"D) Écosse")</f>
        <v>D) Écosse</v>
      </c>
      <c r="K65" s="5" t="str">
        <f>IFERROR(__xludf.DUMMYFUNCTION("GOOGLETRANSLATE(E65, ""en"", ""fr"")"),"La lutte écossaise en prise dorsale est un autre style celtique, connu pour sa prise de départ distinctive poitrine contre poitrine.")</f>
        <v>La lutte écossaise en prise dorsale est un autre style celtique, connu pour sa prise de départ distinctive poitrine contre poitrine.</v>
      </c>
    </row>
    <row r="66" ht="22.5" customHeight="1">
      <c r="A66" s="3">
        <v>65.0</v>
      </c>
      <c r="B66" s="4" t="s">
        <v>1272</v>
      </c>
      <c r="C66" s="4" t="s">
        <v>1273</v>
      </c>
      <c r="D66" s="4" t="s">
        <v>1274</v>
      </c>
      <c r="E66" s="4" t="s">
        <v>1275</v>
      </c>
      <c r="G66" s="5" t="str">
        <f>IFERROR(__xludf.DUMMYFUNCTION("GOOGLETRANSLATE(A66, ""en"", ""fr"")"),"65")</f>
        <v>65</v>
      </c>
      <c r="H66" s="5" t="str">
        <f>IFERROR(__xludf.DUMMYFUNCTION("GOOGLETRANSLATE(B66, ""en"", ""fr"")"),"Un lutteur remporte une projection, et le résultat est un kostin. Qu'est-ce que cela signifie ?")</f>
        <v>Un lutteur remporte une projection, et le résultat est un kostin. Qu'est-ce que cela signifie ?</v>
      </c>
      <c r="I66" s="5" t="str">
        <f>IFERROR(__xludf.DUMMYFUNCTION("GOOGLETRANSLATE(C66, ""en"", ""fr"")"),"A) L'adversaire a été blessé. B) La projection était parfaite. C) La projection n'a été que partiellement réussie, les deux lutteurs tombant. D) Le lutteur a triché.")</f>
        <v>A) L'adversaire a été blessé. B) La projection était parfaite. C) La projection n'a été que partiellement réussie, les deux lutteurs tombant. D) Le lutteur a triché.</v>
      </c>
      <c r="J66" s="5" t="str">
        <f>IFERROR(__xludf.DUMMYFUNCTION("GOOGLETRANSLATE(D66, ""en"", ""fr"")"),"C) La projection n'a été que partiellement réussie, les deux lutteurs tombant.")</f>
        <v>C) La projection n'a été que partiellement réussie, les deux lutteurs tombant.</v>
      </c>
      <c r="K66" s="5" t="str">
        <f>IFERROR(__xludf.DUMMYFUNCTION("GOOGLETRANSLATE(E66, ""en"", ""fr"")"),"Un kostin est un résultat où l'attaquant perd également l'équilibre et tombe, ce qui est un résultat moins bon qu'un Lamm propre.")</f>
        <v>Un kostin est un résultat où l'attaquant perd également l'équilibre et tombe, ce qui est un résultat moins bon qu'un Lamm propre.</v>
      </c>
    </row>
    <row r="67" ht="22.5" customHeight="1">
      <c r="A67" s="3">
        <v>66.0</v>
      </c>
      <c r="B67" s="4" t="s">
        <v>1348</v>
      </c>
      <c r="C67" s="4" t="s">
        <v>1349</v>
      </c>
      <c r="D67" s="4" t="s">
        <v>1350</v>
      </c>
      <c r="E67" s="4" t="s">
        <v>1351</v>
      </c>
      <c r="G67" s="5" t="str">
        <f>IFERROR(__xludf.DUMMYFUNCTION("GOOGLETRANSLATE(A67, ""en"", ""fr"")"),"66")</f>
        <v>66</v>
      </c>
      <c r="H67" s="5" t="str">
        <f>IFERROR(__xludf.DUMMYFUNCTION("GOOGLETRANSLATE(B67, ""en"", ""fr"")"),"Le serment du lutteur, « Je jure de combattre avec une loyauté totale », interdit principalement quoi ?")</f>
        <v>Le serment du lutteur, « Je jure de combattre avec une loyauté totale », interdit principalement quoi ?</v>
      </c>
      <c r="I67" s="5" t="str">
        <f>IFERROR(__xludf.DUMMYFUNCTION("GOOGLETRANSLATE(C67, ""en"", ""fr"")"),"A) Perdre le match, B) Toute forme de trahison ou de « coup bas », C) Parler pendant le match, D) Attaquer les jambes")</f>
        <v>A) Perdre le match, B) Toute forme de trahison ou de « coup bas », C) Parler pendant le match, D) Attaquer les jambes</v>
      </c>
      <c r="J67" s="5" t="str">
        <f>IFERROR(__xludf.DUMMYFUNCTION("GOOGLETRANSLATE(D67, ""en"", ""fr"")"),"B) Toute forme de trahison ou de « coups bas »,")</f>
        <v>B) Toute forme de trahison ou de « coups bas »,</v>
      </c>
      <c r="K67" s="5" t="str">
        <f>IFERROR(__xludf.DUMMYFUNCTION("GOOGLETRANSLATE(E67, ""en"", ""fr"")"),"Le serment est un engagement à combattre avec honneur, interdisant explicitement toute action qui ne repose pas sur une compétence juste et transparente.")</f>
        <v>Le serment est un engagement à combattre avec honneur, interdisant explicitement toute action qui ne repose pas sur une compétence juste et transparente.</v>
      </c>
    </row>
    <row r="68" ht="22.5" customHeight="1">
      <c r="A68" s="3">
        <v>67.0</v>
      </c>
      <c r="B68" s="4" t="s">
        <v>1256</v>
      </c>
      <c r="C68" s="4" t="s">
        <v>1257</v>
      </c>
      <c r="D68" s="4" t="s">
        <v>1258</v>
      </c>
      <c r="E68" s="4" t="s">
        <v>1303</v>
      </c>
      <c r="G68" s="5" t="str">
        <f>IFERROR(__xludf.DUMMYFUNCTION("GOOGLETRANSLATE(A68, ""en"", ""fr"")"),"67")</f>
        <v>67</v>
      </c>
      <c r="H68" s="5" t="str">
        <f>IFERROR(__xludf.DUMMYFUNCTION("GOOGLETRANSLATE(B68, ""en"", ""fr"")"),"Quel est l'objectif principal du tapis de lutte moderne et épais (pallenn) ?")</f>
        <v>Quel est l'objectif principal du tapis de lutte moderne et épais (pallenn) ?</v>
      </c>
      <c r="I68" s="5" t="str">
        <f>IFERROR(__xludf.DUMMYFUNCTION("GOOGLETRANSLATE(C68, ""en"", ""fr"")"),"A) Pour délimiter l'aire de jeu, B) Pour fournir une surface sûre et amortissante afin d'absorber l'impact des projections, C) Pour garder les lutteurs propres, D) Pour les logos des sponsors")</f>
        <v>A) Pour délimiter l'aire de jeu, B) Pour fournir une surface sûre et amortissante afin d'absorber l'impact des projections, C) Pour garder les lutteurs propres, D) Pour les logos des sponsors</v>
      </c>
      <c r="J68" s="5" t="str">
        <f>IFERROR(__xludf.DUMMYFUNCTION("GOOGLETRANSLATE(D68, ""en"", ""fr"")"),"B) Fournir une surface sûre et amortissante pour absorber l'impact des lancers")</f>
        <v>B) Fournir une surface sûre et amortissante pour absorber l'impact des lancers</v>
      </c>
      <c r="K68" s="5" t="str">
        <f>IFERROR(__xludf.DUMMYFUNCTION("GOOGLETRANSLATE(E68, ""en"", ""fr"")"),"Le tapis est l'équipement de sécurité le plus important dans le sport moderne.")</f>
        <v>Le tapis est l'équipement de sécurité le plus important dans le sport moderne.</v>
      </c>
    </row>
    <row r="69" ht="22.5" customHeight="1">
      <c r="A69" s="3">
        <v>68.0</v>
      </c>
      <c r="B69" s="4" t="s">
        <v>1304</v>
      </c>
      <c r="C69" s="4" t="s">
        <v>1305</v>
      </c>
      <c r="D69" s="4" t="s">
        <v>1306</v>
      </c>
      <c r="E69" s="4" t="s">
        <v>1307</v>
      </c>
      <c r="G69" s="5" t="str">
        <f>IFERROR(__xludf.DUMMYFUNCTION("GOOGLETRANSLATE(A69, ""en"", ""fr"")"),"68")</f>
        <v>68</v>
      </c>
      <c r="H69" s="5" t="str">
        <f>IFERROR(__xludf.DUMMYFUNCTION("GOOGLETRANSLATE(B69, ""en"", ""fr"")"),"Quelle est la principale différence entre le gouren et le glima islandais ?")</f>
        <v>Quelle est la principale différence entre le gouren et le glima islandais ?</v>
      </c>
      <c r="I69" s="5" t="str">
        <f>IFERROR(__xludf.DUMMYFUNCTION("GOOGLETRANSLATE(C69, ""en"", ""fr"")"),"A) Glima utilise un système de ceinture pour les prises, B) Gouren est plus ancien, C) Glima implique des frappes, D) Il n'y a pas de différence")</f>
        <v>A) Glima utilise un système de ceinture pour les prises, B) Gouren est plus ancien, C) Glima implique des frappes, D) Il n'y a pas de différence</v>
      </c>
      <c r="J69" s="5" t="str">
        <f>IFERROR(__xludf.DUMMYFUNCTION("GOOGLETRANSLATE(D69, ""en"", ""fr"")"),"A) Glima utilise un système de ceinture pour les poignées")</f>
        <v>A) Glima utilise un système de ceinture pour les poignées</v>
      </c>
      <c r="K69" s="5" t="str">
        <f>IFERROR(__xludf.DUMMYFUNCTION("GOOGLETRANSLATE(E69, ""en"", ""fr"")"),"Le Glima est une forme de lutte à la ceinture, fondamentalement différente du style de lutte en veste du Gouren.")</f>
        <v>Le Glima est une forme de lutte à la ceinture, fondamentalement différente du style de lutte en veste du Gouren.</v>
      </c>
    </row>
    <row r="70" ht="22.5" customHeight="1">
      <c r="A70" s="3">
        <v>69.0</v>
      </c>
      <c r="B70" s="4" t="s">
        <v>1308</v>
      </c>
      <c r="C70" s="4" t="s">
        <v>1309</v>
      </c>
      <c r="D70" s="4" t="s">
        <v>1310</v>
      </c>
      <c r="E70" s="4" t="s">
        <v>1311</v>
      </c>
      <c r="G70" s="5" t="str">
        <f>IFERROR(__xludf.DUMMYFUNCTION("GOOGLETRANSLATE(A70, ""en"", ""fr"")"),"69")</f>
        <v>69</v>
      </c>
      <c r="H70" s="5" t="str">
        <f>IFERROR(__xludf.DUMMYFUNCTION("GOOGLETRANSLATE(B70, ""en"", ""fr"")"),"Quelle est la principale différence entre Gouren et Swiss Schwingen ?")</f>
        <v>Quelle est la principale différence entre Gouren et Swiss Schwingen ?</v>
      </c>
      <c r="I70" s="5" t="str">
        <f>IFERROR(__xludf.DUMMYFUNCTION("GOOGLETRANSLATE(C70, ""en"", ""fr"")"),"A) Le Schwingen est plus ancien, B) Les lutteurs de Schwingen portent des shorts spéciaux en toile pour une meilleure prise, tandis que ceux de Gouren utilisent une veste, C) Le Schwingen est un sport d'équipe, D) Le Gouren est plus populaire")</f>
        <v>A) Le Schwingen est plus ancien, B) Les lutteurs de Schwingen portent des shorts spéciaux en toile pour une meilleure prise, tandis que ceux de Gouren utilisent une veste, C) Le Schwingen est un sport d'équipe, D) Le Gouren est plus populaire</v>
      </c>
      <c r="J70" s="5" t="str">
        <f>IFERROR(__xludf.DUMMYFUNCTION("GOOGLETRANSLATE(D70, ""en"", ""fr"")"),"B) Les lutteurs de Schwingen portent des shorts spéciaux en toile pour la prise, tandis que ceux de Gouren utilisent une veste")</f>
        <v>B) Les lutteurs de Schwingen portent des shorts spéciaux en toile pour la prise, tandis que ceux de Gouren utilisent une veste</v>
      </c>
      <c r="K70" s="5" t="str">
        <f>IFERROR(__xludf.DUMMYFUNCTION("GOOGLETRANSLATE(E70, ""en"", ""fr"")"),"Ce sont deux styles de lutte traditionnelle européenne, mais leurs règles et leurs techniques de prise diffèrent. Le Schwingen privilégie la prise sur le short de l'adversaire.")</f>
        <v>Ce sont deux styles de lutte traditionnelle européenne, mais leurs règles et leurs techniques de prise diffèrent. Le Schwingen privilégie la prise sur le short de l'adversaire.</v>
      </c>
    </row>
    <row r="71" ht="22.5" customHeight="1">
      <c r="A71" s="3">
        <v>70.0</v>
      </c>
      <c r="B71" s="4" t="s">
        <v>1312</v>
      </c>
      <c r="C71" s="4" t="s">
        <v>1313</v>
      </c>
      <c r="D71" s="4" t="s">
        <v>1314</v>
      </c>
      <c r="E71" s="4" t="s">
        <v>1315</v>
      </c>
      <c r="G71" s="5" t="str">
        <f>IFERROR(__xludf.DUMMYFUNCTION("GOOGLETRANSLATE(A71, ""en"", ""fr"")"),"70")</f>
        <v>70</v>
      </c>
      <c r="H71" s="5" t="str">
        <f>IFERROR(__xludf.DUMMYFUNCTION("GOOGLETRANSLATE(B71, ""en"", ""fr"")"),"Un lutteur est pénalisé pour avoir saisi son adversaire sous la ceinture. Cette décision est-elle justifiée ?")</f>
        <v>Un lutteur est pénalisé pour avoir saisi son adversaire sous la ceinture. Cette décision est-elle justifiée ?</v>
      </c>
      <c r="I71" s="5" t="str">
        <f>IFERROR(__xludf.DUMMYFUNCTION("GOOGLETRANSLATE(C71, ""en"", ""fr"")"),"A) Non, toutes les prises sont autorisées. B) Oui, toutes les prises doivent être effectuées sur la veste, au-dessus de la ceinture. C) Uniquement lors des tournois majeurs. D) Uniquement si l'adversaire se plaint.")</f>
        <v>A) Non, toutes les prises sont autorisées. B) Oui, toutes les prises doivent être effectuées sur la veste, au-dessus de la ceinture. C) Uniquement lors des tournois majeurs. D) Uniquement si l'adversaire se plaint.</v>
      </c>
      <c r="J71" s="5" t="str">
        <f>IFERROR(__xludf.DUMMYFUNCTION("GOOGLETRANSLATE(D71, ""en"", ""fr"")"),"B) Oui, toutes les poignées doivent être sur la veste, au-dessus de la ceinture.")</f>
        <v>B) Oui, toutes les poignées doivent être sur la veste, au-dessus de la ceinture.</v>
      </c>
      <c r="K71" s="5" t="str">
        <f>IFERROR(__xludf.DUMMYFUNCTION("GOOGLETRANSLATE(E71, ""en"", ""fr"")"),"Les règles du Gouren sont très précises concernant la zone de prise légale, qui est limitée à la veste de lutte de l'adversaire.")</f>
        <v>Les règles du Gouren sont très précises concernant la zone de prise légale, qui est limitée à la veste de lutte de l'adversaire.</v>
      </c>
    </row>
    <row r="72" ht="22.5" customHeight="1">
      <c r="A72" s="3">
        <v>71.0</v>
      </c>
      <c r="B72" s="4" t="s">
        <v>1352</v>
      </c>
      <c r="C72" s="4" t="s">
        <v>1353</v>
      </c>
      <c r="D72" s="4" t="s">
        <v>1354</v>
      </c>
      <c r="E72" s="4" t="s">
        <v>1355</v>
      </c>
      <c r="G72" s="5" t="str">
        <f>IFERROR(__xludf.DUMMYFUNCTION("GOOGLETRANSLATE(A72, ""en"", ""fr"")"),"71")</f>
        <v>71</v>
      </c>
      <c r="H72" s="5" t="str">
        <f>IFERROR(__xludf.DUMMYFUNCTION("GOOGLETRANSLATE(B72, ""en"", ""fr"")"),"Un lutteur est connu pour son puissant « clic » (kliked). De quelle technique s'agit-il ?")</f>
        <v>Un lutteur est connu pour son puissant « clic » (kliked). De quelle technique s'agit-il ?</v>
      </c>
      <c r="I72" s="5" t="str">
        <f>IFERROR(__xludf.DUMMYFUNCTION("GOOGLETRANSLATE(C72, ""en"", ""fr"")"),"A) Un type de projection de hanche, B) Une projection puissante avec enroulement ou roulade, C) Un blocage défensif avec le pied, D) Le nom de la ceinture du lutteur")</f>
        <v>A) Un type de projection de hanche, B) Une projection puissante avec enroulement ou roulade, C) Un blocage défensif avec le pied, D) Le nom de la ceinture du lutteur</v>
      </c>
      <c r="J72" s="5" t="str">
        <f>IFERROR(__xludf.DUMMYFUNCTION("GOOGLETRANSLATE(D72, ""en"", ""fr"")"),"B) Un puissant mouvement de torsion ou de roulement")</f>
        <v>B) Un puissant mouvement de torsion ou de roulement</v>
      </c>
      <c r="K72" s="5" t="str">
        <f>IFERROR(__xludf.DUMMYFUNCTION("GOOGLETRANSLATE(E72, ""en"", ""fr"")"),"Le kliked est l'une des projections les plus caractéristiques et efficaces de ce sport, impliquant un puissant mouvement de rotation pour déséquilibrer l'adversaire.")</f>
        <v>Le kliked est l'une des projections les plus caractéristiques et efficaces de ce sport, impliquant un puissant mouvement de rotation pour déséquilibrer l'adversaire.</v>
      </c>
    </row>
    <row r="73" ht="22.5" customHeight="1">
      <c r="A73" s="3">
        <v>72.0</v>
      </c>
      <c r="B73" s="4" t="s">
        <v>1356</v>
      </c>
      <c r="C73" s="4" t="s">
        <v>1163</v>
      </c>
      <c r="D73" s="4" t="s">
        <v>1164</v>
      </c>
      <c r="E73" s="4" t="s">
        <v>1357</v>
      </c>
      <c r="G73" s="5" t="str">
        <f>IFERROR(__xludf.DUMMYFUNCTION("GOOGLETRANSLATE(A73, ""en"", ""fr"")"),"72")</f>
        <v>72</v>
      </c>
      <c r="H73" s="5" t="str">
        <f>IFERROR(__xludf.DUMMYFUNCTION("GOOGLETRANSLATE(B73, ""en"", ""fr"")"),"Un lutteur est disqualifié de l'ensemble du tournoi pour une faute grave. Comment s'appelle cette sanction ?")</f>
        <v>Un lutteur est disqualifié de l'ensemble du tournoi pour une faute grave. Comment s'appelle cette sanction ?</v>
      </c>
      <c r="I73" s="5" t="str">
        <f>IFERROR(__xludf.DUMMYFUNCTION("GOOGLETRANSLATE(C73, ""en"", ""fr"")"),"A) Fazi Vraz, B) Lamm, C) Divrud, D) Kostin")</f>
        <v>A) Fazi Vraz, B) Lamm, C) Divrud, D) Kostin</v>
      </c>
      <c r="J73" s="5" t="str">
        <f>IFERROR(__xludf.DUMMYFUNCTION("GOOGLETRANSLATE(D73, ""en"", ""fr"")"),"C) Divrud")</f>
        <v>C) Divrud</v>
      </c>
      <c r="K73" s="5" t="str">
        <f>IFERROR(__xludf.DUMMYFUNCTION("GOOGLETRANSLATE(E73, ""en"", ""fr"")"),"Le Divrud est la sanction la plus sévère, entraînant l'expulsion d'un lutteur de toute la compétition pour des actes tels que se battre en dehors du match ou faire preuve d'un manque de respect flagrant.")</f>
        <v>Le Divrud est la sanction la plus sévère, entraînant l'expulsion d'un lutteur de toute la compétition pour des actes tels que se battre en dehors du match ou faire preuve d'un manque de respect flagrant.</v>
      </c>
    </row>
    <row r="74" ht="22.5" customHeight="1">
      <c r="A74" s="3">
        <v>73.0</v>
      </c>
      <c r="B74" s="4" t="s">
        <v>1358</v>
      </c>
      <c r="C74" s="4" t="s">
        <v>1359</v>
      </c>
      <c r="D74" s="4" t="s">
        <v>1360</v>
      </c>
      <c r="E74" s="4" t="s">
        <v>1361</v>
      </c>
      <c r="G74" s="5" t="str">
        <f>IFERROR(__xludf.DUMMYFUNCTION("GOOGLETRANSLATE(A74, ""en"", ""fr"")"),"73")</f>
        <v>73</v>
      </c>
      <c r="H74" s="5" t="str">
        <f>IFERROR(__xludf.DUMMYFUNCTION("GOOGLETRANSLATE(B74, ""en"", ""fr"")"),"Quel est le nom officiel du cercle de lutte sur le tapis ?")</f>
        <v>Quel est le nom officiel du cercle de lutte sur le tapis ?</v>
      </c>
      <c r="I74" s="5" t="str">
        <f>IFERROR(__xludf.DUMMYFUNCTION("GOOGLETRANSLATE(C74, ""en"", ""fr"")"),"A) Le Pallenn, B) L'Akhara, C) Le Kelch, D) L'Anneau")</f>
        <v>A) Le Pallenn, B) L'Akhara, C) Le Kelch, D) L'Anneau</v>
      </c>
      <c r="J74" s="5" t="str">
        <f>IFERROR(__xludf.DUMMYFUNCTION("GOOGLETRANSLATE(D74, ""en"", ""fr"")"),"C) Les Kelch")</f>
        <v>C) Les Kelch</v>
      </c>
      <c r="K74" s="5" t="str">
        <f>IFERROR(__xludf.DUMMYFUNCTION("GOOGLETRANSLATE(E74, ""en"", ""fr"")"),"Kelc'h est le mot breton pour « cercle », et c'est le terme officiel désignant le terrain de compétition.")</f>
        <v>Kelc'h est le mot breton pour « cercle », et c'est le terme officiel désignant le terrain de compétition.</v>
      </c>
    </row>
    <row r="75" ht="22.5" customHeight="1">
      <c r="A75" s="3">
        <v>74.0</v>
      </c>
      <c r="B75" s="4" t="s">
        <v>1362</v>
      </c>
      <c r="C75" s="4" t="s">
        <v>1363</v>
      </c>
      <c r="D75" s="4" t="s">
        <v>1364</v>
      </c>
      <c r="E75" s="4" t="s">
        <v>1365</v>
      </c>
      <c r="G75" s="5" t="str">
        <f>IFERROR(__xludf.DUMMYFUNCTION("GOOGLETRANSLATE(A75, ""en"", ""fr"")"),"74")</f>
        <v>74</v>
      </c>
      <c r="H75" s="5" t="str">
        <f>IFERROR(__xludf.DUMMYFUNCTION("GOOGLETRANSLATE(B75, ""en"", ""fr"")"),"Est-il légal pour un lutteur d'utiliser l'élan de son adversaire contre lui ?")</f>
        <v>Est-il légal pour un lutteur d'utiliser l'élan de son adversaire contre lui ?</v>
      </c>
      <c r="I75" s="5" t="str">
        <f>IFERROR(__xludf.DUMMYFUNCTION("GOOGLETRANSLATE(C75, ""en"", ""fr"")"),"A) Non, un lutteur doit utiliser sa propre force. B) Oui, c'est un principe fondamental de cet art. C) Seulement si l'adversaire est plus grand. D) C'est considéré comme une technique déloyale.")</f>
        <v>A) Non, un lutteur doit utiliser sa propre force. B) Oui, c'est un principe fondamental de cet art. C) Seulement si l'adversaire est plus grand. D) C'est considéré comme une technique déloyale.</v>
      </c>
      <c r="J75" s="5" t="str">
        <f>IFERROR(__xludf.DUMMYFUNCTION("GOOGLETRANSLATE(D75, ""en"", ""fr"")"),"B) Oui, il s'agit d'un principe fondamental de l'art")</f>
        <v>B) Oui, il s'agit d'un principe fondamental de l'art</v>
      </c>
      <c r="K75" s="5" t="str">
        <f>IFERROR(__xludf.DUMMYFUNCTION("GOOGLETRANSLATE(E75, ""en"", ""fr"")"),"Le gouren, tout comme le judo, repose en grande partie sur l'utilisation de la force et de l'élan de l'adversaire pour exécuter les projections, privilégiant la technique à la force brute.")</f>
        <v>Le gouren, tout comme le judo, repose en grande partie sur l'utilisation de la force et de l'élan de l'adversaire pour exécuter les projections, privilégiant la technique à la force brute.</v>
      </c>
    </row>
    <row r="76" ht="22.5" customHeight="1">
      <c r="A76" s="3">
        <v>75.0</v>
      </c>
      <c r="B76" s="4" t="s">
        <v>1366</v>
      </c>
      <c r="C76" s="4" t="s">
        <v>1367</v>
      </c>
      <c r="D76" s="4" t="s">
        <v>1368</v>
      </c>
      <c r="E76" s="4" t="s">
        <v>1369</v>
      </c>
      <c r="G76" s="5" t="str">
        <f>IFERROR(__xludf.DUMMYFUNCTION("GOOGLETRANSLATE(A76, ""en"", ""fr"")"),"75")</f>
        <v>75</v>
      </c>
      <c r="H76" s="5" t="str">
        <f>IFERROR(__xludf.DUMMYFUNCTION("GOOGLETRANSLATE(B76, ""en"", ""fr"")"),"Un lutteur reçoit un avertissement pour « brutalité ». Qu'est-ce que cela signifie ?")</f>
        <v>Un lutteur reçoit un avertissement pour « brutalité ». Qu'est-ce que cela signifie ?</v>
      </c>
      <c r="I76" s="5" t="str">
        <f>IFERROR(__xludf.DUMMYFUNCTION("GOOGLETRANSLATE(C76, ""en"", ""fr"")"),"A) Ils ont crié trop fort, B) Ils ont effectué une projection avec l'intention manifeste de blesser l'adversaire, C) Ils ont gagné le match trop rapidement, D) Ils ont commis trop de fautes")</f>
        <v>A) Ils ont crié trop fort, B) Ils ont effectué une projection avec l'intention manifeste de blesser l'adversaire, C) Ils ont gagné le match trop rapidement, D) Ils ont commis trop de fautes</v>
      </c>
      <c r="J76" s="5" t="str">
        <f>IFERROR(__xludf.DUMMYFUNCTION("GOOGLETRANSLATE(D76, ""en"", ""fr"")"),"B) Ils ont exécuté une projection avec l'intention manifeste de blesser l'adversaire")</f>
        <v>B) Ils ont exécuté une projection avec l'intention manifeste de blesser l'adversaire</v>
      </c>
      <c r="K76" s="5" t="str">
        <f>IFERROR(__xludf.DUMMYFUNCTION("GOOGLETRANSLATE(E76, ""en"", ""fr"")"),"Le serment du lutteur interdit toute brutalité. Tout acte jugé malveillant constitue une faute grave.")</f>
        <v>Le serment du lutteur interdit toute brutalité. Tout acte jugé malveillant constitue une faute grave.</v>
      </c>
    </row>
    <row r="77" ht="22.5" customHeight="1">
      <c r="A77" s="3">
        <v>76.0</v>
      </c>
      <c r="B77" s="4" t="s">
        <v>1370</v>
      </c>
      <c r="C77" s="4" t="s">
        <v>1371</v>
      </c>
      <c r="D77" s="4" t="s">
        <v>1372</v>
      </c>
      <c r="E77" s="4" t="s">
        <v>1373</v>
      </c>
      <c r="G77" s="5" t="str">
        <f>IFERROR(__xludf.DUMMYFUNCTION("GOOGLETRANSLATE(A77, ""en"", ""fr"")"),"76")</f>
        <v>76</v>
      </c>
      <c r="H77" s="5" t="str">
        <f>IFERROR(__xludf.DUMMYFUNCTION("GOOGLETRANSLATE(B77, ""en"", ""fr"")"),"Quelle est la principale raison pour laquelle la lutte au sol n'est pas autorisée à Gouren ?")</f>
        <v>Quelle est la principale raison pour laquelle la lutte au sol n'est pas autorisée à Gouren ?</v>
      </c>
      <c r="I77" s="5" t="str">
        <f>IFERROR(__xludf.DUMMYFUNCTION("GOOGLETRANSLATE(C77, ""en"", ""fr"")"),"A) Le tapis est trop dur. B) Cette technique est considérée comme moins technique que la lutte debout. C) La tradition de ce sport repose sur le fait de rester debout, prêt au combat. D) Cela rallongerait trop les combats.")</f>
        <v>A) Le tapis est trop dur. B) Cette technique est considérée comme moins technique que la lutte debout. C) La tradition de ce sport repose sur le fait de rester debout, prêt au combat. D) Cela rallongerait trop les combats.</v>
      </c>
      <c r="J77" s="5" t="str">
        <f>IFERROR(__xludf.DUMMYFUNCTION("GOOGLETRANSLATE(D77, ""en"", ""fr"")"),"C) La tradition de ce sport repose sur le fait de rester debout, prêt au combat.")</f>
        <v>C) La tradition de ce sport repose sur le fait de rester debout, prêt au combat.</v>
      </c>
      <c r="K77" s="5" t="str">
        <f>IFERROR(__xludf.DUMMYFUNCTION("GOOGLETRANSLATE(E77, ""en"", ""fr"")"),"Les origines militaires de cet art mettaient l'accent sur le fait de projeter un adversaire au sol tout en restant soi-même debout, car tomber au sol lors d'un combat était souvent fatal.")</f>
        <v>Les origines militaires de cet art mettaient l'accent sur le fait de projeter un adversaire au sol tout en restant soi-même debout, car tomber au sol lors d'un combat était souvent fatal.</v>
      </c>
    </row>
    <row r="78" ht="22.5" customHeight="1">
      <c r="A78" s="3">
        <v>77.0</v>
      </c>
      <c r="B78" s="4" t="s">
        <v>1294</v>
      </c>
      <c r="C78" s="4" t="s">
        <v>1295</v>
      </c>
      <c r="D78" s="4" t="s">
        <v>1296</v>
      </c>
      <c r="E78" s="4" t="s">
        <v>1297</v>
      </c>
      <c r="G78" s="5" t="str">
        <f>IFERROR(__xludf.DUMMYFUNCTION("GOOGLETRANSLATE(A78, ""en"", ""fr"")"),"77")</f>
        <v>77</v>
      </c>
      <c r="H78" s="5" t="str">
        <f>IFERROR(__xludf.DUMMYFUNCTION("GOOGLETRANSLATE(B78, ""en"", ""fr"")"),"Un lutteur est reconnu coupable d'avoir appliqué une substance collante sur ses mains pour améliorer sa prise. Quelle est la décision ?")</f>
        <v>Un lutteur est reconnu coupable d'avoir appliqué une substance collante sur ses mains pour améliorer sa prise. Quelle est la décision ?</v>
      </c>
      <c r="I78" s="5" t="str">
        <f>IFERROR(__xludf.DUMMYFUNCTION("GOOGLETRANSLATE(C78, ""en"", ""fr"")"),"A) C'est légal. B) Le lutteur est disqualifié pour tricherie. C) Le lutteur reçoit un avertissement et doit se laver les mains. D) L'adversaire marque un point.")</f>
        <v>A) C'est légal. B) Le lutteur est disqualifié pour tricherie. C) Le lutteur reçoit un avertissement et doit se laver les mains. D) L'adversaire marque un point.</v>
      </c>
      <c r="J78" s="5" t="str">
        <f>IFERROR(__xludf.DUMMYFUNCTION("GOOGLETRANSLATE(D78, ""en"", ""fr"")"),"B) Le lutteur est disqualifié pour tricherie.")</f>
        <v>B) Le lutteur est disqualifié pour tricherie.</v>
      </c>
      <c r="K78" s="5" t="str">
        <f>IFERROR(__xludf.DUMMYFUNCTION("GOOGLETRANSLATE(E78, ""en"", ""fr"")"),"L'utilisation de toute substance artificielle pour obtenir un avantage indu constitue une infraction majeure et entraîne la disqualification.")</f>
        <v>L'utilisation de toute substance artificielle pour obtenir un avantage indu constitue une infraction majeure et entraîne la disqualification.</v>
      </c>
    </row>
    <row r="79" ht="22.5" customHeight="1">
      <c r="A79" s="3">
        <v>78.0</v>
      </c>
      <c r="B79" s="4" t="s">
        <v>1374</v>
      </c>
      <c r="C79" s="4" t="s">
        <v>1375</v>
      </c>
      <c r="D79" s="4" t="s">
        <v>1376</v>
      </c>
      <c r="E79" s="4" t="s">
        <v>1377</v>
      </c>
      <c r="G79" s="5" t="str">
        <f>IFERROR(__xludf.DUMMYFUNCTION("GOOGLETRANSLATE(A79, ""en"", ""fr"")"),"78")</f>
        <v>78</v>
      </c>
      <c r="H79" s="5" t="str">
        <f>IFERROR(__xludf.DUMMYFUNCTION("GOOGLETRANSLATE(B79, ""en"", ""fr"")"),"Quel est le rôle principal des deux juges de coin ?")</f>
        <v>Quel est le rôle principal des deux juges de coin ?</v>
      </c>
      <c r="I79" s="5" t="str">
        <f>IFERROR(__xludf.DUMMYFUNCTION("GOOGLETRANSLATE(C79, ""en"", ""fr"")"),"A) Chronométrer, B) Assister l'arbitre principal dans l'observation du combat et voter sur les décisions, C) Conseiller les lutteurs depuis les coins du ring, D) Assurer les fonctions médicales")</f>
        <v>A) Chronométrer, B) Assister l'arbitre principal dans l'observation du combat et voter sur les décisions, C) Conseiller les lutteurs depuis les coins du ring, D) Assurer les fonctions médicales</v>
      </c>
      <c r="J79" s="5" t="str">
        <f>IFERROR(__xludf.DUMMYFUNCTION("GOOGLETRANSLATE(D79, ""en"", ""fr"")"),"B) Aider l'arbitre central à observer le déroulement du match et à voter sur les décisions")</f>
        <v>B) Aider l'arbitre central à observer le déroulement du match et à voter sur les décisions</v>
      </c>
      <c r="K79" s="5" t="str">
        <f>IFERROR(__xludf.DUMMYFUNCTION("GOOGLETRANSLATE(E79, ""en"", ""fr"")"),"Les juges de coin apportent des points de vue supplémentaires, notamment pour déterminer la qualité d'une chute (Lamm contre Kostin), et leurs votes sont combinés à ceux de l'arbitre pour une décision majoritaire.")</f>
        <v>Les juges de coin apportent des points de vue supplémentaires, notamment pour déterminer la qualité d'une chute (Lamm contre Kostin), et leurs votes sont combinés à ceux de l'arbitre pour une décision majoritaire.</v>
      </c>
    </row>
    <row r="80" ht="22.5" customHeight="1">
      <c r="A80" s="3">
        <v>79.0</v>
      </c>
      <c r="B80" s="4" t="s">
        <v>1378</v>
      </c>
      <c r="C80" s="4" t="s">
        <v>1379</v>
      </c>
      <c r="D80" s="4" t="s">
        <v>1380</v>
      </c>
      <c r="E80" s="4" t="s">
        <v>1381</v>
      </c>
      <c r="G80" s="5" t="str">
        <f>IFERROR(__xludf.DUMMYFUNCTION("GOOGLETRANSLATE(A80, ""en"", ""fr"")"),"79")</f>
        <v>79</v>
      </c>
      <c r="H80" s="5" t="str">
        <f>IFERROR(__xludf.DUMMYFUNCTION("GOOGLETRANSLATE(B80, ""en"", ""fr"")"),"Quelle est la règle si un lutteur est projeté au sol, que son dos heurte le sol, mais qu'il se trouvait déjà hors du cercle ?")</f>
        <v>Quelle est la règle si un lutteur est projeté au sol, que son dos heurte le sol, mais qu'il se trouvait déjà hors du cercle ?</v>
      </c>
      <c r="I80" s="5" t="str">
        <f>IFERROR(__xludf.DUMMYFUNCTION("GOOGLETRANSLATE(C80, ""en"", ""fr"")"),"A) Il s'agit d'un Lamm valide, B) Aucun point n'est attribué car l'action s'est terminée hors des limites du tapis, C) Le lutteur projeté est pénalisé, D) Le match est rejoué")</f>
        <v>A) Il s'agit d'un Lamm valide, B) Aucun point n'est attribué car l'action s'est terminée hors des limites du tapis, C) Le lutteur projeté est pénalisé, D) Le match est rejoué</v>
      </c>
      <c r="J80" s="5" t="str">
        <f>IFERROR(__xludf.DUMMYFUNCTION("GOOGLETRANSLATE(D80, ""en"", ""fr"")"),"B) Aucun point n'est attribué car l'action s'est terminée hors des limites du terrain.")</f>
        <v>B) Aucun point n'est attribué car l'action s'est terminée hors des limites du terrain.</v>
      </c>
      <c r="K80" s="5" t="str">
        <f>IFERROR(__xludf.DUMMYFUNCTION("GOOGLETRANSLATE(E80, ""en"", ""fr"")"),"Toutes les actions de score doivent être effectuées alors que les deux lutteurs se trouvent entièrement à l'intérieur de la zone de combat désignée.")</f>
        <v>Toutes les actions de score doivent être effectuées alors que les deux lutteurs se trouvent entièrement à l'intérieur de la zone de combat désignée.</v>
      </c>
    </row>
    <row r="81" ht="22.5" customHeight="1">
      <c r="A81" s="3">
        <v>80.0</v>
      </c>
      <c r="B81" s="4" t="s">
        <v>1198</v>
      </c>
      <c r="C81" s="4" t="s">
        <v>1199</v>
      </c>
      <c r="D81" s="4" t="s">
        <v>1200</v>
      </c>
      <c r="E81" s="4" t="s">
        <v>1201</v>
      </c>
      <c r="G81" s="5" t="str">
        <f>IFERROR(__xludf.DUMMYFUNCTION("GOOGLETRANSLATE(A81, ""en"", ""fr"")"),"80")</f>
        <v>80</v>
      </c>
      <c r="H81" s="5" t="str">
        <f>IFERROR(__xludf.DUMMYFUNCTION("GOOGLETRANSLATE(B81, ""en"", ""fr"")"),"Un lutteur est pénalisé pour avoir utilisé son genou afin de bloquer un balayage de jambe de son adversaire. Cette décision est-elle justifiée ?")</f>
        <v>Un lutteur est pénalisé pour avoir utilisé son genou afin de bloquer un balayage de jambe de son adversaire. Cette décision est-elle justifiée ?</v>
      </c>
      <c r="I81" s="5" t="str">
        <f>IFERROR(__xludf.DUMMYFUNCTION("GOOGLETRANSLATE(C81, ""en"", ""fr"")"),"A) Non, ce blocage est légal. B) Oui, utiliser le genou comme point d'appui pour frapper ou bloquer est illégal. C) Uniquement si cela provoque une blessure. D) Uniquement si l'arbitre le voit.")</f>
        <v>A) Non, ce blocage est légal. B) Oui, utiliser le genou comme point d'appui pour frapper ou bloquer est illégal. C) Uniquement si cela provoque une blessure. D) Uniquement si l'arbitre le voit.</v>
      </c>
      <c r="J81" s="5" t="str">
        <f>IFERROR(__xludf.DUMMYFUNCTION("GOOGLETRANSLATE(D81, ""en"", ""fr"")"),"B) Oui, utiliser le genou comme « point d'appui » pour frapper ou bloquer est illégal.")</f>
        <v>B) Oui, utiliser le genou comme « point d'appui » pour frapper ou bloquer est illégal.</v>
      </c>
      <c r="K81" s="5" t="str">
        <f>IFERROR(__xludf.DUMMYFUNCTION("GOOGLETRANSLATE(E81, ""en"", ""fr"")"),"Un lutteur doit utiliser ses pieds et le mouvement de ses jambes pour les balayages et les blocages, et non la pointe du genou.")</f>
        <v>Un lutteur doit utiliser ses pieds et le mouvement de ses jambes pour les balayages et les blocages, et non la pointe du genou.</v>
      </c>
    </row>
    <row r="82" ht="22.5" customHeight="1">
      <c r="A82" s="3">
        <v>81.0</v>
      </c>
      <c r="B82" s="4" t="s">
        <v>1230</v>
      </c>
      <c r="C82" s="4" t="s">
        <v>1284</v>
      </c>
      <c r="D82" s="4" t="s">
        <v>1232</v>
      </c>
      <c r="E82" s="4" t="s">
        <v>1382</v>
      </c>
      <c r="G82" s="5" t="str">
        <f>IFERROR(__xludf.DUMMYFUNCTION("GOOGLETRANSLATE(A82, ""en"", ""fr"")"),"81")</f>
        <v>81</v>
      </c>
      <c r="H82" s="5" t="str">
        <f>IFERROR(__xludf.DUMMYFUNCTION("GOOGLETRANSLATE(B82, ""en"", ""fr"")"),"Un lutteur reçoit un avertissement pour avoir utilisé la prise de son adversaire pour l'étrangler. Est-ce une décision justifiée ?")</f>
        <v>Un lutteur reçoit un avertissement pour avoir utilisé la prise de son adversaire pour l'étrangler. Est-ce une décision justifiée ?</v>
      </c>
      <c r="I82" s="5" t="str">
        <f>IFERROR(__xludf.DUMMYFUNCTION("GOOGLETRANSLATE(C82, ""en"", ""fr"")"),"A) Non, il s'agit d'un étranglement par le revers légal. B) Oui, utiliser l'uniforme pour étrangler un adversaire est une faute illégale et dangereuse. C) Uniquement si l'adversaire perd connaissance. D) C'est légal, mais mal vu.")</f>
        <v>A) Non, il s'agit d'un étranglement par le revers légal. B) Oui, utiliser l'uniforme pour étrangler un adversaire est une faute illégale et dangereuse. C) Uniquement si l'adversaire perd connaissance. D) C'est légal, mais mal vu.</v>
      </c>
      <c r="J82" s="5" t="str">
        <f>IFERROR(__xludf.DUMMYFUNCTION("GOOGLETRANSLATE(D82, ""en"", ""fr"")"),"B) Oui, utiliser son uniforme pour étrangler un adversaire est une faute illégale et dangereuse.")</f>
        <v>B) Oui, utiliser son uniforme pour étrangler un adversaire est une faute illégale et dangereuse.</v>
      </c>
      <c r="K82" s="5" t="str">
        <f>IFERROR(__xludf.DUMMYFUNCTION("GOOGLETRANSLATE(E82, ""en"", ""fr"")"),"Cette veste est uniquement destinée à la préhension et au lancer. L'utiliser comme lien pour un étranglement est une faute grave.")</f>
        <v>Cette veste est uniquement destinée à la préhension et au lancer. L'utiliser comme lien pour un étranglement est une faute grave.</v>
      </c>
    </row>
    <row r="83" ht="22.5" customHeight="1">
      <c r="A83" s="3">
        <v>82.0</v>
      </c>
      <c r="B83" s="4" t="s">
        <v>1383</v>
      </c>
      <c r="C83" s="4" t="s">
        <v>1384</v>
      </c>
      <c r="D83" s="4" t="s">
        <v>1385</v>
      </c>
      <c r="E83" s="4" t="s">
        <v>1386</v>
      </c>
      <c r="G83" s="5" t="str">
        <f>IFERROR(__xludf.DUMMYFUNCTION("GOOGLETRANSLATE(A83, ""en"", ""fr"")"),"82")</f>
        <v>82</v>
      </c>
      <c r="H83" s="5" t="str">
        <f>IFERROR(__xludf.DUMMYFUNCTION("GOOGLETRANSLATE(B83, ""en"", ""fr"")"),"Quel est le but principal de la ceinture de lutteur ?")</f>
        <v>Quel est le but principal de la ceinture de lutteur ?</v>
      </c>
      <c r="I83" s="5" t="str">
        <f>IFERROR(__xludf.DUMMYFUNCTION("GOOGLETRANSLATE(C83, ""en"", ""fr"")"),"A) C'est le principal point de préhension, B) Il sert à maintenir la veste en place et à l'empêcher de remonter, C) Il est purement décoratif et indique le grade, D) C'est une arme à utiliser")</f>
        <v>A) C'est le principal point de préhension, B) Il sert à maintenir la veste en place et à l'empêcher de remonter, C) Il est purement décoratif et indique le grade, D) C'est une arme à utiliser</v>
      </c>
      <c r="J83" s="5" t="str">
        <f>IFERROR(__xludf.DUMMYFUNCTION("GOOGLETRANSLATE(D83, ""en"", ""fr"")"),"B) Il sert à maintenir la veste en place et à l'empêcher de remonter.")</f>
        <v>B) Il sert à maintenir la veste en place et à l'empêcher de remonter.</v>
      </c>
      <c r="K83" s="5" t="str">
        <f>IFERROR(__xludf.DUMMYFUNCTION("GOOGLETRANSLATE(E83, ""en"", ""fr"")"),"La ceinture permet de maintenir la veste de lutte en place, offrant ainsi une surface d'adhérence uniforme et équitable aux lutteurs.")</f>
        <v>La ceinture permet de maintenir la veste de lutte en place, offrant ainsi une surface d'adhérence uniforme et équitable aux lutteurs.</v>
      </c>
    </row>
    <row r="84" ht="22.5" customHeight="1">
      <c r="A84" s="3">
        <v>83.0</v>
      </c>
      <c r="B84" s="4" t="s">
        <v>1387</v>
      </c>
      <c r="C84" s="4" t="s">
        <v>1388</v>
      </c>
      <c r="D84" s="4" t="s">
        <v>1389</v>
      </c>
      <c r="E84" s="4" t="s">
        <v>1390</v>
      </c>
      <c r="G84" s="5" t="str">
        <f>IFERROR(__xludf.DUMMYFUNCTION("GOOGLETRANSLATE(A84, ""en"", ""fr"")"),"83")</f>
        <v>83</v>
      </c>
      <c r="H84" s="5" t="str">
        <f>IFERROR(__xludf.DUMMYFUNCTION("GOOGLETRANSLATE(B84, ""en"", ""fr"")"),"En cas d'égalité, l'arbitre accorde un avantage. Sur quoi se fonde cette décision ?")</f>
        <v>En cas d'égalité, l'arbitre accorde un avantage. Sur quoi se fonde cette décision ?</v>
      </c>
      <c r="I84" s="5" t="str">
        <f>IFERROR(__xludf.DUMMYFUNCTION("GOOGLETRANSLATE(C84, ""en"", ""fr"")"),"A) Le lutteur qui a marqué le dernier point, B) Le lutteur qui a réalisé le plus d'attaques et d'actions offensives pendant la prolongation, C) Le lutteur le plus léger, D) Un vote du public")</f>
        <v>A) Le lutteur qui a marqué le dernier point, B) Le lutteur qui a réalisé le plus d'attaques et d'actions offensives pendant la prolongation, C) Le lutteur le plus léger, D) Un vote du public</v>
      </c>
      <c r="J84" s="5" t="str">
        <f>IFERROR(__xludf.DUMMYFUNCTION("GOOGLETRANSLATE(D84, ""en"", ""fr"")"),"B) Le lutteur qui a réalisé le plus d'attaques et d'actions offensives pendant la prolongation")</f>
        <v>B) Le lutteur qui a réalisé le plus d'attaques et d'actions offensives pendant la prolongation</v>
      </c>
      <c r="K84" s="5" t="str">
        <f>IFERROR(__xludf.DUMMYFUNCTION("GOOGLETRANSLATE(E84, ""en"", ""fr"")"),"Le Kein est une décision arbitrale qui récompense le lutteur qui a le plus activement tenté de remporter le match pendant la prolongation.")</f>
        <v>Le Kein est une décision arbitrale qui récompense le lutteur qui a le plus activement tenté de remporter le match pendant la prolongation.</v>
      </c>
    </row>
    <row r="85" ht="22.5" customHeight="1">
      <c r="A85" s="3">
        <v>84.0</v>
      </c>
      <c r="B85" s="4" t="s">
        <v>1391</v>
      </c>
      <c r="C85" s="4" t="s">
        <v>1392</v>
      </c>
      <c r="D85" s="4" t="s">
        <v>1393</v>
      </c>
      <c r="E85" s="4" t="s">
        <v>1394</v>
      </c>
      <c r="G85" s="5" t="str">
        <f>IFERROR(__xludf.DUMMYFUNCTION("GOOGLETRANSLATE(A85, ""en"", ""fr"")"),"84")</f>
        <v>84</v>
      </c>
      <c r="H85" s="5" t="str">
        <f>IFERROR(__xludf.DUMMYFUNCTION("GOOGLETRANSLATE(B85, ""en"", ""fr"")"),"Quel est le nom de la surface de lutte ?")</f>
        <v>Quel est le nom de la surface de lutte ?</v>
      </c>
      <c r="I85" s="5" t="str">
        <f>IFERROR(__xludf.DUMMYFUNCTION("GOOGLETRANSLATE(C85, ""en"", ""fr"")"),"A) Le tatami, B) Le tapis, C) Le pallenn, D) L'anneau")</f>
        <v>A) Le tatami, B) Le tapis, C) Le pallenn, D) L'anneau</v>
      </c>
      <c r="J85" s="5" t="str">
        <f>IFERROR(__xludf.DUMMYFUNCTION("GOOGLETRANSLATE(D85, ""en"", ""fr"")"),"C) Le Pallenn")</f>
        <v>C) Le Pallenn</v>
      </c>
      <c r="K85" s="5" t="str">
        <f>IFERROR(__xludf.DUMMYFUNCTION("GOOGLETRANSLATE(E85, ""en"", ""fr"")"),"La surface de lutte moderne est un tapis appelé pallenn, qui mesure généralement 8 mètres de diamètre.")</f>
        <v>La surface de lutte moderne est un tapis appelé pallenn, qui mesure généralement 8 mètres de diamètre.</v>
      </c>
    </row>
    <row r="86" ht="22.5" customHeight="1">
      <c r="A86" s="3">
        <v>85.0</v>
      </c>
      <c r="B86" s="4" t="s">
        <v>1395</v>
      </c>
      <c r="C86" s="4" t="s">
        <v>1396</v>
      </c>
      <c r="D86" s="4" t="s">
        <v>1397</v>
      </c>
      <c r="E86" s="4" t="s">
        <v>1398</v>
      </c>
      <c r="G86" s="5" t="str">
        <f>IFERROR(__xludf.DUMMYFUNCTION("GOOGLETRANSLATE(A86, ""en"", ""fr"")"),"85")</f>
        <v>85</v>
      </c>
      <c r="H86" s="5" t="str">
        <f>IFERROR(__xludf.DUMMYFUNCTION("GOOGLETRANSLATE(B86, ""en"", ""fr"")"),"Un lutteur a-t-il le droit de saisir la ceinture qui maintient le catcheur en place ?")</f>
        <v>Un lutteur a-t-il le droit de saisir la ceinture qui maintient le catcheur en place ?</v>
      </c>
      <c r="I86" s="5" t="str">
        <f>IFERROR(__xludf.DUMMYFUNCTION("GOOGLETRANSLATE(C86, ""en"", ""fr"")"),"A) Oui, c'est la cible principale. B) Non, toutes les prises doivent se faire sur le tissu de la veste elle-même. C) Uniquement pour un lancer spécifique. D) Uniquement d'une seule main.")</f>
        <v>A) Oui, c'est la cible principale. B) Non, toutes les prises doivent se faire sur le tissu de la veste elle-même. C) Uniquement pour un lancer spécifique. D) Uniquement d'une seule main.</v>
      </c>
      <c r="J86" s="5" t="str">
        <f>IFERROR(__xludf.DUMMYFUNCTION("GOOGLETRANSLATE(D86, ""en"", ""fr"")"),"B) Non, toutes les poignées doivent être fixées directement sur le tissu de la veste.")</f>
        <v>B) Non, toutes les poignées doivent être fixées directement sur le tissu de la veste.</v>
      </c>
      <c r="K86" s="5" t="str">
        <f>IFERROR(__xludf.DUMMYFUNCTION("GOOGLETRANSLATE(E86, ""en"", ""fr"")"),"Contrairement à Malakhra ou Schwingen, la ceinture n'est pas un point d'appui autorisé. Toutes les prises doivent être effectuées sur la veste.")</f>
        <v>Contrairement à Malakhra ou Schwingen, la ceinture n'est pas un point d'appui autorisé. Toutes les prises doivent être effectuées sur la veste.</v>
      </c>
    </row>
    <row r="87" ht="22.5" customHeight="1">
      <c r="A87" s="3">
        <v>86.0</v>
      </c>
      <c r="B87" s="4" t="s">
        <v>1399</v>
      </c>
      <c r="C87" s="4" t="s">
        <v>1400</v>
      </c>
      <c r="D87" s="4" t="s">
        <v>1401</v>
      </c>
      <c r="E87" s="4" t="s">
        <v>1402</v>
      </c>
      <c r="G87" s="5" t="str">
        <f>IFERROR(__xludf.DUMMYFUNCTION("GOOGLETRANSLATE(A87, ""en"", ""fr"")"),"86")</f>
        <v>86</v>
      </c>
      <c r="H87" s="5" t="str">
        <f>IFERROR(__xludf.DUMMYFUNCTION("GOOGLETRANSLATE(B87, ""en"", ""fr"")"),"Quel est l'âge minimum pour concourir dans la catégorie senior ?")</f>
        <v>Quel est l'âge minimum pour concourir dans la catégorie senior ?</v>
      </c>
      <c r="I87" s="5" t="str">
        <f>IFERROR(__xludf.DUMMYFUNCTION("GOOGLETRANSLATE(C87, ""en"", ""fr"")"),"A) 16, B) 18, C) 20, D) 21")</f>
        <v>A) 16, B) 18, C) 20, D) 21</v>
      </c>
      <c r="J87" s="5" t="str">
        <f>IFERROR(__xludf.DUMMYFUNCTION("GOOGLETRANSLATE(D87, ""en"", ""fr"")"),"B) 18")</f>
        <v>B) 18</v>
      </c>
      <c r="K87" s="5" t="str">
        <f>IFERROR(__xludf.DUMMYFUNCTION("GOOGLETRANSLATE(E87, ""en"", ""fr"")"),"La catégorie senior est destinée aux lutteurs adultes, généralement à partir de 18 ans.")</f>
        <v>La catégorie senior est destinée aux lutteurs adultes, généralement à partir de 18 ans.</v>
      </c>
    </row>
    <row r="88" ht="22.5" customHeight="1">
      <c r="A88" s="3">
        <v>87.0</v>
      </c>
      <c r="B88" s="4" t="s">
        <v>1276</v>
      </c>
      <c r="C88" s="4" t="s">
        <v>1277</v>
      </c>
      <c r="D88" s="4" t="s">
        <v>1278</v>
      </c>
      <c r="E88" s="4" t="s">
        <v>1279</v>
      </c>
      <c r="G88" s="5" t="str">
        <f>IFERROR(__xludf.DUMMYFUNCTION("GOOGLETRANSLATE(A88, ""en"", ""fr"")"),"87")</f>
        <v>87</v>
      </c>
      <c r="H88" s="5" t="str">
        <f>IFERROR(__xludf.DUMMYFUNCTION("GOOGLETRANSLATE(B88, ""en"", ""fr"")"),"Un lutteur est pénalisé pour avoir saisi le bragoù (pantalon) de son adversaire. Cette décision est-elle justifiée ?")</f>
        <v>Un lutteur est pénalisé pour avoir saisi le bragoù (pantalon) de son adversaire. Cette décision est-elle justifiée ?</v>
      </c>
      <c r="I88" s="5" t="str">
        <f>IFERROR(__xludf.DUMMYFUNCTION("GOOGLETRANSLATE(C88, ""en"", ""fr"")"),"A) Non, cela fait partie intégrante du catch en veste. B) Oui, toutes les prises doivent être effectuées sur le haut du corps (chemise). C) Uniquement si le pantalon se déchire. D) Uniquement lors d'un tournoi majeur.")</f>
        <v>A) Non, cela fait partie intégrante du catch en veste. B) Oui, toutes les prises doivent être effectuées sur le haut du corps (chemise). C) Uniquement si le pantalon se déchire. D) Uniquement lors d'un tournoi majeur.</v>
      </c>
      <c r="J88" s="5" t="str">
        <f>IFERROR(__xludf.DUMMYFUNCTION("GOOGLETRANSLATE(D88, ""en"", ""fr"")"),"B) Oui, toutes les prises doivent être sur le haut du corps (chemise).")</f>
        <v>B) Oui, toutes les prises doivent être sur le haut du corps (chemise).</v>
      </c>
      <c r="K88" s="5" t="str">
        <f>IFERROR(__xludf.DUMMYFUNCTION("GOOGLETRANSLATE(E88, ""en"", ""fr"")"),"Les règles du Gouren sont précises : la prise est limitée à la veste de lutte de l’adversaire. Saisir le pantalon est une faute.")</f>
        <v>Les règles du Gouren sont précises : la prise est limitée à la veste de lutte de l’adversaire. Saisir le pantalon est une faute.</v>
      </c>
    </row>
    <row r="89" ht="22.5" customHeight="1">
      <c r="A89" s="3">
        <v>88.0</v>
      </c>
      <c r="B89" s="4" t="s">
        <v>1403</v>
      </c>
      <c r="C89" s="4" t="s">
        <v>1404</v>
      </c>
      <c r="D89" s="4" t="s">
        <v>1405</v>
      </c>
      <c r="E89" s="4" t="s">
        <v>1406</v>
      </c>
      <c r="G89" s="5" t="str">
        <f>IFERROR(__xludf.DUMMYFUNCTION("GOOGLETRANSLATE(A89, ""en"", ""fr"")"),"88")</f>
        <v>88</v>
      </c>
      <c r="H89" s="5" t="str">
        <f>IFERROR(__xludf.DUMMYFUNCTION("GOOGLETRANSLATE(B89, ""en"", ""fr"")"),"À quel élément de la tenue du lutteur fait référence le mot « roched » ?")</f>
        <v>À quel élément de la tenue du lutteur fait référence le mot « roched » ?</v>
      </c>
      <c r="I89" s="5" t="str">
        <f>IFERROR(__xludf.DUMMYFUNCTION("GOOGLETRANSLATE(C89, ""en"", ""fr"")"),"A) Le pantalon, B) La ceinture, C) La chemise ou la veste blanche résistante à manches courtes, D) Les chaussures")</f>
        <v>A) Le pantalon, B) La ceinture, C) La chemise ou la veste blanche résistante à manches courtes, D) Les chaussures</v>
      </c>
      <c r="J89" s="5" t="str">
        <f>IFERROR(__xludf.DUMMYFUNCTION("GOOGLETRANSLATE(D89, ""en"", ""fr"")"),"C) La chemise ou la veste blanche résistante à manches courtes")</f>
        <v>C) La chemise ou la veste blanche résistante à manches courtes</v>
      </c>
      <c r="K89" s="5" t="str">
        <f>IFERROR(__xludf.DUMMYFUNCTION("GOOGLETRANSLATE(E89, ""en"", ""fr"")"),"Le roched est la veste robuste en lin ou en toile que les lutteurs tiennent fermement pendant le match.")</f>
        <v>Le roched est la veste robuste en lin ou en toile que les lutteurs tiennent fermement pendant le match.</v>
      </c>
    </row>
    <row r="90" ht="22.5" customHeight="1">
      <c r="A90" s="3">
        <v>89.0</v>
      </c>
      <c r="B90" s="4" t="s">
        <v>1348</v>
      </c>
      <c r="C90" s="4" t="s">
        <v>1349</v>
      </c>
      <c r="D90" s="4" t="s">
        <v>1350</v>
      </c>
      <c r="E90" s="4" t="s">
        <v>1351</v>
      </c>
      <c r="G90" s="5" t="str">
        <f>IFERROR(__xludf.DUMMYFUNCTION("GOOGLETRANSLATE(A90, ""en"", ""fr"")"),"89")</f>
        <v>89</v>
      </c>
      <c r="H90" s="5" t="str">
        <f>IFERROR(__xludf.DUMMYFUNCTION("GOOGLETRANSLATE(B90, ""en"", ""fr"")"),"Le serment du lutteur, « Je jure de combattre avec une loyauté totale », interdit principalement quoi ?")</f>
        <v>Le serment du lutteur, « Je jure de combattre avec une loyauté totale », interdit principalement quoi ?</v>
      </c>
      <c r="I90" s="5" t="str">
        <f>IFERROR(__xludf.DUMMYFUNCTION("GOOGLETRANSLATE(C90, ""en"", ""fr"")"),"A) Perdre le match, B) Toute forme de trahison ou de « coup bas », C) Parler pendant le match, D) Attaquer les jambes")</f>
        <v>A) Perdre le match, B) Toute forme de trahison ou de « coup bas », C) Parler pendant le match, D) Attaquer les jambes</v>
      </c>
      <c r="J90" s="5" t="str">
        <f>IFERROR(__xludf.DUMMYFUNCTION("GOOGLETRANSLATE(D90, ""en"", ""fr"")"),"B) Toute forme de trahison ou de « coups bas »,")</f>
        <v>B) Toute forme de trahison ou de « coups bas »,</v>
      </c>
      <c r="K90" s="5" t="str">
        <f>IFERROR(__xludf.DUMMYFUNCTION("GOOGLETRANSLATE(E90, ""en"", ""fr"")"),"Le serment est un engagement à combattre avec honneur, interdisant explicitement toute action qui ne repose pas sur une compétence juste et transparente.")</f>
        <v>Le serment est un engagement à combattre avec honneur, interdisant explicitement toute action qui ne repose pas sur une compétence juste et transparente.</v>
      </c>
    </row>
    <row r="91" ht="22.5" customHeight="1">
      <c r="A91" s="3">
        <v>90.0</v>
      </c>
      <c r="B91" s="4" t="s">
        <v>1407</v>
      </c>
      <c r="C91" s="4" t="s">
        <v>1408</v>
      </c>
      <c r="D91" s="4" t="s">
        <v>386</v>
      </c>
      <c r="E91" s="4" t="s">
        <v>1409</v>
      </c>
      <c r="G91" s="5" t="str">
        <f>IFERROR(__xludf.DUMMYFUNCTION("GOOGLETRANSLATE(A91, ""en"", ""fr"")"),"90")</f>
        <v>90</v>
      </c>
      <c r="H91" s="5" t="str">
        <f>IFERROR(__xludf.DUMMYFUNCTION("GOOGLETRANSLATE(B91, ""en"", ""fr"")"),"Quelle est la principale différence entre la lutte Gouren et la lutte libre olympique moderne ?")</f>
        <v>Quelle est la principale différence entre la lutte Gouren et la lutte libre olympique moderne ?</v>
      </c>
      <c r="I91" s="5" t="str">
        <f>IFERROR(__xludf.DUMMYFUNCTION("GOOGLETRANSLATE(C91, ""en"", ""fr"")"),"A) Les lutteurs de Gouren portent une veste (roched), tandis que les lutteurs de style libre portent un justaucorps. B) Le Gouren est un style de lutte debout uniquement. C) Le Gouren a une condition de victoire différente (lamm). D) Toutes les réponses c"&amp;"i-dessus.")</f>
        <v>A) Les lutteurs de Gouren portent une veste (roched), tandis que les lutteurs de style libre portent un justaucorps. B) Le Gouren est un style de lutte debout uniquement. C) Le Gouren a une condition de victoire différente (lamm). D) Toutes les réponses ci-dessus.</v>
      </c>
      <c r="J91" s="5" t="str">
        <f>IFERROR(__xludf.DUMMYFUNCTION("GOOGLETRANSLATE(D91, ""en"", ""fr"")"),"D) Toutes les réponses ci-dessus")</f>
        <v>D) Toutes les réponses ci-dessus</v>
      </c>
      <c r="K91" s="5" t="str">
        <f>IFERROR(__xludf.DUMMYFUNCTION("GOOGLETRANSLATE(E91, ""en"", ""fr"")"),"Le Gouren est un style de lutte complètement différent, avec son propre uniforme, ses règles et ses conditions de victoire uniques.")</f>
        <v>Le Gouren est un style de lutte complètement différent, avec son propre uniforme, ses règles et ses conditions de victoire uniques.</v>
      </c>
    </row>
    <row r="92" ht="22.5" customHeight="1">
      <c r="A92" s="3">
        <v>91.0</v>
      </c>
      <c r="B92" s="4" t="s">
        <v>1352</v>
      </c>
      <c r="C92" s="4" t="s">
        <v>1353</v>
      </c>
      <c r="D92" s="4" t="s">
        <v>1354</v>
      </c>
      <c r="E92" s="4" t="s">
        <v>1355</v>
      </c>
      <c r="G92" s="5" t="str">
        <f>IFERROR(__xludf.DUMMYFUNCTION("GOOGLETRANSLATE(A92, ""en"", ""fr"")"),"91")</f>
        <v>91</v>
      </c>
      <c r="H92" s="5" t="str">
        <f>IFERROR(__xludf.DUMMYFUNCTION("GOOGLETRANSLATE(B92, ""en"", ""fr"")"),"Un lutteur est connu pour son puissant « clic » (kliked). De quelle technique s'agit-il ?")</f>
        <v>Un lutteur est connu pour son puissant « clic » (kliked). De quelle technique s'agit-il ?</v>
      </c>
      <c r="I92" s="5" t="str">
        <f>IFERROR(__xludf.DUMMYFUNCTION("GOOGLETRANSLATE(C92, ""en"", ""fr"")"),"A) Un type de projection de hanche, B) Une projection puissante avec enroulement ou roulade, C) Un blocage défensif avec le pied, D) Le nom de la ceinture du lutteur")</f>
        <v>A) Un type de projection de hanche, B) Une projection puissante avec enroulement ou roulade, C) Un blocage défensif avec le pied, D) Le nom de la ceinture du lutteur</v>
      </c>
      <c r="J92" s="5" t="str">
        <f>IFERROR(__xludf.DUMMYFUNCTION("GOOGLETRANSLATE(D92, ""en"", ""fr"")"),"B) Un puissant mouvement de torsion ou de roulement")</f>
        <v>B) Un puissant mouvement de torsion ou de roulement</v>
      </c>
      <c r="K92" s="5" t="str">
        <f>IFERROR(__xludf.DUMMYFUNCTION("GOOGLETRANSLATE(E92, ""en"", ""fr"")"),"Le kliked est l'une des projections les plus caractéristiques et efficaces de ce sport, impliquant un puissant mouvement de rotation pour déséquilibrer l'adversaire.")</f>
        <v>Le kliked est l'une des projections les plus caractéristiques et efficaces de ce sport, impliquant un puissant mouvement de rotation pour déséquilibrer l'adversaire.</v>
      </c>
    </row>
    <row r="93" ht="22.5" customHeight="1">
      <c r="A93" s="3">
        <v>92.0</v>
      </c>
      <c r="B93" s="4" t="s">
        <v>1264</v>
      </c>
      <c r="C93" s="4" t="s">
        <v>1265</v>
      </c>
      <c r="D93" s="4" t="s">
        <v>1266</v>
      </c>
      <c r="E93" s="4" t="s">
        <v>1267</v>
      </c>
      <c r="G93" s="5" t="str">
        <f>IFERROR(__xludf.DUMMYFUNCTION("GOOGLETRANSLATE(A93, ""en"", ""fr"")"),"92")</f>
        <v>92</v>
      </c>
      <c r="H93" s="5" t="str">
        <f>IFERROR(__xludf.DUMMYFUNCTION("GOOGLETRANSLATE(B93, ""en"", ""fr"")"),"La fédération Gouren moderne est affiliée à quelle instance sportive française plus importante ?")</f>
        <v>La fédération Gouren moderne est affiliée à quelle instance sportive française plus importante ?</v>
      </c>
      <c r="I93" s="5" t="str">
        <f>IFERROR(__xludf.DUMMYFUNCTION("GOOGLETRANSLATE(C93, ""en"", ""fr"")"),"A) La Fédération Française de Football, B) La Fédération Française de Judo, C) La Fédération Française de Lutte (FFL), D) Le Comité Olympique Français")</f>
        <v>A) La Fédération Française de Football, B) La Fédération Française de Judo, C) La Fédération Française de Lutte (FFL), D) Le Comité Olympique Français</v>
      </c>
      <c r="J93" s="5" t="str">
        <f>IFERROR(__xludf.DUMMYFUNCTION("GOOGLETRANSLATE(D93, ""en"", ""fr"")"),"C) La Fédération Française de Lutte (FFL)")</f>
        <v>C) La Fédération Française de Lutte (FFL)</v>
      </c>
      <c r="K93" s="5" t="str">
        <f>IFERROR(__xludf.DUMMYFUNCTION("GOOGLETRANSLATE(E93, ""en"", ""fr"")"),"Le gouren est officiellement reconnu et administré comme un style de lutte régional sous l'égide de la Fédération Française de Lutte.")</f>
        <v>Le gouren est officiellement reconnu et administré comme un style de lutte régional sous l'égide de la Fédération Française de Lutte.</v>
      </c>
    </row>
    <row r="94" ht="22.5" customHeight="1">
      <c r="A94" s="3">
        <v>93.0</v>
      </c>
      <c r="B94" s="4" t="s">
        <v>1285</v>
      </c>
      <c r="C94" s="4" t="s">
        <v>1410</v>
      </c>
      <c r="D94" s="4" t="s">
        <v>386</v>
      </c>
      <c r="E94" s="4" t="s">
        <v>1287</v>
      </c>
      <c r="G94" s="5" t="str">
        <f>IFERROR(__xludf.DUMMYFUNCTION("GOOGLETRANSLATE(A94, ""en"", ""fr"")"),"93")</f>
        <v>93</v>
      </c>
      <c r="H94" s="5" t="str">
        <f>IFERROR(__xludf.DUMMYFUNCTION("GOOGLETRANSLATE(B94, ""en"", ""fr"")"),"Quelle est la principale raison pour laquelle les coups (poings et pieds) sont interdits à Gouren ?")</f>
        <v>Quelle est la principale raison pour laquelle les coups (poings et pieds) sont interdits à Gouren ?</v>
      </c>
      <c r="I94" s="5" t="str">
        <f>IFERROR(__xludf.DUMMYFUNCTION("GOOGLETRANSLATE(C94, ""en"", ""fr"")"),"A) C'est un art martial de préhension pure, axé sur les projections et l'équilibre. B) Ce serait trop dangereux. C) Les lutteurs ne portent pas de gants. D) Toutes les réponses ci-dessus.")</f>
        <v>A) C'est un art martial de préhension pure, axé sur les projections et l'équilibre. B) Ce serait trop dangereux. C) Les lutteurs ne portent pas de gants. D) Toutes les réponses ci-dessus.</v>
      </c>
      <c r="J94" s="5" t="str">
        <f>IFERROR(__xludf.DUMMYFUNCTION("GOOGLETRANSLATE(D94, ""en"", ""fr"")"),"D) Toutes les réponses ci-dessus")</f>
        <v>D) Toutes les réponses ci-dessus</v>
      </c>
      <c r="K94" s="5" t="str">
        <f>IFERROR(__xludf.DUMMYFUNCTION("GOOGLETRANSLATE(E94, ""en"", ""fr"")"),"Les règles de Gouren ont été codifiées pour en faire un sport sûr et technique de lutte pure, distinct des arts martiaux de frappe.")</f>
        <v>Les règles de Gouren ont été codifiées pour en faire un sport sûr et technique de lutte pure, distinct des arts martiaux de frappe.</v>
      </c>
    </row>
    <row r="95" ht="22.5" customHeight="1">
      <c r="A95" s="3">
        <v>94.0</v>
      </c>
      <c r="B95" s="4" t="s">
        <v>1268</v>
      </c>
      <c r="C95" s="4" t="s">
        <v>1269</v>
      </c>
      <c r="D95" s="4" t="s">
        <v>1270</v>
      </c>
      <c r="E95" s="4" t="s">
        <v>1271</v>
      </c>
      <c r="G95" s="5" t="str">
        <f>IFERROR(__xludf.DUMMYFUNCTION("GOOGLETRANSLATE(A95, ""en"", ""fr"")"),"94")</f>
        <v>94</v>
      </c>
      <c r="H95" s="5" t="str">
        <f>IFERROR(__xludf.DUMMYFUNCTION("GOOGLETRANSLATE(B95, ""en"", ""fr"")"),"Dans la FILC, quel est le style de lutte de quel pays connu sous le nom de Back-hold ?")</f>
        <v>Dans la FILC, quel est le style de lutte de quel pays connu sous le nom de Back-hold ?</v>
      </c>
      <c r="I95" s="5" t="str">
        <f>IFERROR(__xludf.DUMMYFUNCTION("GOOGLETRANSLATE(C95, ""en"", ""fr"")"),"A) Irlande, B) Bretagne, C) Cornouailles, D) Écosse")</f>
        <v>A) Irlande, B) Bretagne, C) Cornouailles, D) Écosse</v>
      </c>
      <c r="J95" s="5" t="str">
        <f>IFERROR(__xludf.DUMMYFUNCTION("GOOGLETRANSLATE(D95, ""en"", ""fr"")"),"D) Écosse")</f>
        <v>D) Écosse</v>
      </c>
      <c r="K95" s="5" t="str">
        <f>IFERROR(__xludf.DUMMYFUNCTION("GOOGLETRANSLATE(E95, ""en"", ""fr"")"),"La lutte écossaise en prise dorsale est un autre style celtique, connu pour sa prise de départ distinctive poitrine contre poitrine.")</f>
        <v>La lutte écossaise en prise dorsale est un autre style celtique, connu pour sa prise de départ distinctive poitrine contre poitrine.</v>
      </c>
    </row>
    <row r="96" ht="22.5" customHeight="1">
      <c r="A96" s="3">
        <v>95.0</v>
      </c>
      <c r="B96" s="4" t="s">
        <v>1272</v>
      </c>
      <c r="C96" s="4" t="s">
        <v>1273</v>
      </c>
      <c r="D96" s="4" t="s">
        <v>1274</v>
      </c>
      <c r="E96" s="4" t="s">
        <v>1316</v>
      </c>
      <c r="G96" s="5" t="str">
        <f>IFERROR(__xludf.DUMMYFUNCTION("GOOGLETRANSLATE(A96, ""en"", ""fr"")"),"95")</f>
        <v>95</v>
      </c>
      <c r="H96" s="5" t="str">
        <f>IFERROR(__xludf.DUMMYFUNCTION("GOOGLETRANSLATE(B96, ""en"", ""fr"")"),"Un lutteur remporte une projection, et le résultat est un kostin. Qu'est-ce que cela signifie ?")</f>
        <v>Un lutteur remporte une projection, et le résultat est un kostin. Qu'est-ce que cela signifie ?</v>
      </c>
      <c r="I96" s="5" t="str">
        <f>IFERROR(__xludf.DUMMYFUNCTION("GOOGLETRANSLATE(C96, ""en"", ""fr"")"),"A) L'adversaire a été blessé. B) La projection était parfaite. C) La projection n'a été que partiellement réussie, les deux lutteurs tombant. D) Le lutteur a triché.")</f>
        <v>A) L'adversaire a été blessé. B) La projection était parfaite. C) La projection n'a été que partiellement réussie, les deux lutteurs tombant. D) Le lutteur a triché.</v>
      </c>
      <c r="J96" s="5" t="str">
        <f>IFERROR(__xludf.DUMMYFUNCTION("GOOGLETRANSLATE(D96, ""en"", ""fr"")"),"C) La projection n'a été que partiellement réussie, les deux lutteurs tombant.")</f>
        <v>C) La projection n'a été que partiellement réussie, les deux lutteurs tombant.</v>
      </c>
      <c r="K96" s="5" t="str">
        <f>IFERROR(__xludf.DUMMYFUNCTION("GOOGLETRANSLATE(E96, ""en"", ""fr"")"),"Un kostin est un résultat où l'attaquant perd également l'équilibre et tombe, ce qui est un résultat moindre qu'un lamm propre.")</f>
        <v>Un kostin est un résultat où l'attaquant perd également l'équilibre et tombe, ce qui est un résultat moindre qu'un lamm propre.</v>
      </c>
    </row>
    <row r="97" ht="22.5" customHeight="1">
      <c r="A97" s="3">
        <v>96.0</v>
      </c>
      <c r="B97" s="4" t="s">
        <v>1403</v>
      </c>
      <c r="C97" s="4" t="s">
        <v>1404</v>
      </c>
      <c r="D97" s="4" t="s">
        <v>1405</v>
      </c>
      <c r="E97" s="4" t="s">
        <v>1406</v>
      </c>
      <c r="G97" s="5" t="str">
        <f>IFERROR(__xludf.DUMMYFUNCTION("GOOGLETRANSLATE(A97, ""en"", ""fr"")"),"96")</f>
        <v>96</v>
      </c>
      <c r="H97" s="5" t="str">
        <f>IFERROR(__xludf.DUMMYFUNCTION("GOOGLETRANSLATE(B97, ""en"", ""fr"")"),"À quel élément de la tenue du lutteur fait référence le mot « roched » ?")</f>
        <v>À quel élément de la tenue du lutteur fait référence le mot « roched » ?</v>
      </c>
      <c r="I97" s="5" t="str">
        <f>IFERROR(__xludf.DUMMYFUNCTION("GOOGLETRANSLATE(C97, ""en"", ""fr"")"),"A) Le pantalon, B) La ceinture, C) La chemise ou la veste blanche résistante à manches courtes, D) Les chaussures")</f>
        <v>A) Le pantalon, B) La ceinture, C) La chemise ou la veste blanche résistante à manches courtes, D) Les chaussures</v>
      </c>
      <c r="J97" s="5" t="str">
        <f>IFERROR(__xludf.DUMMYFUNCTION("GOOGLETRANSLATE(D97, ""en"", ""fr"")"),"C) La chemise ou la veste blanche résistante à manches courtes")</f>
        <v>C) La chemise ou la veste blanche résistante à manches courtes</v>
      </c>
      <c r="K97" s="5" t="str">
        <f>IFERROR(__xludf.DUMMYFUNCTION("GOOGLETRANSLATE(E97, ""en"", ""fr"")"),"Le roched est la veste robuste en lin ou en toile que les lutteurs tiennent fermement pendant le match.")</f>
        <v>Le roched est la veste robuste en lin ou en toile que les lutteurs tiennent fermement pendant le match.</v>
      </c>
    </row>
    <row r="98" ht="22.5" customHeight="1">
      <c r="A98" s="3">
        <v>97.0</v>
      </c>
      <c r="B98" s="4" t="s">
        <v>1348</v>
      </c>
      <c r="C98" s="4" t="s">
        <v>1349</v>
      </c>
      <c r="D98" s="4" t="s">
        <v>1350</v>
      </c>
      <c r="E98" s="4" t="s">
        <v>1351</v>
      </c>
      <c r="G98" s="5" t="str">
        <f>IFERROR(__xludf.DUMMYFUNCTION("GOOGLETRANSLATE(A98, ""en"", ""fr"")"),"97")</f>
        <v>97</v>
      </c>
      <c r="H98" s="5" t="str">
        <f>IFERROR(__xludf.DUMMYFUNCTION("GOOGLETRANSLATE(B98, ""en"", ""fr"")"),"Le serment du lutteur, « Je jure de combattre avec une loyauté totale », interdit principalement quoi ?")</f>
        <v>Le serment du lutteur, « Je jure de combattre avec une loyauté totale », interdit principalement quoi ?</v>
      </c>
      <c r="I98" s="5" t="str">
        <f>IFERROR(__xludf.DUMMYFUNCTION("GOOGLETRANSLATE(C98, ""en"", ""fr"")"),"A) Perdre le match, B) Toute forme de trahison ou de « coup bas », C) Parler pendant le match, D) Attaquer les jambes")</f>
        <v>A) Perdre le match, B) Toute forme de trahison ou de « coup bas », C) Parler pendant le match, D) Attaquer les jambes</v>
      </c>
      <c r="J98" s="5" t="str">
        <f>IFERROR(__xludf.DUMMYFUNCTION("GOOGLETRANSLATE(D98, ""en"", ""fr"")"),"B) Toute forme de trahison ou de « coups bas »,")</f>
        <v>B) Toute forme de trahison ou de « coups bas »,</v>
      </c>
      <c r="K98" s="5" t="str">
        <f>IFERROR(__xludf.DUMMYFUNCTION("GOOGLETRANSLATE(E98, ""en"", ""fr"")"),"Le serment est un engagement à combattre avec honneur, interdisant explicitement toute action qui ne repose pas sur une compétence juste et transparente.")</f>
        <v>Le serment est un engagement à combattre avec honneur, interdisant explicitement toute action qui ne repose pas sur une compétence juste et transparente.</v>
      </c>
    </row>
    <row r="99" ht="22.5" customHeight="1">
      <c r="A99" s="3">
        <v>98.0</v>
      </c>
      <c r="B99" s="4" t="s">
        <v>1407</v>
      </c>
      <c r="C99" s="4" t="s">
        <v>1408</v>
      </c>
      <c r="D99" s="4" t="s">
        <v>386</v>
      </c>
      <c r="E99" s="4" t="s">
        <v>1409</v>
      </c>
      <c r="G99" s="5" t="str">
        <f>IFERROR(__xludf.DUMMYFUNCTION("GOOGLETRANSLATE(A99, ""en"", ""fr"")"),"98")</f>
        <v>98</v>
      </c>
      <c r="H99" s="5" t="str">
        <f>IFERROR(__xludf.DUMMYFUNCTION("GOOGLETRANSLATE(B99, ""en"", ""fr"")"),"Quelle est la principale différence entre la lutte Gouren et la lutte libre olympique moderne ?")</f>
        <v>Quelle est la principale différence entre la lutte Gouren et la lutte libre olympique moderne ?</v>
      </c>
      <c r="I99" s="5" t="str">
        <f>IFERROR(__xludf.DUMMYFUNCTION("GOOGLETRANSLATE(C99, ""en"", ""fr"")"),"A) Les lutteurs de Gouren portent une veste (roched), tandis que les lutteurs de style libre portent un justaucorps. B) Le Gouren est un style de lutte debout uniquement. C) Le Gouren a une condition de victoire différente (lamm). D) Toutes les réponses c"&amp;"i-dessus.")</f>
        <v>A) Les lutteurs de Gouren portent une veste (roched), tandis que les lutteurs de style libre portent un justaucorps. B) Le Gouren est un style de lutte debout uniquement. C) Le Gouren a une condition de victoire différente (lamm). D) Toutes les réponses ci-dessus.</v>
      </c>
      <c r="J99" s="5" t="str">
        <f>IFERROR(__xludf.DUMMYFUNCTION("GOOGLETRANSLATE(D99, ""en"", ""fr"")"),"D) Toutes les réponses ci-dessus")</f>
        <v>D) Toutes les réponses ci-dessus</v>
      </c>
      <c r="K99" s="5" t="str">
        <f>IFERROR(__xludf.DUMMYFUNCTION("GOOGLETRANSLATE(E99, ""en"", ""fr"")"),"Le Gouren est un style de lutte complètement différent, avec son propre uniforme, ses règles et ses conditions de victoire uniques.")</f>
        <v>Le Gouren est un style de lutte complètement différent, avec son propre uniforme, ses règles et ses conditions de victoire uniques.</v>
      </c>
    </row>
    <row r="100" ht="22.5" customHeight="1">
      <c r="A100" s="3">
        <v>99.0</v>
      </c>
      <c r="B100" s="4" t="s">
        <v>1352</v>
      </c>
      <c r="C100" s="4" t="s">
        <v>1353</v>
      </c>
      <c r="D100" s="4" t="s">
        <v>1354</v>
      </c>
      <c r="E100" s="4" t="s">
        <v>1355</v>
      </c>
      <c r="G100" s="5" t="str">
        <f>IFERROR(__xludf.DUMMYFUNCTION("GOOGLETRANSLATE(A100, ""en"", ""fr"")"),"99")</f>
        <v>99</v>
      </c>
      <c r="H100" s="5" t="str">
        <f>IFERROR(__xludf.DUMMYFUNCTION("GOOGLETRANSLATE(B100, ""en"", ""fr"")"),"Un lutteur est connu pour son puissant « clic » (kliked). De quelle technique s'agit-il ?")</f>
        <v>Un lutteur est connu pour son puissant « clic » (kliked). De quelle technique s'agit-il ?</v>
      </c>
      <c r="I100" s="5" t="str">
        <f>IFERROR(__xludf.DUMMYFUNCTION("GOOGLETRANSLATE(C100, ""en"", ""fr"")"),"A) Un type de projection de hanche, B) Une projection puissante avec enroulement ou roulade, C) Un blocage défensif avec le pied, D) Le nom de la ceinture du lutteur")</f>
        <v>A) Un type de projection de hanche, B) Une projection puissante avec enroulement ou roulade, C) Un blocage défensif avec le pied, D) Le nom de la ceinture du lutteur</v>
      </c>
      <c r="J100" s="5" t="str">
        <f>IFERROR(__xludf.DUMMYFUNCTION("GOOGLETRANSLATE(D100, ""en"", ""fr"")"),"B) Un puissant mouvement de torsion ou de roulement")</f>
        <v>B) Un puissant mouvement de torsion ou de roulement</v>
      </c>
      <c r="K100" s="5" t="str">
        <f>IFERROR(__xludf.DUMMYFUNCTION("GOOGLETRANSLATE(E100, ""en"", ""fr"")"),"Le kliked est l'une des projections les plus caractéristiques et efficaces de ce sport, impliquant un puissant mouvement de rotation pour déséquilibrer l'adversaire.")</f>
        <v>Le kliked est l'une des projections les plus caractéristiques et efficaces de ce sport, impliquant un puissant mouvement de rotation pour déséquilibrer l'adversaire.</v>
      </c>
    </row>
    <row r="101" ht="22.5" customHeight="1">
      <c r="A101" s="3">
        <v>100.0</v>
      </c>
      <c r="B101" s="4" t="s">
        <v>1264</v>
      </c>
      <c r="C101" s="4" t="s">
        <v>1265</v>
      </c>
      <c r="D101" s="4" t="s">
        <v>1266</v>
      </c>
      <c r="E101" s="4" t="s">
        <v>1267</v>
      </c>
      <c r="G101" s="5" t="str">
        <f>IFERROR(__xludf.DUMMYFUNCTION("GOOGLETRANSLATE(A101, ""en"", ""fr"")"),"100")</f>
        <v>100</v>
      </c>
      <c r="H101" s="5" t="str">
        <f>IFERROR(__xludf.DUMMYFUNCTION("GOOGLETRANSLATE(B101, ""en"", ""fr"")"),"La fédération Gouren moderne est affiliée à quelle instance sportive française plus importante ?")</f>
        <v>La fédération Gouren moderne est affiliée à quelle instance sportive française plus importante ?</v>
      </c>
      <c r="I101" s="5" t="str">
        <f>IFERROR(__xludf.DUMMYFUNCTION("GOOGLETRANSLATE(C101, ""en"", ""fr"")"),"A) La Fédération Française de Football, B) La Fédération Française de Judo, C) La Fédération Française de Lutte (FFL), D) Le Comité Olympique Français")</f>
        <v>A) La Fédération Française de Football, B) La Fédération Française de Judo, C) La Fédération Française de Lutte (FFL), D) Le Comité Olympique Français</v>
      </c>
      <c r="J101" s="5" t="str">
        <f>IFERROR(__xludf.DUMMYFUNCTION("GOOGLETRANSLATE(D101, ""en"", ""fr"")"),"C) La Fédération Française de Lutte (FFL)")</f>
        <v>C) La Fédération Française de Lutte (FFL)</v>
      </c>
      <c r="K101" s="5" t="str">
        <f>IFERROR(__xludf.DUMMYFUNCTION("GOOGLETRANSLATE(E101, ""en"", ""fr"")"),"Le gouren est officiellement reconnu et administré comme un style de lutte régional sous l'égide de la Fédération Française de Lutte.")</f>
        <v>Le gouren est officiellement reconnu et administré comme un style de lutte régional sous l'égide de la Fédération Française de Lutte.</v>
      </c>
    </row>
    <row r="102" ht="22.5" customHeight="1">
      <c r="A102" s="3">
        <v>101.0</v>
      </c>
      <c r="B102" s="4" t="s">
        <v>1285</v>
      </c>
      <c r="C102" s="4" t="s">
        <v>1410</v>
      </c>
      <c r="D102" s="4" t="s">
        <v>386</v>
      </c>
      <c r="E102" s="4" t="s">
        <v>1287</v>
      </c>
      <c r="G102" s="5" t="str">
        <f>IFERROR(__xludf.DUMMYFUNCTION("GOOGLETRANSLATE(A102, ""en"", ""fr"")"),"101")</f>
        <v>101</v>
      </c>
      <c r="H102" s="5" t="str">
        <f>IFERROR(__xludf.DUMMYFUNCTION("GOOGLETRANSLATE(B102, ""en"", ""fr"")"),"Quelle est la principale raison pour laquelle les coups (poings et pieds) sont interdits à Gouren ?")</f>
        <v>Quelle est la principale raison pour laquelle les coups (poings et pieds) sont interdits à Gouren ?</v>
      </c>
      <c r="I102" s="5" t="str">
        <f>IFERROR(__xludf.DUMMYFUNCTION("GOOGLETRANSLATE(C102, ""en"", ""fr"")"),"A) C'est un art martial de préhension pure, axé sur les projections et l'équilibre. B) Ce serait trop dangereux. C) Les lutteurs ne portent pas de gants. D) Toutes les réponses ci-dessus.")</f>
        <v>A) C'est un art martial de préhension pure, axé sur les projections et l'équilibre. B) Ce serait trop dangereux. C) Les lutteurs ne portent pas de gants. D) Toutes les réponses ci-dessus.</v>
      </c>
      <c r="J102" s="5" t="str">
        <f>IFERROR(__xludf.DUMMYFUNCTION("GOOGLETRANSLATE(D102, ""en"", ""fr"")"),"D) Toutes les réponses ci-dessus")</f>
        <v>D) Toutes les réponses ci-dessus</v>
      </c>
      <c r="K102" s="5" t="str">
        <f>IFERROR(__xludf.DUMMYFUNCTION("GOOGLETRANSLATE(E102, ""en"", ""fr"")"),"Les règles de Gouren ont été codifiées pour en faire un sport sûr et technique de lutte pure, distinct des arts martiaux de frappe.")</f>
        <v>Les règles de Gouren ont été codifiées pour en faire un sport sûr et technique de lutte pure, distinct des arts martiaux de frappe.</v>
      </c>
    </row>
    <row r="103" ht="22.5" customHeight="1">
      <c r="A103" s="3">
        <v>102.0</v>
      </c>
      <c r="B103" s="4" t="s">
        <v>1268</v>
      </c>
      <c r="C103" s="4" t="s">
        <v>1269</v>
      </c>
      <c r="D103" s="4" t="s">
        <v>1270</v>
      </c>
      <c r="E103" s="4" t="s">
        <v>1271</v>
      </c>
      <c r="G103" s="5" t="str">
        <f>IFERROR(__xludf.DUMMYFUNCTION("GOOGLETRANSLATE(A103, ""en"", ""fr"")"),"102")</f>
        <v>102</v>
      </c>
      <c r="H103" s="5" t="str">
        <f>IFERROR(__xludf.DUMMYFUNCTION("GOOGLETRANSLATE(B103, ""en"", ""fr"")"),"Dans la FILC, quel est le style de lutte de quel pays connu sous le nom de Back-hold ?")</f>
        <v>Dans la FILC, quel est le style de lutte de quel pays connu sous le nom de Back-hold ?</v>
      </c>
      <c r="I103" s="5" t="str">
        <f>IFERROR(__xludf.DUMMYFUNCTION("GOOGLETRANSLATE(C103, ""en"", ""fr"")"),"A) Irlande, B) Bretagne, C) Cornouailles, D) Écosse")</f>
        <v>A) Irlande, B) Bretagne, C) Cornouailles, D) Écosse</v>
      </c>
      <c r="J103" s="5" t="str">
        <f>IFERROR(__xludf.DUMMYFUNCTION("GOOGLETRANSLATE(D103, ""en"", ""fr"")"),"D) Écosse")</f>
        <v>D) Écosse</v>
      </c>
      <c r="K103" s="5" t="str">
        <f>IFERROR(__xludf.DUMMYFUNCTION("GOOGLETRANSLATE(E103, ""en"", ""fr"")"),"La lutte écossaise en prise dorsale est un autre style celtique, connu pour sa prise de départ distinctive poitrine contre poitrine.")</f>
        <v>La lutte écossaise en prise dorsale est un autre style celtique, connu pour sa prise de départ distinctive poitrine contre poitrine.</v>
      </c>
    </row>
    <row r="104" ht="22.5" customHeight="1">
      <c r="A104" s="3">
        <v>103.0</v>
      </c>
      <c r="B104" s="4" t="s">
        <v>1272</v>
      </c>
      <c r="C104" s="4" t="s">
        <v>1273</v>
      </c>
      <c r="D104" s="4" t="s">
        <v>1274</v>
      </c>
      <c r="E104" s="4" t="s">
        <v>1316</v>
      </c>
      <c r="G104" s="5" t="str">
        <f>IFERROR(__xludf.DUMMYFUNCTION("GOOGLETRANSLATE(A104, ""en"", ""fr"")"),"103")</f>
        <v>103</v>
      </c>
      <c r="H104" s="5" t="str">
        <f>IFERROR(__xludf.DUMMYFUNCTION("GOOGLETRANSLATE(B104, ""en"", ""fr"")"),"Un lutteur remporte une projection, et le résultat est un kostin. Qu'est-ce que cela signifie ?")</f>
        <v>Un lutteur remporte une projection, et le résultat est un kostin. Qu'est-ce que cela signifie ?</v>
      </c>
      <c r="I104" s="5" t="str">
        <f>IFERROR(__xludf.DUMMYFUNCTION("GOOGLETRANSLATE(C104, ""en"", ""fr"")"),"A) L'adversaire a été blessé. B) La projection était parfaite. C) La projection n'a été que partiellement réussie, les deux lutteurs tombant. D) Le lutteur a triché.")</f>
        <v>A) L'adversaire a été blessé. B) La projection était parfaite. C) La projection n'a été que partiellement réussie, les deux lutteurs tombant. D) Le lutteur a triché.</v>
      </c>
      <c r="J104" s="5" t="str">
        <f>IFERROR(__xludf.DUMMYFUNCTION("GOOGLETRANSLATE(D104, ""en"", ""fr"")"),"C) La projection n'a été que partiellement réussie, les deux lutteurs tombant.")</f>
        <v>C) La projection n'a été que partiellement réussie, les deux lutteurs tombant.</v>
      </c>
      <c r="K104" s="5" t="str">
        <f>IFERROR(__xludf.DUMMYFUNCTION("GOOGLETRANSLATE(E104, ""en"", ""fr"")"),"Un kostin est un résultat où l'attaquant perd également l'équilibre et tombe, ce qui est un résultat moindre qu'un lamm propre.")</f>
        <v>Un kostin est un résultat où l'attaquant perd également l'équilibre et tombe, ce qui est un résultat moindre qu'un lamm propre.</v>
      </c>
    </row>
    <row r="105" ht="22.5" customHeight="1">
      <c r="A105" s="3">
        <v>104.0</v>
      </c>
      <c r="B105" s="4" t="s">
        <v>1276</v>
      </c>
      <c r="C105" s="4" t="s">
        <v>1277</v>
      </c>
      <c r="D105" s="4" t="s">
        <v>1278</v>
      </c>
      <c r="E105" s="4" t="s">
        <v>1279</v>
      </c>
      <c r="G105" s="5" t="str">
        <f>IFERROR(__xludf.DUMMYFUNCTION("GOOGLETRANSLATE(A105, ""en"", ""fr"")"),"104")</f>
        <v>104</v>
      </c>
      <c r="H105" s="5" t="str">
        <f>IFERROR(__xludf.DUMMYFUNCTION("GOOGLETRANSLATE(B105, ""en"", ""fr"")"),"Un lutteur est pénalisé pour avoir saisi le bragoù (pantalon) de son adversaire. Cette décision est-elle justifiée ?")</f>
        <v>Un lutteur est pénalisé pour avoir saisi le bragoù (pantalon) de son adversaire. Cette décision est-elle justifiée ?</v>
      </c>
      <c r="I105" s="5" t="str">
        <f>IFERROR(__xludf.DUMMYFUNCTION("GOOGLETRANSLATE(C105, ""en"", ""fr"")"),"A) Non, cela fait partie intégrante du catch en veste. B) Oui, toutes les prises doivent être effectuées sur le haut du corps (chemise). C) Uniquement si le pantalon se déchire. D) Uniquement lors d'un tournoi majeur.")</f>
        <v>A) Non, cela fait partie intégrante du catch en veste. B) Oui, toutes les prises doivent être effectuées sur le haut du corps (chemise). C) Uniquement si le pantalon se déchire. D) Uniquement lors d'un tournoi majeur.</v>
      </c>
      <c r="J105" s="5" t="str">
        <f>IFERROR(__xludf.DUMMYFUNCTION("GOOGLETRANSLATE(D105, ""en"", ""fr"")"),"B) Oui, toutes les prises doivent être sur le haut du corps (chemise).")</f>
        <v>B) Oui, toutes les prises doivent être sur le haut du corps (chemise).</v>
      </c>
      <c r="K105" s="5" t="str">
        <f>IFERROR(__xludf.DUMMYFUNCTION("GOOGLETRANSLATE(E105, ""en"", ""fr"")"),"Les règles du Gouren sont précises : la prise est limitée à la veste de lutte de l’adversaire. Saisir le pantalon est une faute.")</f>
        <v>Les règles du Gouren sont précises : la prise est limitée à la veste de lutte de l’adversaire. Saisir le pantalon est une faute.</v>
      </c>
    </row>
    <row r="106" ht="22.5" customHeight="1">
      <c r="A106" s="3">
        <v>105.0</v>
      </c>
      <c r="B106" s="4" t="s">
        <v>1403</v>
      </c>
      <c r="C106" s="4" t="s">
        <v>1404</v>
      </c>
      <c r="D106" s="4" t="s">
        <v>1405</v>
      </c>
      <c r="E106" s="4" t="s">
        <v>1406</v>
      </c>
      <c r="G106" s="5" t="str">
        <f>IFERROR(__xludf.DUMMYFUNCTION("GOOGLETRANSLATE(A106, ""en"", ""fr"")"),"105")</f>
        <v>105</v>
      </c>
      <c r="H106" s="5" t="str">
        <f>IFERROR(__xludf.DUMMYFUNCTION("GOOGLETRANSLATE(B106, ""en"", ""fr"")"),"À quel élément de la tenue du lutteur fait référence le mot « roched » ?")</f>
        <v>À quel élément de la tenue du lutteur fait référence le mot « roched » ?</v>
      </c>
      <c r="I106" s="5" t="str">
        <f>IFERROR(__xludf.DUMMYFUNCTION("GOOGLETRANSLATE(C106, ""en"", ""fr"")"),"A) Le pantalon, B) La ceinture, C) La chemise ou la veste blanche résistante à manches courtes, D) Les chaussures")</f>
        <v>A) Le pantalon, B) La ceinture, C) La chemise ou la veste blanche résistante à manches courtes, D) Les chaussures</v>
      </c>
      <c r="J106" s="5" t="str">
        <f>IFERROR(__xludf.DUMMYFUNCTION("GOOGLETRANSLATE(D106, ""en"", ""fr"")"),"C) La chemise ou la veste blanche résistante à manches courtes")</f>
        <v>C) La chemise ou la veste blanche résistante à manches courtes</v>
      </c>
      <c r="K106" s="5" t="str">
        <f>IFERROR(__xludf.DUMMYFUNCTION("GOOGLETRANSLATE(E106, ""en"", ""fr"")"),"Le roched est la veste robuste en lin ou en toile que les lutteurs tiennent fermement pendant le match.")</f>
        <v>Le roched est la veste robuste en lin ou en toile que les lutteurs tiennent fermement pendant le match.</v>
      </c>
    </row>
    <row r="107" ht="22.5" customHeight="1">
      <c r="A107" s="3">
        <v>106.0</v>
      </c>
      <c r="B107" s="4" t="s">
        <v>1411</v>
      </c>
      <c r="C107" s="4" t="s">
        <v>1412</v>
      </c>
      <c r="D107" s="4" t="s">
        <v>1413</v>
      </c>
      <c r="E107" s="4" t="s">
        <v>1414</v>
      </c>
      <c r="G107" s="5" t="str">
        <f>IFERROR(__xludf.DUMMYFUNCTION("GOOGLETRANSLATE(A107, ""en"", ""fr"")"),"106")</f>
        <v>106</v>
      </c>
      <c r="H107" s="5" t="str">
        <f>IFERROR(__xludf.DUMMYFUNCTION("GOOGLETRANSLATE(B107, ""en"", ""fr"")"),"Quel est le rôle principal des skoliou (écoles Gouren) aujourd'hui ?")</f>
        <v>Quel est le rôle principal des skoliou (écoles Gouren) aujourd'hui ?</v>
      </c>
      <c r="I107" s="5" t="str">
        <f>IFERROR(__xludf.DUMMYFUNCTION("GOOGLETRANSLATE(C107, ""en"", ""fr"")"),"A) Former des champions professionnels, B) Transmettre le sport et ses valeurs éthiques à une nouvelle génération, y compris les enfants, C) Être un club social pour adultes, D) Générer des revenus pour la fédération")</f>
        <v>A) Former des champions professionnels, B) Transmettre le sport et ses valeurs éthiques à une nouvelle génération, y compris les enfants, C) Être un club social pour adultes, D) Générer des revenus pour la fédération</v>
      </c>
      <c r="J107" s="5" t="str">
        <f>IFERROR(__xludf.DUMMYFUNCTION("GOOGLETRANSLATE(D107, ""en"", ""fr"")"),"B) Transmettre ce sport et ses valeurs éthiques à une nouvelle génération, y compris aux enfants")</f>
        <v>B) Transmettre ce sport et ses valeurs éthiques à une nouvelle génération, y compris aux enfants</v>
      </c>
      <c r="K107" s="5" t="str">
        <f>IFERROR(__xludf.DUMMYFUNCTION("GOOGLETRANSLATE(E107, ""en"", ""fr"")"),"Les écoles constituent la base de ce sport, axées sur l'éducation, la préservation culturelle et le développement personnel de leurs élèves.")</f>
        <v>Les écoles constituent la base de ce sport, axées sur l'éducation, la préservation culturelle et le développement personnel de leurs élèves.</v>
      </c>
    </row>
    <row r="108" ht="22.5" customHeight="1">
      <c r="A108" s="3">
        <v>107.0</v>
      </c>
      <c r="B108" s="4" t="s">
        <v>1407</v>
      </c>
      <c r="C108" s="4" t="s">
        <v>1408</v>
      </c>
      <c r="D108" s="4" t="s">
        <v>386</v>
      </c>
      <c r="E108" s="4" t="s">
        <v>1409</v>
      </c>
      <c r="G108" s="5" t="str">
        <f>IFERROR(__xludf.DUMMYFUNCTION("GOOGLETRANSLATE(A108, ""en"", ""fr"")"),"107")</f>
        <v>107</v>
      </c>
      <c r="H108" s="5" t="str">
        <f>IFERROR(__xludf.DUMMYFUNCTION("GOOGLETRANSLATE(B108, ""en"", ""fr"")"),"Quelle est la principale différence entre la lutte Gouren et la lutte libre olympique moderne ?")</f>
        <v>Quelle est la principale différence entre la lutte Gouren et la lutte libre olympique moderne ?</v>
      </c>
      <c r="I108" s="5" t="str">
        <f>IFERROR(__xludf.DUMMYFUNCTION("GOOGLETRANSLATE(C108, ""en"", ""fr"")"),"A) Les lutteurs de Gouren portent une veste (roched), tandis que les lutteurs de style libre portent un justaucorps. B) Le Gouren est un style de lutte debout uniquement. C) Le Gouren a une condition de victoire différente (lamm). D) Toutes les réponses c"&amp;"i-dessus.")</f>
        <v>A) Les lutteurs de Gouren portent une veste (roched), tandis que les lutteurs de style libre portent un justaucorps. B) Le Gouren est un style de lutte debout uniquement. C) Le Gouren a une condition de victoire différente (lamm). D) Toutes les réponses ci-dessus.</v>
      </c>
      <c r="J108" s="5" t="str">
        <f>IFERROR(__xludf.DUMMYFUNCTION("GOOGLETRANSLATE(D108, ""en"", ""fr"")"),"D) Toutes les réponses ci-dessus")</f>
        <v>D) Toutes les réponses ci-dessus</v>
      </c>
      <c r="K108" s="5" t="str">
        <f>IFERROR(__xludf.DUMMYFUNCTION("GOOGLETRANSLATE(E108, ""en"", ""fr"")"),"Le Gouren est un style de lutte complètement différent, avec son propre uniforme, ses règles et ses conditions de victoire uniques.")</f>
        <v>Le Gouren est un style de lutte complètement différent, avec son propre uniforme, ses règles et ses conditions de victoire uniques.</v>
      </c>
    </row>
    <row r="109" ht="22.5" customHeight="1">
      <c r="A109" s="3">
        <v>108.0</v>
      </c>
      <c r="B109" s="4" t="s">
        <v>1352</v>
      </c>
      <c r="C109" s="4" t="s">
        <v>1353</v>
      </c>
      <c r="D109" s="4" t="s">
        <v>1354</v>
      </c>
      <c r="E109" s="4" t="s">
        <v>1355</v>
      </c>
      <c r="G109" s="5" t="str">
        <f>IFERROR(__xludf.DUMMYFUNCTION("GOOGLETRANSLATE(A109, ""en"", ""fr"")"),"108")</f>
        <v>108</v>
      </c>
      <c r="H109" s="5" t="str">
        <f>IFERROR(__xludf.DUMMYFUNCTION("GOOGLETRANSLATE(B109, ""en"", ""fr"")"),"Un lutteur est connu pour son puissant « clic » (kliked). De quelle technique s'agit-il ?")</f>
        <v>Un lutteur est connu pour son puissant « clic » (kliked). De quelle technique s'agit-il ?</v>
      </c>
      <c r="I109" s="5" t="str">
        <f>IFERROR(__xludf.DUMMYFUNCTION("GOOGLETRANSLATE(C109, ""en"", ""fr"")"),"A) Un type de projection de hanche, B) Une projection puissante avec enroulement ou roulade, C) Un blocage défensif avec le pied, D) Le nom de la ceinture du lutteur")</f>
        <v>A) Un type de projection de hanche, B) Une projection puissante avec enroulement ou roulade, C) Un blocage défensif avec le pied, D) Le nom de la ceinture du lutteur</v>
      </c>
      <c r="J109" s="5" t="str">
        <f>IFERROR(__xludf.DUMMYFUNCTION("GOOGLETRANSLATE(D109, ""en"", ""fr"")"),"B) Un puissant mouvement de torsion ou de roulement")</f>
        <v>B) Un puissant mouvement de torsion ou de roulement</v>
      </c>
      <c r="K109" s="5" t="str">
        <f>IFERROR(__xludf.DUMMYFUNCTION("GOOGLETRANSLATE(E109, ""en"", ""fr"")"),"Le kliked est l'une des projections les plus caractéristiques et efficaces de ce sport, impliquant un puissant mouvement de rotation pour déséquilibrer l'adversaire.")</f>
        <v>Le kliked est l'une des projections les plus caractéristiques et efficaces de ce sport, impliquant un puissant mouvement de rotation pour déséquilibrer l'adversaire.</v>
      </c>
    </row>
    <row r="110" ht="22.5" customHeight="1">
      <c r="A110" s="3">
        <v>109.0</v>
      </c>
      <c r="B110" s="4" t="s">
        <v>1264</v>
      </c>
      <c r="C110" s="4" t="s">
        <v>1265</v>
      </c>
      <c r="D110" s="4" t="s">
        <v>1266</v>
      </c>
      <c r="E110" s="4" t="s">
        <v>1267</v>
      </c>
      <c r="G110" s="5" t="str">
        <f>IFERROR(__xludf.DUMMYFUNCTION("GOOGLETRANSLATE(A110, ""en"", ""fr"")"),"109")</f>
        <v>109</v>
      </c>
      <c r="H110" s="5" t="str">
        <f>IFERROR(__xludf.DUMMYFUNCTION("GOOGLETRANSLATE(B110, ""en"", ""fr"")"),"La fédération Gouren moderne est affiliée à quelle instance sportive française plus importante ?")</f>
        <v>La fédération Gouren moderne est affiliée à quelle instance sportive française plus importante ?</v>
      </c>
      <c r="I110" s="5" t="str">
        <f>IFERROR(__xludf.DUMMYFUNCTION("GOOGLETRANSLATE(C110, ""en"", ""fr"")"),"A) La Fédération Française de Football, B) La Fédération Française de Judo, C) La Fédération Française de Lutte (FFL), D) Le Comité Olympique Français")</f>
        <v>A) La Fédération Française de Football, B) La Fédération Française de Judo, C) La Fédération Française de Lutte (FFL), D) Le Comité Olympique Français</v>
      </c>
      <c r="J110" s="5" t="str">
        <f>IFERROR(__xludf.DUMMYFUNCTION("GOOGLETRANSLATE(D110, ""en"", ""fr"")"),"C) La Fédération Française de Lutte (FFL)")</f>
        <v>C) La Fédération Française de Lutte (FFL)</v>
      </c>
      <c r="K110" s="5" t="str">
        <f>IFERROR(__xludf.DUMMYFUNCTION("GOOGLETRANSLATE(E110, ""en"", ""fr"")"),"Le gouren est officiellement reconnu et administré comme un style de lutte régional sous l'égide de la Fédération Française de Lutte.")</f>
        <v>Le gouren est officiellement reconnu et administré comme un style de lutte régional sous l'égide de la Fédération Française de Lutte.</v>
      </c>
    </row>
    <row r="111" ht="22.5" customHeight="1">
      <c r="A111" s="3">
        <v>110.0</v>
      </c>
      <c r="B111" s="4" t="s">
        <v>1285</v>
      </c>
      <c r="C111" s="4" t="s">
        <v>1410</v>
      </c>
      <c r="D111" s="4" t="s">
        <v>386</v>
      </c>
      <c r="E111" s="4" t="s">
        <v>1287</v>
      </c>
      <c r="G111" s="5" t="str">
        <f>IFERROR(__xludf.DUMMYFUNCTION("GOOGLETRANSLATE(A111, ""en"", ""fr"")"),"110")</f>
        <v>110</v>
      </c>
      <c r="H111" s="5" t="str">
        <f>IFERROR(__xludf.DUMMYFUNCTION("GOOGLETRANSLATE(B111, ""en"", ""fr"")"),"Quelle est la principale raison pour laquelle les coups (poings et pieds) sont interdits à Gouren ?")</f>
        <v>Quelle est la principale raison pour laquelle les coups (poings et pieds) sont interdits à Gouren ?</v>
      </c>
      <c r="I111" s="5" t="str">
        <f>IFERROR(__xludf.DUMMYFUNCTION("GOOGLETRANSLATE(C111, ""en"", ""fr"")"),"A) C'est un art martial de préhension pure, axé sur les projections et l'équilibre. B) Ce serait trop dangereux. C) Les lutteurs ne portent pas de gants. D) Toutes les réponses ci-dessus.")</f>
        <v>A) C'est un art martial de préhension pure, axé sur les projections et l'équilibre. B) Ce serait trop dangereux. C) Les lutteurs ne portent pas de gants. D) Toutes les réponses ci-dessus.</v>
      </c>
      <c r="J111" s="5" t="str">
        <f>IFERROR(__xludf.DUMMYFUNCTION("GOOGLETRANSLATE(D111, ""en"", ""fr"")"),"D) Toutes les réponses ci-dessus")</f>
        <v>D) Toutes les réponses ci-dessus</v>
      </c>
      <c r="K111" s="5" t="str">
        <f>IFERROR(__xludf.DUMMYFUNCTION("GOOGLETRANSLATE(E111, ""en"", ""fr"")"),"Les règles de Gouren ont été codifiées pour en faire un sport sûr et technique de lutte pure, distinct des arts martiaux de frappe.")</f>
        <v>Les règles de Gouren ont été codifiées pour en faire un sport sûr et technique de lutte pure, distinct des arts martiaux de frappe.</v>
      </c>
    </row>
    <row r="112" ht="22.5" customHeight="1">
      <c r="A112" s="3">
        <v>111.0</v>
      </c>
      <c r="B112" s="4" t="s">
        <v>1268</v>
      </c>
      <c r="C112" s="4" t="s">
        <v>1269</v>
      </c>
      <c r="D112" s="4" t="s">
        <v>1270</v>
      </c>
      <c r="E112" s="4" t="s">
        <v>1271</v>
      </c>
      <c r="G112" s="5" t="str">
        <f>IFERROR(__xludf.DUMMYFUNCTION("GOOGLETRANSLATE(A112, ""en"", ""fr"")"),"111")</f>
        <v>111</v>
      </c>
      <c r="H112" s="5" t="str">
        <f>IFERROR(__xludf.DUMMYFUNCTION("GOOGLETRANSLATE(B112, ""en"", ""fr"")"),"Dans la FILC, quel est le style de lutte de quel pays connu sous le nom de Back-hold ?")</f>
        <v>Dans la FILC, quel est le style de lutte de quel pays connu sous le nom de Back-hold ?</v>
      </c>
      <c r="I112" s="5" t="str">
        <f>IFERROR(__xludf.DUMMYFUNCTION("GOOGLETRANSLATE(C112, ""en"", ""fr"")"),"A) Irlande, B) Bretagne, C) Cornouailles, D) Écosse")</f>
        <v>A) Irlande, B) Bretagne, C) Cornouailles, D) Écosse</v>
      </c>
      <c r="J112" s="5" t="str">
        <f>IFERROR(__xludf.DUMMYFUNCTION("GOOGLETRANSLATE(D112, ""en"", ""fr"")"),"D) Écosse")</f>
        <v>D) Écosse</v>
      </c>
      <c r="K112" s="5" t="str">
        <f>IFERROR(__xludf.DUMMYFUNCTION("GOOGLETRANSLATE(E112, ""en"", ""fr"")"),"La lutte écossaise en prise dorsale est un autre style celtique, connu pour sa prise de départ distinctive poitrine contre poitrine.")</f>
        <v>La lutte écossaise en prise dorsale est un autre style celtique, connu pour sa prise de départ distinctive poitrine contre poitrine.</v>
      </c>
    </row>
    <row r="113" ht="22.5" customHeight="1">
      <c r="A113" s="3">
        <v>112.0</v>
      </c>
      <c r="B113" s="4" t="s">
        <v>1272</v>
      </c>
      <c r="C113" s="4" t="s">
        <v>1273</v>
      </c>
      <c r="D113" s="4" t="s">
        <v>1274</v>
      </c>
      <c r="E113" s="4" t="s">
        <v>1316</v>
      </c>
      <c r="G113" s="5" t="str">
        <f>IFERROR(__xludf.DUMMYFUNCTION("GOOGLETRANSLATE(A113, ""en"", ""fr"")"),"112")</f>
        <v>112</v>
      </c>
      <c r="H113" s="5" t="str">
        <f>IFERROR(__xludf.DUMMYFUNCTION("GOOGLETRANSLATE(B113, ""en"", ""fr"")"),"Un lutteur remporte une projection, et le résultat est un kostin. Qu'est-ce que cela signifie ?")</f>
        <v>Un lutteur remporte une projection, et le résultat est un kostin. Qu'est-ce que cela signifie ?</v>
      </c>
      <c r="I113" s="5" t="str">
        <f>IFERROR(__xludf.DUMMYFUNCTION("GOOGLETRANSLATE(C113, ""en"", ""fr"")"),"A) L'adversaire a été blessé. B) La projection était parfaite. C) La projection n'a été que partiellement réussie, les deux lutteurs tombant. D) Le lutteur a triché.")</f>
        <v>A) L'adversaire a été blessé. B) La projection était parfaite. C) La projection n'a été que partiellement réussie, les deux lutteurs tombant. D) Le lutteur a triché.</v>
      </c>
      <c r="J113" s="5" t="str">
        <f>IFERROR(__xludf.DUMMYFUNCTION("GOOGLETRANSLATE(D113, ""en"", ""fr"")"),"C) La projection n'a été que partiellement réussie, les deux lutteurs tombant.")</f>
        <v>C) La projection n'a été que partiellement réussie, les deux lutteurs tombant.</v>
      </c>
      <c r="K113" s="5" t="str">
        <f>IFERROR(__xludf.DUMMYFUNCTION("GOOGLETRANSLATE(E113, ""en"", ""fr"")"),"Un kostin est un résultat où l'attaquant perd également l'équilibre et tombe, ce qui est un résultat moindre qu'un lamm propre.")</f>
        <v>Un kostin est un résultat où l'attaquant perd également l'équilibre et tombe, ce qui est un résultat moindre qu'un lamm propre.</v>
      </c>
    </row>
    <row r="114" ht="22.5" customHeight="1">
      <c r="A114" s="3">
        <v>113.0</v>
      </c>
      <c r="B114" s="4" t="s">
        <v>1276</v>
      </c>
      <c r="C114" s="4" t="s">
        <v>1277</v>
      </c>
      <c r="D114" s="4" t="s">
        <v>1278</v>
      </c>
      <c r="E114" s="4" t="s">
        <v>1279</v>
      </c>
      <c r="G114" s="5" t="str">
        <f>IFERROR(__xludf.DUMMYFUNCTION("GOOGLETRANSLATE(A114, ""en"", ""fr"")"),"113")</f>
        <v>113</v>
      </c>
      <c r="H114" s="5" t="str">
        <f>IFERROR(__xludf.DUMMYFUNCTION("GOOGLETRANSLATE(B114, ""en"", ""fr"")"),"Un lutteur est pénalisé pour avoir saisi le bragoù (pantalon) de son adversaire. Cette décision est-elle justifiée ?")</f>
        <v>Un lutteur est pénalisé pour avoir saisi le bragoù (pantalon) de son adversaire. Cette décision est-elle justifiée ?</v>
      </c>
      <c r="I114" s="5" t="str">
        <f>IFERROR(__xludf.DUMMYFUNCTION("GOOGLETRANSLATE(C114, ""en"", ""fr"")"),"A) Non, cela fait partie intégrante du catch en veste. B) Oui, toutes les prises doivent être effectuées sur le haut du corps (chemise). C) Uniquement si le pantalon se déchire. D) Uniquement lors d'un tournoi majeur.")</f>
        <v>A) Non, cela fait partie intégrante du catch en veste. B) Oui, toutes les prises doivent être effectuées sur le haut du corps (chemise). C) Uniquement si le pantalon se déchire. D) Uniquement lors d'un tournoi majeur.</v>
      </c>
      <c r="J114" s="5" t="str">
        <f>IFERROR(__xludf.DUMMYFUNCTION("GOOGLETRANSLATE(D114, ""en"", ""fr"")"),"B) Oui, toutes les prises doivent être sur le haut du corps (chemise).")</f>
        <v>B) Oui, toutes les prises doivent être sur le haut du corps (chemise).</v>
      </c>
      <c r="K114" s="5" t="str">
        <f>IFERROR(__xludf.DUMMYFUNCTION("GOOGLETRANSLATE(E114, ""en"", ""fr"")"),"Les règles du Gouren sont précises : la prise est limitée à la veste de lutte de l’adversaire. Saisir le pantalon est une faute.")</f>
        <v>Les règles du Gouren sont précises : la prise est limitée à la veste de lutte de l’adversaire. Saisir le pantalon est une faute.</v>
      </c>
    </row>
    <row r="115" ht="22.5" customHeight="1">
      <c r="A115" s="3">
        <v>114.0</v>
      </c>
      <c r="B115" s="4" t="s">
        <v>1403</v>
      </c>
      <c r="C115" s="4" t="s">
        <v>1404</v>
      </c>
      <c r="D115" s="4" t="s">
        <v>1405</v>
      </c>
      <c r="E115" s="4" t="s">
        <v>1406</v>
      </c>
      <c r="G115" s="5" t="str">
        <f>IFERROR(__xludf.DUMMYFUNCTION("GOOGLETRANSLATE(A115, ""en"", ""fr"")"),"114")</f>
        <v>114</v>
      </c>
      <c r="H115" s="5" t="str">
        <f>IFERROR(__xludf.DUMMYFUNCTION("GOOGLETRANSLATE(B115, ""en"", ""fr"")"),"À quel élément de la tenue du lutteur fait référence le mot « roched » ?")</f>
        <v>À quel élément de la tenue du lutteur fait référence le mot « roched » ?</v>
      </c>
      <c r="I115" s="5" t="str">
        <f>IFERROR(__xludf.DUMMYFUNCTION("GOOGLETRANSLATE(C115, ""en"", ""fr"")"),"A) Le pantalon, B) La ceinture, C) La chemise ou la veste blanche résistante à manches courtes, D) Les chaussures")</f>
        <v>A) Le pantalon, B) La ceinture, C) La chemise ou la veste blanche résistante à manches courtes, D) Les chaussures</v>
      </c>
      <c r="J115" s="5" t="str">
        <f>IFERROR(__xludf.DUMMYFUNCTION("GOOGLETRANSLATE(D115, ""en"", ""fr"")"),"C) La chemise ou la veste blanche résistante à manches courtes")</f>
        <v>C) La chemise ou la veste blanche résistante à manches courtes</v>
      </c>
      <c r="K115" s="5" t="str">
        <f>IFERROR(__xludf.DUMMYFUNCTION("GOOGLETRANSLATE(E115, ""en"", ""fr"")"),"Le roched est la veste robuste en lin ou en toile que les lutteurs tiennent fermement pendant le match.")</f>
        <v>Le roched est la veste robuste en lin ou en toile que les lutteurs tiennent fermement pendant le match.</v>
      </c>
    </row>
    <row r="116" ht="22.5" customHeight="1">
      <c r="A116" s="3">
        <v>115.0</v>
      </c>
      <c r="B116" s="4" t="s">
        <v>1348</v>
      </c>
      <c r="C116" s="4" t="s">
        <v>1349</v>
      </c>
      <c r="D116" s="4" t="s">
        <v>1350</v>
      </c>
      <c r="E116" s="4" t="s">
        <v>1351</v>
      </c>
      <c r="G116" s="5" t="str">
        <f>IFERROR(__xludf.DUMMYFUNCTION("GOOGLETRANSLATE(A116, ""en"", ""fr"")"),"115")</f>
        <v>115</v>
      </c>
      <c r="H116" s="5" t="str">
        <f>IFERROR(__xludf.DUMMYFUNCTION("GOOGLETRANSLATE(B116, ""en"", ""fr"")"),"Le serment du lutteur, « Je jure de combattre avec une loyauté totale », interdit principalement quoi ?")</f>
        <v>Le serment du lutteur, « Je jure de combattre avec une loyauté totale », interdit principalement quoi ?</v>
      </c>
      <c r="I116" s="5" t="str">
        <f>IFERROR(__xludf.DUMMYFUNCTION("GOOGLETRANSLATE(C116, ""en"", ""fr"")"),"A) Perdre le match, B) Toute forme de trahison ou de « coup bas », C) Parler pendant le match, D) Attaquer les jambes")</f>
        <v>A) Perdre le match, B) Toute forme de trahison ou de « coup bas », C) Parler pendant le match, D) Attaquer les jambes</v>
      </c>
      <c r="J116" s="5" t="str">
        <f>IFERROR(__xludf.DUMMYFUNCTION("GOOGLETRANSLATE(D116, ""en"", ""fr"")"),"B) Toute forme de trahison ou de « coups bas »,")</f>
        <v>B) Toute forme de trahison ou de « coups bas »,</v>
      </c>
      <c r="K116" s="5" t="str">
        <f>IFERROR(__xludf.DUMMYFUNCTION("GOOGLETRANSLATE(E116, ""en"", ""fr"")"),"Le serment est un engagement à combattre avec honneur, interdisant explicitement toute action qui ne repose pas sur une compétence juste et transparente.")</f>
        <v>Le serment est un engagement à combattre avec honneur, interdisant explicitement toute action qui ne repose pas sur une compétence juste et transparente.</v>
      </c>
    </row>
    <row r="117" ht="22.5" customHeight="1">
      <c r="A117" s="3">
        <v>116.0</v>
      </c>
      <c r="B117" s="4" t="s">
        <v>1407</v>
      </c>
      <c r="C117" s="4" t="s">
        <v>1408</v>
      </c>
      <c r="D117" s="4" t="s">
        <v>386</v>
      </c>
      <c r="E117" s="4" t="s">
        <v>1409</v>
      </c>
      <c r="G117" s="5" t="str">
        <f>IFERROR(__xludf.DUMMYFUNCTION("GOOGLETRANSLATE(A117, ""en"", ""fr"")"),"116")</f>
        <v>116</v>
      </c>
      <c r="H117" s="5" t="str">
        <f>IFERROR(__xludf.DUMMYFUNCTION("GOOGLETRANSLATE(B117, ""en"", ""fr"")"),"Quelle est la principale différence entre la lutte Gouren et la lutte libre olympique moderne ?")</f>
        <v>Quelle est la principale différence entre la lutte Gouren et la lutte libre olympique moderne ?</v>
      </c>
      <c r="I117" s="5" t="str">
        <f>IFERROR(__xludf.DUMMYFUNCTION("GOOGLETRANSLATE(C117, ""en"", ""fr"")"),"A) Les lutteurs de Gouren portent une veste (roched), tandis que les lutteurs de style libre portent un justaucorps. B) Le Gouren est un style de lutte debout uniquement. C) Le Gouren a une condition de victoire différente (lamm). D) Toutes les réponses c"&amp;"i-dessus.")</f>
        <v>A) Les lutteurs de Gouren portent une veste (roched), tandis que les lutteurs de style libre portent un justaucorps. B) Le Gouren est un style de lutte debout uniquement. C) Le Gouren a une condition de victoire différente (lamm). D) Toutes les réponses ci-dessus.</v>
      </c>
      <c r="J117" s="5" t="str">
        <f>IFERROR(__xludf.DUMMYFUNCTION("GOOGLETRANSLATE(D117, ""en"", ""fr"")"),"D) Toutes les réponses ci-dessus")</f>
        <v>D) Toutes les réponses ci-dessus</v>
      </c>
      <c r="K117" s="5" t="str">
        <f>IFERROR(__xludf.DUMMYFUNCTION("GOOGLETRANSLATE(E117, ""en"", ""fr"")"),"Le Gouren est un style de lutte complètement différent, avec son propre uniforme, ses règles et ses conditions de victoire uniques.")</f>
        <v>Le Gouren est un style de lutte complètement différent, avec son propre uniforme, ses règles et ses conditions de victoire uniques.</v>
      </c>
    </row>
    <row r="118" ht="22.5" customHeight="1">
      <c r="A118" s="3">
        <v>117.0</v>
      </c>
      <c r="B118" s="4" t="s">
        <v>1352</v>
      </c>
      <c r="C118" s="4" t="s">
        <v>1353</v>
      </c>
      <c r="D118" s="4" t="s">
        <v>1354</v>
      </c>
      <c r="E118" s="4" t="s">
        <v>1355</v>
      </c>
      <c r="G118" s="5" t="str">
        <f>IFERROR(__xludf.DUMMYFUNCTION("GOOGLETRANSLATE(A118, ""en"", ""fr"")"),"117")</f>
        <v>117</v>
      </c>
      <c r="H118" s="5" t="str">
        <f>IFERROR(__xludf.DUMMYFUNCTION("GOOGLETRANSLATE(B118, ""en"", ""fr"")"),"Un lutteur est connu pour son puissant « clic » (kliked). De quelle technique s'agit-il ?")</f>
        <v>Un lutteur est connu pour son puissant « clic » (kliked). De quelle technique s'agit-il ?</v>
      </c>
      <c r="I118" s="5" t="str">
        <f>IFERROR(__xludf.DUMMYFUNCTION("GOOGLETRANSLATE(C118, ""en"", ""fr"")"),"A) Un type de projection de hanche, B) Une projection puissante avec enroulement ou roulade, C) Un blocage défensif avec le pied, D) Le nom de la ceinture du lutteur")</f>
        <v>A) Un type de projection de hanche, B) Une projection puissante avec enroulement ou roulade, C) Un blocage défensif avec le pied, D) Le nom de la ceinture du lutteur</v>
      </c>
      <c r="J118" s="5" t="str">
        <f>IFERROR(__xludf.DUMMYFUNCTION("GOOGLETRANSLATE(D118, ""en"", ""fr"")"),"B) Un puissant mouvement de torsion ou de roulement")</f>
        <v>B) Un puissant mouvement de torsion ou de roulement</v>
      </c>
      <c r="K118" s="5" t="str">
        <f>IFERROR(__xludf.DUMMYFUNCTION("GOOGLETRANSLATE(E118, ""en"", ""fr"")"),"Le kliked est l'une des projections les plus caractéristiques et efficaces de ce sport, impliquant un puissant mouvement de rotation pour déséquilibrer l'adversaire.")</f>
        <v>Le kliked est l'une des projections les plus caractéristiques et efficaces de ce sport, impliquant un puissant mouvement de rotation pour déséquilibrer l'adversaire.</v>
      </c>
    </row>
    <row r="119" ht="22.5" customHeight="1">
      <c r="A119" s="3">
        <v>118.0</v>
      </c>
      <c r="B119" s="4" t="s">
        <v>1264</v>
      </c>
      <c r="C119" s="4" t="s">
        <v>1265</v>
      </c>
      <c r="D119" s="4" t="s">
        <v>1266</v>
      </c>
      <c r="E119" s="4" t="s">
        <v>1267</v>
      </c>
      <c r="G119" s="5" t="str">
        <f>IFERROR(__xludf.DUMMYFUNCTION("GOOGLETRANSLATE(A119, ""en"", ""fr"")"),"118")</f>
        <v>118</v>
      </c>
      <c r="H119" s="5" t="str">
        <f>IFERROR(__xludf.DUMMYFUNCTION("GOOGLETRANSLATE(B119, ""en"", ""fr"")"),"La fédération Gouren moderne est affiliée à quelle instance sportive française plus importante ?")</f>
        <v>La fédération Gouren moderne est affiliée à quelle instance sportive française plus importante ?</v>
      </c>
      <c r="I119" s="5" t="str">
        <f>IFERROR(__xludf.DUMMYFUNCTION("GOOGLETRANSLATE(C119, ""en"", ""fr"")"),"A) La Fédération Française de Football, B) La Fédération Française de Judo, C) La Fédération Française de Lutte (FFL), D) Le Comité Olympique Français")</f>
        <v>A) La Fédération Française de Football, B) La Fédération Française de Judo, C) La Fédération Française de Lutte (FFL), D) Le Comité Olympique Français</v>
      </c>
      <c r="J119" s="5" t="str">
        <f>IFERROR(__xludf.DUMMYFUNCTION("GOOGLETRANSLATE(D119, ""en"", ""fr"")"),"C) La Fédération Française de Lutte (FFL)")</f>
        <v>C) La Fédération Française de Lutte (FFL)</v>
      </c>
      <c r="K119" s="5" t="str">
        <f>IFERROR(__xludf.DUMMYFUNCTION("GOOGLETRANSLATE(E119, ""en"", ""fr"")"),"Le gouren est officiellement reconnu et administré comme un style de lutte régional sous l'égide de la Fédération Française de Lutte.")</f>
        <v>Le gouren est officiellement reconnu et administré comme un style de lutte régional sous l'égide de la Fédération Française de Lutte.</v>
      </c>
    </row>
    <row r="120" ht="22.5" customHeight="1">
      <c r="A120" s="3">
        <v>119.0</v>
      </c>
      <c r="B120" s="4" t="s">
        <v>1285</v>
      </c>
      <c r="C120" s="4" t="s">
        <v>1410</v>
      </c>
      <c r="D120" s="4" t="s">
        <v>386</v>
      </c>
      <c r="E120" s="4" t="s">
        <v>1287</v>
      </c>
      <c r="G120" s="5" t="str">
        <f>IFERROR(__xludf.DUMMYFUNCTION("GOOGLETRANSLATE(A120, ""en"", ""fr"")"),"119")</f>
        <v>119</v>
      </c>
      <c r="H120" s="5" t="str">
        <f>IFERROR(__xludf.DUMMYFUNCTION("GOOGLETRANSLATE(B120, ""en"", ""fr"")"),"Quelle est la principale raison pour laquelle les coups (poings et pieds) sont interdits à Gouren ?")</f>
        <v>Quelle est la principale raison pour laquelle les coups (poings et pieds) sont interdits à Gouren ?</v>
      </c>
      <c r="I120" s="5" t="str">
        <f>IFERROR(__xludf.DUMMYFUNCTION("GOOGLETRANSLATE(C120, ""en"", ""fr"")"),"A) C'est un art martial de préhension pure, axé sur les projections et l'équilibre. B) Ce serait trop dangereux. C) Les lutteurs ne portent pas de gants. D) Toutes les réponses ci-dessus.")</f>
        <v>A) C'est un art martial de préhension pure, axé sur les projections et l'équilibre. B) Ce serait trop dangereux. C) Les lutteurs ne portent pas de gants. D) Toutes les réponses ci-dessus.</v>
      </c>
      <c r="J120" s="5" t="str">
        <f>IFERROR(__xludf.DUMMYFUNCTION("GOOGLETRANSLATE(D120, ""en"", ""fr"")"),"D) Toutes les réponses ci-dessus")</f>
        <v>D) Toutes les réponses ci-dessus</v>
      </c>
      <c r="K120" s="5" t="str">
        <f>IFERROR(__xludf.DUMMYFUNCTION("GOOGLETRANSLATE(E120, ""en"", ""fr"")"),"Les règles de Gouren ont été codifiées pour en faire un sport sûr et technique de lutte pure, distinct des arts martiaux de frappe.")</f>
        <v>Les règles de Gouren ont été codifiées pour en faire un sport sûr et technique de lutte pure, distinct des arts martiaux de frappe.</v>
      </c>
    </row>
    <row r="121" ht="22.5" customHeight="1">
      <c r="A121" s="3">
        <v>120.0</v>
      </c>
      <c r="B121" s="4" t="s">
        <v>1268</v>
      </c>
      <c r="C121" s="4" t="s">
        <v>1269</v>
      </c>
      <c r="D121" s="4" t="s">
        <v>1270</v>
      </c>
      <c r="E121" s="4" t="s">
        <v>1271</v>
      </c>
      <c r="G121" s="5" t="str">
        <f>IFERROR(__xludf.DUMMYFUNCTION("GOOGLETRANSLATE(A121, ""en"", ""fr"")"),"120")</f>
        <v>120</v>
      </c>
      <c r="H121" s="5" t="str">
        <f>IFERROR(__xludf.DUMMYFUNCTION("GOOGLETRANSLATE(B121, ""en"", ""fr"")"),"Dans la FILC, quel est le style de lutte de quel pays connu sous le nom de Back-hold ?")</f>
        <v>Dans la FILC, quel est le style de lutte de quel pays connu sous le nom de Back-hold ?</v>
      </c>
      <c r="I121" s="5" t="str">
        <f>IFERROR(__xludf.DUMMYFUNCTION("GOOGLETRANSLATE(C121, ""en"", ""fr"")"),"A) Irlande, B) Bretagne, C) Cornouailles, D) Écosse")</f>
        <v>A) Irlande, B) Bretagne, C) Cornouailles, D) Écosse</v>
      </c>
      <c r="J121" s="5" t="str">
        <f>IFERROR(__xludf.DUMMYFUNCTION("GOOGLETRANSLATE(D121, ""en"", ""fr"")"),"D) Écosse")</f>
        <v>D) Écosse</v>
      </c>
      <c r="K121" s="5" t="str">
        <f>IFERROR(__xludf.DUMMYFUNCTION("GOOGLETRANSLATE(E121, ""en"", ""fr"")"),"La lutte écossaise en prise dorsale est un autre style celtique, connu pour sa prise de départ distinctive poitrine contre poitrine.")</f>
        <v>La lutte écossaise en prise dorsale est un autre style celtique, connu pour sa prise de départ distinctive poitrine contre poitrine.</v>
      </c>
    </row>
    <row r="122" ht="22.5" customHeight="1">
      <c r="A122" s="3">
        <v>121.0</v>
      </c>
      <c r="B122" s="4" t="s">
        <v>1272</v>
      </c>
      <c r="C122" s="4" t="s">
        <v>1273</v>
      </c>
      <c r="D122" s="4" t="s">
        <v>1274</v>
      </c>
      <c r="E122" s="4" t="s">
        <v>1316</v>
      </c>
      <c r="G122" s="5" t="str">
        <f>IFERROR(__xludf.DUMMYFUNCTION("GOOGLETRANSLATE(A122, ""en"", ""fr"")"),"121")</f>
        <v>121</v>
      </c>
      <c r="H122" s="5" t="str">
        <f>IFERROR(__xludf.DUMMYFUNCTION("GOOGLETRANSLATE(B122, ""en"", ""fr"")"),"Un lutteur remporte une projection, et le résultat est un kostin. Qu'est-ce que cela signifie ?")</f>
        <v>Un lutteur remporte une projection, et le résultat est un kostin. Qu'est-ce que cela signifie ?</v>
      </c>
      <c r="I122" s="5" t="str">
        <f>IFERROR(__xludf.DUMMYFUNCTION("GOOGLETRANSLATE(C122, ""en"", ""fr"")"),"A) L'adversaire a été blessé. B) La projection était parfaite. C) La projection n'a été que partiellement réussie, les deux lutteurs tombant. D) Le lutteur a triché.")</f>
        <v>A) L'adversaire a été blessé. B) La projection était parfaite. C) La projection n'a été que partiellement réussie, les deux lutteurs tombant. D) Le lutteur a triché.</v>
      </c>
      <c r="J122" s="5" t="str">
        <f>IFERROR(__xludf.DUMMYFUNCTION("GOOGLETRANSLATE(D122, ""en"", ""fr"")"),"C) La projection n'a été que partiellement réussie, les deux lutteurs tombant.")</f>
        <v>C) La projection n'a été que partiellement réussie, les deux lutteurs tombant.</v>
      </c>
      <c r="K122" s="5" t="str">
        <f>IFERROR(__xludf.DUMMYFUNCTION("GOOGLETRANSLATE(E122, ""en"", ""fr"")"),"Un kostin est un résultat où l'attaquant perd également l'équilibre et tombe, ce qui est un résultat moindre qu'un lamm propre.")</f>
        <v>Un kostin est un résultat où l'attaquant perd également l'équilibre et tombe, ce qui est un résultat moindre qu'un lamm propre.</v>
      </c>
    </row>
    <row r="123" ht="22.5" customHeight="1">
      <c r="A123" s="3">
        <v>122.0</v>
      </c>
      <c r="B123" s="4" t="s">
        <v>1276</v>
      </c>
      <c r="C123" s="4" t="s">
        <v>1277</v>
      </c>
      <c r="D123" s="4" t="s">
        <v>1278</v>
      </c>
      <c r="E123" s="4" t="s">
        <v>1279</v>
      </c>
      <c r="G123" s="5" t="str">
        <f>IFERROR(__xludf.DUMMYFUNCTION("GOOGLETRANSLATE(A123, ""en"", ""fr"")"),"122")</f>
        <v>122</v>
      </c>
      <c r="H123" s="5" t="str">
        <f>IFERROR(__xludf.DUMMYFUNCTION("GOOGLETRANSLATE(B123, ""en"", ""fr"")"),"Un lutteur est pénalisé pour avoir saisi le bragoù (pantalon) de son adversaire. Cette décision est-elle justifiée ?")</f>
        <v>Un lutteur est pénalisé pour avoir saisi le bragoù (pantalon) de son adversaire. Cette décision est-elle justifiée ?</v>
      </c>
      <c r="I123" s="5" t="str">
        <f>IFERROR(__xludf.DUMMYFUNCTION("GOOGLETRANSLATE(C123, ""en"", ""fr"")"),"A) Non, cela fait partie intégrante du catch en veste. B) Oui, toutes les prises doivent être effectuées sur le haut du corps (chemise). C) Uniquement si le pantalon se déchire. D) Uniquement lors d'un tournoi majeur.")</f>
        <v>A) Non, cela fait partie intégrante du catch en veste. B) Oui, toutes les prises doivent être effectuées sur le haut du corps (chemise). C) Uniquement si le pantalon se déchire. D) Uniquement lors d'un tournoi majeur.</v>
      </c>
      <c r="J123" s="5" t="str">
        <f>IFERROR(__xludf.DUMMYFUNCTION("GOOGLETRANSLATE(D123, ""en"", ""fr"")"),"B) Oui, toutes les prises doivent être sur le haut du corps (chemise).")</f>
        <v>B) Oui, toutes les prises doivent être sur le haut du corps (chemise).</v>
      </c>
      <c r="K123" s="5" t="str">
        <f>IFERROR(__xludf.DUMMYFUNCTION("GOOGLETRANSLATE(E123, ""en"", ""fr"")"),"Les règles du Gouren sont précises : la prise est limitée à la veste de lutte de l’adversaire. Saisir le pantalon est une faute.")</f>
        <v>Les règles du Gouren sont précises : la prise est limitée à la veste de lutte de l’adversaire. Saisir le pantalon est une faute.</v>
      </c>
    </row>
    <row r="124" ht="22.5" customHeight="1">
      <c r="A124" s="3">
        <v>123.0</v>
      </c>
      <c r="B124" s="4" t="s">
        <v>1403</v>
      </c>
      <c r="C124" s="4" t="s">
        <v>1404</v>
      </c>
      <c r="D124" s="4" t="s">
        <v>1405</v>
      </c>
      <c r="E124" s="4" t="s">
        <v>1406</v>
      </c>
      <c r="G124" s="5" t="str">
        <f>IFERROR(__xludf.DUMMYFUNCTION("GOOGLETRANSLATE(A124, ""en"", ""fr"")"),"123")</f>
        <v>123</v>
      </c>
      <c r="H124" s="5" t="str">
        <f>IFERROR(__xludf.DUMMYFUNCTION("GOOGLETRANSLATE(B124, ""en"", ""fr"")"),"À quel élément de la tenue du lutteur fait référence le mot « roched » ?")</f>
        <v>À quel élément de la tenue du lutteur fait référence le mot « roched » ?</v>
      </c>
      <c r="I124" s="5" t="str">
        <f>IFERROR(__xludf.DUMMYFUNCTION("GOOGLETRANSLATE(C124, ""en"", ""fr"")"),"A) Le pantalon, B) La ceinture, C) La chemise ou la veste blanche résistante à manches courtes, D) Les chaussures")</f>
        <v>A) Le pantalon, B) La ceinture, C) La chemise ou la veste blanche résistante à manches courtes, D) Les chaussures</v>
      </c>
      <c r="J124" s="5" t="str">
        <f>IFERROR(__xludf.DUMMYFUNCTION("GOOGLETRANSLATE(D124, ""en"", ""fr"")"),"C) La chemise ou la veste blanche résistante à manches courtes")</f>
        <v>C) La chemise ou la veste blanche résistante à manches courtes</v>
      </c>
      <c r="K124" s="5" t="str">
        <f>IFERROR(__xludf.DUMMYFUNCTION("GOOGLETRANSLATE(E124, ""en"", ""fr"")"),"Le roched est la veste robuste en lin ou en toile que les lutteurs tiennent fermement pendant le match.")</f>
        <v>Le roched est la veste robuste en lin ou en toile que les lutteurs tiennent fermement pendant le match.</v>
      </c>
    </row>
    <row r="125" ht="22.5" customHeight="1">
      <c r="A125" s="3">
        <v>124.0</v>
      </c>
      <c r="B125" s="4" t="s">
        <v>1348</v>
      </c>
      <c r="C125" s="4" t="s">
        <v>1349</v>
      </c>
      <c r="D125" s="4" t="s">
        <v>1350</v>
      </c>
      <c r="E125" s="4" t="s">
        <v>1351</v>
      </c>
      <c r="G125" s="5" t="str">
        <f>IFERROR(__xludf.DUMMYFUNCTION("GOOGLETRANSLATE(A125, ""en"", ""fr"")"),"124")</f>
        <v>124</v>
      </c>
      <c r="H125" s="5" t="str">
        <f>IFERROR(__xludf.DUMMYFUNCTION("GOOGLETRANSLATE(B125, ""en"", ""fr"")"),"Le serment du lutteur, « Je jure de combattre avec une loyauté totale », interdit principalement quoi ?")</f>
        <v>Le serment du lutteur, « Je jure de combattre avec une loyauté totale », interdit principalement quoi ?</v>
      </c>
      <c r="I125" s="5" t="str">
        <f>IFERROR(__xludf.DUMMYFUNCTION("GOOGLETRANSLATE(C125, ""en"", ""fr"")"),"A) Perdre le match, B) Toute forme de trahison ou de « coup bas », C) Parler pendant le match, D) Attaquer les jambes")</f>
        <v>A) Perdre le match, B) Toute forme de trahison ou de « coup bas », C) Parler pendant le match, D) Attaquer les jambes</v>
      </c>
      <c r="J125" s="5" t="str">
        <f>IFERROR(__xludf.DUMMYFUNCTION("GOOGLETRANSLATE(D125, ""en"", ""fr"")"),"B) Toute forme de trahison ou de « coups bas »,")</f>
        <v>B) Toute forme de trahison ou de « coups bas »,</v>
      </c>
      <c r="K125" s="5" t="str">
        <f>IFERROR(__xludf.DUMMYFUNCTION("GOOGLETRANSLATE(E125, ""en"", ""fr"")"),"Le serment est un engagement à combattre avec honneur, interdisant explicitement toute action qui ne repose pas sur une compétence juste et transparente.")</f>
        <v>Le serment est un engagement à combattre avec honneur, interdisant explicitement toute action qui ne repose pas sur une compétence juste et transparente.</v>
      </c>
    </row>
    <row r="126" ht="22.5" customHeight="1">
      <c r="A126" s="3">
        <v>125.0</v>
      </c>
      <c r="B126" s="4" t="s">
        <v>1407</v>
      </c>
      <c r="C126" s="4" t="s">
        <v>1408</v>
      </c>
      <c r="D126" s="4" t="s">
        <v>386</v>
      </c>
      <c r="E126" s="4" t="s">
        <v>1409</v>
      </c>
      <c r="G126" s="5" t="str">
        <f>IFERROR(__xludf.DUMMYFUNCTION("GOOGLETRANSLATE(A126, ""en"", ""fr"")"),"125")</f>
        <v>125</v>
      </c>
      <c r="H126" s="5" t="str">
        <f>IFERROR(__xludf.DUMMYFUNCTION("GOOGLETRANSLATE(B126, ""en"", ""fr"")"),"Quelle est la principale différence entre la lutte Gouren et la lutte libre olympique moderne ?")</f>
        <v>Quelle est la principale différence entre la lutte Gouren et la lutte libre olympique moderne ?</v>
      </c>
      <c r="I126" s="5" t="str">
        <f>IFERROR(__xludf.DUMMYFUNCTION("GOOGLETRANSLATE(C126, ""en"", ""fr"")"),"A) Les lutteurs de Gouren portent une veste (roched), tandis que les lutteurs de style libre portent un justaucorps. B) Le Gouren est un style de lutte debout uniquement. C) Le Gouren a une condition de victoire différente (lamm). D) Toutes les réponses c"&amp;"i-dessus.")</f>
        <v>A) Les lutteurs de Gouren portent une veste (roched), tandis que les lutteurs de style libre portent un justaucorps. B) Le Gouren est un style de lutte debout uniquement. C) Le Gouren a une condition de victoire différente (lamm). D) Toutes les réponses ci-dessus.</v>
      </c>
      <c r="J126" s="5" t="str">
        <f>IFERROR(__xludf.DUMMYFUNCTION("GOOGLETRANSLATE(D126, ""en"", ""fr"")"),"D) Toutes les réponses ci-dessus")</f>
        <v>D) Toutes les réponses ci-dessus</v>
      </c>
      <c r="K126" s="5" t="str">
        <f>IFERROR(__xludf.DUMMYFUNCTION("GOOGLETRANSLATE(E126, ""en"", ""fr"")"),"Le Gouren est un style de lutte complètement différent, avec son propre uniforme, ses règles et ses conditions de victoire uniques.")</f>
        <v>Le Gouren est un style de lutte complètement différent, avec son propre uniforme, ses règles et ses conditions de victoire uniques.</v>
      </c>
    </row>
    <row r="127" ht="22.5" customHeight="1">
      <c r="A127" s="3">
        <v>126.0</v>
      </c>
      <c r="B127" s="4" t="s">
        <v>1352</v>
      </c>
      <c r="C127" s="4" t="s">
        <v>1353</v>
      </c>
      <c r="D127" s="4" t="s">
        <v>1354</v>
      </c>
      <c r="E127" s="4" t="s">
        <v>1355</v>
      </c>
      <c r="G127" s="5" t="str">
        <f>IFERROR(__xludf.DUMMYFUNCTION("GOOGLETRANSLATE(A127, ""en"", ""fr"")"),"126")</f>
        <v>126</v>
      </c>
      <c r="H127" s="5" t="str">
        <f>IFERROR(__xludf.DUMMYFUNCTION("GOOGLETRANSLATE(B127, ""en"", ""fr"")"),"Un lutteur est connu pour son puissant « clic » (kliked). De quelle technique s'agit-il ?")</f>
        <v>Un lutteur est connu pour son puissant « clic » (kliked). De quelle technique s'agit-il ?</v>
      </c>
      <c r="I127" s="5" t="str">
        <f>IFERROR(__xludf.DUMMYFUNCTION("GOOGLETRANSLATE(C127, ""en"", ""fr"")"),"A) Un type de projection de hanche, B) Une projection puissante avec enroulement ou roulade, C) Un blocage défensif avec le pied, D) Le nom de la ceinture du lutteur")</f>
        <v>A) Un type de projection de hanche, B) Une projection puissante avec enroulement ou roulade, C) Un blocage défensif avec le pied, D) Le nom de la ceinture du lutteur</v>
      </c>
      <c r="J127" s="5" t="str">
        <f>IFERROR(__xludf.DUMMYFUNCTION("GOOGLETRANSLATE(D127, ""en"", ""fr"")"),"B) Un puissant mouvement de torsion ou de roulement")</f>
        <v>B) Un puissant mouvement de torsion ou de roulement</v>
      </c>
      <c r="K127" s="5" t="str">
        <f>IFERROR(__xludf.DUMMYFUNCTION("GOOGLETRANSLATE(E127, ""en"", ""fr"")"),"Le kliked est l'une des projections les plus caractéristiques et efficaces de ce sport, impliquant un puissant mouvement de rotation pour déséquilibrer l'adversaire.")</f>
        <v>Le kliked est l'une des projections les plus caractéristiques et efficaces de ce sport, impliquant un puissant mouvement de rotation pour déséquilibrer l'adversaire.</v>
      </c>
    </row>
    <row r="128" ht="22.5" customHeight="1">
      <c r="A128" s="3">
        <v>127.0</v>
      </c>
      <c r="B128" s="4" t="s">
        <v>1264</v>
      </c>
      <c r="C128" s="4" t="s">
        <v>1265</v>
      </c>
      <c r="D128" s="4" t="s">
        <v>1266</v>
      </c>
      <c r="E128" s="4" t="s">
        <v>1267</v>
      </c>
      <c r="G128" s="5" t="str">
        <f>IFERROR(__xludf.DUMMYFUNCTION("GOOGLETRANSLATE(A128, ""en"", ""fr"")"),"127")</f>
        <v>127</v>
      </c>
      <c r="H128" s="5" t="str">
        <f>IFERROR(__xludf.DUMMYFUNCTION("GOOGLETRANSLATE(B128, ""en"", ""fr"")"),"La fédération Gouren moderne est affiliée à quelle instance sportive française plus importante ?")</f>
        <v>La fédération Gouren moderne est affiliée à quelle instance sportive française plus importante ?</v>
      </c>
      <c r="I128" s="5" t="str">
        <f>IFERROR(__xludf.DUMMYFUNCTION("GOOGLETRANSLATE(C128, ""en"", ""fr"")"),"A) La Fédération Française de Football, B) La Fédération Française de Judo, C) La Fédération Française de Lutte (FFL), D) Le Comité Olympique Français")</f>
        <v>A) La Fédération Française de Football, B) La Fédération Française de Judo, C) La Fédération Française de Lutte (FFL), D) Le Comité Olympique Français</v>
      </c>
      <c r="J128" s="5" t="str">
        <f>IFERROR(__xludf.DUMMYFUNCTION("GOOGLETRANSLATE(D128, ""en"", ""fr"")"),"C) La Fédération Française de Lutte (FFL)")</f>
        <v>C) La Fédération Française de Lutte (FFL)</v>
      </c>
      <c r="K128" s="5" t="str">
        <f>IFERROR(__xludf.DUMMYFUNCTION("GOOGLETRANSLATE(E128, ""en"", ""fr"")"),"Le gouren est officiellement reconnu et administré comme un style de lutte régional sous l'égide de la Fédération Française de Lutte.")</f>
        <v>Le gouren est officiellement reconnu et administré comme un style de lutte régional sous l'égide de la Fédération Française de Lutte.</v>
      </c>
    </row>
    <row r="129" ht="22.5" customHeight="1">
      <c r="A129" s="3">
        <v>128.0</v>
      </c>
      <c r="B129" s="4" t="s">
        <v>1285</v>
      </c>
      <c r="C129" s="4" t="s">
        <v>1410</v>
      </c>
      <c r="D129" s="4" t="s">
        <v>386</v>
      </c>
      <c r="E129" s="4" t="s">
        <v>1287</v>
      </c>
      <c r="G129" s="5" t="str">
        <f>IFERROR(__xludf.DUMMYFUNCTION("GOOGLETRANSLATE(A129, ""en"", ""fr"")"),"128")</f>
        <v>128</v>
      </c>
      <c r="H129" s="5" t="str">
        <f>IFERROR(__xludf.DUMMYFUNCTION("GOOGLETRANSLATE(B129, ""en"", ""fr"")"),"Quelle est la principale raison pour laquelle les coups (poings et pieds) sont interdits à Gouren ?")</f>
        <v>Quelle est la principale raison pour laquelle les coups (poings et pieds) sont interdits à Gouren ?</v>
      </c>
      <c r="I129" s="5" t="str">
        <f>IFERROR(__xludf.DUMMYFUNCTION("GOOGLETRANSLATE(C129, ""en"", ""fr"")"),"A) C'est un art martial de préhension pure, axé sur les projections et l'équilibre. B) Ce serait trop dangereux. C) Les lutteurs ne portent pas de gants. D) Toutes les réponses ci-dessus.")</f>
        <v>A) C'est un art martial de préhension pure, axé sur les projections et l'équilibre. B) Ce serait trop dangereux. C) Les lutteurs ne portent pas de gants. D) Toutes les réponses ci-dessus.</v>
      </c>
      <c r="J129" s="5" t="str">
        <f>IFERROR(__xludf.DUMMYFUNCTION("GOOGLETRANSLATE(D129, ""en"", ""fr"")"),"D) Toutes les réponses ci-dessus")</f>
        <v>D) Toutes les réponses ci-dessus</v>
      </c>
      <c r="K129" s="5" t="str">
        <f>IFERROR(__xludf.DUMMYFUNCTION("GOOGLETRANSLATE(E129, ""en"", ""fr"")"),"Les règles de Gouren ont été codifiées pour en faire un sport sûr et technique de lutte pure, distinct des arts martiaux de frappe.")</f>
        <v>Les règles de Gouren ont été codifiées pour en faire un sport sûr et technique de lutte pure, distinct des arts martiaux de frappe.</v>
      </c>
    </row>
    <row r="130" ht="22.5" customHeight="1">
      <c r="A130" s="3">
        <v>129.0</v>
      </c>
      <c r="B130" s="4" t="s">
        <v>1268</v>
      </c>
      <c r="C130" s="4" t="s">
        <v>1269</v>
      </c>
      <c r="D130" s="4" t="s">
        <v>1270</v>
      </c>
      <c r="E130" s="4" t="s">
        <v>1271</v>
      </c>
      <c r="G130" s="5" t="str">
        <f>IFERROR(__xludf.DUMMYFUNCTION("GOOGLETRANSLATE(A130, ""en"", ""fr"")"),"129")</f>
        <v>129</v>
      </c>
      <c r="H130" s="5" t="str">
        <f>IFERROR(__xludf.DUMMYFUNCTION("GOOGLETRANSLATE(B130, ""en"", ""fr"")"),"Dans la FILC, quel est le style de lutte de quel pays connu sous le nom de Back-hold ?")</f>
        <v>Dans la FILC, quel est le style de lutte de quel pays connu sous le nom de Back-hold ?</v>
      </c>
      <c r="I130" s="5" t="str">
        <f>IFERROR(__xludf.DUMMYFUNCTION("GOOGLETRANSLATE(C130, ""en"", ""fr"")"),"A) Irlande, B) Bretagne, C) Cornouailles, D) Écosse")</f>
        <v>A) Irlande, B) Bretagne, C) Cornouailles, D) Écosse</v>
      </c>
      <c r="J130" s="5" t="str">
        <f>IFERROR(__xludf.DUMMYFUNCTION("GOOGLETRANSLATE(D130, ""en"", ""fr"")"),"D) Écosse")</f>
        <v>D) Écosse</v>
      </c>
      <c r="K130" s="5" t="str">
        <f>IFERROR(__xludf.DUMMYFUNCTION("GOOGLETRANSLATE(E130, ""en"", ""fr"")"),"La lutte écossaise en prise dorsale est un autre style celtique, connu pour sa prise de départ distinctive poitrine contre poitrine.")</f>
        <v>La lutte écossaise en prise dorsale est un autre style celtique, connu pour sa prise de départ distinctive poitrine contre poitrine.</v>
      </c>
    </row>
    <row r="131" ht="22.5" customHeight="1">
      <c r="A131" s="3">
        <v>130.0</v>
      </c>
      <c r="B131" s="4" t="s">
        <v>1272</v>
      </c>
      <c r="C131" s="4" t="s">
        <v>1273</v>
      </c>
      <c r="D131" s="4" t="s">
        <v>1274</v>
      </c>
      <c r="E131" s="4" t="s">
        <v>1316</v>
      </c>
      <c r="G131" s="5" t="str">
        <f>IFERROR(__xludf.DUMMYFUNCTION("GOOGLETRANSLATE(A131, ""en"", ""fr"")"),"130")</f>
        <v>130</v>
      </c>
      <c r="H131" s="5" t="str">
        <f>IFERROR(__xludf.DUMMYFUNCTION("GOOGLETRANSLATE(B131, ""en"", ""fr"")"),"Un lutteur remporte une projection, et le résultat est un kostin. Qu'est-ce que cela signifie ?")</f>
        <v>Un lutteur remporte une projection, et le résultat est un kostin. Qu'est-ce que cela signifie ?</v>
      </c>
      <c r="I131" s="5" t="str">
        <f>IFERROR(__xludf.DUMMYFUNCTION("GOOGLETRANSLATE(C131, ""en"", ""fr"")"),"A) L'adversaire a été blessé. B) La projection était parfaite. C) La projection n'a été que partiellement réussie, les deux lutteurs tombant. D) Le lutteur a triché.")</f>
        <v>A) L'adversaire a été blessé. B) La projection était parfaite. C) La projection n'a été que partiellement réussie, les deux lutteurs tombant. D) Le lutteur a triché.</v>
      </c>
      <c r="J131" s="5" t="str">
        <f>IFERROR(__xludf.DUMMYFUNCTION("GOOGLETRANSLATE(D131, ""en"", ""fr"")"),"C) La projection n'a été que partiellement réussie, les deux lutteurs tombant.")</f>
        <v>C) La projection n'a été que partiellement réussie, les deux lutteurs tombant.</v>
      </c>
      <c r="K131" s="5" t="str">
        <f>IFERROR(__xludf.DUMMYFUNCTION("GOOGLETRANSLATE(E131, ""en"", ""fr"")"),"Un kostin est un résultat où l'attaquant perd également l'équilibre et tombe, ce qui est un résultat moindre qu'un lamm propre.")</f>
        <v>Un kostin est un résultat où l'attaquant perd également l'équilibre et tombe, ce qui est un résultat moindre qu'un lamm propre.</v>
      </c>
    </row>
    <row r="132" ht="22.5" customHeight="1">
      <c r="A132" s="3">
        <v>131.0</v>
      </c>
      <c r="B132" s="4" t="s">
        <v>1276</v>
      </c>
      <c r="C132" s="4" t="s">
        <v>1277</v>
      </c>
      <c r="D132" s="4" t="s">
        <v>1278</v>
      </c>
      <c r="E132" s="4" t="s">
        <v>1279</v>
      </c>
      <c r="G132" s="5" t="str">
        <f>IFERROR(__xludf.DUMMYFUNCTION("GOOGLETRANSLATE(A132, ""en"", ""fr"")"),"131")</f>
        <v>131</v>
      </c>
      <c r="H132" s="5" t="str">
        <f>IFERROR(__xludf.DUMMYFUNCTION("GOOGLETRANSLATE(B132, ""en"", ""fr"")"),"Un lutteur est pénalisé pour avoir saisi le bragoù (pantalon) de son adversaire. Cette décision est-elle justifiée ?")</f>
        <v>Un lutteur est pénalisé pour avoir saisi le bragoù (pantalon) de son adversaire. Cette décision est-elle justifiée ?</v>
      </c>
      <c r="I132" s="5" t="str">
        <f>IFERROR(__xludf.DUMMYFUNCTION("GOOGLETRANSLATE(C132, ""en"", ""fr"")"),"A) Non, cela fait partie intégrante du catch en veste. B) Oui, toutes les prises doivent être effectuées sur le haut du corps (chemise). C) Uniquement si le pantalon se déchire. D) Uniquement lors d'un tournoi majeur.")</f>
        <v>A) Non, cela fait partie intégrante du catch en veste. B) Oui, toutes les prises doivent être effectuées sur le haut du corps (chemise). C) Uniquement si le pantalon se déchire. D) Uniquement lors d'un tournoi majeur.</v>
      </c>
      <c r="J132" s="5" t="str">
        <f>IFERROR(__xludf.DUMMYFUNCTION("GOOGLETRANSLATE(D132, ""en"", ""fr"")"),"B) Oui, toutes les prises doivent être sur le haut du corps (chemise).")</f>
        <v>B) Oui, toutes les prises doivent être sur le haut du corps (chemise).</v>
      </c>
      <c r="K132" s="5" t="str">
        <f>IFERROR(__xludf.DUMMYFUNCTION("GOOGLETRANSLATE(E132, ""en"", ""fr"")"),"Les règles du Gouren sont précises : la prise est limitée à la veste de lutte de l’adversaire. Saisir le pantalon est une faute.")</f>
        <v>Les règles du Gouren sont précises : la prise est limitée à la veste de lutte de l’adversaire. Saisir le pantalon est une faute.</v>
      </c>
    </row>
    <row r="133" ht="22.5" customHeight="1">
      <c r="A133" s="3">
        <v>132.0</v>
      </c>
      <c r="B133" s="4" t="s">
        <v>1403</v>
      </c>
      <c r="C133" s="4" t="s">
        <v>1404</v>
      </c>
      <c r="D133" s="4" t="s">
        <v>1405</v>
      </c>
      <c r="E133" s="4" t="s">
        <v>1406</v>
      </c>
      <c r="G133" s="5" t="str">
        <f>IFERROR(__xludf.DUMMYFUNCTION("GOOGLETRANSLATE(A133, ""en"", ""fr"")"),"132")</f>
        <v>132</v>
      </c>
      <c r="H133" s="5" t="str">
        <f>IFERROR(__xludf.DUMMYFUNCTION("GOOGLETRANSLATE(B133, ""en"", ""fr"")"),"À quel élément de la tenue du lutteur fait référence le mot « roched » ?")</f>
        <v>À quel élément de la tenue du lutteur fait référence le mot « roched » ?</v>
      </c>
      <c r="I133" s="5" t="str">
        <f>IFERROR(__xludf.DUMMYFUNCTION("GOOGLETRANSLATE(C133, ""en"", ""fr"")"),"A) Le pantalon, B) La ceinture, C) La chemise ou la veste blanche résistante à manches courtes, D) Les chaussures")</f>
        <v>A) Le pantalon, B) La ceinture, C) La chemise ou la veste blanche résistante à manches courtes, D) Les chaussures</v>
      </c>
      <c r="J133" s="5" t="str">
        <f>IFERROR(__xludf.DUMMYFUNCTION("GOOGLETRANSLATE(D133, ""en"", ""fr"")"),"C) La chemise ou la veste blanche résistante à manches courtes")</f>
        <v>C) La chemise ou la veste blanche résistante à manches courtes</v>
      </c>
      <c r="K133" s="5" t="str">
        <f>IFERROR(__xludf.DUMMYFUNCTION("GOOGLETRANSLATE(E133, ""en"", ""fr"")"),"Le roched est la veste robuste en lin ou en toile que les lutteurs tiennent fermement pendant le match.")</f>
        <v>Le roched est la veste robuste en lin ou en toile que les lutteurs tiennent fermement pendant le match.</v>
      </c>
    </row>
    <row r="134" ht="22.5" customHeight="1">
      <c r="A134" s="3">
        <v>133.0</v>
      </c>
      <c r="B134" s="4" t="s">
        <v>1348</v>
      </c>
      <c r="C134" s="4" t="s">
        <v>1349</v>
      </c>
      <c r="D134" s="4" t="s">
        <v>1350</v>
      </c>
      <c r="E134" s="4" t="s">
        <v>1351</v>
      </c>
      <c r="G134" s="5" t="str">
        <f>IFERROR(__xludf.DUMMYFUNCTION("GOOGLETRANSLATE(A134, ""en"", ""fr"")"),"133")</f>
        <v>133</v>
      </c>
      <c r="H134" s="5" t="str">
        <f>IFERROR(__xludf.DUMMYFUNCTION("GOOGLETRANSLATE(B134, ""en"", ""fr"")"),"Le serment du lutteur, « Je jure de combattre avec une loyauté totale », interdit principalement quoi ?")</f>
        <v>Le serment du lutteur, « Je jure de combattre avec une loyauté totale », interdit principalement quoi ?</v>
      </c>
      <c r="I134" s="5" t="str">
        <f>IFERROR(__xludf.DUMMYFUNCTION("GOOGLETRANSLATE(C134, ""en"", ""fr"")"),"A) Perdre le match, B) Toute forme de trahison ou de « coup bas », C) Parler pendant le match, D) Attaquer les jambes")</f>
        <v>A) Perdre le match, B) Toute forme de trahison ou de « coup bas », C) Parler pendant le match, D) Attaquer les jambes</v>
      </c>
      <c r="J134" s="5" t="str">
        <f>IFERROR(__xludf.DUMMYFUNCTION("GOOGLETRANSLATE(D134, ""en"", ""fr"")"),"B) Toute forme de trahison ou de « coups bas »,")</f>
        <v>B) Toute forme de trahison ou de « coups bas »,</v>
      </c>
      <c r="K134" s="5" t="str">
        <f>IFERROR(__xludf.DUMMYFUNCTION("GOOGLETRANSLATE(E134, ""en"", ""fr"")"),"Le serment est un engagement à combattre avec honneur, interdisant explicitement toute action qui ne repose pas sur une compétence juste et transparente.")</f>
        <v>Le serment est un engagement à combattre avec honneur, interdisant explicitement toute action qui ne repose pas sur une compétence juste et transparente.</v>
      </c>
    </row>
    <row r="135" ht="22.5" customHeight="1">
      <c r="A135" s="3">
        <v>134.0</v>
      </c>
      <c r="B135" s="4" t="s">
        <v>1407</v>
      </c>
      <c r="C135" s="4" t="s">
        <v>1408</v>
      </c>
      <c r="D135" s="4" t="s">
        <v>386</v>
      </c>
      <c r="E135" s="4" t="s">
        <v>1409</v>
      </c>
      <c r="G135" s="5" t="str">
        <f>IFERROR(__xludf.DUMMYFUNCTION("GOOGLETRANSLATE(A135, ""en"", ""fr"")"),"134")</f>
        <v>134</v>
      </c>
      <c r="H135" s="5" t="str">
        <f>IFERROR(__xludf.DUMMYFUNCTION("GOOGLETRANSLATE(B135, ""en"", ""fr"")"),"Quelle est la principale différence entre la lutte Gouren et la lutte libre olympique moderne ?")</f>
        <v>Quelle est la principale différence entre la lutte Gouren et la lutte libre olympique moderne ?</v>
      </c>
      <c r="I135" s="5" t="str">
        <f>IFERROR(__xludf.DUMMYFUNCTION("GOOGLETRANSLATE(C135, ""en"", ""fr"")"),"A) Les lutteurs de Gouren portent une veste (roched), tandis que les lutteurs de style libre portent un justaucorps. B) Le Gouren est un style de lutte debout uniquement. C) Le Gouren a une condition de victoire différente (lamm). D) Toutes les réponses c"&amp;"i-dessus.")</f>
        <v>A) Les lutteurs de Gouren portent une veste (roched), tandis que les lutteurs de style libre portent un justaucorps. B) Le Gouren est un style de lutte debout uniquement. C) Le Gouren a une condition de victoire différente (lamm). D) Toutes les réponses ci-dessus.</v>
      </c>
      <c r="J135" s="5" t="str">
        <f>IFERROR(__xludf.DUMMYFUNCTION("GOOGLETRANSLATE(D135, ""en"", ""fr"")"),"D) Toutes les réponses ci-dessus")</f>
        <v>D) Toutes les réponses ci-dessus</v>
      </c>
      <c r="K135" s="5" t="str">
        <f>IFERROR(__xludf.DUMMYFUNCTION("GOOGLETRANSLATE(E135, ""en"", ""fr"")"),"Le Gouren est un style de lutte complètement différent, avec son propre uniforme, ses règles et ses conditions de victoire uniques.")</f>
        <v>Le Gouren est un style de lutte complètement différent, avec son propre uniforme, ses règles et ses conditions de victoire uniques.</v>
      </c>
    </row>
    <row r="136" ht="22.5" customHeight="1">
      <c r="A136" s="3">
        <v>135.0</v>
      </c>
      <c r="B136" s="4" t="s">
        <v>1352</v>
      </c>
      <c r="C136" s="4" t="s">
        <v>1353</v>
      </c>
      <c r="D136" s="4" t="s">
        <v>1354</v>
      </c>
      <c r="E136" s="4" t="s">
        <v>1355</v>
      </c>
      <c r="G136" s="5" t="str">
        <f>IFERROR(__xludf.DUMMYFUNCTION("GOOGLETRANSLATE(A136, ""en"", ""fr"")"),"135")</f>
        <v>135</v>
      </c>
      <c r="H136" s="5" t="str">
        <f>IFERROR(__xludf.DUMMYFUNCTION("GOOGLETRANSLATE(B136, ""en"", ""fr"")"),"Un lutteur est connu pour son puissant « clic » (kliked). De quelle technique s'agit-il ?")</f>
        <v>Un lutteur est connu pour son puissant « clic » (kliked). De quelle technique s'agit-il ?</v>
      </c>
      <c r="I136" s="5" t="str">
        <f>IFERROR(__xludf.DUMMYFUNCTION("GOOGLETRANSLATE(C136, ""en"", ""fr"")"),"A) Un type de projection de hanche, B) Une projection puissante avec enroulement ou roulade, C) Un blocage défensif avec le pied, D) Le nom de la ceinture du lutteur")</f>
        <v>A) Un type de projection de hanche, B) Une projection puissante avec enroulement ou roulade, C) Un blocage défensif avec le pied, D) Le nom de la ceinture du lutteur</v>
      </c>
      <c r="J136" s="5" t="str">
        <f>IFERROR(__xludf.DUMMYFUNCTION("GOOGLETRANSLATE(D136, ""en"", ""fr"")"),"B) Un puissant mouvement de torsion ou de roulement")</f>
        <v>B) Un puissant mouvement de torsion ou de roulement</v>
      </c>
      <c r="K136" s="5" t="str">
        <f>IFERROR(__xludf.DUMMYFUNCTION("GOOGLETRANSLATE(E136, ""en"", ""fr"")"),"Le kliked est l'une des projections les plus caractéristiques et efficaces de ce sport, impliquant un puissant mouvement de rotation pour déséquilibrer l'adversaire.")</f>
        <v>Le kliked est l'une des projections les plus caractéristiques et efficaces de ce sport, impliquant un puissant mouvement de rotation pour déséquilibrer l'adversaire.</v>
      </c>
    </row>
    <row r="137" ht="22.5" customHeight="1">
      <c r="A137" s="3">
        <v>136.0</v>
      </c>
      <c r="B137" s="4" t="s">
        <v>1264</v>
      </c>
      <c r="C137" s="4" t="s">
        <v>1265</v>
      </c>
      <c r="D137" s="4" t="s">
        <v>1266</v>
      </c>
      <c r="E137" s="4" t="s">
        <v>1267</v>
      </c>
      <c r="G137" s="5" t="str">
        <f>IFERROR(__xludf.DUMMYFUNCTION("GOOGLETRANSLATE(A137, ""en"", ""fr"")"),"136")</f>
        <v>136</v>
      </c>
      <c r="H137" s="5" t="str">
        <f>IFERROR(__xludf.DUMMYFUNCTION("GOOGLETRANSLATE(B137, ""en"", ""fr"")"),"La fédération Gouren moderne est affiliée à quelle instance sportive française plus importante ?")</f>
        <v>La fédération Gouren moderne est affiliée à quelle instance sportive française plus importante ?</v>
      </c>
      <c r="I137" s="5" t="str">
        <f>IFERROR(__xludf.DUMMYFUNCTION("GOOGLETRANSLATE(C137, ""en"", ""fr"")"),"A) La Fédération Française de Football, B) La Fédération Française de Judo, C) La Fédération Française de Lutte (FFL), D) Le Comité Olympique Français")</f>
        <v>A) La Fédération Française de Football, B) La Fédération Française de Judo, C) La Fédération Française de Lutte (FFL), D) Le Comité Olympique Français</v>
      </c>
      <c r="J137" s="5" t="str">
        <f>IFERROR(__xludf.DUMMYFUNCTION("GOOGLETRANSLATE(D137, ""en"", ""fr"")"),"C) La Fédération Française de Lutte (FFL)")</f>
        <v>C) La Fédération Française de Lutte (FFL)</v>
      </c>
      <c r="K137" s="5" t="str">
        <f>IFERROR(__xludf.DUMMYFUNCTION("GOOGLETRANSLATE(E137, ""en"", ""fr"")"),"Le gouren est officiellement reconnu et administré comme un style de lutte régional sous l'égide de la Fédération Française de Lutte.")</f>
        <v>Le gouren est officiellement reconnu et administré comme un style de lutte régional sous l'égide de la Fédération Française de Lutte.</v>
      </c>
    </row>
    <row r="138" ht="22.5" customHeight="1">
      <c r="A138" s="3">
        <v>137.0</v>
      </c>
      <c r="B138" s="4" t="s">
        <v>1285</v>
      </c>
      <c r="C138" s="4" t="s">
        <v>1410</v>
      </c>
      <c r="D138" s="4" t="s">
        <v>386</v>
      </c>
      <c r="E138" s="4" t="s">
        <v>1287</v>
      </c>
      <c r="G138" s="5" t="str">
        <f>IFERROR(__xludf.DUMMYFUNCTION("GOOGLETRANSLATE(A138, ""en"", ""fr"")"),"137")</f>
        <v>137</v>
      </c>
      <c r="H138" s="5" t="str">
        <f>IFERROR(__xludf.DUMMYFUNCTION("GOOGLETRANSLATE(B138, ""en"", ""fr"")"),"Quelle est la principale raison pour laquelle les coups (poings et pieds) sont interdits à Gouren ?")</f>
        <v>Quelle est la principale raison pour laquelle les coups (poings et pieds) sont interdits à Gouren ?</v>
      </c>
      <c r="I138" s="5" t="str">
        <f>IFERROR(__xludf.DUMMYFUNCTION("GOOGLETRANSLATE(C138, ""en"", ""fr"")"),"A) C'est un art martial de préhension pure, axé sur les projections et l'équilibre. B) Ce serait trop dangereux. C) Les lutteurs ne portent pas de gants. D) Toutes les réponses ci-dessus.")</f>
        <v>A) C'est un art martial de préhension pure, axé sur les projections et l'équilibre. B) Ce serait trop dangereux. C) Les lutteurs ne portent pas de gants. D) Toutes les réponses ci-dessus.</v>
      </c>
      <c r="J138" s="5" t="str">
        <f>IFERROR(__xludf.DUMMYFUNCTION("GOOGLETRANSLATE(D138, ""en"", ""fr"")"),"D) Toutes les réponses ci-dessus")</f>
        <v>D) Toutes les réponses ci-dessus</v>
      </c>
      <c r="K138" s="5" t="str">
        <f>IFERROR(__xludf.DUMMYFUNCTION("GOOGLETRANSLATE(E138, ""en"", ""fr"")"),"Les règles de Gouren ont été codifiées pour en faire un sport sûr et technique de lutte pure, distinct des arts martiaux de frappe.")</f>
        <v>Les règles de Gouren ont été codifiées pour en faire un sport sûr et technique de lutte pure, distinct des arts martiaux de frappe.</v>
      </c>
    </row>
    <row r="139" ht="22.5" customHeight="1">
      <c r="A139" s="3">
        <v>138.0</v>
      </c>
      <c r="B139" s="4" t="s">
        <v>1268</v>
      </c>
      <c r="C139" s="4" t="s">
        <v>1269</v>
      </c>
      <c r="D139" s="4" t="s">
        <v>1270</v>
      </c>
      <c r="E139" s="4" t="s">
        <v>1271</v>
      </c>
      <c r="G139" s="5" t="str">
        <f>IFERROR(__xludf.DUMMYFUNCTION("GOOGLETRANSLATE(A139, ""en"", ""fr"")"),"138")</f>
        <v>138</v>
      </c>
      <c r="H139" s="5" t="str">
        <f>IFERROR(__xludf.DUMMYFUNCTION("GOOGLETRANSLATE(B139, ""en"", ""fr"")"),"Dans la FILC, quel est le style de lutte de quel pays connu sous le nom de Back-hold ?")</f>
        <v>Dans la FILC, quel est le style de lutte de quel pays connu sous le nom de Back-hold ?</v>
      </c>
      <c r="I139" s="5" t="str">
        <f>IFERROR(__xludf.DUMMYFUNCTION("GOOGLETRANSLATE(C139, ""en"", ""fr"")"),"A) Irlande, B) Bretagne, C) Cornouailles, D) Écosse")</f>
        <v>A) Irlande, B) Bretagne, C) Cornouailles, D) Écosse</v>
      </c>
      <c r="J139" s="5" t="str">
        <f>IFERROR(__xludf.DUMMYFUNCTION("GOOGLETRANSLATE(D139, ""en"", ""fr"")"),"D) Écosse")</f>
        <v>D) Écosse</v>
      </c>
      <c r="K139" s="5" t="str">
        <f>IFERROR(__xludf.DUMMYFUNCTION("GOOGLETRANSLATE(E139, ""en"", ""fr"")"),"La lutte écossaise en prise dorsale est un autre style celtique, connu pour sa prise de départ distinctive poitrine contre poitrine.")</f>
        <v>La lutte écossaise en prise dorsale est un autre style celtique, connu pour sa prise de départ distinctive poitrine contre poitrine.</v>
      </c>
    </row>
    <row r="140" ht="22.5" customHeight="1">
      <c r="A140" s="3">
        <v>139.0</v>
      </c>
      <c r="B140" s="4" t="s">
        <v>1272</v>
      </c>
      <c r="C140" s="4" t="s">
        <v>1273</v>
      </c>
      <c r="D140" s="4" t="s">
        <v>1274</v>
      </c>
      <c r="E140" s="4" t="s">
        <v>1316</v>
      </c>
      <c r="G140" s="5" t="str">
        <f>IFERROR(__xludf.DUMMYFUNCTION("GOOGLETRANSLATE(A140, ""en"", ""fr"")"),"139")</f>
        <v>139</v>
      </c>
      <c r="H140" s="5" t="str">
        <f>IFERROR(__xludf.DUMMYFUNCTION("GOOGLETRANSLATE(B140, ""en"", ""fr"")"),"Un lutteur remporte une projection, et le résultat est un kostin. Qu'est-ce que cela signifie ?")</f>
        <v>Un lutteur remporte une projection, et le résultat est un kostin. Qu'est-ce que cela signifie ?</v>
      </c>
      <c r="I140" s="5" t="str">
        <f>IFERROR(__xludf.DUMMYFUNCTION("GOOGLETRANSLATE(C140, ""en"", ""fr"")"),"A) L'adversaire a été blessé. B) La projection était parfaite. C) La projection n'a été que partiellement réussie, les deux lutteurs tombant. D) Le lutteur a triché.")</f>
        <v>A) L'adversaire a été blessé. B) La projection était parfaite. C) La projection n'a été que partiellement réussie, les deux lutteurs tombant. D) Le lutteur a triché.</v>
      </c>
      <c r="J140" s="5" t="str">
        <f>IFERROR(__xludf.DUMMYFUNCTION("GOOGLETRANSLATE(D140, ""en"", ""fr"")"),"C) La projection n'a été que partiellement réussie, les deux lutteurs tombant.")</f>
        <v>C) La projection n'a été que partiellement réussie, les deux lutteurs tombant.</v>
      </c>
      <c r="K140" s="5" t="str">
        <f>IFERROR(__xludf.DUMMYFUNCTION("GOOGLETRANSLATE(E140, ""en"", ""fr"")"),"Un kostin est un résultat où l'attaquant perd également l'équilibre et tombe, ce qui est un résultat moindre qu'un lamm propre.")</f>
        <v>Un kostin est un résultat où l'attaquant perd également l'équilibre et tombe, ce qui est un résultat moindre qu'un lamm propre.</v>
      </c>
    </row>
    <row r="141" ht="22.5" customHeight="1">
      <c r="A141" s="3">
        <v>140.0</v>
      </c>
      <c r="B141" s="4" t="s">
        <v>1276</v>
      </c>
      <c r="C141" s="4" t="s">
        <v>1277</v>
      </c>
      <c r="D141" s="4" t="s">
        <v>1278</v>
      </c>
      <c r="E141" s="4" t="s">
        <v>1279</v>
      </c>
      <c r="G141" s="5" t="str">
        <f>IFERROR(__xludf.DUMMYFUNCTION("GOOGLETRANSLATE(A141, ""en"", ""fr"")"),"140")</f>
        <v>140</v>
      </c>
      <c r="H141" s="5" t="str">
        <f>IFERROR(__xludf.DUMMYFUNCTION("GOOGLETRANSLATE(B141, ""en"", ""fr"")"),"Un lutteur est pénalisé pour avoir saisi le bragoù (pantalon) de son adversaire. Cette décision est-elle justifiée ?")</f>
        <v>Un lutteur est pénalisé pour avoir saisi le bragoù (pantalon) de son adversaire. Cette décision est-elle justifiée ?</v>
      </c>
      <c r="I141" s="5" t="str">
        <f>IFERROR(__xludf.DUMMYFUNCTION("GOOGLETRANSLATE(C141, ""en"", ""fr"")"),"A) Non, cela fait partie intégrante du catch en veste. B) Oui, toutes les prises doivent être effectuées sur le haut du corps (chemise). C) Uniquement si le pantalon se déchire. D) Uniquement lors d'un tournoi majeur.")</f>
        <v>A) Non, cela fait partie intégrante du catch en veste. B) Oui, toutes les prises doivent être effectuées sur le haut du corps (chemise). C) Uniquement si le pantalon se déchire. D) Uniquement lors d'un tournoi majeur.</v>
      </c>
      <c r="J141" s="5" t="str">
        <f>IFERROR(__xludf.DUMMYFUNCTION("GOOGLETRANSLATE(D141, ""en"", ""fr"")"),"B) Oui, toutes les prises doivent être sur le haut du corps (chemise).")</f>
        <v>B) Oui, toutes les prises doivent être sur le haut du corps (chemise).</v>
      </c>
      <c r="K141" s="5" t="str">
        <f>IFERROR(__xludf.DUMMYFUNCTION("GOOGLETRANSLATE(E141, ""en"", ""fr"")"),"Les règles du Gouren sont précises : la prise est limitée à la veste de lutte de l’adversaire. Saisir le pantalon est une faute.")</f>
        <v>Les règles du Gouren sont précises : la prise est limitée à la veste de lutte de l’adversaire. Saisir le pantalon est une faute.</v>
      </c>
    </row>
    <row r="142" ht="22.5" customHeight="1">
      <c r="A142" s="3">
        <v>141.0</v>
      </c>
      <c r="B142" s="4" t="s">
        <v>1403</v>
      </c>
      <c r="C142" s="4" t="s">
        <v>1404</v>
      </c>
      <c r="D142" s="4" t="s">
        <v>1405</v>
      </c>
      <c r="E142" s="4" t="s">
        <v>1406</v>
      </c>
      <c r="G142" s="5" t="str">
        <f>IFERROR(__xludf.DUMMYFUNCTION("GOOGLETRANSLATE(A142, ""en"", ""fr"")"),"141")</f>
        <v>141</v>
      </c>
      <c r="H142" s="5" t="str">
        <f>IFERROR(__xludf.DUMMYFUNCTION("GOOGLETRANSLATE(B142, ""en"", ""fr"")"),"À quel élément de la tenue du lutteur fait référence le mot « roched » ?")</f>
        <v>À quel élément de la tenue du lutteur fait référence le mot « roched » ?</v>
      </c>
      <c r="I142" s="5" t="str">
        <f>IFERROR(__xludf.DUMMYFUNCTION("GOOGLETRANSLATE(C142, ""en"", ""fr"")"),"A) Le pantalon, B) La ceinture, C) La chemise ou la veste blanche résistante à manches courtes, D) Les chaussures")</f>
        <v>A) Le pantalon, B) La ceinture, C) La chemise ou la veste blanche résistante à manches courtes, D) Les chaussures</v>
      </c>
      <c r="J142" s="5" t="str">
        <f>IFERROR(__xludf.DUMMYFUNCTION("GOOGLETRANSLATE(D142, ""en"", ""fr"")"),"C) La chemise ou la veste blanche résistante à manches courtes")</f>
        <v>C) La chemise ou la veste blanche résistante à manches courtes</v>
      </c>
      <c r="K142" s="5" t="str">
        <f>IFERROR(__xludf.DUMMYFUNCTION("GOOGLETRANSLATE(E142, ""en"", ""fr"")"),"Le roched est la veste robuste en lin ou en toile que les lutteurs tiennent fermement pendant le match.")</f>
        <v>Le roched est la veste robuste en lin ou en toile que les lutteurs tiennent fermement pendant le match.</v>
      </c>
    </row>
    <row r="143" ht="22.5" customHeight="1">
      <c r="A143" s="3">
        <v>142.0</v>
      </c>
      <c r="B143" s="4" t="s">
        <v>1348</v>
      </c>
      <c r="C143" s="4" t="s">
        <v>1349</v>
      </c>
      <c r="D143" s="4" t="s">
        <v>1350</v>
      </c>
      <c r="E143" s="4" t="s">
        <v>1351</v>
      </c>
      <c r="G143" s="5" t="str">
        <f>IFERROR(__xludf.DUMMYFUNCTION("GOOGLETRANSLATE(A143, ""en"", ""fr"")"),"142")</f>
        <v>142</v>
      </c>
      <c r="H143" s="5" t="str">
        <f>IFERROR(__xludf.DUMMYFUNCTION("GOOGLETRANSLATE(B143, ""en"", ""fr"")"),"Le serment du lutteur, « Je jure de combattre avec une loyauté totale », interdit principalement quoi ?")</f>
        <v>Le serment du lutteur, « Je jure de combattre avec une loyauté totale », interdit principalement quoi ?</v>
      </c>
      <c r="I143" s="5" t="str">
        <f>IFERROR(__xludf.DUMMYFUNCTION("GOOGLETRANSLATE(C143, ""en"", ""fr"")"),"A) Perdre le match, B) Toute forme de trahison ou de « coup bas », C) Parler pendant le match, D) Attaquer les jambes")</f>
        <v>A) Perdre le match, B) Toute forme de trahison ou de « coup bas », C) Parler pendant le match, D) Attaquer les jambes</v>
      </c>
      <c r="J143" s="5" t="str">
        <f>IFERROR(__xludf.DUMMYFUNCTION("GOOGLETRANSLATE(D143, ""en"", ""fr"")"),"B) Toute forme de trahison ou de « coups bas »,")</f>
        <v>B) Toute forme de trahison ou de « coups bas »,</v>
      </c>
      <c r="K143" s="5" t="str">
        <f>IFERROR(__xludf.DUMMYFUNCTION("GOOGLETRANSLATE(E143, ""en"", ""fr"")"),"Le serment est un engagement à combattre avec honneur, interdisant explicitement toute action qui ne repose pas sur une compétence juste et transparente.")</f>
        <v>Le serment est un engagement à combattre avec honneur, interdisant explicitement toute action qui ne repose pas sur une compétence juste et transparente.</v>
      </c>
    </row>
    <row r="144" ht="22.5" customHeight="1">
      <c r="A144" s="3">
        <v>143.0</v>
      </c>
      <c r="B144" s="4" t="s">
        <v>1407</v>
      </c>
      <c r="C144" s="4" t="s">
        <v>1408</v>
      </c>
      <c r="D144" s="4" t="s">
        <v>386</v>
      </c>
      <c r="E144" s="4" t="s">
        <v>1409</v>
      </c>
      <c r="G144" s="5" t="str">
        <f>IFERROR(__xludf.DUMMYFUNCTION("GOOGLETRANSLATE(A144, ""en"", ""fr"")"),"143")</f>
        <v>143</v>
      </c>
      <c r="H144" s="5" t="str">
        <f>IFERROR(__xludf.DUMMYFUNCTION("GOOGLETRANSLATE(B144, ""en"", ""fr"")"),"Quelle est la principale différence entre la lutte Gouren et la lutte libre olympique moderne ?")</f>
        <v>Quelle est la principale différence entre la lutte Gouren et la lutte libre olympique moderne ?</v>
      </c>
      <c r="I144" s="5" t="str">
        <f>IFERROR(__xludf.DUMMYFUNCTION("GOOGLETRANSLATE(C144, ""en"", ""fr"")"),"A) Les lutteurs de Gouren portent une veste (roched), tandis que les lutteurs de style libre portent un justaucorps. B) Le Gouren est un style de lutte debout uniquement. C) Le Gouren a une condition de victoire différente (lamm). D) Toutes les réponses c"&amp;"i-dessus.")</f>
        <v>A) Les lutteurs de Gouren portent une veste (roched), tandis que les lutteurs de style libre portent un justaucorps. B) Le Gouren est un style de lutte debout uniquement. C) Le Gouren a une condition de victoire différente (lamm). D) Toutes les réponses ci-dessus.</v>
      </c>
      <c r="J144" s="5" t="str">
        <f>IFERROR(__xludf.DUMMYFUNCTION("GOOGLETRANSLATE(D144, ""en"", ""fr"")"),"D) Toutes les réponses ci-dessus")</f>
        <v>D) Toutes les réponses ci-dessus</v>
      </c>
      <c r="K144" s="5" t="str">
        <f>IFERROR(__xludf.DUMMYFUNCTION("GOOGLETRANSLATE(E144, ""en"", ""fr"")"),"Le Gouren est un style de lutte complètement différent, avec son propre uniforme, ses règles et ses conditions de victoire uniques.")</f>
        <v>Le Gouren est un style de lutte complètement différent, avec son propre uniforme, ses règles et ses conditions de victoire uniques.</v>
      </c>
    </row>
    <row r="145" ht="22.5" customHeight="1">
      <c r="A145" s="3">
        <v>144.0</v>
      </c>
      <c r="B145" s="4" t="s">
        <v>1352</v>
      </c>
      <c r="C145" s="4" t="s">
        <v>1353</v>
      </c>
      <c r="D145" s="4" t="s">
        <v>1354</v>
      </c>
      <c r="E145" s="4" t="s">
        <v>1355</v>
      </c>
      <c r="G145" s="5" t="str">
        <f>IFERROR(__xludf.DUMMYFUNCTION("GOOGLETRANSLATE(A145, ""en"", ""fr"")"),"144")</f>
        <v>144</v>
      </c>
      <c r="H145" s="5" t="str">
        <f>IFERROR(__xludf.DUMMYFUNCTION("GOOGLETRANSLATE(B145, ""en"", ""fr"")"),"Un lutteur est connu pour son puissant « clic » (kliked). De quelle technique s'agit-il ?")</f>
        <v>Un lutteur est connu pour son puissant « clic » (kliked). De quelle technique s'agit-il ?</v>
      </c>
      <c r="I145" s="5" t="str">
        <f>IFERROR(__xludf.DUMMYFUNCTION("GOOGLETRANSLATE(C145, ""en"", ""fr"")"),"A) Un type de projection de hanche, B) Une projection puissante avec enroulement ou roulade, C) Un blocage défensif avec le pied, D) Le nom de la ceinture du lutteur")</f>
        <v>A) Un type de projection de hanche, B) Une projection puissante avec enroulement ou roulade, C) Un blocage défensif avec le pied, D) Le nom de la ceinture du lutteur</v>
      </c>
      <c r="J145" s="5" t="str">
        <f>IFERROR(__xludf.DUMMYFUNCTION("GOOGLETRANSLATE(D145, ""en"", ""fr"")"),"B) Un puissant mouvement de torsion ou de roulement")</f>
        <v>B) Un puissant mouvement de torsion ou de roulement</v>
      </c>
      <c r="K145" s="5" t="str">
        <f>IFERROR(__xludf.DUMMYFUNCTION("GOOGLETRANSLATE(E145, ""en"", ""fr"")"),"Le kliked est l'une des projections les plus caractéristiques et efficaces de ce sport, impliquant un puissant mouvement de rotation pour déséquilibrer l'adversaire.")</f>
        <v>Le kliked est l'une des projections les plus caractéristiques et efficaces de ce sport, impliquant un puissant mouvement de rotation pour déséquilibrer l'adversaire.</v>
      </c>
    </row>
    <row r="146" ht="22.5" customHeight="1">
      <c r="A146" s="3">
        <v>145.0</v>
      </c>
      <c r="B146" s="4" t="s">
        <v>1264</v>
      </c>
      <c r="C146" s="4" t="s">
        <v>1265</v>
      </c>
      <c r="D146" s="4" t="s">
        <v>1266</v>
      </c>
      <c r="E146" s="4" t="s">
        <v>1267</v>
      </c>
      <c r="G146" s="5" t="str">
        <f>IFERROR(__xludf.DUMMYFUNCTION("GOOGLETRANSLATE(A146, ""en"", ""fr"")"),"145")</f>
        <v>145</v>
      </c>
      <c r="H146" s="5" t="str">
        <f>IFERROR(__xludf.DUMMYFUNCTION("GOOGLETRANSLATE(B146, ""en"", ""fr"")"),"La fédération Gouren moderne est affiliée à quelle instance sportive française plus importante ?")</f>
        <v>La fédération Gouren moderne est affiliée à quelle instance sportive française plus importante ?</v>
      </c>
      <c r="I146" s="5" t="str">
        <f>IFERROR(__xludf.DUMMYFUNCTION("GOOGLETRANSLATE(C146, ""en"", ""fr"")"),"A) La Fédération Française de Football, B) La Fédération Française de Judo, C) La Fédération Française de Lutte (FFL), D) Le Comité Olympique Français")</f>
        <v>A) La Fédération Française de Football, B) La Fédération Française de Judo, C) La Fédération Française de Lutte (FFL), D) Le Comité Olympique Français</v>
      </c>
      <c r="J146" s="5" t="str">
        <f>IFERROR(__xludf.DUMMYFUNCTION("GOOGLETRANSLATE(D146, ""en"", ""fr"")"),"C) La Fédération Française de Lutte (FFL)")</f>
        <v>C) La Fédération Française de Lutte (FFL)</v>
      </c>
      <c r="K146" s="5" t="str">
        <f>IFERROR(__xludf.DUMMYFUNCTION("GOOGLETRANSLATE(E146, ""en"", ""fr"")"),"Le gouren est officiellement reconnu et administré comme un style de lutte régional sous l'égide de la Fédération Française de Lutte.")</f>
        <v>Le gouren est officiellement reconnu et administré comme un style de lutte régional sous l'égide de la Fédération Française de Lutte.</v>
      </c>
    </row>
    <row r="147" ht="22.5" customHeight="1">
      <c r="A147" s="3">
        <v>146.0</v>
      </c>
      <c r="B147" s="4" t="s">
        <v>1285</v>
      </c>
      <c r="C147" s="4" t="s">
        <v>1410</v>
      </c>
      <c r="D147" s="4" t="s">
        <v>386</v>
      </c>
      <c r="E147" s="4" t="s">
        <v>1287</v>
      </c>
      <c r="G147" s="5" t="str">
        <f>IFERROR(__xludf.DUMMYFUNCTION("GOOGLETRANSLATE(A147, ""en"", ""fr"")"),"146")</f>
        <v>146</v>
      </c>
      <c r="H147" s="5" t="str">
        <f>IFERROR(__xludf.DUMMYFUNCTION("GOOGLETRANSLATE(B147, ""en"", ""fr"")"),"Quelle est la principale raison pour laquelle les coups (poings et pieds) sont interdits à Gouren ?")</f>
        <v>Quelle est la principale raison pour laquelle les coups (poings et pieds) sont interdits à Gouren ?</v>
      </c>
      <c r="I147" s="5" t="str">
        <f>IFERROR(__xludf.DUMMYFUNCTION("GOOGLETRANSLATE(C147, ""en"", ""fr"")"),"A) C'est un art martial de préhension pure, axé sur les projections et l'équilibre. B) Ce serait trop dangereux. C) Les lutteurs ne portent pas de gants. D) Toutes les réponses ci-dessus.")</f>
        <v>A) C'est un art martial de préhension pure, axé sur les projections et l'équilibre. B) Ce serait trop dangereux. C) Les lutteurs ne portent pas de gants. D) Toutes les réponses ci-dessus.</v>
      </c>
      <c r="J147" s="5" t="str">
        <f>IFERROR(__xludf.DUMMYFUNCTION("GOOGLETRANSLATE(D147, ""en"", ""fr"")"),"D) Toutes les réponses ci-dessus")</f>
        <v>D) Toutes les réponses ci-dessus</v>
      </c>
      <c r="K147" s="5" t="str">
        <f>IFERROR(__xludf.DUMMYFUNCTION("GOOGLETRANSLATE(E147, ""en"", ""fr"")"),"Les règles de Gouren ont été codifiées pour en faire un sport sûr et technique de lutte pure, distinct des arts martiaux de frappe.")</f>
        <v>Les règles de Gouren ont été codifiées pour en faire un sport sûr et technique de lutte pure, distinct des arts martiaux de frappe.</v>
      </c>
    </row>
    <row r="148" ht="22.5" customHeight="1">
      <c r="A148" s="3">
        <v>147.0</v>
      </c>
      <c r="B148" s="4" t="s">
        <v>1268</v>
      </c>
      <c r="C148" s="4" t="s">
        <v>1269</v>
      </c>
      <c r="D148" s="4" t="s">
        <v>1270</v>
      </c>
      <c r="E148" s="4" t="s">
        <v>1271</v>
      </c>
      <c r="G148" s="5" t="str">
        <f>IFERROR(__xludf.DUMMYFUNCTION("GOOGLETRANSLATE(A148, ""en"", ""fr"")"),"147")</f>
        <v>147</v>
      </c>
      <c r="H148" s="5" t="str">
        <f>IFERROR(__xludf.DUMMYFUNCTION("GOOGLETRANSLATE(B148, ""en"", ""fr"")"),"Dans la FILC, quel est le style de lutte de quel pays connu sous le nom de Back-hold ?")</f>
        <v>Dans la FILC, quel est le style de lutte de quel pays connu sous le nom de Back-hold ?</v>
      </c>
      <c r="I148" s="5" t="str">
        <f>IFERROR(__xludf.DUMMYFUNCTION("GOOGLETRANSLATE(C148, ""en"", ""fr"")"),"A) Irlande, B) Bretagne, C) Cornouailles, D) Écosse")</f>
        <v>A) Irlande, B) Bretagne, C) Cornouailles, D) Écosse</v>
      </c>
      <c r="J148" s="5" t="str">
        <f>IFERROR(__xludf.DUMMYFUNCTION("GOOGLETRANSLATE(D148, ""en"", ""fr"")"),"D) Écosse")</f>
        <v>D) Écosse</v>
      </c>
      <c r="K148" s="5" t="str">
        <f>IFERROR(__xludf.DUMMYFUNCTION("GOOGLETRANSLATE(E148, ""en"", ""fr"")"),"La lutte écossaise en prise dorsale est un autre style celtique, connu pour sa prise de départ distinctive poitrine contre poitrine.")</f>
        <v>La lutte écossaise en prise dorsale est un autre style celtique, connu pour sa prise de départ distinctive poitrine contre poitrine.</v>
      </c>
    </row>
    <row r="149" ht="22.5" customHeight="1">
      <c r="A149" s="3">
        <v>148.0</v>
      </c>
      <c r="B149" s="4" t="s">
        <v>1272</v>
      </c>
      <c r="C149" s="4" t="s">
        <v>1273</v>
      </c>
      <c r="D149" s="4" t="s">
        <v>1274</v>
      </c>
      <c r="E149" s="4" t="s">
        <v>1316</v>
      </c>
      <c r="G149" s="5" t="str">
        <f>IFERROR(__xludf.DUMMYFUNCTION("GOOGLETRANSLATE(A149, ""en"", ""fr"")"),"148")</f>
        <v>148</v>
      </c>
      <c r="H149" s="5" t="str">
        <f>IFERROR(__xludf.DUMMYFUNCTION("GOOGLETRANSLATE(B149, ""en"", ""fr"")"),"Un lutteur remporte une projection, et le résultat est un kostin. Qu'est-ce que cela signifie ?")</f>
        <v>Un lutteur remporte une projection, et le résultat est un kostin. Qu'est-ce que cela signifie ?</v>
      </c>
      <c r="I149" s="5" t="str">
        <f>IFERROR(__xludf.DUMMYFUNCTION("GOOGLETRANSLATE(C149, ""en"", ""fr"")"),"A) L'adversaire a été blessé. B) La projection était parfaite. C) La projection n'a été que partiellement réussie, les deux lutteurs tombant. D) Le lutteur a triché.")</f>
        <v>A) L'adversaire a été blessé. B) La projection était parfaite. C) La projection n'a été que partiellement réussie, les deux lutteurs tombant. D) Le lutteur a triché.</v>
      </c>
      <c r="J149" s="5" t="str">
        <f>IFERROR(__xludf.DUMMYFUNCTION("GOOGLETRANSLATE(D149, ""en"", ""fr"")"),"C) La projection n'a été que partiellement réussie, les deux lutteurs tombant.")</f>
        <v>C) La projection n'a été que partiellement réussie, les deux lutteurs tombant.</v>
      </c>
      <c r="K149" s="5" t="str">
        <f>IFERROR(__xludf.DUMMYFUNCTION("GOOGLETRANSLATE(E149, ""en"", ""fr"")"),"Un kostin est un résultat où l'attaquant perd également l'équilibre et tombe, ce qui est un résultat moindre qu'un lamm propre.")</f>
        <v>Un kostin est un résultat où l'attaquant perd également l'équilibre et tombe, ce qui est un résultat moindre qu'un lamm propre.</v>
      </c>
    </row>
    <row r="150" ht="22.5" customHeight="1">
      <c r="A150" s="3">
        <v>149.0</v>
      </c>
      <c r="B150" s="4" t="s">
        <v>1276</v>
      </c>
      <c r="C150" s="4" t="s">
        <v>1277</v>
      </c>
      <c r="D150" s="4" t="s">
        <v>1278</v>
      </c>
      <c r="E150" s="4" t="s">
        <v>1279</v>
      </c>
      <c r="G150" s="5" t="str">
        <f>IFERROR(__xludf.DUMMYFUNCTION("GOOGLETRANSLATE(A150, ""en"", ""fr"")"),"149")</f>
        <v>149</v>
      </c>
      <c r="H150" s="5" t="str">
        <f>IFERROR(__xludf.DUMMYFUNCTION("GOOGLETRANSLATE(B150, ""en"", ""fr"")"),"Un lutteur est pénalisé pour avoir saisi le bragoù (pantalon) de son adversaire. Cette décision est-elle justifiée ?")</f>
        <v>Un lutteur est pénalisé pour avoir saisi le bragoù (pantalon) de son adversaire. Cette décision est-elle justifiée ?</v>
      </c>
      <c r="I150" s="5" t="str">
        <f>IFERROR(__xludf.DUMMYFUNCTION("GOOGLETRANSLATE(C150, ""en"", ""fr"")"),"A) Non, cela fait partie intégrante du catch en veste. B) Oui, toutes les prises doivent être effectuées sur le haut du corps (chemise). C) Uniquement si le pantalon se déchire. D) Uniquement lors d'un tournoi majeur.")</f>
        <v>A) Non, cela fait partie intégrante du catch en veste. B) Oui, toutes les prises doivent être effectuées sur le haut du corps (chemise). C) Uniquement si le pantalon se déchire. D) Uniquement lors d'un tournoi majeur.</v>
      </c>
      <c r="J150" s="5" t="str">
        <f>IFERROR(__xludf.DUMMYFUNCTION("GOOGLETRANSLATE(D150, ""en"", ""fr"")"),"B) Oui, toutes les prises doivent être sur le haut du corps (chemise).")</f>
        <v>B) Oui, toutes les prises doivent être sur le haut du corps (chemise).</v>
      </c>
      <c r="K150" s="5" t="str">
        <f>IFERROR(__xludf.DUMMYFUNCTION("GOOGLETRANSLATE(E150, ""en"", ""fr"")"),"Les règles du Gouren sont précises : la prise est limitée à la veste de lutte de l’adversaire. Saisir le pantalon est une faute.")</f>
        <v>Les règles du Gouren sont précises : la prise est limitée à la veste de lutte de l’adversaire. Saisir le pantalon est une faute.</v>
      </c>
    </row>
    <row r="151" ht="22.5" customHeight="1">
      <c r="A151" s="3">
        <v>150.0</v>
      </c>
      <c r="B151" s="4" t="s">
        <v>1403</v>
      </c>
      <c r="C151" s="4" t="s">
        <v>1404</v>
      </c>
      <c r="D151" s="4" t="s">
        <v>1405</v>
      </c>
      <c r="E151" s="4" t="s">
        <v>1406</v>
      </c>
      <c r="G151" s="5" t="str">
        <f>IFERROR(__xludf.DUMMYFUNCTION("GOOGLETRANSLATE(A151, ""en"", ""fr"")"),"150")</f>
        <v>150</v>
      </c>
      <c r="H151" s="5" t="str">
        <f>IFERROR(__xludf.DUMMYFUNCTION("GOOGLETRANSLATE(B151, ""en"", ""fr"")"),"À quel élément de la tenue du lutteur fait référence le mot « roched » ?")</f>
        <v>À quel élément de la tenue du lutteur fait référence le mot « roched » ?</v>
      </c>
      <c r="I151" s="5" t="str">
        <f>IFERROR(__xludf.DUMMYFUNCTION("GOOGLETRANSLATE(C151, ""en"", ""fr"")"),"A) Le pantalon, B) La ceinture, C) La chemise ou la veste blanche résistante à manches courtes, D) Les chaussures")</f>
        <v>A) Le pantalon, B) La ceinture, C) La chemise ou la veste blanche résistante à manches courtes, D) Les chaussures</v>
      </c>
      <c r="J151" s="5" t="str">
        <f>IFERROR(__xludf.DUMMYFUNCTION("GOOGLETRANSLATE(D151, ""en"", ""fr"")"),"C) La chemise ou la veste blanche résistante à manches courtes")</f>
        <v>C) La chemise ou la veste blanche résistante à manches courtes</v>
      </c>
      <c r="K151" s="5" t="str">
        <f>IFERROR(__xludf.DUMMYFUNCTION("GOOGLETRANSLATE(E151, ""en"", ""fr"")"),"Le roched est la veste robuste en lin ou en toile que les lutteurs tiennent fermement pendant le match.")</f>
        <v>Le roched est la veste robuste en lin ou en toile que les lutteurs tiennent fermement pendant le match.</v>
      </c>
    </row>
  </sheetData>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5" width="37.63"/>
    <col customWidth="1" min="7" max="7" width="14.13"/>
    <col customWidth="1" min="8" max="11" width="37.63"/>
  </cols>
  <sheetData>
    <row r="1" ht="22.5" customHeight="1">
      <c r="A1" s="6" t="s">
        <v>0</v>
      </c>
      <c r="B1" s="1" t="s">
        <v>1</v>
      </c>
      <c r="C1" s="1" t="s">
        <v>2</v>
      </c>
      <c r="D1" s="1" t="s">
        <v>3</v>
      </c>
      <c r="E1" s="1" t="s">
        <v>4</v>
      </c>
      <c r="G1" s="2" t="s">
        <v>5</v>
      </c>
      <c r="H1" s="2" t="s">
        <v>6</v>
      </c>
      <c r="I1" s="2" t="s">
        <v>7</v>
      </c>
      <c r="J1" s="2" t="s">
        <v>8</v>
      </c>
      <c r="K1" s="2" t="s">
        <v>4</v>
      </c>
    </row>
    <row r="2" ht="22.5" customHeight="1">
      <c r="A2" s="3">
        <v>1.0</v>
      </c>
      <c r="B2" s="4" t="s">
        <v>1415</v>
      </c>
      <c r="C2" s="4" t="s">
        <v>1416</v>
      </c>
      <c r="D2" s="4" t="s">
        <v>1417</v>
      </c>
      <c r="E2" s="4" t="s">
        <v>1418</v>
      </c>
      <c r="G2" s="5" t="str">
        <f>IFERROR(__xludf.DUMMYFUNCTION("GOOGLETRANSLATE(A2, ""en"", ""fr"")"),"1")</f>
        <v>1</v>
      </c>
      <c r="H2" s="5" t="str">
        <f>IFERROR(__xludf.DUMMYFUNCTION("GOOGLETRANSLATE(B2, ""en"", ""fr"")"),"Lors d'une course camarguaise à Arles, un razeteur exécute une course parfaite et arrache la cocarde du front du taureau. Quel est le résultat immédiat ?")</f>
        <v>Lors d'une course camarguaise à Arles, un razeteur exécute une course parfaite et arrache la cocarde du front du taureau. Quel est le résultat immédiat ?</v>
      </c>
      <c r="I2" s="5" t="str">
        <f>IFERROR(__xludf.DUMMYFUNCTION("GOOGLETRANSLATE(C2, ""en"", ""fr"")"),"A) Le taureau est retiré du combat, B) Le razeteur remporte le combat, C) Le razeteur remporte le prix associé à la cocarde, D) Le combat se termine")</f>
        <v>A) Le taureau est retiré du combat, B) Le razeteur remporte le combat, C) Le razeteur remporte le prix associé à la cocarde, D) Le combat se termine</v>
      </c>
      <c r="J2" s="5" t="str">
        <f>IFERROR(__xludf.DUMMYFUNCTION("GOOGLETRANSLATE(D2, ""en"", ""fr"")"),"C) Le razeteur remporte le prix associé à la cocarde")</f>
        <v>C) Le razeteur remporte le prix associé à la cocarde</v>
      </c>
      <c r="K2" s="5" t="str">
        <f>IFERROR(__xludf.DUMMYFUNCTION("GOOGLETRANSLATE(E2, ""en"", ""fr"")"),"L'objectif est de collecter des attributs pour remporter des prix (primes). Remporter la cocarde est une réussite, mais la course continue pour les autres attributs.")</f>
        <v>L'objectif est de collecter des attributs pour remporter des prix (primes). Remporter la cocarde est une réussite, mais la course continue pour les autres attributs.</v>
      </c>
    </row>
    <row r="3" ht="22.5" customHeight="1">
      <c r="A3" s="3">
        <v>2.0</v>
      </c>
      <c r="B3" s="4" t="s">
        <v>1419</v>
      </c>
      <c r="C3" s="4" t="s">
        <v>1420</v>
      </c>
      <c r="D3" s="4" t="s">
        <v>1421</v>
      </c>
      <c r="E3" s="4" t="s">
        <v>1422</v>
      </c>
      <c r="G3" s="5" t="str">
        <f>IFERROR(__xludf.DUMMYFUNCTION("GOOGLETRANSLATE(A3, ""en"", ""fr"")"),"2")</f>
        <v>2</v>
      </c>
      <c r="H3" s="5" t="str">
        <f>IFERROR(__xludf.DUMMYFUNCTION("GOOGLETRANSLATE(B3, ""en"", ""fr"")"),"Un célèbre taureau (cocardier) est dans l'arène. Après une charge particulièrement courageuse, l'orchestre de l'arène entame l'ouverture de l'opéra Carmen. Que signifie cela ?")</f>
        <v>Un célèbre taureau (cocardier) est dans l'arène. Après une charge particulièrement courageuse, l'orchestre de l'arène entame l'ouverture de l'opéra Carmen. Que signifie cela ?</v>
      </c>
      <c r="I3" s="5" t="str">
        <f>IFERROR(__xludf.DUMMYFUNCTION("GOOGLETRANSLATE(C3, ""en"", ""fr"")"),"A) La fin de la course, B) Une faute a été commise, C) Un hommage à un acte de bravoure exceptionnel du taureau ou du razeteur, D) Une pause publicitaire")</f>
        <v>A) La fin de la course, B) Une faute a été commise, C) Un hommage à un acte de bravoure exceptionnel du taureau ou du razeteur, D) Une pause publicitaire</v>
      </c>
      <c r="J3" s="5" t="str">
        <f>IFERROR(__xludf.DUMMYFUNCTION("GOOGLETRANSLATE(D3, ""en"", ""fr"")"),"C) Un hommage à un acte de bravoure exceptionnel du taureau ou du razéteur")</f>
        <v>C) Un hommage à un acte de bravoure exceptionnel du taureau ou du razéteur</v>
      </c>
      <c r="K3" s="5" t="str">
        <f>IFERROR(__xludf.DUMMYFUNCTION("GOOGLETRANSLATE(E3, ""en"", ""fr"")"),"L'interprétation de la musique de Carmen est un grand honneur, utilisé par le président de la course pour saluer un moment d'habileté ou de courage exceptionnel.")</f>
        <v>L'interprétation de la musique de Carmen est un grand honneur, utilisé par le président de la course pour saluer un moment d'habileté ou de courage exceptionnel.</v>
      </c>
    </row>
    <row r="4" ht="22.5" customHeight="1">
      <c r="A4" s="3">
        <v>3.0</v>
      </c>
      <c r="B4" s="4" t="s">
        <v>1423</v>
      </c>
      <c r="C4" s="4" t="s">
        <v>1424</v>
      </c>
      <c r="D4" s="4" t="s">
        <v>1425</v>
      </c>
      <c r="E4" s="4" t="s">
        <v>1426</v>
      </c>
      <c r="G4" s="5" t="str">
        <f>IFERROR(__xludf.DUMMYFUNCTION("GOOGLETRANSLATE(A4, ""en"", ""fr"")"),"3")</f>
        <v>3</v>
      </c>
      <c r="H4" s="5" t="str">
        <f>IFERROR(__xludf.DUMMYFUNCTION("GOOGLETRANSLATE(B4, ""en"", ""fr"")"),"Un arène est poursuivie par un taureau et saute sur la barrière rouge. Le taureau, dans sa poursuite, heurte violemment la barrière de ses cornes, juste en dessous de l'homme. Comment appelle-t-on cette action ?")</f>
        <v>Un arène est poursuivie par un taureau et saute sur la barrière rouge. Le taureau, dans sa poursuite, heurte violemment la barrière de ses cornes, juste en dessous de l'homme. Comment appelle-t-on cette action ?</v>
      </c>
      <c r="I4" s="5" t="str">
        <f>IFERROR(__xludf.DUMMYFUNCTION("GOOGLETRANSLATE(C4, ""en"", ""fr"")"),"A) Une faute du taureau, B) Un coup de barrière, un acte de bravoure célèbre du taureau, C) Une tentative pour mettre fin à la course, D) Un signe d'un taureau non dressé")</f>
        <v>A) Une faute du taureau, B) Un coup de barrière, un acte de bravoure célèbre du taureau, C) Une tentative pour mettre fin à la course, D) Un signe d'un taureau non dressé</v>
      </c>
      <c r="J4" s="5" t="str">
        <f>IFERROR(__xludf.DUMMYFUNCTION("GOOGLETRANSLATE(D4, ""en"", ""fr"")"),"B) Un « coup de barrière », un acte de bravoure célèbre du taureau")</f>
        <v>B) Un « coup de barrière », un acte de bravoure célèbre du taureau</v>
      </c>
      <c r="K4" s="5" t="str">
        <f>IFERROR(__xludf.DUMMYFUNCTION("GOOGLETRANSLATE(E4, ""en"", ""fr"")"),"Un taureau assez courageux pour suivre l'homme jusqu'à la barrière et la percuter est très prisé pour sa combativité et son intelligence.")</f>
        <v>Un taureau assez courageux pour suivre l'homme jusqu'à la barrière et la percuter est très prisé pour sa combativité et son intelligence.</v>
      </c>
    </row>
    <row r="5" ht="22.5" customHeight="1">
      <c r="A5" s="3">
        <v>4.0</v>
      </c>
      <c r="B5" s="4" t="s">
        <v>1427</v>
      </c>
      <c r="C5" s="4" t="s">
        <v>1428</v>
      </c>
      <c r="D5" s="4" t="s">
        <v>1429</v>
      </c>
      <c r="E5" s="4" t="s">
        <v>1430</v>
      </c>
      <c r="G5" s="5" t="str">
        <f>IFERROR(__xludf.DUMMYFUNCTION("GOOGLETRANSLATE(A5, ""en"", ""fr"")"),"4")</f>
        <v>4</v>
      </c>
      <c r="H5" s="5" t="str">
        <f>IFERROR(__xludf.DUMMYFUNCTION("GOOGLETRANSLATE(B5, ""en"", ""fr"")"),"Lors d'une course à Nîmes, un taureau anticipe la charge d'un cocardier et lui coupe la route avant qu'il ne puisse s'approcher. Quel trait caractéristique d'un excellent cocardier illustre cet acte ?")</f>
        <v>Lors d'une course à Nîmes, un taureau anticipe la charge d'un cocardier et lui coupe la route avant qu'il ne puisse s'approcher. Quel trait caractéristique d'un excellent cocardier illustre cet acte ?</v>
      </c>
      <c r="I5" s="5" t="str">
        <f>IFERROR(__xludf.DUMMYFUNCTION("GOOGLETRANSLATE(C5, ""en"", ""fr"")"),"A) Agressivité, B) Vitesse, C) Intelligence et capacité d'apprentissage, D) Taille")</f>
        <v>A) Agressivité, B) Vitesse, C) Intelligence et capacité d'apprentissage, D) Taille</v>
      </c>
      <c r="J5" s="5" t="str">
        <f>IFERROR(__xludf.DUMMYFUNCTION("GOOGLETRANSLATE(D5, ""en"", ""fr"")"),"C) L'intelligence et la capacité d'apprendre")</f>
        <v>C) L'intelligence et la capacité d'apprendre</v>
      </c>
      <c r="K5" s="5" t="str">
        <f>IFERROR(__xludf.DUMMYFUNCTION("GOOGLETRANSLATE(E5, ""en"", ""fr"")"),"Les grands taureaux ne sont pas seulement puissants ; ce sont des athlètes intelligents qui apprennent à anticiper les tactiques des coureurs et à défendre activement leurs atouts.")</f>
        <v>Les grands taureaux ne sont pas seulement puissants ; ce sont des athlètes intelligents qui apprennent à anticiper les tactiques des coureurs et à défendre activement leurs atouts.</v>
      </c>
    </row>
    <row r="6" ht="22.5" customHeight="1">
      <c r="A6" s="3">
        <v>5.0</v>
      </c>
      <c r="B6" s="4" t="s">
        <v>1431</v>
      </c>
      <c r="C6" s="4" t="s">
        <v>1432</v>
      </c>
      <c r="D6" s="4" t="s">
        <v>1433</v>
      </c>
      <c r="E6" s="4" t="s">
        <v>1434</v>
      </c>
      <c r="G6" s="5" t="str">
        <f>IFERROR(__xludf.DUMMYFUNCTION("GOOGLETRANSLATE(A6, ""en"", ""fr"")"),"5")</f>
        <v>5</v>
      </c>
      <c r="H6" s="5" t="str">
        <f>IFERROR(__xludf.DUMMYFUNCTION("GOOGLETRANSLATE(B6, ""en"", ""fr"")"),"Un jeune taureau participe à sa première course dans l'arène. Au bout de 15 minutes, aucune de ses caractéristiques n'a été prise. Que va-t-il arriver au taureau ?")</f>
        <v>Un jeune taureau participe à sa première course dans l'arène. Au bout de 15 minutes, aucune de ses caractéristiques n'a été prise. Que va-t-il arriver au taureau ?</v>
      </c>
      <c r="I6" s="5" t="str">
        <f>IFERROR(__xludf.DUMMYFUNCTION("GOOGLETRANSLATE(C6, ""en"", ""fr"")"),"A) Il est déclaré vainqueur, B) Il est ramené au pâturage l'honneur intact, C) Il est vendu, D) Il est pénalisé pour être trop défensif")</f>
        <v>A) Il est déclaré vainqueur, B) Il est ramené au pâturage l'honneur intact, C) Il est vendu, D) Il est pénalisé pour être trop défensif</v>
      </c>
      <c r="J6" s="5" t="str">
        <f>IFERROR(__xludf.DUMMYFUNCTION("GOOGLETRANSLATE(D6, ""en"", ""fr"")"),"B) Il est rendu au pâturage, son honneur intact.")</f>
        <v>B) Il est rendu au pâturage, son honneur intact.</v>
      </c>
      <c r="K6" s="5" t="str">
        <f>IFERROR(__xludf.DUMMYFUNCTION("GOOGLETRANSLATE(E6, ""en"", ""fr"")"),"Contrairement à la corrida espagnole, la vie du taureau n'est jamais en danger. S'il parvient à défendre ses attributs, il retourne à l'arène en héros.")</f>
        <v>Contrairement à la corrida espagnole, la vie du taureau n'est jamais en danger. S'il parvient à défendre ses attributs, il retourne à l'arène en héros.</v>
      </c>
    </row>
    <row r="7" ht="22.5" customHeight="1">
      <c r="A7" s="3">
        <v>6.0</v>
      </c>
      <c r="B7" s="4" t="s">
        <v>1435</v>
      </c>
      <c r="C7" s="4" t="s">
        <v>1436</v>
      </c>
      <c r="D7" s="4" t="s">
        <v>1437</v>
      </c>
      <c r="E7" s="4" t="s">
        <v>1438</v>
      </c>
      <c r="G7" s="5" t="str">
        <f>IFERROR(__xludf.DUMMYFUNCTION("GOOGLETRANSLATE(A7, ""en"", ""fr"")"),"6")</f>
        <v>6</v>
      </c>
      <c r="H7" s="5" t="str">
        <f>IFERROR(__xludf.DUMMYFUNCTION("GOOGLETRANSLATE(B7, ""en"", ""fr"")"),"Un rasoirier est surpris en train d'utiliser un crochet plus long que la taille réglementaire. Quelle est la conséquence immédiate ?")</f>
        <v>Un rasoirier est surpris en train d'utiliser un crochet plus long que la taille réglementaire. Quelle est la conséquence immédiate ?</v>
      </c>
      <c r="I7" s="5" t="str">
        <f>IFERROR(__xludf.DUMMYFUNCTION("GOOGLETRANSLATE(C7, ""en"", ""fr"")"),"A) Un avertissement est donné, B) Le razeteur est disqualifié de la course, C) Le crochet est confisqué et la course continue, D) Le razeteur peut continuer mais marque la moitié des points")</f>
        <v>A) Un avertissement est donné, B) Le razeteur est disqualifié de la course, C) Le crochet est confisqué et la course continue, D) Le razeteur peut continuer mais marque la moitié des points</v>
      </c>
      <c r="J7" s="5" t="str">
        <f>IFERROR(__xludf.DUMMYFUNCTION("GOOGLETRANSLATE(D7, ""en"", ""fr"")"),"B) Le razeteur est disqualifié de la course")</f>
        <v>B) Le razeteur est disqualifié de la course</v>
      </c>
      <c r="K7" s="5" t="str">
        <f>IFERROR(__xludf.DUMMYFUNCTION("GOOGLETRANSLATE(E7, ""en"", ""fr"")"),"L'utilisation d'un équipement non conforme à la réglementation et conférant un avantage indu constitue une faute grave entraînant la disqualification immédiate.")</f>
        <v>L'utilisation d'un équipement non conforme à la réglementation et conférant un avantage indu constitue une faute grave entraînant la disqualification immédiate.</v>
      </c>
    </row>
    <row r="8" ht="22.5" customHeight="1">
      <c r="A8" s="3">
        <v>7.0</v>
      </c>
      <c r="B8" s="4" t="s">
        <v>1439</v>
      </c>
      <c r="C8" s="4" t="s">
        <v>1440</v>
      </c>
      <c r="D8" s="4" t="s">
        <v>1441</v>
      </c>
      <c r="E8" s="4" t="s">
        <v>1442</v>
      </c>
      <c r="G8" s="5" t="str">
        <f>IFERROR(__xludf.DUMMYFUNCTION("GOOGLETRANSLATE(A8, ""en"", ""fr"")"),"7")</f>
        <v>7</v>
      </c>
      <c r="H8" s="5" t="str">
        <f>IFERROR(__xludf.DUMMYFUNCTION("GOOGLETRANSLATE(B8, ""en"", ""fr"")"),"Quel est le rôle principal du tourneur dans l'arène ?")</f>
        <v>Quel est le rôle principal du tourneur dans l'arène ?</v>
      </c>
      <c r="I8" s="5" t="str">
        <f>IFERROR(__xludf.DUMMYFUNCTION("GOOGLETRANSLATE(C8, ""en"", ""fr"")"),"A) Pour protéger le public, B) Pour distraire le taureau et le positionner de manière à ce que le raseteur ait une ligne de tir favorable, C) Pour être un raseteur remplaçant, D) Pour tenir le score officiel")</f>
        <v>A) Pour protéger le public, B) Pour distraire le taureau et le positionner de manière à ce que le raseteur ait une ligne de tir favorable, C) Pour être un raseteur remplaçant, D) Pour tenir le score officiel</v>
      </c>
      <c r="J8" s="5" t="str">
        <f>IFERROR(__xludf.DUMMYFUNCTION("GOOGLETRANSLATE(D8, ""en"", ""fr"")"),"B) Distraire et positionner le taureau de manière à ce que le razeteur ait une ligne d'attaque favorable")</f>
        <v>B) Distraire et positionner le taureau de manière à ce que le razeteur ait une ligne d'attaque favorable</v>
      </c>
      <c r="K8" s="5" t="str">
        <f>IFERROR(__xludf.DUMMYFUNCTION("GOOGLETRANSLATE(E8, ""en"", ""fr"")"),"Les tourneurs sont les coéquipiers essentiels du razeteur, dont le positionnement expert du taureau est indispensable à la réussite d'un raset.")</f>
        <v>Les tourneurs sont les coéquipiers essentiels du razeteur, dont le positionnement expert du taureau est indispensable à la réussite d'un raset.</v>
      </c>
    </row>
    <row r="9" ht="22.5" customHeight="1">
      <c r="A9" s="3">
        <v>8.0</v>
      </c>
      <c r="B9" s="4" t="s">
        <v>1443</v>
      </c>
      <c r="C9" s="4" t="s">
        <v>1444</v>
      </c>
      <c r="D9" s="4" t="s">
        <v>1445</v>
      </c>
      <c r="E9" s="4" t="s">
        <v>1446</v>
      </c>
      <c r="G9" s="5" t="str">
        <f>IFERROR(__xludf.DUMMYFUNCTION("GOOGLETRANSLATE(A9, ""en"", ""fr"")"),"8")</f>
        <v>8</v>
      </c>
      <c r="H9" s="5" t="str">
        <f>IFERROR(__xludf.DUMMYFUNCTION("GOOGLETRANSLATE(B9, ""en"", ""fr"")"),"Avant la course, un cortège de gardians (cow-boys) à cheval conduit les taureaux à travers les rues jusqu'à l'arène. Comment s'appelle cette célèbre tradition ?")</f>
        <v>Avant la course, un cortège de gardians (cow-boys) à cheval conduit les taureaux à travers les rues jusqu'à l'arène. Comment s'appelle cette célèbre tradition ?</v>
      </c>
      <c r="I9" s="5" t="str">
        <f>IFERROR(__xludf.DUMMYFUNCTION("GOOGLETRANSLATE(C9, ""en"", ""fr"")"),"A) Le Bandido, B) La Ferrade, C) L'Encierro, D) L'Abrivado")</f>
        <v>A) Le Bandido, B) La Ferrade, C) L'Encierro, D) L'Abrivado</v>
      </c>
      <c r="J9" s="5" t="str">
        <f>IFERROR(__xludf.DUMMYFUNCTION("GOOGLETRANSLATE(D9, ""en"", ""fr"")"),"D) L'Abrivado")</f>
        <v>D) L'Abrivado</v>
      </c>
      <c r="K9" s="5" t="str">
        <f>IFERROR(__xludf.DUMMYFUNCTION("GOOGLETRANSLATE(E9, ""en"", ""fr"")"),"L'abrivado est une tradition palpitante et dangereuse où des gardes à cheval escortent les taureaux à travers la ville jusqu'à l'arène.")</f>
        <v>L'abrivado est une tradition palpitante et dangereuse où des gardes à cheval escortent les taureaux à travers la ville jusqu'à l'arène.</v>
      </c>
    </row>
    <row r="10" ht="22.5" customHeight="1">
      <c r="A10" s="3">
        <v>9.0</v>
      </c>
      <c r="B10" s="4" t="s">
        <v>1447</v>
      </c>
      <c r="C10" s="4" t="s">
        <v>1448</v>
      </c>
      <c r="D10" s="4" t="s">
        <v>1449</v>
      </c>
      <c r="E10" s="4" t="s">
        <v>1450</v>
      </c>
      <c r="G10" s="5" t="str">
        <f>IFERROR(__xludf.DUMMYFUNCTION("GOOGLETRANSLATE(A10, ""en"", ""fr"")"),"9")</f>
        <v>9</v>
      </c>
      <c r="H10" s="5" t="str">
        <f>IFERROR(__xludf.DUMMYFUNCTION("GOOGLETRANSLATE(B10, ""en"", ""fr"")"),"Après la course, les taureaux sont ramenés en courant par les rues jusqu'à leurs pâturages. Comment s'appelle cet événement ?")</f>
        <v>Après la course, les taureaux sont ramenés en courant par les rues jusqu'à leurs pâturages. Comment s'appelle cet événement ?</v>
      </c>
      <c r="I10" s="5" t="str">
        <f>IFERROR(__xludf.DUMMYFUNCTION("GOOGLETRANSLATE(C10, ""en"", ""fr"")"),"A) L'Abrivado, B) Le Bandido, C) Le Retour, D) La Course du Gardien")</f>
        <v>A) L'Abrivado, B) Le Bandido, C) Le Retour, D) La Course du Gardien</v>
      </c>
      <c r="J10" s="5" t="str">
        <f>IFERROR(__xludf.DUMMYFUNCTION("GOOGLETRANSLATE(D10, ""en"", ""fr"")"),"B) Le Bandido")</f>
        <v>B) Le Bandido</v>
      </c>
      <c r="K10" s="5" t="str">
        <f>IFERROR(__xludf.DUMMYFUNCTION("GOOGLETRANSLATE(E10, ""en"", ""fr"")"),"Le bandido est l'inverse de l'abrivado et est souvent encore plus chaotique, car les taureaux sont maintenant agités par leur passage dans l'arène.")</f>
        <v>Le bandido est l'inverse de l'abrivado et est souvent encore plus chaotique, car les taureaux sont maintenant agités par leur passage dans l'arène.</v>
      </c>
    </row>
    <row r="11" ht="22.5" customHeight="1">
      <c r="A11" s="3">
        <v>10.0</v>
      </c>
      <c r="B11" s="4" t="s">
        <v>1451</v>
      </c>
      <c r="C11" s="4" t="s">
        <v>1452</v>
      </c>
      <c r="D11" s="4" t="s">
        <v>1453</v>
      </c>
      <c r="E11" s="4" t="s">
        <v>1454</v>
      </c>
      <c r="G11" s="5" t="str">
        <f>IFERROR(__xludf.DUMMYFUNCTION("GOOGLETRANSLATE(A11, ""en"", ""fr"")"),"10")</f>
        <v>10</v>
      </c>
      <c r="H11" s="5" t="str">
        <f>IFERROR(__xludf.DUMMYFUNCTION("GOOGLETRANSLATE(B11, ""en"", ""fr"")"),"Le prix pour la dernière corde (ficelle) d'une célèbre corne de taureau a été porté à 1 000 € lors d'une vente aux enchères publique. Pourquoi cette corde est-elle si précieuse ?")</f>
        <v>Le prix pour la dernière corde (ficelle) d'une célèbre corne de taureau a été porté à 1 000 € lors d'une vente aux enchères publique. Pourquoi cette corde est-elle si précieuse ?</v>
      </c>
      <c r="I11" s="5" t="str">
        <f>IFERROR(__xludf.DUMMYFUNCTION("GOOGLETRANSLATE(C11, ""en"", ""fr"")"),"A) Il est fait d'un matériau spécial. B) C'est le dernier et le plus difficile attribut à obtenir d'un taureau fatigué et sage. C) C'est une tradition. D) L'argent est reversé à une œuvre de charité.")</f>
        <v>A) Il est fait d'un matériau spécial. B) C'est le dernier et le plus difficile attribut à obtenir d'un taureau fatigué et sage. C) C'est une tradition. D) L'argent est reversé à une œuvre de charité.</v>
      </c>
      <c r="J11" s="5" t="str">
        <f>IFERROR(__xludf.DUMMYFUNCTION("GOOGLETRANSLATE(D11, ""en"", ""fr"")"),"B) C'est le dernier et le plus difficile attribut à arracher à un taureau fatigué et sage.")</f>
        <v>B) C'est le dernier et le plus difficile attribut à arracher à un taureau fatigué et sage.</v>
      </c>
      <c r="K11" s="5" t="str">
        <f>IFERROR(__xludf.DUMMYFUNCTION("GOOGLETRANSLATE(E11, ""en"", ""fr"")"),"La dernière série d'attaques exige le plus de courage, car le taureau est alors pleinement engagé et a appris les schémas des agresseurs.")</f>
        <v>La dernière série d'attaques exige le plus de courage, car le taureau est alors pleinement engagé et a appris les schémas des agresseurs.</v>
      </c>
    </row>
    <row r="12" ht="22.5" customHeight="1">
      <c r="A12" s="3">
        <v>11.0</v>
      </c>
      <c r="B12" s="4" t="s">
        <v>1455</v>
      </c>
      <c r="C12" s="4" t="s">
        <v>1456</v>
      </c>
      <c r="D12" s="4" t="s">
        <v>1457</v>
      </c>
      <c r="E12" s="4" t="s">
        <v>1458</v>
      </c>
      <c r="G12" s="5" t="str">
        <f>IFERROR(__xludf.DUMMYFUNCTION("GOOGLETRANSLATE(A12, ""en"", ""fr"")"),"11")</f>
        <v>11</v>
      </c>
      <c r="H12" s="5" t="str">
        <f>IFERROR(__xludf.DUMMYFUNCTION("GOOGLETRANSLATE(B12, ""en"", ""fr"")"),"Un razeteur effectue une course, mais l'arbitre déclare qu'il s'agit d'un « boulevardié ». Que signifie cette faute ?")</f>
        <v>Un razeteur effectue une course, mais l'arbitre déclare qu'il s'agit d'un « boulevardié ». Que signifie cette faute ?</v>
      </c>
      <c r="I12" s="5" t="str">
        <f>IFERROR(__xludf.DUMMYFUNCTION("GOOGLETRANSLATE(C12, ""en"", ""fr"")"),"A) La course était trop lente, B) La course était trop droite et ne formait pas une courbe correcte, C) Le lanceur est sorti de l'arène, D) La course était trop rapide")</f>
        <v>A) La course était trop lente, B) La course était trop droite et ne formait pas une courbe correcte, C) Le lanceur est sorti de l'arène, D) La course était trop rapide</v>
      </c>
      <c r="J12" s="5" t="str">
        <f>IFERROR(__xludf.DUMMYFUNCTION("GOOGLETRANSLATE(D12, ""en"", ""fr"")"),"B) La piste était trop droite et non pas une courbe appropriée.")</f>
        <v>B) La piste était trop droite et non pas une courbe appropriée.</v>
      </c>
      <c r="K12" s="5" t="str">
        <f>IFERROR(__xludf.DUMMYFUNCTION("GOOGLETRANSLATE(E12, ""en"", ""fr"")"),"Un raset légal doit comporter une courbe distincte à l'endroit où le coureur croise la trajectoire du taureau. Une ligne droite constitue un raccourci illégal.")</f>
        <v>Un raset légal doit comporter une courbe distincte à l'endroit où le coureur croise la trajectoire du taureau. Une ligne droite constitue un raccourci illégal.</v>
      </c>
    </row>
    <row r="13" ht="22.5" customHeight="1">
      <c r="A13" s="3">
        <v>12.0</v>
      </c>
      <c r="B13" s="4" t="s">
        <v>1459</v>
      </c>
      <c r="C13" s="4" t="s">
        <v>1460</v>
      </c>
      <c r="D13" s="4" t="s">
        <v>1461</v>
      </c>
      <c r="E13" s="4" t="s">
        <v>1462</v>
      </c>
      <c r="G13" s="5" t="str">
        <f>IFERROR(__xludf.DUMMYFUNCTION("GOOGLETRANSLATE(A13, ""en"", ""fr"")"),"12")</f>
        <v>12</v>
      </c>
      <c r="H13" s="5" t="str">
        <f>IFERROR(__xludf.DUMMYFUNCTION("GOOGLETRANSLATE(B13, ""en"", ""fr"")"),"Un taureau légendaire prend sa retraite des arènes. Quel hommage est généralement rendu à un tel animal ?")</f>
        <v>Un taureau légendaire prend sa retraite des arènes. Quel hommage est généralement rendu à un tel animal ?</v>
      </c>
      <c r="I13" s="5" t="str">
        <f>IFERROR(__xludf.DUMMYFUNCTION("GOOGLETRANSLATE(C13, ""en"", ""fr"")"),"A) Il est vendu à un prix élevé, B) Il reçoit une marque spéciale, C) Une statue du taureau est érigée dans son village natal, D) Il est oublié")</f>
        <v>A) Il est vendu à un prix élevé, B) Il reçoit une marque spéciale, C) Une statue du taureau est érigée dans son village natal, D) Il est oublié</v>
      </c>
      <c r="J13" s="5" t="str">
        <f>IFERROR(__xludf.DUMMYFUNCTION("GOOGLETRANSLATE(D13, ""en"", ""fr"")"),"C) Une statue du taureau est érigée dans son village natal")</f>
        <v>C) Une statue du taureau est érigée dans son village natal</v>
      </c>
      <c r="K13" s="5" t="str">
        <f>IFERROR(__xludf.DUMMYFUNCTION("GOOGLETRANSLATE(E13, ""en"", ""fr"")"),"Les plus grands taureaux, comme « Vovo » et « Goya », sont immortalisés par des statues, témoignant de leur statut de héros célèbres.")</f>
        <v>Les plus grands taureaux, comme « Vovo » et « Goya », sont immortalisés par des statues, témoignant de leur statut de héros célèbres.</v>
      </c>
    </row>
    <row r="14" ht="22.5" customHeight="1">
      <c r="A14" s="3">
        <v>13.0</v>
      </c>
      <c r="B14" s="4" t="s">
        <v>1463</v>
      </c>
      <c r="C14" s="4" t="s">
        <v>1464</v>
      </c>
      <c r="D14" s="4" t="s">
        <v>1465</v>
      </c>
      <c r="E14" s="4" t="s">
        <v>1466</v>
      </c>
      <c r="G14" s="5" t="str">
        <f>IFERROR(__xludf.DUMMYFUNCTION("GOOGLETRANSLATE(A14, ""en"", ""fr"")"),"13")</f>
        <v>13</v>
      </c>
      <c r="H14" s="5" t="str">
        <f>IFERROR(__xludf.DUMMYFUNCTION("GOOGLETRANSLATE(B14, ""en"", ""fr"")"),"Un razeteur porte une chemise avec le logo d'un sponsor en grand format. Son nom, au dos, est inscrit en rouge. Quel est son rôle ?")</f>
        <v>Un razeteur porte une chemise avec le logo d'un sponsor en grand format. Son nom, au dos, est inscrit en rouge. Quel est son rôle ?</v>
      </c>
      <c r="I14" s="5" t="str">
        <f>IFERROR(__xludf.DUMMYFUNCTION("GOOGLETRANSLATE(C14, ""en"", ""fr"")"),"A) Un raseteur, B) Un tourneur, C) L'arbitre, D) Un gardien")</f>
        <v>A) Un raseteur, B) Un tourneur, C) L'arbitre, D) Un gardien</v>
      </c>
      <c r="J14" s="5" t="str">
        <f>IFERROR(__xludf.DUMMYFUNCTION("GOOGLETRANSLATE(D14, ""en"", ""fr"")"),"B) Un tourneur")</f>
        <v>B) Un tourneur</v>
      </c>
      <c r="K14" s="5" t="str">
        <f>IFERROR(__xludf.DUMMYFUNCTION("GOOGLETRANSLATE(E14, ""en"", ""fr"")"),"Selon les règles, les noms des tourneurs doivent être écrits en rouge, tandis que ceux des razeteurs doivent être écrits en noir.")</f>
        <v>Selon les règles, les noms des tourneurs doivent être écrits en rouge, tandis que ceux des razeteurs doivent être écrits en noir.</v>
      </c>
    </row>
    <row r="15" ht="22.5" customHeight="1">
      <c r="A15" s="3">
        <v>14.0</v>
      </c>
      <c r="B15" s="4" t="s">
        <v>1467</v>
      </c>
      <c r="C15" s="4" t="s">
        <v>1468</v>
      </c>
      <c r="D15" s="4" t="s">
        <v>1469</v>
      </c>
      <c r="E15" s="4" t="s">
        <v>1470</v>
      </c>
      <c r="G15" s="5" t="str">
        <f>IFERROR(__xludf.DUMMYFUNCTION("GOOGLETRANSLATE(A15, ""en"", ""fr"")"),"14")</f>
        <v>14</v>
      </c>
      <c r="H15" s="5" t="str">
        <f>IFERROR(__xludf.DUMMYFUNCTION("GOOGLETRANSLATE(B15, ""en"", ""fr"")"),"Quel est le nom du prestigieux trophée de championnat décerné au meilleur taureau de toute la saison ?")</f>
        <v>Quel est le nom du prestigieux trophée de championnat décerné au meilleur taureau de toute la saison ?</v>
      </c>
      <c r="I15" s="5" t="str">
        <f>IFERROR(__xludf.DUMMYFUNCTION("GOOGLETRANSLATE(C15, ""en"", ""fr"")"),"A) La Cocarde d'Or, B) Le Trophée des As, C) La Palme d'Or, D) Le Biòu d'Or")</f>
        <v>A) La Cocarde d'Or, B) Le Trophée des As, C) La Palme d'Or, D) Le Biòu d'Or</v>
      </c>
      <c r="J15" s="5" t="str">
        <f>IFERROR(__xludf.DUMMYFUNCTION("GOOGLETRANSLATE(D15, ""en"", ""fr"")"),"D) Le Biòu d'Or")</f>
        <v>D) Le Biòu d'Or</v>
      </c>
      <c r="K15" s="5" t="str">
        <f>IFERROR(__xludf.DUMMYFUNCTION("GOOGLETRANSLATE(E15, ""en"", ""fr"")"),"Le « Taureau d'or » est la récompense la plus convoitée pour un taureau, décernée par un vote de juges à la fin de la saison en fonction de ses performances.")</f>
        <v>Le « Taureau d'or » est la récompense la plus convoitée pour un taureau, décernée par un vote de juges à la fin de la saison en fonction de ses performances.</v>
      </c>
    </row>
    <row r="16" ht="22.5" customHeight="1">
      <c r="A16" s="3">
        <v>15.0</v>
      </c>
      <c r="B16" s="4" t="s">
        <v>1471</v>
      </c>
      <c r="C16" s="4" t="s">
        <v>1472</v>
      </c>
      <c r="D16" s="4" t="s">
        <v>1473</v>
      </c>
      <c r="E16" s="4" t="s">
        <v>1474</v>
      </c>
      <c r="G16" s="5" t="str">
        <f>IFERROR(__xludf.DUMMYFUNCTION("GOOGLETRANSLATE(A16, ""en"", ""fr"")"),"15")</f>
        <v>15</v>
      </c>
      <c r="H16" s="5" t="str">
        <f>IFERROR(__xludf.DUMMYFUNCTION("GOOGLETRANSLATE(B16, ""en"", ""fr"")"),"Quel est le nom du championnat récompensant le meilleur razeteur de la saison ?")</f>
        <v>Quel est le nom du championnat récompensant le meilleur razeteur de la saison ?</v>
      </c>
      <c r="I16" s="5" t="str">
        <f>IFERROR(__xludf.DUMMYFUNCTION("GOOGLETRANSLATE(C16, ""en"", ""fr"")"),"A) Le Biòu d'Or, B) Le Trophée des As, C) La Cocarde d'Or, D) La Palme d'Or")</f>
        <v>A) Le Biòu d'Or, B) Le Trophée des As, C) La Cocarde d'Or, D) La Palme d'Or</v>
      </c>
      <c r="J16" s="5" t="str">
        <f>IFERROR(__xludf.DUMMYFUNCTION("GOOGLETRANSLATE(D16, ""en"", ""fr"")"),"B) Le Trophée des As")</f>
        <v>B) Le Trophée des As</v>
      </c>
      <c r="K16" s="5" t="str">
        <f>IFERROR(__xludf.DUMMYFUNCTION("GOOGLETRANSLATE(E16, ""en"", ""fr"")"),"Le « Trophée des As » est le championnat d'élite qui, tout au long de la saison, couronne le meilleur razeteur de l'année.")</f>
        <v>Le « Trophée des As » est le championnat d'élite qui, tout au long de la saison, couronne le meilleur razeteur de l'année.</v>
      </c>
    </row>
    <row r="17" ht="22.5" customHeight="1">
      <c r="A17" s="3">
        <v>16.0</v>
      </c>
      <c r="B17" s="4" t="s">
        <v>1475</v>
      </c>
      <c r="C17" s="4" t="s">
        <v>1476</v>
      </c>
      <c r="D17" s="4" t="s">
        <v>1477</v>
      </c>
      <c r="E17" s="4" t="s">
        <v>1478</v>
      </c>
      <c r="G17" s="5" t="str">
        <f>IFERROR(__xludf.DUMMYFUNCTION("GOOGLETRANSLATE(A17, ""en"", ""fr"")"),"16")</f>
        <v>16</v>
      </c>
      <c r="H17" s="5" t="str">
        <f>IFERROR(__xludf.DUMMYFUNCTION("GOOGLETRANSLATE(B17, ""en"", ""fr"")"),"Un razeteur saute sur la barrière pour s'échapper, mais se trouve encore au sommet du mur lorsque la corne du taureau lui effleure la jambe. Que se passe-t-il ensuite ?")</f>
        <v>Un razeteur saute sur la barrière pour s'échapper, mais se trouve encore au sommet du mur lorsque la corne du taureau lui effleure la jambe. Que se passe-t-il ensuite ?</v>
      </c>
      <c r="I17" s="5" t="str">
        <f>IFERROR(__xludf.DUMMYFUNCTION("GOOGLETRANSLATE(C17, ""en"", ""fr"")"),"A) Le taureau est pénalisé, B) Le lanceur est considéré comme blessé et doit quitter la course, C) Les lanceurs doivent distraire le taureau pour que le lanceur puisse descendre en toute sécurité, D) Le point est rejoué")</f>
        <v>A) Le taureau est pénalisé, B) Le lanceur est considéré comme blessé et doit quitter la course, C) Les lanceurs doivent distraire le taureau pour que le lanceur puisse descendre en toute sécurité, D) Le point est rejoué</v>
      </c>
      <c r="J17" s="5" t="str">
        <f>IFERROR(__xludf.DUMMYFUNCTION("GOOGLETRANSLATE(D17, ""en"", ""fr"")"),"C) Les tourneurs doivent distraire le taureau pour que le razéteur puisse descendre en toute sécurité.")</f>
        <v>C) Les tourneurs doivent distraire le taureau pour que le razéteur puisse descendre en toute sécurité.</v>
      </c>
      <c r="K17" s="5" t="str">
        <f>IFERROR(__xludf.DUMMYFUNCTION("GOOGLETRANSLATE(E17, ""en"", ""fr"")"),"La situation est dangereuse. Les autres hommes présents sur le ring ont le devoir de créer une diversion pour assurer la sécurité de leur coéquipier.")</f>
        <v>La situation est dangereuse. Les autres hommes présents sur le ring ont le devoir de créer une diversion pour assurer la sécurité de leur coéquipier.</v>
      </c>
    </row>
    <row r="18" ht="22.5" customHeight="1">
      <c r="A18" s="3">
        <v>17.0</v>
      </c>
      <c r="B18" s="4" t="s">
        <v>1479</v>
      </c>
      <c r="C18" s="4" t="s">
        <v>1480</v>
      </c>
      <c r="D18" s="4" t="s">
        <v>1481</v>
      </c>
      <c r="E18" s="4" t="s">
        <v>1482</v>
      </c>
      <c r="G18" s="5" t="str">
        <f>IFERROR(__xludf.DUMMYFUNCTION("GOOGLETRANSLATE(A18, ""en"", ""fr"")"),"17")</f>
        <v>17</v>
      </c>
      <c r="H18" s="5" t="str">
        <f>IFERROR(__xludf.DUMMYFUNCTION("GOOGLETRANSLATE(B18, ""en"", ""fr"")"),"Quelle est la principale raison pour laquelle les pantalons blancs des razeteurs sont si moulants ?")</f>
        <v>Quelle est la principale raison pour laquelle les pantalons blancs des razeteurs sont si moulants ?</v>
      </c>
      <c r="I18" s="5" t="str">
        <f>IFERROR(__xludf.DUMMYFUNCTION("GOOGLETRANSLATE(C18, ""en"", ""fr"")"),"A) C'est une tendance de mode moderne, B) Pour éviter que la corne du taureau ne se prenne dans le tissu, C) Pour mettre en valeur les muscles du taureau, D) Pour améliorer l'aérodynamisme")</f>
        <v>A) C'est une tendance de mode moderne, B) Pour éviter que la corne du taureau ne se prenne dans le tissu, C) Pour mettre en valeur les muscles du taureau, D) Pour améliorer l'aérodynamisme</v>
      </c>
      <c r="J18" s="5" t="str">
        <f>IFERROR(__xludf.DUMMYFUNCTION("GOOGLETRANSLATE(D18, ""en"", ""fr"")"),"B) Pour éviter que la corne du taureau ne se prenne dans les tissus lâches")</f>
        <v>B) Pour éviter que la corne du taureau ne se prenne dans les tissus lâches</v>
      </c>
      <c r="K18" s="5" t="str">
        <f>IFERROR(__xludf.DUMMYFUNCTION("GOOGLETRANSLATE(E18, ""en"", ""fr"")"),"Il s'agit d'un élément de sécurité essentiel de l'uniforme, minimisant le risque qu'un klaxon se prenne dans les vêtements lors d'un passage à courte distance.")</f>
        <v>Il s'agit d'un élément de sécurité essentiel de l'uniforme, minimisant le risque qu'un klaxon se prenne dans les vêtements lors d'un passage à courte distance.</v>
      </c>
    </row>
    <row r="19" ht="22.5" customHeight="1">
      <c r="A19" s="3">
        <v>18.0</v>
      </c>
      <c r="B19" s="4" t="s">
        <v>1483</v>
      </c>
      <c r="C19" s="4" t="s">
        <v>1484</v>
      </c>
      <c r="D19" s="4" t="s">
        <v>1485</v>
      </c>
      <c r="E19" s="4" t="s">
        <v>1486</v>
      </c>
      <c r="G19" s="5" t="str">
        <f>IFERROR(__xludf.DUMMYFUNCTION("GOOGLETRANSLATE(A19, ""en"", ""fr"")"),"18")</f>
        <v>18</v>
      </c>
      <c r="H19" s="5" t="str">
        <f>IFERROR(__xludf.DUMMYFUNCTION("GOOGLETRANSLATE(B19, ""en"", ""fr"")"),"Un razeteur réussit à extraire la dernière corde (fielle) d'une corne de taureau. Que se passe-t-il ensuite ?")</f>
        <v>Un razeteur réussit à extraire la dernière corde (fielle) d'une corne de taureau. Que se passe-t-il ensuite ?</v>
      </c>
      <c r="I19" s="5" t="str">
        <f>IFERROR(__xludf.DUMMYFUNCTION("GOOGLETRANSLATE(C19, ""en"", ""fr"")"),"A) Le taureau est immédiatement remis dans son enclos (toril), B) De nouveaux attributs sont attribués au taureau, C) Le dresseur remporte la course, D) Le taureau bénéficie d'une période de repos")</f>
        <v>A) Le taureau est immédiatement remis dans son enclos (toril), B) De nouveaux attributs sont attribués au taureau, C) Le dresseur remporte la course, D) Le taureau bénéficie d'une période de repos</v>
      </c>
      <c r="J19" s="5" t="str">
        <f>IFERROR(__xludf.DUMMYFUNCTION("GOOGLETRANSLATE(D19, ""en"", ""fr"")"),"A) Le taureau est immédiatement ramené dans son enclos (toril).")</f>
        <v>A) Le taureau est immédiatement ramené dans son enclos (toril).</v>
      </c>
      <c r="K19" s="5" t="str">
        <f>IFERROR(__xludf.DUMMYFUNCTION("GOOGLETRANSLATE(E19, ""en"", ""fr"")"),"Le « travail » du taureau est terminé une fois que tous ses attributs ont été prélevés. Il est honoré par de la musique et autorisé à quitter l'arène, même si ses 15 minutes ne sont pas écoulées.")</f>
        <v>Le « travail » du taureau est terminé une fois que tous ses attributs ont été prélevés. Il est honoré par de la musique et autorisé à quitter l'arène, même si ses 15 minutes ne sont pas écoulées.</v>
      </c>
    </row>
    <row r="20" ht="22.5" customHeight="1">
      <c r="A20" s="3">
        <v>19.0</v>
      </c>
      <c r="B20" s="4" t="s">
        <v>1487</v>
      </c>
      <c r="C20" s="4" t="s">
        <v>1488</v>
      </c>
      <c r="D20" s="4" t="s">
        <v>1489</v>
      </c>
      <c r="E20" s="4" t="s">
        <v>1490</v>
      </c>
      <c r="G20" s="5" t="str">
        <f>IFERROR(__xludf.DUMMYFUNCTION("GOOGLETRANSLATE(A20, ""en"", ""fr"")"),"19")</f>
        <v>19</v>
      </c>
      <c r="H20" s="5" t="str">
        <f>IFERROR(__xludf.DUMMYFUNCTION("GOOGLETRANSLATE(B20, ""en"", ""fr"")"),"À quoi servent les lignes blanches peintes sur la piste de l'arène ?")</f>
        <v>À quoi servent les lignes blanches peintes sur la piste de l'arène ?</v>
      </c>
      <c r="I20" s="5" t="str">
        <f>IFERROR(__xludf.DUMMYFUNCTION("GOOGLETRANSLATE(C20, ""en"", ""fr"")"),"A) Elles servent à la décoration, B) Elles aident les dresseurs à évaluer la distance et la position par rapport au taureau, C) Elles délimitent le périmètre du taureau, D) Ce sont des lignes de service")</f>
        <v>A) Elles servent à la décoration, B) Elles aident les dresseurs à évaluer la distance et la position par rapport au taureau, C) Elles délimitent le périmètre du taureau, D) Ce sont des lignes de service</v>
      </c>
      <c r="J20" s="5" t="str">
        <f>IFERROR(__xludf.DUMMYFUNCTION("GOOGLETRANSLATE(D20, ""en"", ""fr"")"),"B) Ils aident les arqueurs à évaluer leur distance et leur position par rapport au taureau")</f>
        <v>B) Ils aident les arqueurs à évaluer leur distance et leur position par rapport au taureau</v>
      </c>
      <c r="K20" s="5" t="str">
        <f>IFERROR(__xludf.DUMMYFUNCTION("GOOGLETRANSLATE(E20, ""en"", ""fr"")"),"Ces lignes servent de repère visuel aux razeteurs pour les aider à synchroniser leur course et leur saut vers la barrière.")</f>
        <v>Ces lignes servent de repère visuel aux razeteurs pour les aider à synchroniser leur course et leur saut vers la barrière.</v>
      </c>
    </row>
    <row r="21" ht="22.5" customHeight="1">
      <c r="A21" s="3">
        <v>20.0</v>
      </c>
      <c r="B21" s="4" t="s">
        <v>1491</v>
      </c>
      <c r="C21" s="4" t="s">
        <v>1492</v>
      </c>
      <c r="D21" s="4" t="s">
        <v>1493</v>
      </c>
      <c r="E21" s="4" t="s">
        <v>1494</v>
      </c>
      <c r="G21" s="5" t="str">
        <f>IFERROR(__xludf.DUMMYFUNCTION("GOOGLETRANSLATE(A21, ""en"", ""fr"")"),"20")</f>
        <v>20</v>
      </c>
      <c r="H21" s="5" t="str">
        <f>IFERROR(__xludf.DUMMYFUNCTION("GOOGLETRANSLATE(B21, ""en"", ""fr"")"),"Un taureau a la réputation d'être un « sauteur ». Qu'est-ce que cela signifie ?")</f>
        <v>Un taureau a la réputation d'être un « sauteur ». Qu'est-ce que cela signifie ?</v>
      </c>
      <c r="I21" s="5" t="str">
        <f>IFERROR(__xludf.DUMMYFUNCTION("GOOGLETRANSLATE(C21, ""en"", ""fr"")"),"A) Il est très énergique, B) Il a l'habitude de sauter la barrière à la poursuite des razeteurs, C) Il saute par-dessus les razeteurs, D) C'est un jeune taureau")</f>
        <v>A) Il est très énergique, B) Il a l'habitude de sauter la barrière à la poursuite des razeteurs, C) Il saute par-dessus les razeteurs, D) C'est un jeune taureau</v>
      </c>
      <c r="J21" s="5" t="str">
        <f>IFERROR(__xludf.DUMMYFUNCTION("GOOGLETRANSLATE(D21, ""en"", ""fr"")"),"B) Elle a la fâcheuse habitude de franchir la barrière à la poursuite des razeteurs")</f>
        <v>B) Elle a la fâcheuse habitude de franchir la barrière à la poursuite des razeteurs</v>
      </c>
      <c r="K21" s="5" t="str">
        <f>IFERROR(__xludf.DUMMYFUNCTION("GOOGLETRANSLATE(E21, ""en"", ""fr"")"),"C'est une caractéristique qui rend le taureau à la fois dangereux et extrêmement spectaculaire, et qui le rend très populaire auprès du public.")</f>
        <v>C'est une caractéristique qui rend le taureau à la fois dangereux et extrêmement spectaculaire, et qui le rend très populaire auprès du public.</v>
      </c>
    </row>
    <row r="22" ht="22.5" customHeight="1">
      <c r="A22" s="3">
        <v>21.0</v>
      </c>
      <c r="B22" s="4" t="s">
        <v>1495</v>
      </c>
      <c r="C22" s="4" t="s">
        <v>1496</v>
      </c>
      <c r="D22" s="4" t="s">
        <v>1497</v>
      </c>
      <c r="E22" s="4" t="s">
        <v>1498</v>
      </c>
      <c r="G22" s="5" t="str">
        <f>IFERROR(__xludf.DUMMYFUNCTION("GOOGLETRANSLATE(A22, ""en"", ""fr"")"),"21")</f>
        <v>21</v>
      </c>
      <c r="H22" s="5" t="str">
        <f>IFERROR(__xludf.DUMMYFUNCTION("GOOGLETRANSLATE(B22, ""en"", ""fr"")"),"Quelle est la décision rendue si un arquebusier saisit la corne du taureau de sa main libre pour se stabiliser ?")</f>
        <v>Quelle est la décision rendue si un arquebusier saisit la corne du taureau de sa main libre pour se stabiliser ?</v>
      </c>
      <c r="I22" s="5" t="str">
        <f>IFERROR(__xludf.DUMMYFUNCTION("GOOGLETRANSLATE(C22, ""en"", ""fr"")"),"A) C'est une manœuvre légale pour rétablir l'équilibre, B) C'est une faute grave et le razeteur est pénalisé, C) C'est autorisé si le taureau est agressif, D) Le point est rejoué")</f>
        <v>A) C'est une manœuvre légale pour rétablir l'équilibre, B) C'est une faute grave et le razeteur est pénalisé, C) C'est autorisé si le taureau est agressif, D) Le point est rejoué</v>
      </c>
      <c r="J22" s="5" t="str">
        <f>IFERROR(__xludf.DUMMYFUNCTION("GOOGLETRANSLATE(D22, ""en"", ""fr"")"),"B) C'est une faute grave, et le razéteur est sanctionné.")</f>
        <v>B) C'est une faute grave, et le razéteur est sanctionné.</v>
      </c>
      <c r="K22" s="5" t="str">
        <f>IFERROR(__xludf.DUMMYFUNCTION("GOOGLETRANSLATE(E22, ""en"", ""fr"")"),"Il est strictement interdit à un razeteur de toucher le taureau avec quelque partie que ce soit de son corps ou avec sa main libre.")</f>
        <v>Il est strictement interdit à un razeteur de toucher le taureau avec quelque partie que ce soit de son corps ou avec sa main libre.</v>
      </c>
    </row>
    <row r="23" ht="22.5" customHeight="1">
      <c r="A23" s="3">
        <v>22.0</v>
      </c>
      <c r="B23" s="4" t="s">
        <v>1499</v>
      </c>
      <c r="C23" s="4" t="s">
        <v>1500</v>
      </c>
      <c r="D23" s="4" t="s">
        <v>1501</v>
      </c>
      <c r="E23" s="4" t="s">
        <v>1502</v>
      </c>
      <c r="G23" s="5" t="str">
        <f>IFERROR(__xludf.DUMMYFUNCTION("GOOGLETRANSLATE(A23, ""en"", ""fr"")"),"22")</f>
        <v>22</v>
      </c>
      <c r="H23" s="5" t="str">
        <f>IFERROR(__xludf.DUMMYFUNCTION("GOOGLETRANSLATE(B23, ""en"", ""fr"")"),"On loue le taureau pour son « sens de la barrière ». Qu'est-ce que cela signifie ?")</f>
        <v>On loue le taureau pour son « sens de la barrière ». Qu'est-ce que cela signifie ?</v>
      </c>
      <c r="I23" s="5" t="str">
        <f>IFERROR(__xludf.DUMMYFUNCTION("GOOGLETRANSLATE(C23, ""en"", ""fr"")"),"A) Il a peur de la barrière, B) Il utilise intelligemment la barrière pour coincer un razeteur, C) Il essaie souvent de sauter par-dessus la barrière, D) Il reste au centre de l'arène")</f>
        <v>A) Il a peur de la barrière, B) Il utilise intelligemment la barrière pour coincer un razeteur, C) Il essaie souvent de sauter par-dessus la barrière, D) Il reste au centre de l'arène</v>
      </c>
      <c r="J23" s="5" t="str">
        <f>IFERROR(__xludf.DUMMYFUNCTION("GOOGLETRANSLATE(D23, ""en"", ""fr"")"),"B) Il utilise intelligemment la barrière pour coincer un razeteur")</f>
        <v>B) Il utilise intelligemment la barrière pour coincer un razeteur</v>
      </c>
      <c r="K23" s="5" t="str">
        <f>IFERROR(__xludf.DUMMYFUNCTION("GOOGLETRANSLATE(E23, ""en"", ""fr"")"),"Un taureau intelligent apprend à utiliser la géographie de l'arène, coinçant l'homme contre le mur pour l'empêcher de s'échapper ou de prendre un avantage.")</f>
        <v>Un taureau intelligent apprend à utiliser la géographie de l'arène, coinçant l'homme contre le mur pour l'empêcher de s'échapper ou de prendre un avantage.</v>
      </c>
    </row>
    <row r="24" ht="22.5" customHeight="1">
      <c r="A24" s="3">
        <v>23.0</v>
      </c>
      <c r="B24" s="4" t="s">
        <v>1503</v>
      </c>
      <c r="C24" s="4" t="s">
        <v>1504</v>
      </c>
      <c r="D24" s="4" t="s">
        <v>1505</v>
      </c>
      <c r="E24" s="4" t="s">
        <v>1506</v>
      </c>
      <c r="G24" s="5" t="str">
        <f>IFERROR(__xludf.DUMMYFUNCTION("GOOGLETRANSLATE(A24, ""en"", ""fr"")"),"23")</f>
        <v>23</v>
      </c>
      <c r="H24" s="5" t="str">
        <f>IFERROR(__xludf.DUMMYFUNCTION("GOOGLETRANSLATE(B24, ""en"", ""fr"")"),"Un spectateur envahit la piste pendant une course. Quelle est la procédure correcte ?")</f>
        <v>Un spectateur envahit la piste pendant une course. Quelle est la procédure correcte ?</v>
      </c>
      <c r="I24" s="5" t="str">
        <f>IFERROR(__xludf.DUMMYFUNCTION("GOOGLETRANSLATE(C24, ""en"", ""fr"")"),"A) La course continue, B) L'arbitre doit immédiatement arrêter la course, C) Le spectateur est autorisé à tenter de prendre un attribut, D) L'équipe soutenue par le spectateur est pénalisée")</f>
        <v>A) La course continue, B) L'arbitre doit immédiatement arrêter la course, C) Le spectateur est autorisé à tenter de prendre un attribut, D) L'équipe soutenue par le spectateur est pénalisée</v>
      </c>
      <c r="J24" s="5" t="str">
        <f>IFERROR(__xludf.DUMMYFUNCTION("GOOGLETRANSLATE(D24, ""en"", ""fr"")"),"B) L'arbitre doit immédiatement arrêter la course")</f>
        <v>B) L'arbitre doit immédiatement arrêter la course</v>
      </c>
      <c r="K24" s="5" t="str">
        <f>IFERROR(__xludf.DUMMYFUNCTION("GOOGLETRANSLATE(E24, ""en"", ""fr"")"),"La sécurité des participants et du public est primordiale. Toute interférence de ce type exige un arrêt immédiat.")</f>
        <v>La sécurité des participants et du public est primordiale. Toute interférence de ce type exige un arrêt immédiat.</v>
      </c>
    </row>
    <row r="25" ht="22.5" customHeight="1">
      <c r="A25" s="3">
        <v>24.0</v>
      </c>
      <c r="B25" s="4" t="s">
        <v>1507</v>
      </c>
      <c r="C25" s="4" t="s">
        <v>1508</v>
      </c>
      <c r="D25" s="4" t="s">
        <v>1509</v>
      </c>
      <c r="E25" s="4" t="s">
        <v>1510</v>
      </c>
      <c r="G25" s="5" t="str">
        <f>IFERROR(__xludf.DUMMYFUNCTION("GOOGLETRANSLATE(A25, ""en"", ""fr"")"),"24")</f>
        <v>24</v>
      </c>
      <c r="H25" s="5" t="str">
        <f>IFERROR(__xludf.DUMMYFUNCTION("GOOGLETRANSLATE(B25, ""en"", ""fr"")"),"Un razeteur est appelé « gaucher ». Quel est son principal avantage ?")</f>
        <v>Un razeteur est appelé « gaucher ». Quel est son principal avantage ?</v>
      </c>
      <c r="I25" s="5" t="str">
        <f>IFERROR(__xludf.DUMMYFUNCTION("GOOGLETRANSLATE(C25, ""en"", ""fr"")"),"A) Ils sont plus forts, B) Ils approchent le taureau sous un angle inhabituel, ce qui peut déstabiliser sa défense, C) Ils sont plus rapides, D) Ils ont un meilleur équipement")</f>
        <v>A) Ils sont plus forts, B) Ils approchent le taureau sous un angle inhabituel, ce qui peut déstabiliser sa défense, C) Ils sont plus rapides, D) Ils ont un meilleur équipement</v>
      </c>
      <c r="J25" s="5" t="str">
        <f>IFERROR(__xludf.DUMMYFUNCTION("GOOGLETRANSLATE(D25, ""en"", ""fr"")"),"B) Ils approchent le taureau sous un angle inhabituel, ce qui peut désorienter sa défense.")</f>
        <v>B) Ils approchent le taureau sous un angle inhabituel, ce qui peut désorienter sa défense.</v>
      </c>
      <c r="K25" s="5" t="str">
        <f>IFERROR(__xludf.DUMMYFUNCTION("GOOGLETRANSLATE(E25, ""en"", ""fr"")"),"Un gaucher représente un défi différent et souvent plus difficile pour le taureau, qui est plus habitué aux razeteurs droitiers.")</f>
        <v>Un gaucher représente un défi différent et souvent plus difficile pour le taureau, qui est plus habitué aux razeteurs droitiers.</v>
      </c>
    </row>
    <row r="26" ht="22.5" customHeight="1">
      <c r="A26" s="3">
        <v>25.0</v>
      </c>
      <c r="B26" s="4" t="s">
        <v>1511</v>
      </c>
      <c r="C26" s="4" t="s">
        <v>1512</v>
      </c>
      <c r="D26" s="4" t="s">
        <v>1513</v>
      </c>
      <c r="E26" s="4" t="s">
        <v>1514</v>
      </c>
      <c r="G26" s="5" t="str">
        <f>IFERROR(__xludf.DUMMYFUNCTION("GOOGLETRANSLATE(A26, ""en"", ""fr"")"),"25")</f>
        <v>25</v>
      </c>
      <c r="H26" s="5" t="str">
        <f>IFERROR(__xludf.DUMMYFUNCTION("GOOGLETRANSLATE(B26, ""en"", ""fr"")"),"Un taureau est retiré de l'arène avant la fin de ses 15 minutes de compétition. Quelle est la raison la plus probable ?")</f>
        <v>Un taureau est retiré de l'arène avant la fin de ses 15 minutes de compétition. Quelle est la raison la plus probable ?</v>
      </c>
      <c r="I26" s="5" t="str">
        <f>IFERROR(__xludf.DUMMYFUNCTION("GOOGLETRANSLATE(C26, ""en"", ""fr"")"),"A) Il montre des signes de blessure ou ne participe pas au jeu, B) Il a perdu tous ses attributs, C) Le public s'ennuie, D) A et B")</f>
        <v>A) Il montre des signes de blessure ou ne participe pas au jeu, B) Il a perdu tous ses attributs, C) Le public s'ennuie, D) A et B</v>
      </c>
      <c r="J26" s="5" t="str">
        <f>IFERROR(__xludf.DUMMYFUNCTION("GOOGLETRANSLATE(D26, ""en"", ""fr"")"),"D) A et B")</f>
        <v>D) A et B</v>
      </c>
      <c r="K26" s="5" t="str">
        <f>IFERROR(__xludf.DUMMYFUNCTION("GOOGLETRANSLATE(E26, ""en"", ""fr"")"),"On peut abréger la vie d'un taureau pour son propre bien-être s'il est blessé, s'il ne participe pas aux combats, ou s'il a été « dépouillé » de tous ses trophées.")</f>
        <v>On peut abréger la vie d'un taureau pour son propre bien-être s'il est blessé, s'il ne participe pas aux combats, ou s'il a été « dépouillé » de tous ses trophées.</v>
      </c>
    </row>
    <row r="27" ht="22.5" customHeight="1">
      <c r="A27" s="3">
        <v>26.0</v>
      </c>
      <c r="B27" s="4" t="s">
        <v>1515</v>
      </c>
      <c r="C27" s="4" t="s">
        <v>1516</v>
      </c>
      <c r="D27" s="4" t="s">
        <v>1517</v>
      </c>
      <c r="E27" s="4" t="s">
        <v>1518</v>
      </c>
      <c r="G27" s="5" t="str">
        <f>IFERROR(__xludf.DUMMYFUNCTION("GOOGLETRANSLATE(A27, ""en"", ""fr"")"),"26")</f>
        <v>26</v>
      </c>
      <c r="H27" s="5" t="str">
        <f>IFERROR(__xludf.DUMMYFUNCTION("GOOGLETRANSLATE(B27, ""en"", ""fr"")"),"Lors d'un abrivado, un jeune homme du public parvient à se frayer un chemin à travers la ligne de chevaux et à toucher le taureau. Comment considère-t-on cet acte ?")</f>
        <v>Lors d'un abrivado, un jeune homme du public parvient à se frayer un chemin à travers la ligne de chevaux et à toucher le taureau. Comment considère-t-on cet acte ?</v>
      </c>
      <c r="I27" s="5" t="str">
        <f>IFERROR(__xludf.DUMMYFUNCTION("GOOGLETRANSLATE(C27, ""en"", ""fr"")"),"A) Une faute, B) Un acte de bravoure juvénile (attrapaïre) célèbre, C) Une raison d'arrêter l'événement, D) Un signe de mauvaise maîtrise de l'équitation par les gardiens")</f>
        <v>A) Une faute, B) Un acte de bravoure juvénile (attrapaïre) célèbre, C) Une raison d'arrêter l'événement, D) Un signe de mauvaise maîtrise de l'équitation par les gardiens</v>
      </c>
      <c r="J27" s="5" t="str">
        <f>IFERROR(__xludf.DUMMYFUNCTION("GOOGLETRANSLATE(D27, ""en"", ""fr"")"),"B) Un acte de bravoure juvénile célèbre (attrapaïre)")</f>
        <v>B) Un acte de bravoure juvénile célèbre (attrapaïre)</v>
      </c>
      <c r="K27" s="5" t="str">
        <f>IFERROR(__xludf.DUMMYFUNCTION("GOOGLETRANSLATE(E27, ""en"", ""fr"")"),"Bien que dangereuse, la tentative des jeunes hommes (attrapaïres) d'arrêter ou de détourner les taureaux pendant la course de rue est une partie traditionnelle et admirée du festival.")</f>
        <v>Bien que dangereuse, la tentative des jeunes hommes (attrapaïres) d'arrêter ou de détourner les taureaux pendant la course de rue est une partie traditionnelle et admirée du festival.</v>
      </c>
    </row>
    <row r="28" ht="22.5" customHeight="1">
      <c r="A28" s="3">
        <v>27.0</v>
      </c>
      <c r="B28" s="4" t="s">
        <v>1519</v>
      </c>
      <c r="C28" s="4" t="s">
        <v>1520</v>
      </c>
      <c r="D28" s="4" t="s">
        <v>1521</v>
      </c>
      <c r="E28" s="4" t="s">
        <v>1522</v>
      </c>
      <c r="G28" s="5" t="str">
        <f>IFERROR(__xludf.DUMMYFUNCTION("GOOGLETRANSLATE(A28, ""en"", ""fr"")"),"27")</f>
        <v>27</v>
      </c>
      <c r="H28" s="5" t="str">
        <f>IFERROR(__xludf.DUMMYFUNCTION("GOOGLETRANSLATE(B28, ""en"", ""fr"")"),"Quelle est la principale caractéristique de la race de chevaux camarguaise ?")</f>
        <v>Quelle est la principale caractéristique de la race de chevaux camarguaise ?</v>
      </c>
      <c r="I28" s="5" t="str">
        <f>IFERROR(__xludf.DUMMYFUNCTION("GOOGLETRANSLATE(C28, ""en"", ""fr"")"),"A) Il est très grand et fort, B) C'est un petit cheval blanc, robuste et agile, adapté aux zones humides, C) C'est un cheval de course rapide, comme un pur-sang, D) C'est un cheval de trait")</f>
        <v>A) Il est très grand et fort, B) C'est un petit cheval blanc, robuste et agile, adapté aux zones humides, C) C'est un cheval de course rapide, comme un pur-sang, D) C'est un cheval de trait</v>
      </c>
      <c r="J28" s="5" t="str">
        <f>IFERROR(__xludf.DUMMYFUNCTION("GOOGLETRANSLATE(D28, ""en"", ""fr"")"),"B) C'est un petit cheval blanc, robuste et agile, adapté aux zones humides.")</f>
        <v>B) C'est un petit cheval blanc, robuste et agile, adapté aux zones humides.</v>
      </c>
      <c r="K28" s="5" t="str">
        <f>IFERROR(__xludf.DUMMYFUNCTION("GOOGLETRANSLATE(E28, ""en"", ""fr"")"),"Les célèbres chevaux blancs de Camargue constituent une race unique et ancienne, parfaitement adaptée à son environnement et au travail des gardians.")</f>
        <v>Les célèbres chevaux blancs de Camargue constituent une race unique et ancienne, parfaitement adaptée à son environnement et au travail des gardians.</v>
      </c>
    </row>
    <row r="29" ht="22.5" customHeight="1">
      <c r="A29" s="3">
        <v>28.0</v>
      </c>
      <c r="B29" s="4" t="s">
        <v>1523</v>
      </c>
      <c r="C29" s="4" t="s">
        <v>1524</v>
      </c>
      <c r="D29" s="4" t="s">
        <v>1525</v>
      </c>
      <c r="E29" s="4" t="s">
        <v>1526</v>
      </c>
      <c r="G29" s="5" t="str">
        <f>IFERROR(__xludf.DUMMYFUNCTION("GOOGLETRANSLATE(A29, ""en"", ""fr"")"),"28")</f>
        <v>28</v>
      </c>
      <c r="H29" s="5" t="str">
        <f>IFERROR(__xludf.DUMMYFUNCTION("GOOGLETRANSLATE(B29, ""en"", ""fr"")"),"Comment un racleur apprend-il son métier ?")</f>
        <v>Comment un racleur apprend-il son métier ?</v>
      </c>
      <c r="I29" s="5" t="str">
        <f>IFERROR(__xludf.DUMMYFUNCTION("GOOGLETRANSLATE(C29, ""en"", ""fr"")"),"A) En regardant des vidéos, B) En fréquentant une école de raseteurs spécialisée dès leur plus jeune âge, C) Ils apprennent par eux-mêmes à partir de livres, D) Ils doivent être issus d'une famille de raseteurs")</f>
        <v>A) En regardant des vidéos, B) En fréquentant une école de raseteurs spécialisée dès leur plus jeune âge, C) Ils apprennent par eux-mêmes à partir de livres, D) Ils doivent être issus d'une famille de raseteurs</v>
      </c>
      <c r="J29" s="5" t="str">
        <f>IFERROR(__xludf.DUMMYFUNCTION("GOOGLETRANSLATE(D29, ""en"", ""fr"")"),"B) En fréquentant une école de raseteurs spécialisée dès son plus jeune âge")</f>
        <v>B) En fréquentant une école de raseteurs spécialisée dès son plus jeune âge</v>
      </c>
      <c r="K29" s="5" t="str">
        <f>IFERROR(__xludf.DUMMYFUNCTION("GOOGLETRANSLATE(E29, ""en"", ""fr"")"),"Les aspirants bargeurs de glace suivent des années de formation intensive dans des écoles spécialisées pour acquérir les compétences dangereuses et hautement techniques requises.")</f>
        <v>Les aspirants bargeurs de glace suivent des années de formation intensive dans des écoles spécialisées pour acquérir les compétences dangereuses et hautement techniques requises.</v>
      </c>
    </row>
    <row r="30" ht="22.5" customHeight="1">
      <c r="A30" s="3">
        <v>29.0</v>
      </c>
      <c r="B30" s="4" t="s">
        <v>1527</v>
      </c>
      <c r="C30" s="4" t="s">
        <v>1528</v>
      </c>
      <c r="D30" s="4" t="s">
        <v>1529</v>
      </c>
      <c r="E30" s="4" t="s">
        <v>1530</v>
      </c>
      <c r="G30" s="5" t="str">
        <f>IFERROR(__xludf.DUMMYFUNCTION("GOOGLETRANSLATE(A30, ""en"", ""fr"")"),"29")</f>
        <v>29</v>
      </c>
      <c r="H30" s="5" t="str">
        <f>IFERROR(__xludf.DUMMYFUNCTION("GOOGLETRANSLATE(B30, ""en"", ""fr"")"),"On loue le taureau pour sa « générosité ». Qu'est-ce que cela signifie ?")</f>
        <v>On loue le taureau pour sa « générosité ». Qu'est-ce que cela signifie ?</v>
      </c>
      <c r="I30" s="5" t="str">
        <f>IFERROR(__xludf.DUMMYFUNCTION("GOOGLETRANSLATE(C30, ""en"", ""fr"")"),"A) C'est un très gros taureau, B) Il charge facilement et participe activement au jeu, C) Il n'attaque pas les razeteurs, D) Il abandonne facilement ses attributs")</f>
        <v>A) C'est un très gros taureau, B) Il charge facilement et participe activement au jeu, C) Il n'attaque pas les razeteurs, D) Il abandonne facilement ses attributs</v>
      </c>
      <c r="J30" s="5" t="str">
        <f>IFERROR(__xludf.DUMMYFUNCTION("GOOGLETRANSLATE(D30, ""en"", ""fr"")"),"B) Il se recharge facilement et participe activement au jeu")</f>
        <v>B) Il se recharge facilement et participe activement au jeu</v>
      </c>
      <c r="K30" s="5" t="str">
        <f>IFERROR(__xludf.DUMMYFUNCTION("GOOGLETRANSLATE(E30, ""en"", ""fr"")"),"Un taureau « généreux » est celui qui offre un grand spectacle en s'engageant honnêtement et courageusement avec les razeteurs, plutôt que d'être passif ou sur la défensive.")</f>
        <v>Un taureau « généreux » est celui qui offre un grand spectacle en s'engageant honnêtement et courageusement avec les razeteurs, plutôt que d'être passif ou sur la défensive.</v>
      </c>
    </row>
    <row r="31" ht="22.5" customHeight="1">
      <c r="A31" s="3">
        <v>30.0</v>
      </c>
      <c r="B31" s="4" t="s">
        <v>1531</v>
      </c>
      <c r="C31" s="4" t="s">
        <v>1532</v>
      </c>
      <c r="D31" s="4" t="s">
        <v>1533</v>
      </c>
      <c r="E31" s="4" t="s">
        <v>1534</v>
      </c>
      <c r="G31" s="5" t="str">
        <f>IFERROR(__xludf.DUMMYFUNCTION("GOOGLETRANSLATE(A31, ""en"", ""fr"")"),"30")</f>
        <v>30</v>
      </c>
      <c r="H31" s="5" t="str">
        <f>IFERROR(__xludf.DUMMYFUNCTION("GOOGLETRANSLATE(B31, ""en"", ""fr"")"),"En substance, la Course Camarguaise est un sport qui oppose quoi à quoi ?")</f>
        <v>En substance, la Course Camarguaise est un sport qui oppose quoi à quoi ?</v>
      </c>
      <c r="I31" s="5" t="str">
        <f>IFERROR(__xludf.DUMMYFUNCTION("GOOGLETRANSLATE(C31, ""en"", ""fr"")"),"A) L'homme contre la bête, B) L'intelligence et l'agilité du taureau contre la puissance et l'instinct du taureau, C) Le bien contre le mal, D) Deux villages rivaux l'un contre l'autre")</f>
        <v>A) L'homme contre la bête, B) L'intelligence et l'agilité du taureau contre la puissance et l'instinct du taureau, C) Le bien contre le mal, D) Deux villages rivaux l'un contre l'autre</v>
      </c>
      <c r="J31" s="5" t="str">
        <f>IFERROR(__xludf.DUMMYFUNCTION("GOOGLETRANSLATE(D31, ""en"", ""fr"")"),"B) L'intelligence et l'agilité du dresseur face à la puissance et à l'instinct du taureau")</f>
        <v>B) L'intelligence et l'agilité du dresseur face à la puissance et à l'instinct du taureau</v>
      </c>
      <c r="K31" s="5" t="str">
        <f>IFERROR(__xludf.DUMMYFUNCTION("GOOGLETRANSLATE(E31, ""en"", ""fr"")"),"Ce sport est un duel non sanglant qui célèbre l'habileté de l'athlète humain et la puissance et l'intelligence de l'athlète animal.")</f>
        <v>Ce sport est un duel non sanglant qui célèbre l'habileté de l'athlète humain et la puissance et l'intelligence de l'athlète animal.</v>
      </c>
    </row>
    <row r="32" ht="22.5" customHeight="1">
      <c r="A32" s="3">
        <v>31.0</v>
      </c>
      <c r="B32" s="4" t="s">
        <v>1535</v>
      </c>
      <c r="C32" s="4" t="s">
        <v>1536</v>
      </c>
      <c r="D32" s="4" t="s">
        <v>1537</v>
      </c>
      <c r="E32" s="4" t="s">
        <v>1538</v>
      </c>
      <c r="G32" s="5" t="str">
        <f>IFERROR(__xludf.DUMMYFUNCTION("GOOGLETRANSLATE(A32, ""en"", ""fr"")"),"31")</f>
        <v>31</v>
      </c>
      <c r="H32" s="5" t="str">
        <f>IFERROR(__xludf.DUMMYFUNCTION("GOOGLETRANSLATE(B32, ""en"", ""fr"")"),"Un razeteur s'approprie un attribut, mais le président de la course ne le valide pas. Quelle pourrait en être la raison ?")</f>
        <v>Un razeteur s'approprie un attribut, mais le président de la course ne le valide pas. Quelle pourrait en être la raison ?</v>
      </c>
      <c r="I32" s="5" t="str">
        <f>IFERROR(__xludf.DUMMYFUNCTION("GOOGLETRANSLATE(C32, ""en"", ""fr"")"),"A) Le président a cligné des yeux et l'a raté. B) Le président a jugé que le raset avait été exécuté après que le taureau se soit déjà détourné. C) Le raseteur n'a pas suffisamment célébré. D) La foule a hué la course.")</f>
        <v>A) Le président a cligné des yeux et l'a raté. B) Le président a jugé que le raset avait été exécuté après que le taureau se soit déjà détourné. C) Le raseteur n'a pas suffisamment célébré. D) La foule a hué la course.</v>
      </c>
      <c r="J32" s="5" t="str">
        <f>IFERROR(__xludf.DUMMYFUNCTION("GOOGLETRANSLATE(D32, ""en"", ""fr"")"),"B) Le président a jugé que le raset avait été exécuté après que le taureau se soit déjà détourné.")</f>
        <v>B) Le président a jugé que le raset avait été exécuté après que le taureau se soit déjà détourné.</v>
      </c>
      <c r="K32" s="5" t="str">
        <f>IFERROR(__xludf.DUMMYFUNCTION("GOOGLETRANSLATE(E32, ""en"", ""fr"")"),"Le président a le dernier mot. Un point peut être refusé si le raset est jugé avoir été marqué à la sortie du taureau plutôt que lors d'une véritable entrée.")</f>
        <v>Le président a le dernier mot. Un point peut être refusé si le raset est jugé avoir été marqué à la sortie du taureau plutôt que lors d'une véritable entrée.</v>
      </c>
    </row>
    <row r="33" ht="22.5" customHeight="1">
      <c r="A33" s="3">
        <v>32.0</v>
      </c>
      <c r="B33" s="4" t="s">
        <v>1539</v>
      </c>
      <c r="C33" s="4" t="s">
        <v>1540</v>
      </c>
      <c r="D33" s="4" t="s">
        <v>1541</v>
      </c>
      <c r="E33" s="4" t="s">
        <v>1542</v>
      </c>
      <c r="G33" s="5" t="str">
        <f>IFERROR(__xludf.DUMMYFUNCTION("GOOGLETRANSLATE(A33, ""en"", ""fr"")"),"32")</f>
        <v>32</v>
      </c>
      <c r="H33" s="5" t="str">
        <f>IFERROR(__xludf.DUMMYFUNCTION("GOOGLETRANSLATE(B33, ""en"", ""fr"")"),"Le prix de la cocarde est de 100 €. Un spectateur fortuné crie « Plus cinquante ! » (50 € de plus). Que se passe-t-il ensuite ?")</f>
        <v>Le prix de la cocarde est de 100 €. Un spectateur fortuné crie « Plus cinquante ! » (50 € de plus). Que se passe-t-il ensuite ?</v>
      </c>
      <c r="I33" s="5" t="str">
        <f>IFERROR(__xludf.DUMMYFUNCTION("GOOGLETRANSLATE(C33, ""en"", ""fr"")"),"A) Le spectateur est expulsé, B) Le speaker annonce officiellement que le prix est porté à 150 €, C) L'argent est collecté après la course, D) Le montant initial du prix est maintenu")</f>
        <v>A) Le spectateur est expulsé, B) Le speaker annonce officiellement que le prix est porté à 150 €, C) L'argent est collecté après la course, D) Le montant initial du prix est maintenu</v>
      </c>
      <c r="J33" s="5" t="str">
        <f>IFERROR(__xludf.DUMMYFUNCTION("GOOGLETRANSLATE(D33, ""en"", ""fr"")"),"B) L'annonceur porte officiellement le prix à 150 €.")</f>
        <v>B) L'annonceur porte officiellement le prix à 150 €.</v>
      </c>
      <c r="K33" s="5" t="str">
        <f>IFERROR(__xludf.DUMMYFUNCTION("GOOGLETRANSLATE(E33, ""en"", ""fr"")"),"C’est ainsi que le montant des prix augmente pendant la course. Des promesses de dons sont annoncées publiquement, ce qui accroît l’enjeu et l’enthousiasme pour la prochaine course victorieuse.")</f>
        <v>C’est ainsi que le montant des prix augmente pendant la course. Des promesses de dons sont annoncées publiquement, ce qui accroît l’enjeu et l’enthousiasme pour la prochaine course victorieuse.</v>
      </c>
    </row>
    <row r="34" ht="22.5" customHeight="1">
      <c r="A34" s="3">
        <v>33.0</v>
      </c>
      <c r="B34" s="4" t="s">
        <v>1543</v>
      </c>
      <c r="C34" s="4" t="s">
        <v>1544</v>
      </c>
      <c r="D34" s="4" t="s">
        <v>1545</v>
      </c>
      <c r="E34" s="4" t="s">
        <v>1546</v>
      </c>
      <c r="G34" s="5" t="str">
        <f>IFERROR(__xludf.DUMMYFUNCTION("GOOGLETRANSLATE(A34, ""en"", ""fr"")"),"33")</f>
        <v>33</v>
      </c>
      <c r="H34" s="5" t="str">
        <f>IFERROR(__xludf.DUMMYFUNCTION("GOOGLETRANSLATE(B34, ""en"", ""fr"")"),"Un razeteur charge le taureau. Quel est le rôle immédiat des autres razeteurs et des tourneurs ?")</f>
        <v>Un razeteur charge le taureau. Quel est le rôle immédiat des autres razeteurs et des tourneurs ?</v>
      </c>
      <c r="I34" s="5" t="str">
        <f>IFERROR(__xludf.DUMMYFUNCTION("GOOGLETRANSLATE(C34, ""en"", ""fr"")"),"A) Pour encourager leur coéquipier, B) Pour se positionner stratégiquement afin de protéger le coureur lors de sa fuite vers la barrière, C) Pour se préparer à leur propre course, D) Pour distraire l'arbitre")</f>
        <v>A) Pour encourager leur coéquipier, B) Pour se positionner stratégiquement afin de protéger le coureur lors de sa fuite vers la barrière, C) Pour se préparer à leur propre course, D) Pour distraire l'arbitre</v>
      </c>
      <c r="J34" s="5" t="str">
        <f>IFERROR(__xludf.DUMMYFUNCTION("GOOGLETRANSLATE(D34, ""en"", ""fr"")"),"B) Se positionner stratégiquement pour protéger le coureur lors de sa fuite vers la barrière")</f>
        <v>B) Se positionner stratégiquement pour protéger le coureur lors de sa fuite vers la barrière</v>
      </c>
      <c r="K34" s="5" t="str">
        <f>IFERROR(__xludf.DUMMYFUNCTION("GOOGLETRANSLATE(E34, ""en"", ""fr"")"),"Le travail d'équipe est essentiel pour la sécurité. Les autres hommes présents dans l'arène interviendront pour intercepter ou distraire le taureau si le coureur se retrouve en danger après le passage.")</f>
        <v>Le travail d'équipe est essentiel pour la sécurité. Les autres hommes présents dans l'arène interviendront pour intercepter ou distraire le taureau si le coureur se retrouve en danger après le passage.</v>
      </c>
    </row>
    <row r="35" ht="22.5" customHeight="1">
      <c r="A35" s="3">
        <v>34.0</v>
      </c>
      <c r="B35" s="4" t="s">
        <v>1547</v>
      </c>
      <c r="C35" s="4" t="s">
        <v>1548</v>
      </c>
      <c r="D35" s="4" t="s">
        <v>1549</v>
      </c>
      <c r="E35" s="4" t="s">
        <v>1550</v>
      </c>
      <c r="G35" s="5" t="str">
        <f>IFERROR(__xludf.DUMMYFUNCTION("GOOGLETRANSLATE(A35, ""en"", ""fr"")"),"34")</f>
        <v>34</v>
      </c>
      <c r="H35" s="5" t="str">
        <f>IFERROR(__xludf.DUMMYFUNCTION("GOOGLETRANSLATE(B35, ""en"", ""fr"")"),"Un jeune taureau prometteur obtient de bons résultats lors d'une course de protection. Quelle sera la prochaine étape de sa carrière ?")</f>
        <v>Un jeune taureau prometteur obtient de bons résultats lors d'une course de protection. Quelle sera la prochaine étape de sa carrière ?</v>
      </c>
      <c r="I35" s="5" t="str">
        <f>IFERROR(__xludf.DUMMYFUNCTION("GOOGLETRANSLATE(C35, ""en"", ""fr"")"),"A) Elle est immédiatement inscrite au Trophée des As, B) Elle est retirée du concours, C) Elle accède à un niveau de compétition supérieur, comme le Trophée de l'Avenir, D) Elle est vendue")</f>
        <v>A) Elle est immédiatement inscrite au Trophée des As, B) Elle est retirée du concours, C) Elle accède à un niveau de compétition supérieur, comme le Trophée de l'Avenir, D) Elle est vendue</v>
      </c>
      <c r="J35" s="5" t="str">
        <f>IFERROR(__xludf.DUMMYFUNCTION("GOOGLETRANSLATE(D35, ""en"", ""fr"")"),"C) Elle évolue vers un niveau de compétition supérieur, comme le Trophée de l'Avenir")</f>
        <v>C) Elle évolue vers un niveau de compétition supérieur, comme le Trophée de l'Avenir</v>
      </c>
      <c r="K35" s="5" t="str">
        <f>IFERROR(__xludf.DUMMYFUNCTION("GOOGLETRANSLATE(E35, ""en"", ""fr"")"),"Les taureaux, comme les arpenteurs de taureaux, suivent un parcours professionnel. Ils débutent dans les courses juniors et accèdent au niveau élite en fonction de leurs performances.")</f>
        <v>Les taureaux, comme les arpenteurs de taureaux, suivent un parcours professionnel. Ils débutent dans les courses juniors et accèdent au niveau élite en fonction de leurs performances.</v>
      </c>
    </row>
    <row r="36" ht="22.5" customHeight="1">
      <c r="A36" s="3">
        <v>35.0</v>
      </c>
      <c r="B36" s="4" t="s">
        <v>1551</v>
      </c>
      <c r="C36" s="4" t="s">
        <v>1552</v>
      </c>
      <c r="D36" s="4" t="s">
        <v>1553</v>
      </c>
      <c r="E36" s="4" t="s">
        <v>1554</v>
      </c>
      <c r="G36" s="5" t="str">
        <f>IFERROR(__xludf.DUMMYFUNCTION("GOOGLETRANSLATE(A36, ""en"", ""fr"")"),"35")</f>
        <v>35</v>
      </c>
      <c r="H36" s="5" t="str">
        <f>IFERROR(__xludf.DUMMYFUNCTION("GOOGLETRANSLATE(B36, ""en"", ""fr"")"),"On voit un gardien utiliser un trident. À quoi sert cet outil ?")</f>
        <v>On voit un gardien utiliser un trident. À quoi sert cet outil ?</v>
      </c>
      <c r="I36" s="5" t="str">
        <f>IFERROR(__xludf.DUMMYFUNCTION("GOOGLETRANSLATE(C36, ""en"", ""fr"")"),"A) C'est une arme pour combattre le taureau, B) C'est un objet cérémoniel sans utilité pratique, C) C'est une longue perche utilisée à cheval pour guider et séparer les taureaux, D) Elle sert à marquer les taureaux")</f>
        <v>A) C'est une arme pour combattre le taureau, B) C'est un objet cérémoniel sans utilité pratique, C) C'est une longue perche utilisée à cheval pour guider et séparer les taureaux, D) Elle sert à marquer les taureaux</v>
      </c>
      <c r="J36" s="5" t="str">
        <f>IFERROR(__xludf.DUMMYFUNCTION("GOOGLETRANSLATE(D36, ""en"", ""fr"")"),"C) Il s'agit d'une longue perche utilisée à cheval pour guider et séparer les taureaux.")</f>
        <v>C) Il s'agit d'une longue perche utilisée à cheval pour guider et séparer les taureaux.</v>
      </c>
      <c r="K36" s="5" t="str">
        <f>IFERROR(__xludf.DUMMYFUNCTION("GOOGLETRANSLATE(E36, ""en"", ""fr"")"),"Le trident est l'outil traditionnel et symbolique du cow-boy camarguais, utilisé pour gérer les troupeaux semi-sauvages.")</f>
        <v>Le trident est l'outil traditionnel et symbolique du cow-boy camarguais, utilisé pour gérer les troupeaux semi-sauvages.</v>
      </c>
    </row>
    <row r="37" ht="22.5" customHeight="1">
      <c r="A37" s="3">
        <v>36.0</v>
      </c>
      <c r="B37" s="4" t="s">
        <v>1555</v>
      </c>
      <c r="C37" s="4" t="s">
        <v>1556</v>
      </c>
      <c r="D37" s="4" t="s">
        <v>1557</v>
      </c>
      <c r="E37" s="4" t="s">
        <v>1558</v>
      </c>
      <c r="G37" s="5" t="str">
        <f>IFERROR(__xludf.DUMMYFUNCTION("GOOGLETRANSLATE(A37, ""en"", ""fr"")"),"36")</f>
        <v>36</v>
      </c>
      <c r="H37" s="5" t="str">
        <f>IFERROR(__xludf.DUMMYFUNCTION("GOOGLETRANSLATE(B37, ""en"", ""fr"")"),"L'arène est vidée et un taureau, orné d'une guirlande spéciale, fait son entrée. La foule applaudit. Que se passe-t-il probablement ?")</f>
        <v>L'arène est vidée et un taureau, orné d'une guirlande spéciale, fait son entrée. La foule applaudit. Que se passe-t-il probablement ?</v>
      </c>
      <c r="I37" s="5" t="str">
        <f>IFERROR(__xludf.DUMMYFUNCTION("GOOGLETRANSLATE(C37, ""en"", ""fr"")"),"A) Le départ de la course, B) Une cérémonie de jubilé ou d'adieu pour un taureau légendaire mis à la retraite, C) Le taureau est jugé sur sa beauté, D) Le taureau a été vendu")</f>
        <v>A) Le départ de la course, B) Une cérémonie de jubilé ou d'adieu pour un taureau légendaire mis à la retraite, C) Le taureau est jugé sur sa beauté, D) Le taureau a été vendu</v>
      </c>
      <c r="J37" s="5" t="str">
        <f>IFERROR(__xludf.DUMMYFUNCTION("GOOGLETRANSLATE(D37, ""en"", ""fr"")"),"B) Une cérémonie de « jubilé » ou d'adieu pour un taureau légendaire mis à la retraite")</f>
        <v>B) Une cérémonie de « jubilé » ou d'adieu pour un taureau légendaire mis à la retraite</v>
      </c>
      <c r="K37" s="5" t="str">
        <f>IFERROR(__xludf.DUMMYFUNCTION("GOOGLETRANSLATE(E37, ""en"", ""fr"")"),"Les grands cocardiers bénéficient d'une cérémonie d'adieu solennelle et émouvante à la fin de leur longue et brillante carrière.")</f>
        <v>Les grands cocardiers bénéficient d'une cérémonie d'adieu solennelle et émouvante à la fin de leur longue et brillante carrière.</v>
      </c>
    </row>
    <row r="38" ht="22.5" customHeight="1">
      <c r="A38" s="3">
        <v>37.0</v>
      </c>
      <c r="B38" s="4" t="s">
        <v>1559</v>
      </c>
      <c r="C38" s="4" t="s">
        <v>1560</v>
      </c>
      <c r="D38" s="4" t="s">
        <v>1561</v>
      </c>
      <c r="E38" s="4" t="s">
        <v>1562</v>
      </c>
      <c r="G38" s="5" t="str">
        <f>IFERROR(__xludf.DUMMYFUNCTION("GOOGLETRANSLATE(A38, ""en"", ""fr"")"),"37")</f>
        <v>37</v>
      </c>
      <c r="H38" s="5" t="str">
        <f>IFERROR(__xludf.DUMMYFUNCTION("GOOGLETRANSLATE(B38, ""en"", ""fr"")"),"Un razeteur tente une charge, mais le taureau reste immobile et ne charge pas. Le razeteur ne peut donc pas s'emparer d'un attribut. Que se passe-t-il ensuite ?")</f>
        <v>Un razeteur tente une charge, mais le taureau reste immobile et ne charge pas. Le razeteur ne peut donc pas s'emparer d'un attribut. Que se passe-t-il ensuite ?</v>
      </c>
      <c r="I38" s="5" t="str">
        <f>IFERROR(__xludf.DUMMYFUNCTION("GOOGLETRANSLATE(C38, ""en"", ""fr"")"),"A) Le razeteur perd un point, B) Le taureau est pénalisé, C) Le razeteur doit essayer une autre approche pour provoquer une charge, D) La course est interrompue")</f>
        <v>A) Le razeteur perd un point, B) Le taureau est pénalisé, C) Le razeteur doit essayer une autre approche pour provoquer une charge, D) La course est interrompue</v>
      </c>
      <c r="J38" s="5" t="str">
        <f>IFERROR(__xludf.DUMMYFUNCTION("GOOGLETRANSLATE(D38, ""en"", ""fr"")"),"C) Le razeteur doit tenter une approche différente pour provoquer une charge")</f>
        <v>C) Le razeteur doit tenter une approche différente pour provoquer une charge</v>
      </c>
      <c r="K38" s="5" t="str">
        <f>IFERROR(__xludf.DUMMYFUNCTION("GOOGLETRANSLATE(E38, ""en"", ""fr"")"),"Ce sport est un duo. Si le taureau ne se jette pas à l'eau, le razeteur et ses tourneurs doivent s'efforcer de provoquer une charge valable pour que le raset soit valide.")</f>
        <v>Ce sport est un duo. Si le taureau ne se jette pas à l'eau, le razeteur et ses tourneurs doivent s'efforcer de provoquer une charge valable pour que le raset soit valide.</v>
      </c>
    </row>
    <row r="39" ht="22.5" customHeight="1">
      <c r="A39" s="3">
        <v>38.0</v>
      </c>
      <c r="B39" s="4" t="s">
        <v>1563</v>
      </c>
      <c r="C39" s="4" t="s">
        <v>1564</v>
      </c>
      <c r="D39" s="4" t="s">
        <v>1565</v>
      </c>
      <c r="E39" s="4" t="s">
        <v>1566</v>
      </c>
      <c r="G39" s="5" t="str">
        <f>IFERROR(__xludf.DUMMYFUNCTION("GOOGLETRANSLATE(A39, ""en"", ""fr"")"),"38")</f>
        <v>38</v>
      </c>
      <c r="H39" s="5" t="str">
        <f>IFERROR(__xludf.DUMMYFUNCTION("GOOGLETRANSLATE(B39, ""en"", ""fr"")"),"Un razeteur présente une éraflure sanglante au bras après avoir sauté par-dessus la barrière. Quelle en est la cause probable ?")</f>
        <v>Un razeteur présente une éraflure sanglante au bras après avoir sauté par-dessus la barrière. Quelle en est la cause probable ?</v>
      </c>
      <c r="I39" s="5" t="str">
        <f>IFERROR(__xludf.DUMMYFUNCTION("GOOGLETRANSLATE(C39, ""en"", ""fr"")"),"A) La corne du taureau les a effleurés, B) Ils se sont écorché le bras sur le bois rugueux de la barrière pendant leur fuite, C) Un autre pillard les a frappés, D) Le crochet a glissé et les a coupés")</f>
        <v>A) La corne du taureau les a effleurés, B) Ils se sont écorché le bras sur le bois rugueux de la barrière pendant leur fuite, C) Un autre pillard les a frappés, D) Le crochet a glissé et les a coupés</v>
      </c>
      <c r="J39" s="5" t="str">
        <f>IFERROR(__xludf.DUMMYFUNCTION("GOOGLETRANSLATE(D39, ""en"", ""fr"")"),"B) Ils se sont écorché le bras contre le bois rugueux de la barrière lors de leur fuite.")</f>
        <v>B) Ils se sont écorché le bras contre le bois rugueux de la barrière lors de leur fuite.</v>
      </c>
      <c r="K39" s="5" t="str">
        <f>IFERROR(__xludf.DUMMYFUNCTION("GOOGLETRANSLATE(E39, ""en"", ""fr"")"),"Franchir la barrière à toute vitesse est dangereux, et les éraflures et contusions dues aux planches de bois rugueuses sont des blessures très fréquentes.")</f>
        <v>Franchir la barrière à toute vitesse est dangereux, et les éraflures et contusions dues aux planches de bois rugueuses sont des blessures très fréquentes.</v>
      </c>
    </row>
    <row r="40" ht="22.5" customHeight="1">
      <c r="A40" s="3">
        <v>39.0</v>
      </c>
      <c r="B40" s="4" t="s">
        <v>1567</v>
      </c>
      <c r="C40" s="4" t="s">
        <v>1568</v>
      </c>
      <c r="D40" s="4" t="s">
        <v>1569</v>
      </c>
      <c r="E40" s="4" t="s">
        <v>1570</v>
      </c>
      <c r="G40" s="5" t="str">
        <f>IFERROR(__xludf.DUMMYFUNCTION("GOOGLETRANSLATE(A40, ""en"", ""fr"")"),"39")</f>
        <v>39</v>
      </c>
      <c r="H40" s="5" t="str">
        <f>IFERROR(__xludf.DUMMYFUNCTION("GOOGLETRANSLATE(B40, ""en"", ""fr"")"),"On dit d'un taureau qu'il est bon pour « finir » à la barrière. Qu'est-ce que cela signifie ?")</f>
        <v>On dit d'un taureau qu'il est bon pour « finir » à la barrière. Qu'est-ce que cela signifie ?</v>
      </c>
      <c r="I40" s="5" t="str">
        <f>IFERROR(__xludf.DUMMYFUNCTION("GOOGLETRANSLATE(C40, ""en"", ""fr"")"),"A) Il s'arrête avant d'atteindre la barrière, B) Il poursuit le razeteur jusqu'à la barrière avec une grande détermination, C) Il franchit souvent la barrière, D) Il a peur de la barrière")</f>
        <v>A) Il s'arrête avant d'atteindre la barrière, B) Il poursuit le razeteur jusqu'à la barrière avec une grande détermination, C) Il franchit souvent la barrière, D) Il a peur de la barrière</v>
      </c>
      <c r="J40" s="5" t="str">
        <f>IFERROR(__xludf.DUMMYFUNCTION("GOOGLETRANSLATE(D40, ""en"", ""fr"")"),"B) Elle poursuit le razeteur jusqu'à la barrière avec une grande détermination")</f>
        <v>B) Elle poursuit le razeteur jusqu'à la barrière avec une grande détermination</v>
      </c>
      <c r="K40" s="5" t="str">
        <f>IFERROR(__xludf.DUMMYFUNCTION("GOOGLETRANSLATE(E40, ""en"", ""fr"")"),"Il s'agit d'une caractéristique très prisée, car elle témoigne du courage et de l'engagement du taureau dans la chasse, créant ainsi un combat plus spectaculaire et plus dangereux.")</f>
        <v>Il s'agit d'une caractéristique très prisée, car elle témoigne du courage et de l'engagement du taureau dans la chasse, créant ainsi un combat plus spectaculaire et plus dangereux.</v>
      </c>
    </row>
    <row r="41" ht="22.5" customHeight="1">
      <c r="A41" s="3">
        <v>40.0</v>
      </c>
      <c r="B41" s="4" t="s">
        <v>1571</v>
      </c>
      <c r="C41" s="4" t="s">
        <v>1572</v>
      </c>
      <c r="D41" s="4" t="s">
        <v>1573</v>
      </c>
      <c r="E41" s="4" t="s">
        <v>1574</v>
      </c>
      <c r="G41" s="5" t="str">
        <f>IFERROR(__xludf.DUMMYFUNCTION("GOOGLETRANSLATE(A41, ""en"", ""fr"")"),"40")</f>
        <v>40</v>
      </c>
      <c r="H41" s="5" t="str">
        <f>IFERROR(__xludf.DUMMYFUNCTION("GOOGLETRANSLATE(B41, ""en"", ""fr"")"),"Pourquoi la forme physique d'un tourteur est-elle presque aussi importante que celle d'un razéteur ?")</f>
        <v>Pourquoi la forme physique d'un tourteur est-elle presque aussi importante que celle d'un razéteur ?</v>
      </c>
      <c r="I41" s="5" t="str">
        <f>IFERROR(__xludf.DUMMYFUNCTION("GOOGLETRANSLATE(C41, ""en"", ""fr"")"),"A) Ils doivent aussi fuir le taureau, B) Ils doivent être capables de soulever le razeteur, C) Ils courent constamment pour positionner le taureau, ce qui exige une grande endurance, D) Ce n'est pas important")</f>
        <v>A) Ils doivent aussi fuir le taureau, B) Ils doivent être capables de soulever le razeteur, C) Ils courent constamment pour positionner le taureau, ce qui exige une grande endurance, D) Ce n'est pas important</v>
      </c>
      <c r="J41" s="5" t="str">
        <f>IFERROR(__xludf.DUMMYFUNCTION("GOOGLETRANSLATE(D41, ""en"", ""fr"")"),"C) Ils courent constamment pour positionner le taureau, ce qui exige une grande endurance.")</f>
        <v>C) Ils courent constamment pour positionner le taureau, ce qui exige une grande endurance.</v>
      </c>
      <c r="K41" s="5" t="str">
        <f>IFERROR(__xludf.DUMMYFUNCTION("GOOGLETRANSLATE(E41, ""en"", ""fr"")"),"Pendant les 15 minutes de l'épreuve, les joueurs de tournoi sont en mouvement constant, faisant preuve d'agilité et d'endurance pour guider le taureau vers leurs coéquipiers.")</f>
        <v>Pendant les 15 minutes de l'épreuve, les joueurs de tournoi sont en mouvement constant, faisant preuve d'agilité et d'endurance pour guider le taureau vers leurs coéquipiers.</v>
      </c>
    </row>
    <row r="42" ht="22.5" customHeight="1">
      <c r="A42" s="3">
        <v>41.0</v>
      </c>
      <c r="B42" s="4" t="s">
        <v>1575</v>
      </c>
      <c r="C42" s="4" t="s">
        <v>1576</v>
      </c>
      <c r="D42" s="4" t="s">
        <v>1577</v>
      </c>
      <c r="E42" s="4" t="s">
        <v>1578</v>
      </c>
      <c r="G42" s="5" t="str">
        <f>IFERROR(__xludf.DUMMYFUNCTION("GOOGLETRANSLATE(A42, ""en"", ""fr"")"),"41")</f>
        <v>41</v>
      </c>
      <c r="H42" s="5" t="str">
        <f>IFERROR(__xludf.DUMMYFUNCTION("GOOGLETRANSLATE(B42, ""en"", ""fr"")"),"Un razeteur coupe une ficelle, mais celle-ci reste sur le cor. L'arbitre n'accorde pas les points. Pourquoi ?")</f>
        <v>Un razeteur coupe une ficelle, mais celle-ci reste sur le cor. L'arbitre n'accorde pas les points. Pourquoi ?</v>
      </c>
      <c r="I42" s="5" t="str">
        <f>IFERROR(__xludf.DUMMYFUNCTION("GOOGLETRANSLATE(C42, ""en"", ""fr"")"),"A) La corde doit être complètement retirée de la corne. B) L'arbitre a manqué la coupe. C) La corde n'a pas été coupée proprement. D) Le taureau ne chargeait pas.")</f>
        <v>A) La corde doit être complètement retirée de la corne. B) L'arbitre a manqué la coupe. C) La corde n'a pas été coupée proprement. D) Le taureau ne chargeait pas.</v>
      </c>
      <c r="J42" s="5" t="str">
        <f>IFERROR(__xludf.DUMMYFUNCTION("GOOGLETRANSLATE(D42, ""en"", ""fr"")"),"A) La corde doit être complètement retirée du cor.")</f>
        <v>A) La corde doit être complètement retirée du cor.</v>
      </c>
      <c r="K42" s="5" t="str">
        <f>IFERROR(__xludf.DUMMYFUNCTION("GOOGLETRANSLATE(E42, ""en"", ""fr"")"),"Il ne suffit pas de couper la corde. Le razeteur doit la récupérer physiquement et la retirer de la corne du taureau pour remporter le prix.")</f>
        <v>Il ne suffit pas de couper la corde. Le razeteur doit la récupérer physiquement et la retirer de la corne du taureau pour remporter le prix.</v>
      </c>
    </row>
    <row r="43" ht="22.5" customHeight="1">
      <c r="A43" s="3">
        <v>42.0</v>
      </c>
      <c r="B43" s="4" t="s">
        <v>1579</v>
      </c>
      <c r="C43" s="4" t="s">
        <v>1580</v>
      </c>
      <c r="D43" s="4" t="s">
        <v>1581</v>
      </c>
      <c r="E43" s="4" t="s">
        <v>1582</v>
      </c>
      <c r="G43" s="5" t="str">
        <f>IFERROR(__xludf.DUMMYFUNCTION("GOOGLETRANSLATE(A43, ""en"", ""fr"")"),"42")</f>
        <v>42</v>
      </c>
      <c r="H43" s="5" t="str">
        <f>IFERROR(__xludf.DUMMYFUNCTION("GOOGLETRANSLATE(B43, ""en"", ""fr"")"),"La course a lieu dans une petite arène de village. La barrière est plus basse que la hauteur réglementaire. Quel est le principal risque ?")</f>
        <v>La course a lieu dans une petite arène de village. La barrière est plus basse que la hauteur réglementaire. Quel est le principal risque ?</v>
      </c>
      <c r="I43" s="5" t="str">
        <f>IFERROR(__xludf.DUMMYFUNCTION("GOOGLETRANSLATE(C43, ""en"", ""fr"")"),"A) Le taureau peut plus facilement sauter hors de l'arène, B) Les dresseurs ne pourront pas s'échapper, C) Les spectateurs ne peuvent pas voir, D) Il est plus difficile de marquer des points")</f>
        <v>A) Le taureau peut plus facilement sauter hors de l'arène, B) Les dresseurs ne pourront pas s'échapper, C) Les spectateurs ne peuvent pas voir, D) Il est plus difficile de marquer des points</v>
      </c>
      <c r="J43" s="5" t="str">
        <f>IFERROR(__xludf.DUMMYFUNCTION("GOOGLETRANSLATE(D43, ""en"", ""fr"")"),"A) Le taureau peut plus facilement sauter hors de l'arène")</f>
        <v>A) Le taureau peut plus facilement sauter hors de l'arène</v>
      </c>
      <c r="K43" s="5" t="str">
        <f>IFERROR(__xludf.DUMMYFUNCTION("GOOGLETRANSLATE(E43, ""en"", ""fr"")"),"Une barrière plus basse augmente le risque qu'un taureau « sauteur » s'échappe de l'arène, ce qui constitue un problème majeur de sécurité pour le public.")</f>
        <v>Une barrière plus basse augmente le risque qu'un taureau « sauteur » s'échappe de l'arène, ce qui constitue un problème majeur de sécurité pour le public.</v>
      </c>
    </row>
    <row r="44" ht="22.5" customHeight="1">
      <c r="A44" s="3">
        <v>43.0</v>
      </c>
      <c r="B44" s="4" t="s">
        <v>1583</v>
      </c>
      <c r="C44" s="4" t="s">
        <v>1584</v>
      </c>
      <c r="D44" s="4" t="s">
        <v>1585</v>
      </c>
      <c r="E44" s="4" t="s">
        <v>1586</v>
      </c>
      <c r="G44" s="5" t="str">
        <f>IFERROR(__xludf.DUMMYFUNCTION("GOOGLETRANSLATE(A44, ""en"", ""fr"")"),"43")</f>
        <v>43</v>
      </c>
      <c r="H44" s="5" t="str">
        <f>IFERROR(__xludf.DUMMYFUNCTION("GOOGLETRANSLATE(B44, ""en"", ""fr"")"),"Un conducteur de barrière est sanctionné pour un « saut dangereux ». Qu'a-t-il bien pu faire ?")</f>
        <v>Un conducteur de barrière est sanctionné pour un « saut dangereux ». Qu'a-t-il bien pu faire ?</v>
      </c>
      <c r="I44" s="5" t="str">
        <f>IFERROR(__xludf.DUMMYFUNCTION("GOOGLETRANSLATE(C44, ""en"", ""fr"")"),"A) Ils ont sauté trop haut, B) Ils ont franchi la barrière d'une manière qui a mis en danger les spectateurs ou les autres participants, C) Ils n'ont pas sauté, D) Ils ont utilisé un trampoline")</f>
        <v>A) Ils ont sauté trop haut, B) Ils ont franchi la barrière d'une manière qui a mis en danger les spectateurs ou les autres participants, C) Ils n'ont pas sauté, D) Ils ont utilisé un trampoline</v>
      </c>
      <c r="J44" s="5" t="str">
        <f>IFERROR(__xludf.DUMMYFUNCTION("GOOGLETRANSLATE(D44, ""en"", ""fr"")"),"B) Ils ont sauté par-dessus la barrière d'une manière qui a mis en danger les spectateurs ou d'autres razeteurs")</f>
        <v>B) Ils ont sauté par-dessus la barrière d'une manière qui a mis en danger les spectateurs ou d'autres razeteurs</v>
      </c>
      <c r="K44" s="5" t="str">
        <f>IFERROR(__xludf.DUMMYFUNCTION("GOOGLETRANSLATE(E44, ""en"", ""fr"")"),"Bien que spectaculaire, l'évasion doit être effectuée en toute sécurité. Un saut imprudent qui met autrui en danger constitue une faute.")</f>
        <v>Bien que spectaculaire, l'évasion doit être effectuée en toute sécurité. Un saut imprudent qui met autrui en danger constitue une faute.</v>
      </c>
    </row>
    <row r="45" ht="22.5" customHeight="1">
      <c r="A45" s="3">
        <v>44.0</v>
      </c>
      <c r="B45" s="4" t="s">
        <v>1587</v>
      </c>
      <c r="C45" s="4" t="s">
        <v>1588</v>
      </c>
      <c r="D45" s="4" t="s">
        <v>1589</v>
      </c>
      <c r="E45" s="4" t="s">
        <v>1590</v>
      </c>
      <c r="G45" s="5" t="str">
        <f>IFERROR(__xludf.DUMMYFUNCTION("GOOGLETRANSLATE(A45, ""en"", ""fr"")"),"44")</f>
        <v>44</v>
      </c>
      <c r="H45" s="5" t="str">
        <f>IFERROR(__xludf.DUMMYFUNCTION("GOOGLETRANSLATE(B45, ""en"", ""fr"")"),"On observe un taureau ignorer les autres tourneurs et se concentrer uniquement sur un seul razeteur. Qu'est-ce que cela démontre ?")</f>
        <v>On observe un taureau ignorer les autres tourneurs et se concentrer uniquement sur un seul razeteur. Qu'est-ce que cela démontre ?</v>
      </c>
      <c r="I45" s="5" t="str">
        <f>IFERROR(__xludf.DUMMYFUNCTION("GOOGLETRANSLATE(C45, ""en"", ""fr"")"),"A) Le taureau est désorienté, B) Le taureau a identifié ce razeteur comme la principale menace ou le principal concurrent, C) Le taureau est fatigué, D) Les autres razeteurs ne font pas d'efforts")</f>
        <v>A) Le taureau est désorienté, B) Le taureau a identifié ce razeteur comme la principale menace ou le principal concurrent, C) Le taureau est fatigué, D) Les autres razeteurs ne font pas d'efforts</v>
      </c>
      <c r="J45" s="5" t="str">
        <f>IFERROR(__xludf.DUMMYFUNCTION("GOOGLETRANSLATE(D45, ""en"", ""fr"")"),"B) Le taureau a identifié ce razeteur comme la principale menace ou le principal challenger.")</f>
        <v>B) Le taureau a identifié ce razeteur comme la principale menace ou le principal challenger.</v>
      </c>
      <c r="K45" s="5" t="str">
        <f>IFERROR(__xludf.DUMMYFUNCTION("GOOGLETRANSLATE(E45, ""en"", ""fr"")"),"Un taureau intelligent va souvent « s'en prendre » à l'homme le plus habile ou le plus agressif de l'arène, créant ainsi un duel personnel.")</f>
        <v>Un taureau intelligent va souvent « s'en prendre » à l'homme le plus habile ou le plus agressif de l'arène, créant ainsi un duel personnel.</v>
      </c>
    </row>
    <row r="46" ht="22.5" customHeight="1">
      <c r="A46" s="3">
        <v>45.0</v>
      </c>
      <c r="B46" s="4" t="s">
        <v>1591</v>
      </c>
      <c r="C46" s="4" t="s">
        <v>1592</v>
      </c>
      <c r="D46" s="4" t="s">
        <v>1593</v>
      </c>
      <c r="E46" s="4" t="s">
        <v>1594</v>
      </c>
      <c r="G46" s="5" t="str">
        <f>IFERROR(__xludf.DUMMYFUNCTION("GOOGLETRANSLATE(A46, ""en"", ""fr"")"),"45")</f>
        <v>45</v>
      </c>
      <c r="H46" s="5" t="str">
        <f>IFERROR(__xludf.DUMMYFUNCTION("GOOGLETRANSLATE(B46, ""en"", ""fr"")"),"Le « Trophée de la Mer » est un tournoi majeur qui se déroule dans quelle ville balnéaire ?")</f>
        <v>Le « Trophée de la Mer » est un tournoi majeur qui se déroule dans quelle ville balnéaire ?</v>
      </c>
      <c r="I46" s="5" t="str">
        <f>IFERROR(__xludf.DUMMYFUNCTION("GOOGLETRANSLATE(C46, ""en"", ""fr"")"),"A) Sète, B) Marseille, C) Le Grau-du-Roi, D) Agde")</f>
        <v>A) Sète, B) Marseille, C) Le Grau-du-Roi, D) Agde</v>
      </c>
      <c r="J46" s="5" t="str">
        <f>IFERROR(__xludf.DUMMYFUNCTION("GOOGLETRANSLATE(D46, ""en"", ""fr"")"),"C) Le Grau-du-Roi")</f>
        <v>C) Le Grau-du-Roi</v>
      </c>
      <c r="K46" s="5" t="str">
        <f>IFERROR(__xludf.DUMMYFUNCTION("GOOGLETRANSLATE(E46, ""en"", ""fr"")"),"Il s'agit de l'un des tournois les plus célèbres et les plus prestigieux de la saison du Trophée des As, qui se déroule dans le port de pêche du Grau-du-Roi.")</f>
        <v>Il s'agit de l'un des tournois les plus célèbres et les plus prestigieux de la saison du Trophée des As, qui se déroule dans le port de pêche du Grau-du-Roi.</v>
      </c>
    </row>
    <row r="47" ht="22.5" customHeight="1">
      <c r="A47" s="3">
        <v>46.0</v>
      </c>
      <c r="B47" s="4" t="s">
        <v>1595</v>
      </c>
      <c r="C47" s="4" t="s">
        <v>1596</v>
      </c>
      <c r="D47" s="4" t="s">
        <v>1597</v>
      </c>
      <c r="E47" s="4" t="s">
        <v>1598</v>
      </c>
      <c r="G47" s="5" t="str">
        <f>IFERROR(__xludf.DUMMYFUNCTION("GOOGLETRANSLATE(A47, ""en"", ""fr"")"),"46")</f>
        <v>46</v>
      </c>
      <c r="H47" s="5" t="str">
        <f>IFERROR(__xludf.DUMMYFUNCTION("GOOGLETRANSLATE(B47, ""en"", ""fr"")"),"Un razeteur charge, mais le taureau fait demi-tour au dernier moment. Le razeteur ne gagne aucun attribut. Que se passe-t-il ensuite ?")</f>
        <v>Un razeteur charge, mais le taureau fait demi-tour au dernier moment. Le razeteur ne gagne aucun attribut. Que se passe-t-il ensuite ?</v>
      </c>
      <c r="I47" s="5" t="str">
        <f>IFERROR(__xludf.DUMMYFUNCTION("GOOGLETRANSLATE(C47, ""en"", ""fr"")"),"A) Le razeteur perd un point, B) Le taureau est pénalisé pour avoir évité le combat, C) La course est considérée comme un échec et la course continue, D) Le point est rejoué")</f>
        <v>A) Le razeteur perd un point, B) Le taureau est pénalisé pour avoir évité le combat, C) La course est considérée comme un échec et la course continue, D) Le point est rejoué</v>
      </c>
      <c r="J47" s="5" t="str">
        <f>IFERROR(__xludf.DUMMYFUNCTION("GOOGLETRANSLATE(D47, ""en"", ""fr"")"),"C) La tentative est considérée comme un échec et la course continue.")</f>
        <v>C) La tentative est considérée comme un échec et la course continue.</v>
      </c>
      <c r="K47" s="5" t="str">
        <f>IFERROR(__xludf.DUMMYFUNCTION("GOOGLETRANSLATE(E47, ""en"", ""fr"")"),"Si le taureau est plus malin que l'homme et évite le raset, il remporte la victoire, mais aucun point n'est perdu ni gagné. La partie continue simplement.")</f>
        <v>Si le taureau est plus malin que l'homme et évite le raset, il remporte la victoire, mais aucun point n'est perdu ni gagné. La partie continue simplement.</v>
      </c>
    </row>
    <row r="48" ht="22.5" customHeight="1">
      <c r="A48" s="3">
        <v>47.0</v>
      </c>
      <c r="B48" s="4" t="s">
        <v>1599</v>
      </c>
      <c r="C48" s="4" t="s">
        <v>1600</v>
      </c>
      <c r="D48" s="4" t="s">
        <v>1601</v>
      </c>
      <c r="E48" s="4" t="s">
        <v>1602</v>
      </c>
      <c r="G48" s="5" t="str">
        <f>IFERROR(__xludf.DUMMYFUNCTION("GOOGLETRANSLATE(A48, ""en"", ""fr"")"),"47")</f>
        <v>47</v>
      </c>
      <c r="H48" s="5" t="str">
        <f>IFERROR(__xludf.DUMMYFUNCTION("GOOGLETRANSLATE(B48, ""en"", ""fr"")"),"Quelle est la principale raison pour laquelle les chaussures des razeteurs sont très légères et flexibles ?")</f>
        <v>Quelle est la principale raison pour laquelle les chaussures des razeteurs sont très légères et flexibles ?</v>
      </c>
      <c r="I48" s="5" t="str">
        <f>IFERROR(__xludf.DUMMYFUNCTION("GOOGLETRANSLATE(C48, ""en"", ""fr"")"),"A) Pour des raisons de mode, B) Pour une vitesse et une agilité maximales lors des sauts vers la barrière, C) Ils sont moins chers, D) Ils offrent une meilleure protection")</f>
        <v>A) Pour des raisons de mode, B) Pour une vitesse et une agilité maximales lors des sauts vers la barrière, C) Ils sont moins chers, D) Ils offrent une meilleure protection</v>
      </c>
      <c r="J48" s="5" t="str">
        <f>IFERROR(__xludf.DUMMYFUNCTION("GOOGLETRANSLATE(D48, ""en"", ""fr"")"),"B) Pour permettre une vitesse de sprint et une agilité maximales lors du saut vers la barrière")</f>
        <v>B) Pour permettre une vitesse de sprint et une agilité maximales lors du saut vers la barrière</v>
      </c>
      <c r="K48" s="5" t="str">
        <f>IFERROR(__xludf.DUMMYFUNCTION("GOOGLETRANSLATE(E48, ""en"", ""fr"")"),"Ces chaussures sont des équipements sportifs spécialisés, similaires aux pointes d'athlétisme, conçues pour une vitesse explosive.")</f>
        <v>Ces chaussures sont des équipements sportifs spécialisés, similaires aux pointes d'athlétisme, conçues pour une vitesse explosive.</v>
      </c>
    </row>
    <row r="49" ht="22.5" customHeight="1">
      <c r="A49" s="3">
        <v>48.0</v>
      </c>
      <c r="B49" s="4" t="s">
        <v>1603</v>
      </c>
      <c r="C49" s="4" t="s">
        <v>1604</v>
      </c>
      <c r="D49" s="4" t="s">
        <v>1605</v>
      </c>
      <c r="E49" s="4" t="s">
        <v>1606</v>
      </c>
      <c r="G49" s="5" t="str">
        <f>IFERROR(__xludf.DUMMYFUNCTION("GOOGLETRANSLATE(A49, ""en"", ""fr"")"),"48")</f>
        <v>48</v>
      </c>
      <c r="H49" s="5" t="str">
        <f>IFERROR(__xludf.DUMMYFUNCTION("GOOGLETRANSLATE(B49, ""en"", ""fr"")"),"Un razeteur prend la cocarde, mais l'arbitre juge qu'un autre razeteur a illégalement bloqué le passage du taureau. Quelle est la décision ?")</f>
        <v>Un razeteur prend la cocarde, mais l'arbitre juge qu'un autre razeteur a illégalement bloqué le passage du taureau. Quelle est la décision ?</v>
      </c>
      <c r="I49" s="5" t="str">
        <f>IFERROR(__xludf.DUMMYFUNCTION("GOOGLETRANSLATE(C49, ""en"", ""fr"")"),"A) Le point est validé, B) Le point est annulé suite à une faute du coéquipier, C) Le point est rejoué, D) Le coéquipier est disqualifié")</f>
        <v>A) Le point est validé, B) Le point est annulé suite à une faute du coéquipier, C) Le point est rejoué, D) Le coéquipier est disqualifié</v>
      </c>
      <c r="J49" s="5" t="str">
        <f>IFERROR(__xludf.DUMMYFUNCTION("GOOGLETRANSLATE(D49, ""en"", ""fr"")"),"B) Le point est annulé en raison de la faute du coéquipier.")</f>
        <v>B) Le point est annulé en raison de la faute du coéquipier.</v>
      </c>
      <c r="K49" s="5" t="str">
        <f>IFERROR(__xludf.DUMMYFUNCTION("GOOGLETRANSLATE(E49, ""en"", ""fr"")"),"Un point ne peut être marqué que par une action collective légale. Une faute d'un coéquipier ayant contribué à la capture du ballon annulera le point.")</f>
        <v>Un point ne peut être marqué que par une action collective légale. Une faute d'un coéquipier ayant contribué à la capture du ballon annulera le point.</v>
      </c>
    </row>
    <row r="50" ht="22.5" customHeight="1">
      <c r="A50" s="3">
        <v>49.0</v>
      </c>
      <c r="B50" s="4" t="s">
        <v>1607</v>
      </c>
      <c r="C50" s="4" t="s">
        <v>1608</v>
      </c>
      <c r="D50" s="4" t="s">
        <v>1609</v>
      </c>
      <c r="E50" s="4" t="s">
        <v>1610</v>
      </c>
      <c r="G50" s="5" t="str">
        <f>IFERROR(__xludf.DUMMYFUNCTION("GOOGLETRANSLATE(A50, ""en"", ""fr"")"),"49")</f>
        <v>49</v>
      </c>
      <c r="H50" s="5" t="str">
        <f>IFERROR(__xludf.DUMMYFUNCTION("GOOGLETRANSLATE(B50, ""en"", ""fr"")"),"Qu'est-ce que la ""course de nuit"" (course nocturne) ?")</f>
        <v>Qu'est-ce que la "course de nuit" (course nocturne) ?</v>
      </c>
      <c r="I50" s="5" t="str">
        <f>IFERROR(__xludf.DUMMYFUNCTION("GOOGLETRANSLATE(C50, ""en"", ""fr"")"),"A) Une course illégale et non officielle, B) Une version spectaculaire de ce sport, organisée sous les projecteurs, notamment à Agde, C) Une course où les taureaux sont peints avec une peinture fluorescente, D) Une course réservée aux jeunes taureaux")</f>
        <v>A) Une course illégale et non officielle, B) Une version spectaculaire de ce sport, organisée sous les projecteurs, notamment à Agde, C) Une course où les taureaux sont peints avec une peinture fluorescente, D) Une course réservée aux jeunes taureaux</v>
      </c>
      <c r="J50" s="5" t="str">
        <f>IFERROR(__xludf.DUMMYFUNCTION("GOOGLETRANSLATE(D50, ""en"", ""fr"")"),"B) Une version spectaculaire de ce sport, disputée sous les projecteurs, notamment dans la ville d'Agde")</f>
        <v>B) Une version spectaculaire de ce sport, disputée sous les projecteurs, notamment dans la ville d'Agde</v>
      </c>
      <c r="K50" s="5" t="str">
        <f>IFERROR(__xludf.DUMMYFUNCTION("GOOGLETRANSLATE(E50, ""en"", ""fr"")"),"Les courses nocturnes sont un type d'événement particulier et très populaire, créant une atmosphère unique et spectaculaire.")</f>
        <v>Les courses nocturnes sont un type d'événement particulier et très populaire, créant une atmosphère unique et spectaculaire.</v>
      </c>
    </row>
    <row r="51" ht="22.5" customHeight="1">
      <c r="A51" s="3">
        <v>50.0</v>
      </c>
      <c r="B51" s="4" t="s">
        <v>1611</v>
      </c>
      <c r="C51" s="4" t="s">
        <v>1612</v>
      </c>
      <c r="D51" s="4" t="s">
        <v>1613</v>
      </c>
      <c r="E51" s="4" t="s">
        <v>1614</v>
      </c>
      <c r="G51" s="5" t="str">
        <f>IFERROR(__xludf.DUMMYFUNCTION("GOOGLETRANSLATE(A51, ""en"", ""fr"")"),"50")</f>
        <v>50</v>
      </c>
      <c r="H51" s="5" t="str">
        <f>IFERROR(__xludf.DUMMYFUNCTION("GOOGLETRANSLATE(B51, ""en"", ""fr"")"),"En substance, le Course Camarguaise est un sport qui célèbre quoi ?")</f>
        <v>En substance, le Course Camarguaise est un sport qui célèbre quoi ?</v>
      </c>
      <c r="I51" s="5" t="str">
        <f>IFERROR(__xludf.DUMMYFUNCTION("GOOGLETRANSLATE(C51, ""en"", ""fr"")"),"A) La mort du taureau, B) La domination absolue de l'homme sur la nature, C) Le courage, l'intelligence et l'athlétisme du taureau et des hommes, D) La richesse des sponsors")</f>
        <v>A) La mort du taureau, B) La domination absolue de l'homme sur la nature, C) Le courage, l'intelligence et l'athlétisme du taureau et des hommes, D) La richesse des sponsors</v>
      </c>
      <c r="J51" s="5" t="str">
        <f>IFERROR(__xludf.DUMMYFUNCTION("GOOGLETRANSLATE(D51, ""en"", ""fr"")"),"C) Le courage, l'intelligence et l'athlétisme du taureau et des hommes")</f>
        <v>C) Le courage, l'intelligence et l'athlétisme du taureau et des hommes</v>
      </c>
      <c r="K51" s="5" t="str">
        <f>IFERROR(__xludf.DUMMYFUNCTION("GOOGLETRANSLATE(E51, ""en"", ""fr"")"),"Ce sport est un duel unique qui met à l'honneur les qualités des participants, humains et animaux.")</f>
        <v>Ce sport est un duel unique qui met à l'honneur les qualités des participants, humains et animaux.</v>
      </c>
    </row>
    <row r="52" ht="22.5" customHeight="1">
      <c r="A52" s="3">
        <v>51.0</v>
      </c>
      <c r="B52" s="4" t="s">
        <v>1615</v>
      </c>
      <c r="C52" s="4" t="s">
        <v>1616</v>
      </c>
      <c r="D52" s="4" t="s">
        <v>1617</v>
      </c>
      <c r="E52" s="4" t="s">
        <v>1618</v>
      </c>
      <c r="G52" s="5" t="str">
        <f>IFERROR(__xludf.DUMMYFUNCTION("GOOGLETRANSLATE(A52, ""en"", ""fr"")"),"51")</f>
        <v>51</v>
      </c>
      <c r="H52" s="5" t="str">
        <f>IFERROR(__xludf.DUMMYFUNCTION("GOOGLETRANSLATE(B52, ""en"", ""fr"")"),"Un razeteur est pénalisé pour un « coup de crochet ». Qu'ont-ils fait ?")</f>
        <v>Un razeteur est pénalisé pour un « coup de crochet ». Qu'ont-ils fait ?</v>
      </c>
      <c r="I52" s="5" t="str">
        <f>IFERROR(__xludf.DUMMYFUNCTION("GOOGLETRANSLATE(C52, ""en"", ""fr"")"),"A) Ils ont pris un attribut, B) Ils ont frappé illégalement le taureau avec leur crochet au lieu de simplement accrocher la corde, C) Ils ont accroché le bras d'un autre razeteur, D) Ils ont accroché la barrière")</f>
        <v>A) Ils ont pris un attribut, B) Ils ont frappé illégalement le taureau avec leur crochet au lieu de simplement accrocher la corde, C) Ils ont accroché le bras d'un autre razeteur, D) Ils ont accroché la barrière</v>
      </c>
      <c r="J52" s="5" t="str">
        <f>IFERROR(__xludf.DUMMYFUNCTION("GOOGLETRANSLATE(D52, ""en"", ""fr"")"),"B) Ils ont frappé illégalement le taureau avec leur crochet au lieu de simplement accrocher la ficelle")</f>
        <v>B) Ils ont frappé illégalement le taureau avec leur crochet au lieu de simplement accrocher la ficelle</v>
      </c>
      <c r="K52" s="5" t="str">
        <f>IFERROR(__xludf.DUMMYFUNCTION("GOOGLETRANSLATE(E52, ""en"", ""fr"")"),"Le crochet sert à couper la corde, non à frapper ou à piquer le taureau. S'en servir pour frapper l'animal est une faute.")</f>
        <v>Le crochet sert à couper la corde, non à frapper ou à piquer le taureau. S'en servir pour frapper l'animal est une faute.</v>
      </c>
    </row>
    <row r="53" ht="22.5" customHeight="1">
      <c r="A53" s="3">
        <v>52.0</v>
      </c>
      <c r="B53" s="4" t="s">
        <v>1619</v>
      </c>
      <c r="C53" s="4" t="s">
        <v>1620</v>
      </c>
      <c r="D53" s="4" t="s">
        <v>1621</v>
      </c>
      <c r="E53" s="4" t="s">
        <v>1622</v>
      </c>
      <c r="G53" s="5" t="str">
        <f>IFERROR(__xludf.DUMMYFUNCTION("GOOGLETRANSLATE(A53, ""en"", ""fr"")"),"52")</f>
        <v>52</v>
      </c>
      <c r="H53" s="5" t="str">
        <f>IFERROR(__xludf.DUMMYFUNCTION("GOOGLETRANSLATE(B53, ""en"", ""fr"")"),"Le taureau est connu pour son « anticipation ». Comment un razeteur devrait-il adapter sa stratégie ?")</f>
        <v>Le taureau est connu pour son « anticipation ». Comment un razeteur devrait-il adapter sa stratégie ?</v>
      </c>
      <c r="I53" s="5" t="str">
        <f>IFERROR(__xludf.DUMMYFUNCTION("GOOGLETRANSLATE(C53, ""en"", ""fr"")"),"A) En étant plus rapide, B) En utilisant des mouvements et des feintes plus trompeurs pour duper le taureau, C) En étant plus agressif, D) En ne chargeant pas ce taureau")</f>
        <v>A) En étant plus rapide, B) En utilisant des mouvements et des feintes plus trompeurs pour duper le taureau, C) En étant plus agressif, D) En ne chargeant pas ce taureau</v>
      </c>
      <c r="J53" s="5" t="str">
        <f>IFERROR(__xludf.DUMMYFUNCTION("GOOGLETRANSLATE(D53, ""en"", ""fr"")"),"B) En utilisant des mouvements et des feintes plus trompeurs pour duper le taureau")</f>
        <v>B) En utilisant des mouvements et des feintes plus trompeurs pour duper le taureau</v>
      </c>
      <c r="K53" s="5" t="str">
        <f>IFERROR(__xludf.DUMMYFUNCTION("GOOGLETRANSLATE(E53, ""en"", ""fr"")"),"Pour vaincre un taureau intelligent qui anticipe la charge, un razeteur doit être tout aussi intelligent et utiliser des feintes pour dissimuler ses véritables intentions.")</f>
        <v>Pour vaincre un taureau intelligent qui anticipe la charge, un razeteur doit être tout aussi intelligent et utiliser des feintes pour dissimuler ses véritables intentions.</v>
      </c>
    </row>
    <row r="54" ht="22.5" customHeight="1">
      <c r="A54" s="3">
        <v>53.0</v>
      </c>
      <c r="B54" s="4" t="s">
        <v>1623</v>
      </c>
      <c r="C54" s="4" t="s">
        <v>1624</v>
      </c>
      <c r="D54" s="4" t="s">
        <v>1625</v>
      </c>
      <c r="E54" s="4" t="s">
        <v>1626</v>
      </c>
      <c r="G54" s="5" t="str">
        <f>IFERROR(__xludf.DUMMYFUNCTION("GOOGLETRANSLATE(A54, ""en"", ""fr"")"),"53")</f>
        <v>53</v>
      </c>
      <c r="H54" s="5" t="str">
        <f>IFERROR(__xludf.DUMMYFUNCTION("GOOGLETRANSLATE(B54, ""en"", ""fr"")"),"Une équipe de dresseurs de taureaux travaille contre un taureau particulièrement difficile. Quel est leur objectif principal en tant qu'équipe ?")</f>
        <v>Une équipe de dresseurs de taureaux travaille contre un taureau particulièrement difficile. Quel est leur objectif principal en tant qu'équipe ?</v>
      </c>
      <c r="I54" s="5" t="str">
        <f>IFERROR(__xludf.DUMMYFUNCTION("GOOGLETRANSLATE(C54, ""en"", ""fr"")"),"A) Fatiguer le taureau par des courses coordonnées, le forçant à commettre une erreur, B) N'envoyer que leur meilleur éleveur le charger, C) Essayer de coincer le taureau, D) Demander un autre taureau")</f>
        <v>A) Fatiguer le taureau par des courses coordonnées, le forçant à commettre une erreur, B) N'envoyer que leur meilleur éleveur le charger, C) Essayer de coincer le taureau, D) Demander un autre taureau</v>
      </c>
      <c r="J54" s="5" t="str">
        <f>IFERROR(__xludf.DUMMYFUNCTION("GOOGLETRANSLATE(D54, ""en"", ""fr"")"),"A) Fatiguer le taureau par des courses coordonnées, le forçant à commettre une erreur")</f>
        <v>A) Fatiguer le taureau par des courses coordonnées, le forçant à commettre une erreur</v>
      </c>
      <c r="K54" s="5" t="str">
        <f>IFERROR(__xludf.DUMMYFUNCTION("GOOGLETRANSLATE(E54, ""en"", ""fr"")"),"Une stratégie d'équipe clé contre un grand taureau consiste à utiliser une série de rasets implacables et bien exécutés pour user progressivement sa défense.")</f>
        <v>Une stratégie d'équipe clé contre un grand taureau consiste à utiliser une série de rasets implacables et bien exécutés pour user progressivement sa défense.</v>
      </c>
    </row>
    <row r="55" ht="22.5" customHeight="1">
      <c r="A55" s="3">
        <v>54.0</v>
      </c>
      <c r="B55" s="4" t="s">
        <v>1627</v>
      </c>
      <c r="C55" s="4" t="s">
        <v>1628</v>
      </c>
      <c r="D55" s="4" t="s">
        <v>1629</v>
      </c>
      <c r="E55" s="4" t="s">
        <v>1630</v>
      </c>
      <c r="G55" s="5" t="str">
        <f>IFERROR(__xludf.DUMMYFUNCTION("GOOGLETRANSLATE(A55, ""en"", ""fr"")"),"54")</f>
        <v>54</v>
      </c>
      <c r="H55" s="5" t="str">
        <f>IFERROR(__xludf.DUMMYFUNCTION("GOOGLETRANSLATE(B55, ""en"", ""fr"")"),"Quelle est la décision à prendre si la corne d'un taureau se casse pendant la course (un événement rare) ?")</f>
        <v>Quelle est la décision à prendre si la corne d'un taureau se casse pendant la course (un événement rare) ?</v>
      </c>
      <c r="I55" s="5" t="str">
        <f>IFERROR(__xludf.DUMMYFUNCTION("GOOGLETRANSLATE(C55, ""en"", ""fr"")"),"A) La course est immédiatement arrêtée pour la sécurité du taureau. B) La course continue. C) Les ravisseurs peuvent emporter la corne cassée comme trophée. D) L'éleveur est condamné à une amende.")</f>
        <v>A) La course est immédiatement arrêtée pour la sécurité du taureau. B) La course continue. C) Les ravisseurs peuvent emporter la corne cassée comme trophée. D) L'éleveur est condamné à une amende.</v>
      </c>
      <c r="J55" s="5" t="str">
        <f>IFERROR(__xludf.DUMMYFUNCTION("GOOGLETRANSLATE(D55, ""en"", ""fr"")"),"A) La course est immédiatement arrêtée pour la sécurité du taureau.")</f>
        <v>A) La course est immédiatement arrêtée pour la sécurité du taureau.</v>
      </c>
      <c r="K55" s="5" t="str">
        <f>IFERROR(__xludf.DUMMYFUNCTION("GOOGLETRANSLATE(E55, ""en"", ""fr"")"),"Les cornes du taureau constituent son arme principale et une source de fierté. Toute blessure grave, comme une corne cassée, entraîne un arrêt immédiat du combat.")</f>
        <v>Les cornes du taureau constituent son arme principale et une source de fierté. Toute blessure grave, comme une corne cassée, entraîne un arrêt immédiat du combat.</v>
      </c>
    </row>
    <row r="56" ht="22.5" customHeight="1">
      <c r="A56" s="3">
        <v>55.0</v>
      </c>
      <c r="B56" s="4" t="s">
        <v>1631</v>
      </c>
      <c r="C56" s="4" t="s">
        <v>1632</v>
      </c>
      <c r="D56" s="4" t="s">
        <v>1633</v>
      </c>
      <c r="E56" s="4" t="s">
        <v>1634</v>
      </c>
      <c r="G56" s="5" t="str">
        <f>IFERROR(__xludf.DUMMYFUNCTION("GOOGLETRANSLATE(A56, ""en"", ""fr"")"),"55")</f>
        <v>55</v>
      </c>
      <c r="H56" s="5" t="str">
        <f>IFERROR(__xludf.DUMMYFUNCTION("GOOGLETRANSLATE(B56, ""en"", ""fr"")"),"Un arquebusier prend une glande, mais il est constaté qu'il a utilisé sa main libre pour repousser la tête du taureau. Quelle est la décision ?")</f>
        <v>Un arquebusier prend une glande, mais il est constaté qu'il a utilisé sa main libre pour repousser la tête du taureau. Quelle est la décision ?</v>
      </c>
      <c r="I56" s="5" t="str">
        <f>IFERROR(__xludf.DUMMYFUNCTION("GOOGLETRANSLATE(C56, ""en"", ""fr"")"),"A) Le point est valide, B) Le point est annulé pour contact illégal de la main, C) Le razeteur est averti, D) Le point est rejoué")</f>
        <v>A) Le point est valide, B) Le point est annulé pour contact illégal de la main, C) Le razeteur est averti, D) Le point est rejoué</v>
      </c>
      <c r="J56" s="5" t="str">
        <f>IFERROR(__xludf.DUMMYFUNCTION("GOOGLETRANSLATE(D56, ""en"", ""fr"")"),"B) Le score est annulé en raison du contact illégal de la main")</f>
        <v>B) Le score est annulé en raison du contact illégal de la main</v>
      </c>
      <c r="K56" s="5" t="str">
        <f>IFERROR(__xludf.DUMMYFUNCTION("GOOGLETRANSLATE(E56, ""en"", ""fr"")"),"Repousser le taureau avec la main libre constitue une faute grave qui donne au coureur un avantage illégal et invalide le score.")</f>
        <v>Repousser le taureau avec la main libre constitue une faute grave qui donne au coureur un avantage illégal et invalide le score.</v>
      </c>
    </row>
    <row r="57" ht="22.5" customHeight="1">
      <c r="A57" s="3">
        <v>56.0</v>
      </c>
      <c r="B57" s="4" t="s">
        <v>1635</v>
      </c>
      <c r="C57" s="4" t="s">
        <v>1636</v>
      </c>
      <c r="D57" s="4" t="s">
        <v>1637</v>
      </c>
      <c r="E57" s="4" t="s">
        <v>1638</v>
      </c>
      <c r="G57" s="5" t="str">
        <f>IFERROR(__xludf.DUMMYFUNCTION("GOOGLETRANSLATE(A57, ""en"", ""fr"")"),"56")</f>
        <v>56</v>
      </c>
      <c r="H57" s="5" t="str">
        <f>IFERROR(__xludf.DUMMYFUNCTION("GOOGLETRANSLATE(B57, ""en"", ""fr"")"),"Qu'est-ce qu'un ""biòu de l'avenir"" ?")</f>
        <v>Qu'est-ce qu'un "biòu de l'avenir" ?</v>
      </c>
      <c r="I57" s="5" t="str">
        <f>IFERROR(__xludf.DUMMYFUNCTION("GOOGLETRANSLATE(C57, ""en"", ""fr"")"),"A) Un taureau champion retraité, B) Un jeune taureau prometteur, C) Le taureau lauréat du Biòu d'Or, D) Un taureau à vendre")</f>
        <v>A) Un taureau champion retraité, B) Un jeune taureau prometteur, C) Le taureau lauréat du Biòu d'Or, D) Un taureau à vendre</v>
      </c>
      <c r="J57" s="5" t="str">
        <f>IFERROR(__xludf.DUMMYFUNCTION("GOOGLETRANSLATE(D57, ""en"", ""fr"")"),"B) Un jeune taureau ayant le potentiel de devenir un futur champion")</f>
        <v>B) Un jeune taureau ayant le potentiel de devenir un futur champion</v>
      </c>
      <c r="K57" s="5" t="str">
        <f>IFERROR(__xludf.DUMMYFUNCTION("GOOGLETRANSLATE(E57, ""en"", ""fr"")"),"Ce « taureau du futur » est un jeune animal très prometteur en ce début de carrière.")</f>
        <v>Ce « taureau du futur » est un jeune animal très prometteur en ce début de carrière.</v>
      </c>
    </row>
    <row r="58" ht="22.5" customHeight="1">
      <c r="A58" s="3">
        <v>57.0</v>
      </c>
      <c r="B58" s="4" t="s">
        <v>1639</v>
      </c>
      <c r="C58" s="4" t="s">
        <v>1640</v>
      </c>
      <c r="D58" s="4" t="s">
        <v>1641</v>
      </c>
      <c r="E58" s="4" t="s">
        <v>1642</v>
      </c>
      <c r="G58" s="5" t="str">
        <f>IFERROR(__xludf.DUMMYFUNCTION("GOOGLETRANSLATE(A58, ""en"", ""fr"")"),"57")</f>
        <v>57</v>
      </c>
      <c r="H58" s="5" t="str">
        <f>IFERROR(__xludf.DUMMYFUNCTION("GOOGLETRANSLATE(B58, ""en"", ""fr"")"),"Un razeteur est pénalisé pour un raset rasant (pâturage raset). Qu'est-ce que cela signifie ?")</f>
        <v>Un razeteur est pénalisé pour un raset rasant (pâturage raset). Qu'est-ce que cela signifie ?</v>
      </c>
      <c r="I58" s="5" t="str">
        <f>IFERROR(__xludf.DUMMYFUNCTION("GOOGLETRANSLATE(C58, ""en"", ""fr"")"),"A) La course était trop près du taureau, B) La course était trop loin du taureau, C) Le lanceur n'a pas couru assez vite, D) Le lanceur a frôlé le taureau avec son corps")</f>
        <v>A) La course était trop près du taureau, B) La course était trop loin du taureau, C) Le lanceur n'a pas couru assez vite, D) Le lanceur a frôlé le taureau avec son corps</v>
      </c>
      <c r="J58" s="5" t="str">
        <f>IFERROR(__xludf.DUMMYFUNCTION("GOOGLETRANSLATE(D58, ""en"", ""fr"")"),"A) La course était trop près du taureau")</f>
        <v>A) La course était trop près du taureau</v>
      </c>
      <c r="K58" s="5" t="str">
        <f>IFERROR(__xludf.DUMMYFUNCTION("GOOGLETRANSLATE(E58, ""en"", ""fr"")"),"Un cavalier doit maintenir une certaine distance. Une course si proche que le corps du cavalier effleure le taureau est considérée comme une faute, signe d'une mauvaise exécution.")</f>
        <v>Un cavalier doit maintenir une certaine distance. Une course si proche que le corps du cavalier effleure le taureau est considérée comme une faute, signe d'une mauvaise exécution.</v>
      </c>
    </row>
    <row r="59" ht="22.5" customHeight="1">
      <c r="A59" s="3">
        <v>58.0</v>
      </c>
      <c r="B59" s="4" t="s">
        <v>1643</v>
      </c>
      <c r="C59" s="4" t="s">
        <v>1644</v>
      </c>
      <c r="D59" s="4" t="s">
        <v>1645</v>
      </c>
      <c r="E59" s="4" t="s">
        <v>1646</v>
      </c>
      <c r="G59" s="5" t="str">
        <f>IFERROR(__xludf.DUMMYFUNCTION("GOOGLETRANSLATE(A59, ""en"", ""fr"")"),"58")</f>
        <v>58</v>
      </c>
      <c r="H59" s="5" t="str">
        <f>IFERROR(__xludf.DUMMYFUNCTION("GOOGLETRANSLATE(B59, ""en"", ""fr"")"),"Pourquoi les taureaux d'une course importante sont-ils choisis des semaines, voire des mois, à l'avance ?")</f>
        <v>Pourquoi les taureaux d'une course importante sont-ils choisis des semaines, voire des mois, à l'avance ?</v>
      </c>
      <c r="I59" s="5" t="str">
        <f>IFERROR(__xludf.DUMMYFUNCTION("GOOGLETRANSLATE(C59, ""en"", ""fr"")"),"A) Pour leur laisser le temps de s'entraîner, B) Pour permettre la commercialisation et la promotion de la course grâce aux noms des taureaux célèbres, C) Pour leur donner un régime alimentaire spécial, D) Pour garantir leur disponibilité")</f>
        <v>A) Pour leur laisser le temps de s'entraîner, B) Pour permettre la commercialisation et la promotion de la course grâce aux noms des taureaux célèbres, C) Pour leur donner un régime alimentaire spécial, D) Pour garantir leur disponibilité</v>
      </c>
      <c r="J59" s="5" t="str">
        <f>IFERROR(__xludf.DUMMYFUNCTION("GOOGLETRANSLATE(D59, ""en"", ""fr"")"),"B) Pour permettre la commercialisation et la promotion de la course en utilisant les noms des taureaux célèbres")</f>
        <v>B) Pour permettre la commercialisation et la promotion de la course en utilisant les noms des taureaux célèbres</v>
      </c>
      <c r="K59" s="5" t="str">
        <f>IFERROR(__xludf.DUMMYFUNCTION("GOOGLETRANSLATE(E59, ""en"", ""fr"")"),"Les taureaux sont les vedettes. Annoncer la liste des célèbres cocardiers est le principal moyen d'attirer les spectateurs à une grande course.")</f>
        <v>Les taureaux sont les vedettes. Annoncer la liste des célèbres cocardiers est le principal moyen d'attirer les spectateurs à une grande course.</v>
      </c>
    </row>
    <row r="60" ht="22.5" customHeight="1">
      <c r="A60" s="3">
        <v>59.0</v>
      </c>
      <c r="B60" s="4" t="s">
        <v>1647</v>
      </c>
      <c r="C60" s="4" t="s">
        <v>1648</v>
      </c>
      <c r="D60" s="4" t="s">
        <v>1649</v>
      </c>
      <c r="E60" s="4" t="s">
        <v>1650</v>
      </c>
      <c r="G60" s="5" t="str">
        <f>IFERROR(__xludf.DUMMYFUNCTION("GOOGLETRANSLATE(A60, ""en"", ""fr"")"),"59")</f>
        <v>59</v>
      </c>
      <c r="H60" s="5" t="str">
        <f>IFERROR(__xludf.DUMMYFUNCTION("GOOGLETRANSLATE(B60, ""en"", ""fr"")"),"Un taureau s'apprête à lancer un taureau. Un tourteur se place directement sur son passage, le forçant à faire demi-tour. Est-ce légal ?")</f>
        <v>Un taureau s'apprête à lancer un taureau. Un tourteur se place directement sur son passage, le forçant à faire demi-tour. Est-ce légal ?</v>
      </c>
      <c r="I60" s="5" t="str">
        <f>IFERROR(__xludf.DUMMYFUNCTION("GOOGLETRANSLATE(C60, ""en"", ""fr"")"),"A) Oui, c'est le rôle du tourneur. B) Non, un tourneur peut seulement attirer l'attention du taureau, il ne peut pas la bloquer physiquement. C) Seulement si le taureau est passif. D) Seulement si le tourneur est en danger.")</f>
        <v>A) Oui, c'est le rôle du tourneur. B) Non, un tourneur peut seulement attirer l'attention du taureau, il ne peut pas la bloquer physiquement. C) Seulement si le taureau est passif. D) Seulement si le tourneur est en danger.</v>
      </c>
      <c r="J60" s="5" t="str">
        <f>IFERROR(__xludf.DUMMYFUNCTION("GOOGLETRANSLATE(D60, ""en"", ""fr"")"),"B) Non, un tourteur peut seulement attirer l'attention du taureau, il ne peut pas le bloquer physiquement.")</f>
        <v>B) Non, un tourteur peut seulement attirer l'attention du taureau, il ne peut pas le bloquer physiquement.</v>
      </c>
      <c r="K60" s="5" t="str">
        <f>IFERROR(__xludf.DUMMYFUNCTION("GOOGLETRANSLATE(E60, ""en"", ""fr"")"),"Un tourteur utilise ses mouvements et sa voix pour attirer l'attention du taureau. Utiliser son corps comme barrière physique constitue une forme d'obstruction illégale.")</f>
        <v>Un tourteur utilise ses mouvements et sa voix pour attirer l'attention du taureau. Utiliser son corps comme barrière physique constitue une forme d'obstruction illégale.</v>
      </c>
    </row>
    <row r="61" ht="22.5" customHeight="1">
      <c r="A61" s="3">
        <v>60.0</v>
      </c>
      <c r="B61" s="4" t="s">
        <v>1651</v>
      </c>
      <c r="C61" s="4" t="s">
        <v>1652</v>
      </c>
      <c r="D61" s="4" t="s">
        <v>1653</v>
      </c>
      <c r="E61" s="4" t="s">
        <v>1654</v>
      </c>
      <c r="G61" s="5" t="str">
        <f>IFERROR(__xludf.DUMMYFUNCTION("GOOGLETRANSLATE(A61, ""en"", ""fr"")"),"60")</f>
        <v>60</v>
      </c>
      <c r="H61" s="5" t="str">
        <f>IFERROR(__xludf.DUMMYFUNCTION("GOOGLETRANSLATE(B61, ""en"", ""fr"")"),"En substance, quel est le rôle du taureau dans la Course Camarguaise ?")</f>
        <v>En substance, quel est le rôle du taureau dans la Course Camarguaise ?</v>
      </c>
      <c r="I61" s="5" t="str">
        <f>IFERROR(__xludf.DUMMYFUNCTION("GOOGLETRANSLATE(C61, ""en"", ""fr"")"),"A) C'est une victime, B) C'est un athlète respecté et célèbre, C) C'est un simple animal de ferme, D) C'est un outil d'entraînement pour les hommes")</f>
        <v>A) C'est une victime, B) C'est un athlète respecté et célèbre, C) C'est un simple animal de ferme, D) C'est un outil d'entraînement pour les hommes</v>
      </c>
      <c r="J61" s="5" t="str">
        <f>IFERROR(__xludf.DUMMYFUNCTION("GOOGLETRANSLATE(D61, ""en"", ""fr"")"),"B) C'est un athlète respecté et célèbre")</f>
        <v>B) C'est un athlète respecté et célèbre</v>
      </c>
      <c r="K61" s="5" t="str">
        <f>IFERROR(__xludf.DUMMYFUNCTION("GOOGLETRANSLATE(E61, ""en"", ""fr"")"),"L'ensemble de ce sport est structuré autour du principe que le taureau est la vedette du spectacle, une figure héroïque à admirer pour sa bravoure et son habileté.")</f>
        <v>L'ensemble de ce sport est structuré autour du principe que le taureau est la vedette du spectacle, une figure héroïque à admirer pour sa bravoure et son habileté.</v>
      </c>
    </row>
    <row r="62" ht="22.5" customHeight="1">
      <c r="A62" s="3">
        <v>61.0</v>
      </c>
      <c r="B62" s="4" t="s">
        <v>1655</v>
      </c>
      <c r="C62" s="4" t="s">
        <v>1656</v>
      </c>
      <c r="D62" s="4" t="s">
        <v>1657</v>
      </c>
      <c r="E62" s="4" t="s">
        <v>1658</v>
      </c>
      <c r="G62" s="5" t="str">
        <f>IFERROR(__xludf.DUMMYFUNCTION("GOOGLETRANSLATE(A62, ""en"", ""fr"")"),"61")</f>
        <v>61</v>
      </c>
      <c r="H62" s="5" t="str">
        <f>IFERROR(__xludf.DUMMYFUNCTION("GOOGLETRANSLATE(B62, ""en"", ""fr"")"),"Un arène est blessée et un médecin est appelé dans l'arène. Quel est le protocole à suivre pour le taureau ?")</f>
        <v>Un arène est blessée et un médecin est appelé dans l'arène. Quel est le protocole à suivre pour le taureau ?</v>
      </c>
      <c r="I62" s="5" t="str">
        <f>IFERROR(__xludf.DUMMYFUNCTION("GOOGLETRANSLATE(C62, ""en"", ""fr"")"),"A) Il est laissé dans l'arène, B) Il est immédiatement et en toute sécurité ramené au tournoi, C) Il est maintenu dans un coin par les tourteurs, D) Les gardiens entrent dans l'arène pour le contrôler")</f>
        <v>A) Il est laissé dans l'arène, B) Il est immédiatement et en toute sécurité ramené au tournoi, C) Il est maintenu dans un coin par les tourteurs, D) Les gardiens entrent dans l'arène pour le contrôler</v>
      </c>
      <c r="J62" s="5" t="str">
        <f>IFERROR(__xludf.DUMMYFUNCTION("GOOGLETRANSLATE(D62, ""en"", ""fr"")"),"B) Il est immédiatement et en toute sécurité remis au toril")</f>
        <v>B) Il est immédiatement et en toute sécurité remis au toril</v>
      </c>
      <c r="K62" s="5" t="str">
        <f>IFERROR(__xludf.DUMMYFUNCTION("GOOGLETRANSLATE(E62, ""en"", ""fr"")"),"La première étape en cas de blessure consiste à sécuriser l'arène en retirant le taureau, afin d'assurer la sécurité de la personne blessée et du personnel médical.")</f>
        <v>La première étape en cas de blessure consiste à sécuriser l'arène en retirant le taureau, afin d'assurer la sécurité de la personne blessée et du personnel médical.</v>
      </c>
    </row>
    <row r="63" ht="22.5" customHeight="1">
      <c r="A63" s="3">
        <v>62.0</v>
      </c>
      <c r="B63" s="4" t="s">
        <v>1659</v>
      </c>
      <c r="C63" s="4" t="s">
        <v>1660</v>
      </c>
      <c r="D63" s="4" t="s">
        <v>1661</v>
      </c>
      <c r="E63" s="4" t="s">
        <v>1662</v>
      </c>
      <c r="G63" s="5" t="str">
        <f>IFERROR(__xludf.DUMMYFUNCTION("GOOGLETRANSLATE(A63, ""en"", ""fr"")"),"62")</f>
        <v>62</v>
      </c>
      <c r="H63" s="5" t="str">
        <f>IFERROR(__xludf.DUMMYFUNCTION("GOOGLETRANSLATE(B63, ""en"", ""fr"")"),"Le taureau est connu pour son « anticipation ». Comment un abatteur pourrait-il contrer cela ?")</f>
        <v>Le taureau est connu pour son « anticipation ». Comment un abatteur pourrait-il contrer cela ?</v>
      </c>
      <c r="I63" s="5" t="str">
        <f>IFERROR(__xludf.DUMMYFUNCTION("GOOGLETRANSLATE(C63, ""en"", ""fr"")"),"A) En courant plus vite, B) En feintant et en utilisant des ruses pour dissimuler leur trajectoire, C) En fonçant droit sur le taureau, D) En attendant que le taureau se fatigue")</f>
        <v>A) En courant plus vite, B) En feintant et en utilisant des ruses pour dissimuler leur trajectoire, C) En fonçant droit sur le taureau, D) En attendant que le taureau se fatigue</v>
      </c>
      <c r="J63" s="5" t="str">
        <f>IFERROR(__xludf.DUMMYFUNCTION("GOOGLETRANSLATE(D63, ""en"", ""fr"")"),"B) En utilisant des feintes et des ruses pour dissimuler leur trajectoire de course prévue")</f>
        <v>B) En utilisant des feintes et des ruses pour dissimuler leur trajectoire de course prévue</v>
      </c>
      <c r="K63" s="5" t="str">
        <f>IFERROR(__xludf.DUMMYFUNCTION("GOOGLETRANSLATE(E63, ""en"", ""fr"")"),"Pour déjouer un taureau intelligent, un razeteur doit être tout aussi rusé, utilisant des mouvements trompeurs pour empêcher le taureau de deviner ses intentions.")</f>
        <v>Pour déjouer un taureau intelligent, un razeteur doit être tout aussi rusé, utilisant des mouvements trompeurs pour empêcher le taureau de deviner ses intentions.</v>
      </c>
    </row>
    <row r="64" ht="22.5" customHeight="1">
      <c r="A64" s="3">
        <v>63.0</v>
      </c>
      <c r="B64" s="4" t="s">
        <v>1663</v>
      </c>
      <c r="C64" s="4" t="s">
        <v>1664</v>
      </c>
      <c r="D64" s="4" t="s">
        <v>1665</v>
      </c>
      <c r="E64" s="4" t="s">
        <v>1666</v>
      </c>
      <c r="G64" s="5" t="str">
        <f>IFERROR(__xludf.DUMMYFUNCTION("GOOGLETRANSLATE(A64, ""en"", ""fr"")"),"63")</f>
        <v>63</v>
      </c>
      <c r="H64" s="5" t="str">
        <f>IFERROR(__xludf.DUMMYFUNCTION("GOOGLETRANSLATE(B64, ""en"", ""fr"")"),"La cordelette d'une corne de taureau est estimée à 1 000 €. Un herminette la coupe, mais elle tombe au sol. Quelle est la décision ?")</f>
        <v>La cordelette d'une corne de taureau est estimée à 1 000 €. Un herminette la coupe, mais elle tombe au sol. Quelle est la décision ?</v>
      </c>
      <c r="I64" s="5" t="str">
        <f>IFERROR(__xludf.DUMMYFUNCTION("GOOGLETRANSLATE(C64, ""en"", ""fr"")"),"A) Le prix est attribué. B) Le prix n'est pas attribué car la chaîne n'a pas été récupérée. C) Le prix est partagé entre tous les joueurs. D) Le point est rejoué.")</f>
        <v>A) Le prix est attribué. B) Le prix n'est pas attribué car la chaîne n'a pas été récupérée. C) Le prix est partagé entre tous les joueurs. D) Le point est rejoué.</v>
      </c>
      <c r="J64" s="5" t="str">
        <f>IFERROR(__xludf.DUMMYFUNCTION("GOOGLETRANSLATE(D64, ""en"", ""fr"")"),"B) Le prix n'est pas attribué car la ficelle n'a pas été collectée.")</f>
        <v>B) Le prix n'est pas attribué car la ficelle n'a pas été collectée.</v>
      </c>
      <c r="K64" s="5" t="str">
        <f>IFERROR(__xludf.DUMMYFUNCTION("GOOGLETRANSLATE(E64, ""en"", ""fr"")"),"Il ne suffit pas de couper le fil avec le crochet. Le razeteur doit l'arracher physiquement et le récupérer pour réclamer le prix.")</f>
        <v>Il ne suffit pas de couper le fil avec le crochet. Le razeteur doit l'arracher physiquement et le récupérer pour réclamer le prix.</v>
      </c>
    </row>
    <row r="65" ht="22.5" customHeight="1">
      <c r="A65" s="3">
        <v>64.0</v>
      </c>
      <c r="B65" s="4" t="s">
        <v>1667</v>
      </c>
      <c r="C65" s="4" t="s">
        <v>1668</v>
      </c>
      <c r="D65" s="4" t="s">
        <v>1669</v>
      </c>
      <c r="E65" s="4" t="s">
        <v>1670</v>
      </c>
      <c r="G65" s="5" t="str">
        <f>IFERROR(__xludf.DUMMYFUNCTION("GOOGLETRANSLATE(A65, ""en"", ""fr"")"),"64")</f>
        <v>64</v>
      </c>
      <c r="H65" s="5" t="str">
        <f>IFERROR(__xludf.DUMMYFUNCTION("GOOGLETRANSLATE(B65, ""en"", ""fr"")"),"Qu'est-ce qu'un ex-voto de fête ?")</f>
        <v>Qu'est-ce qu'un ex-voto de fête ?</v>
      </c>
      <c r="I65" s="5" t="str">
        <f>IFERROR(__xludf.DUMMYFUNCTION("GOOGLETRANSLATE(C65, ""en"", ""fr"")"),"A) Un jour férié national, B) Une fête locale en l'honneur du saint patron d'un village, dont l'événement principal est la Course Camarguaise, C) Un festival de musique, D) Un festival gastronomique")</f>
        <v>A) Un jour férié national, B) Une fête locale en l'honneur du saint patron d'un village, dont l'événement principal est la Course Camarguaise, C) Un festival de musique, D) Un festival gastronomique</v>
      </c>
      <c r="J65" s="5" t="str">
        <f>IFERROR(__xludf.DUMMYFUNCTION("GOOGLETRANSLATE(D65, ""en"", ""fr"")"),"B) Une fête locale en l'honneur du saint patron du village, dont l'événement principal est la Course Camarguaise")</f>
        <v>B) Une fête locale en l'honneur du saint patron du village, dont l'événement principal est la Course Camarguaise</v>
      </c>
      <c r="K65" s="5" t="str">
        <f>IFERROR(__xludf.DUMMYFUNCTION("GOOGLETRANSLATE(E65, ""en"", ""fr"")"),"Le Course Camarguaise est l'élément central de la fête votive annuelle dans presque tous les villages de sa région d'origine.")</f>
        <v>Le Course Camarguaise est l'élément central de la fête votive annuelle dans presque tous les villages de sa région d'origine.</v>
      </c>
    </row>
    <row r="66" ht="22.5" customHeight="1">
      <c r="A66" s="3">
        <v>65.0</v>
      </c>
      <c r="B66" s="4" t="s">
        <v>1671</v>
      </c>
      <c r="C66" s="4" t="s">
        <v>1672</v>
      </c>
      <c r="D66" s="4" t="s">
        <v>1673</v>
      </c>
      <c r="E66" s="4" t="s">
        <v>1674</v>
      </c>
      <c r="G66" s="5" t="str">
        <f>IFERROR(__xludf.DUMMYFUNCTION("GOOGLETRANSLATE(A66, ""en"", ""fr"")"),"65")</f>
        <v>65</v>
      </c>
      <c r="H66" s="5" t="str">
        <f>IFERROR(__xludf.DUMMYFUNCTION("GOOGLETRANSLATE(B66, ""en"", ""fr"")"),"Le crochet du razeteur possède une conception spécifique. Quelle est sa principale caractéristique de sécurité ?")</f>
        <v>Le crochet du razeteur possède une conception spécifique. Quelle est sa principale caractéristique de sécurité ?</v>
      </c>
      <c r="I66" s="5" t="str">
        <f>IFERROR(__xludf.DUMMYFUNCTION("GOOGLETRANSLATE(C66, ""en"", ""fr"")"),"A) Il est très tranchant, B) Il n'a pas de bords tranchants et est conçu uniquement pour accrocher la ficelle, C) Il a un long manche, D) Il est en caoutchouc")</f>
        <v>A) Il est très tranchant, B) Il n'a pas de bords tranchants et est conçu uniquement pour accrocher la ficelle, C) Il a un long manche, D) Il est en caoutchouc</v>
      </c>
      <c r="J66" s="5" t="str">
        <f>IFERROR(__xludf.DUMMYFUNCTION("GOOGLETRANSLATE(D66, ""en"", ""fr"")"),"B) Il ne présente pas d'arêtes vives et est conçu uniquement pour accrocher la corde.")</f>
        <v>B) Il ne présente pas d'arêtes vives et est conçu uniquement pour accrocher la corde.</v>
      </c>
      <c r="K66" s="5" t="str">
        <f>IFERROR(__xludf.DUMMYFUNCTION("GOOGLETRANSLATE(E66, ""en"", ""fr"")"),"Le crochet n'est pas une arme. C'est un outil spécialisé, conçu pour être efficace sans présenter de risque inutile de blesser le taureau.")</f>
        <v>Le crochet n'est pas une arme. C'est un outil spécialisé, conçu pour être efficace sans présenter de risque inutile de blesser le taureau.</v>
      </c>
    </row>
    <row r="67" ht="22.5" customHeight="1">
      <c r="A67" s="3">
        <v>66.0</v>
      </c>
      <c r="B67" s="4" t="s">
        <v>1675</v>
      </c>
      <c r="C67" s="4" t="s">
        <v>1676</v>
      </c>
      <c r="D67" s="4" t="s">
        <v>1677</v>
      </c>
      <c r="E67" s="4" t="s">
        <v>1678</v>
      </c>
      <c r="G67" s="5" t="str">
        <f>IFERROR(__xludf.DUMMYFUNCTION("GOOGLETRANSLATE(A67, ""en"", ""fr"")"),"66")</f>
        <v>66</v>
      </c>
      <c r="H67" s="5" t="str">
        <f>IFERROR(__xludf.DUMMYFUNCTION("GOOGLETRANSLATE(B67, ""en"", ""fr"")"),"Le taureau est très agressif et ignore les tourneurs, ne s'intéressant qu'aux razeteurs. Pourquoi cette caractéristique est-elle si prisée ?")</f>
        <v>Le taureau est très agressif et ignore les tourneurs, ne s'intéressant qu'aux razeteurs. Pourquoi cette caractéristique est-elle si prisée ?</v>
      </c>
      <c r="I67" s="5" t="str">
        <f>IFERROR(__xludf.DUMMYFUNCTION("GOOGLETRANSLATE(C67, ""en"", ""fr"")"),"A) Cela rend le taureau plus facile à contrôler, B) Cela montre que le taureau comprend le jeu et se concentre sur ses véritables adversaires, C) Cela rend la course plus sûre, D) Ce n'est pas une caractéristique recherchée")</f>
        <v>A) Cela rend le taureau plus facile à contrôler, B) Cela montre que le taureau comprend le jeu et se concentre sur ses véritables adversaires, C) Cela rend la course plus sûre, D) Ce n'est pas une caractéristique recherchée</v>
      </c>
      <c r="J67" s="5" t="str">
        <f>IFERROR(__xludf.DUMMYFUNCTION("GOOGLETRANSLATE(D67, ""en"", ""fr"")"),"B) Cela montre que le taureau comprend le jeu et se concentre sur ses véritables adversaires.")</f>
        <v>B) Cela montre que le taureau comprend le jeu et se concentre sur ses véritables adversaires.</v>
      </c>
      <c r="K67" s="5" t="str">
        <f>IFERROR(__xludf.DUMMYFUNCTION("GOOGLETRANSLATE(E67, ""en"", ""fr"")"),"Un grand cocardier est celui qui ne se laisse pas facilement distraire et qui concentre sa défense et ses attaques sur ceux qui tentent de s'emparer de ses attributs.")</f>
        <v>Un grand cocardier est celui qui ne se laisse pas facilement distraire et qui concentre sa défense et ses attaques sur ceux qui tentent de s'emparer de ses attributs.</v>
      </c>
    </row>
    <row r="68" ht="22.5" customHeight="1">
      <c r="A68" s="3">
        <v>67.0</v>
      </c>
      <c r="B68" s="4" t="s">
        <v>1679</v>
      </c>
      <c r="C68" s="4" t="s">
        <v>1680</v>
      </c>
      <c r="D68" s="4" t="s">
        <v>1681</v>
      </c>
      <c r="E68" s="4" t="s">
        <v>1682</v>
      </c>
      <c r="G68" s="5" t="str">
        <f>IFERROR(__xludf.DUMMYFUNCTION("GOOGLETRANSLATE(A68, ""en"", ""fr"")"),"67")</f>
        <v>67</v>
      </c>
      <c r="H68" s="5" t="str">
        <f>IFERROR(__xludf.DUMMYFUNCTION("GOOGLETRANSLATE(B68, ""en"", ""fr"")"),"Quelle est la principale raison des règles strictes concernant le placement et la fixation des attributs sur les cornes du taureau ?")</f>
        <v>Quelle est la principale raison des règles strictes concernant le placement et la fixation des attributs sur les cornes du taureau ?</v>
      </c>
      <c r="I68" s="5" t="str">
        <f>IFERROR(__xludf.DUMMYFUNCTION("GOOGLETRANSLATE(C68, ""en"", ""fr"")"),"A) Pour que le taureau ait une belle apparence, B) Pour garantir l'équité et un niveau de difficulté constant pour les organisateurs, C) Pour protéger les cornes du taureau, D) Pour satisfaire les sponsors")</f>
        <v>A) Pour que le taureau ait une belle apparence, B) Pour garantir l'équité et un niveau de difficulté constant pour les organisateurs, C) Pour protéger les cornes du taureau, D) Pour satisfaire les sponsors</v>
      </c>
      <c r="J68" s="5" t="str">
        <f>IFERROR(__xludf.DUMMYFUNCTION("GOOGLETRANSLATE(D68, ""en"", ""fr"")"),"B) Afin de garantir l'équité et un niveau de difficulté constant pour les razeteurs")</f>
        <v>B) Afin de garantir l'équité et un niveau de difficulté constant pour les razeteurs</v>
      </c>
      <c r="K68" s="5" t="str">
        <f>IFERROR(__xludf.DUMMYFUNCTION("GOOGLETRANSLATE(E68, ""en"", ""fr"")"),"La manière dont les attributs sont attribués est soigneusement standardisée afin que le défi soit le même pour chaque participant à chaque course.")</f>
        <v>La manière dont les attributs sont attribués est soigneusement standardisée afin que le défi soit le même pour chaque participant à chaque course.</v>
      </c>
    </row>
    <row r="69" ht="22.5" customHeight="1">
      <c r="A69" s="3">
        <v>68.0</v>
      </c>
      <c r="B69" s="4" t="s">
        <v>1683</v>
      </c>
      <c r="C69" s="4" t="s">
        <v>1684</v>
      </c>
      <c r="D69" s="4" t="s">
        <v>1685</v>
      </c>
      <c r="E69" s="4" t="s">
        <v>1686</v>
      </c>
      <c r="G69" s="5" t="str">
        <f>IFERROR(__xludf.DUMMYFUNCTION("GOOGLETRANSLATE(A69, ""en"", ""fr"")"),"68")</f>
        <v>68</v>
      </c>
      <c r="H69" s="5" t="str">
        <f>IFERROR(__xludf.DUMMYFUNCTION("GOOGLETRANSLATE(B69, ""en"", ""fr"")"),"Un razeteur réussit à s'emparer d'un attribut. Quelle est la première chose qu'il doit faire pour terminer l'action de score ?")</f>
        <v>Un razeteur réussit à s'emparer d'un attribut. Quelle est la première chose qu'il doit faire pour terminer l'action de score ?</v>
      </c>
      <c r="I69" s="5" t="str">
        <f>IFERROR(__xludf.DUMMYFUNCTION("GOOGLETRANSLATE(C69, ""en"", ""fr"")"),"A) Sauter par-dessus la barrière, B) Lever la main pour montrer l'attribut au président de la course, C) Célébrer avec la foule, D) Rendre l'attribut au propriétaire du taureau")</f>
        <v>A) Sauter par-dessus la barrière, B) Lever la main pour montrer l'attribut au président de la course, C) Célébrer avec la foule, D) Rendre l'attribut au propriétaire du taureau</v>
      </c>
      <c r="J69" s="5" t="str">
        <f>IFERROR(__xludf.DUMMYFUNCTION("GOOGLETRANSLATE(D69, ""en"", ""fr"")"),"B) Lever la main pour indiquer l'attribut au président de la course")</f>
        <v>B) Lever la main pour indiquer l'attribut au président de la course</v>
      </c>
      <c r="K69" s="5" t="str">
        <f>IFERROR(__xludf.DUMMYFUNCTION("GOOGLETRANSLATE(E69, ""en"", ""fr"")"),"Le razeteur doit clairement présenter l'attribut capturé au président du jury pour que le point soit officiellement validé et que le prix soit attribué.")</f>
        <v>Le razeteur doit clairement présenter l'attribut capturé au président du jury pour que le point soit officiellement validé et que le prix soit attribué.</v>
      </c>
    </row>
    <row r="70" ht="22.5" customHeight="1">
      <c r="A70" s="3">
        <v>69.0</v>
      </c>
      <c r="B70" s="4" t="s">
        <v>1687</v>
      </c>
      <c r="C70" s="4" t="s">
        <v>1688</v>
      </c>
      <c r="D70" s="4" t="s">
        <v>1689</v>
      </c>
      <c r="E70" s="4" t="s">
        <v>1690</v>
      </c>
      <c r="G70" s="5" t="str">
        <f>IFERROR(__xludf.DUMMYFUNCTION("GOOGLETRANSLATE(A70, ""en"", ""fr"")"),"69")</f>
        <v>69</v>
      </c>
      <c r="H70" s="5" t="str">
        <f>IFERROR(__xludf.DUMMYFUNCTION("GOOGLETRANSLATE(B70, ""en"", ""fr"")"),"En substance, qu'est-ce qu'un raset ?")</f>
        <v>En substance, qu'est-ce qu'un raset ?</v>
      </c>
      <c r="I70" s="5" t="str">
        <f>IFERROR(__xludf.DUMMYFUNCTION("GOOGLETRANSLATE(C70, ""en"", ""fr"")"),"A) Une charge directe contre le taureau, B) Un moment d'intersection sur une trajectoire courbe entre l'homme et le taureau, C) Un saut par-dessus le taureau, D) Une retraite défensive")</f>
        <v>A) Une charge directe contre le taureau, B) Un moment d'intersection sur une trajectoire courbe entre l'homme et le taureau, C) Un saut par-dessus le taureau, D) Une retraite défensive</v>
      </c>
      <c r="J70" s="5" t="str">
        <f>IFERROR(__xludf.DUMMYFUNCTION("GOOGLETRANSLATE(D70, ""en"", ""fr"")"),"B) Un moment d'intersection sur un chemin courbe entre l'homme et le taureau")</f>
        <v>B) Un moment d'intersection sur un chemin courbe entre l'homme et le taureau</v>
      </c>
      <c r="K70" s="5" t="str">
        <f>IFERROR(__xludf.DUMMYFUNCTION("GOOGLETRANSLATE(E70, ""en"", ""fr"")"),"L'art du raset consiste pour le coureur à synchroniser sa trajectoire courbe afin d'arriver à la tête du taureau au moment précis pour prendre un attribut et ensuite s'échapper.")</f>
        <v>L'art du raset consiste pour le coureur à synchroniser sa trajectoire courbe afin d'arriver à la tête du taureau au moment précis pour prendre un attribut et ensuite s'échapper.</v>
      </c>
    </row>
    <row r="71" ht="22.5" customHeight="1">
      <c r="A71" s="3">
        <v>70.0</v>
      </c>
      <c r="B71" s="4" t="s">
        <v>1691</v>
      </c>
      <c r="C71" s="4" t="s">
        <v>1692</v>
      </c>
      <c r="D71" s="4" t="s">
        <v>386</v>
      </c>
      <c r="E71" s="4" t="s">
        <v>1693</v>
      </c>
      <c r="G71" s="5" t="str">
        <f>IFERROR(__xludf.DUMMYFUNCTION("GOOGLETRANSLATE(A71, ""en"", ""fr"")"),"70")</f>
        <v>70</v>
      </c>
      <c r="H71" s="5" t="str">
        <f>IFERROR(__xludf.DUMMYFUNCTION("GOOGLETRANSLATE(B71, ""en"", ""fr"")"),"Quel est le signe ultime de respect pour un taureau légendaire après sa mort ?")</f>
        <v>Quel est le signe ultime de respect pour un taureau légendaire après sa mort ?</v>
      </c>
      <c r="I71" s="5" t="str">
        <f>IFERROR(__xludf.DUMMYFUNCTION("GOOGLETRANSLATE(C71, ""en"", ""fr"")"),"A) Ses cornes sont exposées dans un musée, B) Il est enterré dans les pâturages de son manoir d'origine, souvent avec une pierre tombale, C) Une course spéciale est organisée en sa mémoire, D) Toutes les réponses ci-dessus")</f>
        <v>A) Ses cornes sont exposées dans un musée, B) Il est enterré dans les pâturages de son manoir d'origine, souvent avec une pierre tombale, C) Une course spéciale est organisée en sa mémoire, D) Toutes les réponses ci-dessus</v>
      </c>
      <c r="J71" s="5" t="str">
        <f>IFERROR(__xludf.DUMMYFUNCTION("GOOGLETRANSLATE(D71, ""en"", ""fr"")"),"D) Toutes les réponses ci-dessus")</f>
        <v>D) Toutes les réponses ci-dessus</v>
      </c>
      <c r="K71" s="5" t="str">
        <f>IFERROR(__xludf.DUMMYFUNCTION("GOOGLETRANSLATE(E71, ""en"", ""fr"")"),"Un grand cocardier est honoré après sa mort comme un véritable héros : ses cornes sont conservées, sa mémoire célébrée et son corps repose désormais sur sa terre natale.")</f>
        <v>Un grand cocardier est honoré après sa mort comme un véritable héros : ses cornes sont conservées, sa mémoire célébrée et son corps repose désormais sur sa terre natale.</v>
      </c>
    </row>
    <row r="72" ht="22.5" customHeight="1">
      <c r="A72" s="3">
        <v>71.0</v>
      </c>
      <c r="B72" s="4" t="s">
        <v>1694</v>
      </c>
      <c r="C72" s="4" t="s">
        <v>1616</v>
      </c>
      <c r="D72" s="4" t="s">
        <v>1617</v>
      </c>
      <c r="E72" s="4" t="s">
        <v>1618</v>
      </c>
      <c r="G72" s="5" t="str">
        <f>IFERROR(__xludf.DUMMYFUNCTION("GOOGLETRANSLATE(A72, ""en"", ""fr"")"),"71")</f>
        <v>71</v>
      </c>
      <c r="H72" s="5" t="str">
        <f>IFERROR(__xludf.DUMMYFUNCTION("GOOGLETRANSLATE(B72, ""en"", ""fr"")"),"Un razeteur est pénalisé pour un coup de crochet. Qu'ont-ils fait ?")</f>
        <v>Un razeteur est pénalisé pour un coup de crochet. Qu'ont-ils fait ?</v>
      </c>
      <c r="I72" s="5" t="str">
        <f>IFERROR(__xludf.DUMMYFUNCTION("GOOGLETRANSLATE(C72, ""en"", ""fr"")"),"A) Ils ont pris un attribut, B) Ils ont frappé illégalement le taureau avec leur crochet au lieu de simplement accrocher la corde, C) Ils ont accroché le bras d'un autre razeteur, D) Ils ont accroché la barrière")</f>
        <v>A) Ils ont pris un attribut, B) Ils ont frappé illégalement le taureau avec leur crochet au lieu de simplement accrocher la corde, C) Ils ont accroché le bras d'un autre razeteur, D) Ils ont accroché la barrière</v>
      </c>
      <c r="J72" s="5" t="str">
        <f>IFERROR(__xludf.DUMMYFUNCTION("GOOGLETRANSLATE(D72, ""en"", ""fr"")"),"B) Ils ont frappé illégalement le taureau avec leur crochet au lieu de simplement accrocher la ficelle")</f>
        <v>B) Ils ont frappé illégalement le taureau avec leur crochet au lieu de simplement accrocher la ficelle</v>
      </c>
      <c r="K72" s="5" t="str">
        <f>IFERROR(__xludf.DUMMYFUNCTION("GOOGLETRANSLATE(E72, ""en"", ""fr"")"),"Le crochet sert à couper la corde, non à frapper ou à piquer le taureau. S'en servir pour frapper l'animal est une faute.")</f>
        <v>Le crochet sert à couper la corde, non à frapper ou à piquer le taureau. S'en servir pour frapper l'animal est une faute.</v>
      </c>
    </row>
    <row r="73" ht="22.5" customHeight="1">
      <c r="A73" s="3">
        <v>72.0</v>
      </c>
      <c r="B73" s="4" t="s">
        <v>1659</v>
      </c>
      <c r="C73" s="4" t="s">
        <v>1695</v>
      </c>
      <c r="D73" s="4" t="s">
        <v>1661</v>
      </c>
      <c r="E73" s="4" t="s">
        <v>1662</v>
      </c>
      <c r="G73" s="5" t="str">
        <f>IFERROR(__xludf.DUMMYFUNCTION("GOOGLETRANSLATE(A73, ""en"", ""fr"")"),"72")</f>
        <v>72</v>
      </c>
      <c r="H73" s="5" t="str">
        <f>IFERROR(__xludf.DUMMYFUNCTION("GOOGLETRANSLATE(B73, ""en"", ""fr"")"),"Le taureau est connu pour son « anticipation ». Comment un abatteur pourrait-il contrer cela ?")</f>
        <v>Le taureau est connu pour son « anticipation ». Comment un abatteur pourrait-il contrer cela ?</v>
      </c>
      <c r="I73" s="5" t="str">
        <f>IFERROR(__xludf.DUMMYFUNCTION("GOOGLETRANSLATE(C73, ""en"", ""fr"")"),"A) En courant plus vite, B) En utilisant des feintes pour dissimuler leur trajectoire, C) En étant plus agressifs, D) En n'attaquant pas le taureau")</f>
        <v>A) En courant plus vite, B) En utilisant des feintes pour dissimuler leur trajectoire, C) En étant plus agressifs, D) En n'attaquant pas le taureau</v>
      </c>
      <c r="J73" s="5" t="str">
        <f>IFERROR(__xludf.DUMMYFUNCTION("GOOGLETRANSLATE(D73, ""en"", ""fr"")"),"B) En utilisant des feintes et des ruses pour dissimuler leur trajectoire de course prévue")</f>
        <v>B) En utilisant des feintes et des ruses pour dissimuler leur trajectoire de course prévue</v>
      </c>
      <c r="K73" s="5" t="str">
        <f>IFERROR(__xludf.DUMMYFUNCTION("GOOGLETRANSLATE(E73, ""en"", ""fr"")"),"Pour déjouer un taureau intelligent, un razeteur doit être tout aussi rusé, utilisant des mouvements trompeurs pour empêcher le taureau de deviner ses intentions.")</f>
        <v>Pour déjouer un taureau intelligent, un razeteur doit être tout aussi rusé, utilisant des mouvements trompeurs pour empêcher le taureau de deviner ses intentions.</v>
      </c>
    </row>
    <row r="74" ht="22.5" customHeight="1">
      <c r="A74" s="3">
        <v>73.0</v>
      </c>
      <c r="B74" s="4" t="s">
        <v>1623</v>
      </c>
      <c r="C74" s="4" t="s">
        <v>1624</v>
      </c>
      <c r="D74" s="4" t="s">
        <v>1625</v>
      </c>
      <c r="E74" s="4" t="s">
        <v>1626</v>
      </c>
      <c r="G74" s="5" t="str">
        <f>IFERROR(__xludf.DUMMYFUNCTION("GOOGLETRANSLATE(A74, ""en"", ""fr"")"),"73")</f>
        <v>73</v>
      </c>
      <c r="H74" s="5" t="str">
        <f>IFERROR(__xludf.DUMMYFUNCTION("GOOGLETRANSLATE(B74, ""en"", ""fr"")"),"Une équipe de dresseurs de taureaux travaille contre un taureau particulièrement difficile. Quel est leur objectif principal en tant qu'équipe ?")</f>
        <v>Une équipe de dresseurs de taureaux travaille contre un taureau particulièrement difficile. Quel est leur objectif principal en tant qu'équipe ?</v>
      </c>
      <c r="I74" s="5" t="str">
        <f>IFERROR(__xludf.DUMMYFUNCTION("GOOGLETRANSLATE(C74, ""en"", ""fr"")"),"A) Fatiguer le taureau par des courses coordonnées, le forçant à commettre une erreur, B) N'envoyer que leur meilleur éleveur le charger, C) Essayer de coincer le taureau, D) Demander un autre taureau")</f>
        <v>A) Fatiguer le taureau par des courses coordonnées, le forçant à commettre une erreur, B) N'envoyer que leur meilleur éleveur le charger, C) Essayer de coincer le taureau, D) Demander un autre taureau</v>
      </c>
      <c r="J74" s="5" t="str">
        <f>IFERROR(__xludf.DUMMYFUNCTION("GOOGLETRANSLATE(D74, ""en"", ""fr"")"),"A) Fatiguer le taureau par des courses coordonnées, le forçant à commettre une erreur")</f>
        <v>A) Fatiguer le taureau par des courses coordonnées, le forçant à commettre une erreur</v>
      </c>
      <c r="K74" s="5" t="str">
        <f>IFERROR(__xludf.DUMMYFUNCTION("GOOGLETRANSLATE(E74, ""en"", ""fr"")"),"Une stratégie d'équipe clé contre un grand taureau consiste à utiliser une série de rasets implacables et bien exécutés pour user progressivement sa défense.")</f>
        <v>Une stratégie d'équipe clé contre un grand taureau consiste à utiliser une série de rasets implacables et bien exécutés pour user progressivement sa défense.</v>
      </c>
    </row>
    <row r="75" ht="22.5" customHeight="1">
      <c r="A75" s="3">
        <v>74.0</v>
      </c>
      <c r="B75" s="4" t="s">
        <v>1627</v>
      </c>
      <c r="C75" s="4" t="s">
        <v>1628</v>
      </c>
      <c r="D75" s="4" t="s">
        <v>1629</v>
      </c>
      <c r="E75" s="4" t="s">
        <v>1630</v>
      </c>
      <c r="G75" s="5" t="str">
        <f>IFERROR(__xludf.DUMMYFUNCTION("GOOGLETRANSLATE(A75, ""en"", ""fr"")"),"74")</f>
        <v>74</v>
      </c>
      <c r="H75" s="5" t="str">
        <f>IFERROR(__xludf.DUMMYFUNCTION("GOOGLETRANSLATE(B75, ""en"", ""fr"")"),"Quelle est la décision à prendre si la corne d'un taureau se casse pendant la course (un événement rare) ?")</f>
        <v>Quelle est la décision à prendre si la corne d'un taureau se casse pendant la course (un événement rare) ?</v>
      </c>
      <c r="I75" s="5" t="str">
        <f>IFERROR(__xludf.DUMMYFUNCTION("GOOGLETRANSLATE(C75, ""en"", ""fr"")"),"A) La course est immédiatement arrêtée pour la sécurité du taureau. B) La course continue. C) Les ravisseurs peuvent emporter la corne cassée comme trophée. D) L'éleveur est condamné à une amende.")</f>
        <v>A) La course est immédiatement arrêtée pour la sécurité du taureau. B) La course continue. C) Les ravisseurs peuvent emporter la corne cassée comme trophée. D) L'éleveur est condamné à une amende.</v>
      </c>
      <c r="J75" s="5" t="str">
        <f>IFERROR(__xludf.DUMMYFUNCTION("GOOGLETRANSLATE(D75, ""en"", ""fr"")"),"A) La course est immédiatement arrêtée pour la sécurité du taureau.")</f>
        <v>A) La course est immédiatement arrêtée pour la sécurité du taureau.</v>
      </c>
      <c r="K75" s="5" t="str">
        <f>IFERROR(__xludf.DUMMYFUNCTION("GOOGLETRANSLATE(E75, ""en"", ""fr"")"),"Les cornes du taureau constituent son arme principale et une source de fierté. Toute blessure grave, comme une corne cassée, entraîne un arrêt immédiat du combat.")</f>
        <v>Les cornes du taureau constituent son arme principale et une source de fierté. Toute blessure grave, comme une corne cassée, entraîne un arrêt immédiat du combat.</v>
      </c>
    </row>
    <row r="76" ht="22.5" customHeight="1">
      <c r="A76" s="3">
        <v>75.0</v>
      </c>
      <c r="B76" s="4" t="s">
        <v>1631</v>
      </c>
      <c r="C76" s="4" t="s">
        <v>1632</v>
      </c>
      <c r="D76" s="4" t="s">
        <v>1633</v>
      </c>
      <c r="E76" s="4" t="s">
        <v>1634</v>
      </c>
      <c r="G76" s="5" t="str">
        <f>IFERROR(__xludf.DUMMYFUNCTION("GOOGLETRANSLATE(A76, ""en"", ""fr"")"),"75")</f>
        <v>75</v>
      </c>
      <c r="H76" s="5" t="str">
        <f>IFERROR(__xludf.DUMMYFUNCTION("GOOGLETRANSLATE(B76, ""en"", ""fr"")"),"Un arquebusier prend une glande, mais il est constaté qu'il a utilisé sa main libre pour repousser la tête du taureau. Quelle est la décision ?")</f>
        <v>Un arquebusier prend une glande, mais il est constaté qu'il a utilisé sa main libre pour repousser la tête du taureau. Quelle est la décision ?</v>
      </c>
      <c r="I76" s="5" t="str">
        <f>IFERROR(__xludf.DUMMYFUNCTION("GOOGLETRANSLATE(C76, ""en"", ""fr"")"),"A) Le point est valide, B) Le point est annulé pour contact illégal de la main, C) Le razeteur est averti, D) Le point est rejoué")</f>
        <v>A) Le point est valide, B) Le point est annulé pour contact illégal de la main, C) Le razeteur est averti, D) Le point est rejoué</v>
      </c>
      <c r="J76" s="5" t="str">
        <f>IFERROR(__xludf.DUMMYFUNCTION("GOOGLETRANSLATE(D76, ""en"", ""fr"")"),"B) Le score est annulé en raison du contact illégal de la main")</f>
        <v>B) Le score est annulé en raison du contact illégal de la main</v>
      </c>
      <c r="K76" s="5" t="str">
        <f>IFERROR(__xludf.DUMMYFUNCTION("GOOGLETRANSLATE(E76, ""en"", ""fr"")"),"Repousser le taureau avec la main libre constitue une faute grave qui donne au coureur un avantage illégal et invalide le score.")</f>
        <v>Repousser le taureau avec la main libre constitue une faute grave qui donne au coureur un avantage illégal et invalide le score.</v>
      </c>
    </row>
    <row r="77" ht="22.5" customHeight="1">
      <c r="A77" s="3">
        <v>76.0</v>
      </c>
      <c r="B77" s="4" t="s">
        <v>1635</v>
      </c>
      <c r="C77" s="4" t="s">
        <v>1636</v>
      </c>
      <c r="D77" s="4" t="s">
        <v>1637</v>
      </c>
      <c r="E77" s="4" t="s">
        <v>1638</v>
      </c>
      <c r="G77" s="5" t="str">
        <f>IFERROR(__xludf.DUMMYFUNCTION("GOOGLETRANSLATE(A77, ""en"", ""fr"")"),"76")</f>
        <v>76</v>
      </c>
      <c r="H77" s="5" t="str">
        <f>IFERROR(__xludf.DUMMYFUNCTION("GOOGLETRANSLATE(B77, ""en"", ""fr"")"),"Qu'est-ce qu'un ""biòu de l'avenir"" ?")</f>
        <v>Qu'est-ce qu'un "biòu de l'avenir" ?</v>
      </c>
      <c r="I77" s="5" t="str">
        <f>IFERROR(__xludf.DUMMYFUNCTION("GOOGLETRANSLATE(C77, ""en"", ""fr"")"),"A) Un taureau champion retraité, B) Un jeune taureau prometteur, C) Le taureau lauréat du Biòu d'Or, D) Un taureau à vendre")</f>
        <v>A) Un taureau champion retraité, B) Un jeune taureau prometteur, C) Le taureau lauréat du Biòu d'Or, D) Un taureau à vendre</v>
      </c>
      <c r="J77" s="5" t="str">
        <f>IFERROR(__xludf.DUMMYFUNCTION("GOOGLETRANSLATE(D77, ""en"", ""fr"")"),"B) Un jeune taureau ayant le potentiel de devenir un futur champion")</f>
        <v>B) Un jeune taureau ayant le potentiel de devenir un futur champion</v>
      </c>
      <c r="K77" s="5" t="str">
        <f>IFERROR(__xludf.DUMMYFUNCTION("GOOGLETRANSLATE(E77, ""en"", ""fr"")"),"Ce « taureau du futur » est un jeune animal très prometteur en ce début de carrière.")</f>
        <v>Ce « taureau du futur » est un jeune animal très prometteur en ce début de carrière.</v>
      </c>
    </row>
    <row r="78" ht="22.5" customHeight="1">
      <c r="A78" s="3">
        <v>77.0</v>
      </c>
      <c r="B78" s="4" t="s">
        <v>1639</v>
      </c>
      <c r="C78" s="4" t="s">
        <v>1640</v>
      </c>
      <c r="D78" s="4" t="s">
        <v>1641</v>
      </c>
      <c r="E78" s="4" t="s">
        <v>1642</v>
      </c>
      <c r="G78" s="5" t="str">
        <f>IFERROR(__xludf.DUMMYFUNCTION("GOOGLETRANSLATE(A78, ""en"", ""fr"")"),"77")</f>
        <v>77</v>
      </c>
      <c r="H78" s="5" t="str">
        <f>IFERROR(__xludf.DUMMYFUNCTION("GOOGLETRANSLATE(B78, ""en"", ""fr"")"),"Un razeteur est pénalisé pour un raset rasant (pâturage raset). Qu'est-ce que cela signifie ?")</f>
        <v>Un razeteur est pénalisé pour un raset rasant (pâturage raset). Qu'est-ce que cela signifie ?</v>
      </c>
      <c r="I78" s="5" t="str">
        <f>IFERROR(__xludf.DUMMYFUNCTION("GOOGLETRANSLATE(C78, ""en"", ""fr"")"),"A) La course était trop près du taureau, B) La course était trop loin du taureau, C) Le lanceur n'a pas couru assez vite, D) Le lanceur a frôlé le taureau avec son corps")</f>
        <v>A) La course était trop près du taureau, B) La course était trop loin du taureau, C) Le lanceur n'a pas couru assez vite, D) Le lanceur a frôlé le taureau avec son corps</v>
      </c>
      <c r="J78" s="5" t="str">
        <f>IFERROR(__xludf.DUMMYFUNCTION("GOOGLETRANSLATE(D78, ""en"", ""fr"")"),"A) La course était trop près du taureau")</f>
        <v>A) La course était trop près du taureau</v>
      </c>
      <c r="K78" s="5" t="str">
        <f>IFERROR(__xludf.DUMMYFUNCTION("GOOGLETRANSLATE(E78, ""en"", ""fr"")"),"Un cavalier doit maintenir une certaine distance. Une course si proche que le corps du cavalier effleure le taureau est considérée comme une faute, signe d'une mauvaise exécution.")</f>
        <v>Un cavalier doit maintenir une certaine distance. Une course si proche que le corps du cavalier effleure le taureau est considérée comme une faute, signe d'une mauvaise exécution.</v>
      </c>
    </row>
    <row r="79" ht="22.5" customHeight="1">
      <c r="A79" s="3">
        <v>78.0</v>
      </c>
      <c r="B79" s="4" t="s">
        <v>1643</v>
      </c>
      <c r="C79" s="4" t="s">
        <v>1644</v>
      </c>
      <c r="D79" s="4" t="s">
        <v>1645</v>
      </c>
      <c r="E79" s="4" t="s">
        <v>1646</v>
      </c>
      <c r="G79" s="5" t="str">
        <f>IFERROR(__xludf.DUMMYFUNCTION("GOOGLETRANSLATE(A79, ""en"", ""fr"")"),"78")</f>
        <v>78</v>
      </c>
      <c r="H79" s="5" t="str">
        <f>IFERROR(__xludf.DUMMYFUNCTION("GOOGLETRANSLATE(B79, ""en"", ""fr"")"),"Pourquoi les taureaux d'une course importante sont-ils choisis des semaines, voire des mois, à l'avance ?")</f>
        <v>Pourquoi les taureaux d'une course importante sont-ils choisis des semaines, voire des mois, à l'avance ?</v>
      </c>
      <c r="I79" s="5" t="str">
        <f>IFERROR(__xludf.DUMMYFUNCTION("GOOGLETRANSLATE(C79, ""en"", ""fr"")"),"A) Pour leur laisser le temps de s'entraîner, B) Pour permettre la commercialisation et la promotion de la course grâce aux noms des taureaux célèbres, C) Pour leur donner un régime alimentaire spécial, D) Pour garantir leur disponibilité")</f>
        <v>A) Pour leur laisser le temps de s'entraîner, B) Pour permettre la commercialisation et la promotion de la course grâce aux noms des taureaux célèbres, C) Pour leur donner un régime alimentaire spécial, D) Pour garantir leur disponibilité</v>
      </c>
      <c r="J79" s="5" t="str">
        <f>IFERROR(__xludf.DUMMYFUNCTION("GOOGLETRANSLATE(D79, ""en"", ""fr"")"),"B) Pour permettre la commercialisation et la promotion de la course en utilisant les noms des taureaux célèbres")</f>
        <v>B) Pour permettre la commercialisation et la promotion de la course en utilisant les noms des taureaux célèbres</v>
      </c>
      <c r="K79" s="5" t="str">
        <f>IFERROR(__xludf.DUMMYFUNCTION("GOOGLETRANSLATE(E79, ""en"", ""fr"")"),"Les taureaux sont les vedettes. Annoncer la liste des célèbres cocardiers est le principal moyen d'attirer les spectateurs à une grande course.")</f>
        <v>Les taureaux sont les vedettes. Annoncer la liste des célèbres cocardiers est le principal moyen d'attirer les spectateurs à une grande course.</v>
      </c>
    </row>
    <row r="80" ht="22.5" customHeight="1">
      <c r="A80" s="3">
        <v>79.0</v>
      </c>
      <c r="B80" s="4" t="s">
        <v>1647</v>
      </c>
      <c r="C80" s="4" t="s">
        <v>1648</v>
      </c>
      <c r="D80" s="4" t="s">
        <v>1649</v>
      </c>
      <c r="E80" s="4" t="s">
        <v>1650</v>
      </c>
      <c r="G80" s="5" t="str">
        <f>IFERROR(__xludf.DUMMYFUNCTION("GOOGLETRANSLATE(A80, ""en"", ""fr"")"),"79")</f>
        <v>79</v>
      </c>
      <c r="H80" s="5" t="str">
        <f>IFERROR(__xludf.DUMMYFUNCTION("GOOGLETRANSLATE(B80, ""en"", ""fr"")"),"Un taureau s'apprête à lancer un taureau. Un tourteur se place directement sur son passage, le forçant à faire demi-tour. Est-ce légal ?")</f>
        <v>Un taureau s'apprête à lancer un taureau. Un tourteur se place directement sur son passage, le forçant à faire demi-tour. Est-ce légal ?</v>
      </c>
      <c r="I80" s="5" t="str">
        <f>IFERROR(__xludf.DUMMYFUNCTION("GOOGLETRANSLATE(C80, ""en"", ""fr"")"),"A) Oui, c'est le rôle du tourneur. B) Non, un tourneur peut seulement attirer l'attention du taureau, il ne peut pas la bloquer physiquement. C) Seulement si le taureau est passif. D) Seulement si le tourneur est en danger.")</f>
        <v>A) Oui, c'est le rôle du tourneur. B) Non, un tourneur peut seulement attirer l'attention du taureau, il ne peut pas la bloquer physiquement. C) Seulement si le taureau est passif. D) Seulement si le tourneur est en danger.</v>
      </c>
      <c r="J80" s="5" t="str">
        <f>IFERROR(__xludf.DUMMYFUNCTION("GOOGLETRANSLATE(D80, ""en"", ""fr"")"),"B) Non, un tourteur peut seulement attirer l'attention du taureau, il ne peut pas le bloquer physiquement.")</f>
        <v>B) Non, un tourteur peut seulement attirer l'attention du taureau, il ne peut pas le bloquer physiquement.</v>
      </c>
      <c r="K80" s="5" t="str">
        <f>IFERROR(__xludf.DUMMYFUNCTION("GOOGLETRANSLATE(E80, ""en"", ""fr"")"),"Un tourteur utilise ses mouvements et sa voix pour attirer l'attention du taureau. Utiliser son corps comme barrière physique constitue une forme d'obstruction illégale.")</f>
        <v>Un tourteur utilise ses mouvements et sa voix pour attirer l'attention du taureau. Utiliser son corps comme barrière physique constitue une forme d'obstruction illégale.</v>
      </c>
    </row>
    <row r="81" ht="22.5" customHeight="1">
      <c r="A81" s="3">
        <v>80.0</v>
      </c>
      <c r="B81" s="4" t="s">
        <v>1696</v>
      </c>
      <c r="C81" s="4" t="s">
        <v>1697</v>
      </c>
      <c r="D81" s="4" t="s">
        <v>1698</v>
      </c>
      <c r="E81" s="4" t="s">
        <v>1699</v>
      </c>
      <c r="G81" s="5" t="str">
        <f>IFERROR(__xludf.DUMMYFUNCTION("GOOGLETRANSLATE(A81, ""en"", ""fr"")"),"80")</f>
        <v>80</v>
      </c>
      <c r="H81" s="5" t="str">
        <f>IFERROR(__xludf.DUMMYFUNCTION("GOOGLETRANSLATE(B81, ""en"", ""fr"")"),"Quelle est la principale raison pour laquelle un razeteur doit avoir une excellente condition cardiovasculaire ?")</f>
        <v>Quelle est la principale raison pour laquelle un razeteur doit avoir une excellente condition cardiovasculaire ?</v>
      </c>
      <c r="I81" s="5" t="str">
        <f>IFERROR(__xludf.DUMMYFUNCTION("GOOGLETRANSLATE(C81, ""en"", ""fr"")"),"A) Être capable de courir à pied, B) Ce sport exige des sprints explosifs répétés et des sauts acrobatiques pendant 15 minutes, C) Être capable de retenir sa respiration longtemps, D) Ce n'est pas important")</f>
        <v>A) Être capable de courir à pied, B) Ce sport exige des sprints explosifs répétés et des sauts acrobatiques pendant 15 minutes, C) Être capable de retenir sa respiration longtemps, D) Ce n'est pas important</v>
      </c>
      <c r="J81" s="5" t="str">
        <f>IFERROR(__xludf.DUMMYFUNCTION("GOOGLETRANSLATE(D81, ""en"", ""fr"")"),"B) Ce sport exige des sprints explosifs répétés et des sauts acrobatiques pendant 15 minutes.")</f>
        <v>B) Ce sport exige des sprints explosifs répétés et des sauts acrobatiques pendant 15 minutes.</v>
      </c>
      <c r="K81" s="5" t="str">
        <f>IFERROR(__xludf.DUMMYFUNCTION("GOOGLETRANSLATE(E81, ""en"", ""fr"")"),"Les exigences physiques de ce sport sont extrêmement élevées, nécessitant l'endurance d'un athlète d'athlétisme.")</f>
        <v>Les exigences physiques de ce sport sont extrêmement élevées, nécessitant l'endurance d'un athlète d'athlétisme.</v>
      </c>
    </row>
    <row r="82" ht="22.5" customHeight="1">
      <c r="A82" s="3">
        <v>81.0</v>
      </c>
      <c r="B82" s="4" t="s">
        <v>1700</v>
      </c>
      <c r="C82" s="4" t="s">
        <v>1701</v>
      </c>
      <c r="D82" s="4" t="s">
        <v>1702</v>
      </c>
      <c r="E82" s="4" t="s">
        <v>1703</v>
      </c>
      <c r="G82" s="5" t="str">
        <f>IFERROR(__xludf.DUMMYFUNCTION("GOOGLETRANSLATE(A82, ""en"", ""fr"")"),"81")</f>
        <v>81</v>
      </c>
      <c r="H82" s="5" t="str">
        <f>IFERROR(__xludf.DUMMYFUNCTION("GOOGLETRANSLATE(B82, ""en"", ""fr"")"),"Quelle est la décision rendue si un taureau est blessé lors d'une course légale ?")</f>
        <v>Quelle est la décision rendue si un taureau est blessé lors d'une course légale ?</v>
      </c>
      <c r="I82" s="5" t="str">
        <f>IFERROR(__xludf.DUMMYFUNCTION("GOOGLETRANSLATE(C82, ""en"", ""fr"")"),"A) Le taureau est pénalisé, B) Le razeteur remporte automatiquement le point, C) La course est interrompue pour soins médicaux ; aucun point n'est attribué, D) Le razeteur est disqualifié")</f>
        <v>A) Le taureau est pénalisé, B) Le razeteur remporte automatiquement le point, C) La course est interrompue pour soins médicaux ; aucun point n'est attribué, D) Le razeteur est disqualifié</v>
      </c>
      <c r="J82" s="5" t="str">
        <f>IFERROR(__xludf.DUMMYFUNCTION("GOOGLETRANSLATE(D82, ""en"", ""fr"")"),"C) La course est interrompue pour soins médicaux ; aucun point n'est attribué.")</f>
        <v>C) La course est interrompue pour soins médicaux ; aucun point n'est attribué.</v>
      </c>
      <c r="K82" s="5" t="str">
        <f>IFERROR(__xludf.DUMMYFUNCTION("GOOGLETRANSLATE(E82, ""en"", ""fr"")"),"Le risque de blessure est inhérent à ce sport. Si un razeteur se blesse, la course est arrêtée par mesure de sécurité, mais aucun score n'est attribué.")</f>
        <v>Le risque de blessure est inhérent à ce sport. Si un razeteur se blesse, la course est arrêtée par mesure de sécurité, mais aucun score n'est attribué.</v>
      </c>
    </row>
    <row r="83" ht="22.5" customHeight="1">
      <c r="A83" s="3">
        <v>82.0</v>
      </c>
      <c r="B83" s="4" t="s">
        <v>1704</v>
      </c>
      <c r="C83" s="4" t="s">
        <v>1705</v>
      </c>
      <c r="D83" s="4" t="s">
        <v>1706</v>
      </c>
      <c r="E83" s="4" t="s">
        <v>1707</v>
      </c>
      <c r="G83" s="5" t="str">
        <f>IFERROR(__xludf.DUMMYFUNCTION("GOOGLETRANSLATE(A83, ""en"", ""fr"")"),"82")</f>
        <v>82</v>
      </c>
      <c r="H83" s="5" t="str">
        <f>IFERROR(__xludf.DUMMYFUNCTION("GOOGLETRANSLATE(B83, ""en"", ""fr"")"),"Un razeteur est sanctionné pour un « refus de raset ». Qu'est-ce que cela signifie ?")</f>
        <v>Un razeteur est sanctionné pour un « refus de raset ». Qu'est-ce que cela signifie ?</v>
      </c>
      <c r="I83" s="5" t="str">
        <f>IFERROR(__xludf.DUMMYFUNCTION("GOOGLETRANSLATE(C83, ""en"", ""fr"")"),"A) Ils ont refusé d'entrer dans l'arène. B) Ils manifestent de la peur et n'essaient pas de charger le taureau. C) Ils ont refusé d'accepter un prix. D) Ils ont refusé de porter l'uniforme blanc.")</f>
        <v>A) Ils ont refusé d'entrer dans l'arène. B) Ils manifestent de la peur et n'essaient pas de charger le taureau. C) Ils ont refusé d'accepter un prix. D) Ils ont refusé de porter l'uniforme blanc.</v>
      </c>
      <c r="J83" s="5" t="str">
        <f>IFERROR(__xludf.DUMMYFUNCTION("GOOGLETRANSLATE(D83, ""en"", ""fr"")"),"B) Ils manifestent de la peur et n'essaient pas de charger le taureau")</f>
        <v>B) Ils manifestent de la peur et n'essaient pas de charger le taureau</v>
      </c>
      <c r="K83" s="5" t="str">
        <f>IFERROR(__xludf.DUMMYFUNCTION("GOOGLETRANSLATE(E83, ""en"", ""fr"")"),"On attend d'un arpenteur qu'il fasse preuve de courage. S'il refuse systématiquement d'affronter le taureau, le président peut le sanctionner.")</f>
        <v>On attend d'un arpenteur qu'il fasse preuve de courage. S'il refuse systématiquement d'affronter le taureau, le président peut le sanctionner.</v>
      </c>
    </row>
    <row r="84" ht="22.5" customHeight="1">
      <c r="A84" s="3">
        <v>83.0</v>
      </c>
      <c r="B84" s="4" t="s">
        <v>1708</v>
      </c>
      <c r="C84" s="4" t="s">
        <v>1709</v>
      </c>
      <c r="D84" s="4" t="s">
        <v>1710</v>
      </c>
      <c r="E84" s="4" t="s">
        <v>1711</v>
      </c>
      <c r="G84" s="5" t="str">
        <f>IFERROR(__xludf.DUMMYFUNCTION("GOOGLETRANSLATE(A84, ""en"", ""fr"")"),"83")</f>
        <v>83</v>
      </c>
      <c r="H84" s="5" t="str">
        <f>IFERROR(__xludf.DUMMYFUNCTION("GOOGLETRANSLATE(B84, ""en"", ""fr"")"),"On dit qu'un taureau a « vu » un razeteur. Qu'est-ce que cela signifie ?")</f>
        <v>On dit qu'un taureau a « vu » un razeteur. Qu'est-ce que cela signifie ?</v>
      </c>
      <c r="I84" s="5" t="str">
        <f>IFERROR(__xludf.DUMMYFUNCTION("GOOGLETRANSLATE(C84, ""en"", ""fr"")"),"A) Le taureau a une bonne vue. B) Le taureau a repéré un taureau en particulier qui s'apprête à s'élancer et se concentre sur lui. C) Le taureau a peur. D) Le taureau est prêt à quitter l'arène.")</f>
        <v>A) Le taureau a une bonne vue. B) Le taureau a repéré un taureau en particulier qui s'apprête à s'élancer et se concentre sur lui. C) Le taureau a peur. D) Le taureau est prêt à quitter l'arène.</v>
      </c>
      <c r="J84" s="5" t="str">
        <f>IFERROR(__xludf.DUMMYFUNCTION("GOOGLETRANSLATE(D84, ""en"", ""fr"")"),"B) Le taureau a identifié et se concentre sur un razeteur spécifique qui se prépare à courir")</f>
        <v>B) Le taureau a identifié et se concentre sur un razeteur spécifique qui se prépare à courir</v>
      </c>
      <c r="K84" s="5" t="str">
        <f>IFERROR(__xludf.DUMMYFUNCTION("GOOGLETRANSLATE(E84, ""en"", ""fr"")"),"C’est un moment crucial où le taureau concentre toute son attention sur sa cible, préparant ainsi la charge pour le raset.")</f>
        <v>C’est un moment crucial où le taureau concentre toute son attention sur sa cible, préparant ainsi la charge pour le raset.</v>
      </c>
    </row>
    <row r="85" ht="22.5" customHeight="1">
      <c r="A85" s="3">
        <v>84.0</v>
      </c>
      <c r="B85" s="4" t="s">
        <v>1712</v>
      </c>
      <c r="C85" s="4" t="s">
        <v>1713</v>
      </c>
      <c r="D85" s="4" t="s">
        <v>1714</v>
      </c>
      <c r="E85" s="4" t="s">
        <v>1715</v>
      </c>
      <c r="G85" s="5" t="str">
        <f>IFERROR(__xludf.DUMMYFUNCTION("GOOGLETRANSLATE(A85, ""en"", ""fr"")"),"84")</f>
        <v>84</v>
      </c>
      <c r="H85" s="5" t="str">
        <f>IFERROR(__xludf.DUMMYFUNCTION("GOOGLETRANSLATE(B85, ""en"", ""fr"")"),"Quelle est la sanction infligée à un joueur de tournoi qui gêne illégalement le taureau ?")</f>
        <v>Quelle est la sanction infligée à un joueur de tournoi qui gêne illégalement le taureau ?</v>
      </c>
      <c r="I85" s="5" t="str">
        <f>IFERROR(__xludf.DUMMYFUNCTION("GOOGLETRANSLATE(C85, ""en"", ""fr"")"),"A) Aucune pénalité n'est infligée. B) Le tourteur est averti ou pénalisé, et tout point marqué est annulé. C) Le razeteur est pénalisé. D) Le taureau bénéficie d'un repos.")</f>
        <v>A) Aucune pénalité n'est infligée. B) Le tourteur est averti ou pénalisé, et tout point marqué est annulé. C) Le razeteur est pénalisé. D) Le taureau bénéficie d'un repos.</v>
      </c>
      <c r="J85" s="5" t="str">
        <f>IFERROR(__xludf.DUMMYFUNCTION("GOOGLETRANSLATE(D85, ""en"", ""fr"")"),"B) Le joueur participant au tournoi est averti ou pénalisé, et tout point marqué est annulé.")</f>
        <v>B) Le joueur participant au tournoi est averti ou pénalisé, et tout point marqué est annulé.</v>
      </c>
      <c r="K85" s="5" t="str">
        <f>IFERROR(__xludf.DUMMYFUNCTION("GOOGLETRANSLATE(E85, ""en"", ""fr"")"),"Les joueurs de tournoi peuvent seulement positionner le taureau, sans intervenir physiquement sur lui. Toute obstruction illégale constitue une faute d'équipe.")</f>
        <v>Les joueurs de tournoi peuvent seulement positionner le taureau, sans intervenir physiquement sur lui. Toute obstruction illégale constitue une faute d'équipe.</v>
      </c>
    </row>
    <row r="86" ht="22.5" customHeight="1">
      <c r="A86" s="3">
        <v>85.0</v>
      </c>
      <c r="B86" s="4" t="s">
        <v>1716</v>
      </c>
      <c r="C86" s="4" t="s">
        <v>1717</v>
      </c>
      <c r="D86" s="4" t="s">
        <v>1188</v>
      </c>
      <c r="E86" s="4" t="s">
        <v>1718</v>
      </c>
      <c r="G86" s="5" t="str">
        <f>IFERROR(__xludf.DUMMYFUNCTION("GOOGLETRANSLATE(A86, ""en"", ""fr"")"),"85")</f>
        <v>85</v>
      </c>
      <c r="H86" s="5" t="str">
        <f>IFERROR(__xludf.DUMMYFUNCTION("GOOGLETRANSLATE(B86, ""en"", ""fr"")"),"Un taureau est retiré de l'arène avant la fin de ses 15 minutes de compétition. Quelle en est la raison la plus probable ?")</f>
        <v>Un taureau est retiré de l'arène avant la fin de ses 15 minutes de compétition. Quelle en est la raison la plus probable ?</v>
      </c>
      <c r="I86" s="5" t="str">
        <f>IFERROR(__xludf.DUMMYFUNCTION("GOOGLETRANSLATE(C86, ""en"", ""fr"")"),"A) Il a perdu toutes ses capacités, B) Il présente des signes de blessure ou de fatigue excessive, C) Il n'est pas assez agressif, D) B et C")</f>
        <v>A) Il a perdu toutes ses capacités, B) Il présente des signes de blessure ou de fatigue excessive, C) Il n'est pas assez agressif, D) B et C</v>
      </c>
      <c r="J86" s="5" t="str">
        <f>IFERROR(__xludf.DUMMYFUNCTION("GOOGLETRANSLATE(D86, ""en"", ""fr"")"),"D) B et C")</f>
        <v>D) B et C</v>
      </c>
      <c r="K86" s="5" t="str">
        <f>IFERROR(__xludf.DUMMYFUNCTION("GOOGLETRANSLATE(E86, ""en"", ""fr"")"),"La vie d'un taureau peut être écourtée pour son propre bien-être s'il est blessé, ou s'il ne participe pas au combat et ne livre pas une compétition satisfaisante.")</f>
        <v>La vie d'un taureau peut être écourtée pour son propre bien-être s'il est blessé, ou s'il ne participe pas au combat et ne livre pas une compétition satisfaisante.</v>
      </c>
    </row>
    <row r="87" ht="22.5" customHeight="1">
      <c r="A87" s="3">
        <v>86.0</v>
      </c>
      <c r="B87" s="4" t="s">
        <v>1719</v>
      </c>
      <c r="C87" s="4" t="s">
        <v>1720</v>
      </c>
      <c r="D87" s="4" t="s">
        <v>1721</v>
      </c>
      <c r="E87" s="4" t="s">
        <v>1722</v>
      </c>
      <c r="G87" s="5" t="str">
        <f>IFERROR(__xludf.DUMMYFUNCTION("GOOGLETRANSLATE(A87, ""en"", ""fr"")"),"86")</f>
        <v>86</v>
      </c>
      <c r="H87" s="5" t="str">
        <f>IFERROR(__xludf.DUMMYFUNCTION("GOOGLETRANSLATE(B87, ""en"", ""fr"")"),"Un razeteur prend la cocarde, mais l'arbitre déclare que le raset était « boulevardié ». Que signifie cette faute ?")</f>
        <v>Un razeteur prend la cocarde, mais l'arbitre déclare que le raset était « boulevardié ». Que signifie cette faute ?</v>
      </c>
      <c r="I87" s="5" t="str">
        <f>IFERROR(__xludf.DUMMYFUNCTION("GOOGLETRANSLATE(C87, ""en"", ""fr"")"),"A) La course était trop droite et ne formait pas une courbe correcte. B) Le lanceur a couru hors de l'arène. C) La course était trop lente. D) La course était trop rapide.")</f>
        <v>A) La course était trop droite et ne formait pas une courbe correcte. B) Le lanceur a couru hors de l'arène. C) La course était trop lente. D) La course était trop rapide.</v>
      </c>
      <c r="J87" s="5" t="str">
        <f>IFERROR(__xludf.DUMMYFUNCTION("GOOGLETRANSLATE(D87, ""en"", ""fr"")"),"A) La piste était trop droite et non pas une courbe appropriée.")</f>
        <v>A) La piste était trop droite et non pas une courbe appropriée.</v>
      </c>
      <c r="K87" s="5" t="str">
        <f>IFERROR(__xludf.DUMMYFUNCTION("GOOGLETRANSLATE(E87, ""en"", ""fr"")"),"Un tracé légal doit comporter une courbe distincte. Un tracé en ligne droite constitue un raccourci illégal et les points marqués sont annulés.")</f>
        <v>Un tracé légal doit comporter une courbe distincte. Un tracé en ligne droite constitue un raccourci illégal et les points marqués sont annulés.</v>
      </c>
    </row>
    <row r="88" ht="22.5" customHeight="1">
      <c r="A88" s="3">
        <v>87.0</v>
      </c>
      <c r="B88" s="4" t="s">
        <v>1723</v>
      </c>
      <c r="C88" s="4" t="s">
        <v>1724</v>
      </c>
      <c r="D88" s="4" t="s">
        <v>1481</v>
      </c>
      <c r="E88" s="4" t="s">
        <v>1725</v>
      </c>
      <c r="G88" s="5" t="str">
        <f>IFERROR(__xludf.DUMMYFUNCTION("GOOGLETRANSLATE(A88, ""en"", ""fr"")"),"87")</f>
        <v>87</v>
      </c>
      <c r="H88" s="5" t="str">
        <f>IFERROR(__xludf.DUMMYFUNCTION("GOOGLETRANSLATE(B88, ""en"", ""fr"")"),"Quelle est la principale raison pour laquelle les pantalons blancs des razéteurs sont si moulants ?")</f>
        <v>Quelle est la principale raison pour laquelle les pantalons blancs des razéteurs sont si moulants ?</v>
      </c>
      <c r="I88" s="5" t="str">
        <f>IFERROR(__xludf.DUMMYFUNCTION("GOOGLETRANSLATE(C88, ""en"", ""fr"")"),"A) C'est une mode moderne, B) Pour éviter que la corne du taureau ne se prenne dans le tissu, C) Pour mettre en valeur les muscles du taureau, D) Pour améliorer l'aérodynamisme")</f>
        <v>A) C'est une mode moderne, B) Pour éviter que la corne du taureau ne se prenne dans le tissu, C) Pour mettre en valeur les muscles du taureau, D) Pour améliorer l'aérodynamisme</v>
      </c>
      <c r="J88" s="5" t="str">
        <f>IFERROR(__xludf.DUMMYFUNCTION("GOOGLETRANSLATE(D88, ""en"", ""fr"")"),"B) Pour éviter que la corne du taureau ne se prenne dans les tissus lâches")</f>
        <v>B) Pour éviter que la corne du taureau ne se prenne dans les tissus lâches</v>
      </c>
      <c r="K88" s="5" t="str">
        <f>IFERROR(__xludf.DUMMYFUNCTION("GOOGLETRANSLATE(E88, ""en"", ""fr"")"),"Il s'agit d'un élément de sécurité essentiel de l'uniforme, minimisant le risque qu'un klaxon se prenne dans les vêtements.")</f>
        <v>Il s'agit d'un élément de sécurité essentiel de l'uniforme, minimisant le risque qu'un klaxon se prenne dans les vêtements.</v>
      </c>
    </row>
    <row r="89" ht="22.5" customHeight="1">
      <c r="A89" s="3">
        <v>88.0</v>
      </c>
      <c r="B89" s="4" t="s">
        <v>1483</v>
      </c>
      <c r="C89" s="4" t="s">
        <v>1726</v>
      </c>
      <c r="D89" s="4" t="s">
        <v>1727</v>
      </c>
      <c r="E89" s="4" t="s">
        <v>1728</v>
      </c>
      <c r="G89" s="5" t="str">
        <f>IFERROR(__xludf.DUMMYFUNCTION("GOOGLETRANSLATE(A89, ""en"", ""fr"")"),"88")</f>
        <v>88</v>
      </c>
      <c r="H89" s="5" t="str">
        <f>IFERROR(__xludf.DUMMYFUNCTION("GOOGLETRANSLATE(B89, ""en"", ""fr"")"),"Un razeteur réussit à extraire la dernière corde (fielle) d'une corne de taureau. Que se passe-t-il ensuite ?")</f>
        <v>Un razeteur réussit à extraire la dernière corde (fielle) d'une corne de taureau. Que se passe-t-il ensuite ?</v>
      </c>
      <c r="I89" s="5" t="str">
        <f>IFERROR(__xludf.DUMMYFUNCTION("GOOGLETRANSLATE(C89, ""en"", ""fr"")"),"A) Le taureau est immédiatement remis dans l'arène, même si ses 15 minutes ne sont pas écoulées. B) De nouveaux attributs sont attribués au taureau. C) Le dresseur remporte la course. D) Le taureau bénéficie d'un repos.")</f>
        <v>A) Le taureau est immédiatement remis dans l'arène, même si ses 15 minutes ne sont pas écoulées. B) De nouveaux attributs sont attribués au taureau. C) Le dresseur remporte la course. D) Le taureau bénéficie d'un repos.</v>
      </c>
      <c r="J89" s="5" t="str">
        <f>IFERROR(__xludf.DUMMYFUNCTION("GOOGLETRANSLATE(D89, ""en"", ""fr"")"),"A) Le taureau est immédiatement remis dans l'arène, même si ses 15 minutes ne sont pas écoulées.")</f>
        <v>A) Le taureau est immédiatement remis dans l'arène, même si ses 15 minutes ne sont pas écoulées.</v>
      </c>
      <c r="K89" s="5" t="str">
        <f>IFERROR(__xludf.DUMMYFUNCTION("GOOGLETRANSLATE(E89, ""en"", ""fr"")"),"Le « travail » du taureau est terminé une fois que tous ses attributs ont été prélevés. On lui rend hommage en musique et on le ramène à son enclos.")</f>
        <v>Le « travail » du taureau est terminé une fois que tous ses attributs ont été prélevés. On lui rend hommage en musique et on le ramène à son enclos.</v>
      </c>
    </row>
    <row r="90" ht="22.5" customHeight="1">
      <c r="A90" s="3">
        <v>89.0</v>
      </c>
      <c r="B90" s="4" t="s">
        <v>1487</v>
      </c>
      <c r="C90" s="4" t="s">
        <v>1488</v>
      </c>
      <c r="D90" s="4" t="s">
        <v>1729</v>
      </c>
      <c r="E90" s="4" t="s">
        <v>1490</v>
      </c>
      <c r="G90" s="5" t="str">
        <f>IFERROR(__xludf.DUMMYFUNCTION("GOOGLETRANSLATE(A90, ""en"", ""fr"")"),"89")</f>
        <v>89</v>
      </c>
      <c r="H90" s="5" t="str">
        <f>IFERROR(__xludf.DUMMYFUNCTION("GOOGLETRANSLATE(B90, ""en"", ""fr"")"),"À quoi servent les lignes blanches peintes sur la piste de l'arène ?")</f>
        <v>À quoi servent les lignes blanches peintes sur la piste de l'arène ?</v>
      </c>
      <c r="I90" s="5" t="str">
        <f>IFERROR(__xludf.DUMMYFUNCTION("GOOGLETRANSLATE(C90, ""en"", ""fr"")"),"A) Elles servent à la décoration, B) Elles aident les dresseurs à évaluer la distance et la position par rapport au taureau, C) Elles délimitent le périmètre du taureau, D) Ce sont des lignes de service")</f>
        <v>A) Elles servent à la décoration, B) Elles aident les dresseurs à évaluer la distance et la position par rapport au taureau, C) Elles délimitent le périmètre du taureau, D) Ce sont des lignes de service</v>
      </c>
      <c r="J90" s="5" t="str">
        <f>IFERROR(__xludf.DUMMYFUNCTION("GOOGLETRANSLATE(D90, ""en"", ""fr"")"),"B) Ils aident le razeteur à évaluer leur distance et leur position par rapport au taureau.")</f>
        <v>B) Ils aident le razeteur à évaluer leur distance et leur position par rapport au taureau.</v>
      </c>
      <c r="K90" s="5" t="str">
        <f>IFERROR(__xludf.DUMMYFUNCTION("GOOGLETRANSLATE(E90, ""en"", ""fr"")"),"Ces lignes servent de repère visuel aux razeteurs pour les aider à synchroniser leur course et leur saut vers la barrière.")</f>
        <v>Ces lignes servent de repère visuel aux razeteurs pour les aider à synchroniser leur course et leur saut vers la barrière.</v>
      </c>
    </row>
    <row r="91" ht="22.5" customHeight="1">
      <c r="A91" s="3">
        <v>90.0</v>
      </c>
      <c r="B91" s="4" t="s">
        <v>1491</v>
      </c>
      <c r="C91" s="4" t="s">
        <v>1492</v>
      </c>
      <c r="D91" s="4" t="s">
        <v>1493</v>
      </c>
      <c r="E91" s="4" t="s">
        <v>1494</v>
      </c>
      <c r="G91" s="5" t="str">
        <f>IFERROR(__xludf.DUMMYFUNCTION("GOOGLETRANSLATE(A91, ""en"", ""fr"")"),"90")</f>
        <v>90</v>
      </c>
      <c r="H91" s="5" t="str">
        <f>IFERROR(__xludf.DUMMYFUNCTION("GOOGLETRANSLATE(B91, ""en"", ""fr"")"),"Un taureau a la réputation d'être un « sauteur ». Qu'est-ce que cela signifie ?")</f>
        <v>Un taureau a la réputation d'être un « sauteur ». Qu'est-ce que cela signifie ?</v>
      </c>
      <c r="I91" s="5" t="str">
        <f>IFERROR(__xludf.DUMMYFUNCTION("GOOGLETRANSLATE(C91, ""en"", ""fr"")"),"A) Il est très énergique, B) Il a l'habitude de sauter la barrière à la poursuite des razeteurs, C) Il saute par-dessus les razeteurs, D) C'est un jeune taureau")</f>
        <v>A) Il est très énergique, B) Il a l'habitude de sauter la barrière à la poursuite des razeteurs, C) Il saute par-dessus les razeteurs, D) C'est un jeune taureau</v>
      </c>
      <c r="J91" s="5" t="str">
        <f>IFERROR(__xludf.DUMMYFUNCTION("GOOGLETRANSLATE(D91, ""en"", ""fr"")"),"B) Elle a la fâcheuse habitude de franchir la barrière à la poursuite des razeteurs")</f>
        <v>B) Elle a la fâcheuse habitude de franchir la barrière à la poursuite des razeteurs</v>
      </c>
      <c r="K91" s="5" t="str">
        <f>IFERROR(__xludf.DUMMYFUNCTION("GOOGLETRANSLATE(E91, ""en"", ""fr"")"),"C'est une caractéristique qui rend le taureau à la fois dangereux et extrêmement spectaculaire, et qui le rend très populaire auprès du public.")</f>
        <v>C'est une caractéristique qui rend le taureau à la fois dangereux et extrêmement spectaculaire, et qui le rend très populaire auprès du public.</v>
      </c>
    </row>
    <row r="92" ht="22.5" customHeight="1">
      <c r="A92" s="3">
        <v>91.0</v>
      </c>
      <c r="B92" s="4" t="s">
        <v>1730</v>
      </c>
      <c r="C92" s="4" t="s">
        <v>1496</v>
      </c>
      <c r="D92" s="4" t="s">
        <v>1497</v>
      </c>
      <c r="E92" s="4" t="s">
        <v>1498</v>
      </c>
      <c r="G92" s="5" t="str">
        <f>IFERROR(__xludf.DUMMYFUNCTION("GOOGLETRANSLATE(A92, ""en"", ""fr"")"),"91")</f>
        <v>91</v>
      </c>
      <c r="H92" s="5" t="str">
        <f>IFERROR(__xludf.DUMMYFUNCTION("GOOGLETRANSLATE(B92, ""en"", ""fr"")"),"Quelle est la décision rendue si un arracheur saisit la corne du taureau de sa main libre ?")</f>
        <v>Quelle est la décision rendue si un arracheur saisit la corne du taureau de sa main libre ?</v>
      </c>
      <c r="I92" s="5" t="str">
        <f>IFERROR(__xludf.DUMMYFUNCTION("GOOGLETRANSLATE(C92, ""en"", ""fr"")"),"A) C'est une manœuvre légale pour rétablir l'équilibre, B) C'est une faute grave et le razeteur est pénalisé, C) C'est autorisé si le taureau est agressif, D) Le point est rejoué")</f>
        <v>A) C'est une manœuvre légale pour rétablir l'équilibre, B) C'est une faute grave et le razeteur est pénalisé, C) C'est autorisé si le taureau est agressif, D) Le point est rejoué</v>
      </c>
      <c r="J92" s="5" t="str">
        <f>IFERROR(__xludf.DUMMYFUNCTION("GOOGLETRANSLATE(D92, ""en"", ""fr"")"),"B) C'est une faute grave, et le razéteur est sanctionné.")</f>
        <v>B) C'est une faute grave, et le razéteur est sanctionné.</v>
      </c>
      <c r="K92" s="5" t="str">
        <f>IFERROR(__xludf.DUMMYFUNCTION("GOOGLETRANSLATE(E92, ""en"", ""fr"")"),"Il est strictement interdit à un razeteur de toucher le taureau avec quelque partie que ce soit de son corps ou avec sa main libre.")</f>
        <v>Il est strictement interdit à un razeteur de toucher le taureau avec quelque partie que ce soit de son corps ou avec sa main libre.</v>
      </c>
    </row>
    <row r="93" ht="22.5" customHeight="1">
      <c r="A93" s="3">
        <v>92.0</v>
      </c>
      <c r="B93" s="4" t="s">
        <v>1731</v>
      </c>
      <c r="C93" s="4" t="s">
        <v>1732</v>
      </c>
      <c r="D93" s="4" t="s">
        <v>1733</v>
      </c>
      <c r="E93" s="4" t="s">
        <v>1734</v>
      </c>
      <c r="G93" s="5" t="str">
        <f>IFERROR(__xludf.DUMMYFUNCTION("GOOGLETRANSLATE(A93, ""en"", ""fr"")"),"92")</f>
        <v>92</v>
      </c>
      <c r="H93" s="5" t="str">
        <f>IFERROR(__xludf.DUMMYFUNCTION("GOOGLETRANSLATE(B93, ""en"", ""fr"")"),"Quel est le rôle principal du « délégué de la FFCC » (Federation Delegate) lors d'une course ?")</f>
        <v>Quel est le rôle principal du « délégué de la FFCC » (Federation Delegate) lors d'une course ?</v>
      </c>
      <c r="I93" s="5" t="str">
        <f>IFERROR(__xludf.DUMMYFUNCTION("GOOGLETRANSLATE(C93, ""en"", ""fr"")"),"A) Être l'arbitre principal, B) Être le représentant officiel de la fédération, veillant au respect des règles et procédures, C) Être le marqueur, D) Être l'organisateur de l'événement")</f>
        <v>A) Être l'arbitre principal, B) Être le représentant officiel de la fédération, veillant au respect des règles et procédures, C) Être le marqueur, D) Être l'organisateur de l'événement</v>
      </c>
      <c r="J93" s="5" t="str">
        <f>IFERROR(__xludf.DUMMYFUNCTION("GOOGLETRANSLATE(D93, ""en"", ""fr"")"),"B) Être le représentant officiel de la fédération, en veillant à ce que toutes les règles et procédures soient correctement respectées.")</f>
        <v>B) Être le représentant officiel de la fédération, en veillant à ce que toutes les règles et procédures soient correctement respectées.</v>
      </c>
      <c r="K93" s="5" t="str">
        <f>IFERROR(__xludf.DUMMYFUNCTION("GOOGLETRANSLATE(E93, ""en"", ""fr"")"),"Le délégué est la plus haute autorité de l'instance dirigeante, présente pour superviser l'ensemble de l'événement.")</f>
        <v>Le délégué est la plus haute autorité de l'instance dirigeante, présente pour superviser l'ensemble de l'événement.</v>
      </c>
    </row>
    <row r="94" ht="22.5" customHeight="1">
      <c r="A94" s="3">
        <v>93.0</v>
      </c>
      <c r="B94" s="4" t="s">
        <v>1735</v>
      </c>
      <c r="C94" s="4" t="s">
        <v>1736</v>
      </c>
      <c r="D94" s="4" t="s">
        <v>1737</v>
      </c>
      <c r="E94" s="4" t="s">
        <v>1738</v>
      </c>
      <c r="G94" s="5" t="str">
        <f>IFERROR(__xludf.DUMMYFUNCTION("GOOGLETRANSLATE(A94, ""en"", ""fr"")"),"93")</f>
        <v>93</v>
      </c>
      <c r="H94" s="5" t="str">
        <f>IFERROR(__xludf.DUMMYFUNCTION("GOOGLETRANSLATE(B94, ""en"", ""fr"")"),"Un taureau est appelé « cocardier difficile ». Qu'est-ce que cela signifie ?")</f>
        <v>Un taureau est appelé « cocardier difficile ». Qu'est-ce que cela signifie ?</v>
      </c>
      <c r="I94" s="5" t="str">
        <f>IFERROR(__xludf.DUMMYFUNCTION("GOOGLETRANSLATE(C94, ""en"", ""fr"")"),"A) Le taureau est très agressif. B) Le taureau est très intelligent et difficile à tromper, ce qui rend difficile la mémorisation de ses caractéristiques. C) Le taureau est vieux. D) Le taureau refuse de charger.")</f>
        <v>A) Le taureau est très agressif. B) Le taureau est très intelligent et difficile à tromper, ce qui rend difficile la mémorisation de ses caractéristiques. C) Le taureau est vieux. D) Le taureau refuse de charger.</v>
      </c>
      <c r="J94" s="5" t="str">
        <f>IFERROR(__xludf.DUMMYFUNCTION("GOOGLETRANSLATE(D94, ""en"", ""fr"")"),"B) Le taureau est très intelligent et difficile à tromper, ce qui rend difficile la prise de ses attributs")</f>
        <v>B) Le taureau est très intelligent et difficile à tromper, ce qui rend difficile la prise de ses attributs</v>
      </c>
      <c r="K94" s="5" t="str">
        <f>IFERROR(__xludf.DUMMYFUNCTION("GOOGLETRANSLATE(E94, ""en"", ""fr"")"),"Un taureau « difficile » est un taureau intelligent qui défend bien ses atouts, offrant un défi plus grand et un spectacle plus impressionnant.")</f>
        <v>Un taureau « difficile » est un taureau intelligent qui défend bien ses atouts, offrant un défi plus grand et un spectacle plus impressionnant.</v>
      </c>
    </row>
    <row r="95" ht="22.5" customHeight="1">
      <c r="A95" s="3">
        <v>94.0</v>
      </c>
      <c r="B95" s="4" t="s">
        <v>1739</v>
      </c>
      <c r="C95" s="4" t="s">
        <v>1740</v>
      </c>
      <c r="D95" s="4" t="s">
        <v>386</v>
      </c>
      <c r="E95" s="4" t="s">
        <v>1741</v>
      </c>
      <c r="G95" s="5" t="str">
        <f>IFERROR(__xludf.DUMMYFUNCTION("GOOGLETRANSLATE(A95, ""en"", ""fr"")"),"94")</f>
        <v>94</v>
      </c>
      <c r="H95" s="5" t="str">
        <f>IFERROR(__xludf.DUMMYFUNCTION("GOOGLETRANSLATE(B95, ""en"", ""fr"")"),"Quel est le rôle de la barrière en bois peinte en rouge (barricade) ?")</f>
        <v>Quel est le rôle de la barrière en bois peinte en rouge (barricade) ?</v>
      </c>
      <c r="I95" s="5" t="str">
        <f>IFERROR(__xludf.DUMMYFUNCTION("GOOGLETRANSLATE(C95, ""en"", ""fr"")"),"A) Pour maintenir le taureau dans l'arène, B) Pour servir de refuge aux organisateurs, C) Pour séparer les organisateurs de la foule, D) Toutes les réponses ci-dessus")</f>
        <v>A) Pour maintenir le taureau dans l'arène, B) Pour servir de refuge aux organisateurs, C) Pour séparer les organisateurs de la foule, D) Toutes les réponses ci-dessus</v>
      </c>
      <c r="J95" s="5" t="str">
        <f>IFERROR(__xludf.DUMMYFUNCTION("GOOGLETRANSLATE(D95, ""en"", ""fr"")"),"D) Toutes les réponses ci-dessus")</f>
        <v>D) Toutes les réponses ci-dessus</v>
      </c>
      <c r="K95" s="5" t="str">
        <f>IFERROR(__xludf.DUMMYFUNCTION("GOOGLETRANSLATE(E95, ""en"", ""fr"")"),"La barrière remplit toutes ces fonctions : elle contient l'action, sert de voie d'évacuation pour les hommes et protège les spectateurs.")</f>
        <v>La barrière remplit toutes ces fonctions : elle contient l'action, sert de voie d'évacuation pour les hommes et protège les spectateurs.</v>
      </c>
    </row>
    <row r="96" ht="22.5" customHeight="1">
      <c r="A96" s="3">
        <v>95.0</v>
      </c>
      <c r="B96" s="4" t="s">
        <v>1742</v>
      </c>
      <c r="C96" s="4" t="s">
        <v>1743</v>
      </c>
      <c r="D96" s="4" t="s">
        <v>1744</v>
      </c>
      <c r="E96" s="4" t="s">
        <v>1745</v>
      </c>
      <c r="G96" s="5" t="str">
        <f>IFERROR(__xludf.DUMMYFUNCTION("GOOGLETRANSLATE(A96, ""en"", ""fr"")"),"95")</f>
        <v>95</v>
      </c>
      <c r="H96" s="5" t="str">
        <f>IFERROR(__xludf.DUMMYFUNCTION("GOOGLETRANSLATE(B96, ""en"", ""fr"")"),"Quel est le nombre maximal de razeteurs pouvant se trouver simultanément dans le « passage des razeteurs » (l'espace entre les deux barrières) ?")</f>
        <v>Quel est le nombre maximal de razeteurs pouvant se trouver simultanément dans le « passage des razeteurs » (l'espace entre les deux barrières) ?</v>
      </c>
      <c r="I96" s="5" t="str">
        <f>IFERROR(__xludf.DUMMYFUNCTION("GOOGLETRANSLATE(C96, ""en"", ""fr"")"),"A) Un, B) Deux, C) Il n'y a pas de limite, D) Ce n'est pas autorisé")</f>
        <v>A) Un, B) Deux, C) Il n'y a pas de limite, D) Ce n'est pas autorisé</v>
      </c>
      <c r="J96" s="5" t="str">
        <f>IFERROR(__xludf.DUMMYFUNCTION("GOOGLETRANSLATE(D96, ""en"", ""fr"")"),"A) Un")</f>
        <v>A) Un</v>
      </c>
      <c r="K96" s="5" t="str">
        <f>IFERROR(__xludf.DUMMYFUNCTION("GOOGLETRANSLATE(E96, ""en"", ""fr"")"),"Pour des raisons de sécurité, un seul razeteur est autorisé à la fois dans ce couloir étroit.")</f>
        <v>Pour des raisons de sécurité, un seul razeteur est autorisé à la fois dans ce couloir étroit.</v>
      </c>
    </row>
    <row r="97" ht="22.5" customHeight="1">
      <c r="A97" s="3">
        <v>96.0</v>
      </c>
      <c r="B97" s="4" t="s">
        <v>1719</v>
      </c>
      <c r="C97" s="4" t="s">
        <v>1720</v>
      </c>
      <c r="D97" s="4" t="s">
        <v>1721</v>
      </c>
      <c r="E97" s="4" t="s">
        <v>1722</v>
      </c>
      <c r="G97" s="5" t="str">
        <f>IFERROR(__xludf.DUMMYFUNCTION("GOOGLETRANSLATE(A97, ""en"", ""fr"")"),"96")</f>
        <v>96</v>
      </c>
      <c r="H97" s="5" t="str">
        <f>IFERROR(__xludf.DUMMYFUNCTION("GOOGLETRANSLATE(B97, ""en"", ""fr"")"),"Un razeteur prend la cocarde, mais l'arbitre déclare que le raset était « boulevardié ». Que signifie cette faute ?")</f>
        <v>Un razeteur prend la cocarde, mais l'arbitre déclare que le raset était « boulevardié ». Que signifie cette faute ?</v>
      </c>
      <c r="I97" s="5" t="str">
        <f>IFERROR(__xludf.DUMMYFUNCTION("GOOGLETRANSLATE(C97, ""en"", ""fr"")"),"A) La course était trop droite et ne formait pas une courbe correcte. B) Le lanceur a couru hors de l'arène. C) La course était trop lente. D) La course était trop rapide.")</f>
        <v>A) La course était trop droite et ne formait pas une courbe correcte. B) Le lanceur a couru hors de l'arène. C) La course était trop lente. D) La course était trop rapide.</v>
      </c>
      <c r="J97" s="5" t="str">
        <f>IFERROR(__xludf.DUMMYFUNCTION("GOOGLETRANSLATE(D97, ""en"", ""fr"")"),"A) La piste était trop droite et non pas une courbe appropriée.")</f>
        <v>A) La piste était trop droite et non pas une courbe appropriée.</v>
      </c>
      <c r="K97" s="5" t="str">
        <f>IFERROR(__xludf.DUMMYFUNCTION("GOOGLETRANSLATE(E97, ""en"", ""fr"")"),"Un tracé légal doit comporter une courbe distincte. Un tracé en ligne droite constitue un raccourci illégal et les points marqués sont annulés.")</f>
        <v>Un tracé légal doit comporter une courbe distincte. Un tracé en ligne droite constitue un raccourci illégal et les points marqués sont annulés.</v>
      </c>
    </row>
    <row r="98" ht="22.5" customHeight="1">
      <c r="A98" s="3">
        <v>97.0</v>
      </c>
      <c r="B98" s="4" t="s">
        <v>1746</v>
      </c>
      <c r="C98" s="4" t="s">
        <v>1747</v>
      </c>
      <c r="D98" s="4" t="s">
        <v>1748</v>
      </c>
      <c r="E98" s="4" t="s">
        <v>1749</v>
      </c>
      <c r="G98" s="5" t="str">
        <f>IFERROR(__xludf.DUMMYFUNCTION("GOOGLETRANSLATE(A98, ""en"", ""fr"")"),"97")</f>
        <v>97</v>
      </c>
      <c r="H98" s="5" t="str">
        <f>IFERROR(__xludf.DUMMYFUNCTION("GOOGLETRANSLATE(B98, ""en"", ""fr"")"),"Le Course Camarguaise est avant tout un sport qui célèbre la relation entre quels trois éléments ?")</f>
        <v>Le Course Camarguaise est avant tout un sport qui célèbre la relation entre quels trois éléments ?</v>
      </c>
      <c r="I98" s="5" t="str">
        <f>IFERROR(__xludf.DUMMYFUNCTION("GOOGLETRANSLATE(C98, ""en"", ""fr"")"),"A) L'homme, le cheval et la mer, B) Le taureau, le cheval et le gardien, C) Le taureau, le razeteur et le paysage unique de la Camargue, D) Le razeteur, l'arbitre et la foule")</f>
        <v>A) L'homme, le cheval et la mer, B) Le taureau, le cheval et le gardien, C) Le taureau, le razeteur et le paysage unique de la Camargue, D) Le razeteur, l'arbitre et la foule</v>
      </c>
      <c r="J98" s="5" t="str">
        <f>IFERROR(__xludf.DUMMYFUNCTION("GOOGLETRANSLATE(D98, ""en"", ""fr"")"),"C) Le taureau, le razeteur et le paysage unique de la Camargue")</f>
        <v>C) Le taureau, le razeteur et le paysage unique de la Camargue</v>
      </c>
      <c r="K98" s="5" t="str">
        <f>IFERROR(__xludf.DUMMYFUNCTION("GOOGLETRANSLATE(E98, ""en"", ""fr"")"),"Ce sport est l'expression du lien culturel profond qui unit les hommes, les animaux et l'environnement spécifique de la Camargue.")</f>
        <v>Ce sport est l'expression du lien culturel profond qui unit les hommes, les animaux et l'environnement spécifique de la Camargue.</v>
      </c>
    </row>
    <row r="99" ht="22.5" customHeight="1">
      <c r="A99" s="3">
        <v>98.0</v>
      </c>
      <c r="B99" s="4" t="s">
        <v>1750</v>
      </c>
      <c r="C99" s="4" t="s">
        <v>1751</v>
      </c>
      <c r="D99" s="4" t="s">
        <v>1752</v>
      </c>
      <c r="E99" s="4" t="s">
        <v>1753</v>
      </c>
      <c r="G99" s="5" t="str">
        <f>IFERROR(__xludf.DUMMYFUNCTION("GOOGLETRANSLATE(A99, ""en"", ""fr"")"),"98")</f>
        <v>98</v>
      </c>
      <c r="H99" s="5" t="str">
        <f>IFERROR(__xludf.DUMMYFUNCTION("GOOGLETRANSLATE(B99, ""en"", ""fr"")"),"Qu'est-ce que la « Coupe des manadiers » (Breeders' Cup) ?")</f>
        <v>Qu'est-ce que la « Coupe des manadiers » (Breeders' Cup) ?</v>
      </c>
      <c r="I99" s="5" t="str">
        <f>IFERROR(__xludf.DUMMYFUNCTION("GOOGLETRANSLATE(C99, ""en"", ""fr"")"),"A) Une course pour les éleveurs, B) Une compétition où les éleveurs eux-mêmes s'affrontent, C) Un tournoi prestigieux où les troupeaux s'affrontent, D) Une course de chevaux")</f>
        <v>A) Une course pour les éleveurs, B) Une compétition où les éleveurs eux-mêmes s'affrontent, C) Un tournoi prestigieux où les troupeaux s'affrontent, D) Une course de chevaux</v>
      </c>
      <c r="J99" s="5" t="str">
        <f>IFERROR(__xludf.DUMMYFUNCTION("GOOGLETRANSLATE(D99, ""en"", ""fr"")"),"C) Un tournoi prestigieux où les troupeaux (manades) s'affrontent.")</f>
        <v>C) Un tournoi prestigieux où les troupeaux (manades) s'affrontent.</v>
      </c>
      <c r="K99" s="5" t="str">
        <f>IFERROR(__xludf.DUMMYFUNCTION("GOOGLETRANSLATE(E99, ""en"", ""fr"")"),"Il s'agit d'une compétition spéciale où la fierté des différents élevages est en jeu, mettant en valeur la qualité de leurs taureaux.")</f>
        <v>Il s'agit d'une compétition spéciale où la fierté des différents élevages est en jeu, mettant en valeur la qualité de leurs taureaux.</v>
      </c>
    </row>
    <row r="100" ht="22.5" customHeight="1">
      <c r="A100" s="3">
        <v>99.0</v>
      </c>
      <c r="B100" s="4" t="s">
        <v>1527</v>
      </c>
      <c r="C100" s="4" t="s">
        <v>1528</v>
      </c>
      <c r="D100" s="4" t="s">
        <v>1529</v>
      </c>
      <c r="E100" s="4" t="s">
        <v>1754</v>
      </c>
      <c r="G100" s="5" t="str">
        <f>IFERROR(__xludf.DUMMYFUNCTION("GOOGLETRANSLATE(A100, ""en"", ""fr"")"),"99")</f>
        <v>99</v>
      </c>
      <c r="H100" s="5" t="str">
        <f>IFERROR(__xludf.DUMMYFUNCTION("GOOGLETRANSLATE(B100, ""en"", ""fr"")"),"On loue le taureau pour sa « générosité ». Qu'est-ce que cela signifie ?")</f>
        <v>On loue le taureau pour sa « générosité ». Qu'est-ce que cela signifie ?</v>
      </c>
      <c r="I100" s="5" t="str">
        <f>IFERROR(__xludf.DUMMYFUNCTION("GOOGLETRANSLATE(C100, ""en"", ""fr"")"),"A) C'est un très gros taureau, B) Il charge facilement et participe activement au jeu, C) Il n'attaque pas les razeteurs, D) Il abandonne facilement ses attributs")</f>
        <v>A) C'est un très gros taureau, B) Il charge facilement et participe activement au jeu, C) Il n'attaque pas les razeteurs, D) Il abandonne facilement ses attributs</v>
      </c>
      <c r="J100" s="5" t="str">
        <f>IFERROR(__xludf.DUMMYFUNCTION("GOOGLETRANSLATE(D100, ""en"", ""fr"")"),"B) Il se recharge facilement et participe activement au jeu")</f>
        <v>B) Il se recharge facilement et participe activement au jeu</v>
      </c>
      <c r="K100" s="5" t="str">
        <f>IFERROR(__xludf.DUMMYFUNCTION("GOOGLETRANSLATE(E100, ""en"", ""fr"")"),"Un taureau « généreux » est celui qui offre un grand spectacle en s'engageant honnêtement et courageusement avec les arpenteurs.")</f>
        <v>Un taureau « généreux » est celui qui offre un grand spectacle en s'engageant honnêtement et courageusement avec les arpenteurs.</v>
      </c>
    </row>
    <row r="101" ht="22.5" customHeight="1">
      <c r="A101" s="3">
        <v>100.0</v>
      </c>
      <c r="B101" s="4" t="s">
        <v>1708</v>
      </c>
      <c r="C101" s="4" t="s">
        <v>1709</v>
      </c>
      <c r="D101" s="4" t="s">
        <v>1710</v>
      </c>
      <c r="E101" s="4" t="s">
        <v>1711</v>
      </c>
      <c r="G101" s="5" t="str">
        <f>IFERROR(__xludf.DUMMYFUNCTION("GOOGLETRANSLATE(A101, ""en"", ""fr"")"),"100")</f>
        <v>100</v>
      </c>
      <c r="H101" s="5" t="str">
        <f>IFERROR(__xludf.DUMMYFUNCTION("GOOGLETRANSLATE(B101, ""en"", ""fr"")"),"On dit qu'un taureau a « vu » un razeteur. Qu'est-ce que cela signifie ?")</f>
        <v>On dit qu'un taureau a « vu » un razeteur. Qu'est-ce que cela signifie ?</v>
      </c>
      <c r="I101" s="5" t="str">
        <f>IFERROR(__xludf.DUMMYFUNCTION("GOOGLETRANSLATE(C101, ""en"", ""fr"")"),"A) Le taureau a une bonne vue. B) Le taureau a repéré un taureau en particulier qui s'apprête à s'élancer et se concentre sur lui. C) Le taureau a peur. D) Le taureau est prêt à quitter l'arène.")</f>
        <v>A) Le taureau a une bonne vue. B) Le taureau a repéré un taureau en particulier qui s'apprête à s'élancer et se concentre sur lui. C) Le taureau a peur. D) Le taureau est prêt à quitter l'arène.</v>
      </c>
      <c r="J101" s="5" t="str">
        <f>IFERROR(__xludf.DUMMYFUNCTION("GOOGLETRANSLATE(D101, ""en"", ""fr"")"),"B) Le taureau a identifié et se concentre sur un razeteur spécifique qui se prépare à courir")</f>
        <v>B) Le taureau a identifié et se concentre sur un razeteur spécifique qui se prépare à courir</v>
      </c>
      <c r="K101" s="5" t="str">
        <f>IFERROR(__xludf.DUMMYFUNCTION("GOOGLETRANSLATE(E101, ""en"", ""fr"")"),"C’est un moment crucial où le taureau concentre toute son attention sur sa cible, préparant ainsi la charge pour le raset.")</f>
        <v>C’est un moment crucial où le taureau concentre toute son attention sur sa cible, préparant ainsi la charge pour le raset.</v>
      </c>
    </row>
    <row r="102" ht="22.5" customHeight="1">
      <c r="A102" s="3">
        <v>101.0</v>
      </c>
      <c r="B102" s="4" t="s">
        <v>1712</v>
      </c>
      <c r="C102" s="4" t="s">
        <v>1713</v>
      </c>
      <c r="D102" s="4" t="s">
        <v>1714</v>
      </c>
      <c r="E102" s="4" t="s">
        <v>1715</v>
      </c>
      <c r="G102" s="5" t="str">
        <f>IFERROR(__xludf.DUMMYFUNCTION("GOOGLETRANSLATE(A102, ""en"", ""fr"")"),"101")</f>
        <v>101</v>
      </c>
      <c r="H102" s="5" t="str">
        <f>IFERROR(__xludf.DUMMYFUNCTION("GOOGLETRANSLATE(B102, ""en"", ""fr"")"),"Quelle est la sanction infligée à un joueur de tournoi qui gêne illégalement le taureau ?")</f>
        <v>Quelle est la sanction infligée à un joueur de tournoi qui gêne illégalement le taureau ?</v>
      </c>
      <c r="I102" s="5" t="str">
        <f>IFERROR(__xludf.DUMMYFUNCTION("GOOGLETRANSLATE(C102, ""en"", ""fr"")"),"A) Aucune pénalité n'est infligée. B) Le tourteur est averti ou pénalisé, et tout point marqué est annulé. C) Le razeteur est pénalisé. D) Le taureau bénéficie d'un repos.")</f>
        <v>A) Aucune pénalité n'est infligée. B) Le tourteur est averti ou pénalisé, et tout point marqué est annulé. C) Le razeteur est pénalisé. D) Le taureau bénéficie d'un repos.</v>
      </c>
      <c r="J102" s="5" t="str">
        <f>IFERROR(__xludf.DUMMYFUNCTION("GOOGLETRANSLATE(D102, ""en"", ""fr"")"),"B) Le joueur participant au tournoi est averti ou pénalisé, et tout point marqué est annulé.")</f>
        <v>B) Le joueur participant au tournoi est averti ou pénalisé, et tout point marqué est annulé.</v>
      </c>
      <c r="K102" s="5" t="str">
        <f>IFERROR(__xludf.DUMMYFUNCTION("GOOGLETRANSLATE(E102, ""en"", ""fr"")"),"Les joueurs de tournoi peuvent seulement positionner le taureau, sans intervenir physiquement sur lui. Toute obstruction illégale constitue une faute d'équipe.")</f>
        <v>Les joueurs de tournoi peuvent seulement positionner le taureau, sans intervenir physiquement sur lui. Toute obstruction illégale constitue une faute d'équipe.</v>
      </c>
    </row>
    <row r="103" ht="22.5" customHeight="1">
      <c r="A103" s="3">
        <v>102.0</v>
      </c>
      <c r="B103" s="4" t="s">
        <v>1716</v>
      </c>
      <c r="C103" s="4" t="s">
        <v>1717</v>
      </c>
      <c r="D103" s="4" t="s">
        <v>1188</v>
      </c>
      <c r="E103" s="4" t="s">
        <v>1718</v>
      </c>
      <c r="G103" s="5" t="str">
        <f>IFERROR(__xludf.DUMMYFUNCTION("GOOGLETRANSLATE(A103, ""en"", ""fr"")"),"102")</f>
        <v>102</v>
      </c>
      <c r="H103" s="5" t="str">
        <f>IFERROR(__xludf.DUMMYFUNCTION("GOOGLETRANSLATE(B103, ""en"", ""fr"")"),"Un taureau est retiré de l'arène avant la fin de ses 15 minutes de compétition. Quelle en est la raison la plus probable ?")</f>
        <v>Un taureau est retiré de l'arène avant la fin de ses 15 minutes de compétition. Quelle en est la raison la plus probable ?</v>
      </c>
      <c r="I103" s="5" t="str">
        <f>IFERROR(__xludf.DUMMYFUNCTION("GOOGLETRANSLATE(C103, ""en"", ""fr"")"),"A) Il a perdu toutes ses capacités, B) Il présente des signes de blessure ou de fatigue excessive, C) Il n'est pas assez agressif, D) B et C")</f>
        <v>A) Il a perdu toutes ses capacités, B) Il présente des signes de blessure ou de fatigue excessive, C) Il n'est pas assez agressif, D) B et C</v>
      </c>
      <c r="J103" s="5" t="str">
        <f>IFERROR(__xludf.DUMMYFUNCTION("GOOGLETRANSLATE(D103, ""en"", ""fr"")"),"D) B et C")</f>
        <v>D) B et C</v>
      </c>
      <c r="K103" s="5" t="str">
        <f>IFERROR(__xludf.DUMMYFUNCTION("GOOGLETRANSLATE(E103, ""en"", ""fr"")"),"La vie d'un taureau peut être écourtée pour son propre bien-être s'il est blessé, ou s'il ne participe pas au combat et ne livre pas une compétition satisfaisante.")</f>
        <v>La vie d'un taureau peut être écourtée pour son propre bien-être s'il est blessé, ou s'il ne participe pas au combat et ne livre pas une compétition satisfaisante.</v>
      </c>
    </row>
    <row r="104" ht="22.5" customHeight="1">
      <c r="A104" s="3">
        <v>103.0</v>
      </c>
      <c r="B104" s="4" t="s">
        <v>1723</v>
      </c>
      <c r="C104" s="4" t="s">
        <v>1724</v>
      </c>
      <c r="D104" s="4" t="s">
        <v>1481</v>
      </c>
      <c r="E104" s="4" t="s">
        <v>1725</v>
      </c>
      <c r="G104" s="5" t="str">
        <f>IFERROR(__xludf.DUMMYFUNCTION("GOOGLETRANSLATE(A104, ""en"", ""fr"")"),"103")</f>
        <v>103</v>
      </c>
      <c r="H104" s="5" t="str">
        <f>IFERROR(__xludf.DUMMYFUNCTION("GOOGLETRANSLATE(B104, ""en"", ""fr"")"),"Quelle est la principale raison pour laquelle les pantalons blancs des razéteurs sont si moulants ?")</f>
        <v>Quelle est la principale raison pour laquelle les pantalons blancs des razéteurs sont si moulants ?</v>
      </c>
      <c r="I104" s="5" t="str">
        <f>IFERROR(__xludf.DUMMYFUNCTION("GOOGLETRANSLATE(C104, ""en"", ""fr"")"),"A) C'est une mode moderne, B) Pour éviter que la corne du taureau ne se prenne dans le tissu, C) Pour mettre en valeur les muscles du taureau, D) Pour améliorer l'aérodynamisme")</f>
        <v>A) C'est une mode moderne, B) Pour éviter que la corne du taureau ne se prenne dans le tissu, C) Pour mettre en valeur les muscles du taureau, D) Pour améliorer l'aérodynamisme</v>
      </c>
      <c r="J104" s="5" t="str">
        <f>IFERROR(__xludf.DUMMYFUNCTION("GOOGLETRANSLATE(D104, ""en"", ""fr"")"),"B) Pour éviter que la corne du taureau ne se prenne dans les tissus lâches")</f>
        <v>B) Pour éviter que la corne du taureau ne se prenne dans les tissus lâches</v>
      </c>
      <c r="K104" s="5" t="str">
        <f>IFERROR(__xludf.DUMMYFUNCTION("GOOGLETRANSLATE(E104, ""en"", ""fr"")"),"Il s'agit d'un élément de sécurité essentiel de l'uniforme, minimisant le risque qu'un klaxon se prenne dans les vêtements.")</f>
        <v>Il s'agit d'un élément de sécurité essentiel de l'uniforme, minimisant le risque qu'un klaxon se prenne dans les vêtements.</v>
      </c>
    </row>
    <row r="105" ht="22.5" customHeight="1">
      <c r="A105" s="3">
        <v>104.0</v>
      </c>
      <c r="B105" s="4" t="s">
        <v>1483</v>
      </c>
      <c r="C105" s="4" t="s">
        <v>1726</v>
      </c>
      <c r="D105" s="4" t="s">
        <v>1727</v>
      </c>
      <c r="E105" s="4" t="s">
        <v>1728</v>
      </c>
      <c r="G105" s="5" t="str">
        <f>IFERROR(__xludf.DUMMYFUNCTION("GOOGLETRANSLATE(A105, ""en"", ""fr"")"),"104")</f>
        <v>104</v>
      </c>
      <c r="H105" s="5" t="str">
        <f>IFERROR(__xludf.DUMMYFUNCTION("GOOGLETRANSLATE(B105, ""en"", ""fr"")"),"Un razeteur réussit à extraire la dernière corde (fielle) d'une corne de taureau. Que se passe-t-il ensuite ?")</f>
        <v>Un razeteur réussit à extraire la dernière corde (fielle) d'une corne de taureau. Que se passe-t-il ensuite ?</v>
      </c>
      <c r="I105" s="5" t="str">
        <f>IFERROR(__xludf.DUMMYFUNCTION("GOOGLETRANSLATE(C105, ""en"", ""fr"")"),"A) Le taureau est immédiatement remis dans l'arène, même si ses 15 minutes ne sont pas écoulées. B) De nouveaux attributs sont attribués au taureau. C) Le dresseur remporte la course. D) Le taureau bénéficie d'un repos.")</f>
        <v>A) Le taureau est immédiatement remis dans l'arène, même si ses 15 minutes ne sont pas écoulées. B) De nouveaux attributs sont attribués au taureau. C) Le dresseur remporte la course. D) Le taureau bénéficie d'un repos.</v>
      </c>
      <c r="J105" s="5" t="str">
        <f>IFERROR(__xludf.DUMMYFUNCTION("GOOGLETRANSLATE(D105, ""en"", ""fr"")"),"A) Le taureau est immédiatement remis dans l'arène, même si ses 15 minutes ne sont pas écoulées.")</f>
        <v>A) Le taureau est immédiatement remis dans l'arène, même si ses 15 minutes ne sont pas écoulées.</v>
      </c>
      <c r="K105" s="5" t="str">
        <f>IFERROR(__xludf.DUMMYFUNCTION("GOOGLETRANSLATE(E105, ""en"", ""fr"")"),"Le « travail » du taureau est terminé une fois que tous ses attributs ont été prélevés. On lui rend hommage en musique et on le ramène à son enclos.")</f>
        <v>Le « travail » du taureau est terminé une fois que tous ses attributs ont été prélevés. On lui rend hommage en musique et on le ramène à son enclos.</v>
      </c>
    </row>
    <row r="106" ht="22.5" customHeight="1">
      <c r="A106" s="3">
        <v>105.0</v>
      </c>
      <c r="B106" s="4" t="s">
        <v>1755</v>
      </c>
      <c r="C106" s="4" t="s">
        <v>1756</v>
      </c>
      <c r="D106" s="4" t="s">
        <v>1437</v>
      </c>
      <c r="E106" s="4" t="s">
        <v>1757</v>
      </c>
      <c r="G106" s="5" t="str">
        <f>IFERROR(__xludf.DUMMYFUNCTION("GOOGLETRANSLATE(A106, ""en"", ""fr"")"),"105")</f>
        <v>105</v>
      </c>
      <c r="H106" s="5" t="str">
        <f>IFERROR(__xludf.DUMMYFUNCTION("GOOGLETRANSLATE(B106, ""en"", ""fr"")"),"Un racleur est surpris à utiliser un crochet plus long que la longueur réglementaire. Quelle est la sanction ?")</f>
        <v>Un racleur est surpris à utiliser un crochet plus long que la longueur réglementaire. Quelle est la sanction ?</v>
      </c>
      <c r="I106" s="5" t="str">
        <f>IFERROR(__xludf.DUMMYFUNCTION("GOOGLETRANSLATE(C106, ""en"", ""fr"")"),"A) Un avertissement est donné, B) Le razeteur est disqualifié de la course, C) Le crochet est confisqué, D) Le razeteur peut continuer mais marque la moitié des points")</f>
        <v>A) Un avertissement est donné, B) Le razeteur est disqualifié de la course, C) Le crochet est confisqué, D) Le razeteur peut continuer mais marque la moitié des points</v>
      </c>
      <c r="J106" s="5" t="str">
        <f>IFERROR(__xludf.DUMMYFUNCTION("GOOGLETRANSLATE(D106, ""en"", ""fr"")"),"B) Le razeteur est disqualifié de la course")</f>
        <v>B) Le razeteur est disqualifié de la course</v>
      </c>
      <c r="K106" s="5" t="str">
        <f>IFERROR(__xludf.DUMMYFUNCTION("GOOGLETRANSLATE(E106, ""en"", ""fr"")"),"L'utilisation d'équipements non conformes à la réglementation, conférant un avantage indu, constitue une faute grave.")</f>
        <v>L'utilisation d'équipements non conformes à la réglementation, conférant un avantage indu, constitue une faute grave.</v>
      </c>
    </row>
    <row r="107" ht="22.5" customHeight="1">
      <c r="A107" s="3">
        <v>106.0</v>
      </c>
      <c r="B107" s="4" t="s">
        <v>1487</v>
      </c>
      <c r="C107" s="4" t="s">
        <v>1488</v>
      </c>
      <c r="D107" s="4" t="s">
        <v>1729</v>
      </c>
      <c r="E107" s="4" t="s">
        <v>1490</v>
      </c>
      <c r="G107" s="5" t="str">
        <f>IFERROR(__xludf.DUMMYFUNCTION("GOOGLETRANSLATE(A107, ""en"", ""fr"")"),"106")</f>
        <v>106</v>
      </c>
      <c r="H107" s="5" t="str">
        <f>IFERROR(__xludf.DUMMYFUNCTION("GOOGLETRANSLATE(B107, ""en"", ""fr"")"),"À quoi servent les lignes blanches peintes sur la piste de l'arène ?")</f>
        <v>À quoi servent les lignes blanches peintes sur la piste de l'arène ?</v>
      </c>
      <c r="I107" s="5" t="str">
        <f>IFERROR(__xludf.DUMMYFUNCTION("GOOGLETRANSLATE(C107, ""en"", ""fr"")"),"A) Elles servent à la décoration, B) Elles aident les dresseurs à évaluer la distance et la position par rapport au taureau, C) Elles délimitent le périmètre du taureau, D) Ce sont des lignes de service")</f>
        <v>A) Elles servent à la décoration, B) Elles aident les dresseurs à évaluer la distance et la position par rapport au taureau, C) Elles délimitent le périmètre du taureau, D) Ce sont des lignes de service</v>
      </c>
      <c r="J107" s="5" t="str">
        <f>IFERROR(__xludf.DUMMYFUNCTION("GOOGLETRANSLATE(D107, ""en"", ""fr"")"),"B) Ils aident le razeteur à évaluer leur distance et leur position par rapport au taureau.")</f>
        <v>B) Ils aident le razeteur à évaluer leur distance et leur position par rapport au taureau.</v>
      </c>
      <c r="K107" s="5" t="str">
        <f>IFERROR(__xludf.DUMMYFUNCTION("GOOGLETRANSLATE(E107, ""en"", ""fr"")"),"Ces lignes servent de repère visuel aux razeteurs pour les aider à synchroniser leur course et leur saut vers la barrière.")</f>
        <v>Ces lignes servent de repère visuel aux razeteurs pour les aider à synchroniser leur course et leur saut vers la barrière.</v>
      </c>
    </row>
    <row r="108" ht="22.5" customHeight="1">
      <c r="A108" s="3">
        <v>107.0</v>
      </c>
      <c r="B108" s="4" t="s">
        <v>1491</v>
      </c>
      <c r="C108" s="4" t="s">
        <v>1492</v>
      </c>
      <c r="D108" s="4" t="s">
        <v>1493</v>
      </c>
      <c r="E108" s="4" t="s">
        <v>1494</v>
      </c>
      <c r="G108" s="5" t="str">
        <f>IFERROR(__xludf.DUMMYFUNCTION("GOOGLETRANSLATE(A108, ""en"", ""fr"")"),"107")</f>
        <v>107</v>
      </c>
      <c r="H108" s="5" t="str">
        <f>IFERROR(__xludf.DUMMYFUNCTION("GOOGLETRANSLATE(B108, ""en"", ""fr"")"),"Un taureau a la réputation d'être un « sauteur ». Qu'est-ce que cela signifie ?")</f>
        <v>Un taureau a la réputation d'être un « sauteur ». Qu'est-ce que cela signifie ?</v>
      </c>
      <c r="I108" s="5" t="str">
        <f>IFERROR(__xludf.DUMMYFUNCTION("GOOGLETRANSLATE(C108, ""en"", ""fr"")"),"A) Il est très énergique, B) Il a l'habitude de sauter la barrière à la poursuite des razeteurs, C) Il saute par-dessus les razeteurs, D) C'est un jeune taureau")</f>
        <v>A) Il est très énergique, B) Il a l'habitude de sauter la barrière à la poursuite des razeteurs, C) Il saute par-dessus les razeteurs, D) C'est un jeune taureau</v>
      </c>
      <c r="J108" s="5" t="str">
        <f>IFERROR(__xludf.DUMMYFUNCTION("GOOGLETRANSLATE(D108, ""en"", ""fr"")"),"B) Elle a la fâcheuse habitude de franchir la barrière à la poursuite des razeteurs")</f>
        <v>B) Elle a la fâcheuse habitude de franchir la barrière à la poursuite des razeteurs</v>
      </c>
      <c r="K108" s="5" t="str">
        <f>IFERROR(__xludf.DUMMYFUNCTION("GOOGLETRANSLATE(E108, ""en"", ""fr"")"),"C'est une caractéristique qui rend le taureau à la fois dangereux et extrêmement spectaculaire, et qui le rend très populaire auprès du public.")</f>
        <v>C'est une caractéristique qui rend le taureau à la fois dangereux et extrêmement spectaculaire, et qui le rend très populaire auprès du public.</v>
      </c>
    </row>
    <row r="109" ht="22.5" customHeight="1">
      <c r="A109" s="3">
        <v>108.0</v>
      </c>
      <c r="B109" s="4" t="s">
        <v>1730</v>
      </c>
      <c r="C109" s="4" t="s">
        <v>1496</v>
      </c>
      <c r="D109" s="4" t="s">
        <v>1497</v>
      </c>
      <c r="E109" s="4" t="s">
        <v>1498</v>
      </c>
      <c r="G109" s="5" t="str">
        <f>IFERROR(__xludf.DUMMYFUNCTION("GOOGLETRANSLATE(A109, ""en"", ""fr"")"),"108")</f>
        <v>108</v>
      </c>
      <c r="H109" s="5" t="str">
        <f>IFERROR(__xludf.DUMMYFUNCTION("GOOGLETRANSLATE(B109, ""en"", ""fr"")"),"Quelle est la décision rendue si un arracheur saisit la corne du taureau de sa main libre ?")</f>
        <v>Quelle est la décision rendue si un arracheur saisit la corne du taureau de sa main libre ?</v>
      </c>
      <c r="I109" s="5" t="str">
        <f>IFERROR(__xludf.DUMMYFUNCTION("GOOGLETRANSLATE(C109, ""en"", ""fr"")"),"A) C'est une manœuvre légale pour rétablir l'équilibre, B) C'est une faute grave et le razeteur est pénalisé, C) C'est autorisé si le taureau est agressif, D) Le point est rejoué")</f>
        <v>A) C'est une manœuvre légale pour rétablir l'équilibre, B) C'est une faute grave et le razeteur est pénalisé, C) C'est autorisé si le taureau est agressif, D) Le point est rejoué</v>
      </c>
      <c r="J109" s="5" t="str">
        <f>IFERROR(__xludf.DUMMYFUNCTION("GOOGLETRANSLATE(D109, ""en"", ""fr"")"),"B) C'est une faute grave, et le razéteur est sanctionné.")</f>
        <v>B) C'est une faute grave, et le razéteur est sanctionné.</v>
      </c>
      <c r="K109" s="5" t="str">
        <f>IFERROR(__xludf.DUMMYFUNCTION("GOOGLETRANSLATE(E109, ""en"", ""fr"")"),"Il est strictement interdit à un razeteur de toucher le taureau avec quelque partie que ce soit de son corps ou avec sa main libre.")</f>
        <v>Il est strictement interdit à un razeteur de toucher le taureau avec quelque partie que ce soit de son corps ou avec sa main libre.</v>
      </c>
    </row>
    <row r="110" ht="22.5" customHeight="1">
      <c r="A110" s="3">
        <v>109.0</v>
      </c>
      <c r="B110" s="4" t="s">
        <v>1731</v>
      </c>
      <c r="C110" s="4" t="s">
        <v>1732</v>
      </c>
      <c r="D110" s="4" t="s">
        <v>1733</v>
      </c>
      <c r="E110" s="4" t="s">
        <v>1734</v>
      </c>
      <c r="G110" s="5" t="str">
        <f>IFERROR(__xludf.DUMMYFUNCTION("GOOGLETRANSLATE(A110, ""en"", ""fr"")"),"109")</f>
        <v>109</v>
      </c>
      <c r="H110" s="5" t="str">
        <f>IFERROR(__xludf.DUMMYFUNCTION("GOOGLETRANSLATE(B110, ""en"", ""fr"")"),"Quel est le rôle principal du « délégué de la FFCC » (Federation Delegate) lors d'une course ?")</f>
        <v>Quel est le rôle principal du « délégué de la FFCC » (Federation Delegate) lors d'une course ?</v>
      </c>
      <c r="I110" s="5" t="str">
        <f>IFERROR(__xludf.DUMMYFUNCTION("GOOGLETRANSLATE(C110, ""en"", ""fr"")"),"A) Être l'arbitre principal, B) Être le représentant officiel de la fédération, veillant au respect des règles et procédures, C) Être le marqueur, D) Être l'organisateur de l'événement")</f>
        <v>A) Être l'arbitre principal, B) Être le représentant officiel de la fédération, veillant au respect des règles et procédures, C) Être le marqueur, D) Être l'organisateur de l'événement</v>
      </c>
      <c r="J110" s="5" t="str">
        <f>IFERROR(__xludf.DUMMYFUNCTION("GOOGLETRANSLATE(D110, ""en"", ""fr"")"),"B) Être le représentant officiel de la fédération, en veillant à ce que toutes les règles et procédures soient correctement respectées.")</f>
        <v>B) Être le représentant officiel de la fédération, en veillant à ce que toutes les règles et procédures soient correctement respectées.</v>
      </c>
      <c r="K110" s="5" t="str">
        <f>IFERROR(__xludf.DUMMYFUNCTION("GOOGLETRANSLATE(E110, ""en"", ""fr"")"),"Le délégué est la plus haute autorité de l'instance dirigeante, présente pour superviser l'ensemble de l'événement.")</f>
        <v>Le délégué est la plus haute autorité de l'instance dirigeante, présente pour superviser l'ensemble de l'événement.</v>
      </c>
    </row>
    <row r="111" ht="22.5" customHeight="1">
      <c r="A111" s="3">
        <v>110.0</v>
      </c>
      <c r="B111" s="4" t="s">
        <v>1735</v>
      </c>
      <c r="C111" s="4" t="s">
        <v>1736</v>
      </c>
      <c r="D111" s="4" t="s">
        <v>1737</v>
      </c>
      <c r="E111" s="4" t="s">
        <v>1738</v>
      </c>
      <c r="G111" s="5" t="str">
        <f>IFERROR(__xludf.DUMMYFUNCTION("GOOGLETRANSLATE(A111, ""en"", ""fr"")"),"110")</f>
        <v>110</v>
      </c>
      <c r="H111" s="5" t="str">
        <f>IFERROR(__xludf.DUMMYFUNCTION("GOOGLETRANSLATE(B111, ""en"", ""fr"")"),"Un taureau est appelé « cocardier difficile ». Qu'est-ce que cela signifie ?")</f>
        <v>Un taureau est appelé « cocardier difficile ». Qu'est-ce que cela signifie ?</v>
      </c>
      <c r="I111" s="5" t="str">
        <f>IFERROR(__xludf.DUMMYFUNCTION("GOOGLETRANSLATE(C111, ""en"", ""fr"")"),"A) Le taureau est très agressif. B) Le taureau est très intelligent et difficile à tromper, ce qui rend difficile la mémorisation de ses caractéristiques. C) Le taureau est vieux. D) Le taureau refuse de charger.")</f>
        <v>A) Le taureau est très agressif. B) Le taureau est très intelligent et difficile à tromper, ce qui rend difficile la mémorisation de ses caractéristiques. C) Le taureau est vieux. D) Le taureau refuse de charger.</v>
      </c>
      <c r="J111" s="5" t="str">
        <f>IFERROR(__xludf.DUMMYFUNCTION("GOOGLETRANSLATE(D111, ""en"", ""fr"")"),"B) Le taureau est très intelligent et difficile à tromper, ce qui rend difficile la prise de ses attributs")</f>
        <v>B) Le taureau est très intelligent et difficile à tromper, ce qui rend difficile la prise de ses attributs</v>
      </c>
      <c r="K111" s="5" t="str">
        <f>IFERROR(__xludf.DUMMYFUNCTION("GOOGLETRANSLATE(E111, ""en"", ""fr"")"),"Un taureau « difficile » est un taureau intelligent qui défend bien ses atouts, offrant un défi plus grand et un spectacle plus impressionnant.")</f>
        <v>Un taureau « difficile » est un taureau intelligent qui défend bien ses atouts, offrant un défi plus grand et un spectacle plus impressionnant.</v>
      </c>
    </row>
    <row r="112" ht="22.5" customHeight="1">
      <c r="A112" s="3">
        <v>111.0</v>
      </c>
      <c r="B112" s="4" t="s">
        <v>1739</v>
      </c>
      <c r="C112" s="4" t="s">
        <v>1740</v>
      </c>
      <c r="D112" s="4" t="s">
        <v>386</v>
      </c>
      <c r="E112" s="4" t="s">
        <v>1741</v>
      </c>
      <c r="G112" s="5" t="str">
        <f>IFERROR(__xludf.DUMMYFUNCTION("GOOGLETRANSLATE(A112, ""en"", ""fr"")"),"111")</f>
        <v>111</v>
      </c>
      <c r="H112" s="5" t="str">
        <f>IFERROR(__xludf.DUMMYFUNCTION("GOOGLETRANSLATE(B112, ""en"", ""fr"")"),"Quel est le rôle de la barrière en bois peinte en rouge (barricade) ?")</f>
        <v>Quel est le rôle de la barrière en bois peinte en rouge (barricade) ?</v>
      </c>
      <c r="I112" s="5" t="str">
        <f>IFERROR(__xludf.DUMMYFUNCTION("GOOGLETRANSLATE(C112, ""en"", ""fr"")"),"A) Pour maintenir le taureau dans l'arène, B) Pour servir de refuge aux organisateurs, C) Pour séparer les organisateurs de la foule, D) Toutes les réponses ci-dessus")</f>
        <v>A) Pour maintenir le taureau dans l'arène, B) Pour servir de refuge aux organisateurs, C) Pour séparer les organisateurs de la foule, D) Toutes les réponses ci-dessus</v>
      </c>
      <c r="J112" s="5" t="str">
        <f>IFERROR(__xludf.DUMMYFUNCTION("GOOGLETRANSLATE(D112, ""en"", ""fr"")"),"D) Toutes les réponses ci-dessus")</f>
        <v>D) Toutes les réponses ci-dessus</v>
      </c>
      <c r="K112" s="5" t="str">
        <f>IFERROR(__xludf.DUMMYFUNCTION("GOOGLETRANSLATE(E112, ""en"", ""fr"")"),"La barrière remplit toutes ces fonctions : elle contient l'action, sert de voie d'évacuation pour les hommes et protège les spectateurs.")</f>
        <v>La barrière remplit toutes ces fonctions : elle contient l'action, sert de voie d'évacuation pour les hommes et protège les spectateurs.</v>
      </c>
    </row>
    <row r="113" ht="22.5" customHeight="1">
      <c r="A113" s="3">
        <v>112.0</v>
      </c>
      <c r="B113" s="4" t="s">
        <v>1742</v>
      </c>
      <c r="C113" s="4" t="s">
        <v>1743</v>
      </c>
      <c r="D113" s="4" t="s">
        <v>1744</v>
      </c>
      <c r="E113" s="4" t="s">
        <v>1745</v>
      </c>
      <c r="G113" s="5" t="str">
        <f>IFERROR(__xludf.DUMMYFUNCTION("GOOGLETRANSLATE(A113, ""en"", ""fr"")"),"112")</f>
        <v>112</v>
      </c>
      <c r="H113" s="5" t="str">
        <f>IFERROR(__xludf.DUMMYFUNCTION("GOOGLETRANSLATE(B113, ""en"", ""fr"")"),"Quel est le nombre maximal de razeteurs pouvant se trouver simultanément dans le « passage des razeteurs » (l'espace entre les deux barrières) ?")</f>
        <v>Quel est le nombre maximal de razeteurs pouvant se trouver simultanément dans le « passage des razeteurs » (l'espace entre les deux barrières) ?</v>
      </c>
      <c r="I113" s="5" t="str">
        <f>IFERROR(__xludf.DUMMYFUNCTION("GOOGLETRANSLATE(C113, ""en"", ""fr"")"),"A) Un, B) Deux, C) Il n'y a pas de limite, D) Ce n'est pas autorisé")</f>
        <v>A) Un, B) Deux, C) Il n'y a pas de limite, D) Ce n'est pas autorisé</v>
      </c>
      <c r="J113" s="5" t="str">
        <f>IFERROR(__xludf.DUMMYFUNCTION("GOOGLETRANSLATE(D113, ""en"", ""fr"")"),"A) Un")</f>
        <v>A) Un</v>
      </c>
      <c r="K113" s="5" t="str">
        <f>IFERROR(__xludf.DUMMYFUNCTION("GOOGLETRANSLATE(E113, ""en"", ""fr"")"),"Pour des raisons de sécurité, un seul razeteur est autorisé à la fois dans ce couloir étroit.")</f>
        <v>Pour des raisons de sécurité, un seul razeteur est autorisé à la fois dans ce couloir étroit.</v>
      </c>
    </row>
    <row r="114" ht="22.5" customHeight="1">
      <c r="A114" s="3">
        <v>113.0</v>
      </c>
      <c r="B114" s="4" t="s">
        <v>1719</v>
      </c>
      <c r="C114" s="4" t="s">
        <v>1720</v>
      </c>
      <c r="D114" s="4" t="s">
        <v>1721</v>
      </c>
      <c r="E114" s="4" t="s">
        <v>1722</v>
      </c>
      <c r="G114" s="5" t="str">
        <f>IFERROR(__xludf.DUMMYFUNCTION("GOOGLETRANSLATE(A114, ""en"", ""fr"")"),"113")</f>
        <v>113</v>
      </c>
      <c r="H114" s="5" t="str">
        <f>IFERROR(__xludf.DUMMYFUNCTION("GOOGLETRANSLATE(B114, ""en"", ""fr"")"),"Un razeteur prend la cocarde, mais l'arbitre déclare que le raset était « boulevardié ». Que signifie cette faute ?")</f>
        <v>Un razeteur prend la cocarde, mais l'arbitre déclare que le raset était « boulevardié ». Que signifie cette faute ?</v>
      </c>
      <c r="I114" s="5" t="str">
        <f>IFERROR(__xludf.DUMMYFUNCTION("GOOGLETRANSLATE(C114, ""en"", ""fr"")"),"A) La course était trop droite et ne formait pas une courbe correcte. B) Le lanceur a couru hors de l'arène. C) La course était trop lente. D) La course était trop rapide.")</f>
        <v>A) La course était trop droite et ne formait pas une courbe correcte. B) Le lanceur a couru hors de l'arène. C) La course était trop lente. D) La course était trop rapide.</v>
      </c>
      <c r="J114" s="5" t="str">
        <f>IFERROR(__xludf.DUMMYFUNCTION("GOOGLETRANSLATE(D114, ""en"", ""fr"")"),"A) La piste était trop droite et non pas une courbe appropriée.")</f>
        <v>A) La piste était trop droite et non pas une courbe appropriée.</v>
      </c>
      <c r="K114" s="5" t="str">
        <f>IFERROR(__xludf.DUMMYFUNCTION("GOOGLETRANSLATE(E114, ""en"", ""fr"")"),"Un tracé légal doit comporter une courbe distincte. Un tracé en ligne droite constitue un raccourci illégal et les points marqués sont annulés.")</f>
        <v>Un tracé légal doit comporter une courbe distincte. Un tracé en ligne droite constitue un raccourci illégal et les points marqués sont annulés.</v>
      </c>
    </row>
    <row r="115" ht="22.5" customHeight="1">
      <c r="A115" s="3">
        <v>114.0</v>
      </c>
      <c r="B115" s="4" t="s">
        <v>1746</v>
      </c>
      <c r="C115" s="4" t="s">
        <v>1747</v>
      </c>
      <c r="D115" s="4" t="s">
        <v>1748</v>
      </c>
      <c r="E115" s="4" t="s">
        <v>1749</v>
      </c>
      <c r="G115" s="5" t="str">
        <f>IFERROR(__xludf.DUMMYFUNCTION("GOOGLETRANSLATE(A115, ""en"", ""fr"")"),"114")</f>
        <v>114</v>
      </c>
      <c r="H115" s="5" t="str">
        <f>IFERROR(__xludf.DUMMYFUNCTION("GOOGLETRANSLATE(B115, ""en"", ""fr"")"),"Le Course Camarguaise est avant tout un sport qui célèbre la relation entre quels trois éléments ?")</f>
        <v>Le Course Camarguaise est avant tout un sport qui célèbre la relation entre quels trois éléments ?</v>
      </c>
      <c r="I115" s="5" t="str">
        <f>IFERROR(__xludf.DUMMYFUNCTION("GOOGLETRANSLATE(C115, ""en"", ""fr"")"),"A) L'homme, le cheval et la mer, B) Le taureau, le cheval et le gardien, C) Le taureau, le razeteur et le paysage unique de la Camargue, D) Le razeteur, l'arbitre et la foule")</f>
        <v>A) L'homme, le cheval et la mer, B) Le taureau, le cheval et le gardien, C) Le taureau, le razeteur et le paysage unique de la Camargue, D) Le razeteur, l'arbitre et la foule</v>
      </c>
      <c r="J115" s="5" t="str">
        <f>IFERROR(__xludf.DUMMYFUNCTION("GOOGLETRANSLATE(D115, ""en"", ""fr"")"),"C) Le taureau, le razeteur et le paysage unique de la Camargue")</f>
        <v>C) Le taureau, le razeteur et le paysage unique de la Camargue</v>
      </c>
      <c r="K115" s="5" t="str">
        <f>IFERROR(__xludf.DUMMYFUNCTION("GOOGLETRANSLATE(E115, ""en"", ""fr"")"),"Ce sport est l'expression du lien culturel profond qui unit les hommes, les animaux et l'environnement spécifique de la Camargue.")</f>
        <v>Ce sport est l'expression du lien culturel profond qui unit les hommes, les animaux et l'environnement spécifique de la Camargue.</v>
      </c>
    </row>
    <row r="116" ht="22.5" customHeight="1">
      <c r="A116" s="3">
        <v>115.0</v>
      </c>
      <c r="B116" s="4" t="s">
        <v>1750</v>
      </c>
      <c r="C116" s="4" t="s">
        <v>1751</v>
      </c>
      <c r="D116" s="4" t="s">
        <v>1752</v>
      </c>
      <c r="E116" s="4" t="s">
        <v>1753</v>
      </c>
      <c r="G116" s="5" t="str">
        <f>IFERROR(__xludf.DUMMYFUNCTION("GOOGLETRANSLATE(A116, ""en"", ""fr"")"),"115")</f>
        <v>115</v>
      </c>
      <c r="H116" s="5" t="str">
        <f>IFERROR(__xludf.DUMMYFUNCTION("GOOGLETRANSLATE(B116, ""en"", ""fr"")"),"Qu'est-ce que la « Coupe des manadiers » (Breeders' Cup) ?")</f>
        <v>Qu'est-ce que la « Coupe des manadiers » (Breeders' Cup) ?</v>
      </c>
      <c r="I116" s="5" t="str">
        <f>IFERROR(__xludf.DUMMYFUNCTION("GOOGLETRANSLATE(C116, ""en"", ""fr"")"),"A) Une course pour les éleveurs, B) Une compétition où les éleveurs eux-mêmes s'affrontent, C) Un tournoi prestigieux où les troupeaux s'affrontent, D) Une course de chevaux")</f>
        <v>A) Une course pour les éleveurs, B) Une compétition où les éleveurs eux-mêmes s'affrontent, C) Un tournoi prestigieux où les troupeaux s'affrontent, D) Une course de chevaux</v>
      </c>
      <c r="J116" s="5" t="str">
        <f>IFERROR(__xludf.DUMMYFUNCTION("GOOGLETRANSLATE(D116, ""en"", ""fr"")"),"C) Un tournoi prestigieux où les troupeaux (manades) s'affrontent.")</f>
        <v>C) Un tournoi prestigieux où les troupeaux (manades) s'affrontent.</v>
      </c>
      <c r="K116" s="5" t="str">
        <f>IFERROR(__xludf.DUMMYFUNCTION("GOOGLETRANSLATE(E116, ""en"", ""fr"")"),"Il s'agit d'une compétition spéciale où la fierté des différents élevages est en jeu, mettant en valeur la qualité de leurs taureaux.")</f>
        <v>Il s'agit d'une compétition spéciale où la fierté des différents élevages est en jeu, mettant en valeur la qualité de leurs taureaux.</v>
      </c>
    </row>
    <row r="117" ht="22.5" customHeight="1">
      <c r="A117" s="3">
        <v>116.0</v>
      </c>
      <c r="B117" s="4" t="s">
        <v>1527</v>
      </c>
      <c r="C117" s="4" t="s">
        <v>1528</v>
      </c>
      <c r="D117" s="4" t="s">
        <v>1529</v>
      </c>
      <c r="E117" s="4" t="s">
        <v>1754</v>
      </c>
      <c r="G117" s="5" t="str">
        <f>IFERROR(__xludf.DUMMYFUNCTION("GOOGLETRANSLATE(A117, ""en"", ""fr"")"),"116")</f>
        <v>116</v>
      </c>
      <c r="H117" s="5" t="str">
        <f>IFERROR(__xludf.DUMMYFUNCTION("GOOGLETRANSLATE(B117, ""en"", ""fr"")"),"On loue le taureau pour sa « générosité ». Qu'est-ce que cela signifie ?")</f>
        <v>On loue le taureau pour sa « générosité ». Qu'est-ce que cela signifie ?</v>
      </c>
      <c r="I117" s="5" t="str">
        <f>IFERROR(__xludf.DUMMYFUNCTION("GOOGLETRANSLATE(C117, ""en"", ""fr"")"),"A) C'est un très gros taureau, B) Il charge facilement et participe activement au jeu, C) Il n'attaque pas les razeteurs, D) Il abandonne facilement ses attributs")</f>
        <v>A) C'est un très gros taureau, B) Il charge facilement et participe activement au jeu, C) Il n'attaque pas les razeteurs, D) Il abandonne facilement ses attributs</v>
      </c>
      <c r="J117" s="5" t="str">
        <f>IFERROR(__xludf.DUMMYFUNCTION("GOOGLETRANSLATE(D117, ""en"", ""fr"")"),"B) Il se recharge facilement et participe activement au jeu")</f>
        <v>B) Il se recharge facilement et participe activement au jeu</v>
      </c>
      <c r="K117" s="5" t="str">
        <f>IFERROR(__xludf.DUMMYFUNCTION("GOOGLETRANSLATE(E117, ""en"", ""fr"")"),"Un taureau « généreux » est celui qui offre un grand spectacle en s'engageant honnêtement et courageusement avec les arpenteurs.")</f>
        <v>Un taureau « généreux » est celui qui offre un grand spectacle en s'engageant honnêtement et courageusement avec les arpenteurs.</v>
      </c>
    </row>
    <row r="118" ht="22.5" customHeight="1">
      <c r="A118" s="3">
        <v>117.0</v>
      </c>
      <c r="B118" s="4" t="s">
        <v>1708</v>
      </c>
      <c r="C118" s="4" t="s">
        <v>1709</v>
      </c>
      <c r="D118" s="4" t="s">
        <v>1710</v>
      </c>
      <c r="E118" s="4" t="s">
        <v>1711</v>
      </c>
      <c r="G118" s="5" t="str">
        <f>IFERROR(__xludf.DUMMYFUNCTION("GOOGLETRANSLATE(A118, ""en"", ""fr"")"),"117")</f>
        <v>117</v>
      </c>
      <c r="H118" s="5" t="str">
        <f>IFERROR(__xludf.DUMMYFUNCTION("GOOGLETRANSLATE(B118, ""en"", ""fr"")"),"On dit qu'un taureau a « vu » un razeteur. Qu'est-ce que cela signifie ?")</f>
        <v>On dit qu'un taureau a « vu » un razeteur. Qu'est-ce que cela signifie ?</v>
      </c>
      <c r="I118" s="5" t="str">
        <f>IFERROR(__xludf.DUMMYFUNCTION("GOOGLETRANSLATE(C118, ""en"", ""fr"")"),"A) Le taureau a une bonne vue. B) Le taureau a repéré un taureau en particulier qui s'apprête à s'élancer et se concentre sur lui. C) Le taureau a peur. D) Le taureau est prêt à quitter l'arène.")</f>
        <v>A) Le taureau a une bonne vue. B) Le taureau a repéré un taureau en particulier qui s'apprête à s'élancer et se concentre sur lui. C) Le taureau a peur. D) Le taureau est prêt à quitter l'arène.</v>
      </c>
      <c r="J118" s="5" t="str">
        <f>IFERROR(__xludf.DUMMYFUNCTION("GOOGLETRANSLATE(D118, ""en"", ""fr"")"),"B) Le taureau a identifié et se concentre sur un razeteur spécifique qui se prépare à courir")</f>
        <v>B) Le taureau a identifié et se concentre sur un razeteur spécifique qui se prépare à courir</v>
      </c>
      <c r="K118" s="5" t="str">
        <f>IFERROR(__xludf.DUMMYFUNCTION("GOOGLETRANSLATE(E118, ""en"", ""fr"")"),"C’est un moment crucial où le taureau concentre toute son attention sur sa cible, préparant ainsi la charge pour le raset.")</f>
        <v>C’est un moment crucial où le taureau concentre toute son attention sur sa cible, préparant ainsi la charge pour le raset.</v>
      </c>
    </row>
    <row r="119" ht="22.5" customHeight="1">
      <c r="A119" s="3">
        <v>118.0</v>
      </c>
      <c r="B119" s="4" t="s">
        <v>1712</v>
      </c>
      <c r="C119" s="4" t="s">
        <v>1713</v>
      </c>
      <c r="D119" s="4" t="s">
        <v>1714</v>
      </c>
      <c r="E119" s="4" t="s">
        <v>1715</v>
      </c>
      <c r="G119" s="5" t="str">
        <f>IFERROR(__xludf.DUMMYFUNCTION("GOOGLETRANSLATE(A119, ""en"", ""fr"")"),"118")</f>
        <v>118</v>
      </c>
      <c r="H119" s="5" t="str">
        <f>IFERROR(__xludf.DUMMYFUNCTION("GOOGLETRANSLATE(B119, ""en"", ""fr"")"),"Quelle est la sanction infligée à un joueur de tournoi qui gêne illégalement le taureau ?")</f>
        <v>Quelle est la sanction infligée à un joueur de tournoi qui gêne illégalement le taureau ?</v>
      </c>
      <c r="I119" s="5" t="str">
        <f>IFERROR(__xludf.DUMMYFUNCTION("GOOGLETRANSLATE(C119, ""en"", ""fr"")"),"A) Aucune pénalité n'est infligée. B) Le tourteur est averti ou pénalisé, et tout point marqué est annulé. C) Le razeteur est pénalisé. D) Le taureau bénéficie d'un repos.")</f>
        <v>A) Aucune pénalité n'est infligée. B) Le tourteur est averti ou pénalisé, et tout point marqué est annulé. C) Le razeteur est pénalisé. D) Le taureau bénéficie d'un repos.</v>
      </c>
      <c r="J119" s="5" t="str">
        <f>IFERROR(__xludf.DUMMYFUNCTION("GOOGLETRANSLATE(D119, ""en"", ""fr"")"),"B) Le joueur participant au tournoi est averti ou pénalisé, et tout point marqué est annulé.")</f>
        <v>B) Le joueur participant au tournoi est averti ou pénalisé, et tout point marqué est annulé.</v>
      </c>
      <c r="K119" s="5" t="str">
        <f>IFERROR(__xludf.DUMMYFUNCTION("GOOGLETRANSLATE(E119, ""en"", ""fr"")"),"Les joueurs de tournoi peuvent seulement positionner le taureau, sans intervenir physiquement sur lui. Toute obstruction illégale constitue une faute d'équipe.")</f>
        <v>Les joueurs de tournoi peuvent seulement positionner le taureau, sans intervenir physiquement sur lui. Toute obstruction illégale constitue une faute d'équipe.</v>
      </c>
    </row>
    <row r="120" ht="22.5" customHeight="1">
      <c r="A120" s="3">
        <v>119.0</v>
      </c>
      <c r="B120" s="4" t="s">
        <v>1716</v>
      </c>
      <c r="C120" s="4" t="s">
        <v>1717</v>
      </c>
      <c r="D120" s="4" t="s">
        <v>1188</v>
      </c>
      <c r="E120" s="4" t="s">
        <v>1718</v>
      </c>
      <c r="G120" s="5" t="str">
        <f>IFERROR(__xludf.DUMMYFUNCTION("GOOGLETRANSLATE(A120, ""en"", ""fr"")"),"119")</f>
        <v>119</v>
      </c>
      <c r="H120" s="5" t="str">
        <f>IFERROR(__xludf.DUMMYFUNCTION("GOOGLETRANSLATE(B120, ""en"", ""fr"")"),"Un taureau est retiré de l'arène avant la fin de ses 15 minutes de compétition. Quelle en est la raison la plus probable ?")</f>
        <v>Un taureau est retiré de l'arène avant la fin de ses 15 minutes de compétition. Quelle en est la raison la plus probable ?</v>
      </c>
      <c r="I120" s="5" t="str">
        <f>IFERROR(__xludf.DUMMYFUNCTION("GOOGLETRANSLATE(C120, ""en"", ""fr"")"),"A) Il a perdu toutes ses capacités, B) Il présente des signes de blessure ou de fatigue excessive, C) Il n'est pas assez agressif, D) B et C")</f>
        <v>A) Il a perdu toutes ses capacités, B) Il présente des signes de blessure ou de fatigue excessive, C) Il n'est pas assez agressif, D) B et C</v>
      </c>
      <c r="J120" s="5" t="str">
        <f>IFERROR(__xludf.DUMMYFUNCTION("GOOGLETRANSLATE(D120, ""en"", ""fr"")"),"D) B et C")</f>
        <v>D) B et C</v>
      </c>
      <c r="K120" s="5" t="str">
        <f>IFERROR(__xludf.DUMMYFUNCTION("GOOGLETRANSLATE(E120, ""en"", ""fr"")"),"La vie d'un taureau peut être écourtée pour son propre bien-être s'il est blessé, ou s'il ne participe pas au combat et ne livre pas une compétition satisfaisante.")</f>
        <v>La vie d'un taureau peut être écourtée pour son propre bien-être s'il est blessé, ou s'il ne participe pas au combat et ne livre pas une compétition satisfaisante.</v>
      </c>
    </row>
    <row r="121" ht="22.5" customHeight="1">
      <c r="A121" s="3">
        <v>120.0</v>
      </c>
      <c r="B121" s="4" t="s">
        <v>1723</v>
      </c>
      <c r="C121" s="4" t="s">
        <v>1724</v>
      </c>
      <c r="D121" s="4" t="s">
        <v>1481</v>
      </c>
      <c r="E121" s="4" t="s">
        <v>1725</v>
      </c>
      <c r="G121" s="5" t="str">
        <f>IFERROR(__xludf.DUMMYFUNCTION("GOOGLETRANSLATE(A121, ""en"", ""fr"")"),"120")</f>
        <v>120</v>
      </c>
      <c r="H121" s="5" t="str">
        <f>IFERROR(__xludf.DUMMYFUNCTION("GOOGLETRANSLATE(B121, ""en"", ""fr"")"),"Quelle est la principale raison pour laquelle les pantalons blancs des razéteurs sont si moulants ?")</f>
        <v>Quelle est la principale raison pour laquelle les pantalons blancs des razéteurs sont si moulants ?</v>
      </c>
      <c r="I121" s="5" t="str">
        <f>IFERROR(__xludf.DUMMYFUNCTION("GOOGLETRANSLATE(C121, ""en"", ""fr"")"),"A) C'est une mode moderne, B) Pour éviter que la corne du taureau ne se prenne dans le tissu, C) Pour mettre en valeur les muscles du taureau, D) Pour améliorer l'aérodynamisme")</f>
        <v>A) C'est une mode moderne, B) Pour éviter que la corne du taureau ne se prenne dans le tissu, C) Pour mettre en valeur les muscles du taureau, D) Pour améliorer l'aérodynamisme</v>
      </c>
      <c r="J121" s="5" t="str">
        <f>IFERROR(__xludf.DUMMYFUNCTION("GOOGLETRANSLATE(D121, ""en"", ""fr"")"),"B) Pour éviter que la corne du taureau ne se prenne dans les tissus lâches")</f>
        <v>B) Pour éviter que la corne du taureau ne se prenne dans les tissus lâches</v>
      </c>
      <c r="K121" s="5" t="str">
        <f>IFERROR(__xludf.DUMMYFUNCTION("GOOGLETRANSLATE(E121, ""en"", ""fr"")"),"Il s'agit d'un élément de sécurité essentiel de l'uniforme, minimisant le risque qu'un klaxon se prenne dans les vêtements.")</f>
        <v>Il s'agit d'un élément de sécurité essentiel de l'uniforme, minimisant le risque qu'un klaxon se prenne dans les vêtements.</v>
      </c>
    </row>
    <row r="122" ht="22.5" customHeight="1">
      <c r="A122" s="3">
        <v>121.0</v>
      </c>
      <c r="B122" s="4" t="s">
        <v>1483</v>
      </c>
      <c r="C122" s="4" t="s">
        <v>1726</v>
      </c>
      <c r="D122" s="4" t="s">
        <v>1727</v>
      </c>
      <c r="E122" s="4" t="s">
        <v>1728</v>
      </c>
      <c r="G122" s="5" t="str">
        <f>IFERROR(__xludf.DUMMYFUNCTION("GOOGLETRANSLATE(A122, ""en"", ""fr"")"),"121")</f>
        <v>121</v>
      </c>
      <c r="H122" s="5" t="str">
        <f>IFERROR(__xludf.DUMMYFUNCTION("GOOGLETRANSLATE(B122, ""en"", ""fr"")"),"Un razeteur réussit à extraire la dernière corde (fielle) d'une corne de taureau. Que se passe-t-il ensuite ?")</f>
        <v>Un razeteur réussit à extraire la dernière corde (fielle) d'une corne de taureau. Que se passe-t-il ensuite ?</v>
      </c>
      <c r="I122" s="5" t="str">
        <f>IFERROR(__xludf.DUMMYFUNCTION("GOOGLETRANSLATE(C122, ""en"", ""fr"")"),"A) Le taureau est immédiatement remis dans l'arène, même si ses 15 minutes ne sont pas écoulées. B) De nouveaux attributs sont attribués au taureau. C) Le dresseur remporte la course. D) Le taureau bénéficie d'un repos.")</f>
        <v>A) Le taureau est immédiatement remis dans l'arène, même si ses 15 minutes ne sont pas écoulées. B) De nouveaux attributs sont attribués au taureau. C) Le dresseur remporte la course. D) Le taureau bénéficie d'un repos.</v>
      </c>
      <c r="J122" s="5" t="str">
        <f>IFERROR(__xludf.DUMMYFUNCTION("GOOGLETRANSLATE(D122, ""en"", ""fr"")"),"A) Le taureau est immédiatement remis dans l'arène, même si ses 15 minutes ne sont pas écoulées.")</f>
        <v>A) Le taureau est immédiatement remis dans l'arène, même si ses 15 minutes ne sont pas écoulées.</v>
      </c>
      <c r="K122" s="5" t="str">
        <f>IFERROR(__xludf.DUMMYFUNCTION("GOOGLETRANSLATE(E122, ""en"", ""fr"")"),"Le « travail » du taureau est terminé une fois que tous ses attributs ont été prélevés. On lui rend hommage en musique et on le ramène à son enclos.")</f>
        <v>Le « travail » du taureau est terminé une fois que tous ses attributs ont été prélevés. On lui rend hommage en musique et on le ramène à son enclos.</v>
      </c>
    </row>
    <row r="123" ht="22.5" customHeight="1">
      <c r="A123" s="3">
        <v>122.0</v>
      </c>
      <c r="B123" s="4" t="s">
        <v>1755</v>
      </c>
      <c r="C123" s="4" t="s">
        <v>1756</v>
      </c>
      <c r="D123" s="4" t="s">
        <v>1437</v>
      </c>
      <c r="E123" s="4" t="s">
        <v>1757</v>
      </c>
      <c r="G123" s="5" t="str">
        <f>IFERROR(__xludf.DUMMYFUNCTION("GOOGLETRANSLATE(A123, ""en"", ""fr"")"),"122")</f>
        <v>122</v>
      </c>
      <c r="H123" s="5" t="str">
        <f>IFERROR(__xludf.DUMMYFUNCTION("GOOGLETRANSLATE(B123, ""en"", ""fr"")"),"Un racleur est surpris à utiliser un crochet plus long que la longueur réglementaire. Quelle est la sanction ?")</f>
        <v>Un racleur est surpris à utiliser un crochet plus long que la longueur réglementaire. Quelle est la sanction ?</v>
      </c>
      <c r="I123" s="5" t="str">
        <f>IFERROR(__xludf.DUMMYFUNCTION("GOOGLETRANSLATE(C123, ""en"", ""fr"")"),"A) Un avertissement est donné, B) Le razeteur est disqualifié de la course, C) Le crochet est confisqué, D) Le razeteur peut continuer mais marque la moitié des points")</f>
        <v>A) Un avertissement est donné, B) Le razeteur est disqualifié de la course, C) Le crochet est confisqué, D) Le razeteur peut continuer mais marque la moitié des points</v>
      </c>
      <c r="J123" s="5" t="str">
        <f>IFERROR(__xludf.DUMMYFUNCTION("GOOGLETRANSLATE(D123, ""en"", ""fr"")"),"B) Le razeteur est disqualifié de la course")</f>
        <v>B) Le razeteur est disqualifié de la course</v>
      </c>
      <c r="K123" s="5" t="str">
        <f>IFERROR(__xludf.DUMMYFUNCTION("GOOGLETRANSLATE(E123, ""en"", ""fr"")"),"L'utilisation d'équipements non conformes à la réglementation, conférant un avantage indu, constitue une faute grave.")</f>
        <v>L'utilisation d'équipements non conformes à la réglementation, conférant un avantage indu, constitue une faute grave.</v>
      </c>
    </row>
    <row r="124" ht="22.5" customHeight="1">
      <c r="A124" s="3">
        <v>123.0</v>
      </c>
      <c r="B124" s="4" t="s">
        <v>1487</v>
      </c>
      <c r="C124" s="4" t="s">
        <v>1488</v>
      </c>
      <c r="D124" s="4" t="s">
        <v>1729</v>
      </c>
      <c r="E124" s="4" t="s">
        <v>1490</v>
      </c>
      <c r="G124" s="5" t="str">
        <f>IFERROR(__xludf.DUMMYFUNCTION("GOOGLETRANSLATE(A124, ""en"", ""fr"")"),"123")</f>
        <v>123</v>
      </c>
      <c r="H124" s="5" t="str">
        <f>IFERROR(__xludf.DUMMYFUNCTION("GOOGLETRANSLATE(B124, ""en"", ""fr"")"),"À quoi servent les lignes blanches peintes sur la piste de l'arène ?")</f>
        <v>À quoi servent les lignes blanches peintes sur la piste de l'arène ?</v>
      </c>
      <c r="I124" s="5" t="str">
        <f>IFERROR(__xludf.DUMMYFUNCTION("GOOGLETRANSLATE(C124, ""en"", ""fr"")"),"A) Elles servent à la décoration, B) Elles aident les dresseurs à évaluer la distance et la position par rapport au taureau, C) Elles délimitent le périmètre du taureau, D) Ce sont des lignes de service")</f>
        <v>A) Elles servent à la décoration, B) Elles aident les dresseurs à évaluer la distance et la position par rapport au taureau, C) Elles délimitent le périmètre du taureau, D) Ce sont des lignes de service</v>
      </c>
      <c r="J124" s="5" t="str">
        <f>IFERROR(__xludf.DUMMYFUNCTION("GOOGLETRANSLATE(D124, ""en"", ""fr"")"),"B) Ils aident le razeteur à évaluer leur distance et leur position par rapport au taureau.")</f>
        <v>B) Ils aident le razeteur à évaluer leur distance et leur position par rapport au taureau.</v>
      </c>
      <c r="K124" s="5" t="str">
        <f>IFERROR(__xludf.DUMMYFUNCTION("GOOGLETRANSLATE(E124, ""en"", ""fr"")"),"Ces lignes servent de repère visuel aux razeteurs pour les aider à synchroniser leur course et leur saut vers la barrière.")</f>
        <v>Ces lignes servent de repère visuel aux razeteurs pour les aider à synchroniser leur course et leur saut vers la barrière.</v>
      </c>
    </row>
    <row r="125" ht="22.5" customHeight="1">
      <c r="A125" s="3">
        <v>124.0</v>
      </c>
      <c r="B125" s="4" t="s">
        <v>1491</v>
      </c>
      <c r="C125" s="4" t="s">
        <v>1492</v>
      </c>
      <c r="D125" s="4" t="s">
        <v>1758</v>
      </c>
      <c r="E125" s="4" t="s">
        <v>1494</v>
      </c>
      <c r="G125" s="5" t="str">
        <f>IFERROR(__xludf.DUMMYFUNCTION("GOOGLETRANSLATE(A125, ""en"", ""fr"")"),"124")</f>
        <v>124</v>
      </c>
      <c r="H125" s="5" t="str">
        <f>IFERROR(__xludf.DUMMYFUNCTION("GOOGLETRANSLATE(B125, ""en"", ""fr"")"),"Un taureau a la réputation d'être un « sauteur ». Qu'est-ce que cela signifie ?")</f>
        <v>Un taureau a la réputation d'être un « sauteur ». Qu'est-ce que cela signifie ?</v>
      </c>
      <c r="I125" s="5" t="str">
        <f>IFERROR(__xludf.DUMMYFUNCTION("GOOGLETRANSLATE(C125, ""en"", ""fr"")"),"A) Il est très énergique, B) Il a l'habitude de sauter la barrière à la poursuite des razeteurs, C) Il saute par-dessus les razeteurs, D) C'est un jeune taureau")</f>
        <v>A) Il est très énergique, B) Il a l'habitude de sauter la barrière à la poursuite des razeteurs, C) Il saute par-dessus les razeteurs, D) C'est un jeune taureau</v>
      </c>
      <c r="J125" s="5" t="str">
        <f>IFERROR(__xludf.DUMMYFUNCTION("GOOGLETRANSLATE(D125, ""en"", ""fr"")"),"B) Il a l'habitude de franchir la barrière à la poursuite du razéteur")</f>
        <v>B) Il a l'habitude de franchir la barrière à la poursuite du razéteur</v>
      </c>
      <c r="K125" s="5" t="str">
        <f>IFERROR(__xludf.DUMMYFUNCTION("GOOGLETRANSLATE(E125, ""en"", ""fr"")"),"C'est une caractéristique qui rend le taureau à la fois dangereux et extrêmement spectaculaire, et qui le rend très populaire auprès du public.")</f>
        <v>C'est une caractéristique qui rend le taureau à la fois dangereux et extrêmement spectaculaire, et qui le rend très populaire auprès du public.</v>
      </c>
    </row>
    <row r="126" ht="22.5" customHeight="1">
      <c r="A126" s="3">
        <v>125.0</v>
      </c>
      <c r="B126" s="4" t="s">
        <v>1730</v>
      </c>
      <c r="C126" s="4" t="s">
        <v>1496</v>
      </c>
      <c r="D126" s="4" t="s">
        <v>1497</v>
      </c>
      <c r="E126" s="4" t="s">
        <v>1498</v>
      </c>
      <c r="G126" s="5" t="str">
        <f>IFERROR(__xludf.DUMMYFUNCTION("GOOGLETRANSLATE(A126, ""en"", ""fr"")"),"125")</f>
        <v>125</v>
      </c>
      <c r="H126" s="5" t="str">
        <f>IFERROR(__xludf.DUMMYFUNCTION("GOOGLETRANSLATE(B126, ""en"", ""fr"")"),"Quelle est la décision rendue si un arracheur saisit la corne du taureau de sa main libre ?")</f>
        <v>Quelle est la décision rendue si un arracheur saisit la corne du taureau de sa main libre ?</v>
      </c>
      <c r="I126" s="5" t="str">
        <f>IFERROR(__xludf.DUMMYFUNCTION("GOOGLETRANSLATE(C126, ""en"", ""fr"")"),"A) C'est une manœuvre légale pour rétablir l'équilibre, B) C'est une faute grave et le razeteur est pénalisé, C) C'est autorisé si le taureau est agressif, D) Le point est rejoué")</f>
        <v>A) C'est une manœuvre légale pour rétablir l'équilibre, B) C'est une faute grave et le razeteur est pénalisé, C) C'est autorisé si le taureau est agressif, D) Le point est rejoué</v>
      </c>
      <c r="J126" s="5" t="str">
        <f>IFERROR(__xludf.DUMMYFUNCTION("GOOGLETRANSLATE(D126, ""en"", ""fr"")"),"B) C'est une faute grave, et le razéteur est sanctionné.")</f>
        <v>B) C'est une faute grave, et le razéteur est sanctionné.</v>
      </c>
      <c r="K126" s="5" t="str">
        <f>IFERROR(__xludf.DUMMYFUNCTION("GOOGLETRANSLATE(E126, ""en"", ""fr"")"),"Il est strictement interdit à un razeteur de toucher le taureau avec quelque partie que ce soit de son corps ou avec sa main libre.")</f>
        <v>Il est strictement interdit à un razeteur de toucher le taureau avec quelque partie que ce soit de son corps ou avec sa main libre.</v>
      </c>
    </row>
    <row r="127" ht="22.5" customHeight="1">
      <c r="A127" s="3">
        <v>126.0</v>
      </c>
      <c r="B127" s="4" t="s">
        <v>1731</v>
      </c>
      <c r="C127" s="4" t="s">
        <v>1732</v>
      </c>
      <c r="D127" s="4" t="s">
        <v>1733</v>
      </c>
      <c r="E127" s="4" t="s">
        <v>1734</v>
      </c>
      <c r="G127" s="5" t="str">
        <f>IFERROR(__xludf.DUMMYFUNCTION("GOOGLETRANSLATE(A127, ""en"", ""fr"")"),"126")</f>
        <v>126</v>
      </c>
      <c r="H127" s="5" t="str">
        <f>IFERROR(__xludf.DUMMYFUNCTION("GOOGLETRANSLATE(B127, ""en"", ""fr"")"),"Quel est le rôle principal du « délégué de la FFCC » (Federation Delegate) lors d'une course ?")</f>
        <v>Quel est le rôle principal du « délégué de la FFCC » (Federation Delegate) lors d'une course ?</v>
      </c>
      <c r="I127" s="5" t="str">
        <f>IFERROR(__xludf.DUMMYFUNCTION("GOOGLETRANSLATE(C127, ""en"", ""fr"")"),"A) Être l'arbitre principal, B) Être le représentant officiel de la fédération, veillant au respect des règles et procédures, C) Être le marqueur, D) Être l'organisateur de l'événement")</f>
        <v>A) Être l'arbitre principal, B) Être le représentant officiel de la fédération, veillant au respect des règles et procédures, C) Être le marqueur, D) Être l'organisateur de l'événement</v>
      </c>
      <c r="J127" s="5" t="str">
        <f>IFERROR(__xludf.DUMMYFUNCTION("GOOGLETRANSLATE(D127, ""en"", ""fr"")"),"B) Être le représentant officiel de la fédération, en veillant à ce que toutes les règles et procédures soient correctement respectées.")</f>
        <v>B) Être le représentant officiel de la fédération, en veillant à ce que toutes les règles et procédures soient correctement respectées.</v>
      </c>
      <c r="K127" s="5" t="str">
        <f>IFERROR(__xludf.DUMMYFUNCTION("GOOGLETRANSLATE(E127, ""en"", ""fr"")"),"Le délégué est la plus haute autorité de l'instance dirigeante, présente pour superviser l'ensemble de l'événement.")</f>
        <v>Le délégué est la plus haute autorité de l'instance dirigeante, présente pour superviser l'ensemble de l'événement.</v>
      </c>
    </row>
    <row r="128" ht="22.5" customHeight="1">
      <c r="A128" s="3">
        <v>127.0</v>
      </c>
      <c r="B128" s="4" t="s">
        <v>1735</v>
      </c>
      <c r="C128" s="4" t="s">
        <v>1736</v>
      </c>
      <c r="D128" s="4" t="s">
        <v>1737</v>
      </c>
      <c r="E128" s="4" t="s">
        <v>1738</v>
      </c>
      <c r="G128" s="5" t="str">
        <f>IFERROR(__xludf.DUMMYFUNCTION("GOOGLETRANSLATE(A128, ""en"", ""fr"")"),"127")</f>
        <v>127</v>
      </c>
      <c r="H128" s="5" t="str">
        <f>IFERROR(__xludf.DUMMYFUNCTION("GOOGLETRANSLATE(B128, ""en"", ""fr"")"),"Un taureau est appelé « cocardier difficile ». Qu'est-ce que cela signifie ?")</f>
        <v>Un taureau est appelé « cocardier difficile ». Qu'est-ce que cela signifie ?</v>
      </c>
      <c r="I128" s="5" t="str">
        <f>IFERROR(__xludf.DUMMYFUNCTION("GOOGLETRANSLATE(C128, ""en"", ""fr"")"),"A) Le taureau est très agressif. B) Le taureau est très intelligent et difficile à tromper, ce qui rend difficile la mémorisation de ses caractéristiques. C) Le taureau est vieux. D) Le taureau refuse de charger.")</f>
        <v>A) Le taureau est très agressif. B) Le taureau est très intelligent et difficile à tromper, ce qui rend difficile la mémorisation de ses caractéristiques. C) Le taureau est vieux. D) Le taureau refuse de charger.</v>
      </c>
      <c r="J128" s="5" t="str">
        <f>IFERROR(__xludf.DUMMYFUNCTION("GOOGLETRANSLATE(D128, ""en"", ""fr"")"),"B) Le taureau est très intelligent et difficile à tromper, ce qui rend difficile la prise de ses attributs")</f>
        <v>B) Le taureau est très intelligent et difficile à tromper, ce qui rend difficile la prise de ses attributs</v>
      </c>
      <c r="K128" s="5" t="str">
        <f>IFERROR(__xludf.DUMMYFUNCTION("GOOGLETRANSLATE(E128, ""en"", ""fr"")"),"Un taureau « difficile » est un taureau intelligent qui défend bien ses atouts, offrant un défi plus grand et un spectacle plus impressionnant.")</f>
        <v>Un taureau « difficile » est un taureau intelligent qui défend bien ses atouts, offrant un défi plus grand et un spectacle plus impressionnant.</v>
      </c>
    </row>
    <row r="129" ht="22.5" customHeight="1">
      <c r="A129" s="3">
        <v>128.0</v>
      </c>
      <c r="B129" s="4" t="s">
        <v>1739</v>
      </c>
      <c r="C129" s="4" t="s">
        <v>1740</v>
      </c>
      <c r="D129" s="4" t="s">
        <v>386</v>
      </c>
      <c r="E129" s="4" t="s">
        <v>1741</v>
      </c>
      <c r="G129" s="5" t="str">
        <f>IFERROR(__xludf.DUMMYFUNCTION("GOOGLETRANSLATE(A129, ""en"", ""fr"")"),"128")</f>
        <v>128</v>
      </c>
      <c r="H129" s="5" t="str">
        <f>IFERROR(__xludf.DUMMYFUNCTION("GOOGLETRANSLATE(B129, ""en"", ""fr"")"),"Quel est le rôle de la barrière en bois peinte en rouge (barricade) ?")</f>
        <v>Quel est le rôle de la barrière en bois peinte en rouge (barricade) ?</v>
      </c>
      <c r="I129" s="5" t="str">
        <f>IFERROR(__xludf.DUMMYFUNCTION("GOOGLETRANSLATE(C129, ""en"", ""fr"")"),"A) Pour maintenir le taureau dans l'arène, B) Pour servir de refuge aux organisateurs, C) Pour séparer les organisateurs de la foule, D) Toutes les réponses ci-dessus")</f>
        <v>A) Pour maintenir le taureau dans l'arène, B) Pour servir de refuge aux organisateurs, C) Pour séparer les organisateurs de la foule, D) Toutes les réponses ci-dessus</v>
      </c>
      <c r="J129" s="5" t="str">
        <f>IFERROR(__xludf.DUMMYFUNCTION("GOOGLETRANSLATE(D129, ""en"", ""fr"")"),"D) Toutes les réponses ci-dessus")</f>
        <v>D) Toutes les réponses ci-dessus</v>
      </c>
      <c r="K129" s="5" t="str">
        <f>IFERROR(__xludf.DUMMYFUNCTION("GOOGLETRANSLATE(E129, ""en"", ""fr"")"),"La barrière remplit toutes ces fonctions : elle contient l'action, sert de voie d'évacuation pour les hommes et protège les spectateurs.")</f>
        <v>La barrière remplit toutes ces fonctions : elle contient l'action, sert de voie d'évacuation pour les hommes et protège les spectateurs.</v>
      </c>
    </row>
    <row r="130" ht="22.5" customHeight="1">
      <c r="A130" s="3">
        <v>129.0</v>
      </c>
      <c r="B130" s="4" t="s">
        <v>1742</v>
      </c>
      <c r="C130" s="4" t="s">
        <v>1743</v>
      </c>
      <c r="D130" s="4" t="s">
        <v>1744</v>
      </c>
      <c r="E130" s="4" t="s">
        <v>1745</v>
      </c>
      <c r="G130" s="5" t="str">
        <f>IFERROR(__xludf.DUMMYFUNCTION("GOOGLETRANSLATE(A130, ""en"", ""fr"")"),"129")</f>
        <v>129</v>
      </c>
      <c r="H130" s="5" t="str">
        <f>IFERROR(__xludf.DUMMYFUNCTION("GOOGLETRANSLATE(B130, ""en"", ""fr"")"),"Quel est le nombre maximal de razeteurs pouvant se trouver simultanément dans le « passage des razeteurs » (l'espace entre les deux barrières) ?")</f>
        <v>Quel est le nombre maximal de razeteurs pouvant se trouver simultanément dans le « passage des razeteurs » (l'espace entre les deux barrières) ?</v>
      </c>
      <c r="I130" s="5" t="str">
        <f>IFERROR(__xludf.DUMMYFUNCTION("GOOGLETRANSLATE(C130, ""en"", ""fr"")"),"A) Un, B) Deux, C) Il n'y a pas de limite, D) Ce n'est pas autorisé")</f>
        <v>A) Un, B) Deux, C) Il n'y a pas de limite, D) Ce n'est pas autorisé</v>
      </c>
      <c r="J130" s="5" t="str">
        <f>IFERROR(__xludf.DUMMYFUNCTION("GOOGLETRANSLATE(D130, ""en"", ""fr"")"),"A) Un")</f>
        <v>A) Un</v>
      </c>
      <c r="K130" s="5" t="str">
        <f>IFERROR(__xludf.DUMMYFUNCTION("GOOGLETRANSLATE(E130, ""en"", ""fr"")"),"Pour des raisons de sécurité, un seul razeteur est autorisé à la fois dans ce couloir étroit.")</f>
        <v>Pour des raisons de sécurité, un seul razeteur est autorisé à la fois dans ce couloir étroit.</v>
      </c>
    </row>
    <row r="131" ht="22.5" customHeight="1">
      <c r="A131" s="3">
        <v>130.0</v>
      </c>
      <c r="B131" s="4" t="s">
        <v>1719</v>
      </c>
      <c r="C131" s="4" t="s">
        <v>1720</v>
      </c>
      <c r="D131" s="4" t="s">
        <v>1721</v>
      </c>
      <c r="E131" s="4" t="s">
        <v>1722</v>
      </c>
      <c r="G131" s="5" t="str">
        <f>IFERROR(__xludf.DUMMYFUNCTION("GOOGLETRANSLATE(A131, ""en"", ""fr"")"),"130")</f>
        <v>130</v>
      </c>
      <c r="H131" s="5" t="str">
        <f>IFERROR(__xludf.DUMMYFUNCTION("GOOGLETRANSLATE(B131, ""en"", ""fr"")"),"Un razeteur prend la cocarde, mais l'arbitre déclare que le raset était « boulevardié ». Que signifie cette faute ?")</f>
        <v>Un razeteur prend la cocarde, mais l'arbitre déclare que le raset était « boulevardié ». Que signifie cette faute ?</v>
      </c>
      <c r="I131" s="5" t="str">
        <f>IFERROR(__xludf.DUMMYFUNCTION("GOOGLETRANSLATE(C131, ""en"", ""fr"")"),"A) La course était trop droite et ne formait pas une courbe correcte. B) Le lanceur a couru hors de l'arène. C) La course était trop lente. D) La course était trop rapide.")</f>
        <v>A) La course était trop droite et ne formait pas une courbe correcte. B) Le lanceur a couru hors de l'arène. C) La course était trop lente. D) La course était trop rapide.</v>
      </c>
      <c r="J131" s="5" t="str">
        <f>IFERROR(__xludf.DUMMYFUNCTION("GOOGLETRANSLATE(D131, ""en"", ""fr"")"),"A) La piste était trop droite et non pas une courbe appropriée.")</f>
        <v>A) La piste était trop droite et non pas une courbe appropriée.</v>
      </c>
      <c r="K131" s="5" t="str">
        <f>IFERROR(__xludf.DUMMYFUNCTION("GOOGLETRANSLATE(E131, ""en"", ""fr"")"),"Un tracé légal doit comporter une courbe distincte. Un tracé en ligne droite constitue un raccourci illégal et les points marqués sont annulés.")</f>
        <v>Un tracé légal doit comporter une courbe distincte. Un tracé en ligne droite constitue un raccourci illégal et les points marqués sont annulés.</v>
      </c>
    </row>
    <row r="132" ht="22.5" customHeight="1">
      <c r="A132" s="3">
        <v>131.0</v>
      </c>
      <c r="B132" s="4" t="s">
        <v>1746</v>
      </c>
      <c r="C132" s="4" t="s">
        <v>1747</v>
      </c>
      <c r="D132" s="4" t="s">
        <v>1748</v>
      </c>
      <c r="E132" s="4" t="s">
        <v>1749</v>
      </c>
      <c r="G132" s="5" t="str">
        <f>IFERROR(__xludf.DUMMYFUNCTION("GOOGLETRANSLATE(A132, ""en"", ""fr"")"),"131")</f>
        <v>131</v>
      </c>
      <c r="H132" s="5" t="str">
        <f>IFERROR(__xludf.DUMMYFUNCTION("GOOGLETRANSLATE(B132, ""en"", ""fr"")"),"Le Course Camarguaise est avant tout un sport qui célèbre la relation entre quels trois éléments ?")</f>
        <v>Le Course Camarguaise est avant tout un sport qui célèbre la relation entre quels trois éléments ?</v>
      </c>
      <c r="I132" s="5" t="str">
        <f>IFERROR(__xludf.DUMMYFUNCTION("GOOGLETRANSLATE(C132, ""en"", ""fr"")"),"A) L'homme, le cheval et la mer, B) Le taureau, le cheval et le gardien, C) Le taureau, le razeteur et le paysage unique de la Camargue, D) Le razeteur, l'arbitre et la foule")</f>
        <v>A) L'homme, le cheval et la mer, B) Le taureau, le cheval et le gardien, C) Le taureau, le razeteur et le paysage unique de la Camargue, D) Le razeteur, l'arbitre et la foule</v>
      </c>
      <c r="J132" s="5" t="str">
        <f>IFERROR(__xludf.DUMMYFUNCTION("GOOGLETRANSLATE(D132, ""en"", ""fr"")"),"C) Le taureau, le razeteur et le paysage unique de la Camargue")</f>
        <v>C) Le taureau, le razeteur et le paysage unique de la Camargue</v>
      </c>
      <c r="K132" s="5" t="str">
        <f>IFERROR(__xludf.DUMMYFUNCTION("GOOGLETRANSLATE(E132, ""en"", ""fr"")"),"Ce sport est l'expression du lien culturel profond qui unit les hommes, les animaux et l'environnement spécifique de la Camargue.")</f>
        <v>Ce sport est l'expression du lien culturel profond qui unit les hommes, les animaux et l'environnement spécifique de la Camargue.</v>
      </c>
    </row>
    <row r="133" ht="22.5" customHeight="1">
      <c r="A133" s="3">
        <v>132.0</v>
      </c>
      <c r="B133" s="4" t="s">
        <v>1750</v>
      </c>
      <c r="C133" s="4" t="s">
        <v>1751</v>
      </c>
      <c r="D133" s="4" t="s">
        <v>1752</v>
      </c>
      <c r="E133" s="4" t="s">
        <v>1753</v>
      </c>
      <c r="G133" s="5" t="str">
        <f>IFERROR(__xludf.DUMMYFUNCTION("GOOGLETRANSLATE(A133, ""en"", ""fr"")"),"132")</f>
        <v>132</v>
      </c>
      <c r="H133" s="5" t="str">
        <f>IFERROR(__xludf.DUMMYFUNCTION("GOOGLETRANSLATE(B133, ""en"", ""fr"")"),"Qu'est-ce que la « Coupe des manadiers » (Breeders' Cup) ?")</f>
        <v>Qu'est-ce que la « Coupe des manadiers » (Breeders' Cup) ?</v>
      </c>
      <c r="I133" s="5" t="str">
        <f>IFERROR(__xludf.DUMMYFUNCTION("GOOGLETRANSLATE(C133, ""en"", ""fr"")"),"A) Une course pour les éleveurs, B) Une compétition où les éleveurs eux-mêmes s'affrontent, C) Un tournoi prestigieux où les troupeaux s'affrontent, D) Une course de chevaux")</f>
        <v>A) Une course pour les éleveurs, B) Une compétition où les éleveurs eux-mêmes s'affrontent, C) Un tournoi prestigieux où les troupeaux s'affrontent, D) Une course de chevaux</v>
      </c>
      <c r="J133" s="5" t="str">
        <f>IFERROR(__xludf.DUMMYFUNCTION("GOOGLETRANSLATE(D133, ""en"", ""fr"")"),"C) Un tournoi prestigieux où les troupeaux (manades) s'affrontent.")</f>
        <v>C) Un tournoi prestigieux où les troupeaux (manades) s'affrontent.</v>
      </c>
      <c r="K133" s="5" t="str">
        <f>IFERROR(__xludf.DUMMYFUNCTION("GOOGLETRANSLATE(E133, ""en"", ""fr"")"),"Il s'agit d'une compétition spéciale où la fierté des différents élevages est en jeu, mettant en valeur la qualité de leurs taureaux.")</f>
        <v>Il s'agit d'une compétition spéciale où la fierté des différents élevages est en jeu, mettant en valeur la qualité de leurs taureaux.</v>
      </c>
    </row>
    <row r="134" ht="22.5" customHeight="1">
      <c r="A134" s="3">
        <v>133.0</v>
      </c>
      <c r="B134" s="4" t="s">
        <v>1527</v>
      </c>
      <c r="C134" s="4" t="s">
        <v>1528</v>
      </c>
      <c r="D134" s="4" t="s">
        <v>1529</v>
      </c>
      <c r="E134" s="4" t="s">
        <v>1754</v>
      </c>
      <c r="G134" s="5" t="str">
        <f>IFERROR(__xludf.DUMMYFUNCTION("GOOGLETRANSLATE(A134, ""en"", ""fr"")"),"133")</f>
        <v>133</v>
      </c>
      <c r="H134" s="5" t="str">
        <f>IFERROR(__xludf.DUMMYFUNCTION("GOOGLETRANSLATE(B134, ""en"", ""fr"")"),"On loue le taureau pour sa « générosité ». Qu'est-ce que cela signifie ?")</f>
        <v>On loue le taureau pour sa « générosité ». Qu'est-ce que cela signifie ?</v>
      </c>
      <c r="I134" s="5" t="str">
        <f>IFERROR(__xludf.DUMMYFUNCTION("GOOGLETRANSLATE(C134, ""en"", ""fr"")"),"A) C'est un très gros taureau, B) Il charge facilement et participe activement au jeu, C) Il n'attaque pas les razeteurs, D) Il abandonne facilement ses attributs")</f>
        <v>A) C'est un très gros taureau, B) Il charge facilement et participe activement au jeu, C) Il n'attaque pas les razeteurs, D) Il abandonne facilement ses attributs</v>
      </c>
      <c r="J134" s="5" t="str">
        <f>IFERROR(__xludf.DUMMYFUNCTION("GOOGLETRANSLATE(D134, ""en"", ""fr"")"),"B) Il se recharge facilement et participe activement au jeu")</f>
        <v>B) Il se recharge facilement et participe activement au jeu</v>
      </c>
      <c r="K134" s="5" t="str">
        <f>IFERROR(__xludf.DUMMYFUNCTION("GOOGLETRANSLATE(E134, ""en"", ""fr"")"),"Un taureau « généreux » est celui qui offre un grand spectacle en s'engageant honnêtement et courageusement avec les arpenteurs.")</f>
        <v>Un taureau « généreux » est celui qui offre un grand spectacle en s'engageant honnêtement et courageusement avec les arpenteurs.</v>
      </c>
    </row>
    <row r="135" ht="22.5" customHeight="1">
      <c r="A135" s="3">
        <v>134.0</v>
      </c>
      <c r="B135" s="4" t="s">
        <v>1708</v>
      </c>
      <c r="C135" s="4" t="s">
        <v>1709</v>
      </c>
      <c r="D135" s="4" t="s">
        <v>1710</v>
      </c>
      <c r="E135" s="4" t="s">
        <v>1711</v>
      </c>
      <c r="G135" s="5" t="str">
        <f>IFERROR(__xludf.DUMMYFUNCTION("GOOGLETRANSLATE(A135, ""en"", ""fr"")"),"134")</f>
        <v>134</v>
      </c>
      <c r="H135" s="5" t="str">
        <f>IFERROR(__xludf.DUMMYFUNCTION("GOOGLETRANSLATE(B135, ""en"", ""fr"")"),"On dit qu'un taureau a « vu » un razeteur. Qu'est-ce que cela signifie ?")</f>
        <v>On dit qu'un taureau a « vu » un razeteur. Qu'est-ce que cela signifie ?</v>
      </c>
      <c r="I135" s="5" t="str">
        <f>IFERROR(__xludf.DUMMYFUNCTION("GOOGLETRANSLATE(C135, ""en"", ""fr"")"),"A) Le taureau a une bonne vue. B) Le taureau a repéré un taureau en particulier qui s'apprête à s'élancer et se concentre sur lui. C) Le taureau a peur. D) Le taureau est prêt à quitter l'arène.")</f>
        <v>A) Le taureau a une bonne vue. B) Le taureau a repéré un taureau en particulier qui s'apprête à s'élancer et se concentre sur lui. C) Le taureau a peur. D) Le taureau est prêt à quitter l'arène.</v>
      </c>
      <c r="J135" s="5" t="str">
        <f>IFERROR(__xludf.DUMMYFUNCTION("GOOGLETRANSLATE(D135, ""en"", ""fr"")"),"B) Le taureau a identifié et se concentre sur un razeteur spécifique qui se prépare à courir")</f>
        <v>B) Le taureau a identifié et se concentre sur un razeteur spécifique qui se prépare à courir</v>
      </c>
      <c r="K135" s="5" t="str">
        <f>IFERROR(__xludf.DUMMYFUNCTION("GOOGLETRANSLATE(E135, ""en"", ""fr"")"),"C’est un moment crucial où le taureau concentre toute son attention sur sa cible, préparant ainsi la charge pour le raset.")</f>
        <v>C’est un moment crucial où le taureau concentre toute son attention sur sa cible, préparant ainsi la charge pour le raset.</v>
      </c>
    </row>
    <row r="136" ht="22.5" customHeight="1">
      <c r="A136" s="3">
        <v>135.0</v>
      </c>
      <c r="B136" s="4" t="s">
        <v>1712</v>
      </c>
      <c r="C136" s="4" t="s">
        <v>1713</v>
      </c>
      <c r="D136" s="4" t="s">
        <v>1714</v>
      </c>
      <c r="E136" s="4" t="s">
        <v>1715</v>
      </c>
      <c r="G136" s="5" t="str">
        <f>IFERROR(__xludf.DUMMYFUNCTION("GOOGLETRANSLATE(A136, ""en"", ""fr"")"),"135")</f>
        <v>135</v>
      </c>
      <c r="H136" s="5" t="str">
        <f>IFERROR(__xludf.DUMMYFUNCTION("GOOGLETRANSLATE(B136, ""en"", ""fr"")"),"Quelle est la sanction infligée à un joueur de tournoi qui gêne illégalement le taureau ?")</f>
        <v>Quelle est la sanction infligée à un joueur de tournoi qui gêne illégalement le taureau ?</v>
      </c>
      <c r="I136" s="5" t="str">
        <f>IFERROR(__xludf.DUMMYFUNCTION("GOOGLETRANSLATE(C136, ""en"", ""fr"")"),"A) Aucune pénalité n'est infligée. B) Le tourteur est averti ou pénalisé, et tout point marqué est annulé. C) Le razeteur est pénalisé. D) Le taureau bénéficie d'un repos.")</f>
        <v>A) Aucune pénalité n'est infligée. B) Le tourteur est averti ou pénalisé, et tout point marqué est annulé. C) Le razeteur est pénalisé. D) Le taureau bénéficie d'un repos.</v>
      </c>
      <c r="J136" s="5" t="str">
        <f>IFERROR(__xludf.DUMMYFUNCTION("GOOGLETRANSLATE(D136, ""en"", ""fr"")"),"B) Le joueur participant au tournoi est averti ou pénalisé, et tout point marqué est annulé.")</f>
        <v>B) Le joueur participant au tournoi est averti ou pénalisé, et tout point marqué est annulé.</v>
      </c>
      <c r="K136" s="5" t="str">
        <f>IFERROR(__xludf.DUMMYFUNCTION("GOOGLETRANSLATE(E136, ""en"", ""fr"")"),"Les joueurs de tournoi peuvent seulement positionner le taureau, sans intervenir physiquement sur lui. Toute obstruction illégale constitue une faute d'équipe.")</f>
        <v>Les joueurs de tournoi peuvent seulement positionner le taureau, sans intervenir physiquement sur lui. Toute obstruction illégale constitue une faute d'équipe.</v>
      </c>
    </row>
    <row r="137" ht="22.5" customHeight="1">
      <c r="A137" s="3">
        <v>136.0</v>
      </c>
      <c r="B137" s="4" t="s">
        <v>1716</v>
      </c>
      <c r="C137" s="4" t="s">
        <v>1717</v>
      </c>
      <c r="D137" s="4" t="s">
        <v>1188</v>
      </c>
      <c r="E137" s="4" t="s">
        <v>1718</v>
      </c>
      <c r="G137" s="5" t="str">
        <f>IFERROR(__xludf.DUMMYFUNCTION("GOOGLETRANSLATE(A137, ""en"", ""fr"")"),"136")</f>
        <v>136</v>
      </c>
      <c r="H137" s="5" t="str">
        <f>IFERROR(__xludf.DUMMYFUNCTION("GOOGLETRANSLATE(B137, ""en"", ""fr"")"),"Un taureau est retiré de l'arène avant la fin de ses 15 minutes de compétition. Quelle en est la raison la plus probable ?")</f>
        <v>Un taureau est retiré de l'arène avant la fin de ses 15 minutes de compétition. Quelle en est la raison la plus probable ?</v>
      </c>
      <c r="I137" s="5" t="str">
        <f>IFERROR(__xludf.DUMMYFUNCTION("GOOGLETRANSLATE(C137, ""en"", ""fr"")"),"A) Il a perdu toutes ses capacités, B) Il présente des signes de blessure ou de fatigue excessive, C) Il n'est pas assez agressif, D) B et C")</f>
        <v>A) Il a perdu toutes ses capacités, B) Il présente des signes de blessure ou de fatigue excessive, C) Il n'est pas assez agressif, D) B et C</v>
      </c>
      <c r="J137" s="5" t="str">
        <f>IFERROR(__xludf.DUMMYFUNCTION("GOOGLETRANSLATE(D137, ""en"", ""fr"")"),"D) B et C")</f>
        <v>D) B et C</v>
      </c>
      <c r="K137" s="5" t="str">
        <f>IFERROR(__xludf.DUMMYFUNCTION("GOOGLETRANSLATE(E137, ""en"", ""fr"")"),"La vie d'un taureau peut être écourtée pour son propre bien-être s'il est blessé, ou s'il ne participe pas au combat et ne livre pas une compétition satisfaisante.")</f>
        <v>La vie d'un taureau peut être écourtée pour son propre bien-être s'il est blessé, ou s'il ne participe pas au combat et ne livre pas une compétition satisfaisante.</v>
      </c>
    </row>
    <row r="138" ht="22.5" customHeight="1">
      <c r="A138" s="3">
        <v>137.0</v>
      </c>
      <c r="B138" s="4" t="s">
        <v>1723</v>
      </c>
      <c r="C138" s="4" t="s">
        <v>1724</v>
      </c>
      <c r="D138" s="4" t="s">
        <v>1481</v>
      </c>
      <c r="E138" s="4" t="s">
        <v>1725</v>
      </c>
      <c r="G138" s="5" t="str">
        <f>IFERROR(__xludf.DUMMYFUNCTION("GOOGLETRANSLATE(A138, ""en"", ""fr"")"),"137")</f>
        <v>137</v>
      </c>
      <c r="H138" s="5" t="str">
        <f>IFERROR(__xludf.DUMMYFUNCTION("GOOGLETRANSLATE(B138, ""en"", ""fr"")"),"Quelle est la principale raison pour laquelle les pantalons blancs des razéteurs sont si moulants ?")</f>
        <v>Quelle est la principale raison pour laquelle les pantalons blancs des razéteurs sont si moulants ?</v>
      </c>
      <c r="I138" s="5" t="str">
        <f>IFERROR(__xludf.DUMMYFUNCTION("GOOGLETRANSLATE(C138, ""en"", ""fr"")"),"A) C'est une mode moderne, B) Pour éviter que la corne du taureau ne se prenne dans le tissu, C) Pour mettre en valeur les muscles du taureau, D) Pour améliorer l'aérodynamisme")</f>
        <v>A) C'est une mode moderne, B) Pour éviter que la corne du taureau ne se prenne dans le tissu, C) Pour mettre en valeur les muscles du taureau, D) Pour améliorer l'aérodynamisme</v>
      </c>
      <c r="J138" s="5" t="str">
        <f>IFERROR(__xludf.DUMMYFUNCTION("GOOGLETRANSLATE(D138, ""en"", ""fr"")"),"B) Pour éviter que la corne du taureau ne se prenne dans les tissus lâches")</f>
        <v>B) Pour éviter que la corne du taureau ne se prenne dans les tissus lâches</v>
      </c>
      <c r="K138" s="5" t="str">
        <f>IFERROR(__xludf.DUMMYFUNCTION("GOOGLETRANSLATE(E138, ""en"", ""fr"")"),"Il s'agit d'un élément de sécurité essentiel de l'uniforme, minimisant le risque qu'un klaxon se prenne dans les vêtements.")</f>
        <v>Il s'agit d'un élément de sécurité essentiel de l'uniforme, minimisant le risque qu'un klaxon se prenne dans les vêtements.</v>
      </c>
    </row>
    <row r="139" ht="22.5" customHeight="1">
      <c r="A139" s="3">
        <v>138.0</v>
      </c>
      <c r="B139" s="4" t="s">
        <v>1483</v>
      </c>
      <c r="C139" s="4" t="s">
        <v>1726</v>
      </c>
      <c r="D139" s="4" t="s">
        <v>1727</v>
      </c>
      <c r="E139" s="4" t="s">
        <v>1728</v>
      </c>
      <c r="G139" s="5" t="str">
        <f>IFERROR(__xludf.DUMMYFUNCTION("GOOGLETRANSLATE(A139, ""en"", ""fr"")"),"138")</f>
        <v>138</v>
      </c>
      <c r="H139" s="5" t="str">
        <f>IFERROR(__xludf.DUMMYFUNCTION("GOOGLETRANSLATE(B139, ""en"", ""fr"")"),"Un razeteur réussit à extraire la dernière corde (fielle) d'une corne de taureau. Que se passe-t-il ensuite ?")</f>
        <v>Un razeteur réussit à extraire la dernière corde (fielle) d'une corne de taureau. Que se passe-t-il ensuite ?</v>
      </c>
      <c r="I139" s="5" t="str">
        <f>IFERROR(__xludf.DUMMYFUNCTION("GOOGLETRANSLATE(C139, ""en"", ""fr"")"),"A) Le taureau est immédiatement remis dans l'arène, même si ses 15 minutes ne sont pas écoulées. B) De nouveaux attributs sont attribués au taureau. C) Le dresseur remporte la course. D) Le taureau bénéficie d'un repos.")</f>
        <v>A) Le taureau est immédiatement remis dans l'arène, même si ses 15 minutes ne sont pas écoulées. B) De nouveaux attributs sont attribués au taureau. C) Le dresseur remporte la course. D) Le taureau bénéficie d'un repos.</v>
      </c>
      <c r="J139" s="5" t="str">
        <f>IFERROR(__xludf.DUMMYFUNCTION("GOOGLETRANSLATE(D139, ""en"", ""fr"")"),"A) Le taureau est immédiatement remis dans l'arène, même si ses 15 minutes ne sont pas écoulées.")</f>
        <v>A) Le taureau est immédiatement remis dans l'arène, même si ses 15 minutes ne sont pas écoulées.</v>
      </c>
      <c r="K139" s="5" t="str">
        <f>IFERROR(__xludf.DUMMYFUNCTION("GOOGLETRANSLATE(E139, ""en"", ""fr"")"),"Le « travail » du taureau est terminé une fois que tous ses attributs ont été prélevés. On lui rend hommage en musique et on le ramène à son enclos.")</f>
        <v>Le « travail » du taureau est terminé une fois que tous ses attributs ont été prélevés. On lui rend hommage en musique et on le ramène à son enclos.</v>
      </c>
    </row>
    <row r="140" ht="22.5" customHeight="1">
      <c r="A140" s="3">
        <v>139.0</v>
      </c>
      <c r="B140" s="4" t="s">
        <v>1755</v>
      </c>
      <c r="C140" s="4" t="s">
        <v>1756</v>
      </c>
      <c r="D140" s="4" t="s">
        <v>1437</v>
      </c>
      <c r="E140" s="4" t="s">
        <v>1757</v>
      </c>
      <c r="G140" s="5" t="str">
        <f>IFERROR(__xludf.DUMMYFUNCTION("GOOGLETRANSLATE(A140, ""en"", ""fr"")"),"139")</f>
        <v>139</v>
      </c>
      <c r="H140" s="5" t="str">
        <f>IFERROR(__xludf.DUMMYFUNCTION("GOOGLETRANSLATE(B140, ""en"", ""fr"")"),"Un racleur est surpris à utiliser un crochet plus long que la longueur réglementaire. Quelle est la sanction ?")</f>
        <v>Un racleur est surpris à utiliser un crochet plus long que la longueur réglementaire. Quelle est la sanction ?</v>
      </c>
      <c r="I140" s="5" t="str">
        <f>IFERROR(__xludf.DUMMYFUNCTION("GOOGLETRANSLATE(C140, ""en"", ""fr"")"),"A) Un avertissement est donné, B) Le razeteur est disqualifié de la course, C) Le crochet est confisqué, D) Le razeteur peut continuer mais marque la moitié des points")</f>
        <v>A) Un avertissement est donné, B) Le razeteur est disqualifié de la course, C) Le crochet est confisqué, D) Le razeteur peut continuer mais marque la moitié des points</v>
      </c>
      <c r="J140" s="5" t="str">
        <f>IFERROR(__xludf.DUMMYFUNCTION("GOOGLETRANSLATE(D140, ""en"", ""fr"")"),"B) Le razeteur est disqualifié de la course")</f>
        <v>B) Le razeteur est disqualifié de la course</v>
      </c>
      <c r="K140" s="5" t="str">
        <f>IFERROR(__xludf.DUMMYFUNCTION("GOOGLETRANSLATE(E140, ""en"", ""fr"")"),"L'utilisation d'équipements non conformes à la réglementation, conférant un avantage indu, constitue une faute grave.")</f>
        <v>L'utilisation d'équipements non conformes à la réglementation, conférant un avantage indu, constitue une faute grave.</v>
      </c>
    </row>
    <row r="141" ht="22.5" customHeight="1">
      <c r="A141" s="3">
        <v>140.0</v>
      </c>
      <c r="B141" s="4" t="s">
        <v>1487</v>
      </c>
      <c r="C141" s="4" t="s">
        <v>1488</v>
      </c>
      <c r="D141" s="4" t="s">
        <v>1729</v>
      </c>
      <c r="E141" s="4" t="s">
        <v>1490</v>
      </c>
      <c r="G141" s="5" t="str">
        <f>IFERROR(__xludf.DUMMYFUNCTION("GOOGLETRANSLATE(A141, ""en"", ""fr"")"),"140")</f>
        <v>140</v>
      </c>
      <c r="H141" s="5" t="str">
        <f>IFERROR(__xludf.DUMMYFUNCTION("GOOGLETRANSLATE(B141, ""en"", ""fr"")"),"À quoi servent les lignes blanches peintes sur la piste de l'arène ?")</f>
        <v>À quoi servent les lignes blanches peintes sur la piste de l'arène ?</v>
      </c>
      <c r="I141" s="5" t="str">
        <f>IFERROR(__xludf.DUMMYFUNCTION("GOOGLETRANSLATE(C141, ""en"", ""fr"")"),"A) Elles servent à la décoration, B) Elles aident les dresseurs à évaluer la distance et la position par rapport au taureau, C) Elles délimitent le périmètre du taureau, D) Ce sont des lignes de service")</f>
        <v>A) Elles servent à la décoration, B) Elles aident les dresseurs à évaluer la distance et la position par rapport au taureau, C) Elles délimitent le périmètre du taureau, D) Ce sont des lignes de service</v>
      </c>
      <c r="J141" s="5" t="str">
        <f>IFERROR(__xludf.DUMMYFUNCTION("GOOGLETRANSLATE(D141, ""en"", ""fr"")"),"B) Ils aident le razeteur à évaluer leur distance et leur position par rapport au taureau.")</f>
        <v>B) Ils aident le razeteur à évaluer leur distance et leur position par rapport au taureau.</v>
      </c>
      <c r="K141" s="5" t="str">
        <f>IFERROR(__xludf.DUMMYFUNCTION("GOOGLETRANSLATE(E141, ""en"", ""fr"")"),"Ces lignes servent de repère visuel aux razeteurs pour les aider à synchroniser leur course et leur saut vers la barrière.")</f>
        <v>Ces lignes servent de repère visuel aux razeteurs pour les aider à synchroniser leur course et leur saut vers la barrière.</v>
      </c>
    </row>
    <row r="142" ht="22.5" customHeight="1">
      <c r="A142" s="3">
        <v>141.0</v>
      </c>
      <c r="B142" s="4" t="s">
        <v>1491</v>
      </c>
      <c r="C142" s="4" t="s">
        <v>1492</v>
      </c>
      <c r="D142" s="4" t="s">
        <v>1758</v>
      </c>
      <c r="E142" s="4" t="s">
        <v>1494</v>
      </c>
      <c r="G142" s="5" t="str">
        <f>IFERROR(__xludf.DUMMYFUNCTION("GOOGLETRANSLATE(A142, ""en"", ""fr"")"),"141")</f>
        <v>141</v>
      </c>
      <c r="H142" s="5" t="str">
        <f>IFERROR(__xludf.DUMMYFUNCTION("GOOGLETRANSLATE(B142, ""en"", ""fr"")"),"Un taureau a la réputation d'être un « sauteur ». Qu'est-ce que cela signifie ?")</f>
        <v>Un taureau a la réputation d'être un « sauteur ». Qu'est-ce que cela signifie ?</v>
      </c>
      <c r="I142" s="5" t="str">
        <f>IFERROR(__xludf.DUMMYFUNCTION("GOOGLETRANSLATE(C142, ""en"", ""fr"")"),"A) Il est très énergique, B) Il a l'habitude de sauter la barrière à la poursuite des razeteurs, C) Il saute par-dessus les razeteurs, D) C'est un jeune taureau")</f>
        <v>A) Il est très énergique, B) Il a l'habitude de sauter la barrière à la poursuite des razeteurs, C) Il saute par-dessus les razeteurs, D) C'est un jeune taureau</v>
      </c>
      <c r="J142" s="5" t="str">
        <f>IFERROR(__xludf.DUMMYFUNCTION("GOOGLETRANSLATE(D142, ""en"", ""fr"")"),"B) Il a l'habitude de franchir la barrière à la poursuite du razéteur")</f>
        <v>B) Il a l'habitude de franchir la barrière à la poursuite du razéteur</v>
      </c>
      <c r="K142" s="5" t="str">
        <f>IFERROR(__xludf.DUMMYFUNCTION("GOOGLETRANSLATE(E142, ""en"", ""fr"")"),"C'est une caractéristique qui rend le taureau à la fois dangereux et extrêmement spectaculaire, et qui le rend très populaire auprès du public.")</f>
        <v>C'est une caractéristique qui rend le taureau à la fois dangereux et extrêmement spectaculaire, et qui le rend très populaire auprès du public.</v>
      </c>
    </row>
    <row r="143" ht="22.5" customHeight="1">
      <c r="A143" s="3">
        <v>142.0</v>
      </c>
      <c r="B143" s="4" t="s">
        <v>1730</v>
      </c>
      <c r="C143" s="4" t="s">
        <v>1496</v>
      </c>
      <c r="D143" s="4" t="s">
        <v>1497</v>
      </c>
      <c r="E143" s="4" t="s">
        <v>1498</v>
      </c>
      <c r="G143" s="5" t="str">
        <f>IFERROR(__xludf.DUMMYFUNCTION("GOOGLETRANSLATE(A143, ""en"", ""fr"")"),"142")</f>
        <v>142</v>
      </c>
      <c r="H143" s="5" t="str">
        <f>IFERROR(__xludf.DUMMYFUNCTION("GOOGLETRANSLATE(B143, ""en"", ""fr"")"),"Quelle est la décision rendue si un arracheur saisit la corne du taureau de sa main libre ?")</f>
        <v>Quelle est la décision rendue si un arracheur saisit la corne du taureau de sa main libre ?</v>
      </c>
      <c r="I143" s="5" t="str">
        <f>IFERROR(__xludf.DUMMYFUNCTION("GOOGLETRANSLATE(C143, ""en"", ""fr"")"),"A) C'est une manœuvre légale pour rétablir l'équilibre, B) C'est une faute grave et le razeteur est pénalisé, C) C'est autorisé si le taureau est agressif, D) Le point est rejoué")</f>
        <v>A) C'est une manœuvre légale pour rétablir l'équilibre, B) C'est une faute grave et le razeteur est pénalisé, C) C'est autorisé si le taureau est agressif, D) Le point est rejoué</v>
      </c>
      <c r="J143" s="5" t="str">
        <f>IFERROR(__xludf.DUMMYFUNCTION("GOOGLETRANSLATE(D143, ""en"", ""fr"")"),"B) C'est une faute grave, et le razéteur est sanctionné.")</f>
        <v>B) C'est une faute grave, et le razéteur est sanctionné.</v>
      </c>
      <c r="K143" s="5" t="str">
        <f>IFERROR(__xludf.DUMMYFUNCTION("GOOGLETRANSLATE(E143, ""en"", ""fr"")"),"Il est strictement interdit à un razeteur de toucher le taureau avec quelque partie que ce soit de son corps ou avec sa main libre.")</f>
        <v>Il est strictement interdit à un razeteur de toucher le taureau avec quelque partie que ce soit de son corps ou avec sa main libre.</v>
      </c>
    </row>
    <row r="144" ht="22.5" customHeight="1">
      <c r="A144" s="3">
        <v>143.0</v>
      </c>
      <c r="B144" s="4" t="s">
        <v>1731</v>
      </c>
      <c r="C144" s="4" t="s">
        <v>1732</v>
      </c>
      <c r="D144" s="4" t="s">
        <v>1733</v>
      </c>
      <c r="E144" s="4" t="s">
        <v>1734</v>
      </c>
      <c r="G144" s="5" t="str">
        <f>IFERROR(__xludf.DUMMYFUNCTION("GOOGLETRANSLATE(A144, ""en"", ""fr"")"),"143")</f>
        <v>143</v>
      </c>
      <c r="H144" s="5" t="str">
        <f>IFERROR(__xludf.DUMMYFUNCTION("GOOGLETRANSLATE(B144, ""en"", ""fr"")"),"Quel est le rôle principal du « délégué de la FFCC » (Federation Delegate) lors d'une course ?")</f>
        <v>Quel est le rôle principal du « délégué de la FFCC » (Federation Delegate) lors d'une course ?</v>
      </c>
      <c r="I144" s="5" t="str">
        <f>IFERROR(__xludf.DUMMYFUNCTION("GOOGLETRANSLATE(C144, ""en"", ""fr"")"),"A) Être l'arbitre principal, B) Être le représentant officiel de la fédération, veillant au respect des règles et procédures, C) Être le marqueur, D) Être l'organisateur de l'événement")</f>
        <v>A) Être l'arbitre principal, B) Être le représentant officiel de la fédération, veillant au respect des règles et procédures, C) Être le marqueur, D) Être l'organisateur de l'événement</v>
      </c>
      <c r="J144" s="5" t="str">
        <f>IFERROR(__xludf.DUMMYFUNCTION("GOOGLETRANSLATE(D144, ""en"", ""fr"")"),"B) Être le représentant officiel de la fédération, en veillant à ce que toutes les règles et procédures soient correctement respectées.")</f>
        <v>B) Être le représentant officiel de la fédération, en veillant à ce que toutes les règles et procédures soient correctement respectées.</v>
      </c>
      <c r="K144" s="5" t="str">
        <f>IFERROR(__xludf.DUMMYFUNCTION("GOOGLETRANSLATE(E144, ""en"", ""fr"")"),"Le délégué est la plus haute autorité de l'instance dirigeante, présente pour superviser l'ensemble de l'événement.")</f>
        <v>Le délégué est la plus haute autorité de l'instance dirigeante, présente pour superviser l'ensemble de l'événement.</v>
      </c>
    </row>
    <row r="145" ht="22.5" customHeight="1">
      <c r="A145" s="3">
        <v>144.0</v>
      </c>
      <c r="B145" s="4" t="s">
        <v>1735</v>
      </c>
      <c r="C145" s="4" t="s">
        <v>1736</v>
      </c>
      <c r="D145" s="4" t="s">
        <v>1737</v>
      </c>
      <c r="E145" s="4" t="s">
        <v>1738</v>
      </c>
      <c r="G145" s="5" t="str">
        <f>IFERROR(__xludf.DUMMYFUNCTION("GOOGLETRANSLATE(A145, ""en"", ""fr"")"),"144")</f>
        <v>144</v>
      </c>
      <c r="H145" s="5" t="str">
        <f>IFERROR(__xludf.DUMMYFUNCTION("GOOGLETRANSLATE(B145, ""en"", ""fr"")"),"Un taureau est appelé « cocardier difficile ». Qu'est-ce que cela signifie ?")</f>
        <v>Un taureau est appelé « cocardier difficile ». Qu'est-ce que cela signifie ?</v>
      </c>
      <c r="I145" s="5" t="str">
        <f>IFERROR(__xludf.DUMMYFUNCTION("GOOGLETRANSLATE(C145, ""en"", ""fr"")"),"A) Le taureau est très agressif. B) Le taureau est très intelligent et difficile à tromper, ce qui rend difficile la mémorisation de ses caractéristiques. C) Le taureau est vieux. D) Le taureau refuse de charger.")</f>
        <v>A) Le taureau est très agressif. B) Le taureau est très intelligent et difficile à tromper, ce qui rend difficile la mémorisation de ses caractéristiques. C) Le taureau est vieux. D) Le taureau refuse de charger.</v>
      </c>
      <c r="J145" s="5" t="str">
        <f>IFERROR(__xludf.DUMMYFUNCTION("GOOGLETRANSLATE(D145, ""en"", ""fr"")"),"B) Le taureau est très intelligent et difficile à tromper, ce qui rend difficile la prise de ses attributs")</f>
        <v>B) Le taureau est très intelligent et difficile à tromper, ce qui rend difficile la prise de ses attributs</v>
      </c>
      <c r="K145" s="5" t="str">
        <f>IFERROR(__xludf.DUMMYFUNCTION("GOOGLETRANSLATE(E145, ""en"", ""fr"")"),"Un taureau « difficile » est un taureau intelligent qui défend bien ses atouts, offrant un défi plus grand et un spectacle plus impressionnant.")</f>
        <v>Un taureau « difficile » est un taureau intelligent qui défend bien ses atouts, offrant un défi plus grand et un spectacle plus impressionnant.</v>
      </c>
    </row>
    <row r="146" ht="22.5" customHeight="1">
      <c r="A146" s="3">
        <v>145.0</v>
      </c>
      <c r="B146" s="4" t="s">
        <v>1739</v>
      </c>
      <c r="C146" s="4" t="s">
        <v>1740</v>
      </c>
      <c r="D146" s="4" t="s">
        <v>386</v>
      </c>
      <c r="E146" s="4" t="s">
        <v>1741</v>
      </c>
      <c r="G146" s="5" t="str">
        <f>IFERROR(__xludf.DUMMYFUNCTION("GOOGLETRANSLATE(A146, ""en"", ""fr"")"),"145")</f>
        <v>145</v>
      </c>
      <c r="H146" s="5" t="str">
        <f>IFERROR(__xludf.DUMMYFUNCTION("GOOGLETRANSLATE(B146, ""en"", ""fr"")"),"Quel est le rôle de la barrière en bois peinte en rouge (barricade) ?")</f>
        <v>Quel est le rôle de la barrière en bois peinte en rouge (barricade) ?</v>
      </c>
      <c r="I146" s="5" t="str">
        <f>IFERROR(__xludf.DUMMYFUNCTION("GOOGLETRANSLATE(C146, ""en"", ""fr"")"),"A) Pour maintenir le taureau dans l'arène, B) Pour servir de refuge aux organisateurs, C) Pour séparer les organisateurs de la foule, D) Toutes les réponses ci-dessus")</f>
        <v>A) Pour maintenir le taureau dans l'arène, B) Pour servir de refuge aux organisateurs, C) Pour séparer les organisateurs de la foule, D) Toutes les réponses ci-dessus</v>
      </c>
      <c r="J146" s="5" t="str">
        <f>IFERROR(__xludf.DUMMYFUNCTION("GOOGLETRANSLATE(D146, ""en"", ""fr"")"),"D) Toutes les réponses ci-dessus")</f>
        <v>D) Toutes les réponses ci-dessus</v>
      </c>
      <c r="K146" s="5" t="str">
        <f>IFERROR(__xludf.DUMMYFUNCTION("GOOGLETRANSLATE(E146, ""en"", ""fr"")"),"La barrière remplit toutes ces fonctions : elle contient l'action, sert de voie d'évacuation pour les hommes et protège les spectateurs.")</f>
        <v>La barrière remplit toutes ces fonctions : elle contient l'action, sert de voie d'évacuation pour les hommes et protège les spectateurs.</v>
      </c>
    </row>
    <row r="147" ht="22.5" customHeight="1">
      <c r="A147" s="3">
        <v>146.0</v>
      </c>
      <c r="B147" s="4" t="s">
        <v>1742</v>
      </c>
      <c r="C147" s="4" t="s">
        <v>1743</v>
      </c>
      <c r="D147" s="4" t="s">
        <v>1744</v>
      </c>
      <c r="E147" s="4" t="s">
        <v>1745</v>
      </c>
      <c r="G147" s="5" t="str">
        <f>IFERROR(__xludf.DUMMYFUNCTION("GOOGLETRANSLATE(A147, ""en"", ""fr"")"),"146")</f>
        <v>146</v>
      </c>
      <c r="H147" s="5" t="str">
        <f>IFERROR(__xludf.DUMMYFUNCTION("GOOGLETRANSLATE(B147, ""en"", ""fr"")"),"Quel est le nombre maximal de razeteurs pouvant se trouver simultanément dans le « passage des razeteurs » (l'espace entre les deux barrières) ?")</f>
        <v>Quel est le nombre maximal de razeteurs pouvant se trouver simultanément dans le « passage des razeteurs » (l'espace entre les deux barrières) ?</v>
      </c>
      <c r="I147" s="5" t="str">
        <f>IFERROR(__xludf.DUMMYFUNCTION("GOOGLETRANSLATE(C147, ""en"", ""fr"")"),"A) Un, B) Deux, C) Il n'y a pas de limite, D) Ce n'est pas autorisé")</f>
        <v>A) Un, B) Deux, C) Il n'y a pas de limite, D) Ce n'est pas autorisé</v>
      </c>
      <c r="J147" s="5" t="str">
        <f>IFERROR(__xludf.DUMMYFUNCTION("GOOGLETRANSLATE(D147, ""en"", ""fr"")"),"A) Un")</f>
        <v>A) Un</v>
      </c>
      <c r="K147" s="5" t="str">
        <f>IFERROR(__xludf.DUMMYFUNCTION("GOOGLETRANSLATE(E147, ""en"", ""fr"")"),"Pour des raisons de sécurité, un seul razeteur est autorisé à la fois dans ce couloir étroit.")</f>
        <v>Pour des raisons de sécurité, un seul razeteur est autorisé à la fois dans ce couloir étroit.</v>
      </c>
    </row>
    <row r="148" ht="22.5" customHeight="1">
      <c r="A148" s="3">
        <v>147.0</v>
      </c>
      <c r="B148" s="4" t="s">
        <v>1719</v>
      </c>
      <c r="C148" s="4" t="s">
        <v>1720</v>
      </c>
      <c r="D148" s="4" t="s">
        <v>1721</v>
      </c>
      <c r="E148" s="4" t="s">
        <v>1722</v>
      </c>
      <c r="G148" s="5" t="str">
        <f>IFERROR(__xludf.DUMMYFUNCTION("GOOGLETRANSLATE(A148, ""en"", ""fr"")"),"147")</f>
        <v>147</v>
      </c>
      <c r="H148" s="5" t="str">
        <f>IFERROR(__xludf.DUMMYFUNCTION("GOOGLETRANSLATE(B148, ""en"", ""fr"")"),"Un razeteur prend la cocarde, mais l'arbitre déclare que le raset était « boulevardié ». Que signifie cette faute ?")</f>
        <v>Un razeteur prend la cocarde, mais l'arbitre déclare que le raset était « boulevardié ». Que signifie cette faute ?</v>
      </c>
      <c r="I148" s="5" t="str">
        <f>IFERROR(__xludf.DUMMYFUNCTION("GOOGLETRANSLATE(C148, ""en"", ""fr"")"),"A) La course était trop droite et ne formait pas une courbe correcte. B) Le lanceur a couru hors de l'arène. C) La course était trop lente. D) La course était trop rapide.")</f>
        <v>A) La course était trop droite et ne formait pas une courbe correcte. B) Le lanceur a couru hors de l'arène. C) La course était trop lente. D) La course était trop rapide.</v>
      </c>
      <c r="J148" s="5" t="str">
        <f>IFERROR(__xludf.DUMMYFUNCTION("GOOGLETRANSLATE(D148, ""en"", ""fr"")"),"A) La piste était trop droite et non pas une courbe appropriée.")</f>
        <v>A) La piste était trop droite et non pas une courbe appropriée.</v>
      </c>
      <c r="K148" s="5" t="str">
        <f>IFERROR(__xludf.DUMMYFUNCTION("GOOGLETRANSLATE(E148, ""en"", ""fr"")"),"Un tracé légal doit comporter une courbe distincte. Un tracé en ligne droite constitue un raccourci illégal et les points marqués sont annulés.")</f>
        <v>Un tracé légal doit comporter une courbe distincte. Un tracé en ligne droite constitue un raccourci illégal et les points marqués sont annulés.</v>
      </c>
    </row>
    <row r="149" ht="22.5" customHeight="1">
      <c r="A149" s="3">
        <v>148.0</v>
      </c>
      <c r="B149" s="4" t="s">
        <v>1746</v>
      </c>
      <c r="C149" s="4" t="s">
        <v>1747</v>
      </c>
      <c r="D149" s="4" t="s">
        <v>1748</v>
      </c>
      <c r="E149" s="4" t="s">
        <v>1749</v>
      </c>
      <c r="G149" s="5" t="str">
        <f>IFERROR(__xludf.DUMMYFUNCTION("GOOGLETRANSLATE(A149, ""en"", ""fr"")"),"148")</f>
        <v>148</v>
      </c>
      <c r="H149" s="5" t="str">
        <f>IFERROR(__xludf.DUMMYFUNCTION("GOOGLETRANSLATE(B149, ""en"", ""fr"")"),"Le Course Camarguaise est avant tout un sport qui célèbre la relation entre quels trois éléments ?")</f>
        <v>Le Course Camarguaise est avant tout un sport qui célèbre la relation entre quels trois éléments ?</v>
      </c>
      <c r="I149" s="5" t="str">
        <f>IFERROR(__xludf.DUMMYFUNCTION("GOOGLETRANSLATE(C149, ""en"", ""fr"")"),"A) L'homme, le cheval et la mer, B) Le taureau, le cheval et le gardien, C) Le taureau, le razeteur et le paysage unique de la Camargue, D) Le razeteur, l'arbitre et la foule")</f>
        <v>A) L'homme, le cheval et la mer, B) Le taureau, le cheval et le gardien, C) Le taureau, le razeteur et le paysage unique de la Camargue, D) Le razeteur, l'arbitre et la foule</v>
      </c>
      <c r="J149" s="5" t="str">
        <f>IFERROR(__xludf.DUMMYFUNCTION("GOOGLETRANSLATE(D149, ""en"", ""fr"")"),"C) Le taureau, le razeteur et le paysage unique de la Camargue")</f>
        <v>C) Le taureau, le razeteur et le paysage unique de la Camargue</v>
      </c>
      <c r="K149" s="5" t="str">
        <f>IFERROR(__xludf.DUMMYFUNCTION("GOOGLETRANSLATE(E149, ""en"", ""fr"")"),"Ce sport est l'expression du lien culturel profond qui unit les hommes, les animaux et l'environnement spécifique de la Camargue.")</f>
        <v>Ce sport est l'expression du lien culturel profond qui unit les hommes, les animaux et l'environnement spécifique de la Camargue.</v>
      </c>
    </row>
    <row r="150" ht="22.5" customHeight="1">
      <c r="A150" s="3">
        <v>149.0</v>
      </c>
      <c r="B150" s="4" t="s">
        <v>1483</v>
      </c>
      <c r="C150" s="4" t="s">
        <v>1726</v>
      </c>
      <c r="D150" s="4" t="s">
        <v>1727</v>
      </c>
      <c r="E150" s="4" t="s">
        <v>1728</v>
      </c>
      <c r="G150" s="5" t="str">
        <f>IFERROR(__xludf.DUMMYFUNCTION("GOOGLETRANSLATE(A150, ""en"", ""fr"")"),"149")</f>
        <v>149</v>
      </c>
      <c r="H150" s="5" t="str">
        <f>IFERROR(__xludf.DUMMYFUNCTION("GOOGLETRANSLATE(B150, ""en"", ""fr"")"),"Un razeteur réussit à extraire la dernière corde (fielle) d'une corne de taureau. Que se passe-t-il ensuite ?")</f>
        <v>Un razeteur réussit à extraire la dernière corde (fielle) d'une corne de taureau. Que se passe-t-il ensuite ?</v>
      </c>
      <c r="I150" s="5" t="str">
        <f>IFERROR(__xludf.DUMMYFUNCTION("GOOGLETRANSLATE(C150, ""en"", ""fr"")"),"A) Le taureau est immédiatement remis dans l'arène, même si ses 15 minutes ne sont pas écoulées. B) De nouveaux attributs sont attribués au taureau. C) Le dresseur remporte la course. D) Le taureau bénéficie d'un repos.")</f>
        <v>A) Le taureau est immédiatement remis dans l'arène, même si ses 15 minutes ne sont pas écoulées. B) De nouveaux attributs sont attribués au taureau. C) Le dresseur remporte la course. D) Le taureau bénéficie d'un repos.</v>
      </c>
      <c r="J150" s="5" t="str">
        <f>IFERROR(__xludf.DUMMYFUNCTION("GOOGLETRANSLATE(D150, ""en"", ""fr"")"),"A) Le taureau est immédiatement remis dans l'arène, même si ses 15 minutes ne sont pas écoulées.")</f>
        <v>A) Le taureau est immédiatement remis dans l'arène, même si ses 15 minutes ne sont pas écoulées.</v>
      </c>
      <c r="K150" s="5" t="str">
        <f>IFERROR(__xludf.DUMMYFUNCTION("GOOGLETRANSLATE(E150, ""en"", ""fr"")"),"Le « travail » du taureau est terminé une fois que tous ses attributs ont été prélevés. On lui rend hommage en musique et on le ramène à son enclos.")</f>
        <v>Le « travail » du taureau est terminé une fois que tous ses attributs ont été prélevés. On lui rend hommage en musique et on le ramène à son enclos.</v>
      </c>
    </row>
    <row r="151" ht="22.5" customHeight="1">
      <c r="A151" s="3">
        <v>150.0</v>
      </c>
      <c r="B151" s="4" t="s">
        <v>1527</v>
      </c>
      <c r="C151" s="4" t="s">
        <v>1528</v>
      </c>
      <c r="D151" s="4" t="s">
        <v>1529</v>
      </c>
      <c r="E151" s="4" t="s">
        <v>1754</v>
      </c>
      <c r="G151" s="5" t="str">
        <f>IFERROR(__xludf.DUMMYFUNCTION("GOOGLETRANSLATE(A151, ""en"", ""fr"")"),"150")</f>
        <v>150</v>
      </c>
      <c r="H151" s="5" t="str">
        <f>IFERROR(__xludf.DUMMYFUNCTION("GOOGLETRANSLATE(B151, ""en"", ""fr"")"),"On loue le taureau pour sa « générosité ». Qu'est-ce que cela signifie ?")</f>
        <v>On loue le taureau pour sa « générosité ». Qu'est-ce que cela signifie ?</v>
      </c>
      <c r="I151" s="5" t="str">
        <f>IFERROR(__xludf.DUMMYFUNCTION("GOOGLETRANSLATE(C151, ""en"", ""fr"")"),"A) C'est un très gros taureau, B) Il charge facilement et participe activement au jeu, C) Il n'attaque pas les razeteurs, D) Il abandonne facilement ses attributs")</f>
        <v>A) C'est un très gros taureau, B) Il charge facilement et participe activement au jeu, C) Il n'attaque pas les razeteurs, D) Il abandonne facilement ses attributs</v>
      </c>
      <c r="J151" s="5" t="str">
        <f>IFERROR(__xludf.DUMMYFUNCTION("GOOGLETRANSLATE(D151, ""en"", ""fr"")"),"B) Il se recharge facilement et participe activement au jeu")</f>
        <v>B) Il se recharge facilement et participe activement au jeu</v>
      </c>
      <c r="K151" s="5" t="str">
        <f>IFERROR(__xludf.DUMMYFUNCTION("GOOGLETRANSLATE(E151, ""en"", ""fr"")"),"Un taureau « généreux » est celui qui offre un grand spectacle en s'engageant honnêtement et courageusement avec les arpenteurs.")</f>
        <v>Un taureau « généreux » est celui qui offre un grand spectacle en s'engageant honnêtement et courageusement avec les arpenteurs.</v>
      </c>
    </row>
  </sheetData>
  <drawing r:id="rId1"/>
  <tableParts count="2">
    <tablePart r:id="rId4"/>
    <tablePart r:id="rId5"/>
  </tableParts>
</worksheet>
</file>
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wing" sheetId="1" r:id="rId4"/>
    <sheet state="visible" name="Bosseln" sheetId="2" r:id="rId5"/>
    <sheet state="visible" name="skat" sheetId="3" r:id="rId6"/>
    <sheet state="visible" name="Klootschießen" sheetId="4" r:id="rId7"/>
    <sheet state="hidden" name="Soccer" sheetId="5" r:id="rId8"/>
    <sheet state="visible" name="Radball" sheetId="6" r:id="rId9"/>
    <sheet state="visible" name="Quoits" sheetId="7" r:id="rId10"/>
  </sheets>
  <definedNames/>
  <calcPr/>
</workbook>
</file>

<file path=xl/sharedStrings.xml><?xml version="1.0" encoding="utf-8"?>
<sst xmlns="http://schemas.openxmlformats.org/spreadsheetml/2006/main" count="5586" uniqueCount="4604">
  <si>
    <t>Question no.</t>
  </si>
  <si>
    <t>Question</t>
  </si>
  <si>
    <t>Options</t>
  </si>
  <si>
    <t>Answer</t>
  </si>
  <si>
    <t>Description</t>
  </si>
  <si>
    <t>Fragen</t>
  </si>
  <si>
    <t>Options2</t>
  </si>
  <si>
    <t>Richtige Antwort</t>
  </si>
  <si>
    <t>A. In the year 1715 B. In 1829 C. In the year 1490 D. In 1865</t>
  </si>
  <si>
    <t>Wann fand das erste dokumentierte Ruderrennen statt?</t>
  </si>
  <si>
    <t>Im Jahr 1715</t>
  </si>
  <si>
    <t>Das erste dokumentierte Ruderrennen fand im Jahr 1715 auf der Themse in England statt.</t>
  </si>
  <si>
    <t>A. The Oxford-Cambridge Boat Race B. The Doggett's Coat and Badge Race C. The Henley Royal Regatta D. The World Rowing Championship</t>
  </si>
  <si>
    <t>Welches ist das älteste bekannte Ruderrennen der Welt?</t>
  </si>
  <si>
    <t>The Doggett's Coat and Badge Race</t>
  </si>
  <si>
    <t>Dieses Rennen wurde 1715 erstmals auf der Themse ausgetragen und ist das älteste bekannte Ruderrennen.</t>
  </si>
  <si>
    <t>A. 1829 B. 1920 C. 1905 D. 1850</t>
  </si>
  <si>
    <t>Wann fand die erste Oxford-Cambridge Bootsrace statt?</t>
  </si>
  <si>
    <t>Die erste Oxford-Cambridge Bootsrace wurde 1829 veranstaltet und ist heute ein berühmtes jährliches Ereignis.</t>
  </si>
  <si>
    <t>A. 1896 B. 1900 C. 1924 D. 1936</t>
  </si>
  <si>
    <t>In welchem Jahr wurde Rudern erstmals bei den Olympischen Spielen eingeführt?</t>
  </si>
  <si>
    <t>Rudern wurde erstmals bei den Olympischen Spielen 1900 in Paris ausgetragen.</t>
  </si>
  <si>
    <t>A. USA B. Germany C. Great Britain D. Italy</t>
  </si>
  <si>
    <t>Welche Nation hat die meisten olympischen Goldmedaillen im Rudern gewonnen?</t>
  </si>
  <si>
    <t>USA</t>
  </si>
  <si>
    <t>Die USA haben die meisten olympischen Goldmedaillen im Rudern gewonnen.</t>
  </si>
  <si>
    <t>A. Henley Royal Regatta B. The Boat Race C. World Rowing Championship D. Head of the Charles</t>
  </si>
  <si>
    <t>Welcher Wettbewerb wird oft als das prestigeträchtigste Ruderrennen der Welt angesehen?</t>
  </si>
  <si>
    <t>Henley Royal Regatta</t>
  </si>
  <si>
    <t>Die Henley Royal Regatta in England ist eines der prestigeträchtigsten Ruderrennen der Welt.</t>
  </si>
  <si>
    <t>A. 1892 B. 1900 C. 1888 D. 1912</t>
  </si>
  <si>
    <t>Wann wurde die FISA, der internationale Ruderverband, gegründet?</t>
  </si>
  <si>
    <t>Die FISA wurde 1892 gegründet und ist der älteste internationale Sportverband.</t>
  </si>
  <si>
    <t>A. Soviet Union B. USA C. Germany D. Great Britain</t>
  </si>
  <si>
    <t>Welches Land gewann die erste Weltmeisterschaft im Rudern im Jahr 1962?</t>
  </si>
  <si>
    <t>Sowjetunion</t>
  </si>
  <si>
    <t>Die Sowjetunion gewann die erste Weltmeisterschaft im Rudern 1962 in Luzern.</t>
  </si>
  <si>
    <t>A. 1839 B. 1900 C. 1850 D. 1820</t>
  </si>
  <si>
    <t>Wann wurde die Henley Royal Regatta gegründet?</t>
  </si>
  <si>
    <t>Die Henley Royal Regatta wurde 1839 in England gegründet.</t>
  </si>
  <si>
    <t>A. Steve Redgrave B. Matthew Pinsent C. James Cracknell D. Mahe Drysdale</t>
  </si>
  <si>
    <t>Welcher Ruderer gewann bei den Olympischen Spielen 2000 in Sydney drei Goldmedaillen?</t>
  </si>
  <si>
    <t>Steve Redgrave</t>
  </si>
  <si>
    <t>Steve Redgrave gewann fünf Goldmedaillen bei fünf verschiedenen Olympischen Spielen.</t>
  </si>
  <si>
    <t>A. 1976 B. 1980 C. 1968 D. 1984</t>
  </si>
  <si>
    <t>In welchem Jahr wurde Rudern für Frauen bei den Olympischen Spielen eingeführt?</t>
  </si>
  <si>
    <t>Frauenrudern wurde erstmals bei den Olympischen Spielen 1976 in Montreal ausgetragen.</t>
  </si>
  <si>
    <t>A. Lucerne B. Henley C. Boston D. Amsterdam</t>
  </si>
  <si>
    <t>Welche Stadt war Gastgeber der ersten Weltmeisterschaft im Rudern?</t>
  </si>
  <si>
    <t>Luzern</t>
  </si>
  <si>
    <t>Die erste Weltmeisterschaft im Rudern fand 1962 in Luzern statt.</t>
  </si>
  <si>
    <t>A. 1000 meters B. 2000 meters C. 2500 meters D. 1500 meters</t>
  </si>
  <si>
    <t>Welche Distanz ist bei olympischen Ruderrennen Standard?</t>
  </si>
  <si>
    <t>2000 Meter</t>
  </si>
  <si>
    <t>Die Standarddistanz für olympische Ruderrennen beträgt 2000 Meter.</t>
  </si>
  <si>
    <t>A. 1882 B. 1890 C. 1875 D. 1900</t>
  </si>
  <si>
    <t>Wann wurde die erste deutsche Meisterschaft im Rudern ausgetragen?</t>
  </si>
  <si>
    <t>Die erste deutsche Meisterschaft im Rudern fand 1882 statt.</t>
  </si>
  <si>
    <t>A. Steve Redgrave B. Olaf Tufte C. Matthew Pinsent D. James Cracknell</t>
  </si>
  <si>
    <t>Wer gilt als einer der erfolgreichsten Ruderer aller Zeiten?</t>
  </si>
  <si>
    <t>Steve Redgrave ist einer der erfolgreichsten Ruderer mit fünf Olympiasiegen.</t>
  </si>
  <si>
    <t>A. Rome B. Paris C. Berlin D. Vienna</t>
  </si>
  <si>
    <t>Welche Stadt war 1893 Gastgeber der ersten europäischen Ruderkonferenz?</t>
  </si>
  <si>
    <t>Wien</t>
  </si>
  <si>
    <t>Die erste europäische Ruderkonferenz fand 1893 in Wien statt.</t>
  </si>
  <si>
    <t>A. 1968 B. 1981 C. 1950 D. 1975</t>
  </si>
  <si>
    <t>Wann wurde das erste Ruderergometer erfunden?</t>
  </si>
  <si>
    <t>Das erste moderne Ruderergometer wurde 1981 entwickelt.</t>
  </si>
  <si>
    <t>A. German Rowing Championship B. Berlin Eight C. Hamburg Regatta D. Mainz Eight</t>
  </si>
  <si>
    <t>Welches ist das älteste Ruderrennen in Deutschland?</t>
  </si>
  <si>
    <t>Hamburger Regatta</t>
  </si>
  <si>
    <t>Die Hamburger Regatta ist das älteste Ruderrennen in Deutschland.</t>
  </si>
  <si>
    <t>A. 1974 B. 1980 C. 1969 D. 1985</t>
  </si>
  <si>
    <t>Welches Jahr markierte die Einführung von Leichtgewichtsrennen bei den Weltmeisterschaften?</t>
  </si>
  <si>
    <t>Leichtgewichtsrennen wurden erstmals 1974 bei den Weltmeisterschaften eingeführt.</t>
  </si>
  <si>
    <t>A. Victory B. Lady Margaret C. Cambridge Blue D. Oxford Eight</t>
  </si>
  <si>
    <t>Welches Boot gewann die erste Henley-Regatta?</t>
  </si>
  <si>
    <t>Lady Margaret</t>
  </si>
  <si>
    <t>Das Boot 'Lady Margaret' gewann die erste Henley-Regatta im Jahr 1839.</t>
  </si>
  <si>
    <t>A. 1974 B. 1980 C. 1978 D. 1969</t>
  </si>
  <si>
    <t>Wann wurde die erste Frauen-Weltmeisterschaft im Rudern ausgetragen?</t>
  </si>
  <si>
    <t>Die erste Frauen-Weltmeisterschaft im Rudern fand 1974 statt.</t>
  </si>
  <si>
    <t>A. The Danube B. The Thames C. The Rhine D. The Elbe</t>
  </si>
  <si>
    <t>Welcher berühmte Fluss ist Schauplatz der Boat Race zwischen Oxford und Cambridge?</t>
  </si>
  <si>
    <t>Die Themse</t>
  </si>
  <si>
    <t>Die Themse ist Schauplatz des legendären Boat Race zwischen Oxford und Cambridge.</t>
  </si>
  <si>
    <t>A. 1996 B. 1988 C. 2000 D. 1992</t>
  </si>
  <si>
    <t>In welchem Jahr wurden Ruderrennen mit Leichtgewichtsklassen in die Olympischen Spiele aufgenommen?</t>
  </si>
  <si>
    <t>1996 wurden Leichtgewichtsklassen erstmals in das olympische Rudern integriert.</t>
  </si>
  <si>
    <t>A. 1869 B. 1830 C. 1892 D. 1875</t>
  </si>
  <si>
    <t>Welches Jahr markierte den Beginn des modernen Rudersports?</t>
  </si>
  <si>
    <t>Der moderne Rudersport begann um 1830 mit dem Aufkommen organisierter Rennen.</t>
  </si>
  <si>
    <t>A. Eight B. double sculls C. two D. One</t>
  </si>
  <si>
    <t>Welches Boot ist traditionell das schnellste in einem Rennen?</t>
  </si>
  <si>
    <t>Achter</t>
  </si>
  <si>
    <t>Der Achter ist das schnellste Boot in einem Ruderrennen aufgrund seiner Teamgröße und Koordination.</t>
  </si>
  <si>
    <t>A. Frankfurt Rowing Club B. Berlin Rowing Club C. Hamburg Rowing Club D. Lübeck Rowing Club</t>
  </si>
  <si>
    <t>Welcher deutsche Verein wurde 1836 gegründet und ist einer der ältesten der Welt?</t>
  </si>
  <si>
    <t>Hamburger Ruderverein</t>
  </si>
  <si>
    <t>Der Hamburger Ruderverein wurde 1836 gegründet und ist einer der ältesten der Welt.</t>
  </si>
  <si>
    <t>A. 1976 B. 1984 C. 1980 D. 1992</t>
  </si>
  <si>
    <t>Wann fand das erste olympische Finale im Frauenrudern statt?</t>
  </si>
  <si>
    <t>Das erste olympische Frauenrudern fand bei den Spielen 1976 in Montreal statt.</t>
  </si>
  <si>
    <t>A. Boston B. Philadelphia C. new York D. Chicago</t>
  </si>
  <si>
    <t>Welche Stadt war Gastgeber der ersten offiziellen Ruderregatta in den USA?</t>
  </si>
  <si>
    <t>New York</t>
  </si>
  <si>
    <t>Die erste offizielle Ruderregatta in den USA fand 1834 in New York statt.</t>
  </si>
  <si>
    <t>A. Head of the Charles B. Masters Rowing C. European Rowing Championships D. Coastal Rowing</t>
  </si>
  <si>
    <t>Welche Ruderveranstaltung wurde 1965 ins Leben gerufen, um den Breitensport zu fördern?</t>
  </si>
  <si>
    <t>Masters Rowing</t>
  </si>
  <si>
    <t>Masters Rowing wurde 1965 ins Leben gerufen, um ältere Ruderer zu fördern.</t>
  </si>
  <si>
    <t>A. Olaf Tufte B. Mahe Drysdale C. Marcel Hacker D. Tim Grohmann</t>
  </si>
  <si>
    <t>Welcher deutsche Ruderer gewann bei den Olympischen Spielen 2012 Gold im Einer?</t>
  </si>
  <si>
    <t>Marcel Hacker</t>
  </si>
  <si>
    <t>Marcel Hacker ist bekannt für seine Leistungen im Einer-Rudern.</t>
  </si>
  <si>
    <t>A. 1972 B. 1980 C. 1985 D. 1990</t>
  </si>
  <si>
    <t>In welchem Jahr wurden elektronische Startsysteme bei internationalen Regatten eingeführt?</t>
  </si>
  <si>
    <t>Elektronische Startsysteme wurden 1980 bei internationalen Regatten eingeführt.</t>
  </si>
  <si>
    <t>A. Yale-Harvard Boat Race B. Stanford-UC Boat Race C. Cornell-Brown Regatta D. Dartmouth-Princeton Regatta</t>
  </si>
  <si>
    <t>Welches Ruderrennen wurde 1852 zwischen zwei US-Universitäten ins Leben gerufen?</t>
  </si>
  <si>
    <t>Yale-Harvard Boat Race</t>
  </si>
  <si>
    <t>Das Yale-Harvard Boat Race ist eines der ältesten US-Ruderrennen.</t>
  </si>
  <si>
    <t>A. 1968 B. 1972 C. 1980 D. 1984</t>
  </si>
  <si>
    <t>Welches Jahr markierte die erste Teilnahme afrikanischer Ruderer bei den Olympischen Spielen?</t>
  </si>
  <si>
    <t>Afrikanische Ruderer nahmen 1968 erstmals an den Olympischen Spielen teil.</t>
  </si>
  <si>
    <t>A. FISA B. USRowing C. British Rowing D. Rowing Australia</t>
  </si>
  <si>
    <t>Welcher Ruderverband fördert seit 1991 das Para-Rudern?</t>
  </si>
  <si>
    <t>FISA</t>
  </si>
  <si>
    <t>Die FISA fördert das Para-Rudern seit 1991.</t>
  </si>
  <si>
    <t>A. Doggett's Coat and Badge Race B. King George V Cup C. Queen's Rowing Trophy D. Henley King Regatta</t>
  </si>
  <si>
    <t>Welcher Wettbewerb wurde nach einem britischen Monarchen benannt?</t>
  </si>
  <si>
    <t>Doggett's Coat and Badge Race</t>
  </si>
  <si>
    <t>Das Rennen wurde nach einem Schauspieler zu Ehren der britischen Monarchie benannt.</t>
  </si>
  <si>
    <t>A. Olaf Tufte B. Mahe Drysdale C. Paul O'Donovan D. Rene Holten Poulsen</t>
  </si>
  <si>
    <t>Wer ist der jüngste Weltmeister im Einer der Männer?</t>
  </si>
  <si>
    <t>Paul O'Donovan</t>
  </si>
  <si>
    <t>Paul O'Donovan wurde als jüngster Weltmeister bekannt.</t>
  </si>
  <si>
    <t>A. To get the boat across the finish line as quickly as possible. B. To stabilize the boat before everyone else C. To navigate the boat safely D. To navigate the boat without collisions</t>
  </si>
  <si>
    <t>Was ist das Hauptziel im Rudern?</t>
  </si>
  <si>
    <t>Das Boot am schnellsten über die Ziellinie zu bringen</t>
  </si>
  <si>
    <t>Im Rudern ist das Ziel, das Boot so schnell wie möglich über die Ziellinie zu bringen.</t>
  </si>
  <si>
    <t>A. 6 B. 8 C. 10 D. 4</t>
  </si>
  <si>
    <t>Wie viele Personen sind in einem Achter normalerweise vertreten?</t>
  </si>
  <si>
    <t>Ein Achter besteht normalerweise aus 8 Ruderern.</t>
  </si>
  <si>
    <t>A. The team loses immediately B. The boat is disqualified. C. The race continues D. The error is ignored.</t>
  </si>
  <si>
    <t>Was passiert, wenn ein Ruderer beim Rennen einen Fehler macht?</t>
  </si>
  <si>
    <t>Das Boot wird disqualifiziert</t>
  </si>
  <si>
    <t>Fehler im Rennen können zur Disqualifikation des Bootes führen.</t>
  </si>
  <si>
    <t>A. double sculls B. One C. Eight D. Coxless four</t>
  </si>
  <si>
    <t>Welcher Ruderboot-Typ wird im Rudern auf der Olympischen Ebene verwendet?</t>
  </si>
  <si>
    <t>Der Achter ist der häufigste Bootstyp in Olympischen Rennen.</t>
  </si>
  <si>
    <t>A. After time B. By speed C. Based on the number of strokes D. Based on the distance between the boats</t>
  </si>
  <si>
    <t>Wie wird der Abstand in einem Ruderrennen gemessen?</t>
  </si>
  <si>
    <t>Nach Zeit</t>
  </si>
  <si>
    <t>Der Abstand in einem Ruderrennen wird nach der Zeit gemessen, die jedes Boot benötigt, um die Ziellinie zu erreichen.</t>
  </si>
  <si>
    <t>A. The direction the boat is traveling in B. The way the boat is steered C. The distance a boat travels D. The boat's momentum behavior</t>
  </si>
  <si>
    <t>Was ist eine 'Zugbahn' im Rudern?</t>
  </si>
  <si>
    <t>Die Richtung, in die das Boot fährt</t>
  </si>
  <si>
    <t>Die Zugbahn bezeichnet die Richtung, in der das Boot während eines Rennens fährt.</t>
  </si>
  <si>
    <t>A. After the first paddling stroke B. When all boats are in position C. When the water is calm D. After the lead boat has entered the harbor</t>
  </si>
  <si>
    <t>Wann wird das Startsignal in einem Ruderrennen gegeben?</t>
  </si>
  <si>
    <t>Wenn alle Boote in Position sind</t>
  </si>
  <si>
    <t>Das Startsignal wird gegeben, wenn alle Boote korrekt ausgerichtet sind.</t>
  </si>
  <si>
    <t>A. It wins the race B. It will be disqualified. C. It must return D. It may continue the race</t>
  </si>
  <si>
    <t>Was passiert, wenn ein Boot während eines Ruderrennens das Ziel überschreitet?</t>
  </si>
  <si>
    <t>Es gewinnt das Rennen</t>
  </si>
  <si>
    <t>Ein Boot, das das Ziel überschreitet, gewinnt das Rennen, wenn es die Ziellinie ordnungsgemäß überquert.</t>
  </si>
  <si>
    <t>A. The number of rowers B. The length of the boat C. The weight of the boat D. The type of oars</t>
  </si>
  <si>
    <t>Was ist der Unterschied zwischen einem 'Achter' und einem 'Vierer'?</t>
  </si>
  <si>
    <t>Die Anzahl der Ruderer</t>
  </si>
  <si>
    <t>Der Hauptunterschied besteht in der Anzahl der Ruderer im Boot.</t>
  </si>
  <si>
    <t>A. The thrust B. Paddling C. The starting stroke D. Rhythm coordination</t>
  </si>
  <si>
    <t>Welche Technik ist entscheidend für die Effizienz im Rudern?</t>
  </si>
  <si>
    <t>Die Rhythmuskoordination</t>
  </si>
  <si>
    <t>Die Koordination des Ruder-Rhythmus ist entscheidend für ein schnelles Rudern.</t>
  </si>
  <si>
    <t>A. Steer B. The blows increase C. Reduce speed D. Substitute the rowers</t>
  </si>
  <si>
    <t>Was muss ein Boot im Rudern tun, um seine Bahnen zu halten?</t>
  </si>
  <si>
    <t>Steuern</t>
  </si>
  <si>
    <t>Ein Boot muss durch den Steuermann oder die Steuerruder die Bahnen stabil halten.</t>
  </si>
  <si>
    <t>A. The blows are stable B. The boat is moving in the desired direction. C. The helmsman controls the speed D. The boat is moving backwards</t>
  </si>
  <si>
    <t>Was bedeutet 'Vorwärts' im Rudern?</t>
  </si>
  <si>
    <t>Das Boot bewegt sich in die gewünschte Richtung</t>
  </si>
  <si>
    <t>Vorwärts' bedeutet, dass das Boot in die richtige Richtung fährt und Geschwindigkeit aufnimmt.</t>
  </si>
  <si>
    <t>A. Starting stroke B. Slow striking technique C. Maximum impact D. Quick strike</t>
  </si>
  <si>
    <t>Welcher Schlag ist entscheidend, um das Boot schnell zu starten?</t>
  </si>
  <si>
    <t>Startschlag</t>
  </si>
  <si>
    <t>Der Startschlag ist entscheidend, um das Boot schnell in Bewegung zu bringen.</t>
  </si>
  <si>
    <t>A. If the boat is in the lead B. When the race comes to an end C. If the boat loses speed D. If the boat is stable</t>
  </si>
  <si>
    <t>Wann sollte ein Ruderer die Schlagfrequenz erhöhen?</t>
  </si>
  <si>
    <t>Wenn das Boot an Geschwindigkeit verliert</t>
  </si>
  <si>
    <t>Die Schlagfrequenz wird erhöht, wenn das Boot an Geschwindigkeit verliert.</t>
  </si>
  <si>
    <t>A. The position of the boat B. The waves in the water C. The boat's path D. The curves in the water</t>
  </si>
  <si>
    <t>Was bezeichnet der Begriff 'Bögen' im Rudern?</t>
  </si>
  <si>
    <t>Die Kurven im Wasser</t>
  </si>
  <si>
    <t>Bögen' bezieht sich auf die Kurven und Wendungen, die ein Boot im Wasser macht.</t>
  </si>
  <si>
    <t>A. The time after the start B. The time during the race C. The pause between strokes D. The time after the finish line</t>
  </si>
  <si>
    <t>Was ist die 'Ruhephase' im Rudern?</t>
  </si>
  <si>
    <t>Die Pause zwischen den Schlägen</t>
  </si>
  <si>
    <t>Die Ruhephase ist die Zeit, in der das Boot zwischen den Schlägen stabilisiert wird.</t>
  </si>
  <si>
    <t>A. It will be disqualified. B. It receives a penalty. C. It will be stopped. D. It gains a time advantage</t>
  </si>
  <si>
    <t>Was passiert, wenn ein Boot den Kurs eines anderen Bootes gefährdet?</t>
  </si>
  <si>
    <t>Es erhält eine Strafe</t>
  </si>
  <si>
    <t>Wenn ein Boot den Kurs eines anderen gefährdet, erhält es eine Strafe.</t>
  </si>
  <si>
    <t>A. 40-45 B. 30-35 C. 50-55 D. 60-65</t>
  </si>
  <si>
    <t>Wie viele Schläge pro Minute kann ein erfahrener Ruderer typischerweise erreichen?</t>
  </si>
  <si>
    <t>40-45</t>
  </si>
  <si>
    <t>Ein erfahrener Ruderer kann typischerweise 40-45 Schläge pro Minute erreichen.</t>
  </si>
  <si>
    <t>A. speed B. Power C. Endurance D. coordination</t>
  </si>
  <si>
    <t>Was ist beim Rudern am wichtigsten?</t>
  </si>
  <si>
    <t>Koordination</t>
  </si>
  <si>
    <t>Koordination zwischen den Ruderern ist beim Rudern von größter Bedeutung.</t>
  </si>
  <si>
    <t>A. A short, intense section of the race B. A longer, slow rowing session C. The first phase of the race D. The final phase of the race</t>
  </si>
  <si>
    <t>Was bedeutet 'Sprint' im Rudern?</t>
  </si>
  <si>
    <t>Ein kurzer, intensiver Abschnitt des Rennens</t>
  </si>
  <si>
    <t>Ein Sprint bezeichnet einen kurzen, schnellen Abschnitt während eines Rennens.</t>
  </si>
  <si>
    <t>A. The helmsman helps steer the boat. B. The rower steers the boat C. The helmsman rows the boat D. The rower gives commands</t>
  </si>
  <si>
    <t>Was ist beim Rudern der Unterschied zwischen einem 'Ruderer' und einem 'Steuermann'?</t>
  </si>
  <si>
    <t>Der Steuermann hilft beim Lenken des Bootes</t>
  </si>
  <si>
    <t>Der Steuermann ist für die Kontrolle des Bootes zuständig, während der Ruderer das Boot bewegt.</t>
  </si>
  <si>
    <t>A. He is sitting with his back to the target. B. He sits facing the goal C. He is sitting on the side of the boat. D. He is in the boat</t>
  </si>
  <si>
    <t>Wie wird der Ruderer im Boot normalerweise positioniert?</t>
  </si>
  <si>
    <t>Er sitzt mit dem Rücken zum Ziel</t>
  </si>
  <si>
    <t>Der Ruderer sitzt mit dem Rücken zum Ziel, während er das Ruder bewegt.</t>
  </si>
  <si>
    <t>A. The endurance section B. The sprint section C. The control section D. The recreation section</t>
  </si>
  <si>
    <t>Wie nennt man den Abschnitt eines Ruderrennens, der die schnellste Phase des Rennens darstellt?</t>
  </si>
  <si>
    <t>Der Sprintabschnitt</t>
  </si>
  <si>
    <t>Der Sprintabschnitt ist die Phase, in der die Geschwindigkeit des Bootes am höchsten ist.</t>
  </si>
  <si>
    <t>A. The pause between strokes B. The time after the start C. The final phase of the race D. Preparing for the next strike</t>
  </si>
  <si>
    <t>Was ist der 'Erholungsabschnitt' im Rudern?</t>
  </si>
  <si>
    <t>Der Erholungsabschnitt bezieht sich auf die Zeit, in der das Boot zwischen den Schlägen ruhig ist.</t>
  </si>
  <si>
    <t>A. The boat has withdrawn from the race. B. The boat did not achieve a leading position. C. The boat did not reach its destination. D. The boat was disqualified.</t>
  </si>
  <si>
    <t>Was bedeutet es, wenn ein Boot in einem Ruderrennen 'keine Strecke gewinnt'?</t>
  </si>
  <si>
    <t>Das Boot hat keine führende Position erreicht</t>
  </si>
  <si>
    <t>Das bedeutet, dass das Boot im Rennen keine führende Stellung innehatte.</t>
  </si>
  <si>
    <t>A. Through unsportsmanlike conduct B. By crossing the starting line C. By capsizing the boat D. By using illegal rowing techniques</t>
  </si>
  <si>
    <t>Wie kann ein Boot im Rudern disqualifiziert werden?</t>
  </si>
  <si>
    <t>Durch unsportliches Verhalten</t>
  </si>
  <si>
    <t>Ein Boot kann disqualifiziert werden, wenn unsportliches Verhalten oder Regelverstöße auftreten.</t>
  </si>
  <si>
    <t>A. At the start of the race B. In the middle of the race C. When the boat reaches its destination D. If the boat loses speed</t>
  </si>
  <si>
    <t>Wann ist die beste Zeit für ein Team, die Schlagfrequenz zu erhöhen?</t>
  </si>
  <si>
    <t>Die Schlagfrequenz wird häufig erhöht, wenn das Boot langsamer wird und mehr Energie benötigt.</t>
  </si>
  <si>
    <t>A. 2 B. 4 C. 6 D. 8</t>
  </si>
  <si>
    <t>Wie viele Ruderer sind in einem 'Vierer' mit Steuermann?</t>
  </si>
  <si>
    <t>Ein 'Vierer' mit Steuermann besteht aus 4 Ruderern und einem Steuermann.</t>
  </si>
  <si>
    <t>A. All boats must cross the finish line. B. The race ends immediately C. The race continues D. The rest of the race is ignored.</t>
  </si>
  <si>
    <t>Wie wird das Rennen für die anderen Boote entschieden, wenn ein Boot das Ziel erreicht hat?</t>
  </si>
  <si>
    <t>Das Rennen endet sofort</t>
  </si>
  <si>
    <t>Das Rennen endet sofort, wenn ein Boot die Ziellinie überschreitet.</t>
  </si>
  <si>
    <t>A. The boat is disqualified. B. The boat can still participate in the race. C. The race is stopped. D. The boat receives a penalty.</t>
  </si>
  <si>
    <t>Was passiert, wenn ein Ruderer während des Rennens das Ruder verliert?</t>
  </si>
  <si>
    <t>Das Boot kann weiterhin an dem Rennen teilnehmen</t>
  </si>
  <si>
    <t>Das Boot kann weiterhin an dem Rennen teilnehmen, aber es könnte langsamer werden.</t>
  </si>
  <si>
    <t>A. He holds the rudder firmly B. He steers the boat and gives commands. C. He determines the stroke rate D. He sets the speed</t>
  </si>
  <si>
    <t>Welche Funktion hat der 'Steuermann' in einem Ruderrennen?</t>
  </si>
  <si>
    <t>Er lenkt das Boot und gibt Kommandos</t>
  </si>
  <si>
    <t>Der Steuermann ist für die Steuerung des Bootes und das Geben von Befehlen verantwortlich.</t>
  </si>
  <si>
    <t>A. The technique of rowing strokes B. The team's behavior during the race C. The cooperation between the coxswain and the rowers D. The tactics in the race</t>
  </si>
  <si>
    <t>Was beschreibt der Begriff 'Kampfkunst' im Rudern?</t>
  </si>
  <si>
    <t>Die Taktik im Rennen</t>
  </si>
  <si>
    <t>Die 'Kampfkunst' bezeichnet die taktische Herangehensweise und Strategien, um das Rennen zu gewinnen.</t>
  </si>
  <si>
    <t>A. The boat has overshot the finish line. B. The race is over. C. The boat has maximized its speed. D. The boat crossed the finish line without any errors.</t>
  </si>
  <si>
    <t>Was bedeutet es, wenn ein Ruderer das 'Ziel' im Rennen erreicht?</t>
  </si>
  <si>
    <t>Das Rennen ist beendet</t>
  </si>
  <si>
    <t>Das Rennen endet, wenn das Boot das Ziel erreicht.</t>
  </si>
  <si>
    <t>Questions</t>
  </si>
  <si>
    <t>Correct answer</t>
  </si>
  <si>
    <t>Beschreibung</t>
  </si>
  <si>
    <t>A. Germany B. Netherlands C. Netherlands D. Denmark</t>
  </si>
  <si>
    <t>Welches Land galt als Geburtsort von Bosseln?</t>
  </si>
  <si>
    <t>Deutschland</t>
  </si>
  <si>
    <t>Bosseln hat seinen Ursprung in Deutschland, insbesondere in nördlichen Regionen wie Niedersachsen.</t>
  </si>
  <si>
    <t>A. Bavaria B. Lower Saxony C. Lower Saxony D. Saxony-Anhalt</t>
  </si>
  <si>
    <t>Welche Region Deutschlands ist am engsten mit Bosseln verbunden?</t>
  </si>
  <si>
    <t>Niedersachsen</t>
  </si>
  <si>
    <t>Niedersachsen gilt als das Kernland von Bosseln, wo das Spiel weit verbreitet ist.</t>
  </si>
  <si>
    <t>A. 14th century B. 16th century C. 16th century D. 18th century</t>
  </si>
  <si>
    <t>Was ist die früheste bekannte Aufzeichnung über die Aufführung von Bosseln?</t>
  </si>
  <si>
    <t>16. Jahrhundert</t>
  </si>
  <si>
    <t>Die früheste Erwähnung von Bosseln stammt aus dem 16. Jahrhundert in Norddeutschland.</t>
  </si>
  <si>
    <t>A. Military training B. Competitions for work on the farm C. Competitions for work on the farm D. Street clearing practices</t>
  </si>
  <si>
    <t>Aus welcher traditionellen Tätigkeit soll sich Bosseln entwickelt haben?</t>
  </si>
  <si>
    <t>Straßenräumungspraktiken</t>
  </si>
  <si>
    <t>Es wird davon ausgegangen, dass sich der Sport aus Straßenräumwettbewerben im ländlichen Deutschland entwickelt hat.</t>
  </si>
  <si>
    <t>A. 1865 B. 1890 C. 1890 D. 1910</t>
  </si>
  <si>
    <t>In welchem ​​Jahr wurde der erste organisierte Boßelner Verein gegründet?</t>
  </si>
  <si>
    <t>Der erste organisierte Bosselner Verein wurde 1865 gegründet, um die Regeln und Wettbewerbe des Sports zu formalisieren.</t>
  </si>
  <si>
    <t>A. The Middle Ages B. The Industrial Revolution C. The Industrial Revolution D. The Weimar Republic</t>
  </si>
  <si>
    <t>In welchem ​​​​historischen Zeitraum erlangten Bosseln große Popularität?</t>
  </si>
  <si>
    <t>Die industrielle Revolution</t>
  </si>
  <si>
    <t>Bosseln erlangte während der Industriellen Revolution als ländlicher Zeitvertreib große Popularität.</t>
  </si>
  <si>
    <t>A. cobbled streets B. Open fields C. Open fields D. Forest paths</t>
  </si>
  <si>
    <t>Was ist das traditionelle Gelände zum Spielen von Bosseln?</t>
  </si>
  <si>
    <t>Gepflasterte Straßen</t>
  </si>
  <si>
    <t>Bosseln wird traditionell auf asphaltierten Straßen oder Feldwegen in ländlichen Gebieten gespielt.</t>
  </si>
  <si>
    <t>A. Stone B. Wood C. Wood D. iron</t>
  </si>
  <si>
    <t>Aus welchem ​​Material wurden früher Bosseln-Kugeln hergestellt?</t>
  </si>
  <si>
    <t>Holz</t>
  </si>
  <si>
    <t>Historisch gesehen wurden Bosseln-Kugeln aus Holz hergestellt und oft von örtlichen Handwerkern handgeschnitzt.</t>
  </si>
  <si>
    <t>A. 17th century B. 18th century C. 18th century D. 19th century</t>
  </si>
  <si>
    <t>In welchem ​​​​Jahrhundert begann Bosseln-Wettbewerbe mit der formellen Wertung?</t>
  </si>
  <si>
    <t>19. Jahrhundert</t>
  </si>
  <si>
    <t>Im 19. Jahrhundert wurden formelle Punktesysteme für Bosseln-Wettbewerbe eingeführt.</t>
  </si>
  <si>
    <t>A. Common rules B. Similar equipment C. Similar equipment D. A common origin</t>
  </si>
  <si>
    <t>Welche historische Verbindung besteht zwischen Bosseln und dem niederländischen Sport?</t>
  </si>
  <si>
    <t>Ein gemeinsamer Ursprung</t>
  </si>
  <si>
    <t>Bosseln und die niederländische gemeinsame Sportart Klootschieten haben einen Ursprung in traditionellen Wurfspielen.</t>
  </si>
  <si>
    <t>A. Entertainment B. Harvest celebrations C. Harvest celebrations D. Religious festivals</t>
  </si>
  <si>
    <t>Was war der Hauptzweck der frühen Bosseln-Spiele?</t>
  </si>
  <si>
    <t>Unterhaltung</t>
  </si>
  <si>
    <t>Frühe Bosseln-Spiele wurden hauptsächlich zur Unterhaltung bei örtlichen Zusammenkünften gespielt.</t>
  </si>
  <si>
    <t>A. early 17th century B. End of the 18th century C. End of the 18th century D. mid-19th century</t>
  </si>
  <si>
    <t>Wann wurde Bosseln zum Leistungssport?</t>
  </si>
  <si>
    <t>Mitte des 19. Jahrhunderts</t>
  </si>
  <si>
    <t>Bosseln entwickelte sich Mitte des 19. Jahrhunderts zu einem Wettkampfsport mit organisierten Ligen.</t>
  </si>
  <si>
    <t>A. farmers B. Nobility C. Nobility D. Handyman</t>
  </si>
  <si>
    <t>Welche gesellschaftliche Gruppe spielte in seinen Anfängen hauptsächlich Bosseln?</t>
  </si>
  <si>
    <t>Bauern</t>
  </si>
  <si>
    <t>Bosseln wurde traditionell von Bauern in ländlichen deutschen Gemeinden gespielt.</t>
  </si>
  <si>
    <t>A. 1900 B. 1925 C. 1925 D. 1950</t>
  </si>
  <si>
    <t>In welchem ​​Jahr fand die erste Boßelner Meisterschaft statt?</t>
  </si>
  <si>
    <t>Die erste Bosselner Meisterschaft wurde 1925 ausgetragen, um regionale Mannschaften zusammenzubringen.</t>
  </si>
  <si>
    <t>A. Used for road test materials B. Clear streets of stones C. Clear streets of stones D. Entertaining road workers</t>
  </si>
  <si>
    <t>Welchen historischen Zusammenhang gibt es zwischen Bosseln und dem Straßenbau?</t>
  </si>
  <si>
    <t>Straßen von Steinen befreien</t>
  </si>
  <si>
    <t>Bosseln entstand als Spiel, bei dem Spieler Steine ​​warfen, um Straßen freizumachen.</t>
  </si>
  <si>
    <t>A. Oktoberfest B. Harvest Festival C. Harvest Festival D. carnival</t>
  </si>
  <si>
    <t>Welches deutsche Fest wird oft mit Bosseln in Verbindung gebracht?</t>
  </si>
  <si>
    <t>Erntedankfest</t>
  </si>
  <si>
    <t>Bosseln wird in ländlichen Gemeinden häufig mit dem Erntedankfest in Verbindung gebracht.</t>
  </si>
  <si>
    <t>A. The Napoleonic Wars B. World War I C. World War I D. Second World War</t>
  </si>
  <si>
    <t>Welcher Krieg führte zu Beginn des 20. Jahrhunderts zum Niedergang von Bosseln?</t>
  </si>
  <si>
    <t>Erster Weltkrieg</t>
  </si>
  <si>
    <t>Der Erste Weltkrieg führte zu einem Niedergang in Bosseln, da Ressourcen und Freizeit knapp wurden.</t>
  </si>
  <si>
    <t>A. Tourism campaigns B. Establishment of local clubs C. Establishment of local clubs D. State funding</t>
  </si>
  <si>
    <t>Was führte zur Wiederbelebung Bosselns nach dem Zweiten Weltkrieg?</t>
  </si>
  <si>
    <t>Gründung lokaler Vereine</t>
  </si>
  <si>
    <t>Lokale Vereine trugen dazu bei, Bosseln nach dem Zweiten Weltkrieg als Gemeinschaftssport wiederzubeleben.</t>
  </si>
  <si>
    <t>A. The German Olympic Committee B. The Lower Saxony Sports Federation C. The Lower Saxony Sports Federation D. The National Klootschießen Association</t>
  </si>
  <si>
    <t>Welche große deutsche Sportorganisation erkennt Bosseln an?</t>
  </si>
  <si>
    <t>Der Niedersächsische Sportbund</t>
  </si>
  <si>
    <t>Der Niedersächsische Sportbund erkennt Bosseln offiziell als Traditionssport an.</t>
  </si>
  <si>
    <t>A. To promote tourism B. Standardizing rules C. Standardizing rules D. To improve public health</t>
  </si>
  <si>
    <t>Was war der Hauptgrund für die Gründung der Bosselner Ligen im 19. Jahrhundert?</t>
  </si>
  <si>
    <t>Regeln standardisieren</t>
  </si>
  <si>
    <t>Es wurden Ligen gegründet, um die Bosseln-Regeln zu vereinheitlichen und einen fairen Wettbewerb zu gewährleisten.</t>
  </si>
  <si>
    <t>A. 1920s B. 1940s C. 1940s D. 1960s</t>
  </si>
  <si>
    <t>In welchem ​​Jahr wurden synthetische Bosseln-Bälle eingeführt?</t>
  </si>
  <si>
    <t>1960er Jahre</t>
  </si>
  <si>
    <t>In den 1960er Jahren wurden synthetische Bälle eingeführt, um Holzbälle aus Gründen der Haltbarkeit zu ersetzen.</t>
  </si>
  <si>
    <t>A. discipline B. community spirit C. community spirit D. Efficiency</t>
  </si>
  <si>
    <t>Welche traditionellen deutschen Werte spiegeln sich in Bosseln wider?</t>
  </si>
  <si>
    <t>Gemeinschaftsgeist</t>
  </si>
  <si>
    <t>Bosseln spiegelt den deutschen Wert des Gemeinschaftsgefühls wider, da es bei Festivals oft in Teams gespielt wird.</t>
  </si>
  <si>
    <t>A. bowling B. curling C. curling D. Klootschießen</t>
  </si>
  <si>
    <t>Welche internationale Sportart gilt als Boßeln am ähnlichsten?</t>
  </si>
  <si>
    <t>Klootschießen</t>
  </si>
  <si>
    <t>Das Klootschießen ist dem Bosseln sehr ähnlich, da es bei beiden um das Werfen schwerer Gegenstände über eine Distanz geht.</t>
  </si>
  <si>
    <t>A. 1936 B. 1950 C. 1950 D. 1985</t>
  </si>
  <si>
    <t>In welchem ​​​​Jahr wurde Bosseln als Demonstrationssportart auf einem deutschen Festival vorgestellt?</t>
  </si>
  <si>
    <t>Bosseln wurde 1950 als Demonstrationssport auf einem Festival in Deutschland vorgestellt.</t>
  </si>
  <si>
    <t>A. Introduction to Electronics B. Use of synthetic materials C. Use of synthetic materials D. televised competitions</t>
  </si>
  <si>
    <t>Wie wurde Bosseln in den letzten Jahrzehnten modernisiert?</t>
  </si>
  <si>
    <t>Verwendung synthetischer Materialien</t>
  </si>
  <si>
    <t>Die Modernisierung von Bosseln beinhaltet die Verwendung synthetischer Materialien für Bälle und eine bessere Infrastruktur.</t>
  </si>
  <si>
    <t>A. 1900 B. 1950 C. 1950 D. 1970</t>
  </si>
  <si>
    <t>In welchem ​​​​Jahr nahmen Frauen offiziell an Bosseln-Wettbewerben teil?</t>
  </si>
  <si>
    <t>Seit 1970 nehmen Frauen offiziell an Bosseln-Wettbewerben teil, da der Sport immer integrativer wird.</t>
  </si>
  <si>
    <t>A. The Industrial Revolution B. Second World War C. Second World War D. German reunification</t>
  </si>
  <si>
    <t>Welches historische Ereignis machte Bosseln in der städtischen Bevölkerung populär?</t>
  </si>
  <si>
    <t>Die Industrielle Revolution führte Bosseln in den städtischen Gebieten ein, da die Arbeiter das Spiel mitbrachten.</t>
  </si>
  <si>
    <t>A. Preservation of rural traditions B. International teams are formed C. International teams are formed D. Building national unity</t>
  </si>
  <si>
    <t>Welche historische Bedeutung haben die Bosselner Vereine?</t>
  </si>
  <si>
    <t>Bewahrung ländlicher Traditionen</t>
  </si>
  <si>
    <t>Die Bosselner Vereine spielen eine entscheidende Rolle bei der Bewahrung ländlicher Traditionen und der Förderung des Gemeinschaftsgeistes.</t>
  </si>
  <si>
    <t>A. 1965 B. 1975 C. 1975 D. 1980</t>
  </si>
  <si>
    <t>In welchem ​​Jahr fand der erste internationale Bosseln-Wettbewerb statt?</t>
  </si>
  <si>
    <t>Der erste internationale Bosseln-Wettbewerb fand 1975 statt und brachte Teams aus verschiedenen Ländern zusammen.</t>
  </si>
  <si>
    <t>A. A symbol of national unity B. A rural tradition C. A rural tradition D. A popular tourist attraction</t>
  </si>
  <si>
    <t>Welche kulturelle Bedeutung hat Bosseln im modernen Deutschland?</t>
  </si>
  <si>
    <t>Eine ländliche Tradition</t>
  </si>
  <si>
    <t>Bosseln wird in erster Linie als ländliche Tradition gefeiert und spiegelt das Erbe und die Gemeinschaftswerte Deutschlands weiter wider.</t>
  </si>
  <si>
    <t>A. Rest and bonding B. Military training C. Military training D. Religious celebrations</t>
  </si>
  <si>
    <t>Welche Rolle spielten Boßeln im ländlichen deutschen Gesellschaftsleben?</t>
  </si>
  <si>
    <t>Erholung und Bindung</t>
  </si>
  <si>
    <t>Bosseln diente als Freizeitbeschäftigung und als Möglichkeit für ländliche Gemeinden, Kontakte zu knüpfen und Kontakte zu knüpfen.</t>
  </si>
  <si>
    <t>A. 1871 B. 1890 C. 1890 D. 1925</t>
  </si>
  <si>
    <t>Wann wurde das erste dokumentierte Regelwerk für Bosseln veröffentlicht?</t>
  </si>
  <si>
    <t>Das erste dokumentierte Regelwerk für Bosseln wurde 1871 veröffentlicht und legte die Struktur des Sports fest.</t>
  </si>
  <si>
    <t>A. Railways B. bicycles C. bicycles D. motorways</t>
  </si>
  <si>
    <t>Welcher Transportfortschritt trug zur Verbreitung von Bosseln in Deutschland bei?</t>
  </si>
  <si>
    <t>Eisenbahnen</t>
  </si>
  <si>
    <t>Die Entwicklung der Eisenbahnen im 19. Jahrhundert trug zur Verbreitung von Bosseln bei, indem sie ländliche Gemeinden miteinander verbanden.</t>
  </si>
  <si>
    <t>A. Carving from tree trunks B. Forged from iron C. Forged from iron D. Weaving of straw cores</t>
  </si>
  <si>
    <t>Wie wurden Boßelnbälle früher traditionell hergestellt?</t>
  </si>
  <si>
    <t>Schnitzen aus Baumstämmen</t>
  </si>
  <si>
    <t>Traditionelle Bosseln-Kugeln wurden oft von Hand aus Hartholzbaumstämmen geschnitzt.</t>
  </si>
  <si>
    <t>A. Use of goals B. Art of the Site C. Art of the Site D. Material of the spheres</t>
  </si>
  <si>
    <t>Was ist der wesentliche Unterschied zwischen Bosseln und Klootschießen?</t>
  </si>
  <si>
    <t>Kunst des Geländes</t>
  </si>
  <si>
    <t>Bosseln wird regelmäßig auf Straßen gespielt, während Klootschießen oft auf offenen Feldern gespielt wird.</t>
  </si>
  <si>
    <t>A. 19th century B. 20th century C. 20th century D. 18th century</t>
  </si>
  <si>
    <t>In welchem ​​Jahrhundert wurde Bosseln bei Spielerinnen immer beliebter?</t>
  </si>
  <si>
    <t>20. Jahrhundert</t>
  </si>
  <si>
    <t>Bosseln gewann im 20. Jahrhundert mit zunehmender Inklusivität bei Spielerinnen und Beliebtheit.</t>
  </si>
  <si>
    <t>A. World War I B. The global economic crisis C. The global economic crisis D. Second World War</t>
  </si>
  <si>
    <t>Welches globale Großereignis bremste die Ausbreitung von Bosseln im frühen 20. Jahrhundert?</t>
  </si>
  <si>
    <t>Der Erste Weltkrieg störte die Ausbreitung von Bosseln aufgrund sozialer und wirtschaftlicher Unruhen.</t>
  </si>
  <si>
    <t>A. 1905 B. 1930 C. 1930 D. 1950</t>
  </si>
  <si>
    <t>In welchem ​​Jahr wurde Bosseln in Deutschland offiziell als Sport anerkannt?</t>
  </si>
  <si>
    <t>Bosseln wurde 1930 in Deutschland offiziell als Sport anerkannt und einheitliche Regeln eingeführt.</t>
  </si>
  <si>
    <t>A. European Sports Federation B. International Bosseln Association C. International Bosseln Association D. World Committee for Rural Games</t>
  </si>
  <si>
    <t>Welche Organisation hat zur internationalen Standardisierung von Bosseln beigetragen?</t>
  </si>
  <si>
    <t>Internationale Bosseln-Vereinigung</t>
  </si>
  <si>
    <t>Die International Bosseln Association war maßgeblich an der weltweiten Standardisierung des Sports beteiligt.</t>
  </si>
  <si>
    <t>A. Love of competition B. Rural traditions C. Rural traditions D. Technological innovation</t>
  </si>
  <si>
    <t>Welcher Aspekt des kulturellen Norddeutschlands spiegelt sich in Bosseln wider?</t>
  </si>
  <si>
    <t>Ländliche Traditionen</t>
  </si>
  <si>
    <t>Bosseln spiegelte die ländlichen Traditionen und Gemeinschaftswerte Norddeutschlands wider.</t>
  </si>
  <si>
    <t>Welches Bundesland hat Bosseln zum immateriellen Kulturerbe erklärt?</t>
  </si>
  <si>
    <t>Niedersachsen hat Bosseln als Teil seines immateriellen Kulturerbes anerkannt, um seine Geschichte zu bewahren.</t>
  </si>
  <si>
    <t>A. 1955 B. 1960 C. 1960 D. 1970</t>
  </si>
  <si>
    <t>Wann wurde das erste Bosseln-Spiel im Fernsehen übertragen?</t>
  </si>
  <si>
    <t>Das erste im Fernsehen übertragene Bosseln-Spiel fand 1970 statt und machte den Sport einem breiteren Publikum bekannt.</t>
  </si>
  <si>
    <t>A. Germany B. Netherlands C. Netherlands D. Austria</t>
  </si>
  <si>
    <t>Wo ist Bosseln entstanden?</t>
  </si>
  <si>
    <t>Bosseln hat seinen Ursprung in Norddeutschland, insbesondere in Regionen wie Friesland.</t>
  </si>
  <si>
    <t>A. fields B. City streets C. City streets D. Ice tracks</t>
  </si>
  <si>
    <t>Welches Gelände wird in Bosseln traditionell genutzt?</t>
  </si>
  <si>
    <t>Felder</t>
  </si>
  <si>
    <t>Bosseln wird traditionell auf offenen Feldern oder Landstraßen gespielt.</t>
  </si>
  <si>
    <t>A. 16th century B. 17th century C. 17th century D. 18th century</t>
  </si>
  <si>
    <t>In welchem ​​Jahrhundert erlangte Bosseln erstmals Popularität?</t>
  </si>
  <si>
    <t>17. Jahrhundert</t>
  </si>
  <si>
    <t>Bosseln erlangte im 17. Jahrhundert als ländlicher Sport große Popularität.</t>
  </si>
  <si>
    <t>A. Harvest Festival B. carnival C. carnival D. Winter solstice</t>
  </si>
  <si>
    <t>Welches Fest wird in seinen Herkunftsregionen oft mit Bosseln in Verbindung gebracht?</t>
  </si>
  <si>
    <t>Bosseln wird häufig bei Erntedankfesten in Norddeutschland gespielt.</t>
  </si>
  <si>
    <t>A. To score the most points B. Knock over pens C. Knock over pens D. To cover the longest distance with the ball</t>
  </si>
  <si>
    <t>Was ist das Hauptziel in einem Bosseln-Spiel?</t>
  </si>
  <si>
    <t>Mit dem Ball die längste Distanz zurücklegen</t>
  </si>
  <si>
    <t>Das Ziel beim Bosseln ist es, den Ball auf einer vorgegebenen Bahn am weitesten zu werfen.</t>
  </si>
  <si>
    <t>A. Round B. Oval C. Oval D. Apartment</t>
  </si>
  <si>
    <t>Welche Form hat die Bosseln-Kugel traditionell?</t>
  </si>
  <si>
    <t>Runden</t>
  </si>
  <si>
    <t>Der Bosseln-Ball ist traditionell rund, um über weite Strecken effizient rollen zu können.</t>
  </si>
  <si>
    <t>A. Wood B. Stone C. Stone D. iron</t>
  </si>
  <si>
    <t>Aus welchem ​​Material bestand die Boßeln-Kugel früher?</t>
  </si>
  <si>
    <t>Früher wurden Bosseln-Kugeln üblicherweise aus Holz hergestellt.</t>
  </si>
  <si>
    <t>A. bowling B. curling C. curling D. Petanque</t>
  </si>
  <si>
    <t>Welche moderne Sportart ähnelt Bosseln am meisten?</t>
  </si>
  <si>
    <t>Bowling</t>
  </si>
  <si>
    <t>Bosseln weist hinsichtlich der Rolltechniken Ähnlichkeiten mit dem Bowling auf.</t>
  </si>
  <si>
    <t>A. Through inspiring urban street games B. By introducing team-based gameplay C. By introducing team-based gameplay D. By influencing the ball design</t>
  </si>
  <si>
    <t>Welchen Einfluss hatte Bosseln auf die Entwicklung anderer Sportarten?</t>
  </si>
  <si>
    <t>Durch Beeinflussung des Balldesigns</t>
  </si>
  <si>
    <t>Bosseln beeinflusste das Design von Bällen, die in anderen Wurf- und Rollsportarten verwendet wurden.</t>
  </si>
  <si>
    <t>A. Friesland B. Bavaria C. Bavaria D. Saxony</t>
  </si>
  <si>
    <t>In welcher Region Deutschlands wird Bosseln heute noch häufig gespielt?</t>
  </si>
  <si>
    <t>Friesland</t>
  </si>
  <si>
    <t>Bosseln erfreut sich in Friesland und Niedersachsen noch immer großer Beliebtheit.</t>
  </si>
  <si>
    <t>A. It symbolizes rural traditions B. It promotes urban sports C. It promotes urban sports D. It supports winter activities</t>
  </si>
  <si>
    <t>Welche kulturelle Bedeutung hat Boßeln in Deutschland?</t>
  </si>
  <si>
    <t>Es symbolisiert ländliche Traditionen</t>
  </si>
  <si>
    <t>Bosseln ist tief in ländlichen Traditionen und gemeinschaftlichen Zusammenkünften verwurzelt.</t>
  </si>
  <si>
    <t>A. 18th century B. 19th century C. 19th century D. early 20th century</t>
  </si>
  <si>
    <t>Wann fanden die ersten organisierten Bosseln-Wettkämpfe statt?</t>
  </si>
  <si>
    <t>Organisierte Bosselner Wettbewerbe begannen im 19. Jahrhundert.</t>
  </si>
  <si>
    <t>A. European Rural Games B. International Folk Games C. International Folk Games D. German Sports Festival</t>
  </si>
  <si>
    <t>Bei welcher internationalen Veranstaltung war Bosseln zum ersten Mal zu Gast?</t>
  </si>
  <si>
    <t>Internationale Volksspiele</t>
  </si>
  <si>
    <t>Bosseln wurde erstmals international bei den International Folk Games präsentiert.</t>
  </si>
  <si>
    <t>A. accuracy B. Strength C. Strength D. Endurance</t>
  </si>
  <si>
    <t>Was sind die wichtigsten Fähigkeiten, um in Bosseln hervorragende Leistungen zu erbringen?</t>
  </si>
  <si>
    <t>Genauigkeit</t>
  </si>
  <si>
    <t>Genauigkeit ist entscheidend, um Kurven zu navigieren und die Distanz in Bosseln zu maximieren.</t>
  </si>
  <si>
    <t>A. Throw B. Push C. Push D. Roll</t>
  </si>
  <si>
    <t>Was bedeutet der Begriff „Bosseln“ auf Englisch?</t>
  </si>
  <si>
    <t>Rollen</t>
  </si>
  <si>
    <t>Der Begriff „Bosseln“ leitet sich vom deutschen Wort für Rollen ab.</t>
  </si>
  <si>
    <t>A. Austria B. Switzerland C. Switzerland D. Luxembourg</t>
  </si>
  <si>
    <t>Welches deutschsprachige Land außer Deutschland hat eine bedeutende Bosseln-Gemeinde?</t>
  </si>
  <si>
    <t>Österreich</t>
  </si>
  <si>
    <t>Österreich hat eine bemerkenswerte Gemeinschaft von Bosseln-Enthusiasten.</t>
  </si>
  <si>
    <t>A. Based on the number of throws B. After the total distance covered C. After the total distance covered D. Due to the speed of the throws</t>
  </si>
  <si>
    <t>Wie wird der Gewinner in Bosseln ermittelt?</t>
  </si>
  <si>
    <t>Nach der zurückgelegten Gesamtstrecke</t>
  </si>
  <si>
    <t>Sieger ist der Spieler oder die Mannschaft, die die weiteste Distanz zurücklegt.</t>
  </si>
  <si>
    <t>A. None B. Minimal C. Minimal D. Moderate</t>
  </si>
  <si>
    <t>Welche Rolle spielt Strategie in Bosseln?</t>
  </si>
  <si>
    <t>Bedeutsam</t>
  </si>
  <si>
    <t>Strategie ist in Bosseln unerlässlich, um sich im Gelände zurechtzufinden und Würfe zu maximieren.</t>
  </si>
  <si>
    <t>A. Rain B. Snow C. Snow D. wind</t>
  </si>
  <si>
    <t>Was ist eine häufige Wetterlage, die sich auf das Bosseln-Gameplay auswirkt?</t>
  </si>
  <si>
    <t>Wind</t>
  </si>
  <si>
    <t>Wind ist eine häufige Wetterbedingung, die das Rollen des Bosseln-Balls beeinflusst.</t>
  </si>
  <si>
    <t>A. European Bosseln Federation B. International Rural Sports Union C. International Rural Sports Union D. German Boßeln League</t>
  </si>
  <si>
    <t>Welche europäische Organisation fördert Bosseln heute?</t>
  </si>
  <si>
    <t>Europäischer Volkssportverband</t>
  </si>
  <si>
    <t>Der Europäische Volkssportverband fördert traditionelle Sportarten wie Bosseln.</t>
  </si>
  <si>
    <t>A. early 18th century B. mid-19th century C. mid-19th century D. End of the 19th century</t>
  </si>
  <si>
    <t>Wann wurde Bosseln zum ersten Mal als Traditionssport anerkannt?</t>
  </si>
  <si>
    <t>Bosseln wurde erstmals Mitte des 19. Jahrhunderts als traditioneller Sport anerkannt.</t>
  </si>
  <si>
    <t>A. It's about passing the ball. B. It requires strategic positions C. It requires strategic positions D. It combines the distances of all players</t>
  </si>
  <si>
    <t>Wie unterscheidet sich Team Bosseln von einzelnen Bosseln?</t>
  </si>
  <si>
    <t>Es kombiniert die Distanzen aller Spieler</t>
  </si>
  <si>
    <t>Im Team Bosseln bestimmen die kombinierten Distanzen aller Spieler den Punktestand.</t>
  </si>
  <si>
    <t>A. Plastic coating B. metal cores C. metal cores D. Rubber surfaces</t>
  </si>
  <si>
    <t>Welche Innovation hat moderne Bosseln-Bälle haltbarer gemacht?</t>
  </si>
  <si>
    <t>Gummioberflächen</t>
  </si>
  <si>
    <t>Gummioberflächen machten moderne Bosseln-Bälle langlebiger und gleichmäßiger.</t>
  </si>
  <si>
    <t>A. 16th century B. 17th century C. 17th century D. 15th century</t>
  </si>
  <si>
    <t>Was ist die früheste urkundliche Erwähnung von Bosseln?</t>
  </si>
  <si>
    <t>Die früheste urkundliche Erwähnung von Bosseln stammt aus dem 16. Jahrhundert.</t>
  </si>
  <si>
    <t>A. farmers B. nobles C. nobles D. soldiers</t>
  </si>
  <si>
    <t>Welcher Personenkreis spielte ursprünglich Bosseln?</t>
  </si>
  <si>
    <t>Bosseln war ursprünglich ein ländlicher Zeitvertreib der Bauern.</t>
  </si>
  <si>
    <t>A. Industrial Revolution B. Sports festivals C. Sports festivals D. Cultural exhibitions</t>
  </si>
  <si>
    <t>Welches Ereignis machte Bosseln in städtischen Gebieten bekannt?</t>
  </si>
  <si>
    <t>Sportfeste</t>
  </si>
  <si>
    <t>Durch Sportfeste erlangte Boßeln auch in städtischen Gebieten Bekanntheit.</t>
  </si>
  <si>
    <t>A. Adopted formal rules B. Increased use of technology C. Increased use of technology D. Shift to indoor venues</t>
  </si>
  <si>
    <t>Wie hat sich Bosseln im 20. Jahrhundert entwickelt?</t>
  </si>
  <si>
    <t>Angenommene formelle Regeln</t>
  </si>
  <si>
    <t>Im 20. Jahrhundert wurden in Bosseln formelle Regeln für das Wettkampfspiel eingeführt.</t>
  </si>
  <si>
    <t>A. Friendly matches B. League tournaments C. League tournaments D. District Championships</t>
  </si>
  <si>
    <t>Welche Art von Wettbewerben gab es Ende des 19. Jahrhunderts für Bosseln?</t>
  </si>
  <si>
    <t>Kreismeisterschaften</t>
  </si>
  <si>
    <t>Kreismeisterschaften wurden Ende des 19. Jahrhunderts zur Organisation von Bosseln eingeführt.</t>
  </si>
  <si>
    <t>A. It celebrates teamwork and rural traditions. B. It prioritizes speed over accuracy. C. It prioritizes speed over accuracy. D. It has links to industrial activities</t>
  </si>
  <si>
    <t>Wie spiegelt Bosseln die Kultur Norddeutschlands wider?</t>
  </si>
  <si>
    <t>Es feiert Teamarbeit und ländliche Traditionen</t>
  </si>
  <si>
    <t>Bosseln spiegelt den genossenschaftlichen Geist und die ländliche Lebensart Norddeutschlands wider.</t>
  </si>
  <si>
    <t>A. Spring B. winter C. winter D. Summer</t>
  </si>
  <si>
    <t>Welche Jahreszeit verbindet man am meisten mit Bosseln?</t>
  </si>
  <si>
    <t>Winter</t>
  </si>
  <si>
    <t>Bosseln wird traditionell mit dem Winter als Freizeitbeschäftigung in Verbindung gebracht.</t>
  </si>
  <si>
    <t>A. Introduction of the league game B. Development of new devices C. Development of new devices D. International interest</t>
  </si>
  <si>
    <t>Was hat das moderne Punktesystem in Bosseln beeinflusst?</t>
  </si>
  <si>
    <t>Einführung des Ligaspiels</t>
  </si>
  <si>
    <t>Das Ligaspiel beeinflusste die Standardisierung des Punktesystems von Bosseln.</t>
  </si>
  <si>
    <t>A. Endurance B. precision C. precision D. Teamwork</t>
  </si>
  <si>
    <t>Auf welche Fähigkeiten legten die frühen Bosseln-Spieler besonderen Wert?</t>
  </si>
  <si>
    <t>Präzision</t>
  </si>
  <si>
    <t>Präzision war der Schlüssel zum Navigieren in unebenem Gelände, das in ländlichen Gebieten häufig vorkommt.</t>
  </si>
  <si>
    <t>A. wealth B. Craftsmanship C. Craftsmanship D. community</t>
  </si>
  <si>
    <t>Was symbolisierten Bosselner Kugeln im 19. Jahrhundert?</t>
  </si>
  <si>
    <t>Handwerkskunst</t>
  </si>
  <si>
    <t>Bosseln-Kugeln waren oft handgefertigt und symbolisierten lokale Handwerkskunst.</t>
  </si>
  <si>
    <t>A. Flat plains B. forests C. forests D. winding roads</t>
  </si>
  <si>
    <t>Welche geografische Besonderheit hat die Bosseln-Routen beeinflusst?</t>
  </si>
  <si>
    <t>Kurvenreiche Straßen</t>
  </si>
  <si>
    <t>Ländliche kurvenreiche Straßen dienten oft als Naturwege für Bosseln-Spiele.</t>
  </si>
  <si>
    <t>A. Increased trade in equipment B. Tourism promoted C. Tourism promoted D. Reduced agricultural work</t>
  </si>
  <si>
    <t>Welchen Einfluss hatte Bosseln historisch auf die lokale Wirtschaft?</t>
  </si>
  <si>
    <t>Verstärkter Handel mit Ausrüstung</t>
  </si>
  <si>
    <t>Die Produktion von Bosseln-Bällen und -Ausrüstung trug zur lokalen Wirtschaft bei.</t>
  </si>
  <si>
    <t>A. curling B. shot put C. shot put D. bowling</t>
  </si>
  <si>
    <t>Welche andere Sportart hat Bosseln beeinflusst?</t>
  </si>
  <si>
    <t>Die Rolltechnik in Bosseln beeinflusste das moderne Bowlingspiel.</t>
  </si>
  <si>
    <t>A. Two players B. Four players C. Four players D. Eight players</t>
  </si>
  <si>
    <t>Was ist eine traditionelle Boßelner Teamgröße?</t>
  </si>
  <si>
    <t>Vier Spieler</t>
  </si>
  <si>
    <t>Traditionelle Bosseln-Teams bestehen oft aus vier Spielern.</t>
  </si>
  <si>
    <t>A. End of the 19th century B. mid-20th century C. mid-20th century D. early 21st century</t>
  </si>
  <si>
    <t>Wann erlangte Bosseln erstmals internationale Anerkennung?</t>
  </si>
  <si>
    <t>Ende des 19. Jahrhunderts</t>
  </si>
  <si>
    <t>Boßeln erlangte Ende des 19. Jahrhunderts durch kulturelle Veranstaltungen internationale Bekanntheit.</t>
  </si>
  <si>
    <t>A. Farmers' unions B. Sports clubs C. Sports clubs D. Church organizations</t>
  </si>
  <si>
    <t>Welche soziale Gruppe in Deutschland hat zum Erhalt Bosselns beigetragen?</t>
  </si>
  <si>
    <t>Sportvereine</t>
  </si>
  <si>
    <t>Die örtlichen Sportvereine leisteten einen wichtigen Beitrag zur Bewahrung der Boßler Traditionen.</t>
  </si>
  <si>
    <t>A. Supported regional tournaments B. Reduced rural interest C. Reduced rural interest D. Streets replaced as play areas</t>
  </si>
  <si>
    <t>Welchen Einfluss hatte die Eisenbahn auf Bosseln?</t>
  </si>
  <si>
    <t>Geförderte regionale Turniere</t>
  </si>
  <si>
    <t>Die Eisenbahn erleichterte die Ausrichtung regionaler Bosseln-Turniere.</t>
  </si>
  <si>
    <t>A. For visibility in the terrain B. To symbolize team identity C. To symbolize team identity D. To reduce wear and tear</t>
  </si>
  <si>
    <t>Warum wurden Bosseln-Kugeln traditionell bemalt?</t>
  </si>
  <si>
    <t>Für Sichtbarkeit im Gelände</t>
  </si>
  <si>
    <t>Um sie auf ländlichen Wegen sichtbar zu machen, wurden Kugeln bemalt.</t>
  </si>
  <si>
    <t>A. road rollers B. Field throwing C. Field throwing D. Street bowling</t>
  </si>
  <si>
    <t>Was ist in bestimmten Regionen ein gebräuchlicher alternativer Name für Bosseln?</t>
  </si>
  <si>
    <t>Straßenbowling</t>
  </si>
  <si>
    <t>In manchen Regionen wird Bosseln auch als „Road Bowling“ bezeichnet.</t>
  </si>
  <si>
    <t>A. Rubberized surfaces B. Weighted cores C. Weighted cores D. Synthetic materials</t>
  </si>
  <si>
    <t>Welche technologische Innovation beeinflusste die Bosseln-Ausrüstung im 20. Jahrhundert?</t>
  </si>
  <si>
    <t>Synthetische Materialien</t>
  </si>
  <si>
    <t>Synthetische Materialien verbesserten die Haltbarkeit moderner Bosseln-Bälle.</t>
  </si>
  <si>
    <t>A. Promotes teamwork B. Builds endurance C. Builds endurance D. Promotes traditional sports</t>
  </si>
  <si>
    <t>Welche Bedeutung hat Bosseln heute an deutschen Schulen?</t>
  </si>
  <si>
    <t>Fördert traditionelle Sportarten</t>
  </si>
  <si>
    <t>Bosseln dient der Förderung des traditionellen Sports unter Studierenden.</t>
  </si>
  <si>
    <t>A. Harvest festivals B. Market days C. Market days D. Religious holidays</t>
  </si>
  <si>
    <t>Zu welchen lokalen Ereignissen zählte Boßeln historisch oft?</t>
  </si>
  <si>
    <t>Markttage</t>
  </si>
  <si>
    <t>Boßeln war an Markttagen eine beliebte Unterhaltungsaktivität.</t>
  </si>
  <si>
    <t>A. It diminished his popularity B. The organization was expanded C. The organization was expanded D. He restricted his practice</t>
  </si>
  <si>
    <t>Wie wirkten sich die Weltkriege auf Bosseln aus?</t>
  </si>
  <si>
    <t>Verminderte seine Popularität</t>
  </si>
  <si>
    <t>Die Weltkriege zerstörten die ländlichen Traditionen und reduzierten die Praxis in Bosseln.</t>
  </si>
  <si>
    <t>A. Organize community events B. Promoting elite sports C. Promoting elite sports D. Develop new rules</t>
  </si>
  <si>
    <t>Welche Rolle spielen die Bosselner Vereine heute in Deutschland?</t>
  </si>
  <si>
    <t>Organisieren Sie Gemeinschaftsveranstaltungen</t>
  </si>
  <si>
    <t>Die Bosselner Vereine tragen dazu bei, den Sport am Leben zu erhalten, indem sie lokale Veranstaltungen organisieren.</t>
  </si>
  <si>
    <t>A. Elbe B. Rhine C. Rhine D. Weser</t>
  </si>
  <si>
    <t>Welche Flussregion ist eng mit Bosseln verbunden?</t>
  </si>
  <si>
    <t>Weser</t>
  </si>
  <si>
    <t>Die Weserregion ist bekannt für ihr Boßelner Brauchtum.</t>
  </si>
  <si>
    <t>A. To settle disputes B. To build community bonds C. To build community bonds D. To collect donations for villages</t>
  </si>
  <si>
    <t>Was war der Zweck der Bosselner Turniere im 19. Jahrhundert?</t>
  </si>
  <si>
    <t>Um gemeinschaftliche Bindungen aufzubauen</t>
  </si>
  <si>
    <t>Turniere brachten Dörfer zusammen und stärkten die gemeinschaftlichen Bindungen.</t>
  </si>
  <si>
    <t>A. The rural surroundings B. The equipment used C. The equipment used D. The number of participants</t>
  </si>
  <si>
    <t>Welcher Kernaspekt von Bosseln bleibt unverändert?</t>
  </si>
  <si>
    <t>Die kulturelle Bedeutung</t>
  </si>
  <si>
    <t>Trotz Modernisierung bleibt die kulturelle Bedeutung von Bosseln unverändert.</t>
  </si>
  <si>
    <t>A. Germany B. Austria C. Austria D. Belgium</t>
  </si>
  <si>
    <t>Wo wird Bosseln heute am häufigsten gespielt?</t>
  </si>
  <si>
    <t>Deutschland ist das Hauptland, in dem Bosseln noch immer häufig gespielt wird.</t>
  </si>
  <si>
    <t>A. socialization B. Physical exercise C. Physical exercise D. Leisure activities</t>
  </si>
  <si>
    <t>Was war der Hauptgrund dafür, dass Bosseln zum Leistungssport wurde?</t>
  </si>
  <si>
    <t>Organisierte Turniere</t>
  </si>
  <si>
    <t>Bosseln wurde durch organisierte Turniere und Feste konkurrenzfähig.</t>
  </si>
  <si>
    <t>A. 1-2 kilometers B. 500 meters C. 500 meters D. 5 kilometers</t>
  </si>
  <si>
    <t>Wie lange dauert ein Bosseln-Kurs traditionell?</t>
  </si>
  <si>
    <t>1-2 Kilometer</t>
  </si>
  <si>
    <t>Traditionelle Bosseln-Strecken haben in der Regel eine Länge von etwa 1-2 Kilometern.</t>
  </si>
  <si>
    <t>A. Rubber balls B. wooden discs C. wooden discs D. steel balls</t>
  </si>
  <si>
    <t>Was ist die Hauptausrüstung, die in Bosseln verwendet wird?</t>
  </si>
  <si>
    <t>Stahlkugeln</t>
  </si>
  <si>
    <t>Bosseln-Spieler verwenden Stahlkugeln, die entlang einer definierten Bahn gerollt werden.</t>
  </si>
  <si>
    <t>A. Military B. farmers C. farmers D. Children</t>
  </si>
  <si>
    <t>Welche Gruppe nutzte Bosseln zuerst als Trainingsmöglichkeit für andere Sportarten?</t>
  </si>
  <si>
    <t>Militär</t>
  </si>
  <si>
    <t>Das Militär nutzte Bosseln, um körperliche Ausdauer und Koordination zu trainieren.</t>
  </si>
  <si>
    <t>A. Through migration B. Through local competitions C. Through local competitions D. Through military exercises</t>
  </si>
  <si>
    <t>Wie verbreitete sich Bosseln über Deutschland hinaus?</t>
  </si>
  <si>
    <t>Durch Migration</t>
  </si>
  <si>
    <t>Bosseln verbreitete sich vor allem durch die Zuwanderung deutscher Gemeinden über Deutschland hinaus.</t>
  </si>
  <si>
    <t>A. cobbled streets B. Grass fields C. Grass fields D. Unpaved country roads</t>
  </si>
  <si>
    <t>Auf welchem ​​Gelände wird Bosseln typischerweise gespielt?</t>
  </si>
  <si>
    <t>Unbefestigte Landstraßen</t>
  </si>
  <si>
    <t>Bosseln wird traditionell auf unbefestigten Landstraßen mit natürlichen Hindernissen gespielt.</t>
  </si>
  <si>
    <t>A. Overhead B. Sneaky C. Sneaky D. Sideways</t>
  </si>
  <si>
    <t>Wie rollt der Ball in Bosseln?</t>
  </si>
  <si>
    <t>Hinterhältig</t>
  </si>
  <si>
    <t>Die Spieler rollen den Bosseln-Ball unter der Hand über den Parcours, um das Ziel zu erreichen.</t>
  </si>
  <si>
    <t>A. curling B. bowling C. bowling D. golf</t>
  </si>
  <si>
    <t>Welche andere Sportart ähnelt Bosseln am meisten?</t>
  </si>
  <si>
    <t>Bowling hat ähnliche Prinzipien wie Bosseln, wenn es darum geht, Bälle auf ein Ziel zu rollen.</t>
  </si>
  <si>
    <t>A. National sports federations B. Local communities C. Local communities D. International Olympic Committee</t>
  </si>
  <si>
    <t>Wer bestimmt heute die offiziellen Regeln von Bosseln?</t>
  </si>
  <si>
    <t>Nationale Sportverbände</t>
  </si>
  <si>
    <t>Die Bosseln-Regeln werden von den nationalen Sportverbänden in Deutschland und den Nachbarländern geregelt.</t>
  </si>
  <si>
    <t>A. Lower Saxony B. Bavaria C. Bavaria D. Schleswig-Holstein</t>
  </si>
  <si>
    <t>Welche deutsche Region gilt als Geburtsort von Bosseln?</t>
  </si>
  <si>
    <t>Bosseln hat seinen Ursprung in Niedersachsen, das nach wie vor ein Zentrum des Sports ist.</t>
  </si>
  <si>
    <t>A. Entertainment B. Community bond C. Community bond D. Dispute resolution</t>
  </si>
  <si>
    <t>Welchen Zweck hatten Bosseln-Turniere im 20. Jahrhundert?</t>
  </si>
  <si>
    <t>Gemeinschaftsbindung</t>
  </si>
  <si>
    <t>Bosseln-Turniere im 20. Jahrhundert konzentrierten sich auf die Förderung des Gemeinschaftszusammenhalts und des lokalen Stolzes.</t>
  </si>
  <si>
    <t>A. The Netherlands B. Belgium C. Belgium D. Poland</t>
  </si>
  <si>
    <t>Welches europäische Land außerhalb Deutschlands hat eine starke Bosseln-Tradition?</t>
  </si>
  <si>
    <t>Die Niederlande</t>
  </si>
  <si>
    <t>Die Niederlande haben eine bemerkenswerte Bosseln-Tradition, insbesondere in ländlichen Gebieten.</t>
  </si>
  <si>
    <t>A. Unpredictable terrain B. Ball weight C. Ball weight D. competition format</t>
  </si>
  <si>
    <t>Welches Element von Bosseln macht es besonders anspruchsvoll?</t>
  </si>
  <si>
    <t>Unvorhersehbares Gelände</t>
  </si>
  <si>
    <t>Das unvorhersehbare Gelände der Landstraßen stellt eine Herausforderung für den Sport in Bosseln dar.</t>
  </si>
  <si>
    <t>A. Roll the ball the furthest B. To score the most points C. To score the most points D. To throw the opponent's ball off the field</t>
  </si>
  <si>
    <t>Was ist das Ziel jedes Spielers in einem Bosseln-Spiel?</t>
  </si>
  <si>
    <t>Den Ball einem Ziel am nächsten rollen</t>
  </si>
  <si>
    <t>Ziel der Spieler ist es, ihren Ball so nah wie möglich an ein Ziel auf dem Platz zu rollen.</t>
  </si>
  <si>
    <t>Welches historische Ereignis führte zu einem vorübergehenden Rückgang der Popularität von Bosseln?</t>
  </si>
  <si>
    <t>Zweiter Weltkrieg</t>
  </si>
  <si>
    <t>Der Zweite Weltkrieg zerstörte die ländlichen Gemeinden und verringerte vorübergehend die Popularität von Bosseln.</t>
  </si>
  <si>
    <t>A. Nobility B. middle class C. middle class D. farmers and farmers</t>
  </si>
  <si>
    <t>Welche soziale Schicht spielte in seinen Anfängen vorwiegend Boßeln?</t>
  </si>
  <si>
    <t>Bauern und Bauern</t>
  </si>
  <si>
    <t>Bosseln war hauptsächlich ein Spiel, das von Bauern und Bauern in ländlichen Gebieten gespielt wurde.</t>
  </si>
  <si>
    <t>A. The team with the most points wins. B. When a team achieves a specific goal C. When a team achieves a specific goal D. When all players have rolled their balls</t>
  </si>
  <si>
    <t>Wie endete das Bosseln-Spiel traditionell?</t>
  </si>
  <si>
    <t>Das Team mit den meisten Punkten gewinnt</t>
  </si>
  <si>
    <t>Das Bosseln-Spiel endet traditionell, wenn eine Mannschaft die meisten Punkte gesammelt hat.</t>
  </si>
  <si>
    <t>A. 1901 B. 1923 C. 1923 D. 1885</t>
  </si>
  <si>
    <t>In welchem ​​Jahr fand die erste Bosseln-Meisterschaft statt?</t>
  </si>
  <si>
    <t>Die erste Bosseln-Meisterschaft wurde 1885 in Deutschland ausgetragen.</t>
  </si>
  <si>
    <t>A. Leather balls B. wooden discs C. wooden discs D. Stone spheres</t>
  </si>
  <si>
    <t>Was war eine der frühesten Formen der Bosseln-Ausrüstung?</t>
  </si>
  <si>
    <t>Steinkugeln</t>
  </si>
  <si>
    <t>In den Anfängen von Bosseln wurden Steinkugeln verwendet, bevor Metallkugeln aufkamen.</t>
  </si>
  <si>
    <t>A. The game is played outdoors. B. It will be played indoors. C. It will be played indoors. D. The ball is bigger</t>
  </si>
  <si>
    <t>Wie unterscheidet sich Bosseln vom traditionellen Bowling?</t>
  </si>
  <si>
    <t>Gespielt wird im Freien</t>
  </si>
  <si>
    <t>Bosseln wird im Freien auf Landstraßen gespielt, im Gegensatz zum traditionellen Bowling, das drinnen gespielt wird.</t>
  </si>
  <si>
    <t>A. It is a form of local storytelling. B. It promotes family unity C. It promotes family unity D. It connects people with nature.</t>
  </si>
  <si>
    <t>Welche kulturelle Bedeutung hat Bosseln im deutschsprachigen Raum?</t>
  </si>
  <si>
    <t>Es verbindet Menschen mit der Natur</t>
  </si>
  <si>
    <t>Bosseln hat kulturelle Bedeutung als Verbindung der Menschen mit ländlichen Traditionen und der Natur.</t>
  </si>
  <si>
    <t>A. The printing press B. The steam engine C. The steam engine D. The bike</t>
  </si>
  <si>
    <t>Welche Erfindung hatte großen Einfluss auf die Entwicklung von Bosseln?</t>
  </si>
  <si>
    <t>Das Fahrrad</t>
  </si>
  <si>
    <t>Das Fahrrad beeinflusste Bosseln, indem es eine Kultur von Outdoor-Spielen mit Rädern förderte.</t>
  </si>
  <si>
    <t>A. Farmers' associations B. Local councilors C. Local councilors D. Sports unions</t>
  </si>
  <si>
    <t>Welcher Gruppe wird oft die Organisation der ersten Bosseln-Liga zugeschrieben?</t>
  </si>
  <si>
    <t>Bauernvereine</t>
  </si>
  <si>
    <t>Den Bauernvereinen wird die Organisation der ersten Boßelner Liga zugeschrieben.</t>
  </si>
  <si>
    <t>A. Oktoberfest B. carnival C. carnival D. Harvest festivals</t>
  </si>
  <si>
    <t>Zu welchem ​​Volksfest gehören oft Bosseln-Wettbewerbe?</t>
  </si>
  <si>
    <t>Erntedankfeste</t>
  </si>
  <si>
    <t>Bosseln wird oft bei Erntedankfesten im Rahmen der örtlichen Feierlichkeiten gespielt.</t>
  </si>
  <si>
    <t>A. 30 minutes B. 1 hour C. 1 hour D. 2 hours</t>
  </si>
  <si>
    <t>Wie lange dauert ein typisches Bosseln-Spiel?</t>
  </si>
  <si>
    <t>Hängt von der Anzahl der Spieler ab</t>
  </si>
  <si>
    <t>Die Dauer eines Bosseln-Spiels richtet sich nach der Teilnehmerzahl und der Kurslänge.</t>
  </si>
  <si>
    <t>A. Lack of space B. Weather conditions C. Weather conditions D. Limited participation</t>
  </si>
  <si>
    <t>Was war eine der Herausforderungen bei der Organisation früher Bosseln-Veranstaltungen?</t>
  </si>
  <si>
    <t>Inkonsistente Regeln</t>
  </si>
  <si>
    <t>Eine der Herausforderungen der frühen Bosseln-Veranstaltungen war das Fehlen standardisierter Regeln.</t>
  </si>
  <si>
    <t>A. It is played on the streets. B. Sticks are used in this process. C. Sticks are used in this process. D. The game is played in teams of 12.</t>
  </si>
  <si>
    <t>Was ist das Alleinstellungsmerkmal von Bosseln im Vergleich zu anderen Sportarten?</t>
  </si>
  <si>
    <t>Es wird auf Straßen gespielt</t>
  </si>
  <si>
    <t>Das Einzigartigste an Bosseln ist, dass es auf unbefestigten Straßen in ländlicher Umgebung gespielt wird.</t>
  </si>
  <si>
    <t>A. Introduction of rolling techniques into other games B. Inspired by the rules of curling C. Inspired by the rules of curling D. This led to the creation of lawn bowling.</t>
  </si>
  <si>
    <t>Wie hat Bosseln andere Sportarten beeinflusst?</t>
  </si>
  <si>
    <t>Einführung von Rolltechniken in andere Spiele</t>
  </si>
  <si>
    <t>Bosseln führte Rolltechniken ein, die andere Spiele wie Curling beeinflussten.</t>
  </si>
  <si>
    <t>A. It required only minimal equipment. B. It was played throughout the year. C. It was played throughout the year. D. It was expensive to play</t>
  </si>
  <si>
    <t>Was ist ein Grund dafür, dass Bosseln in ländlichen Gemeinden so beliebt war?</t>
  </si>
  <si>
    <t>Es erforderte nur minimale Ausrüstung</t>
  </si>
  <si>
    <t>Bosseln war in ländlichen Gemeinden beliebt, da es nur minimale Ausrüstung erforderte und im Freien gespielt werden konnte.</t>
  </si>
  <si>
    <t>A. Local sports clubs B. military leaders C. military leaders D. The German government</t>
  </si>
  <si>
    <t>Wem wird die Modernisierung der Regeln von Bosseln zugeschrieben?</t>
  </si>
  <si>
    <t>Lokale Sportvereine</t>
  </si>
  <si>
    <t>Lokale Sportvereine in Deutschland waren maßgeblich an der Modernisierung der Bosselner Regeln beteiligt.</t>
  </si>
  <si>
    <t>A. Trees B. rock C. rock D. missions</t>
  </si>
  <si>
    <t>Was nutzten die frühen Bosselner Spieler als Punktemarker?</t>
  </si>
  <si>
    <t>Felsen</t>
  </si>
  <si>
    <t>In frühen Spielen wurden Steine ​​oft als natürliche Markierungen für die Wertung verwendet.</t>
  </si>
  <si>
    <t>A. Steady hands B. Strong legs C. Strong legs D. Endurance</t>
  </si>
  <si>
    <t>Was ist eine wesentliche Fähigkeit in Bosseln?</t>
  </si>
  <si>
    <t>Ruhige Hände</t>
  </si>
  <si>
    <t>Ruhige Hände und Präzision sind wesentliche Fähigkeiten, um den Ball in Bosseln effektiv rollen zu können.</t>
  </si>
  <si>
    <t>A. Industrial Revolution B. Napoleonic Wars C. Napoleonic Wars D. Social reform movements</t>
  </si>
  <si>
    <t>Welches historische Ereignis sorgte im 19. Jahrhundert dafür, dass Bosseln immer beliebter wurde?</t>
  </si>
  <si>
    <t>Industrielle Revolution</t>
  </si>
  <si>
    <t>Die Industrielle Revolution trug zur Verbreitung von Bosseln aufgrund der zunehmenden Freizeit und sozialen Mobilität bei.</t>
  </si>
  <si>
    <t>Welches Jahrhundert gilt als das goldene Zeitalter von Bosseln?</t>
  </si>
  <si>
    <t>Das 19. Jahrhundert gilt als das goldene Zeitalter von Bosseln, mit dem Aufkommen von Turnieren und organisiertem Spiel.</t>
  </si>
  <si>
    <t>A. Wedding celebrations B. Public Holidays C. Public Holidays D. New Year's Eve</t>
  </si>
  <si>
    <t>Bei welchem ​​gesellschaftlichen Ereignis würden in ländlichen Gemeinden üblicherweise Bosseln-Wettbewerbe stattfinden?</t>
  </si>
  <si>
    <t>Hochzeitsfeiern</t>
  </si>
  <si>
    <t>Bosselner Wettbewerbe waren in ländlichen Gemeinden oft Teil von Hochzeitsfeiern.</t>
  </si>
  <si>
    <t>A. By promoting outdoor play B. Through the use of rolling techniques in other sports C. Through the use of rolling techniques in other sports D. By emphasizing individual performance</t>
  </si>
  <si>
    <t>Welchen Einfluss hat Bosseln auf den modernen Freizeitsport?</t>
  </si>
  <si>
    <t>Durch die Förderung von Spielen im Freien</t>
  </si>
  <si>
    <t>Bosseln hat den modernen Freizeitsport durch die Förderung von Outdoor-Aktivitäten und körperlichem Engagement beeinflusst.</t>
  </si>
  <si>
    <t>A. Friendly rivalries B. Awarding of trophies C. Awarding of trophies D. Team chants</t>
  </si>
  <si>
    <t>Was ist eine der wichtigsten Traditionen bei Bosseln-Turnieren?</t>
  </si>
  <si>
    <t>Freundliche Rivalitäten</t>
  </si>
  <si>
    <t>Bosseln-Turniere sind bekannt für ihre freundschaftlichen Rivalitäten zwischen verschiedenen Regionen.</t>
  </si>
  <si>
    <t>A. Germany B. Belgium C. Belgium D. The Netherlands</t>
  </si>
  <si>
    <t>Welches Land führte Bosseln in seine Kolonien ein?</t>
  </si>
  <si>
    <t>Deutschland führte Bosseln in seinen Kolonien ein, insbesondere in Gebieten mit ländlichen Traditionen.</t>
  </si>
  <si>
    <t>A. It promoted unity and celebration. B. Money was raised for charity. C. Money was raised for charity. D. It served as a demonstration of strength</t>
  </si>
  <si>
    <t>Welche Rolle spielte Bosseln bei Gemeindefesten?</t>
  </si>
  <si>
    <t>Es förderte die Einheit und das Feiern</t>
  </si>
  <si>
    <t>Bosseln spielte bei Gemeindefesten eine Rolle, indem es die Einheit förderte und zur Feier beitrug.</t>
  </si>
  <si>
    <t>A. Northern Germany B. Bavaria C. Bavaria D. East Germany</t>
  </si>
  <si>
    <t>Welcher Teil Deutschlands hat das Wettkampfformat Bosseln erstmals übernommen?</t>
  </si>
  <si>
    <t>Norddeutschland</t>
  </si>
  <si>
    <t>Norddeutschland war die erste Region, die ein Wettbewerbsformat für Bosseln eingeführt hat.</t>
  </si>
  <si>
    <t>A. May Day B. Harvest Festival C. Harvest Festival D. Easter Sunday</t>
  </si>
  <si>
    <t>Welches traditionelle Fest ist eng mit Bosseln verbunden?</t>
  </si>
  <si>
    <t>Bosseln wird oft bei Erntedankfesten gespielt, insbesondere im ländlichen Deutschland.</t>
  </si>
  <si>
    <t>A. Better streets to play on B. World War I veterans promote the sport C. World War I veterans promote the sport D. Improved equipment</t>
  </si>
  <si>
    <t>Welche Entwicklung zu Beginn des 20. Jahrhunderts verhalf Bosseln zu wachsender Beliebtheit?</t>
  </si>
  <si>
    <t>Bessere Straßen zum Spielen</t>
  </si>
  <si>
    <t>Der Ausbau der Landstraßen machte Bosseln zu Beginn des 20. Jahrhunderts zugänglicher und beliebter.</t>
  </si>
  <si>
    <t>A. There are separate leagues for men and women. B. It is a sport for mixed teams. C. It is a sport for mixed teams. D. Only men can participate.</t>
  </si>
  <si>
    <t>Welche Rolle spielt das Geschlecht im modernen Bosseln?</t>
  </si>
  <si>
    <t>Es handelt sich um eine Sportart für gemischte Mannschaften</t>
  </si>
  <si>
    <t>Bosseln wird heute von gemischten Mannschaften gespielt, was die Einbeziehung der Geschlechter fördert.</t>
  </si>
  <si>
    <t>A. Roll the ball the furthest B. Knock over pens C. Knock over pens D. To reach a target area</t>
  </si>
  <si>
    <t>Was ist das Hauptziel jedes Spielers in Bosseln?</t>
  </si>
  <si>
    <t>Um ein Zielgebiet zu erreichen</t>
  </si>
  <si>
    <t>Das Hauptziel beim Bosseln besteht darin, den Ball möglichst nah an ein bestimmtes Zielgebiet heranzurollen.</t>
  </si>
  <si>
    <t>A. It is played without a standardized field. B. The ball is much bigger C. The ball is much bigger D. The players use sticks to guide the ball.</t>
  </si>
  <si>
    <t>Was unterscheidet Bosseln von anderen Ballsportarten?</t>
  </si>
  <si>
    <t>Es wird ohne standardisiertes Feld gespielt</t>
  </si>
  <si>
    <t>Bosseln ist einzigartig, weil es auf jeder ländlichen, unbefestigten Straße ohne standardisiertes Spielfeld gespielt werden kann.</t>
  </si>
  <si>
    <t>A. peasant guilds B. Local governments C. Local governments D. churches</t>
  </si>
  <si>
    <t>Wer sponserte traditionell lokale Bosseln-Turniere?</t>
  </si>
  <si>
    <t>Bauernzünfte</t>
  </si>
  <si>
    <t>Traditionell waren Bauernzünfte für die Austragung lokaler Bosselner Turniere zuständig.</t>
  </si>
  <si>
    <t>A. The number of allowed roles B. Choosing the right ball size C. Choosing the right ball size D. The order of player moves</t>
  </si>
  <si>
    <t>Welcher Teil des Bosseln-Wettbewerbs beinhaltet die Teamstrategie?</t>
  </si>
  <si>
    <t>Die Reihenfolge der Spielerzüge</t>
  </si>
  <si>
    <t>Die Teamstrategie in Bosseln dreht sich um die Reihenfolge, in der die Spieler an der Reihe sind, und darum, wie man sich am besten auf dem Platz zurechtfindet.</t>
  </si>
  <si>
    <t>A. It was a way to mark the seasons. B. It offered entertainment for families C. It offered entertainment for families D. It symbolized unity and cooperation</t>
  </si>
  <si>
    <t>Welche Rolle spielte Bosseln bei den örtlichen Feierlichkeiten?</t>
  </si>
  <si>
    <t>Es symbolisierte Einheit und Zusammenarbeit</t>
  </si>
  <si>
    <t>Bosseln wurde bei lokalen Feierlichkeiten oft als Symbol der Einheit und Zusammenarbeit angesehen.</t>
  </si>
  <si>
    <t>A. Its integration with agricultural traditions B. His dependence on technology C. His dependence on technology D. His roots lie in military training</t>
  </si>
  <si>
    <t>Was macht Bosseln in seiner historischen Entwicklung zu einer einzigartigen Sportart?</t>
  </si>
  <si>
    <t>Seine Integration in landwirtschaftliche Traditionen</t>
  </si>
  <si>
    <t>Die historische Entwicklung von Bosseln ist aufgrund seiner tiefen Verbindungen zu ländlichen und landwirtschaftlichen Traditionen einzigartig.</t>
  </si>
  <si>
    <t>A. 1900 B. 1910 C. 1910 D. 1920</t>
  </si>
  <si>
    <t>Wann wurde Bosseln als offizieller Sport anerkannt?</t>
  </si>
  <si>
    <t>Bosseln wurde im frühen 20. Jahrhundert offiziell als Sport anerkannt, insbesondere um 1920.</t>
  </si>
  <si>
    <t>A. World War I B. The Industrial Revolution C. The Industrial Revolution D. The rise of tourism</t>
  </si>
  <si>
    <t>Welches historische Ereignis hat Bosseln in anderen Ländern verteilt?</t>
  </si>
  <si>
    <t>Der Erste Weltkrieg habe Bosseln aufgrund der Bewegung von Soldaten und Arbeitern in ganz Europa verteilt.</t>
  </si>
  <si>
    <t>A. Creating the rules B. Building the first tracks C. Building the first tracks D. Development of the rating system</t>
  </si>
  <si>
    <t>Welche Rolle spielte ländliche Gemeinschaften bei der Entwicklung von Bosseln?</t>
  </si>
  <si>
    <t>Hosting der ersten Turniere</t>
  </si>
  <si>
    <t>Die ländlichen Gemeinden spielten eine Schlüsselrolle bei der Organisation der ersten Bosseln -Turniere.</t>
  </si>
  <si>
    <t>A. Bavaria B. Lower Saxony C. Lower Saxony D. Hesse</t>
  </si>
  <si>
    <t>Welche Region in Deutschland ist am meisten mit den Wurzeln von Bosseln verbunden?</t>
  </si>
  <si>
    <t>Die niedrigere Sachsen gilt als Geburtsort von Bosseln.</t>
  </si>
  <si>
    <t>A. Stone B. Wood C. Wood D. leather</t>
  </si>
  <si>
    <t>Welches Material wurde für die ersten Bosseln -Bälle verwendet?</t>
  </si>
  <si>
    <t>Stein</t>
  </si>
  <si>
    <t>Die ersten Bosseln -Kugeln wurden aus Stein hergestellt, da Metall und Holz nicht häufig verwendet wurden.</t>
  </si>
  <si>
    <t>A. Family gathering B. Community celebrations C. Community celebrations D. Sports clubs</t>
  </si>
  <si>
    <t>Was war der häufigste soziale Kontext für Boseln -Spiele im 19. Jahrhundert?</t>
  </si>
  <si>
    <t>Gemeinschaftsfeste</t>
  </si>
  <si>
    <t>Bosseln wurde oft während der Gemeinschaftsfestivals im 19. Jahrhundert gespielt und brachte Menschen zusammen.</t>
  </si>
  <si>
    <t>A. 1-2 hours B. 30-45 minutes C. 30-45 minutes D. 2-3 hours</t>
  </si>
  <si>
    <t>Was ist die typische Dauer eines Bosseln-Spiels?</t>
  </si>
  <si>
    <t>1-2 Stunden</t>
  </si>
  <si>
    <t>Ein typisches Boseln -Match dauert normalerweise zwischen 1 und 2 Stunden, abhängig von der Kurslänge.</t>
  </si>
  <si>
    <t>A. distance B. accuracy C. accuracy D. Teamwork</t>
  </si>
  <si>
    <t>Was war das Hauptziel für Spieler in frühen Bosseln -Spielen?</t>
  </si>
  <si>
    <t>Das Hauptziel war die Genauigkeit, als die Spieler darauf abzielten, den Ball einem Ziel am nächsten zu rollen.</t>
  </si>
  <si>
    <t>A. Switzerland B. The Netherlands C. The Netherlands D. Austria</t>
  </si>
  <si>
    <t>Welches Land außerhalb Deutschlands hat die stärkste Bosseln -Tradition?</t>
  </si>
  <si>
    <t>Die Niederlande haben eine starke Tradition von Bosseln, insbesondere in ihren ländlichen Gebieten.</t>
  </si>
  <si>
    <t>A. The scoring system B. The devices used C. The devices used D. The number of players per team</t>
  </si>
  <si>
    <t>Welcher Teil des Boseln -Spiels wurde für modernen Wettbewerb modifiziert?</t>
  </si>
  <si>
    <t>Das Wertungssystem</t>
  </si>
  <si>
    <t>Das Bewertungssystem war standardisiert, um in modernen Wettbewerben mehr Fairness und Konsistenz zu schaffen.</t>
  </si>
  <si>
    <t>A. World Wars B. industrialization C. industrialization D. The rise of football</t>
  </si>
  <si>
    <t>Was war einer der Hauptgründe für den Rückgang der Beliebtheit von Bosseln im 20. Jahrhundert?</t>
  </si>
  <si>
    <t>Weltkriege</t>
  </si>
  <si>
    <t>Die beiden Weltkriege trugen zu einem Rückgang der ländlichen Freizeitaktivitäten wie Bosseln bei.</t>
  </si>
  <si>
    <t>A. winter B. Spring C. Spring D. Summer</t>
  </si>
  <si>
    <t>Welche Saison wird normalerweise für das Spielen von Bosseln bevorzugt?</t>
  </si>
  <si>
    <t>Sommer</t>
  </si>
  <si>
    <t>Bosseln wird hauptsächlich im Sommer gespielt und nutzt trockene und klare Wetterbedingungen.</t>
  </si>
  <si>
    <t>A. It is bigger and heavier B. It is made of steel C. It is made of steel D. It has a smoother surface</t>
  </si>
  <si>
    <t>Wie unterscheidet sich der traditionelle Bosseln Ball von einem Bowlingball?</t>
  </si>
  <si>
    <t>Es hat eine gekrümmte Form</t>
  </si>
  <si>
    <t>Der Bosseln Ball ist einzigartig gekrümmt und gibt ihm eine andere Rolle als eine traditionelle Bowlingkugel.</t>
  </si>
  <si>
    <t>A. Hamburg B. Berlin C. Berlin D. Munich</t>
  </si>
  <si>
    <t>In welcher Stadt war die erste moderne Bosseln -Meisterschaft?</t>
  </si>
  <si>
    <t>Bremen</t>
  </si>
  <si>
    <t>Die erste moderne Bosseln -Meisterschaft fand in Bremen, Deutschland, statt.</t>
  </si>
  <si>
    <t>A. The 1960 Summer Olympics B. The revival of rural festivals C. The revival of rural festivals D. The 1950 World Cup</t>
  </si>
  <si>
    <t>Welches Großereignis hat Bosseln nach dem Zweiten Weltkrieg bei der Beliebtheit bei der Popularität beigetragen?</t>
  </si>
  <si>
    <t>Die Wiederbelebung ländlicher Feste</t>
  </si>
  <si>
    <t>Nach dem Zweiten Weltkrieg wurde Bosseln im Rahmen der kulturellen Erneuerung der ländlichen Feste in Deutschland wiederbelebt.</t>
  </si>
  <si>
    <t>A. The course length B. The number of balls used C. The number of balls used D. The evaluation method</t>
  </si>
  <si>
    <t>Welcher Aspekt von Bosseln -Wettbewerben unterscheidet sie von traditionellen Bowling -Turnieren?</t>
  </si>
  <si>
    <t>Die Kurslänge</t>
  </si>
  <si>
    <t>Bosseln -Wettbewerbe werden auf langen Outdoor -Kursen gespielt, die es von traditionellem Innenbowling unterscheiden.</t>
  </si>
  <si>
    <t>A. floor ball B. Street globe C. Street globe D. Rollball</t>
  </si>
  <si>
    <t>Wie war der ursprüngliche Name von Bosseln, bevor es als solches bekannt wurde?</t>
  </si>
  <si>
    <t>Straßenkugel</t>
  </si>
  <si>
    <t>Bevor er Boseln genannt wurde, wurde der Sport ursprünglich als Straßenkugel auf Deutsch bezeichnet.</t>
  </si>
  <si>
    <t>A. Harvest festivals B. Market days C. Market days D. Wedding celebrations</t>
  </si>
  <si>
    <t>Welche frühe Bosseln -Tradition beinhaltete ein Wettbewerbselement zwischen Dörfern?</t>
  </si>
  <si>
    <t>Erntefeste</t>
  </si>
  <si>
    <t>Bosseln -Wettbewerbe fanden häufig während der Erntefestivals statt, wobei benachbarte Dörfer antraten.</t>
  </si>
  <si>
    <t>A. The founding of a sports association B. The creation of a professional league C. The creation of a professional league D. The first Bosseln championship</t>
  </si>
  <si>
    <t>Welches Schlüsselereignis führte zur Formalisierung der Regeln von Bosseln?</t>
  </si>
  <si>
    <t>Die erste Bosseln -Meisterschaft</t>
  </si>
  <si>
    <t>Die erste Bosseln -Meisterschaft hat dazu beigetragen, standardisierte Regeln für das Spiel festzulegen.</t>
  </si>
  <si>
    <t>A. Family-friendly competition B. Game speed C. Game speed D. Individual performance</t>
  </si>
  <si>
    <t>Was betonen moderne Bosseln -Turniere normalerweise?</t>
  </si>
  <si>
    <t>Teamarbeit und Präzision</t>
  </si>
  <si>
    <t>Moderne Bosseln -Turniere konzentrieren sich auf Teamwork und Präzision mit einem Geist des freundlichen Wettbewerbs.</t>
  </si>
  <si>
    <t>A. Technological advances B. Military innovations C. Military innovations D. Natural materials</t>
  </si>
  <si>
    <t>Was war ein wesentlicher Einfluss auf die Entwicklung von Bosseln -Geräten?</t>
  </si>
  <si>
    <t>Technologische Fortschritte</t>
  </si>
  <si>
    <t>Der technologische Fortschritt im 20. Jahrhundert führte zu Verbesserungen der Bosseln -Geräte, insbesondere im Balldesign.</t>
  </si>
  <si>
    <t>A. cobbled streets B. Grass fields C. Grass fields D. Rural unpaved roads</t>
  </si>
  <si>
    <t>Welche Art von Gelände ist am wenigsten ideal für das Spielen von Boseln?</t>
  </si>
  <si>
    <t>Man gepflasterte Straßen sind für Bosseln am wenigsten ideal, da das Spiel ein ungleiches, natürliches Gelände erfordert.</t>
  </si>
  <si>
    <t>A. Larger for increased speed B. Heavier for more control C. Heavier for more control D. Bent to travel further</t>
  </si>
  <si>
    <t>Wie sind die Bosseln -Bälle normalerweise für eine bessere Leistung ausgelegt?</t>
  </si>
  <si>
    <t>Gebogen, um weiter zu reisen</t>
  </si>
  <si>
    <t>Die Bosseln -Bälle sind gekrümmt, um sicherzustellen, dass sie längere Strecken zurücklegen und gleichzeitig die Stabilität aufrechterhalten.</t>
  </si>
  <si>
    <t>A. The rise of television B. The construction of highways C. The construction of highways D. The emergence of professional sports leagues</t>
  </si>
  <si>
    <t>Welche große Veränderung ereignete sich im 20. Jahrhundert, das die Popularität von Bosseln beeinflusste?</t>
  </si>
  <si>
    <t>Der Bau von Autobahnen</t>
  </si>
  <si>
    <t>Der Bau von Autobahnen machte einige ländliche Straßen für traditionelle Boseln -Spiele weniger zugänglich.</t>
  </si>
  <si>
    <t>A. It is played on outdoor streets. B. It's about a team of 12 years. C. It's about a team of 12 years. D. The ball is rolled with a stick.</t>
  </si>
  <si>
    <t>Wie unterschieden sich Bosseln von traditionellem Bowling in Bezug auf den Spielstil?</t>
  </si>
  <si>
    <t>Es wird auf Straßen im Freien gespielt</t>
  </si>
  <si>
    <t>Bosseln ist einzigartig, weil es im Gegensatz zum Bowling in der Innenräume auf Außen-, unbefestigten Straßen gespielt wird.</t>
  </si>
  <si>
    <t>A. Introduction of rolling balls B. Development of rating systems C. Development of rating systems D. The use of curling stones</t>
  </si>
  <si>
    <t>Welchen frühen Einfluss hatte der Lockensport auf Bosseln?</t>
  </si>
  <si>
    <t>Einführung von Rollbällen</t>
  </si>
  <si>
    <t>Curling durch die Einführung von Rolling -Bällen beeinflusste die Entwicklung von Bosseln im 19. Jahrhundert.</t>
  </si>
  <si>
    <t>A. It was easy to build. B. It required extensive equipment C. It required extensive equipment D. It was suitable for large groups</t>
  </si>
  <si>
    <t>Welches Merkmal machte Bosseln zu einem beliebten Spiel bei landwirtschaftlichen Festivals?</t>
  </si>
  <si>
    <t>Es war leicht zu errichten</t>
  </si>
  <si>
    <t>Boselns Einfachheit und minimale Ausrüstung machten es zu einer perfekten Aktivität für landwirtschaftliche Feste.</t>
  </si>
  <si>
    <t>A. From local farmers B. From the German military C. From the German military D. From local churches</t>
  </si>
  <si>
    <t>Wie wurden die ersten Bosseln -Turniere organisiert?</t>
  </si>
  <si>
    <t>Von lokalen Bauern</t>
  </si>
  <si>
    <t>Die ersten Bosseln -Turniere wurden von örtlichen Landwirten organisiert, um die Teilnahme der Gemeinde zu fördern.</t>
  </si>
  <si>
    <t>A. Uniforms B. Official referees C. Official referees D. Interiors</t>
  </si>
  <si>
    <t>Welche der folgenden Aussagen ist für moderne Boseln -Turniere unerlässlich?</t>
  </si>
  <si>
    <t>Offizielle Schiedsrichter</t>
  </si>
  <si>
    <t>Moderne Bosseln -Turniere werden offiziell mit Schiedsrichtern reguliert, um sicherzustellen, dass die Regeln eingehalten werden.</t>
  </si>
  <si>
    <t>A. It helped to spread the game to urban areas. B. It increased the use of professional players C. It increased the use of professional players D. It reduced interest in rural games</t>
  </si>
  <si>
    <t>Welche Auswirkungen hatte die industrielle Revolution auf Bosseln?</t>
  </si>
  <si>
    <t>Es half, das Spiel auf städtische Gebiete zu verbreiten</t>
  </si>
  <si>
    <t>Die industrielle Revolution half Bosseln, sich über ländliche Gebiete hinaus auszubreiten und die städtischen Zentren als Freizeitaktivität zu erreichen.</t>
  </si>
  <si>
    <t>A. A trophy B. A sack of grain C. A sack of grain D. A silver medal</t>
  </si>
  <si>
    <t>Was war ein typischer Preis bei frühen Boseln -Wettbewerben?</t>
  </si>
  <si>
    <t>Ein Sack Getreide</t>
  </si>
  <si>
    <t>In frühen Bosseln -Wettbewerben war der Preis oft praktisch, wie ein Sack Getreide für landwirtschaftliche Gemeinschaften.</t>
  </si>
  <si>
    <t>A. Local sports clubs B. military officers C. military officers D. Agricultural Societies</t>
  </si>
  <si>
    <t>Wer hat Bosseln im 19. Jahrhundert als Wettbewerbssport vorgestellt?</t>
  </si>
  <si>
    <t>Landwirtschaftliche Gesellschaften</t>
  </si>
  <si>
    <t>Die landwirtschaftlichen Gesellschaften waren im 19. Jahrhundert zentral bei der Einführung von Bosseln als Wettbewerbssport.</t>
  </si>
  <si>
    <t>A. They organized local tournaments. B. They organized international competitions. C. They organized international competitions. D. They promoted sports in schools</t>
  </si>
  <si>
    <t>Wie haben soziale Vereine zur Popularität von Bosseln im 20. Jahrhundert beigetragen?</t>
  </si>
  <si>
    <t>Sie veranstalteten lokale Turniere</t>
  </si>
  <si>
    <t>Social Clubs halfen bei der Förderung von Bosseln, indem sie lokale Turniere und regionale Wettbewerbe veranstalteten.</t>
  </si>
  <si>
    <t>A. folk dances B. musical performances C. musical performances D. horse racing</t>
  </si>
  <si>
    <t>Welche Aktivität wurde im 19. Jahrhundert üblicherweise mit Bosseln -Wettbewerben gepaart?</t>
  </si>
  <si>
    <t>Volkstänze</t>
  </si>
  <si>
    <t>Bosseln-Wettbewerbe wurden oft mit Volkstänzen während der ländlichen Festivals des 19. Jahrhunderts kombiniert.</t>
  </si>
  <si>
    <t>A. Restricted access to play areas B. Lack of equipment C. Lack of equipment D. Lack of players</t>
  </si>
  <si>
    <t>Was war eine Herausforderung, mit der die frühen Bosseln -Spieler standen?</t>
  </si>
  <si>
    <t>Eingeschränkter Zugang zu Spielbereichen</t>
  </si>
  <si>
    <t>Frühe Spieler standen oft vor der Herausforderung des eingeschränkten Zugangs zu ländlichen Straßen für Boseln.</t>
  </si>
  <si>
    <t>A. The European Cup B. The World Cup C. The World Cup D. The Germans open</t>
  </si>
  <si>
    <t>Was war eines der ersten internationalen Turniere für Bosseln?</t>
  </si>
  <si>
    <t>Die Deutschen offen</t>
  </si>
  <si>
    <t>Die deutschen Open war eines der ersten internationalen Turniere für Bosseln -Spieler.</t>
  </si>
  <si>
    <t>A. farmers B. Noble families C. Noble families D. soldiers</t>
  </si>
  <si>
    <t>Wer waren im 19. Jahrhundert die typischen Konkurrenten in Bosseln -Spielen?</t>
  </si>
  <si>
    <t>Die Landwirte waren die typischen Konkurrenten in Bosseln -Spielen, da es sich um eine ländliche Aktivität handelte.</t>
  </si>
  <si>
    <t>A. It made the game less accessible. B. It increased the popularity of the sport. C. It increased the popularity of the sport. D. It introduced new equipment.</t>
  </si>
  <si>
    <t>Wie hat sich die Entwicklung eines besseren Transports ausgewirkt?</t>
  </si>
  <si>
    <t>Es erhöhte die Popularität des Sports</t>
  </si>
  <si>
    <t>Bessere Transportsysteme ermöglichten es Bosseln, sich in Regionen weiter zu verbreiten und seine Popularität zu erhöhen.</t>
  </si>
  <si>
    <t>A. Bavaria B. North Rhine-Westphalia C. North Rhine-Westphalia D. Saxony</t>
  </si>
  <si>
    <t>Was war eine der beliebtesten Regionen in Deutschland für Bosseln -Turniere?</t>
  </si>
  <si>
    <t>Die niedrigere Sachsen bleibt eine der beliebtesten Regionen für Bosseln -Turniere.</t>
  </si>
  <si>
    <t>A. bowling B. curling C. curling D. Lawn bowling</t>
  </si>
  <si>
    <t>Welcher andere Sport wird oft wegen ähnlicher Spielstile verglichen?</t>
  </si>
  <si>
    <t>Eisstockschießen</t>
  </si>
  <si>
    <t>Bosseln wird oft mit Curling verglichen, da beide Sportarten einen Ball zu einem Zielbereich rollen.</t>
  </si>
  <si>
    <t>A. To maintain the score B. Set up the ball C. Set up the ball D. Measuring distances</t>
  </si>
  <si>
    <t>Welche Rolle spielt der Marker in Bosseln?</t>
  </si>
  <si>
    <t>Entfernungen messen</t>
  </si>
  <si>
    <t>Der „Marker“ ist für die Messung der Entfernung des Balls aus dem Zielbereich in Bosseln verantwortlich.</t>
  </si>
  <si>
    <t>A. Professional leagues B. Virtual competitions C. Virtual competitions D. Mixed-gender teams</t>
  </si>
  <si>
    <t>Was ist der aktuelle Trend für moderne Bosseln -Turniere?</t>
  </si>
  <si>
    <t>Teams gemischte Geschlechter</t>
  </si>
  <si>
    <t>Moderne Bosseln-Turniere verfügen häufig über gemischte Geschlechterteams und fördern die Inklusivität.</t>
  </si>
  <si>
    <t>A. The course design B. The team size C. The team size D. The equipment</t>
  </si>
  <si>
    <t>Welcher Teil des Boseln -Spiels hat sich im Laufe der Zeit entwickelt?</t>
  </si>
  <si>
    <t>Die Ausrüstung</t>
  </si>
  <si>
    <t>Die Ausrüstung von Bosseln, insbesondere das Balldesign, hat sich im Laufe der Zeit entwickelt, um die Leistung zu verbessern.</t>
  </si>
  <si>
    <t>A. The creation of the European Championship B. The rise of rural tourism C. The rise of rural tourism D. The international Olympic movement</t>
  </si>
  <si>
    <t>Welches wichtige kulturelle Ereignis hat den Status von Bosseln im 20. Jahrhundert erhöht?</t>
  </si>
  <si>
    <t>Der Aufstieg des ländlichen Tourismus</t>
  </si>
  <si>
    <t>Der ländliche Tourismus in Deutschland hat Bosseln im 20. Jahrhundert als kulturelle und Freizeitaktivität erhöht.</t>
  </si>
  <si>
    <t>A. Minimal equipment B. Interiors C. Interiors D. Use of synthetic materials</t>
  </si>
  <si>
    <t>Welcher wichtige Aspekt von Bosseln macht es zu einem umweltfreundlichen Sport?</t>
  </si>
  <si>
    <t>Minimale Ausrüstung</t>
  </si>
  <si>
    <t>Bosseln ist ein umweltfreundlicher Sport, da es nur minimal auf die Ausrüstung und die Nutzung natürlicher Außenbereiche angewiesen ist.</t>
  </si>
  <si>
    <t>Question number</t>
  </si>
  <si>
    <t>Ask</t>
  </si>
  <si>
    <t>Fragenummer</t>
  </si>
  <si>
    <t>1</t>
  </si>
  <si>
    <t>When was Skat officially recognized as a sport in Germany?</t>
  </si>
  <si>
    <t>A. 1970 B. 1980 C. 1990 D. 2000</t>
  </si>
  <si>
    <t>1970</t>
  </si>
  <si>
    <t>Skat was officially recognized as a sport and admitted to the sports association in 1970.</t>
  </si>
  <si>
    <t>Wann wurde Skat in Deutschland offiziell als Sport anerkannt?</t>
  </si>
  <si>
    <t>Wann wurde Skat in Deutschland offiziell als Sportart anerkannt?</t>
  </si>
  <si>
    <t>Skat wurde 1970 offiziell als Sportart anerkannt und in den Sportverband aufgenommen.</t>
  </si>
  <si>
    <t>2</t>
  </si>
  <si>
    <t>Who is considered the founder of the card game Skat?</t>
  </si>
  <si>
    <t>A. Georg Wilhelm von der Gabelentz B. Martin Luther C. Johann Gutenberg D. Wilhelm von Goethe</t>
  </si>
  <si>
    <t>Georg Wilhelm von der Gabelentz</t>
  </si>
  <si>
    <t>Georg Wilhelm von der Gabelentz is often referred to as the founder of the card game Skat.</t>
  </si>
  <si>
    <t>Wer gilt als Begründer des Skatspiels?</t>
  </si>
  <si>
    <t>Wer gilt als Begründer des Kartenspiels Skat?</t>
  </si>
  <si>
    <t>Georg Wilhelm von der Gabelentz wird oft als Begründer des Skatspiels bezeichnet.</t>
  </si>
  <si>
    <t>3</t>
  </si>
  <si>
    <t>Where did the first skat tournament take place?</t>
  </si>
  <si>
    <t>A. In Altenburg B. In Leipzig C. In Berlin D. In Dresden</t>
  </si>
  <si>
    <t>In Altenburg</t>
  </si>
  <si>
    <t>The first skat tournament took place in Altenburg in 1826.</t>
  </si>
  <si>
    <t>Wo fand das erste Skatturnier statt?</t>
  </si>
  <si>
    <t>Wo fand das erste Skate-Turnier statt?</t>
  </si>
  <si>
    <t>Das erste Skatturnier fand 1826 in Altenburg statt.</t>
  </si>
  <si>
    <t>4</t>
  </si>
  <si>
    <t>Which year is considered the birth year of the card game Skat?</t>
  </si>
  <si>
    <t>A. 1810 B. 1820 C. 1830 D. 1840</t>
  </si>
  <si>
    <t>1810</t>
  </si>
  <si>
    <t>The card game Skat was invented in Altenburg around 1810.</t>
  </si>
  <si>
    <t>Welches Jahr gilt als Geburtsjahr des Skatspiels?</t>
  </si>
  <si>
    <t>Welches Jahr gilt als Geburtsjahr des Kartenspiels Skat?</t>
  </si>
  <si>
    <t>Das Skatspiel wurde um 1810 in Altenburg erfunden.</t>
  </si>
  <si>
    <t>5</t>
  </si>
  <si>
    <t>In which country was Skat originally played?</t>
  </si>
  <si>
    <t>A. Germany B. Austria C. Switzerland D. France</t>
  </si>
  <si>
    <t>Germany</t>
  </si>
  <si>
    <t>Skat originated in Germany, more precisely in the city of Altenburg.</t>
  </si>
  <si>
    <t>In welchem ​​Land wurde Skat ursprünglich gespielt?</t>
  </si>
  <si>
    <t>Skat hat seinen Ursprung in Deutschland, genauer gesagt in der Stadt Altenburg.</t>
  </si>
  <si>
    <t>6</t>
  </si>
  <si>
    <t>When was the first skat club founded?</t>
  </si>
  <si>
    <t>A. 1885 B. 1890 C. 1900 D. 1920</t>
  </si>
  <si>
    <t>1885</t>
  </si>
  <si>
    <t>The first skat club was founded in Altenburg in 1885.</t>
  </si>
  <si>
    <t>Wann wurde der erste Skatverein gegründet?</t>
  </si>
  <si>
    <t>Wann wurde der erste Skateclub gegründet?</t>
  </si>
  <si>
    <t>Der erste Skatverein wurde 1885 in Altenburg gegründet.</t>
  </si>
  <si>
    <t>7</t>
  </si>
  <si>
    <t>Which city is considered the birthplace of the card game Skat?</t>
  </si>
  <si>
    <t>A. Altenburg B. Leipzig C. Berlin D. Dresden</t>
  </si>
  <si>
    <t>Altenburg</t>
  </si>
  <si>
    <t>Altenburg is considered the birthplace of the card game Skat.</t>
  </si>
  <si>
    <t>Welche Stadt gilt als Geburtsort des Skatspiels?</t>
  </si>
  <si>
    <t>Welche Stadt gilt als Geburtsort des Kartenspiels Skat?</t>
  </si>
  <si>
    <t>Altenburg gilt als Geburtsort des Skatspiels.</t>
  </si>
  <si>
    <t>8</t>
  </si>
  <si>
    <t>When did the first Skat World Championship take place?</t>
  </si>
  <si>
    <t>A. 1961 B. 1972 C. 1980 D. 1995</t>
  </si>
  <si>
    <t>1961</t>
  </si>
  <si>
    <t>The first Skat World Championship took place in 1961.</t>
  </si>
  <si>
    <t>Wann fand die erste Skat-Weltmeisterschaft statt?</t>
  </si>
  <si>
    <t>Wann fand die erste Skate-Weltmeisterschaft statt?</t>
  </si>
  <si>
    <t>Die erste Skat-Weltmeisterschaft fand 1961 statt.</t>
  </si>
  <si>
    <t>9</t>
  </si>
  <si>
    <t>Who was the first world champion in Skat?</t>
  </si>
  <si>
    <t>A. Hans W. Kuhlmann B. Gerhard Witt C. Walter Schmidt D. Ernst Pohl</t>
  </si>
  <si>
    <t>Hans W. Kuhlmann</t>
  </si>
  <si>
    <t>Hans W. Kuhlmann became the first Skat World Champion in 1961.</t>
  </si>
  <si>
    <t>Wer war der erste Weltmeister im Skat?</t>
  </si>
  <si>
    <t>Wer war der erste Weltmeister im Skaten?</t>
  </si>
  <si>
    <t>Hans W. Kuhlmann wurde 1961 der erste Skat-Weltmeister.</t>
  </si>
  <si>
    <t>10</t>
  </si>
  <si>
    <t>How many cards are dealt in a round of Skat?</t>
  </si>
  <si>
    <t>A. 10 B. 12 C. 13 D. 15</t>
  </si>
  <si>
    <t>In a game of Skat, each player receives 10 cards.</t>
  </si>
  <si>
    <t>Wie viele Karten werden in einer Skatrunde ausgeteilt?</t>
  </si>
  <si>
    <t>Wie viele Karten werden in einer Runde Skat ausgeteilt?</t>
  </si>
  <si>
    <t>In einer Skatrunde erhält jeder Spieler 10 Karten.</t>
  </si>
  <si>
    <t>11</t>
  </si>
  <si>
    <t>Which card game forms the basis for the game of Skat?</t>
  </si>
  <si>
    <t>A. Tarot B. Piquet C. Cards from the French deck D. Cards from the German deck</t>
  </si>
  <si>
    <t>Cards from the French deck</t>
  </si>
  <si>
    <t>Skat uses a French deck of 52 cards.</t>
  </si>
  <si>
    <t>Welches Kartenspiel bildet die Grundlage für das Skatspiel?</t>
  </si>
  <si>
    <t>Welches Kartenspiel bildet die Grundlage für das Spiel Skat?</t>
  </si>
  <si>
    <t>Karten aus dem französischen Deck</t>
  </si>
  <si>
    <t>Beim Skat wird ein französisches Deck mit 52 Karten verwendet.</t>
  </si>
  <si>
    <t>12</t>
  </si>
  <si>
    <t>When did the first international Skat World Championship take place?</t>
  </si>
  <si>
    <t>A. 1960 B. 1975 C. 1980 D. 1990</t>
  </si>
  <si>
    <t>1975</t>
  </si>
  <si>
    <t>The first international Skat World Championship took place in 1975.</t>
  </si>
  <si>
    <t>Wann fand die erste internationale Skat-Weltmeisterschaft statt?</t>
  </si>
  <si>
    <t>Wann fand die erste internationale Skateboard-Weltmeisterschaft statt?</t>
  </si>
  <si>
    <t>Die erste internationale Skat-Weltmeisterschaft fand 1975 statt.</t>
  </si>
  <si>
    <t>13</t>
  </si>
  <si>
    <t>What is the traditional color of a Skat card set?</t>
  </si>
  <si>
    <t>A. Green B. Red C. Blue D. Black</t>
  </si>
  <si>
    <t>Green</t>
  </si>
  <si>
    <t>Traditionally, the playing card set is produced in the color green.</t>
  </si>
  <si>
    <t>Welche Farbe hat das Skatkartenset traditionell?</t>
  </si>
  <si>
    <t>Welche Farbe hat ein Skat-Kartenset traditionell?</t>
  </si>
  <si>
    <t>Grün</t>
  </si>
  <si>
    <t>Traditionell wird das Skatkartenset in der Farbe Grün hergestellt.</t>
  </si>
  <si>
    <t>14</t>
  </si>
  <si>
    <t>What does the term "trick" mean in Skat?</t>
  </si>
  <si>
    <t>A. The number of tricks won B. The player's score C. Declaring a game type D. Discard cards</t>
  </si>
  <si>
    <t>Declaring a game type</t>
  </si>
  <si>
    <t>In Skat, "announcements" refers to the announcement of a game type and the determination of the game's stakes.</t>
  </si>
  <si>
    <t>Was bedeutet der Begriff „Trick“ im Skat?</t>
  </si>
  <si>
    <t>Was bedeutet der Begriff „Trick“ in Skat?</t>
  </si>
  <si>
    <t>Deklarieren eines Spieltyps</t>
  </si>
  <si>
    <t>Unter Ansagen versteht man beim Skat das Ansagen einer Spielart und die Bestimmung der Höhe des Spiels.</t>
  </si>
  <si>
    <t>15</t>
  </si>
  <si>
    <t>In what year was the East German Skat Association founded?</t>
  </si>
  <si>
    <t>A. 1951 B. 1965 C. 1970 D. 1980</t>
  </si>
  <si>
    <t>1951</t>
  </si>
  <si>
    <t>The East German Skat Association was founded in 1951.</t>
  </si>
  <si>
    <t>In welchem ​​Jahr wurde der DDR-Skatverband gegründet?</t>
  </si>
  <si>
    <t>In welchem ​​Jahr wurde der Ostdeutsche Skateverband gegründet?</t>
  </si>
  <si>
    <t>Der DDR-Skatverband wurde 1951 gegründet.</t>
  </si>
  <si>
    <t>16</t>
  </si>
  <si>
    <t>Which organization is responsible for organizing the international Skat World Championship?</t>
  </si>
  <si>
    <t>A. German Skat Association B. International Skat Federation C. World Skat Federation D. European Skat Federation</t>
  </si>
  <si>
    <t>International Skat Federation</t>
  </si>
  <si>
    <t>The International Skat World Championship is organized by the International Skat Federation.</t>
  </si>
  <si>
    <t>Welche Organisation ist für die Organisation der internationalen Skat-Weltmeisterschaft verantwortlich?</t>
  </si>
  <si>
    <t>Welche Organisation ist für die Ausrichtung der internationalen Skat-Weltmeisterschaft verantwortlich?</t>
  </si>
  <si>
    <t>Internationaler Skatverband</t>
  </si>
  <si>
    <t>Die Internationale Skat-Weltmeisterschaft wird von der International Skat Federation organisiert.</t>
  </si>
  <si>
    <t>17</t>
  </si>
  <si>
    <t>What is a "Grand Hand" in Skat?</t>
  </si>
  <si>
    <t>A. A game without trumps B. A game with trump cards C. A game where all cards are visible. D. A 20-point game</t>
  </si>
  <si>
    <t>A game where all cards are visible.</t>
  </si>
  <si>
    <t>"Grand Hand" is a game where all of the player's cards are visible.</t>
  </si>
  <si>
    <t>Was ist eine „Grand Hand“ im Skat?</t>
  </si>
  <si>
    <t>Was ist eine „Große Hand“ im Skat?</t>
  </si>
  <si>
    <t>Ein Spiel, bei dem alle Karten sichtbar sind</t>
  </si>
  <si>
    <t>„Grand Hand“ ist ein Spiel, bei dem alle Karten des Spielers sichtbar sind.</t>
  </si>
  <si>
    <t>18</t>
  </si>
  <si>
    <t>How many cards can be used in a game of Skat?</t>
  </si>
  <si>
    <t>A. 24 B. 30 C. 32 D. 52</t>
  </si>
  <si>
    <t>32</t>
  </si>
  <si>
    <t>A game of Skat uses 32 cards.</t>
  </si>
  <si>
    <t>Wie viele Karten können bei einem Skatspiel verwendet werden?</t>
  </si>
  <si>
    <t>Wie viele Karten können in einem Skat-Spiel verwendet werden?</t>
  </si>
  <si>
    <t>Bei einem Skatspiel werden 32 Karten verwendet.</t>
  </si>
  <si>
    <t>19</t>
  </si>
  <si>
    <t>Which skat player had the highest score in the history of a single game?</t>
  </si>
  <si>
    <t>A. Walter Schmidt B. Hans W. Kuhlmann C. Rainer Busch D. Gerhard Witt</t>
  </si>
  <si>
    <t>Rainer Busch</t>
  </si>
  <si>
    <t>Rainer Busch achieved the highest score in a game of skat.</t>
  </si>
  <si>
    <t>Welcher Skatspieler hatte die höchste Punktzahl in der Geschichte eines einzelnen Spiels?</t>
  </si>
  <si>
    <t>Welcher Skat-Spieler erzielte die höchste Punktzahl in der Geschichte eines einzelnen Spiels?</t>
  </si>
  <si>
    <t>Rainer Busch erzielte die höchste Punktzahl in einem Skatspiel.</t>
  </si>
  <si>
    <t>20</t>
  </si>
  <si>
    <t>When was the Altenburg Skat Club founded?</t>
  </si>
  <si>
    <t>A. 1820 B. 1830 C. 1840 D. 1850</t>
  </si>
  <si>
    <t>1820</t>
  </si>
  <si>
    <t>The "Skatclub Altenburg" was founded in 1820 and is the oldest skat club in the world.</t>
  </si>
  <si>
    <t>Wann wurde der Skatclub Altenburg gegründet?</t>
  </si>
  <si>
    <t>Wann wurde der Altenburg Skat Club gegründet?</t>
  </si>
  <si>
    <t>Der „Skatclub Altenburg“ wurde 1820 gegründet und ist der älteste Skatclub der Welt.</t>
  </si>
  <si>
    <t>21</t>
  </si>
  <si>
    <t>What is the "Skat Cup"?</t>
  </si>
  <si>
    <t>A. A trophy for the best team B. A prize for the highest score C. An award for the best single game D. A prize for the best skat club</t>
  </si>
  <si>
    <t>A prize for the highest score</t>
  </si>
  <si>
    <t>The “Skat Cup” is awarded to the player with the highest score.</t>
  </si>
  <si>
    <t>Was ist der „Skat Cup“?</t>
  </si>
  <si>
    <t>Ein Preis für die höchste Punktzahl</t>
  </si>
  <si>
    <t>Der „Skat Cup“ wird an den Spieler mit der höchsten Punktzahl vergeben.</t>
  </si>
  <si>
    <t>22</t>
  </si>
  <si>
    <t>Which country first participated in the Skat World Championship in 1980?</t>
  </si>
  <si>
    <t>A. France B. Poland C. USA D. Austria</t>
  </si>
  <si>
    <t>France</t>
  </si>
  <si>
    <t>France first participated in a Skat World Championship in 1980.</t>
  </si>
  <si>
    <t>Welches Land nahm 1980 zum ersten Mal an der Skat-Weltmeisterschaft teil?</t>
  </si>
  <si>
    <t>Welches Land nahm 1980 als erstes an der Skat-Weltmeisterschaft teil?</t>
  </si>
  <si>
    <t>Frankreich</t>
  </si>
  <si>
    <t>Frankreich nahm 1980 erstmals an einer Skat-Weltmeisterschaft teil.</t>
  </si>
  <si>
    <t>23</t>
  </si>
  <si>
    <t>How many players traditionally participate in a game of Skat?</t>
  </si>
  <si>
    <t>A. 2 B. 3 C. 4 D. 5</t>
  </si>
  <si>
    <t>A game of Skat is traditionally played by 3 players.</t>
  </si>
  <si>
    <t>Wie viele Spieler nehmen traditionell an einem Skatspiel teil?</t>
  </si>
  <si>
    <t>Wie viele Spieler nehmen üblicherweise an einem Skat-Spiel teil?</t>
  </si>
  <si>
    <t>Eine Partie Skat wird traditionell von 3 Spielern gespielt.</t>
  </si>
  <si>
    <t>24</t>
  </si>
  <si>
    <t>What is a "Schneider" in Skat?</t>
  </si>
  <si>
    <t>A. A player with few points B. A game without excitement C. A player who wins all the tricks D. A player who doesn't win any tricks</t>
  </si>
  <si>
    <t>A player who wins all the tricks</t>
  </si>
  <si>
    <t>A "Schneider" refers to a player who wins all the tricks in a game.</t>
  </si>
  <si>
    <t>Was ist ein „Schneider“ im Skat?</t>
  </si>
  <si>
    <t>Was ist ein „Schneider“ in Skat?</t>
  </si>
  <si>
    <t>Ein Spieler, der alle Stiche gewinnt</t>
  </si>
  <si>
    <t>Ein „Schneider“ bezieht sich auf einen Spieler, der alle Stiche in einem Spiel gewinnt.</t>
  </si>
  <si>
    <t>25</t>
  </si>
  <si>
    <t>What is a "Black" in Skat?</t>
  </si>
  <si>
    <t>A. A game without tricks B. A game without excitement C. A game with the highest trump card D. A player who doesn't take a single trick</t>
  </si>
  <si>
    <t>A player who doesn't take a single trick</t>
  </si>
  <si>
    <t>"Black" refers to the game in which a player does not score a single trick.</t>
  </si>
  <si>
    <t>Was ist ein „Schwarzer“ beim Skat?</t>
  </si>
  <si>
    <t>Was ist ein „Schwarzer“ in Skat?</t>
  </si>
  <si>
    <t>Ein Spieler, der keinen Stich macht</t>
  </si>
  <si>
    <t>„Schwarz“ bezieht sich auf das Spiel, bei dem ein Spieler keinen einzigen Stich erzielt.</t>
  </si>
  <si>
    <t>26</t>
  </si>
  <si>
    <t>What does the term "Nullspiel" mean in Skat?</t>
  </si>
  <si>
    <t>A. A game without trumps B. A game in which the player does not take any tricks. C. A game without excitement D. A game in which only one trick is taken.</t>
  </si>
  <si>
    <t>A game in which the player does not take any tricks.</t>
  </si>
  <si>
    <t>A "null game" is a game in which the player is not allowed to take a single trick.</t>
  </si>
  <si>
    <t>Was bedeutet der Begriff „Nullspiel“ im Skat?</t>
  </si>
  <si>
    <t>Ein Spiel, bei dem der Spieler keinen Stich ausführt</t>
  </si>
  <si>
    <t>Unter Nullspiel versteht man ein Spiel, bei dem der Spieler keinen einzigen Stich machen darf.</t>
  </si>
  <si>
    <t>27</t>
  </si>
  <si>
    <t>What purpose does "irritation" serve in Skat?</t>
  </si>
  <si>
    <t>A. Set the number of rounds B. To determine the value of the game C. Sort the cards D. To determine the start of the game</t>
  </si>
  <si>
    <t>To determine the value of the game</t>
  </si>
  <si>
    <t>Bidding in Skat serves to determine the game value and the type of game.</t>
  </si>
  <si>
    <t>Welchen Zweck hat „Irritation“ im Skat?</t>
  </si>
  <si>
    <t>Welchen Zweck erfüllt die „Irritation“ im Skat?</t>
  </si>
  <si>
    <t>Um den Wert des Spiels zu bestimmen</t>
  </si>
  <si>
    <t>Das Bieten im Skat dient der Ermittlung des Spielwertes und der Art des Spiels.</t>
  </si>
  <si>
    <t>28</t>
  </si>
  <si>
    <t>When was the World Skat Association founded?</t>
  </si>
  <si>
    <t>A. 1955 B. 1960 C. 1970 D. 1980</t>
  </si>
  <si>
    <t>1955</t>
  </si>
  <si>
    <t>The World Skat Association was founded in 1955 to promote the international skat community.</t>
  </si>
  <si>
    <t>Wann wurde die World Skat Association gegründet?</t>
  </si>
  <si>
    <t>Die World Skat Association wurde 1955 gegründet, um die internationale Skat-Community zu fördern.</t>
  </si>
  <si>
    <t>29</t>
  </si>
  <si>
    <t>What type of cards are used in the game of Skat?</t>
  </si>
  <si>
    <t>A. French maps B. Tarot cards C. Piquet cards D. Jack cards</t>
  </si>
  <si>
    <t>French maps</t>
  </si>
  <si>
    <t>A French deck of cards is used in the game of Skat.</t>
  </si>
  <si>
    <t>Welche Art von Karten werden beim Skatspiel verwendet?</t>
  </si>
  <si>
    <t>Welche Art von Karten werden im Spiel Skat verwendet?</t>
  </si>
  <si>
    <t>Französische Karten</t>
  </si>
  <si>
    <t>Beim Skatspiel wird ein französisches Kartenspiel verwendet.</t>
  </si>
  <si>
    <t>30</t>
  </si>
  <si>
    <t>When did the era of electronic skat games begin?</t>
  </si>
  <si>
    <t>A. 1990 B. 2000 C. 2010 D. 1985</t>
  </si>
  <si>
    <t>1990</t>
  </si>
  <si>
    <t>The era of electronic skat games began in the early 1990s.</t>
  </si>
  <si>
    <t>Wann begann die Ära der elektronischen Skatspiele?</t>
  </si>
  <si>
    <t>Wann begann die Ära der elektronischen Skateboard-Spiele?</t>
  </si>
  <si>
    <t>Die Ära der elektronischen Skatspiele begann Anfang der 1990er Jahre.</t>
  </si>
  <si>
    <t>31</t>
  </si>
  <si>
    <t>What is the "trump card" in Skat?</t>
  </si>
  <si>
    <t>A. A special card value B. A special kind of game C. A card trick D. The highest card in the game</t>
  </si>
  <si>
    <t>A special card value</t>
  </si>
  <si>
    <t>In Skat, the "Trump" refers to the card with the highest value.</t>
  </si>
  <si>
    <t>Was ist der „Trumpf“ beim Skat?</t>
  </si>
  <si>
    <t>Was ist der „Trumpf“ in Skat?</t>
  </si>
  <si>
    <t>Ein besonderer Kartenwert</t>
  </si>
  <si>
    <t>Im Skat bezeichnet der „Trumpf“ die Karte mit dem höchsten Wert.</t>
  </si>
  <si>
    <t>Who won the first international Skat World Championship?</t>
  </si>
  <si>
    <t>A. Hans W. Kuhlmann B. Gerhard Witt C. Walter Schmidt D. Rainer Busch</t>
  </si>
  <si>
    <t>Hans W. Kuhlmann was the winner of the first international Skat World Championship.</t>
  </si>
  <si>
    <t>Wer hat die erste internationale Skat-Weltmeisterschaft gewonnen?</t>
  </si>
  <si>
    <t>Wer hat die erste internationale Skateboard-Weltmeisterschaft gewonnen?</t>
  </si>
  <si>
    <t>Hans W. Kuhlmann war der Gewinner der ersten internationalen Skat-Weltmeisterschaft.</t>
  </si>
  <si>
    <t>33</t>
  </si>
  <si>
    <t>When was the skat club "kartenfreunde Altenburg" founded?</t>
  </si>
  <si>
    <t>A. 1870 B. 1900 C. 1920 D. 1950</t>
  </si>
  <si>
    <t>1870</t>
  </si>
  <si>
    <t>The skat club “kartenfreunde Altenburg” was founded in 1870.</t>
  </si>
  <si>
    <t>Wann wurde der Skatverein „kartenfreunde Altenburg“ gegründet?</t>
  </si>
  <si>
    <t>Der Skatverein „kartenfreunde Altenburg“ wurde 1870 gegründet.</t>
  </si>
  <si>
    <t>34</t>
  </si>
  <si>
    <t>What is the name for the highest score in a game of Skat?</t>
  </si>
  <si>
    <t>A. Large hand B. Schneider C. Zero D. Great</t>
  </si>
  <si>
    <t>Great</t>
  </si>
  <si>
    <t>The "Grand" is the highest score that can be achieved in Skat.</t>
  </si>
  <si>
    <t>Wie nennt man den höchsten Punktewert bei einer Skatpartie?</t>
  </si>
  <si>
    <t>Wie nennt man die höchste Punktzahl in einem Skat-Spiel?</t>
  </si>
  <si>
    <t>Großartig</t>
  </si>
  <si>
    <t>Der „Grand“ ist der höchste Punktwert, der im Skat erreicht werden kann.</t>
  </si>
  <si>
    <t>35</t>
  </si>
  <si>
    <t>What is a "weakness" in Skat?</t>
  </si>
  <si>
    <t>A. A bad set of cards B. A bidding error C. A game without trumps D. A failed attempt</t>
  </si>
  <si>
    <t>A bad set of cards</t>
  </si>
  <si>
    <t>A "weakness" refers to an unfavorable or weak set of cards in the game.</t>
  </si>
  <si>
    <t>Was ist eine „Schwäche“ beim Skat?</t>
  </si>
  <si>
    <t>Was ist eine „Schwäche“ in Skat?</t>
  </si>
  <si>
    <t>Ein schlechter Kartensatz</t>
  </si>
  <si>
    <t>Eine „Schwäche“ bezieht sich auf einen ungünstigen oder schwachen Kartensatz im Spiel.</t>
  </si>
  <si>
    <t>36</t>
  </si>
  <si>
    <t>When was the card game Skat first played in the United States?</t>
  </si>
  <si>
    <t>A. 1860 B. 1890 C. 1900 D. 1950</t>
  </si>
  <si>
    <t>1900</t>
  </si>
  <si>
    <t>The card game Skat was first played in the USA around 1900.</t>
  </si>
  <si>
    <t>Wann wurde das Skatspiel zum ersten Mal in den Vereinigten Staaten gespielt?</t>
  </si>
  <si>
    <t>Wann wurde das Kartenspiel Skat zum ersten Mal in den Vereinigten Staaten gespielt?</t>
  </si>
  <si>
    <t>Das Skatspiel wurde erstmals um 1900 in den USA gespielt.</t>
  </si>
  <si>
    <t>37</t>
  </si>
  <si>
    <t>Which card has the highest value in Skat?</t>
  </si>
  <si>
    <t>A. Jack B. lady C. king D. As</t>
  </si>
  <si>
    <t>As</t>
  </si>
  <si>
    <t>The ace has the highest value in Skat.</t>
  </si>
  <si>
    <t>Welche Karte hat beim Skat den höchsten Wert?</t>
  </si>
  <si>
    <t>Welche Karte hat den höchsten Wert in Skat?</t>
  </si>
  <si>
    <t>Das Ass hat im Skat den höchsten Wert.</t>
  </si>
  <si>
    <t>38</t>
  </si>
  <si>
    <t>What is a "zero giant" in Skat?</t>
  </si>
  <si>
    <t>A. A game with all the trump cards B. A game without tricks C. A game with a maximum score D. A game with the lowest attractiveness rating</t>
  </si>
  <si>
    <t>A game without tricks</t>
  </si>
  <si>
    <t>A "Zero Grand" means a game without tricks.</t>
  </si>
  <si>
    <t>Was ist ein „Null Riesen“ im Skat?</t>
  </si>
  <si>
    <t>Was ist ein „Nullriese“ in Skat?</t>
  </si>
  <si>
    <t>Ein Spiel ohne Tricks</t>
  </si>
  <si>
    <t>Ein „Zero Grand“ bedeutet ein Spiel ohne Tricks.</t>
  </si>
  <si>
    <t>39</t>
  </si>
  <si>
    <t>What does "bid value" mean in Skat?</t>
  </si>
  <si>
    <t>A. A player's score B. The value of a game round C. The value of the game after bidding D. The number of stitches</t>
  </si>
  <si>
    <t>The value of the game after bidding</t>
  </si>
  <si>
    <t>The bid value describes the value of the game after the bid has been placed.</t>
  </si>
  <si>
    <t>Was bedeutet „Reizwert“ im Skat?</t>
  </si>
  <si>
    <t>Was bedeutet „Gebotswert“ in Skat?</t>
  </si>
  <si>
    <t>Der Wert des Spiels nach dem Bieten</t>
  </si>
  <si>
    <t>Der Gebotswert beschreibt den Wert des Spiels nach dem Bieten.</t>
  </si>
  <si>
    <t>40</t>
  </si>
  <si>
    <t>What is a "Grand" in Skat?</t>
  </si>
  <si>
    <t>A. A game with trump cards B. A game without trumps C. A game with the highest trump card D. A game with all the tricks</t>
  </si>
  <si>
    <t>A game with trump cards</t>
  </si>
  <si>
    <t>"Grand" refers to a game in which the player plays with trump cards.</t>
  </si>
  <si>
    <t>Was ist ein „Grand“ im Skat?</t>
  </si>
  <si>
    <t>Was ist ein „Grand“ in Skat?</t>
  </si>
  <si>
    <t>Ein Spiel mit Trümpfen</t>
  </si>
  <si>
    <t>„Grand“ bezieht sich auf ein Spiel, bei dem der Spieler mit Trumpf spielt.</t>
  </si>
  <si>
    <t>41</t>
  </si>
  <si>
    <t>How many trump cards are there in the game of Skat?</t>
  </si>
  <si>
    <t>A. 8 B. 12 C. 16 D. 24</t>
  </si>
  <si>
    <t>In the game of Skat, there are 8 trump cards.</t>
  </si>
  <si>
    <t>Wie viele Trumpfkarten gibt es beim Skatspiel?</t>
  </si>
  <si>
    <t>Wie viele Trumpfkarten gibt es im Spiel Skat?</t>
  </si>
  <si>
    <t>Beim Skatspiel gibt es 8 Trumpfkarten.</t>
  </si>
  <si>
    <t>42</t>
  </si>
  <si>
    <t>Which country is currently the leading Skat world champion?</t>
  </si>
  <si>
    <t>A. Germany B. Poland C. France D. Austria</t>
  </si>
  <si>
    <t>Germany currently provides the leading Skat world champion.</t>
  </si>
  <si>
    <t>Welches Land ist derzeit der führende Skat-Weltmeister?</t>
  </si>
  <si>
    <t>Welches Land stellt derzeit den Weltmeister im Skaten?</t>
  </si>
  <si>
    <t>Deutschland stellt derzeit den führenden Skat-Weltmeister.</t>
  </si>
  <si>
    <t>43</t>
  </si>
  <si>
    <t>When was the first Skat tournament held in Germany?</t>
  </si>
  <si>
    <t>A. 1826 B. 1830 C. 1840 D. 1850</t>
  </si>
  <si>
    <t>1826</t>
  </si>
  <si>
    <t>The first skat tournament was held in Altenburg in 1826.</t>
  </si>
  <si>
    <t>Wann wurde das erste Skat-Turnier in Deutschland veranstaltet?</t>
  </si>
  <si>
    <t>Wann fand das erste Skat-Turnier in Deutschland statt?</t>
  </si>
  <si>
    <t>Das erste Skatturnier wurde 1826 in Altenburg veranstaltet.</t>
  </si>
  <si>
    <t>44</t>
  </si>
  <si>
    <t>What is the name of the card game Skat in Switzerland?</t>
  </si>
  <si>
    <t>A. Swiss Skat B. Alpine Skat C. Swiss maps D. Einsiedler-Skat</t>
  </si>
  <si>
    <t>Swiss Skat</t>
  </si>
  <si>
    <t>In Switzerland, the card game Skat is also called "Swiss Skat".</t>
  </si>
  <si>
    <t>Wie heißt das Skatspiel in der Schweiz?</t>
  </si>
  <si>
    <t>Wie heißt das Kartenspiel Skat in der Schweiz?</t>
  </si>
  <si>
    <t>Schweizer Skat</t>
  </si>
  <si>
    <t>In der Schweiz wird das Skatspiel auch „Schweizer Skat“ genannt.</t>
  </si>
  <si>
    <t>45</t>
  </si>
  <si>
    <t>When was skat included in the Olympic sports?</t>
  </si>
  <si>
    <t>A. There is no Olympic recognition. B. 1990 C. 2000 D. 2010</t>
  </si>
  <si>
    <t>There is no Olympic recognition.</t>
  </si>
  <si>
    <t>Skat is not one of the Olympic sports.</t>
  </si>
  <si>
    <t>Wann wurde Skat in die olympischen Sportarten aufgenommen?</t>
  </si>
  <si>
    <t>Seit wann ist Skaten olympische Sportarten?</t>
  </si>
  <si>
    <t>Eine olympische Anerkennung gibt es nicht</t>
  </si>
  <si>
    <t>Skat zählt nicht zu den olympischen Sportarten.</t>
  </si>
  <si>
    <t>46</t>
  </si>
  <si>
    <t>What is the lowest possible score in a game of Skat?</t>
  </si>
  <si>
    <t>A. 0 B. 10 C. 20 D. 30</t>
  </si>
  <si>
    <t>0</t>
  </si>
  <si>
    <t>The lowest possible score in the game of Skat is 0.</t>
  </si>
  <si>
    <t>Was ist der niedrigste Punktwert bei einer Skatpartie?</t>
  </si>
  <si>
    <t>Was ist die niedrigstmögliche Punktzahl in einem Skat-Spiel?</t>
  </si>
  <si>
    <t>Der niedrigste Punktwert im Skatspiel ist 0.</t>
  </si>
  <si>
    <t>47</t>
  </si>
  <si>
    <t>How long does a skat tournament last on average?</t>
  </si>
  <si>
    <t>A. 2-3 hours B. 1-2 hours C. 3-4 hours D. 5-6 hours</t>
  </si>
  <si>
    <t>2-3 hours</t>
  </si>
  <si>
    <t>A skat tournament lasts an average of 2 to 3 hours.</t>
  </si>
  <si>
    <t>Wie lange dauert ein Skat-Turnier im Durchschnitt?</t>
  </si>
  <si>
    <t>2-3 Stunden</t>
  </si>
  <si>
    <t>Ein Skat-Turnier dauert durchschnittlich 2 bis 3 Stunden.</t>
  </si>
  <si>
    <t>48</t>
  </si>
  <si>
    <t>Which countries are known for their Skat players?</t>
  </si>
  <si>
    <t>A. Germany, France, Poland B. USA, China, Japan C. Italy, Spain, Greece D. Brazil, Australia, Canada</t>
  </si>
  <si>
    <t>Germany, France, Poland</t>
  </si>
  <si>
    <t>Germany, France and Poland are known for their skat players.</t>
  </si>
  <si>
    <t>Welche Länder sind für ihre Skatspieler bekannt?</t>
  </si>
  <si>
    <t>Deutschland, Frankreich, Polen</t>
  </si>
  <si>
    <t>Deutschland, Frankreich und Polen sind für ihre Skatspieler bekannt.</t>
  </si>
  <si>
    <t>49</t>
  </si>
  <si>
    <t>When was skat recognized as a sport?</t>
  </si>
  <si>
    <t>Skat was officially recognized as a sport in 1970.</t>
  </si>
  <si>
    <t>Wann wurde Skat als Sport anerkannt?</t>
  </si>
  <si>
    <t>Wann wurde Skaten als Sportart anerkannt?</t>
  </si>
  <si>
    <t>Skat wurde 1970 offiziell als Sportart anerkannt.</t>
  </si>
  <si>
    <t>50</t>
  </si>
  <si>
    <t>What does the term "Skat" mean?</t>
  </si>
  <si>
    <t>A. Card game B. Game of chance C. Discard game D. Trump game</t>
  </si>
  <si>
    <t>Card game</t>
  </si>
  <si>
    <t>Skat simply means "card game" and refers to the original card game.</t>
  </si>
  <si>
    <t>Was bedeutet der Begriff „Skat“?</t>
  </si>
  <si>
    <t>Kartenspiel</t>
  </si>
  <si>
    <t>Skat bedeutet einfach „Kartenspiel“ und bezieht sich auf das ursprüngliche Kartenspiel.</t>
  </si>
  <si>
    <t>51</t>
  </si>
  <si>
    <t>How many cards does each player receive at the start of the game of Skat?</t>
  </si>
  <si>
    <t>A. 10 B. 11 C. 12 D. 13</t>
  </si>
  <si>
    <t>Each player receives 10 cards at the start of the game.</t>
  </si>
  <si>
    <t>Wie viele Karten erhält jeder Spieler beim Skat zu Beginn des Spiels?</t>
  </si>
  <si>
    <t>Wie viele Karten erhält jeder Spieler zu Beginn des Spiels Skat?</t>
  </si>
  <si>
    <t>Jeder Spieler erhält zu Beginn des Spiels 10 Karten.</t>
  </si>
  <si>
    <t>52</t>
  </si>
  <si>
    <t>What does "Gebot" mean in Skat?</t>
  </si>
  <si>
    <t>A. Playing cards B. Declaring a game value C. The formation of stitches D. Discard a card</t>
  </si>
  <si>
    <t>Declaring a game value</t>
  </si>
  <si>
    <t>Bidding means that the players set a value that determines the game.</t>
  </si>
  <si>
    <t>Was bedeutet „Gebot“ im Skat?</t>
  </si>
  <si>
    <t>Was bedeutet „Gebot“ in Skat?</t>
  </si>
  <si>
    <t>Deklarieren eines Spielwerts</t>
  </si>
  <si>
    <t>Bieten bedeutet, dass die Spieler einen Wert festlegen, der das Spiel bestimmt.</t>
  </si>
  <si>
    <t>53</t>
  </si>
  <si>
    <t>What is a "Skat deck"?</t>
  </si>
  <si>
    <t>A. A card game with 32 cards B. A card game with 52 cards C. A card game with 36 cards D. A card game with 48 cards</t>
  </si>
  <si>
    <t>A card game with 32 cards</t>
  </si>
  <si>
    <t>The Skat deck consists of 32 cards, 7 of each color.</t>
  </si>
  <si>
    <t>Was ist das „Skatdeck“?</t>
  </si>
  <si>
    <t>Was ist ein „Skat-Deck“?</t>
  </si>
  <si>
    <t>Ein Kartenspiel mit 32 Karten</t>
  </si>
  <si>
    <t>Das Skatdeck besteht aus 32 Karten, davon 7 Karten jeder Farbe.</t>
  </si>
  <si>
    <t>54</t>
  </si>
  <si>
    <t>How many suits are there in the card game Skat?</t>
  </si>
  <si>
    <t>A. 4 B. 5 C. 3 D. 6</t>
  </si>
  <si>
    <t>In Skat there are 4 suits: hearts, diamonds, spades and clubs.</t>
  </si>
  <si>
    <t>Wie viele Farben gibt es beim Skatspiel?</t>
  </si>
  <si>
    <t>Wie viele Farben gibt es im Kartenspiel Skat?</t>
  </si>
  <si>
    <t>Beim Skat gibt es 4 Farben: Herz, Karo, Pik und Kreuz.</t>
  </si>
  <si>
    <t>55</t>
  </si>
  <si>
    <t>What is the highest card in a trump game?</t>
  </si>
  <si>
    <t>A. As B. king C. lady D. Jack</t>
  </si>
  <si>
    <t>Jack</t>
  </si>
  <si>
    <t>The Jack is the highest card when played as a trump.</t>
  </si>
  <si>
    <t>Was ist die höchste Karte in einem Trumpfspiel?</t>
  </si>
  <si>
    <t>Der Bube ist die höchste Karte, wenn er als Trumpf gespielt wird.</t>
  </si>
  <si>
    <t>56</t>
  </si>
  <si>
    <t>What is a "Bock" in Skat?</t>
  </si>
  <si>
    <t>A. A game of higher value B. A game without trumps C. A game with a special trump card. D. A game that is particularly difficult to win</t>
  </si>
  <si>
    <t>A game of higher value</t>
  </si>
  <si>
    <t>"Bock" means that the appeal of the game is particularly high.</t>
  </si>
  <si>
    <t>Was ist ein „Bock“ im Skat?</t>
  </si>
  <si>
    <t>Was ist ein „Bock“ auf Skat?</t>
  </si>
  <si>
    <t>Ein Spiel mit höherem Wert</t>
  </si>
  <si>
    <t>„Bock“ bedeutet, dass der Reiz des Spiels besonders hoch ist.</t>
  </si>
  <si>
    <t>57</t>
  </si>
  <si>
    <t>Which card comes after the "Jack" in Skat?</t>
  </si>
  <si>
    <t>A. king B. As C. lady D. 10</t>
  </si>
  <si>
    <t>king</t>
  </si>
  <si>
    <t>The king follows the jack in terms of the value of the cards.</t>
  </si>
  <si>
    <t>Welche Karte kommt beim Skat nach dem „Buben“?</t>
  </si>
  <si>
    <t>Welche Karte folgt im Skat auf den „Buben“?</t>
  </si>
  <si>
    <t>König</t>
  </si>
  <si>
    <t>Der König folgt dem Buben in Bezug auf den Wert der Karten.</t>
  </si>
  <si>
    <t>58</t>
  </si>
  <si>
    <t>How is the winner determined in Skat?</t>
  </si>
  <si>
    <t>A. By winning the most tricks B. Due to the highest stimulus value C. After the highest card value D. With the fewest stitches</t>
  </si>
  <si>
    <t>By winning the most tricks</t>
  </si>
  <si>
    <t>The winner is determined by the number of tricks won.</t>
  </si>
  <si>
    <t>Wie wird beim Skat der Sieger ermittelt?</t>
  </si>
  <si>
    <t>Wie wird der Sieger bei Skat ermittelt?</t>
  </si>
  <si>
    <t>Indem man die meisten Stiche gewinnt</t>
  </si>
  <si>
    <t>Der Gewinner wird durch die Anzahl der gewonnenen Stiche ermittelt.</t>
  </si>
  <si>
    <t>59</t>
  </si>
  <si>
    <t>What is a "big hand" in Skat?</t>
  </si>
  <si>
    <t>A. A game without trumps B. A game with the highest attraction value C. A game with only one trump card D. A game with all the trump cards</t>
  </si>
  <si>
    <t>A game with all the trump cards</t>
  </si>
  <si>
    <t>A "Grand Hand" means that the player has all the trump cards in their hand.</t>
  </si>
  <si>
    <t>Was ist eine „große Hand“ im Skat?</t>
  </si>
  <si>
    <t>Was ist eine „große Hand“ in Skat?</t>
  </si>
  <si>
    <t>Ein Spiel mit allen Trümpfen</t>
  </si>
  <si>
    <t>Eine „Grand Hand“ bedeutet, dass der Spieler alle Trumpfkarten auf der Hand hat.</t>
  </si>
  <si>
    <t>60</t>
  </si>
  <si>
    <t>Which card is always trump in Skat?</t>
  </si>
  <si>
    <t>A. As B. Jack C. lady D. king</t>
  </si>
  <si>
    <t>In Skat, the Jack is always the highest trump card.</t>
  </si>
  <si>
    <t>Welche Karte ist beim Skat immer Trumpf?</t>
  </si>
  <si>
    <t>Der Bube ist beim Skat immer der höchste Trumpf.</t>
  </si>
  <si>
    <t>61</t>
  </si>
  <si>
    <t>What does "Schneider" mean in Skat?</t>
  </si>
  <si>
    <t>A. The team scores fewer than 60 points. B. The team scores more than 90 points. C. The team scores more than 100 points. D. The team scores fewer than 30 points.</t>
  </si>
  <si>
    <t>The team scores fewer than 60 points.</t>
  </si>
  <si>
    <t>"Schneider" means that a team scores fewer than 60 points.</t>
  </si>
  <si>
    <t>Was bedeutet „Schneider“ im Skat?</t>
  </si>
  <si>
    <t>Was bedeutet „Schneider“ in Skat?</t>
  </si>
  <si>
    <t>Das Team erzielt weniger als 60 Punkte</t>
  </si>
  <si>
    <t>„Schneider“ bedeutet, dass eine Mannschaft weniger als 60 Punkte erzielt.</t>
  </si>
  <si>
    <t>62</t>
  </si>
  <si>
    <t>What is a "null game" in Skat?</t>
  </si>
  <si>
    <t>A. A game without trumps B. A game in which the player is not allowed to take any tricks. C. A game with all the trump cards D. A game without cards</t>
  </si>
  <si>
    <t>A game in which the player is not allowed to take any tricks.</t>
  </si>
  <si>
    <t>A "null game" means that the player is not allowed to take any tricks.</t>
  </si>
  <si>
    <t>Was ist ein „Nullspiel“ beim Skat?</t>
  </si>
  <si>
    <t>Was ist ein „Nullspiel“ in Skat?</t>
  </si>
  <si>
    <t>Ein Spiel, bei dem der Spieler keine Stiche machen darf</t>
  </si>
  <si>
    <t>Ein „Nullspiel“ bedeutet, dass der Spieler keine Stiche machen darf.</t>
  </si>
  <si>
    <t>63</t>
  </si>
  <si>
    <t>How many points are awarded for winning the Grand Skat tournament?</t>
  </si>
  <si>
    <t>A. 24 B. 28 C. 32 D. 36</t>
  </si>
  <si>
    <t>A won Grand Game is worth 24 points.</t>
  </si>
  <si>
    <t>Wie viele Punkte gibt es für den Grand-Sieg im Skat?</t>
  </si>
  <si>
    <t>Wie viele Punkte werden für den Sieg beim Grand Skat-Turnier vergeben?</t>
  </si>
  <si>
    <t>Ein gewonnenes Grand Game bringt 24 Punkte.</t>
  </si>
  <si>
    <t>64</t>
  </si>
  <si>
    <t>A. The formation of stitches B. Declaring a game value C. Discard cards D. Check points</t>
  </si>
  <si>
    <t>Bidding refers to the announcement of a game value by the players.</t>
  </si>
  <si>
    <t>Unter Bieten versteht man die Bekanntgabe eines Spielwertes durch die Spieler.</t>
  </si>
  <si>
    <t>65</t>
  </si>
  <si>
    <t>What does the term "zero" mean in Skat?</t>
  </si>
  <si>
    <t>A. A game without trumps B. A game in which the player is not allowed to take any tricks. C. A game where the player only plays low cards D. A game without a trump card</t>
  </si>
  <si>
    <t>“Zero” means that the player must not take a single trick.</t>
  </si>
  <si>
    <t>Was bedeutet der Begriff „Null“ im Skat?</t>
  </si>
  <si>
    <t>Was bedeutet der Begriff „Null“ in Skat?</t>
  </si>
  <si>
    <t>„Null“ bedeutet, dass der Spieler keinen einzigen Stich machen darf.</t>
  </si>
  <si>
    <t>66</t>
  </si>
  <si>
    <t>What happens when a player becomes a "tailor"?</t>
  </si>
  <si>
    <t>A. The player loses the game. B. The player receives no point. C. The player receives a penalty. D. The player wins the game</t>
  </si>
  <si>
    <t>The player loses the game.</t>
  </si>
  <si>
    <t>A player who becomes a "tailor" loses the game.</t>
  </si>
  <si>
    <t>Was passiert, wenn ein Spieler ein „Schneider“ wird?</t>
  </si>
  <si>
    <t>Was passiert, wenn ein Spieler zum „Schneider“ wird?</t>
  </si>
  <si>
    <t>Der Spieler verliert das Spiel</t>
  </si>
  <si>
    <t>Ein Spieler, der zum „Schneider“ wird, verliert das Spiel.</t>
  </si>
  <si>
    <t>67</t>
  </si>
  <si>
    <t>What happens to a "zero giant"?</t>
  </si>
  <si>
    <t>A. The game ends without any points. B. The player wins without taking a trick. C. The player must win all tricks. D. The player can only win with the highest value.</t>
  </si>
  <si>
    <t>The player wins without taking a trick.</t>
  </si>
  <si>
    <t>A "zero giant" means that the player must avoid all tricks and still win.</t>
  </si>
  <si>
    <t>Was passiert mit einem „Null Riesen“?</t>
  </si>
  <si>
    <t>Was geschieht mit einem „Null-Riesen“?</t>
  </si>
  <si>
    <t>Der Spieler gewinnt, ohne einen Stich zu machen</t>
  </si>
  <si>
    <t>Ein „Null Riesen“ bedeutet, dass der Spieler alle Stiche vermeiden und trotzdem gewinnen muss.</t>
  </si>
  <si>
    <t>68</t>
  </si>
  <si>
    <t>What is the goal of bidding in Skat?</t>
  </si>
  <si>
    <t>A. Finding the highest trump card B. Set the game value C. Guess your opponents' cards D. To confuse the player</t>
  </si>
  <si>
    <t>Set the game value</t>
  </si>
  <si>
    <t>The goal of bidding is to determine the game value.</t>
  </si>
  <si>
    <t>Was ist das Ziel beim Bieten im Skat?</t>
  </si>
  <si>
    <t>Was ist das Ziel des Bietens in Skat?</t>
  </si>
  <si>
    <t>Legen Sie den Spielwert fest</t>
  </si>
  <si>
    <t>Ziel des Bietens ist es, den Spielwert zu ermitteln.</t>
  </si>
  <si>
    <t>69</t>
  </si>
  <si>
    <t>What is a jack of clubs in Skat?</t>
  </si>
  <si>
    <t>A. The Jack in the Cross color B. The highest card in the club suit C. The Jack of Spades D. The boy in the heart color</t>
  </si>
  <si>
    <t>The Jack in the Cross color</t>
  </si>
  <si>
    <t>The Jack of Clubs is an important card in the German card game Skat.</t>
  </si>
  <si>
    <t>Was ist ein Kreuzbube im Skat?</t>
  </si>
  <si>
    <t>Was ist ein Bube der Kreuz im Skat?</t>
  </si>
  <si>
    <t>Der Bube in der Kreuzfarbe</t>
  </si>
  <si>
    <t>Kreuzbube ist der Kreuzbube und eine wichtige Karte im Skat.</t>
  </si>
  <si>
    <t>70</t>
  </si>
  <si>
    <t>How many players does a Skat game require?</t>
  </si>
  <si>
    <t>Skat is played with 3 players.</t>
  </si>
  <si>
    <t>Wie viele Spieler braucht ein Skatspiel?</t>
  </si>
  <si>
    <t>Wie viele Spieler benötigt man für ein Skat-Spiel?</t>
  </si>
  <si>
    <t>Skat wird mit 3 Spielern gespielt.</t>
  </si>
  <si>
    <t>71</t>
  </si>
  <si>
    <t>What is the purpose of the "Schneider" game in Skat?</t>
  </si>
  <si>
    <t>A. To force the opponent to achieve a low score B. To achieve the highest card combination C. To maximize your own score D. Defeat the opponent</t>
  </si>
  <si>
    <t>To force the opponent to achieve a low score</t>
  </si>
  <si>
    <t>"Schneider" means that the opponent scores less than 60 points.</t>
  </si>
  <si>
    <t>Wozu dient das „Schneider“-Spiel im Skat?</t>
  </si>
  <si>
    <t>Welchen Zweck hat das „Schneider“-Spiel in Skat?</t>
  </si>
  <si>
    <t>Um den Gegner zu zwingen, ein niedriges Ergebnis zu erzielen</t>
  </si>
  <si>
    <t>„Schneider“ bedeutet, dass der Gegner weniger als 60 Punkte erzielt.</t>
  </si>
  <si>
    <t>72</t>
  </si>
  <si>
    <t>When can a player declare "Schneider"?</t>
  </si>
  <si>
    <t>A. After he showed the cards B. If he has at least 60 points C. If the opponent scores less than 60 points D. If he doesn't get any stitches</t>
  </si>
  <si>
    <t>If the opponent scores less than 60 points</t>
  </si>
  <si>
    <t>A player can declare "Schneider" if the opponent scores less than 60 points.</t>
  </si>
  <si>
    <t>Wann kann ein Spieler „Schneider“ deklarieren?</t>
  </si>
  <si>
    <t>Wann kann ein Spieler "Schneider" ansagen?</t>
  </si>
  <si>
    <t>Wenn der Gegner weniger als 60 Punkte erzielt</t>
  </si>
  <si>
    <t>Ein Spieler kann „Schneider“ erklären, wenn der Gegner weniger als 60 Punkte erzielt.</t>
  </si>
  <si>
    <t>73</t>
  </si>
  <si>
    <t>What is the difference between "Schneider" and "Schwarz" in Skat?</t>
  </si>
  <si>
    <t>A. Schneider means less than 60 points, Schwarz means that no stitch was made. B. Schneider is a trump card, Schwarz is a point value. C. Schneider is purely a card game, Schwarz is a betting game. D. Schneider is a special game, Schwarz is a general rule.</t>
  </si>
  <si>
    <t>Schneider means less than 60 points, Schwarz means that no stitch was made.</t>
  </si>
  <si>
    <t>“Schneider” means that the opponent scores less than 60 points, “Schwarz” means that the opponent has not taken a single trick.</t>
  </si>
  <si>
    <t>Was ist der Unterschied zwischen „Schneider“ und „Schwarz“ im Skat?</t>
  </si>
  <si>
    <t>Worin besteht der Unterschied zwischen „Schneider“ und „Schwarz“ in Skat?</t>
  </si>
  <si>
    <t>Schneider bedeutet weniger als 60 Punkte, Schwarz bedeutet, dass kein Stich gemacht wurde</t>
  </si>
  <si>
    <t>„Schneider“ bedeutet, dass der Gegner weniger als 60 Punkte erzielt, „Schwarz“ bedeutet, dass der Gegner keinen Stich gemacht hat.</t>
  </si>
  <si>
    <t>74</t>
  </si>
  <si>
    <t>Which card has the highest value in the "Grand"?</t>
  </si>
  <si>
    <t>A. As B. Jack C. king D. lady</t>
  </si>
  <si>
    <t>The boy has the highest value in the "Grand".</t>
  </si>
  <si>
    <t>Welche Karte hat den höchsten Wert im „Grand“?</t>
  </si>
  <si>
    <t>Der Bube hat den höchsten Wert im „Grand“.</t>
  </si>
  <si>
    <t>75</t>
  </si>
  <si>
    <t>How many points must a player achieve at least in order to win at Skat?</t>
  </si>
  <si>
    <t>A. 60 B. 100 C. 120 D. 150</t>
  </si>
  <si>
    <t>To win, a player must score at least 60 points.</t>
  </si>
  <si>
    <t>Wie viele Punkte muss ein Spieler beim Skat mindestens erreichen, um zu gewinnen?</t>
  </si>
  <si>
    <t>Wie viele Punkte muss ein Spieler mindestens erreichen, um bei Skat zu gewinnen?</t>
  </si>
  <si>
    <t>Um zu gewinnen, muss ein Spieler mindestens 60 Punkte erzielen.</t>
  </si>
  <si>
    <t>76</t>
  </si>
  <si>
    <t>What does it mean when a player scores "zero"?</t>
  </si>
  <si>
    <t>A. He must not do any tricks. B. He must win all the tricks. C. He must make exactly one stitch. D. He can only win with the highest value.</t>
  </si>
  <si>
    <t>He must not do any tricks.</t>
  </si>
  <si>
    <t>“Zero” means that the player is not allowed to take any tricks.</t>
  </si>
  <si>
    <t>Was bedeutet es, wenn ein Spieler „Null“ spielt?</t>
  </si>
  <si>
    <t>Was bedeutet es, wenn ein Spieler „null“ Punkte erzielt?</t>
  </si>
  <si>
    <t>Er darf keine Tricks machen</t>
  </si>
  <si>
    <t>„Null“ bedeutet, dass der Spieler keine Stiche machen darf.</t>
  </si>
  <si>
    <t>77</t>
  </si>
  <si>
    <t>How many cards does a player have after the cards are dealt in Skat?</t>
  </si>
  <si>
    <t>Wie viele Karten hat ein Spieler nach dem Austeilen beim Skat?</t>
  </si>
  <si>
    <t>Wie viele Karten hat ein Spieler nach dem Austeilen der Karten in Skat?</t>
  </si>
  <si>
    <t>78</t>
  </si>
  <si>
    <t>What is the highest attraction value in Skat?</t>
  </si>
  <si>
    <t>A. 18-point game B. Grand with 24 points C. Game with 20 points D. Grand with 48 points</t>
  </si>
  <si>
    <t>Grand with 48 points</t>
  </si>
  <si>
    <t>The Grand has the highest attractiveness rating with 48 points.</t>
  </si>
  <si>
    <t>Was ist der höchste Attraktionswert in Skat?</t>
  </si>
  <si>
    <t>Grand mit 48 Punkten</t>
  </si>
  <si>
    <t>Der Grand hat mit 48 Punkten den höchsten Attraktivitätswert.</t>
  </si>
  <si>
    <t>79</t>
  </si>
  <si>
    <t>Which card is the highest trump card in Grand Slam?</t>
  </si>
  <si>
    <t>A. king B. Jack C. lady D. As</t>
  </si>
  <si>
    <t>The Jack is the highest trump card in Grand.</t>
  </si>
  <si>
    <t>Welche Karte ist der höchste Trumpf im Grand?</t>
  </si>
  <si>
    <t>Welche Karte ist die höchste Trumpfkarte im Grand Slam?</t>
  </si>
  <si>
    <t>Der Bube ist der höchste Trumpf in Grand.</t>
  </si>
  <si>
    <t>80</t>
  </si>
  <si>
    <t>A. Determine the trump card B. Play the highest card C. Declaring a game value D. Shuffling the cards</t>
  </si>
  <si>
    <t>Bidding means that the players announce a value to determine the game.</t>
  </si>
  <si>
    <t>Bieten bedeutet, dass die Spieler einen Wert bekannt geben, um das Spiel zu bestimmen.</t>
  </si>
  <si>
    <t>81</t>
  </si>
  <si>
    <t>Which game in Skat has no trump suit?</t>
  </si>
  <si>
    <t>A. Zero game B. Great C. Jack's game D. Trump game</t>
  </si>
  <si>
    <t>Zero game</t>
  </si>
  <si>
    <t>In a game of zero, there is neither a trump card nor a trump suit.</t>
  </si>
  <si>
    <t>Welches Spiel hat beim Skat keinen Trumpf?</t>
  </si>
  <si>
    <t>In welchem ​​Spiel von Skat gibt es keinen Trump-Anzug?</t>
  </si>
  <si>
    <t>Null Spiel</t>
  </si>
  <si>
    <t>Beim Nullspiel gibt es weder Trumpf noch Trumpfkarte.</t>
  </si>
  <si>
    <t>82</t>
  </si>
  <si>
    <t>What happens if a player wins the game with a bid value of 18?</t>
  </si>
  <si>
    <t>A. He wins the game B. He loses the game C. He receives a penalty. D. The game ends in a draw.</t>
  </si>
  <si>
    <t>He wins the game</t>
  </si>
  <si>
    <t>A bid value of 18 means you win the game.</t>
  </si>
  <si>
    <t>Was passiert, wenn ein Spieler das Spiel mit einem Gebotswert von 18 gewinnt?</t>
  </si>
  <si>
    <t>Er gewinnt das Spiel</t>
  </si>
  <si>
    <t>Ein Gebotswert von 18 bedeutet, dass Sie das Spiel gewinnen.</t>
  </si>
  <si>
    <t>83</t>
  </si>
  <si>
    <t>What is a "hand" in Skat?</t>
  </si>
  <si>
    <t>A. A game without excitement B. A game without trumps C. A game in which the player plays all cards at once. D. A game in which the player has 10 cards.</t>
  </si>
  <si>
    <t>A game without excitement</t>
  </si>
  <si>
    <t>A "hand" is a game in which no game value is offered.</t>
  </si>
  <si>
    <t>Was ist eine „Hand“ im Skat?</t>
  </si>
  <si>
    <t>Was ist eine „Hand“ in Skat?</t>
  </si>
  <si>
    <t>Ein Spiel ohne Spannung</t>
  </si>
  <si>
    <t>Eine „Hand“ ist ein Spiel, bei dem der Spielwert nicht geboten wird.</t>
  </si>
  <si>
    <t>84</t>
  </si>
  <si>
    <t>What is the lowest attractiveness value in Skat?</t>
  </si>
  <si>
    <t>A. A game with zero points B. 18-point game C. Jacks game with 20 points D. Grand with 24 points</t>
  </si>
  <si>
    <t>18-point game</t>
  </si>
  <si>
    <t>The lowest bid value is the game with 18 points.</t>
  </si>
  <si>
    <t>Was ist der niedrigste Attraktivitätswert beim Skat?</t>
  </si>
  <si>
    <t>Was ist der niedrigste Attraktivitätswert in Skat?</t>
  </si>
  <si>
    <t>18-Punkte-Spiel</t>
  </si>
  <si>
    <t>Der niedrigste Gebotswert ist das Spiel mit 18 Punkten.</t>
  </si>
  <si>
    <t>85</t>
  </si>
  <si>
    <t>What does it mean when a player "cuts"?</t>
  </si>
  <si>
    <t>A. He has to use all the tricks. B. He scored less than 60 points. C. He scored exactly 60 points. D. He scored more than 90 points.</t>
  </si>
  <si>
    <t>He scored less than 60 points.</t>
  </si>
  <si>
    <t>Was bedeutet es, wenn ein Spieler „Schneider“ spielt?</t>
  </si>
  <si>
    <t>Was bedeutet es, wenn ein Spieler "cutt"?</t>
  </si>
  <si>
    <t>Er erzielte weniger als 60 Punkte</t>
  </si>
  <si>
    <t>86</t>
  </si>
  <si>
    <t>What happens if you get a "zero giant" in Skat?</t>
  </si>
  <si>
    <t>A. The player must not take any tricks and wins. B. The player can use all trump cards. C. The player must take all the tricks. D. The player can only win with a specific card.</t>
  </si>
  <si>
    <t>The player must not take any tricks and wins.</t>
  </si>
  <si>
    <t>In "Zero-Grand", the player must avoid all tricks and still win.</t>
  </si>
  <si>
    <t>Was passiert, wenn Sie im Skat einen „Null Riesen“ bekommen?</t>
  </si>
  <si>
    <t>Was passiert, wenn man in Skat einen „Null-Riesen“ bekommt?</t>
  </si>
  <si>
    <t>Der Spieler darf keine Stiche machen und gewinnt</t>
  </si>
  <si>
    <t>Bei „Zero-Grand“ muss der Spieler allen Stichen ausweichen und trotzdem gewinnen.</t>
  </si>
  <si>
    <t>87</t>
  </si>
  <si>
    <t>What is the lowest value for a giant in Skat?</t>
  </si>
  <si>
    <t>A. 24 points B. 28 points C. 32 points D. 36 points</t>
  </si>
  <si>
    <t>24 points</t>
  </si>
  <si>
    <t>The lowest value for a giant in Skat is 24 points.</t>
  </si>
  <si>
    <t>Was ist der niedrigste Wert für einen Riesen im Skat?</t>
  </si>
  <si>
    <t>Was ist der niedrigste Wert für einen Riesen in Skat?</t>
  </si>
  <si>
    <t>24 Punkte</t>
  </si>
  <si>
    <t>Der niedrigste Wert für einen Riesen im Skat beträgt 24 Punkte.</t>
  </si>
  <si>
    <t>88</t>
  </si>
  <si>
    <t>How many trump cards does a wing have?</t>
  </si>
  <si>
    <t>A. NO B. Boys only C. Only aces D. All cards are trumps</t>
  </si>
  <si>
    <t>Boys only</t>
  </si>
  <si>
    <t>In Grand, only the Jacks are trumps.</t>
  </si>
  <si>
    <t>Wie viele Trumpfkarten hat ein Flügel?</t>
  </si>
  <si>
    <t>Nur Jungs</t>
  </si>
  <si>
    <t>Im Grand sind nur die Buben Trumpf.</t>
  </si>
  <si>
    <t>89</t>
  </si>
  <si>
    <t>How many players do we need for a game of Skat?</t>
  </si>
  <si>
    <t>Wie viele Spieler brauchen wir für ein Skatspiel?</t>
  </si>
  <si>
    <t>Wie viele Spieler benötigen wir für ein Skat-Spiel?</t>
  </si>
  <si>
    <t>90</t>
  </si>
  <si>
    <t>What happens when a player goes "black"?</t>
  </si>
  <si>
    <t>A. He loses the game B. He wins the game C. He gets double points. D. The game will restart immediately.</t>
  </si>
  <si>
    <t>He loses the game</t>
  </si>
  <si>
    <t>“Black” means that the opponent has not taken any tricks and the player wins.</t>
  </si>
  <si>
    <t>Was passiert, wenn ein Spieler „schwarz“ wird?</t>
  </si>
  <si>
    <t>Was passiert, wenn ein Spieler "schwarz" wird?</t>
  </si>
  <si>
    <t>Er verliert das Spiel</t>
  </si>
  <si>
    <t>„Schwarz“ bedeutet, dass der Gegner keinen Stich gemacht hat und der Spieler gewinnt.</t>
  </si>
  <si>
    <t>91</t>
  </si>
  <si>
    <t>A. He must win all the tricks. B. He must not do any tricks. C. He can only perform one trick D. He cannot use a trump card.</t>
  </si>
  <si>
    <t>92</t>
  </si>
  <si>
    <t>A. A game just with the boys B. A game without trumps C. A game with the highest attraction value D. A game in which the player holds all the trump cards in their hand.</t>
  </si>
  <si>
    <t>A game in which the player holds all the trump cards in their hand.</t>
  </si>
  <si>
    <t>A "Grand Hand" means that the player has all the jacks in their hand.</t>
  </si>
  <si>
    <t>Ein Spiel, bei dem der Spieler alle Trumpfkarten auf der Hand hat</t>
  </si>
  <si>
    <t>Eine „Grand Hand“ bedeutet, dass der Spieler alle Buben auf der Hand hat.</t>
  </si>
  <si>
    <t>93</t>
  </si>
  <si>
    <t>94</t>
  </si>
  <si>
    <t>What is the name of the card game Skat in which the player is not allowed to use a trump card?</t>
  </si>
  <si>
    <t>A. Zero game B. Great C. Jack's game D. Diamond game</t>
  </si>
  <si>
    <t>In a zero game, there is no trump card.</t>
  </si>
  <si>
    <t>Wie heißt das Skatspiel, bei dem der Spieler keinen Trumpf verwenden darf?</t>
  </si>
  <si>
    <t>Wie heißt das Kartenspiel Skat, bei dem der Spieler keine Trumpfkarte verwenden darf?</t>
  </si>
  <si>
    <t>Im Nullspiel gibt es keinen Trumpf.</t>
  </si>
  <si>
    <t>95</t>
  </si>
  <si>
    <t>A. Determine the trump card B. Declaring a game value C. Collect points D. Shuffling the cards</t>
  </si>
  <si>
    <t>Bidding is the process by which players announce the value of the game.</t>
  </si>
  <si>
    <t>Beim Bieten handelt es sich um den Prozess, bei dem Spieler den Wert des Spiels bekannt geben.</t>
  </si>
  <si>
    <t>96</t>
  </si>
  <si>
    <t>How many cards are dealt in a game of Skat?</t>
  </si>
  <si>
    <t>A. 32 B. 36 C. 40 D. 44</t>
  </si>
  <si>
    <t>In the game of Skat, a total of 32 cards are dealt.</t>
  </si>
  <si>
    <t>Wie viele Karten werden beim Skatspiel ausgeteilt?</t>
  </si>
  <si>
    <t>Wie viele Karten werden beim Skat-Spiel ausgeteilt?</t>
  </si>
  <si>
    <t>Beim Skatspiel werden insgesamt 32 Karten ausgeteilt.</t>
  </si>
  <si>
    <t>97</t>
  </si>
  <si>
    <t>How many cards are used in a Skat deck in total?</t>
  </si>
  <si>
    <t>A. 32 B. 36 C. 40 D. 48</t>
  </si>
  <si>
    <t>The Skat deck contains 32 cards.</t>
  </si>
  <si>
    <t>Wie viele Karten werden insgesamt im Skatdeck verwendet?</t>
  </si>
  <si>
    <t>Wie viele Karten enthält ein Skat-Kartenspiel insgesamt?</t>
  </si>
  <si>
    <t>Das Skatdeck enthält 32 Karten.</t>
  </si>
  <si>
    <t>98</t>
  </si>
  <si>
    <t>What is the highest card in the Spades trump suit?</t>
  </si>
  <si>
    <t>A. As B. king C. Jack D. lady</t>
  </si>
  <si>
    <t>The Jack is the highest card in the Spades trump suit.</t>
  </si>
  <si>
    <t>Was ist die höchste Karte im Pik-Trumpf?</t>
  </si>
  <si>
    <t>Was ist die höchste Karte in der Pik-Trumpffarbe?</t>
  </si>
  <si>
    <t>Der Bube ist die höchste Karte im Pik-Trumpf.</t>
  </si>
  <si>
    <t>99</t>
  </si>
  <si>
    <t>What happens if a player loses the "Grand Game"?</t>
  </si>
  <si>
    <t>A. He loses all points B. He has to pay a fine. C. He gives the opponent the point value of the game. D. He has to play the game again</t>
  </si>
  <si>
    <t>He loses all points</t>
  </si>
  <si>
    <t>If a Grand Game is lost, the player loses all points.</t>
  </si>
  <si>
    <t>Was passiert, wenn ein Spieler das „Grand Game“ verliert?</t>
  </si>
  <si>
    <t>Was passiert, wenn ein Spieler das „Große Spiel“ verliert?</t>
  </si>
  <si>
    <t>Er verliert alle Punkte</t>
  </si>
  <si>
    <t>Wenn ein Grand Game verloren geht, verliert der Spieler alle Punkte.</t>
  </si>
  <si>
    <t>100</t>
  </si>
  <si>
    <t>101</t>
  </si>
  <si>
    <t>What is the minimum value in a game of Skat?</t>
  </si>
  <si>
    <t>A. 18 points B. 24 points C. 32 points D. 36 points</t>
  </si>
  <si>
    <t>18 points</t>
  </si>
  <si>
    <t>The minimum value of a game in Skat is 18 points.</t>
  </si>
  <si>
    <t>Was ist der Mindestwert einer Skatpartie?</t>
  </si>
  <si>
    <t>Was ist der Mindestwert in einem Skat-Spiel?</t>
  </si>
  <si>
    <t>18 Punkte</t>
  </si>
  <si>
    <t>Der Mindestwert einer Partie im Skat beträgt 18 Punkte.</t>
  </si>
  <si>
    <t>102</t>
  </si>
  <si>
    <t>What happens if a player loses the game?</t>
  </si>
  <si>
    <t>A. The player loses points B. The player wins additional points C. The opponent loses points D. There are no effects</t>
  </si>
  <si>
    <t>The player loses points</t>
  </si>
  <si>
    <t>If the player loses, he loses the announced points.</t>
  </si>
  <si>
    <t>Was passiert, wenn ein Spieler das Spiel verliert?</t>
  </si>
  <si>
    <t>Der Spieler verliert Punkte</t>
  </si>
  <si>
    <t>Verliert der Spieler, verliert er die angekündigten Punkte.</t>
  </si>
  <si>
    <t>103</t>
  </si>
  <si>
    <t>Which card is the highest in the spade trump suit?</t>
  </si>
  <si>
    <t>Welche Karte ist die höchste im Pik-Trumpf?</t>
  </si>
  <si>
    <t>Welche Karte ist die höchste Karte in der Pik-Trumpffarbe?</t>
  </si>
  <si>
    <t>104</t>
  </si>
  <si>
    <t>Which player can announce the first bidding points?</t>
  </si>
  <si>
    <t>A. The player to the left of the dealer B. The giver C. The player to the right of the dealer D. The player who has the highest ace</t>
  </si>
  <si>
    <t>The giver</t>
  </si>
  <si>
    <t>The dealer is the first player who can announce the bidding points.</t>
  </si>
  <si>
    <t>Welcher Spieler kann die ersten Gebotspunkte bekannt geben?</t>
  </si>
  <si>
    <t>Welcher Spieler kann die ersten Gebotspunkte ansagen?</t>
  </si>
  <si>
    <t>Der Geber</t>
  </si>
  <si>
    <t>Der Dealer ist der erste Spieler, der die Gebotspunkte bekannt geben kann.</t>
  </si>
  <si>
    <t>105</t>
  </si>
  <si>
    <t>What does it mean when a player says "Schneider"?</t>
  </si>
  <si>
    <t>A. The opponent must score fewer than 30 points. B. The player must take all the tricks. C. The player must not take any tricks. D. The player receives bonus points.</t>
  </si>
  <si>
    <t>The opponent must score fewer than 30 points.</t>
  </si>
  <si>
    <t>"Schneider" means that the opponent must score fewer than 30 points.</t>
  </si>
  <si>
    <t>Was bedeutet es, wenn ein Spieler „Schneider“ sagt?</t>
  </si>
  <si>
    <t>Der Gegner muss weniger als 30 Punkte erzielen</t>
  </si>
  <si>
    <t>„Schneider“ bedeutet, dass der Gegner weniger als 30 Punkte erzielen muss.</t>
  </si>
  <si>
    <t>106</t>
  </si>
  <si>
    <t>What happens if a player wins the "zero game"?</t>
  </si>
  <si>
    <t>A. He doesn't have to make any seams. B. He wins all the tricks. C. He can only make the first move D. He must use all his trump cards.</t>
  </si>
  <si>
    <t>He doesn't have to make any seams.</t>
  </si>
  <si>
    <t>Nullspiel means that the player is not allowed to take any tricks.</t>
  </si>
  <si>
    <t>Was passiert, wenn ein Spieler das „Nullspiel“ gewinnt?</t>
  </si>
  <si>
    <t>Er muss keine Nähte machen</t>
  </si>
  <si>
    <t>Nullspiel bedeutet, dass der Spieler keine Stiche machen darf.</t>
  </si>
  <si>
    <t>107</t>
  </si>
  <si>
    <t>A. Only the boys B. All cards are trumps C. All cards with higher values D. No cards are trumps</t>
  </si>
  <si>
    <t>Only the boys</t>
  </si>
  <si>
    <t>Nur die Jungs</t>
  </si>
  <si>
    <t>108</t>
  </si>
  <si>
    <t>A. Determining the trump suit B. Declare the game value C. Determining the number of stitches D. Withdraw cards</t>
  </si>
  <si>
    <t>Declare the game value</t>
  </si>
  <si>
    <t>Bidding means determining the value of the game through announcement.</t>
  </si>
  <si>
    <t>Den Spielwert deklarieren</t>
  </si>
  <si>
    <t>Bieten bedeutet, durch Ankündigung den Wert des Spiels zu ermitteln.</t>
  </si>
  <si>
    <t>109</t>
  </si>
  <si>
    <t>How many cards does each player receive at the start of the game?</t>
  </si>
  <si>
    <t>A. 10 B. 12 C. 11 D. 9</t>
  </si>
  <si>
    <t>Wie viele Karten erhält jeder Spieler zu Beginn des Spiels?</t>
  </si>
  <si>
    <t>110</t>
  </si>
  <si>
    <t>What happens if a player takes all the tricks on one wing?</t>
  </si>
  <si>
    <t>A. He wins the game B. He loses the game C. The game ends immediately D. He receives a penalty.</t>
  </si>
  <si>
    <t>If a player wins all the tricks in a Grand, he wins the game.</t>
  </si>
  <si>
    <t>Was passiert, wenn ein Spieler alle Stiche eines Flügels macht?</t>
  </si>
  <si>
    <t>Was passiert, wenn ein Spieler alle Tricks auf einem Flügel ausführt?</t>
  </si>
  <si>
    <t>Wenn ein Spieler alle Stiche in einem Grand gewinnt, gewinnt er das Spiel.</t>
  </si>
  <si>
    <t>111</t>
  </si>
  <si>
    <t>What happens if a player plays a zero game incorrectly?</t>
  </si>
  <si>
    <t>A. The opponent wins double points. B. The player loses the game. C. The game will restart. D. The player receives penalty points.</t>
  </si>
  <si>
    <t>If a player plays the zero game incorrectly, he loses the game.</t>
  </si>
  <si>
    <t>Was passiert, wenn ein Spieler ein Nullspiel falsch spielt?</t>
  </si>
  <si>
    <t>Wenn ein Spieler das Nullspiel falsch spielt, verliert er das Spiel.</t>
  </si>
  <si>
    <t>112</t>
  </si>
  <si>
    <t>How many jacks are there in total in the Skat deck?</t>
  </si>
  <si>
    <t>A. 2 B. 4 C. 3 D. 5</t>
  </si>
  <si>
    <t>There are a total of 4 jacks in the Skat deck.</t>
  </si>
  <si>
    <t>Wie viele Buben gibt es insgesamt im Skatdeck?</t>
  </si>
  <si>
    <t>Wie viele Jacks befinden sich insgesamt im Skat-Deck?</t>
  </si>
  <si>
    <t>Es gibt insgesamt 4 Buben im Skatdeck.</t>
  </si>
  <si>
    <t>113</t>
  </si>
  <si>
    <t>A. Grand with 48 points B. A game with zero points C. Game with 24 points D. Grand with 24 points</t>
  </si>
  <si>
    <t>The highest attraction value in Skat is the Grand with 48 points.</t>
  </si>
  <si>
    <t>Der höchste Attraktionswert im Skat ist der Grand mit 48 Punkten.</t>
  </si>
  <si>
    <t>114</t>
  </si>
  <si>
    <t>A. A game in which no trump suit is played. B. A game played without announcements C. A game in which the player plays all cards at once. D. A game in which one player reveals their cards.</t>
  </si>
  <si>
    <t>A game played without announcements</t>
  </si>
  <si>
    <t>"Hand" refers to a game in which the player does not make a bid.</t>
  </si>
  <si>
    <t>Ein Spiel, das ohne Ansagen gespielt wird</t>
  </si>
  <si>
    <t>„Hand“ bezeichnet ein Spiel, bei dem der Spieler kein Gebot abgibt.</t>
  </si>
  <si>
    <t>115</t>
  </si>
  <si>
    <t>What does "zero giants" mean in Skat?</t>
  </si>
  <si>
    <t>A. The player must not take any tricks and wins. B. The player may only take one trick. C. The player can use all cards. D. The player must take all the tricks.</t>
  </si>
  <si>
    <t>“Zero Grand” means that the player is not allowed to take any tricks and still wins.</t>
  </si>
  <si>
    <t>Was bedeutet „null Riesen“ im Skat?</t>
  </si>
  <si>
    <t>Was bedeutet „Null-Giganten“ in Skat?</t>
  </si>
  <si>
    <t>„Zero Grand“ bedeutet, dass der Spieler keine Stiche machen darf und trotzdem gewinnt.</t>
  </si>
  <si>
    <t>116</t>
  </si>
  <si>
    <t>What happens in a "black game" in Skat?</t>
  </si>
  <si>
    <t>A. The opponent wins the game with a higher score. B. The player wins the game without scoring any points. C. The player wins if he takes all the tricks. D. The player loses the game and the opponent wins.</t>
  </si>
  <si>
    <t>The player wins if he takes all the tricks.</t>
  </si>
  <si>
    <t>“Black” means that the player has taken all the tricks and wins.</t>
  </si>
  <si>
    <t>Was passiert in einem „schwarzen Spiel“ im Skat?</t>
  </si>
  <si>
    <t>Was passiert bei einem „schwarzen Spiel“ in Skat?</t>
  </si>
  <si>
    <t>Der Spieler gewinnt, wenn er alle Stiche macht</t>
  </si>
  <si>
    <t>„Schwarz“ bedeutet, dass der Spieler alle Stiche gemacht hat und gewinnt.</t>
  </si>
  <si>
    <t>117</t>
  </si>
  <si>
    <t>How is the "game value" determined in Skat?</t>
  </si>
  <si>
    <t>A. By announcing the trump card B. By stimulating C. By shuffling the cards D. By determining the mesh size</t>
  </si>
  <si>
    <t>By stimulating</t>
  </si>
  <si>
    <t>The game value is determined by the bid.</t>
  </si>
  <si>
    <t>Wie wird der „Spielwert“ beim Skat ermittelt?</t>
  </si>
  <si>
    <t>Wie wird der „Spielwert“ in Skat ermittelt?</t>
  </si>
  <si>
    <t>Indem man anregt</t>
  </si>
  <si>
    <t>Der Spielwert wird durch das Gebot bestimmt.</t>
  </si>
  <si>
    <t>118</t>
  </si>
  <si>
    <t>Which card is the highest trump card in the heart?</t>
  </si>
  <si>
    <t>The Jack is the highest card in the trump suit.</t>
  </si>
  <si>
    <t>Welche Karte ist der höchste Trumpf im Herzen?</t>
  </si>
  <si>
    <t>Welche Karte ist die höchste Trumpfkarte im Herz?</t>
  </si>
  <si>
    <t>Der Bube ist die höchste Karte im Herztrumpf.</t>
  </si>
  <si>
    <t>119</t>
  </si>
  <si>
    <t>What does it mean when a player announces "Schneider"?</t>
  </si>
  <si>
    <t>A. The opponent scored less than 60 points. B. The player must take all the tricks. C. The player has all the cards D. The player loses the game.</t>
  </si>
  <si>
    <t>The opponent scored less than 60 points.</t>
  </si>
  <si>
    <t>Was bedeutet es, wenn ein Spieler „Schneider“ ansagt?</t>
  </si>
  <si>
    <t>Der Gegner erzielte weniger als 60 Punkte</t>
  </si>
  <si>
    <t>120</t>
  </si>
  <si>
    <t>What is the penalty if a player plays "Grand" incorrectly?</t>
  </si>
  <si>
    <t>A. He has to deduct 50 points. B. He must deduct 100 points. C. He loses the game D. There is no penalty.</t>
  </si>
  <si>
    <t>If a player makes a mistake in Grand, he loses the game.</t>
  </si>
  <si>
    <t>Wie hoch ist die Strafe, wenn ein Spieler „Grand“ falsch spielt?</t>
  </si>
  <si>
    <t>Welche Strafe droht, wenn ein Spieler "Grand" falsch spielt?</t>
  </si>
  <si>
    <t>Wenn ein Spieler Grand falsch spielt, verliert er das Spiel.</t>
  </si>
  <si>
    <t>121</t>
  </si>
  <si>
    <t>What happens if a player loses the Null game in Skat?</t>
  </si>
  <si>
    <t>A. He loses double points B. The opponent wins 10 points. C. The player receives a penalty. D. The opponent wins the game.</t>
  </si>
  <si>
    <t>The player loses double points.</t>
  </si>
  <si>
    <t>If the player loses the zero game, he loses double the points.</t>
  </si>
  <si>
    <t>Was passiert, wenn ein Spieler beim Skat das Nullspiel verliert?</t>
  </si>
  <si>
    <t>Was passiert, wenn ein Spieler das Null-Spiel in Skat verliert?</t>
  </si>
  <si>
    <t>Der Spieler verliert doppelte Punkte</t>
  </si>
  <si>
    <t>Verliert der Spieler das Nullspiel, verliert er doppelte Punkte.</t>
  </si>
  <si>
    <t>122</t>
  </si>
  <si>
    <t>What does "big hand" mean in Skat?</t>
  </si>
  <si>
    <t>A. The player receives 2 points for each trick. B. The player holds all the jacks in his hand. C. The player may not use a trump card. D. The player must take all the tricks.</t>
  </si>
  <si>
    <t>The player holds all the jacks in his hand.</t>
  </si>
  <si>
    <t>Grand Hand means that the player holds all the jacks in his hand.</t>
  </si>
  <si>
    <t>Was bedeutet „große Hand“ im Skat?</t>
  </si>
  <si>
    <t>Was bedeutet „große Hand“ in Skat?</t>
  </si>
  <si>
    <t>Der Spieler hat alle Buben auf der Hand</t>
  </si>
  <si>
    <t>Grand Hand bedeutet, dass der Spieler alle Buben in seiner Hand hält.</t>
  </si>
  <si>
    <t>123</t>
  </si>
  <si>
    <t>How many cards are dealt in total during a game of Skat?</t>
  </si>
  <si>
    <t>A. 30 B. 32 C. 34 D. 36</t>
  </si>
  <si>
    <t>A total of 32 cards are dealt in the game of Skat.</t>
  </si>
  <si>
    <t>Wie viele Karten werden beim Skatspiel insgesamt ausgeteilt?</t>
  </si>
  <si>
    <t>Wie viele Karten werden insgesamt bei einem Skat-Spiel ausgeteilt?</t>
  </si>
  <si>
    <t>Insgesamt werden beim Skatspiel 32 Karten verteilt.</t>
  </si>
  <si>
    <t>124</t>
  </si>
  <si>
    <t>What happens if a player takes a trick in a Null game?</t>
  </si>
  <si>
    <t>A. He loses the game B. The game will restart. C. He receives a penalty. D. The game continues</t>
  </si>
  <si>
    <t>In a Null game, the player must not take any tricks. Otherwise, he loses.</t>
  </si>
  <si>
    <t>Was passiert, wenn ein Spieler in einem Nullspiel einen Stich macht?</t>
  </si>
  <si>
    <t>Im Nullspiel darf der Spieler keinen Stich machen. Sonst verliert er.</t>
  </si>
  <si>
    <t>125</t>
  </si>
  <si>
    <t>What is the value of a "null game" in Skat?</t>
  </si>
  <si>
    <t>A. 0 points B. 10 points C. 20 points D. 24 points</t>
  </si>
  <si>
    <t>0 points</t>
  </si>
  <si>
    <t>The zero game has a value of 0 points.</t>
  </si>
  <si>
    <t>Welchen Wert hat ein „Nullspiel“ beim Skat?</t>
  </si>
  <si>
    <t>Welchen Wert hat ein „Nullspiel“ in Skat?</t>
  </si>
  <si>
    <t>0 Punkte</t>
  </si>
  <si>
    <t>Das Nullspiel hat einen Wert von 0 Punkten.</t>
  </si>
  <si>
    <t>126</t>
  </si>
  <si>
    <t>What does it mean when a player says "bid"?</t>
  </si>
  <si>
    <t>A. The player reveals his cards B. The player calls out the number of points he hopes to score. C. The player declares that he rejects the game. D. The player chooses the trump card.</t>
  </si>
  <si>
    <t>The player calls out the number of points he hopes to score.</t>
  </si>
  <si>
    <t>Bidding means that the player indicates the number of points he hopes to score.</t>
  </si>
  <si>
    <t>Was bedeutet es, wenn ein Spieler „Gebot“ sagt?</t>
  </si>
  <si>
    <t>Was bedeutet es, wenn ein Spieler „Bid“ sagt?</t>
  </si>
  <si>
    <t>Der Spieler ruft die Anzahl der Punkte an, die er zu erzielen hofft</t>
  </si>
  <si>
    <t>Bieten bedeutet, dass der Spieler die Anzahl der Punkte angibt, die er zu erzielen hofft.</t>
  </si>
  <si>
    <t>127</t>
  </si>
  <si>
    <t>How many trump cards are there in the game of spades?</t>
  </si>
  <si>
    <t>A. 6 B. 8 C. 10 D. 12</t>
  </si>
  <si>
    <t>In the game of spades, there are 8 trump cards.</t>
  </si>
  <si>
    <t>Wie viele Trumpfkarten gibt es beim Pik-Spiel?</t>
  </si>
  <si>
    <t>Wie viele Trumpfkarten gibt es im Spiel Pik?</t>
  </si>
  <si>
    <t>Beim Pik-Spiel gibt es 8 Trumpfkarten.</t>
  </si>
  <si>
    <t>128</t>
  </si>
  <si>
    <t>What happens if a player wins the Null game with one trick?</t>
  </si>
  <si>
    <t>A. The player wins the game B. The player loses the game. C. The game is cancelled. D. The player must win the next trick.</t>
  </si>
  <si>
    <t>If the player takes a trick in the Null game, he loses the game.</t>
  </si>
  <si>
    <t>Was passiert, wenn ein Spieler das Nullspiel mit einem Stich gewinnt?</t>
  </si>
  <si>
    <t>Wenn der Spieler im Nullspiel einen Stich macht, verliert er das Spiel.</t>
  </si>
  <si>
    <t>129</t>
  </si>
  <si>
    <t>What is the highest value in the game "Grand"?</t>
  </si>
  <si>
    <t>A. Grand with 24 points B. Grand with 48 points C. Grand with 36 points D. Grand with 72 points</t>
  </si>
  <si>
    <t>The highest possible score in the Grand game is 48 points.</t>
  </si>
  <si>
    <t>Was ist der höchste Wert im Spiel „Grand“?</t>
  </si>
  <si>
    <t>Der höchste Wert im Grand-Spiel beträgt 48 Punkte.</t>
  </si>
  <si>
    <t>130</t>
  </si>
  <si>
    <t>Which cards are trump in the Null game?</t>
  </si>
  <si>
    <t>A. All cards are trumps B. No cards are trumps C. Only the heart cards D. Only the boys</t>
  </si>
  <si>
    <t>No cards are trumps</t>
  </si>
  <si>
    <t>In the game of zero, no cards are trump.</t>
  </si>
  <si>
    <t>Welche Karten sind Trumpf im Nullspiel?</t>
  </si>
  <si>
    <t>Welche Karten sind im Nullspiel Trumpf?</t>
  </si>
  <si>
    <t>Keine Karten sind Trumpf</t>
  </si>
  <si>
    <t>Im Nullspiel sind keine Karten Trumpf.</t>
  </si>
  <si>
    <t>131</t>
  </si>
  <si>
    <t>How many cards are dealt at the beginning of a Skat game?</t>
  </si>
  <si>
    <t>A. 10 cards for each player B. 12 cards for each player C. 11 cards for each player D. 9 cards for each player</t>
  </si>
  <si>
    <t>10 cards for each player</t>
  </si>
  <si>
    <t>At the start of the game, each player receives 10 cards.</t>
  </si>
  <si>
    <t>Wie viele Karten werden zu Beginn eines Skatspiels ausgeteilt?</t>
  </si>
  <si>
    <t>Wie viele Karten werden zu Beginn eines Skat-Spiels ausgeteilt?</t>
  </si>
  <si>
    <t>10 Karten für jeden Spieler</t>
  </si>
  <si>
    <t>Zu Beginn des Spiels erhält jeder Spieler 10 Karten.</t>
  </si>
  <si>
    <t>132</t>
  </si>
  <si>
    <t>A. The player scored more than 60 points. B. The opponent must score fewer than 30 points. C. The player wins the next round. D. The player receives additional points.</t>
  </si>
  <si>
    <t>"Schneider" means that the opponent can score fewer than 30 points.</t>
  </si>
  <si>
    <t>Der Gegner darf weniger als 30 Punkte erzielen</t>
  </si>
  <si>
    <t>„Schneider“ bedeutet, dass der Gegner weniger als 30 Punkte erzielen kann.</t>
  </si>
  <si>
    <t>133</t>
  </si>
  <si>
    <t>What happens if a player wins the Null game with a higher trump?</t>
  </si>
  <si>
    <t>A. The player loses the game. B. The opponent wins the game. C. The game continues D. There is no effect</t>
  </si>
  <si>
    <t>In the Null game, it is forbidden to use a trump card. The player loses the game if they do so.</t>
  </si>
  <si>
    <t>Was passiert, wenn ein Spieler das Nullspiel mit einem höheren Trumpf gewinnt?</t>
  </si>
  <si>
    <t>Im Nullspiel ist es verboten, eine Trumpfkarte zu verwenden. Der Spieler verliert das Spiel, wenn er dies tut.</t>
  </si>
  <si>
    <t>134</t>
  </si>
  <si>
    <t>Which trump card is used in the Grand game?</t>
  </si>
  <si>
    <t>A. spade B. Heart C. Check D. Only the boys</t>
  </si>
  <si>
    <t>In the big game, only the boys are trumps.</t>
  </si>
  <si>
    <t>Welche Trumpfkarte wird im Grand-Spiel verwendet?</t>
  </si>
  <si>
    <t>Im großen Spiel sind nur die Buben Trumpf.</t>
  </si>
  <si>
    <t>135</t>
  </si>
  <si>
    <t>What is the maximum number of tricks a player can take in a Null game?</t>
  </si>
  <si>
    <t>A. A B. None C. Two D. Three</t>
  </si>
  <si>
    <t>None</t>
  </si>
  <si>
    <t>If the game is zero, the player must not take any tricks.</t>
  </si>
  <si>
    <t>Wie viele Stiche muss ein Spieler in einem Nullspiel maximal machen?</t>
  </si>
  <si>
    <t>Wie viele Stiche kann ein Spieler in einem Nullspiel maximal machen?</t>
  </si>
  <si>
    <t>Keiner</t>
  </si>
  <si>
    <t>Wenn das Spiel Null ist, darf der Spieler keinen Stich machen.</t>
  </si>
  <si>
    <t>136</t>
  </si>
  <si>
    <t>What does the term "hand" mean in Skat?</t>
  </si>
  <si>
    <t>A. The game is played without announcements. B. The player may not show any cards. C. The player plays without Skat D. The player plays with only one card</t>
  </si>
  <si>
    <t>The player plays without Skat</t>
  </si>
  <si>
    <t>"Hand" means that the player plays the game without Skat.</t>
  </si>
  <si>
    <t>Was bedeutet der Begriff „Hand“ im Skat?</t>
  </si>
  <si>
    <t>Was bedeutet der Begriff „Hand“ in Skat?</t>
  </si>
  <si>
    <t>Der Spieler spielt ohne Skat</t>
  </si>
  <si>
    <t>„Hand“ bedeutet, dass der Spieler das Spiel ohne Skat spielt.</t>
  </si>
  <si>
    <t>137</t>
  </si>
  <si>
    <t>How many jacks are there in the Skat deck?</t>
  </si>
  <si>
    <t>A. 3 B. 4 C. 2 D. 6</t>
  </si>
  <si>
    <t>There are 4 jacks in the Skat deck.</t>
  </si>
  <si>
    <t>Wie viele Buben gibt es im Skatdeck?</t>
  </si>
  <si>
    <t>Wie viele Jacks befinden sich im Skat-Deck?</t>
  </si>
  <si>
    <t>Es gibt 4 Buben im Skatdeck.</t>
  </si>
  <si>
    <t>138</t>
  </si>
  <si>
    <t>What does "Nullhand" mean in Skat?</t>
  </si>
  <si>
    <t>A. The player has all the trump cards. B. The player must play the game without taking any tricks. C. The player receives additional points for a zero game. D. The player plays with all the boys</t>
  </si>
  <si>
    <t>The player must play the game without taking any tricks.</t>
  </si>
  <si>
    <t>“Zero Hand” means that the player must play the zero game without taking any tricks.</t>
  </si>
  <si>
    <t>Was bedeutet „Nullhand“ im Skat?</t>
  </si>
  <si>
    <t>Was bedeutet „Nullhand“ in Skat?</t>
  </si>
  <si>
    <t>Der Spieler muss das Spiel spielen, ohne Stiche auszuführen</t>
  </si>
  <si>
    <t>„Zero Hand“ bedeutet, dass der Spieler das Nullspiel spielen muss, ohne irgendwelche Stiche auszuführen.</t>
  </si>
  <si>
    <t>139</t>
  </si>
  <si>
    <t>What happens if a player takes all the tricks in the Grand?</t>
  </si>
  <si>
    <t>A. The player loses the game. B. The player with the higher score wins the game. C. The game ends in a draw. D. The player receives a penalty.</t>
  </si>
  <si>
    <t>The player with the higher score wins the game.</t>
  </si>
  <si>
    <t>If the player takes all the tricks in the Grand, he wins the game with a higher score.</t>
  </si>
  <si>
    <t>Was passiert, wenn ein Spieler im Grand alle Stiche macht?</t>
  </si>
  <si>
    <t>Was passiert, wenn ein Spieler im Grand alle Stiche gewinnt?</t>
  </si>
  <si>
    <t>Der Spieler mit der höheren Punktzahl gewinnt das Spiel</t>
  </si>
  <si>
    <t>Wenn der Spieler alle Stiche im Grand macht, gewinnt er das Spiel mit einer höheren Punktzahl.</t>
  </si>
  <si>
    <t>140</t>
  </si>
  <si>
    <t>How many points must a player score at a minimum to win a game?</t>
  </si>
  <si>
    <t>A. 24 points B. 30 points C. 18 points D. 36 points</t>
  </si>
  <si>
    <t>To win a game, a player must score at least 18 points.</t>
  </si>
  <si>
    <t>Wie viele Punkte muss ein Spieler mindestens erzielen, um ein Spiel zu gewinnen?</t>
  </si>
  <si>
    <t>Um ein Spiel zu gewinnen, muss ein Spieler mindestens 18 Punkte erzielen.</t>
  </si>
  <si>
    <t>141</t>
  </si>
  <si>
    <t>What does it mean when a player says "Grand-Schneider"?</t>
  </si>
  <si>
    <t>A. The player must take all the tricks. B. The player must score fewer than 30 points. C. The opponent must score fewer than 30 points. D. The player can only use the jacks.</t>
  </si>
  <si>
    <t>"Grand-Schneider" means that the opponent must score fewer than 30 points.</t>
  </si>
  <si>
    <t>Was bedeutet es, wenn ein Spieler „Grand-Schneider“ sagt?</t>
  </si>
  <si>
    <t>„Grand-Schneider“ bedeutet, dass der Gegner weniger als 30 Punkte erzielen muss.</t>
  </si>
  <si>
    <t>142</t>
  </si>
  <si>
    <t>What happens if a player loses the game, but the score remains above 30?</t>
  </si>
  <si>
    <t>A. The opponent wins the game with additional points. B. The player loses the game and receives a penalty. C. The game is cancelled. D. There is no effect</t>
  </si>
  <si>
    <t>The player loses the game and receives a penalty.</t>
  </si>
  <si>
    <t>If the player loses the game but scores more than 30 points, he loses the game and receives a penalty.</t>
  </si>
  <si>
    <t>Was passiert, wenn ein Spieler das Spiel verliert, der Punktestand aber weiterhin über 30 liegt?</t>
  </si>
  <si>
    <t>Was passiert, wenn ein Spieler das Spiel verliert, der Punktestand aber über 30 bleibt?</t>
  </si>
  <si>
    <t>Der Spieler verliert das Spiel und erhält eine Strafe</t>
  </si>
  <si>
    <t>Verliert der Spieler das Spiel, erzielt aber mehr als 30 Punkte, verliert er das Spiel und erhält eine Strafe.</t>
  </si>
  <si>
    <t>143</t>
  </si>
  <si>
    <t>What does it mean when a player says "Black"?</t>
  </si>
  <si>
    <t>A. The player took all the tricks. B. The player may not use a trump card. C. The player must lose all tricks. D. The player scored the most points</t>
  </si>
  <si>
    <t>The player took all the tricks.</t>
  </si>
  <si>
    <t>“Black” means that the player has taken all the tricks and won the game.</t>
  </si>
  <si>
    <t>Was bedeutet es, wenn ein Spieler „Schwarz“ sagt?</t>
  </si>
  <si>
    <t>Der Spieler hat alle Stiche gemacht</t>
  </si>
  <si>
    <t>„Schwarz“ bedeutet, dass der Spieler alle Stiche gemacht und das Spiel gewonnen hat.</t>
  </si>
  <si>
    <t>144</t>
  </si>
  <si>
    <t>What happens if a player wins the game with a value of zero?</t>
  </si>
  <si>
    <t>A. The player receives additional points. B. The player loses the game. C. The player wins the game and receives points. D. The player loses double points.</t>
  </si>
  <si>
    <t>The player wins the game and receives points.</t>
  </si>
  <si>
    <t>If a player wins the game with zero, they receive the specified score.</t>
  </si>
  <si>
    <t>Was passiert, wenn ein Spieler das Spiel mit einem Wert von Null gewinnt?</t>
  </si>
  <si>
    <t>Der Spieler gewinnt das Spiel und erhält Punkte</t>
  </si>
  <si>
    <t>Gewinnt ein Spieler das Spiel mit Null, erhält er die angegebene Punktzahl.</t>
  </si>
  <si>
    <t>145</t>
  </si>
  <si>
    <t>What does "Schneider-Hand" mean in Skat?</t>
  </si>
  <si>
    <t>A. The player must score at least 40 points. B. The player must win all tricks. C. The opponent must score fewer than 30 points. D. The player can play their cards as they wish.</t>
  </si>
  <si>
    <t>"Schneider hand" means that the opponent must score fewer than 30 points.</t>
  </si>
  <si>
    <t>Was bedeutet „Schneider-Hand“ im Skat?</t>
  </si>
  <si>
    <t>Was bedeutet „Schneider-Hand“ in Skat?</t>
  </si>
  <si>
    <t>„Schneider-Hand“ bedeutet, dass der Gegner weniger als 30 Punkte erzielen muss.</t>
  </si>
  <si>
    <t>146</t>
  </si>
  <si>
    <t>What happens if a player loses the bid?</t>
  </si>
  <si>
    <t>A. The player has no other choice but to start the game. B. The player must give up the game and receives no points. C. The player cannot take the skat. D. The player may not use trump cards.</t>
  </si>
  <si>
    <t>The player must give up the game and receives no points.</t>
  </si>
  <si>
    <t>If a player loses the bid, they must give up the game and receive no points.</t>
  </si>
  <si>
    <t>Was passiert, wenn ein Spieler das Bieten verliert?</t>
  </si>
  <si>
    <t>Was passiert, wenn ein Spieler das Gebot verliert?</t>
  </si>
  <si>
    <t>Der Spieler muss das Spiel aufgeben und erhält keine Punkte</t>
  </si>
  <si>
    <t>Verliert ein Spieler das Bieten, muss er das Spiel aufgeben und erhält keine Punkte.</t>
  </si>
  <si>
    <t>147</t>
  </si>
  <si>
    <t>What is the function of the Skat card in the game?</t>
  </si>
  <si>
    <t>A. The Skat card game will be used at a later time. B. Skat brings the player more points C. The Skat cards are dealt in the middle of the game. D. Skat is used for exchanging cards.</t>
  </si>
  <si>
    <t>Skat is used for exchanging playing cards.</t>
  </si>
  <si>
    <t>Skat is the part of the game where two cards are drawn from the table and then used to exchange them.</t>
  </si>
  <si>
    <t>Welche Funktion hat der Skat im Spiel?</t>
  </si>
  <si>
    <t>Welche Funktion hat die Skat-Karte im Spiel?</t>
  </si>
  <si>
    <t>Der Skat dient dem Tausch von Spielkarten</t>
  </si>
  <si>
    <t>Der Skat ist der Teil des Spiels, bei dem zwei Karten vom Tisch gezogen und dann zum Tauschen verwendet werden.</t>
  </si>
  <si>
    <t>148</t>
  </si>
  <si>
    <t>When is a "Grand" game allowed?</t>
  </si>
  <si>
    <t>A. If a player wins the bid and does not use a trump card B. If the player does not use Skat C. If the player wins all tricks with the jacks D. If the player achieves the highest score while bidding</t>
  </si>
  <si>
    <t>If the player does not use Skat</t>
  </si>
  <si>
    <t>A "big" game is only allowed if the player does not use Skat.</t>
  </si>
  <si>
    <t>Wann ist ein „Grand“-Spiel erlaubt?</t>
  </si>
  <si>
    <t>Wenn der Spieler keinen Skat verwendet</t>
  </si>
  <si>
    <t>Ein „Großes“ Spiel ist nur erlaubt, wenn der Spieler keinen Skat verwendet.</t>
  </si>
  <si>
    <t>149</t>
  </si>
  <si>
    <t>How many points must a player score at a minimum to win the game?</t>
  </si>
  <si>
    <t>A. 15 points B. 30 points C. 40 points D. 60 points</t>
  </si>
  <si>
    <t>60 points</t>
  </si>
  <si>
    <t>To win the game, a player must score at least 60 points.</t>
  </si>
  <si>
    <t>Wie viele Punkte muss ein Spieler mindestens erzielen, um das Spiel zu gewinnen?</t>
  </si>
  <si>
    <t>60 Punkte</t>
  </si>
  <si>
    <t>Um das Spiel zu gewinnen, muss ein Spieler mindestens 60 Punkte erzielen.</t>
  </si>
  <si>
    <t>150</t>
  </si>
  <si>
    <t>What does the term "Schneider" mean in Skat?</t>
  </si>
  <si>
    <t>A. The player must score at least 40 points. B. The opponent must score fewer than 30 points. C. The player must score at least 60 points. D. The opponent must score at least 30 points.</t>
  </si>
  <si>
    <t>Was bedeutet der Begriff „Schneider“ im Skat?</t>
  </si>
  <si>
    <t>Was bedeutet der Begriff „Schneider“ in Skat?</t>
  </si>
  <si>
    <t>151</t>
  </si>
  <si>
    <t>How do you win a zero game?</t>
  </si>
  <si>
    <t>A. By the player taking all the tricks B. Because the player does not take a single trick C. The player with the lowest cards wins. D. By the player discarding all cards</t>
  </si>
  <si>
    <t>Because the player does not take a single trick</t>
  </si>
  <si>
    <t>The player who takes no tricks wins the Null game.</t>
  </si>
  <si>
    <t>Wie wird ein Nullspiel gewonnen?</t>
  </si>
  <si>
    <t>Wie gewinnt man ein Spiel, in dem man null Punkte hat?</t>
  </si>
  <si>
    <t>Dadurch, dass der Spieler keinen einzigen Stich ausführt</t>
  </si>
  <si>
    <t>Das Nullspiel gewinnt der Spieler, der keinen einzigen Stich macht.</t>
  </si>
  <si>
    <t>152</t>
  </si>
  <si>
    <t>What happens if a player takes a trick in the "null game"?</t>
  </si>
  <si>
    <t>A. The player wins the game with one point. B. The player loses the game immediately. C. The game will restart. D. The player receives additional points.</t>
  </si>
  <si>
    <t>The player loses the game immediately.</t>
  </si>
  <si>
    <t>If a player takes a trick in the "null game", he loses the game immediately.</t>
  </si>
  <si>
    <t>Was passiert, wenn ein Spieler im „Nullspiel“ einen Stich macht?</t>
  </si>
  <si>
    <t>Der Spieler verliert das Spiel sofort</t>
  </si>
  <si>
    <t>Wenn ein Spieler im „Nullspiel“ einen Stich macht, verliert er das Spiel sofort.</t>
  </si>
  <si>
    <t>153</t>
  </si>
  <si>
    <t>What does it mean when a player "plays hand"?</t>
  </si>
  <si>
    <t>A. The player is playing with open cards. B. The player plays without Skat C. The player plays with only one card D. The player lays his cards face up on the table.</t>
  </si>
  <si>
    <t>Was bedeutet es, wenn ein Spieler „Hand“ spielt?</t>
  </si>
  <si>
    <t>Was bedeutet es, wenn ein Spieler „eine Hand ausspielt“?</t>
  </si>
  <si>
    <t>154</t>
  </si>
  <si>
    <t>Which cards are trumps in the Grand game?</t>
  </si>
  <si>
    <t>A. All cards are trumps B. Only the boys are trump cards. C. The suits diamonds and spades are trumps D. The player can choose any trump card.</t>
  </si>
  <si>
    <t>Only the boys are trump cards.</t>
  </si>
  <si>
    <t>Welche Karten sind Trümpfe im Grand-Spiel?</t>
  </si>
  <si>
    <t>Welche Karten sind im Grand-Spiel Trumpf?</t>
  </si>
  <si>
    <t>Nur die Jungs sind Trumpf</t>
  </si>
  <si>
    <t>155</t>
  </si>
  <si>
    <t>What happens if a player uses a trump card in a "zero hand"?</t>
  </si>
  <si>
    <t>A. The player loses the game immediately. B. The player receives additional points. C. The player can continue the game. D. The player must win the next stitch.</t>
  </si>
  <si>
    <t>In a "zero hand," a player may not use a trump card. If they do, they lose the game immediately.</t>
  </si>
  <si>
    <t>Was passiert, wenn ein Spieler einen Trumpf in einer „Null-Hand“ verwendet?</t>
  </si>
  <si>
    <t>Was passiert, wenn ein Spieler in einer „Nullhand“ eine Trumpfkarte ausspielt?</t>
  </si>
  <si>
    <t>In der „Null-Hand“ darf ein Spieler keine Trumpfkarte verwenden. Wenn er dies tut, verliert er das Spiel sofort.</t>
  </si>
  <si>
    <t>156</t>
  </si>
  <si>
    <t>What does the term "black" mean in Skat?</t>
  </si>
  <si>
    <t>A. The player won the game by completing all the stitches. B. The player scored the most points C. The player may not use trump cards. D. The player must lose all stitches.</t>
  </si>
  <si>
    <t>The player won the game by completing all the stitches.</t>
  </si>
  <si>
    <t>Black means that the player has made all the stitches and won the game.</t>
  </si>
  <si>
    <t>Was bedeutet der Begriff „schwarz“ im Skat?</t>
  </si>
  <si>
    <t>Was bedeutet der Begriff „schwarz“ in Skat?</t>
  </si>
  <si>
    <t>Der Spieler hat das Spiel gewonnen, indem er alle Maschen gemacht hat</t>
  </si>
  <si>
    <t>Schwarz bedeutet, dass der Spieler alle Maschen gemacht und das Spiel gewonnen hat.</t>
  </si>
  <si>
    <t>157</t>
  </si>
  <si>
    <t>How many cards are dealt at the start of the game?</t>
  </si>
  <si>
    <t>A. 10 cards for each player B. 12 cards for each player C. 8 cards for each player D. 9 cards for each player</t>
  </si>
  <si>
    <t>Wie viele Karten werden zu Beginn des Spiels verteilt?</t>
  </si>
  <si>
    <t>Wie viele Karten werden zu Beginn des Spiels ausgeteilt?</t>
  </si>
  <si>
    <t>158</t>
  </si>
  <si>
    <t>How many boys are in the Skat deck?</t>
  </si>
  <si>
    <t>A. 4 B. 2 C. 3 D. 5</t>
  </si>
  <si>
    <t>There are a total of 4 boys in the Skat deck.</t>
  </si>
  <si>
    <t>Wie viele Jungs gibt es im Skatdeck?</t>
  </si>
  <si>
    <t>Wie viele Jungen sitzen im Skat-Deck?</t>
  </si>
  <si>
    <t>Im Skatdeck sind insgesamt 4 Jungs.</t>
  </si>
  <si>
    <t>159</t>
  </si>
  <si>
    <t>What does it mean when a player loses interest?</t>
  </si>
  <si>
    <t>A. The player loses the game. B. The player loses control of the stimulus C. The player must cover the skat. D. The player must accept a penalty spot</t>
  </si>
  <si>
    <t>If a player loses bids, he loses the game.</t>
  </si>
  <si>
    <t>Was bedeutet es, wenn ein Spieler Reize verliert?</t>
  </si>
  <si>
    <t>Was bedeutet es, wenn ein Spieler das Interesse verliert?</t>
  </si>
  <si>
    <t>Wenn ein Spieler Reize verliert, verliert er das Spiel.</t>
  </si>
  <si>
    <t>160</t>
  </si>
  <si>
    <t>How is the winner of a zero game determined?</t>
  </si>
  <si>
    <t>A. The player with the most points wins. B. The player who takes all the tricks wins C. The player who takes no tricks wins. D. The player with the most Trump cards wins.</t>
  </si>
  <si>
    <t>The player who takes no tricks wins.</t>
  </si>
  <si>
    <t>The winner of a Null game is the player who takes no tricks.</t>
  </si>
  <si>
    <t>Wie wird der Gewinner eines Null -Spiels bestimmt?</t>
  </si>
  <si>
    <t>Wie wird der Gewinner eines Spiels ohne Gegentreffer ermittelt?</t>
  </si>
  <si>
    <t>Der Spieler, der keinen Stich macht, gewinnt</t>
  </si>
  <si>
    <t>Der Gewinner eines Null -Spiels ist der Spieler, der keinen Stich macht.</t>
  </si>
  <si>
    <t>161</t>
  </si>
  <si>
    <t>How is the Zero game rated in Skat?</t>
  </si>
  <si>
    <t>A. With a higher score than a big game B. With a lower score than a big game C. With a fixed number of points determined by the cards D. With the highest score</t>
  </si>
  <si>
    <t>With a lower score than a big game</t>
  </si>
  <si>
    <t>The zero game is scored with a lower number of points than a big game.</t>
  </si>
  <si>
    <t>Wie ist das Zero -Spiel im Skat bewertet?</t>
  </si>
  <si>
    <t>Wie ist das Zero-Spiel in Skat bewertet?</t>
  </si>
  <si>
    <t>Mit einer niedrigeren Punktzahl als einem großen Spiel</t>
  </si>
  <si>
    <t>Das Null -Spiel wird mit einer niedrigeren Punktzahl als ein großes Spiel bewertet.</t>
  </si>
  <si>
    <t>162</t>
  </si>
  <si>
    <t>When can a player say 'Schneider'?</t>
  </si>
  <si>
    <t>A. If the player scores less than 40 points B. If the opponent scores less than 30 points C. If the player scores more than 60 points D. If the player loses the game</t>
  </si>
  <si>
    <t>If the opponent scores less than 30 points</t>
  </si>
  <si>
    <t>Schneider will be announced if the opponent scores less than 30 points.</t>
  </si>
  <si>
    <t>Wann kann ein Spieler den 'Schneider' sagen?</t>
  </si>
  <si>
    <t>Wann darf ein Spieler „Schneider“ sagen?</t>
  </si>
  <si>
    <t>Wenn der Gegner weniger als 30 Punkte erzielt</t>
  </si>
  <si>
    <t>Schneider 'wird bekannt gegeben, wenn der Gegner weniger als 30 Punkte erzielt.</t>
  </si>
  <si>
    <t>163</t>
  </si>
  <si>
    <t>What happens if a player takes all the tricks in the Grand Game?</t>
  </si>
  <si>
    <t>A. The player loses the game. B. The player with the higher score wins. C. The player receives a penalty. D. The opponent must win a round.</t>
  </si>
  <si>
    <t>The player with the higher score wins.</t>
  </si>
  <si>
    <t>If a player takes all the tricks in the Grand Game, he wins with a higher score.</t>
  </si>
  <si>
    <t>Was passiert, wenn ein Spieler alle Stiche im Grand Game herstellt?</t>
  </si>
  <si>
    <t>Was passiert, wenn ein Spieler im Großen Spiel alle Stiche gewinnt?</t>
  </si>
  <si>
    <t>Der Spieler gewinnt mit einer höheren Punktzahl</t>
  </si>
  <si>
    <t>Wenn ein Spieler alle Stiche im Grand Game macht, gewinnt er mit einer höheren Punktzahl.</t>
  </si>
  <si>
    <t>164</t>
  </si>
  <si>
    <t>How many points does a player need to score to win a game?</t>
  </si>
  <si>
    <t>A. 24 points B. 30 points C. 18 points D. 60 points</t>
  </si>
  <si>
    <t>30 points</t>
  </si>
  <si>
    <t>A player must score at least 30 points to win the game.</t>
  </si>
  <si>
    <t>Wie viele Punkte muss ein Spieler erreichen, um ein Spiel zu gewinnen?</t>
  </si>
  <si>
    <t>Wie viele Punkte muss ein Spieler erzielen, um ein Spiel zu gewinnen?</t>
  </si>
  <si>
    <t>30 Punkte</t>
  </si>
  <si>
    <t>Ein Spieler muss mindestens 30 Punkte erzielen, um das Spiel zu gewinnen.</t>
  </si>
  <si>
    <t>165</t>
  </si>
  <si>
    <t>What happens if a player wins the game with a zero?</t>
  </si>
  <si>
    <t>A. The player receives no points. B. The player loses the game. C. The player receives additional points. D. The player wins the game and receives 60 points.</t>
  </si>
  <si>
    <t>The player wins the game and receives 60 points.</t>
  </si>
  <si>
    <t>If a player wins the game with zero, they receive 60 points.</t>
  </si>
  <si>
    <t>Was passiert, wenn ein Spieler das Spiel mit einer Null gewinnt?</t>
  </si>
  <si>
    <t>Der Spieler gewinnt das Spiel und erhält 60 Punkte</t>
  </si>
  <si>
    <t>Wenn ein Spieler das Spiel mit Null gewinnt, erhält er 60 Punkte.</t>
  </si>
  <si>
    <t>A. Germany B. Netherlands C. Denmark D. Belgium</t>
  </si>
  <si>
    <t>Welches Land gilt als Geburtsort von Klootschießen?</t>
  </si>
  <si>
    <t>Das Klootschießen hat seinen Ursprung in Deutschland, insbesondere in den nordwestlichen Regionen wie Niedersachsen und Ostfriesland.</t>
  </si>
  <si>
    <t>A. 15th century B. 16th century C. 17th century D. 18th century</t>
  </si>
  <si>
    <t>In welchem ​​Jahrhundert wurde Klootschießen zum ersten Mal populär?</t>
  </si>
  <si>
    <t>Klootschießen erlangte im 17. Jahrhundert als ländlicher Zeitvertreib in Norddeutschland große Popularität.</t>
  </si>
  <si>
    <t>A. ball B. Stone C. Street D. Throw</t>
  </si>
  <si>
    <t>Was bedeutet der Begriff „Kloot“ im Zusammenhang mit Klootschießen?</t>
  </si>
  <si>
    <t>Ball</t>
  </si>
  <si>
    <t>Der Begriff „Kloot“ bedeutet „Ball“ und bezieht sich auf den kleinen, schweren Ball, der im Spiel verwendet wird.</t>
  </si>
  <si>
    <t>A. Lower Saxony B. Bavaria C. Hesse D. Saxony</t>
  </si>
  <si>
    <t>Welche Region in Deutschland ist am engsten mit Klootschießen verbunden?</t>
  </si>
  <si>
    <t>Niedersachsen und Ostfriesland sind die Hauptregionen, in denen Klootschießen historische Wurzeln hat.</t>
  </si>
  <si>
    <t>A. To compete for accuracy B. To train soldiers C. Leisure activities in rural areas D. To settle disputes</t>
  </si>
  <si>
    <t>Was war der ursprüngliche Zweck des Klootschießens?</t>
  </si>
  <si>
    <t>Zeitvertreib in ländlichen Gebieten</t>
  </si>
  <si>
    <t>Klootschießen war ursprünglich eine Freizeitbeschäftigung für ländliche Gemeinden.</t>
  </si>
  <si>
    <t>A. Wood B. Stone C. iron D. tonne</t>
  </si>
  <si>
    <t>Aus welchem ​​Material wurden die frühen Kloots traditionell hergestellt?</t>
  </si>
  <si>
    <t>Frühe Kloots bestanden aus Holz und wurden oft von Einheimischen handgeschnitzt.</t>
  </si>
  <si>
    <t>A. 17th century B. 18th century C. 19th century D. 20th century</t>
  </si>
  <si>
    <t>In welchem ​​Jahrhundert gab es im Klootschießen erstmals organisierte Wettkämpfe?</t>
  </si>
  <si>
    <t>Organisierte Wettbewerbe zum Klootschießen begannen im 19. Jahrhundert und führten formalisierte Regeln ein.</t>
  </si>
  <si>
    <t>A. Netherlands B. Poland C. Denmark D. Belgium</t>
  </si>
  <si>
    <t>Welches Nachbarland hat eine ähnliche Tradition wie Klootschießen?</t>
  </si>
  <si>
    <t>Niederlande</t>
  </si>
  <si>
    <t>Die Niederlande haben eine ähnliche Tradition mit einer eigenen Version namens „Klootschieten“.</t>
  </si>
  <si>
    <t>A. 1935 B. 1955 C. 1970 D. 1985</t>
  </si>
  <si>
    <t>In welchem ​​Jahr fand der erste internationale Klootschießen-Wettbewerb statt?</t>
  </si>
  <si>
    <t>Der erste internationale Klootschießen-Wettbewerb wurde 1955 ausgetragen, um den Sport weltweit bekannt zu machen.</t>
  </si>
  <si>
    <t>A. World War I B. Second World War C. The Cold War D. The global economic crisis</t>
  </si>
  <si>
    <t>Welches historische Ereignis störte das Klootschießen im 20. Jahrhundert?</t>
  </si>
  <si>
    <t>Der Zweite Weltkrieg störte das Spielen von Klootschießen, da Ressourcen für Kriegsanstrengungen umgeleitet wurden.</t>
  </si>
  <si>
    <t>A. Synthetic balls B. Standardized weights C. metal rims D. Rubber grips</t>
  </si>
  <si>
    <t>Welche Innovation im 20. Jahrhundert trug zur Modernisierung der Klootschießen-Ausrüstung bei?</t>
  </si>
  <si>
    <t>Synthetische Bälle</t>
  </si>
  <si>
    <t>Die Einführung synthetischer Bälle im 20. Jahrhundert modernisierte den Sport.</t>
  </si>
  <si>
    <t>A. It was a form of exercise. B. It brought communities together C. It helped to resolve disputes. D. It was a source of income</t>
  </si>
  <si>
    <t>Welche historische Bedeutung hat Klootschießen für ländliche Gemeinden?</t>
  </si>
  <si>
    <t>Es brachte Gemeinschaften zusammen</t>
  </si>
  <si>
    <t>Klootschießen spielte eine wichtige Rolle bei der Förderung des Gemeinschaftsgefühls in ländlichen Gebieten.</t>
  </si>
  <si>
    <t>A. The German Klootschießen Association B. The National Rural Games Association C. The East Frisian Sports League D. The Lower Saxony Sports Federation</t>
  </si>
  <si>
    <t>Welche deutsche Organisation ist für die Betreuung des Klootschießens zuständig?</t>
  </si>
  <si>
    <t>Der Deutsche Klootschießen-Verband</t>
  </si>
  <si>
    <t>Der Deutsche Klootschießen-Verband sorgt für die Organisation und Förderung des Sports.</t>
  </si>
  <si>
    <t>A. The weight of the ball B. The site C. The team size D. The points system</t>
  </si>
  <si>
    <t>Was ist der wesentliche Unterschied zwischen Klootschießen auf dem Feld und auf der Straße?</t>
  </si>
  <si>
    <t>Das Gelände</t>
  </si>
  <si>
    <t>Feld-Klotschießen wird auf Gras oder offenen Feldern gespielt, während Straßen-Klotschießen auf befestigten Wegen stattfindet.</t>
  </si>
  <si>
    <t>A. After the First World War B. After the Second World War C. The 1960s D. The Industrial Revolution</t>
  </si>
  <si>
    <t>In welcher historischen Epoche erlebte Klootschießen nach einem Niedergang eine Wiederbelebung?</t>
  </si>
  <si>
    <t>Nach dem Zweiten Weltkrieg</t>
  </si>
  <si>
    <t>Klootschießen erlebte nach dem Zweiten Weltkrieg eine Wiederbelebung, als sich neue Vereine gründeten, um den Sport zu fördern.</t>
  </si>
  <si>
    <t>A. Off-season entertainment B. Training for employees C. Improving coordination D. Boost your mood during planting season</t>
  </si>
  <si>
    <t>Welche Rolle spielte Klootschießen in landwirtschaftlichen Gemeinden?</t>
  </si>
  <si>
    <t>Unterhaltung in der Nebensaison</t>
  </si>
  <si>
    <t>Klootschießen sorgte in der Nebensaison, wenn die Arbeit weniger anstrengend war, für Unterhaltung.</t>
  </si>
  <si>
    <t>A. discipline B. Teamwork C. Community bond D. Individual Excellence</t>
  </si>
  <si>
    <t>Welcher primäre kulturelle Wert spiegelte sich im Klootschießen wider?</t>
  </si>
  <si>
    <t>Klootschießen legt Wert auf den Gemeinschaftszusammenhalt und wird oft in Teams gespielt.</t>
  </si>
  <si>
    <t>A. 1990 B. 2000 C. 2015 D. 2020</t>
  </si>
  <si>
    <t>In welchem ​​​​Jahr wurde Klootschießen in Deutschland zum immateriellen Kulturerbe erklärt?</t>
  </si>
  <si>
    <t>Klootschießen wurde 2015 zum immateriellen Kulturerbe erklärt und unterstreicht damit seine kulturelle Bedeutung.</t>
  </si>
  <si>
    <t>A. The use of teams B. The art of the terrain C. The basic concept of distance throwing D. The material of the Kloots</t>
  </si>
  <si>
    <t>Welcher Aspekt von Klootschießen ist seit seiner Entstehung unverändert geblieben?</t>
  </si>
  <si>
    <t>Das Grundkonzept des Distanzwerfens</t>
  </si>
  <si>
    <t>Die Kernidee, einen Ball über maximale Distanz zu werfen, ist seit seiner Einführung erhalten geblieben.</t>
  </si>
  <si>
    <t>A. 1850 B. 1895 C. 1910 D. 1930</t>
  </si>
  <si>
    <t>In welchem ​​Jahr wurde das erste Klootschießen-Regelwerk veröffentlicht?</t>
  </si>
  <si>
    <t>Das erste Klootschießen-Regelwerk wurde 1895 veröffentlicht, um Spielablauf und Punktestand zu standardisieren.</t>
  </si>
  <si>
    <t>A. Rural leisure activities B. Medieval military training C. Religious ceremonies D. Seasonal festivals</t>
  </si>
  <si>
    <t>Was hat die Entstehung von Klootschießen inspiriert?</t>
  </si>
  <si>
    <t>Ländliche Freizeitaktivitäten</t>
  </si>
  <si>
    <t>Klootschießen wurde vom Bedürfnis nach Erholung in ländlichen Gemeinden inspiriert.</t>
  </si>
  <si>
    <t>A. Oral tradition B. Formal schools C. Local manuscripts D. Community celebrations</t>
  </si>
  <si>
    <t>Wie wurde Klootschießen historisch über Generationen weitergegeben?</t>
  </si>
  <si>
    <t>Mündliche Überlieferung</t>
  </si>
  <si>
    <t>Das Wissen und die Techniken des Klootschießens wurden innerhalb von Familien und Gemeinschaften mündlich weitergegeben.</t>
  </si>
  <si>
    <t>A. Johann Wolfgang von Goethe B. Martin Luther C. Albrecht Dürer D. Frederick the Great</t>
  </si>
  <si>
    <t>Welche historische Persönlichkeit soll ein dem Klootschießen ähnliches Spiel erwähnt haben?</t>
  </si>
  <si>
    <t>Johann Wolfgang von Goethe</t>
  </si>
  <si>
    <t>Es wird angenommen, dass Goethe in seinen Schriften auf Spiele Bezug genommen hat, die dem Klootschießen ähneln.</t>
  </si>
  <si>
    <t>A. Building camaraderie among the villagers B. To train for battles C. To settle disputes D. In preparation for the harvest</t>
  </si>
  <si>
    <t>War der Krieg die wichtigste gesellschaftliche Funktion des Klootschießens im Mittelalter?</t>
  </si>
  <si>
    <t>Kameradschaft unter den Dorfbewohnern aufbauen</t>
  </si>
  <si>
    <t>Klootschießen war eine soziale Aktivität, die die Dorfbewohner zu freundschaftlichen Wettkämpfen zusammenbrachte.</t>
  </si>
  <si>
    <t>A. A legal document from the 16th century B. A folk song from the 15th century C. A sports magazine from the 17th century D. An 18th-century dictionary</t>
  </si>
  <si>
    <t>In welchem ​​​​historischen Dokument wurde der Begriff „Kloot“ erstmals erwähnt?</t>
  </si>
  <si>
    <t>Ein juristisches Dokument aus dem 16. Jahrhundert</t>
  </si>
  <si>
    <t>Der Begriff „Kloot“ wurde erstmals in einem Rechtsdokument aus dem 16. Jahrhundert erwähnt, das sich auf Dorfspiele bezog.</t>
  </si>
  <si>
    <t>A. Windy days B. Snowy days C. Rainy days D. Foggy days</t>
  </si>
  <si>
    <t>Welche Art von Wetter hat historisch die Klootschießen-Spiele beeinflusst?</t>
  </si>
  <si>
    <t>Windige Tage</t>
  </si>
  <si>
    <t>Windige Tage waren ideal für Klootschießen, da die Spieler den Wind zu ihrem Vorteil nutzen konnten.</t>
  </si>
  <si>
    <t>A. Harvest festivals B. New Year's celebrations C. Easter celebrations D. Wedding celebrations</t>
  </si>
  <si>
    <t>Welche Traditionsveranstaltung wurde oft mit Klootschießenspielen gepaart?</t>
  </si>
  <si>
    <t>Klootschießen wurde oft bei Erntedankfesten als Unterhaltungsform gespielt.</t>
  </si>
  <si>
    <t>A. It caused an error B. It led to urban leagues C. It had no effect. D. It increases interest</t>
  </si>
  <si>
    <t>Welchen Einfluss hatte die industrielle Revolution auf die Popularität des Klootschießens?</t>
  </si>
  <si>
    <t>Es verursachte einen Fehler</t>
  </si>
  <si>
    <t>Die industrielle Revolution führte zu einem Niedergang von Klootschießen, da die Menschen in die Städte zogen und das städtische Leben beherrschten.</t>
  </si>
  <si>
    <t>A. Open terrain without borders B. Thrown into water C. Rating by tone D. Use of animal hides for balls</t>
  </si>
  <si>
    <t>Was war ein Alleinstellungsmerkmal der frühen Klootschießen-Wettbewerbe?</t>
  </si>
  <si>
    <t>Offenes Gelände ohne Grenzen</t>
  </si>
  <si>
    <t>Frühe Wettbewerbe fanden auf offenem Gelände ohne starke Grenzen statt, was sie unvorhersehbar machte.</t>
  </si>
  <si>
    <t>A. Part of rural identity B. Military training C. A royal pastime D. A religious tradition</t>
  </si>
  <si>
    <t>Welche kulturelle Bedeutung hatte Klootschießen in den Niederlanden?</t>
  </si>
  <si>
    <t>Teil der ländlichen Identität</t>
  </si>
  <si>
    <t>In den Niederlanden galt Klootschießen als integraler Bestandteil der ländlichen Identität und Kultur.</t>
  </si>
  <si>
    <t>A. 1920 B. 1940 C. 1960 D. 1980</t>
  </si>
  <si>
    <t>Wann wurde der erste Klootschießen-Wettbewerb der Frauen aufgezeichnet?</t>
  </si>
  <si>
    <t>Der erste Klootschießen-Wettbewerb für Frauen wurde in den 1960er Jahren aufgezeichnet, als der Sport seine Inklusivität ausweitete.</t>
  </si>
  <si>
    <t>A. Friedrich Nietzsche B. Immanuel Kant C. Gottfried Leibniz D. Arthur Schopenhauer</t>
  </si>
  <si>
    <t>Welcher deutsche Philosoph erwähnte traditionelle Sportarten ähnlich dem Klootschießen?</t>
  </si>
  <si>
    <t>Friedrich Nietzsche</t>
  </si>
  <si>
    <t>Friedrich Nietzsche verwies auf die Rolle traditioneller Spiele, einschließlich solcher wie Klootschießen, in der ländlichen Kultur.</t>
  </si>
  <si>
    <t>A. trade routes B. colonization C. Seasonal hikes D. Diplomatic alliances</t>
  </si>
  <si>
    <t>Welcher historische Faktor trug dazu bei, Klootschießen in den Nachbarländern zu verbreiten?</t>
  </si>
  <si>
    <t>Handelsrouten</t>
  </si>
  <si>
    <t>Handelswege ermöglichen die Verbreitung des Spiels in benachbarten Regionen, darunter die Niederlande und Dänemark.</t>
  </si>
  <si>
    <t>A. Johann Wolfgang von Goethe B. Heinrich Heine C. Friedrich Schiller D. Rainer Maria Rilke</t>
  </si>
  <si>
    <t>Welcher deutsche Dichter bezog sich in seinem Werk auf ländliche Spiele wie Klootschießen?</t>
  </si>
  <si>
    <t>Goethe bezog sich in seinen literarischen Werken auf ländliche Spiele, die dem Klootschießen ähneln.</t>
  </si>
  <si>
    <t>A. They were passed down through generations. B. They were inspired by military exercises. C. They are based on agricultural methods D. They were influenced by hunting.</t>
  </si>
  <si>
    <t>Welche historische Bedeutung haben die Wurftechniken beim Klootschießen?</t>
  </si>
  <si>
    <t>Sie wurden über Generationen weitergegeben</t>
  </si>
  <si>
    <t>Die Wurftechniken beim Klootschießen waren Teil familiärer und regionaler Traditionen und wurden im Laufe der Zeit weitergegeben.</t>
  </si>
  <si>
    <t>A. Standardized rules B. Games broadcast on television C. Lighter balls D. Team tournaments</t>
  </si>
  <si>
    <t>Welche Innovation im 20. Jahrhundert steigerte die Popularität des Klootschießens?</t>
  </si>
  <si>
    <t>Im Fernsehen übertragene Spiele</t>
  </si>
  <si>
    <t>Die Einführung von Fernsehspielen im 20. Jahrhundert verschaffte dem Sport größere Aufmerksamkeit.</t>
  </si>
  <si>
    <t>A. Open fields B. coastal dunes C. Mountain valleys D. forests</t>
  </si>
  <si>
    <t>Welche Naturlandschaft spielte in den frühen Klootschießen-Spielen eine Schlüsselrolle?</t>
  </si>
  <si>
    <t>Offene Felder</t>
  </si>
  <si>
    <t>Offene Felder wurden in den frühen Klootschießen-Spielen häufig genutzt und nutzten weitläufige ländliche Landschaften.</t>
  </si>
  <si>
    <t>A. It was forbidden B. It became a military exercise C. It served the purpose of educating youth D. It was played secretly.</t>
  </si>
  <si>
    <t>Wie hat sich Klootschießen in Kriegszeiten angepasst?</t>
  </si>
  <si>
    <t>Es wurde zu einer Militärübung</t>
  </si>
  <si>
    <t>In Kriegszeiten wurde das Klootschießen als militärische Übung zur Verbesserung der körperlichen Fähigkeiten adaptiert.</t>
  </si>
  <si>
    <t>A. Country weddings B. Christmas celebrations C. Victory parades D. Spring fairs</t>
  </si>
  <si>
    <t>Zu welchen Feierlichkeiten gehörte häufig das Klootschießen?</t>
  </si>
  <si>
    <t>Ländliche Hochzeiten</t>
  </si>
  <si>
    <t>Zu Hochzeiten auf dem Land gehörte oft das Klootschießen als Form der gemeinschaftlichen Unterhaltung.</t>
  </si>
  <si>
    <t>A. 18th century B. 19th century C. 20th century D. 21st century</t>
  </si>
  <si>
    <t>Wann begann die Klootschießen-Vereine zum ersten Mal gegründet zu werden?</t>
  </si>
  <si>
    <t>Im 19. Jahrhundert begann sich der Klootschießen-Vereine zu gründen, um den Sport zu organisieren und zu standardisieren.</t>
  </si>
  <si>
    <t>A. World's Fairs B. Sports exchange after the Second World War C. Origin of the EU D. Olympic influence</t>
  </si>
  <si>
    <t>Welches historische Ereignis führte zu internationalen Klootschießen-Wettbewerben?</t>
  </si>
  <si>
    <t>Sportaustausch nach dem Zweiten Weltkrieg</t>
  </si>
  <si>
    <t>Der Sportaustausch nach dem Zweiten Weltkrieg fördert internationale Klootschießen-Wettbewerbe als kulturellen Austausch.</t>
  </si>
  <si>
    <t>A. Lack of space B. High equipment costs C. Prohibition by city officials D. Concerns of the common interest</t>
  </si>
  <si>
    <t>Vor welcher historischen Herausforderung stehen Klootschießen in städtischen Gebieten?</t>
  </si>
  <si>
    <t>Platzmangel</t>
  </si>
  <si>
    <t>Die Urbanisierung brachte Herausforderungen wie Platzmangel mit sich, was es schwierig machte, in Städten Klootschießen zu spielen.</t>
  </si>
  <si>
    <t>A. 1950 B. 1965 C. 1975 D. 1980</t>
  </si>
  <si>
    <t>In welchem ​​Jahr fand die erste internationale Klootschießen-Meisterschaft statt?</t>
  </si>
  <si>
    <t>Die erste internationale Klootschießen-Meisterschaft fand 1965 statt, an der Spieler aus mehreren Ländern teilnahmen.</t>
  </si>
  <si>
    <t>A. More free time B. Improved transport C. State funding of sports D. The rise of tourism</t>
  </si>
  <si>
    <t>Welcher bedeutende kulturelle Wandel im 20. Jahrhundert unterstützte das Wachstum von Klootschießen?</t>
  </si>
  <si>
    <t>Mehr Freizeit</t>
  </si>
  <si>
    <t>Der Anstieg der Freizeit im 20. Jahrhundert ermöglichte es mehr Menschen, die Klootschießen beherrschen.</t>
  </si>
  <si>
    <t>A. Making balls B. Organizing games C. Players train D. Provision of uniforms</t>
  </si>
  <si>
    <t>Welche Rolle spielten lokale Handwerker historisch in Klootschießen?</t>
  </si>
  <si>
    <t>Bälle herstellen</t>
  </si>
  <si>
    <t>Für die Herstellung der beim Klootschießen verwendeten Kugeln waren oft lokale Handwerker verantwortlich.</t>
  </si>
  <si>
    <t>A. 1600s B. 1700s C. 1800s D. 1900s</t>
  </si>
  <si>
    <t>Wann begann Klootschießen in Deutschland an Popularität zu gewinnen?</t>
  </si>
  <si>
    <t>1600er</t>
  </si>
  <si>
    <t>Klootschießen erfreute sich im 16. Jahrhundert zunehmender Beliebtheit, als der Sport bereits im ländlichen Deutschland dokumentiert wurde.</t>
  </si>
  <si>
    <t>A. A ball B. A stone C. A wooden disc D. A metal ring</t>
  </si>
  <si>
    <t>Was ist das Hauptobjekt, das beim Klootschießen verwendet wird?</t>
  </si>
  <si>
    <t>Ein Ball</t>
  </si>
  <si>
    <t>Der Hauptgegenstand beim Klootschießen ist ein schwerer Ball, der sogenannte Kloot.</t>
  </si>
  <si>
    <t>A. Bavaria B. Lower Saxony C. Schleswig-Holstein D. Saxony</t>
  </si>
  <si>
    <t>Welche Region in Deutschland gilt als Geburtsort des Klootschießens?</t>
  </si>
  <si>
    <t>Das Klootschießen hat seinen Ursprung in Niedersachsen, vor allem im ländlichen Raum.</t>
  </si>
  <si>
    <t>A. 50 meters B. 100 meters C. 150 meters D. 200 meters</t>
  </si>
  <si>
    <t>Was ist die traditionelle Wurfweite beim Klootschießen?</t>
  </si>
  <si>
    <t>150 Meter</t>
  </si>
  <si>
    <t>Die traditionelle Wurfweite beim Klootschießen beträgt je nach Gelände etwa 150 Meter.</t>
  </si>
  <si>
    <t>A. By the fastest throw B. Through the most accurate throw C. Longest throw D. By having the fewest throws</t>
  </si>
  <si>
    <t>Wie wird beim Klootschießen der Sieger ermittelt?</t>
  </si>
  <si>
    <t>Beim weitesten Wurf</t>
  </si>
  <si>
    <t>Der Sieger beim Klootschießen wird durch den weitesten Wurf des Kloot ermittelt.</t>
  </si>
  <si>
    <t>A. A military exercise B. A village festival play C. A hunting method D. One way to improve throwing power</t>
  </si>
  <si>
    <t>Was war der ursprüngliche Zweck des Klootschießens im 17. Jahrhundert?</t>
  </si>
  <si>
    <t>Eine militärische Übung</t>
  </si>
  <si>
    <t>Klootschießen wurde ursprünglich als militärische Trainingsübung zur Verbesserung der Wurfkraft der Soldaten eingesetzt.</t>
  </si>
  <si>
    <t>A. It became a competitive sport B. It was banned after the First World War. C. It became more of an indoor activity. D. Today it is only played in rural areas.</t>
  </si>
  <si>
    <t>Wie hat sich der Sport des Klootschießens im Laufe der Zeit entwickelt?</t>
  </si>
  <si>
    <t>Es wurde ein Leistungssport</t>
  </si>
  <si>
    <t>Klootschießen entwickelte sich zu einem Wettkampfsport mit formalisierten Regeln und Turnieren.</t>
  </si>
  <si>
    <t>A. Kloot B. balloon C. Bullet D. discus</t>
  </si>
  <si>
    <t>Wie heißt der Ball, der beim Klootschießen verwendet wird?</t>
  </si>
  <si>
    <t>Kloot</t>
  </si>
  <si>
    <t>Der beim Klootschießen verwendete Ball wird Kloot genannt und besteht typischerweise aus Holz oder Metall.</t>
  </si>
  <si>
    <t>A. 1 player B. 2-4 players C. 5-6 players D. 8-10 players</t>
  </si>
  <si>
    <t>Was ist die typische Teamgröße bei Klootschießen-Wettbewerben?</t>
  </si>
  <si>
    <t>2-4 Spieler</t>
  </si>
  <si>
    <t>Klootschießen-Wettbewerbe werden in der Regel in Teams von 2-4 Spielern ausgetragen.</t>
  </si>
  <si>
    <t>A. Flat grassy fields B. Mountain regions C. Snow-covered streets D. cobbled streets</t>
  </si>
  <si>
    <t>Welcher Geländetyp eignet sich ideal zum Klootschießen?</t>
  </si>
  <si>
    <t>Flache Grasfelder</t>
  </si>
  <si>
    <t>Flache Rasenflächen sind das ideale Gelände zum Klootschießen und bieten eine glatte Oberfläche.</t>
  </si>
  <si>
    <t>A. The Napoleonic Wars B. World War I C. The Industrial Revolution D. The Viking invasions</t>
  </si>
  <si>
    <t>Welches Großereignis führte dazu, dass sich Klootschießen auf andere Länder ausbreitete?</t>
  </si>
  <si>
    <t>Die Napoleonischen Kriege</t>
  </si>
  <si>
    <t>Während der Napoleonischen Kriege führten Soldaten das Klootschießen in andere Teile Europas ein.</t>
  </si>
  <si>
    <t>A. As an individual challenge B. In teams from several villages C. In professional leagues D. In a series of indoor tournaments</t>
  </si>
  <si>
    <t>Wie wird Klootschießen traditionell auf Festivals gespielt?</t>
  </si>
  <si>
    <t>In Teams aus mehreren Dörfern</t>
  </si>
  <si>
    <t>Klootschießen wird traditionell bei Festen gespielt, bei denen Teams aus verschiedenen Dörfern gegeneinander antreten.</t>
  </si>
  <si>
    <t>A. Stone B. Wood C. leather D. Bronze</t>
  </si>
  <si>
    <t>Aus welchem ​​Material wurden die frühen Kloot-Bälle hergestellt?</t>
  </si>
  <si>
    <t>Frühe Kloot-Bälle wurden aus Holz hergestellt und manchmal aus Gründen der Haltbarkeit mit Leder umwickelt.</t>
  </si>
  <si>
    <t>A. 16th century B. 17th century C. 18th century D. 19th century</t>
  </si>
  <si>
    <t>In welchem ​​Jahrhundert wurden die Regeln des Klootschießens formalisiert?</t>
  </si>
  <si>
    <t>Die Formalisierung der Klootschießen-Regeln erfolgte im 19. Jahrhundert.</t>
  </si>
  <si>
    <t>A. Throw the ball accurately B. Catching the ball in the air C. Running with the ball D. juggling the ball</t>
  </si>
  <si>
    <t>Was ist eine der Schlüsselkompetenzen beim Klootschießen?</t>
  </si>
  <si>
    <t>Den Ball präzise werfen</t>
  </si>
  <si>
    <t>Die Schlüsselkompetenz beim Klootschießen besteht darin, den Ball mit großer Präzision über weite Distanzen zu werfen.</t>
  </si>
  <si>
    <t>A. Switzerland B. Austria C. The Netherlands D. Denmark</t>
  </si>
  <si>
    <t>Welches Land außer Deutschland ist dafür bekannt, Klootschießen gespielt zu haben?</t>
  </si>
  <si>
    <t>Auch in den Niederlanden gibt es eine starke Tradition des Klootschießens, insbesondere in ländlichen Gebieten.</t>
  </si>
  <si>
    <t>A. The Ring B. The route C. The course D. The field</t>
  </si>
  <si>
    <t>Wie nennt man den Bereich, in dem Klootschießen gespielt wird?</t>
  </si>
  <si>
    <t>Der Kurs</t>
  </si>
  <si>
    <t>Der Bereich, in dem Klootschießen gespielt wird, wird als Parcours bezeichnet.</t>
  </si>
  <si>
    <t>A. Using a measuring tape B. From an official referee C. By a significant margin D. Use of GPS devices</t>
  </si>
  <si>
    <t>Wie wird die Distanz eines Kloot-Wurfs gemessen?</t>
  </si>
  <si>
    <t>Von einem offiziellen Schiedsrichter</t>
  </si>
  <si>
    <t>Bei offiziellen Wettbewerben wird die Distanz eines Kloot-Wurfs von einem offiziellen Schiedsrichter unter Verwendung von Standardmethoden gemessen.</t>
  </si>
  <si>
    <t>A. One way to prepare for military service B. A ritual for good harvests C. A form of community bonding D. A religious ceremony</t>
  </si>
  <si>
    <t>Welche historische Bedeutung hat Klootschießen in der ländlichen deutschen Kultur?</t>
  </si>
  <si>
    <t>Eine Form der Gemeinschaftsbindung</t>
  </si>
  <si>
    <t>Klootschießen war historisch bedeutsam als Möglichkeit für ländliche Gemeinschaften, sich zusammenzuschließen und zusammenzukommen.</t>
  </si>
  <si>
    <t>A. Celebrating together B. Give the ball to the winning team C. Organize a tournament D. Bet on future games</t>
  </si>
  <si>
    <t>Was machten Spieler traditionell nach einem Klootschießen-Spiel?</t>
  </si>
  <si>
    <t>Gemeinsam feiern</t>
  </si>
  <si>
    <t>Nach den Spielen feierten die Spieler traditionell ein gemeinsames Fest.</t>
  </si>
  <si>
    <t>In welchem ​​Jahrhundert wurde Klootschießen in den Niederlanden eingeführt?</t>
  </si>
  <si>
    <t>Klootschießen wurde im 17. Jahrhundert in den Niederlanden eingeführt.</t>
  </si>
  <si>
    <t>A. 3-5 rounds B. 6-10 rounds C. 10-15 rounds D. 15-20 rounds</t>
  </si>
  <si>
    <t>Wie viele Runden werden normalerweise bei einem Klootschießen-Wettbewerb gespielt?</t>
  </si>
  <si>
    <t>3-5 Runden</t>
  </si>
  <si>
    <t>Die meisten Klootschießen-Wettbewerbe bestehen aus 3 bis 5 Wurfrunden.</t>
  </si>
  <si>
    <t>A. Improved power for work B. Teaching teamwork C. Mental relaxation D. Religious fulfillment</t>
  </si>
  <si>
    <t>Was war einer der ursprünglichen Vorteile des Klootschießens für die Landwirte?</t>
  </si>
  <si>
    <t>Verbesserte Kraft für die Arbeit</t>
  </si>
  <si>
    <t>Klootschießen trug dazu bei, die Kraft und Ausdauer der Bauern bei ihrer körperlichen Arbeit zu verbessern.</t>
  </si>
  <si>
    <t>A. football B. golf C. Croquet D. Lawn bowling</t>
  </si>
  <si>
    <t>Welchem ​​heutigen Äquivalent ähnelt Klootschießen?</t>
  </si>
  <si>
    <t>Rasenbowling</t>
  </si>
  <si>
    <t>Klootschießen wird aufgrund der Verwendung von Ball und Zielscheibe oft mit Rasenbowling verglichen.</t>
  </si>
  <si>
    <t>A. It's easy B. It is made of rubber C. It is heavy and solid D. It is hollow</t>
  </si>
  <si>
    <t>Was ist das Hauptmerkmal eines Kloot-Balls?</t>
  </si>
  <si>
    <t>Es ist schwer und solide</t>
  </si>
  <si>
    <t>Kloot-Bälle sind schwer und solide und bestehen normalerweise aus Holz oder Metall, um Würfe über weite Distanzen zu ermöglichen.</t>
  </si>
  <si>
    <t>A. bowling B. shot put C. spear D. discus throw</t>
  </si>
  <si>
    <t>Welche andere Sportart ähnelt Klootschießen am meisten?</t>
  </si>
  <si>
    <t>Kugelstoßen</t>
  </si>
  <si>
    <t>Klootschießen ist dem Kugelstoßen am ähnlichsten, da ein schwerer Gegenstand über eine weite Distanz geworfen wird.</t>
  </si>
  <si>
    <t>A. Fireworks B. Parades and dances C. Harvest ceremonies D. Winners receive medals</t>
  </si>
  <si>
    <t>Welche wichtige kulturelle Tradition ist mit den Klootschießen-Festen verbunden?</t>
  </si>
  <si>
    <t>Paraden und Tänze</t>
  </si>
  <si>
    <t>Klootschießen-Feste werden oft von Paraden und Tänzen begleitet, um den Gemeinschaftsgeist zu feiern.</t>
  </si>
  <si>
    <t>A. The International Klootschießen Federation B. The German Klootschießen Union C. The German Sports Federation D. The European Klootschießen League</t>
  </si>
  <si>
    <t>Welche Organisation verwaltet Klootschießen-Wettbewerbe?</t>
  </si>
  <si>
    <t>Die Deutsche Klootschießen-Union</t>
  </si>
  <si>
    <t>Für die Regulierung der Wettkämpfe und die Einhaltung der Regeln ist die Deutsche Klootschießen-Union zuständig.</t>
  </si>
  <si>
    <t>A. The Lower Saxony Cup B. The German Open C. The World Championships D. The village league</t>
  </si>
  <si>
    <t>Was war eines der ersten dokumentierten Turniere für Klootschießen?</t>
  </si>
  <si>
    <t>Der Niedersachsenpokal</t>
  </si>
  <si>
    <t>Der Niedersachsenpokal war eines der ersten dokumentierten Turniere zum Klootschießen.</t>
  </si>
  <si>
    <t>A. King Frederick II of Prussia B. Admiral Horatio Nelson C. Napoleon Bonaparte D. Emperor Augustus</t>
  </si>
  <si>
    <t>Welche historische Figur soll das Klootschießen gefördert haben?</t>
  </si>
  <si>
    <t>König Friedrich II. von Preußen</t>
  </si>
  <si>
    <t>König Friedrich II. von Preußen soll das Spiel während seiner Herrschaft im 18. Jahrhundert gefördert haben.</t>
  </si>
  <si>
    <t>A. Overhead throw B. Sidearm throw C. Underhand throw D. Overhand throw</t>
  </si>
  <si>
    <t>Was war die ursprüngliche Wurfmethode beim Klootschießen?</t>
  </si>
  <si>
    <t>Klootschießen wurde ursprünglich mit einer Überkopfwurfmethode für größere Distanz gespielt.</t>
  </si>
  <si>
    <t>A. In city squares B. In military training camps C. In rural areas D. In churchyards</t>
  </si>
  <si>
    <t>In welcher Umgebung wurde Klootschießen in der Vergangenheit am häufigsten gespielt?</t>
  </si>
  <si>
    <t>Auf ländlichen Gebieten</t>
  </si>
  <si>
    <t>Klootschießen wurde am häufigsten auf ländlichen Gebieten gespielt, oft im Rahmen von Dorffesten.</t>
  </si>
  <si>
    <t>A. German sports clubs B. Local noble families C. Farmers' associations D. The Prussian military</t>
  </si>
  <si>
    <t>Wer war einer der ersten, der Klootschießen zu einer Sportart machte?</t>
  </si>
  <si>
    <t>Deutsche Sportvereine</t>
  </si>
  <si>
    <t>Deutsche Sportvereine waren im 19. Jahrhundert maßgeblich daran beteiligt, Klootschießen zu einem Wettkampfsport zu machen.</t>
  </si>
  <si>
    <t>A. Sophisticated throwing techniques B. Changes in the ball's design C. New playing fields D. Increased international competition</t>
  </si>
  <si>
    <t>Welcher Aspekt des Klootschießens trägt dazu bei, das Spiel im Laufe der Zeit zu verbessern?</t>
  </si>
  <si>
    <t>Raffinierte Wurftechniken</t>
  </si>
  <si>
    <t>Im Laufe der Zeit haben Spieler verfeinerte Wurftechniken entwickelt, um die Distanz ihrer Würfe zu erhöhen.</t>
  </si>
  <si>
    <t>A. Introduction of high-tech equipment B. International tournaments broadcast on television C. Use of synthetic klootballs D. Integration into school curricula</t>
  </si>
  <si>
    <t>Wie wurde Klootschießen in den letzten Jahren modernisiert?</t>
  </si>
  <si>
    <t>Im Fernsehen übertragene internationale Turniere</t>
  </si>
  <si>
    <t>In den letzten Jahren hat das Klootschießen durch im Fernsehen übertragene internationale Turniere an Aufmerksamkeit gewonnen.</t>
  </si>
  <si>
    <t>A. As a leisure activity for soldiers B. As a method for training troops in precision C. As a distraction from the war D. As a way to communicate across distances</t>
  </si>
  <si>
    <t>Wie diente Klootschießen während der Napoleonischen Kriege?</t>
  </si>
  <si>
    <t>Als Methode, Truppen in Präzision zu trainieren</t>
  </si>
  <si>
    <t>Während der Napoleonischen Kriege half Klootschießen den Soldaten beim Training des Präzisionswerfens.</t>
  </si>
  <si>
    <t>A. 3-5 kg B. 5-10 kg C. 10-15 kg D. 15-20 kg</t>
  </si>
  <si>
    <t>Was ist das typische Gewicht des Klootschießen-Balls?</t>
  </si>
  <si>
    <t>5-10 kg</t>
  </si>
  <si>
    <t>Kloot-Bälle wiegen normalerweise zwischen 5 und 10 Kilogramm, was sie für weite Würfe schwer macht.</t>
  </si>
  <si>
    <t>In welchem ​​Jahrhundert verbreitete sich Klootschießen über Deutschland hinaus?</t>
  </si>
  <si>
    <t>Das Klootschießen verbreitete sich im 19. Jahrhundert über Deutschland hinaus, insbesondere in die Nachbarländer.</t>
  </si>
  <si>
    <t>A. The equipment used B. The team structure C. The throwing technique D. The method of evaluation</t>
  </si>
  <si>
    <t>Welcher Teil des Klootschießens ist weitgehend unverändert geblieben?</t>
  </si>
  <si>
    <t>Die verwendete Ausrüstung</t>
  </si>
  <si>
    <t>Die beim Klootschießen verwendete Ausrüstung, insbesondere der Klootball, ist weitgehend unverändert geblieben.</t>
  </si>
  <si>
    <t>A. A parade with music and dance B. A feast featuring local food C. A firework D. A joint auction</t>
  </si>
  <si>
    <t>Was ist eine gemeinsame Feier nach einem Klootschießen?</t>
  </si>
  <si>
    <t>Ein Fest mit lokalen Speisen</t>
  </si>
  <si>
    <t>Nach Klootschießen-Veranstaltungen ist es für die Gemeinde üblich, mit einem Festmahl mit lokalen Speisen zu feiern.</t>
  </si>
  <si>
    <t>A. It is a form of team bonding B. It celebrates the harvest C. It was once a ritual for good weather D. It strengthens physical health</t>
  </si>
  <si>
    <t>Welche Bedeutung hat das Klootschießen im Kontext deutscher ländlicher Traditionen?</t>
  </si>
  <si>
    <t>Es ist eine Form der Teambindung</t>
  </si>
  <si>
    <t>Klootschießen war historisch bedeutsam als Möglichkeit, Teamarbeit und Gemeinschaftszusammenhalt in ländlichen Gebieten zu fördern.</t>
  </si>
  <si>
    <t>A. Austria B. The Netherlands C. Denmark D. Switzerland</t>
  </si>
  <si>
    <t>Welches war eines der ersten Länder, das Klootschießen außerhalb Deutschlands eingeführt hat?</t>
  </si>
  <si>
    <t>Die Niederlande waren eines der ersten Länder, das Klootschießen eingeführt hat, insbesondere in ländlichen Regionen.</t>
  </si>
  <si>
    <t>Wann wurde der Klootschießen-Sport mit formalen Regeln standardisiert?</t>
  </si>
  <si>
    <t>Klootschießen wurde im 19. Jahrhundert durch formelle Regeln standardisiert.</t>
  </si>
  <si>
    <t>A. A relay race B. An individual throwing competition C. A team event D. A marathon</t>
  </si>
  <si>
    <t>Welcher Teil des Klootschießens ist ein traditionelles Wettkampfformat?</t>
  </si>
  <si>
    <t>Ein Teamevent</t>
  </si>
  <si>
    <t>Beim Klootschießen treten traditionell Teams gegeneinander an.</t>
  </si>
  <si>
    <t>A. Wood B. Stone C. clay D. leather</t>
  </si>
  <si>
    <t>Aus welchem ​​Material wurden die ersten Kloot-Bälle hergestellt?</t>
  </si>
  <si>
    <t>Die ersten Kloot-Bälle wurden aus Holz hergestellt und später durch schwerere Materialien wie Metall ersetzt.</t>
  </si>
  <si>
    <t>A. Bavaria B. Lower Saxony C. Thuringia D. Hesse</t>
  </si>
  <si>
    <t>In welcher Region Deutschlands hat sich das Klootschießen erstmals entwickelt?</t>
  </si>
  <si>
    <t>Klootschießen wurde erstmals in Niedersachsen, einer Region im Nordwesten Deutschlands, entwickelt.</t>
  </si>
  <si>
    <t>A. pitch B. course C. rail D. Circle</t>
  </si>
  <si>
    <t>Wie bezeichnet man ein Feld, auf dem Klootschießen gespielt wird?</t>
  </si>
  <si>
    <t>Kurs</t>
  </si>
  <si>
    <t>Der Bereich, auf dem Klootschießen gespielt wird, wird „Kurs“ genannt und ist normalerweise eine Rasenfläche.</t>
  </si>
  <si>
    <t>A. 100 meters B. 150 meters C. 200 meters D. 250 meters</t>
  </si>
  <si>
    <t>Wie weit ist die typische Wurfweite beim Klootschießen?</t>
  </si>
  <si>
    <t>Ein typischer Klootschießen-Wurf legt eine Distanz von etwa 150 Metern zurück.</t>
  </si>
  <si>
    <t>A. speed B. Strength C. accuracy D. balance</t>
  </si>
  <si>
    <t>Welche davon war traditionell eine wesentliche Fähigkeit beim Klootschießen?</t>
  </si>
  <si>
    <t>Genauigkeit ist eine der wichtigsten Fähigkeiten beim Klootschießen, da die Spieler auf weite, präzise Würfe abzielen.</t>
  </si>
  <si>
    <t>A. ball B. Stone C. disc D. Wood</t>
  </si>
  <si>
    <t>Was bedeutet das Wort „Kloot“ auf Deutsch?</t>
  </si>
  <si>
    <t>Das Wort „Kloot“ bezieht sich auf den im Spiel verwendeten Ball, bei dem es sich typischerweise um einen schweren Holz- oder Metallball handelt.</t>
  </si>
  <si>
    <t>A. It was an endurance test B. It served to improve throwing accuracy. C. It was used for close combat training. D. It was a form of physical activity</t>
  </si>
  <si>
    <t>Welche Rolle spielte das Klootschießen in der deutschen Militärausbildung?</t>
  </si>
  <si>
    <t>Es diente dazu, die Wurfgenauigkeit zu verbessern</t>
  </si>
  <si>
    <t>Klootschießen diente dazu, Soldaten im Präzisionswerfen zu trainieren und ihre körperliche Ausdauer zu verbessern.</t>
  </si>
  <si>
    <t>A. Local governments B. military officers C. Farmers' associations D. Mayor</t>
  </si>
  <si>
    <t>Wer ist traditionell für die Organisation von Klootschießen-Festivals verantwortlich?</t>
  </si>
  <si>
    <t>Gemeindevorsteher</t>
  </si>
  <si>
    <t>Klootschießen-Festivals werden traditionell von Gemeindevorstehern organisiert, oft in ländlichen Gebieten.</t>
  </si>
  <si>
    <t>A. End of the 19th century B. early 20th century C. 1940s D. 1970s</t>
  </si>
  <si>
    <t>Wann verbreitete sich Klootschießen in den Vereinigten Staaten?</t>
  </si>
  <si>
    <t>Klootschießen verbreitete sich im späten 19. Jahrhundert vor allem durch deutsche Einwanderer in den Vereinigten Staaten.</t>
  </si>
  <si>
    <t>A. It was part of the harvest rituals. B. It was used to select workers for the harvest. C. There was a celebration after the harvest. D. It was used as a lucky charm.</t>
  </si>
  <si>
    <t>Wie war Klootschießen historisch mit der Erntezeit verbunden?</t>
  </si>
  <si>
    <t>Es war Teil der Ernterituale</t>
  </si>
  <si>
    <t>Klootschießen war manchmal Teil von Ernteritualen, bei denen erfolgreiche Ernten gefeiert und Gemeinschaften zusammengebracht wurden.</t>
  </si>
  <si>
    <t>A. 5-7 kg B. 7-9 kg C. 9-11 kg D. 11-13 kg</t>
  </si>
  <si>
    <t>Wie schwer ist ein traditioneller Kloot-Ball, der bei Wettbewerben verwendet wird?</t>
  </si>
  <si>
    <t>5-7 kg</t>
  </si>
  <si>
    <t>Traditionelle Kloot-Bälle wiegen je nach Wettbewerb und regionalen Gepflogenheiten zwischen 5 und 7 Kilogramm.</t>
  </si>
  <si>
    <t>A. Belgium B. Netherlands C. France D. Denmark</t>
  </si>
  <si>
    <t>Welches europäische Land außer Deutschland veranstaltet jährlich Klootschießen-Turniere?</t>
  </si>
  <si>
    <t>In den Niederlanden finden jedes Jahr Klootschießen-Turniere statt, die Teil der reichen Tradition dieses Sports sind.</t>
  </si>
  <si>
    <t>A. 1930 B. 1950 C. 1970 D. 1990</t>
  </si>
  <si>
    <t>In welchem ​​Jahr fand die erste Klootschießen-Weltmeisterschaft statt?</t>
  </si>
  <si>
    <t>Die erste Klootschießen-Weltmeisterschaft fand 1970 statt und zog internationale Teilnehmer an.</t>
  </si>
  <si>
    <t>A. It is part of the school curriculum. B. It is considered a national sport C. It is recognized as cultural heritage. D. It is only played in military academies.</t>
  </si>
  <si>
    <t>Wie wird Klootschießen heute in Deutschland anerkannt?</t>
  </si>
  <si>
    <t>Es ist als Kulturerbe anerkannt</t>
  </si>
  <si>
    <t>Im modernen Deutschland gilt Klootschießen als kulturelles Erbe und wird bei Festen gefeiert.</t>
  </si>
  <si>
    <t>A. Lawn bowling B. shot put C. Archery D. Hammer throw</t>
  </si>
  <si>
    <t>Welche Sportart ist geräte- und spielerisch eng mit dem Klootschießen verwandt?</t>
  </si>
  <si>
    <t>Klootschießen ist aufgrund der Verwendung schwerer Bälle und des Ziels der Distanz eng mit dem Rasenbowling verwandt.</t>
  </si>
  <si>
    <t>A. Professional leagues B. Community celebrations C. televised competitions D. University tournaments</t>
  </si>
  <si>
    <t>Bei welchen Veranstaltungen wird Klootschießen heute traditionell gespielt?</t>
  </si>
  <si>
    <t>Klootschießen wird am häufigsten bei Gemeinschaftsfesten in ländlichen Teilen Deutschlands und der Niederlande gespielt.</t>
  </si>
  <si>
    <t>A. Limited throwing range B. Bad weather conditions C. Lack of spectators D. Compete against multiple teams</t>
  </si>
  <si>
    <t>Was war für Klootschießen-Spieler in den ersten Wettbewerben eine zentrale Herausforderung?</t>
  </si>
  <si>
    <t>Begrenzte Wurfweite</t>
  </si>
  <si>
    <t>Frühe Klootschießen-Spieler standen vor Herausforderungen wie begrenzten Wurfweiten aufgrund der Ausrüstung und des Geländes.</t>
  </si>
  <si>
    <t>A. The longest throw B. The most accurate throw C. The shortest time D. The number of throws</t>
  </si>
  <si>
    <t>Wie wird der offizielle Sieger eines Klootschießen-Matches ermittelt?</t>
  </si>
  <si>
    <t>Der weiteste Wurf</t>
  </si>
  <si>
    <t>Der Sieger eines Klootschießen-Matches wird durch den weitesten Wurf des Kloot-Balls ermittelt.</t>
  </si>
  <si>
    <t>A. Teaches leadership B. Promotes physical fitness C. It promotes artistic expression D. Improves reading and writing skills</t>
  </si>
  <si>
    <t>Welchen kulturellen Einfluss hat Klootschießen auf seine Teilnehmer?</t>
  </si>
  <si>
    <t>Fördert die körperliche Fitness</t>
  </si>
  <si>
    <t>Klootschießen fördert die körperliche Fitness durch Weitwürfe und Teamwork.</t>
  </si>
  <si>
    <t>A. The use of a rolling ball B. The use of a wooden ball C. The team competition format D. The points system</t>
  </si>
  <si>
    <t>Welcher Aspekt unterscheidet Klootschießen von ähnlichen Sportarten wie Kugelstoßen?</t>
  </si>
  <si>
    <t>Die Verwendung eines rollenden Balls</t>
  </si>
  <si>
    <t>Im Gegensatz zum Kugelstoßen wird beim Klootschießen ein Ball geworfen, der über eine beträchtliche Distanz rollt.</t>
  </si>
  <si>
    <t>A. By attracting international tourists B. By hosting major championships C. Through local festivals and events D. By promoting outdoor adventure tourism</t>
  </si>
  <si>
    <t>Wie trägt Klootschießen zum lokalen Tourismus im ländlichen Deutschland bei?</t>
  </si>
  <si>
    <t>Durch lokale Feste und Veranstaltungen</t>
  </si>
  <si>
    <t>Klootschießen trägt zum lokalen Tourismus bei, indem es Besucher zu Festivals und regionalen Wettbewerben lockt.</t>
  </si>
  <si>
    <t>A. In preparation for the fight B. To strengthen the workforce C. To provide entertainment during long winters D. For testing the accuracy of agricultural equipment</t>
  </si>
  <si>
    <t>Was war einer der ursprünglichen Zwecke des Klootschießens in ländlichen Gemeinden?</t>
  </si>
  <si>
    <t>Um während langer Winter für Unterhaltung zu sorgen</t>
  </si>
  <si>
    <t>Ursprünglich diente das Klootschießen während der langen Wintermonate in ländlichen Gemeinden der Unterhaltung und des geselligen Beisammenseins.</t>
  </si>
  <si>
    <t>A. Adolf Hitler B. Otto von Bismarck C. Frederick the Great D. Johann Wolfgang von Goethe</t>
  </si>
  <si>
    <t>Welche berühmte deutsche historische Persönlichkeit wird mit der Förderung physischer Spiele ähnlich dem Klootschießen in Verbindung gebracht?</t>
  </si>
  <si>
    <t>Friedrich der Große</t>
  </si>
  <si>
    <t>Es ist bekannt, dass Friedrich der Große physische Spiele wie Klootschießen gefördert hat, um die militärische Präzision zu verbessern.</t>
  </si>
  <si>
    <t>A. By promoting throwing games B. By introducing weight classes C. By creating a formal competitive structure D. By emphasizing individual competence development</t>
  </si>
  <si>
    <t>Welchen Einfluss hatte die Entwicklung des Klootschießens auf andere europäische Sportarten?</t>
  </si>
  <si>
    <t>Durch die Förderung von Wurfspielen</t>
  </si>
  <si>
    <t>Klootschießen trug dazu bei, die Idee des Wurfsports in ganz Europa zu verbreiten.</t>
  </si>
  <si>
    <t>A. The ball is thrown by hand. B. The ball is thrown using a device. C. The ball is bigger D. The competition is team-based.</t>
  </si>
  <si>
    <t>Was ist der wesentliche Unterschied zwischen Klootschießen und anderen beliebten Ballwurfsportarten?</t>
  </si>
  <si>
    <t>Der Wettbewerb ist teambasiert</t>
  </si>
  <si>
    <t>Einer der Hauptunterschiede besteht darin, dass Klootschießen im Gegensatz zu anderen Wurfsportarten traditionell ein Teamwettbewerb ist.</t>
  </si>
  <si>
    <t>A. gravel roads B. Grass fields C. concrete tracks D. Indoor arenas</t>
  </si>
  <si>
    <t>Welche Art von Belag wird am häufigsten für Klootschießen-Veranstaltungen verwendet?</t>
  </si>
  <si>
    <t>Grasfelder</t>
  </si>
  <si>
    <t>Klootschießen wird normalerweise auf Rasenflächen gespielt, die eine natürliche Umgebung für die Veranstaltung bieten.</t>
  </si>
  <si>
    <t>A. Oktoberfest B. carnival C. Shooting festival D. Christmas markets</t>
  </si>
  <si>
    <t>Was ist ein Großfest in Deutschland, bei dem das Klootschießen eine zentrale Veranstaltung ist?</t>
  </si>
  <si>
    <t>Schützenfest</t>
  </si>
  <si>
    <t>Klootschießen ist oft ein zentrales Ereignis während des Schützenfestes, einem traditionellen deutschen Schieß- und Sportfest.</t>
  </si>
  <si>
    <t>A. His weight and his size B. Its form C. Its color D. His material</t>
  </si>
  <si>
    <t>Welche Eigenschaft des Kloot-Balls sorgt für einen fairen Wettbewerb?</t>
  </si>
  <si>
    <t>Sein Gewicht und seine Größe</t>
  </si>
  <si>
    <t>Das Gewicht und die Größe des Kloot-Balls sorgen für Fairness und Konstanz während des Wettkampfs.</t>
  </si>
  <si>
    <t>A. Feasting and celebrating B. Warrior training C. Livestock trade D. Tax collection</t>
  </si>
  <si>
    <t>Welche historische Praxis ist mit Klootschießen-Turnieren im 18. Jahrhundert verbunden?</t>
  </si>
  <si>
    <t>Schlemmen und Feiern</t>
  </si>
  <si>
    <t>Klootschießen-Turniere waren im 18. Jahrhundert oft mit großen Festen und Gemeinschaftsfeiern verbunden.</t>
  </si>
  <si>
    <t>A. By raising flags B. By singing national songs C. By awarding prizes D. By lighting campfires</t>
  </si>
  <si>
    <t>Wie markieren die Teilnehmer das Ende einer Klootschießen-Veranstaltung?</t>
  </si>
  <si>
    <t>Durch die Vergabe von Preisen</t>
  </si>
  <si>
    <t>Die Teilnehmer feiern den Abschluss einer Klootschießen-Veranstaltung, indem sie den Gewinnern Preise überreichen.</t>
  </si>
  <si>
    <t>A. They promote social cohesion B. They are raising money for local schools C. They decide on local political candidates D. They promote agricultural progress</t>
  </si>
  <si>
    <t>Welche Rolle spielen Klootschießen-Veranstaltungen im sozialen Gefüge ländlicher deutscher Gemeinden?</t>
  </si>
  <si>
    <t>Sie fördern den sozialen Zusammenhalt</t>
  </si>
  <si>
    <t>Klootschießen-Veranstaltungen spielen eine Schlüsselrolle bei der Förderung des sozialen Zusammenhalts, indem sie Menschen in ländlichen Gemeinden zusammenbringen.</t>
  </si>
  <si>
    <t>A. Hamburg B. Berlin C. Munich D. Stuttgart</t>
  </si>
  <si>
    <t>In welcher Stadt fand das erste internationale Klootschießen statt?</t>
  </si>
  <si>
    <t>Berlin</t>
  </si>
  <si>
    <t>Die erste internationale Klootschießen-Veranstaltung fand in Berlin statt und markierte damit die internationale Expansion des Sports.</t>
  </si>
  <si>
    <t>A. Public processions B. military parades C. Fireworks D. art exhibitions</t>
  </si>
  <si>
    <t>Welche Art von Feierlichkeiten begleiten große Klootschießen-Turniere?</t>
  </si>
  <si>
    <t>Öffentliche Prozessionen</t>
  </si>
  <si>
    <t>Große Klootschießen-Turniere werden oft von öffentlichen Umzügen begleitet, bei denen der Sport und die Gemeinschaft gefeiert werden.</t>
  </si>
  <si>
    <t>A. Sports clubs B. Religious groups C. military units D. Cultural societies</t>
  </si>
  <si>
    <t>Welche Art von Gemeindegruppen organisieren traditionell Klootschießen?</t>
  </si>
  <si>
    <t>Sportvereine organisieren traditionell Klootschiebe -Veranstaltungen und konzentrieren sich auf das Engagement der Gemeinschaft und die sportlichen Traditionen.</t>
  </si>
  <si>
    <t>A. The German throw B. Village sports C. The tough ball competition D. The state championship</t>
  </si>
  <si>
    <t>Was ist ein häufiger Spitzname für Klootschiebe in seinen örtlichen Gebieten?</t>
  </si>
  <si>
    <t>Der Dorfsport</t>
  </si>
  <si>
    <t>In seinen lokalen Gebieten wird Klootschiebe aufgrund seiner ländlichen Wurzeln oft als "Dorfsport" bezeichnet.</t>
  </si>
  <si>
    <t>A. rivers B. Mountains C. hill D. forests</t>
  </si>
  <si>
    <t>Welches natürliche Merkmal wird häufig in Kurse von Klootschiebe integriert?</t>
  </si>
  <si>
    <t>Hügel</t>
  </si>
  <si>
    <t>Viele Klootschiebe -Kurse enthalten natürliche Hügel, um dem Wettbewerb Schwierigkeiten und Abwechslung zu verleihen.</t>
  </si>
  <si>
    <t>Welches Jahrhundert wird als Ausgangspunkt der Entwicklung von Klootschiebe angesehen?</t>
  </si>
  <si>
    <t>Klootschießen begann sich im 16. Jahrhundert in Norddeutschland als Spiel zu entwickeln.</t>
  </si>
  <si>
    <t>A. By incorporating heavy wooden balls B. By adding teams to the competition C. Through the introduction of precision throwing techniques D. By creating more formal rules</t>
  </si>
  <si>
    <t>Wie hat sich Klootschige aus früheren Formen des Sports entwickelt?</t>
  </si>
  <si>
    <t>Durch Einbeziehung schwerer Holzkugeln</t>
  </si>
  <si>
    <t>Der Sport entwickelte sich durch die Einführung schwerer Holzkugeln, was sich von früheren Formen des Steinwurfs unterscheidet.</t>
  </si>
  <si>
    <t>A. It means ball B. It means stone C. It means weight D. It means goal</t>
  </si>
  <si>
    <t>Was ist der Ursprung des Wortes 'Kloot' in Klootschiebe?</t>
  </si>
  <si>
    <t>Es bedeutet Ball</t>
  </si>
  <si>
    <t>Kloot 'stammt aus dem niedrigdeutschen Wort für "Ball" und bezieht sich auf das im Spiel verwendete Objekt.</t>
  </si>
  <si>
    <t>A. Bavaria B. Lower Saxony C. Hesse D. Saxony</t>
  </si>
  <si>
    <t>Welcher Teil Deutschlands ist dafür bekannt, der Geburtsort von Klootschiebe zu sein?</t>
  </si>
  <si>
    <t>Klootschießen stammte in Lower Sachsen, einer Region im nördlichen Teil Deutschlands.</t>
  </si>
  <si>
    <t>A. The Napoleonic Wars B. The Industrial Revolution C. World War I D. The rise of Prussian militarism</t>
  </si>
  <si>
    <t>Welches historische Ereignis soll die Ausbreitung von Klootschiebe beeinflusst haben?</t>
  </si>
  <si>
    <t>Die napoleonischen Kriege</t>
  </si>
  <si>
    <t>Die napoleonischen Kriege halfen dazu, Klootschiebe zu verbreiten, als Soldaten, die aus dem Kampf zurückkehrten, in andere Teile Europas brachten.</t>
  </si>
  <si>
    <t>A. Friesland B. Groningen C. Drenthe D. Limburg</t>
  </si>
  <si>
    <t>In welcher Region der Niederlande hat Klootschiebe nach ihr aus Deutschland ausgebreitet?</t>
  </si>
  <si>
    <t>Friesland war eine der ersten niederländischen Regionen, die Klootschige adoptierte, nachdem sie sich aus Deutschland ausgebreitet hatte.</t>
  </si>
  <si>
    <t>Wie weit erreichen die längsten Würfe in Klootschiehen -Wettbewerben normalerweise?</t>
  </si>
  <si>
    <t>200 Meter</t>
  </si>
  <si>
    <t>Die längsten Würfe bei Klootschigenden -Wettbewerben erreichen in der Regel Entfernungen von bis zu 200 Metern.</t>
  </si>
  <si>
    <t>A. To throw the ball as far as possible B. Hitting a target C. Roll the ball D. To throw the ball at the highest speed</t>
  </si>
  <si>
    <t>Was ist das Ziel für jeden Teilnehmer während ihrer Reihe in Klootschießen?</t>
  </si>
  <si>
    <t>Den Ball so weit wie möglich zu werfen</t>
  </si>
  <si>
    <t>Das Hauptziel jedes Teilnehmers ist es, den Kloot -Ball so weit wie möglich zu werfen.</t>
  </si>
  <si>
    <t>A. For military training B. Improvement of agricultural practices C. As a method for selecting managers D. For religious ceremonies</t>
  </si>
  <si>
    <t>Was war eine der frühen Verwendungen von Klootschiebe in deutschen Dörfern?</t>
  </si>
  <si>
    <t>Für militärische Ausbildung</t>
  </si>
  <si>
    <t>Klootschießen wurde ursprünglich als Trainingsmethode zur Verbesserung der Präzision bei Militärübungen verwendet.</t>
  </si>
  <si>
    <t>A. Wood B. Steel C. plastic D. rubber</t>
  </si>
  <si>
    <t>Aus welchem ​​Material bestehen moderne Kloot -Bälle?</t>
  </si>
  <si>
    <t>Stahl</t>
  </si>
  <si>
    <t>Moderne Kloot -Kugeln bestehen normalerweise aus Stahl oder anderen schweren Materialien, um langen Würfen standzuhalten.</t>
  </si>
  <si>
    <t>A. Beer garden festivals B. Oktoberfest C. Shooting festival D. Christmas markets</t>
  </si>
  <si>
    <t>Welche Art von traditionellem deutschem Festival bietet oft Klootschiebe -Veranstaltungen?</t>
  </si>
  <si>
    <t>Klootschiebe ist eine beliebte Veranstaltung während des Schützenfests, einem traditionellen deutschen Schießfest.</t>
  </si>
  <si>
    <t>A. One goal B. A throwing ball C. A team D. A distance marker</t>
  </si>
  <si>
    <t>Was ist ein "Kloot" im Kontext von Klootschiebe?</t>
  </si>
  <si>
    <t>Ein Wurfball</t>
  </si>
  <si>
    <t>Ein "Kloot" bezieht sich auf den großen Wurfball, der im Sport von Klootschiebe verwendet wird.</t>
  </si>
  <si>
    <t>A. For military training B. For recreation and socialization C. Test physical strength D. Selecting leaders for the village</t>
  </si>
  <si>
    <t>Was war einer der Hauptgründe, warum Klootschiebe in ländlichen Gemeinden gespielt wurde?</t>
  </si>
  <si>
    <t>Für Erholung und Sozialisation</t>
  </si>
  <si>
    <t>Klootschiebe wurde hauptsächlich für Freizeitzwecke und als soziale Aktivität für ländliche Gemeinschaften gespielt.</t>
  </si>
  <si>
    <t>A. 1865 B. 1900 C. 1930 D. 1970</t>
  </si>
  <si>
    <t>In welchem ​​Jahr war der erste internationale Klootschiebe -Wettbewerb stattfand?</t>
  </si>
  <si>
    <t>Der erste internationale Klootschigenden -Wettbewerb fand 1970 statt.</t>
  </si>
  <si>
    <t>A. Netherlands and Denmark B. Belgium and Austria C. France and Switzerland D. Poland and Great Britain</t>
  </si>
  <si>
    <t>Welche beiden Länder sind die Hauptzentren für Klootschiebe außerhalb Deutschlands?</t>
  </si>
  <si>
    <t>Niederlande und Dänemark</t>
  </si>
  <si>
    <t>Die Niederlande und Dänemark sind die Hauptzentren von Klootschiebe außerhalb Deutschlands.</t>
  </si>
  <si>
    <t>A. The use of heavy balls B. The team format C. The points system D. The size of the ball</t>
  </si>
  <si>
    <t>Was ist das wichtigste Merkmal, das Klootschiebe von anderen kugelwürdigen Sportarten unterscheidet?</t>
  </si>
  <si>
    <t>Die Verwendung schwerer Bälle</t>
  </si>
  <si>
    <t>Klootschießen zeichnet sich durch die Verwendung schwerer Kugeln aus, die oft aus Holz oder Metall hergestellt werden und über große Strecken geworfen werden.</t>
  </si>
  <si>
    <t>A. It was a method for testing athleticism B. It was a religious practice C. It was a form of agricultural training. D. It became a national pastime</t>
  </si>
  <si>
    <t>Welche Bedeutung hatte Klootschiebe im 19. Jahrhundert in Deutschland?</t>
  </si>
  <si>
    <t>Es wurde ein nationaler Zeitvertreib</t>
  </si>
  <si>
    <t>Im 19. Jahrhundert wurde Klootschiebe zu einem beliebten nationalen Zeitvertreib in Deutschland, insbesondere in ländlichen Gebieten.</t>
  </si>
  <si>
    <t>A. Lawn bowling B. shot put C. Archery D. discus throw</t>
  </si>
  <si>
    <t>Welcher andere Sport ist Klootschiebe am ähnlichsten?</t>
  </si>
  <si>
    <t>Lawn Bowling ähnelt Klootschiebe, da beide schwere Objekte für die Entfernung werfen.</t>
  </si>
  <si>
    <t>A. The team B. The squad C. The league D. The Union</t>
  </si>
  <si>
    <t>Was wird der Begriff verwendet, um die Gruppe der Menschen zu beschreiben, die Klootschiebe spielen?</t>
  </si>
  <si>
    <t>Das Team</t>
  </si>
  <si>
    <t>In Klootschiebe wird die Gruppe der Menschen als Team bezeichnet.</t>
  </si>
  <si>
    <t>A. It is a symbol of German unity. B. It celebrates local heritage C. It reflects the military culture of the region. D. It plays no significant role</t>
  </si>
  <si>
    <t>Welche Rolle spielt Klootschinge in der kulturellen Identität Norddeutschlands?</t>
  </si>
  <si>
    <t>Es feiert das lokale Erbe</t>
  </si>
  <si>
    <t>Klootschießen spielt eine wichtige Rolle bei der Feier des kulturellen Erbes Norddeutschlands, insbesondere in ländlichen Gebieten.</t>
  </si>
  <si>
    <t>A. Frederick the Great B. Frederick William IV C. King William I D. Otto von Bismarck</t>
  </si>
  <si>
    <t>Welcher König von Preußen förderte Sportarten wie Klootschiebe für militärisches Training?</t>
  </si>
  <si>
    <t>Frederick, der große förderte körperliche Training, einschließlich Sportarten wie Klootschiebe, für militärische Zwecke.</t>
  </si>
  <si>
    <t>A. develop throwing accuracy B. Improve endurance C. Testing hand-eye coordination D. Increasing strength</t>
  </si>
  <si>
    <t>Welcher Aspekt von Klootschinge machte es für militärische Ausbildung nützlich?</t>
  </si>
  <si>
    <t>Wurfgenauigkeit entwickeln</t>
  </si>
  <si>
    <t>Klootschießen wurde zur Ausbildung von Militärpersonal verwendet, um Genauigkeit beim Werfen von Gegenständen zu entwickeln.</t>
  </si>
  <si>
    <t>A. Bavaria B. Hesse C. Lower Saxony D. North Rhine-Westphalia</t>
  </si>
  <si>
    <t>In welcher deutschen Region befindet sich noch immer die jährlichen Klootschigenden -Meisterschaften?</t>
  </si>
  <si>
    <t>Lower Sachsen veranstaltet weiterhin jährliche Klootschiebe -Meisterschaften und bewahrt die Tradition des Sports.</t>
  </si>
  <si>
    <t>A. The Summer Olympic Games B. The World Games C. The European Championships D. The World's Fair</t>
  </si>
  <si>
    <t>Welche internationale Veranstaltung hat Klootschiebe als kulturelles Display vorgestellt?</t>
  </si>
  <si>
    <t>Die Weltausstellung</t>
  </si>
  <si>
    <t>Klootschiebe wurde auf der World Expo als kulturelle Ausstellung vorgestellt, in der die traditionellen Sportarten Deutschlands gezeigt werden.</t>
  </si>
  <si>
    <t>A. This led to a decline in the sport's popularity. B. It encouraged wider participation. C. It had no impact on the sport. D. It brought sport to urban areas</t>
  </si>
  <si>
    <t>Wie hat sich die Industrialisierung Deutschlands auf die Popularität von Klootschiebe ausgewirkt?</t>
  </si>
  <si>
    <t>Dies führte zu einem Rückgang der Popularität des Sports</t>
  </si>
  <si>
    <t>Die Industrialisierung Deutschlands führte zu einem Rückgang der Popularität von Klootschiebe, als die Menschen in städtische Gebiete zogen.</t>
  </si>
  <si>
    <t>A. It spread the sport throughout France. B. It led to the decline of the sport. C. It transformed the sport into a national competition. D. New rules were introduced.</t>
  </si>
  <si>
    <t>Welchen Einfluss hatte die Napoleonischen Kriege auf Klootschießen?</t>
  </si>
  <si>
    <t>Es breitete den Sport Frankreich aus</t>
  </si>
  <si>
    <t>Die napoleonischen Kriege trugen dazu bei, Klootschiebe in andere Teile Europas, einschließlich Frankreichs, zu verbreiten.</t>
  </si>
  <si>
    <t>A. Throw the ball together B. Competition to reach the furthest distance C. Passing the ball between team members D. Perform rituals before the event</t>
  </si>
  <si>
    <t>Welcher Teil des Klootschigenden -Wettbewerbs macht es zu einem Mannschaftssport?</t>
  </si>
  <si>
    <t>Den Ball zusammenwerfen</t>
  </si>
  <si>
    <t>Klootschießen ist ein Mannschaftssport, bei dem die Teilnehmer den Ball zusammenwerfen, um eine gemeinsame Distanz zu erreichen.</t>
  </si>
  <si>
    <t>A. It was part of the harvest celebrations. B. It was connected with weddings. C. It replaced church ceremonies D. It fostered military pride</t>
  </si>
  <si>
    <t>Welchen Einfluss hatte Klootschige auf lokale gesellschaftliche Veranstaltungen im ländlichen Deutschland?</t>
  </si>
  <si>
    <t>Es war Teil der Erntefeierlichkeiten</t>
  </si>
  <si>
    <t>Klootschiebe war oft Teil der Erntefeierlichkeiten und brachte ländliche Gemeinden für eine festliche Veranstaltung zusammen.</t>
  </si>
  <si>
    <t>A. Germany B. Denmark C. The Netherlands D. Belgium</t>
  </si>
  <si>
    <t>Welches Land ist dafür bekannt, die First World Klootschießen -Meisterschaften zu veranstalten?</t>
  </si>
  <si>
    <t>Die First World Klootschießen -Meisterschaften wurden in Deutschland veranstaltet, wo der Sport stammt.</t>
  </si>
  <si>
    <t>A. Its solid weight and texture B. Its spherical shape C. Its color D. Its surface</t>
  </si>
  <si>
    <t>Was unterscheidet den Kloot -Ball von anderen im Sport verwendeten Bällen?</t>
  </si>
  <si>
    <t>Sein solides Gewicht und seine Textur</t>
  </si>
  <si>
    <t>Der Kloot -Ball zeichnet sich durch ein solides Gewicht und seine Textur aus, die für große Strecken ausgestattet sind.</t>
  </si>
  <si>
    <t>A. It was very organized B. It was simple and informal. C. It was based on military exercises D. It was tightly regulated</t>
  </si>
  <si>
    <t>Was bedeuteten die ländlichen Ursprünge von Klootschiebe für sein frühes Wettbewerbsformat?</t>
  </si>
  <si>
    <t>Es war einfach und informell</t>
  </si>
  <si>
    <t>Frühe Wettbewerbe von Klootschiebe waren einfach und informell, basierend auf lokalen Bräuchen und Traditionen.</t>
  </si>
  <si>
    <t>A. By introducing weight classes B. By formalizing rules and evaluation C. By making individual events D. By changing the throwing technique</t>
  </si>
  <si>
    <t>Wie haben sich die Wettbewerbe von Klootschiebe im Laufe der Zeit anpassen?</t>
  </si>
  <si>
    <t>Durch Formalisierung von Regeln und Bewertung</t>
  </si>
  <si>
    <t>Die Klootschießen -Wettbewerbe entwickelten sich durch die Formalisierung von Regeln und die Schaffung strukturierter Bewertungssysteme.</t>
  </si>
  <si>
    <t>A. The size of the Kloot ball B. The distance thrown C. The festive celebrations D. The team format</t>
  </si>
  <si>
    <t>Welches traditionelle Merkmal von Klootschiebe wird immer noch in modernen Wettbewerben verwendet?</t>
  </si>
  <si>
    <t>Das Teamformat</t>
  </si>
  <si>
    <t>Das Teamformat wird immer noch in modernen Klootschiebe -Wettbewerben verwendet, wodurch der traditionelle Stil des Sports aufrechterhalten wird.</t>
  </si>
  <si>
    <t>A. To train soldiers B. To settle disputes C. to entertain nobles D. Preparing people for agriculture</t>
  </si>
  <si>
    <t>Was war einer der primären Zwecke von Klootschiebe im Mittelalter?</t>
  </si>
  <si>
    <t>Um Soldaten auszubilden</t>
  </si>
  <si>
    <t>Während des Mittelalters wurde Klootschiebe als Trainingsinstrument für Soldaten genutzt, um Präzision und Stärke zu entwickeln.</t>
  </si>
  <si>
    <t>A. Germany B. Denmark C. Netherlands D. Austria</t>
  </si>
  <si>
    <t>Welches der folgenden Länder hat Klootschie assen traditionell nicht praktiziert?</t>
  </si>
  <si>
    <t>Österreich hat Klootschiebe traditionell nicht praktiziert, obwohl der Sport in Nachbarländern wie Deutschland und den Niederlanden beliebt ist.</t>
  </si>
  <si>
    <t>A. gravel paths B. Forest forests C. Flat grassy fields D. Mountain railways</t>
  </si>
  <si>
    <t>Welche Art von Gelände wird für Klootschiebe -Wettbewerbe bevorzugt?</t>
  </si>
  <si>
    <t>Klootschießen -Wettbewerbe werden am häufigsten auf flachen, grasbewachsenen Feldern stattfinden.</t>
  </si>
  <si>
    <t>A. The Olympic Games in Kloot B. Lower Saxony open C. The World Kloot Championships D. The Kloot Cup</t>
  </si>
  <si>
    <t>Welcher berühmte Klootschiebe -Wettbewerb findet jährlich in unterer Sachsen statt?</t>
  </si>
  <si>
    <t>Der untere Sachsen offen</t>
  </si>
  <si>
    <t>Die unteren Sachsen Open ist ein prominenter Klootschiebe -Wettbewerb, der jährlich in der Region stattfindet.</t>
  </si>
  <si>
    <t>A. A pile of stones B. A wooden post C. A tree D. A distant marker</t>
  </si>
  <si>
    <t>Was wurde in den frühen Tagen von Klootschießen oft als Ziel verwendet?</t>
  </si>
  <si>
    <t>Ein entfernter Marker</t>
  </si>
  <si>
    <t>In den frühen Tagen von Klootschießen würden die Spieler einen entfernten Marker oder Ziel anstreben, um die Genauigkeit ihrer Würfe zu messen.</t>
  </si>
  <si>
    <t>A. It was a way to elect village leaders. B. It was a form of religious ritual. C. It was part of a celebration of the local harvest D. It was a military training method</t>
  </si>
  <si>
    <t>Welche Rolle spielte Klootschige im traditionellen deutschen Dorfleben?</t>
  </si>
  <si>
    <t>Es war Teil einer Feier der lokalen Ernte</t>
  </si>
  <si>
    <t>Klootschiebe spielte eine Rolle bei der Feier lokaler Ernten und brachte ländliche Dorfbewohner für kommunale Ereignisse zusammen.</t>
  </si>
  <si>
    <t>A. To focus on precision B. His emphasis on teamwork C. The use of heavy projectiles D. His emphasis on endurance</t>
  </si>
  <si>
    <t>Welches Merkmal von Klootschinge assen machte es in der Vergangenheit für militärische Ausbildung geeignet?</t>
  </si>
  <si>
    <t>Sein Fokus auf Präzision zu werfen</t>
  </si>
  <si>
    <t>Klootschießens Fokus auf das Werfen von Präzision machte es in der Vergangenheit zu einem nützlichen Instrument für militärisches Training.</t>
  </si>
  <si>
    <t>Option A</t>
  </si>
  <si>
    <t>Option B</t>
  </si>
  <si>
    <t>Option C</t>
  </si>
  <si>
    <t>Option D</t>
  </si>
  <si>
    <t>Wann wurde das erste internationale Fußballspiel ausgetragen?</t>
  </si>
  <si>
    <t>Das erste internationale Fußballspiel wurde 1872 zwischen Schottland und England ausgetragen.</t>
  </si>
  <si>
    <t>Wo fand die erste FIFA Fußball-Weltmeisterschaft statt?</t>
  </si>
  <si>
    <t>Brasilien</t>
  </si>
  <si>
    <t>Uruguay</t>
  </si>
  <si>
    <t>Italien</t>
  </si>
  <si>
    <t>Die erste FIFA-Weltmeisterschaft fand 1930 in Uruguay statt.</t>
  </si>
  <si>
    <t>Was ist der historische Ursprung des Wortes „Fußball“?</t>
  </si>
  <si>
    <t>Eine umgangssprachliche Abkürzung für „Association Football“</t>
  </si>
  <si>
    <t>Ein lateinischer Begriff für Treten</t>
  </si>
  <si>
    <t>Eine mittelalterliche englische Phrase</t>
  </si>
  <si>
    <t>Ein Akronym für Südmitteleuropa</t>
  </si>
  <si>
    <t>„Soccer“ leitet sich von „Association Football“ ab, wobei „-soc“ in „soccer“ umgewandelt wurde.</t>
  </si>
  <si>
    <t>Welches Land gilt als Geburtsort des modernen Fußballs?</t>
  </si>
  <si>
    <t>England</t>
  </si>
  <si>
    <t>England gilt als Urheber der modernen Fußballregeln im 19. Jahrhundert.</t>
  </si>
  <si>
    <t>Wann wurde die FIFA gegründet?</t>
  </si>
  <si>
    <t>Die FIFA wurde 1904 gegründet, um internationale Fußballwettbewerbe zu überwachen.</t>
  </si>
  <si>
    <t>In welchem ​​Jahr wurde der Strafstoß eingeführt?</t>
  </si>
  <si>
    <t>Der Strafstoß wurde 1891 als Regel zur Bestrafung von Fouls im Strafraum eingeführt.</t>
  </si>
  <si>
    <t>Was war der ursprüngliche Zweck des frühen Fußballspiels im mittelalterlichen Europa?</t>
  </si>
  <si>
    <t>Um Feste zu feiern</t>
  </si>
  <si>
    <t>Um Streitigkeiten beizulegen</t>
  </si>
  <si>
    <t>Um Könige zu unterhalten</t>
  </si>
  <si>
    <t>Fußballähnliche Spiele waren Teil mittelalterlicher europäischer Feste und Gemeinschaftsveranstaltungen.</t>
  </si>
  <si>
    <t>Was war das Besondere am allerersten FIFA-Weltmeisterschaftsfinale?</t>
  </si>
  <si>
    <t>Es wurde in einem einzigen Stadion ausgetragen</t>
  </si>
  <si>
    <t>Es gab zwei separate Trophäen</t>
  </si>
  <si>
    <t>Es wurde von zwei südamerikanischen Teams gespielt</t>
  </si>
  <si>
    <t>Es endete unentschieden</t>
  </si>
  <si>
    <t>Das Finale 1930 fand zwischen Uruguay und Argentinien statt, beide südamerikanischen Mannschaften.</t>
  </si>
  <si>
    <t>Wann nahmen Frauen zum ersten Mal an organisierten Fußballspielen teil?</t>
  </si>
  <si>
    <t>1920er Jahre</t>
  </si>
  <si>
    <t>1930er Jahre</t>
  </si>
  <si>
    <t>1940er Jahre</t>
  </si>
  <si>
    <t>1950er Jahre</t>
  </si>
  <si>
    <t>Frauen begannen in den 1920er Jahren, vor allem in England, organisierte Fußballspiele zu spielen.</t>
  </si>
  <si>
    <t>Wer war das erste Land, das zweimal Gastgeber der FIFA-Weltmeisterschaft war?</t>
  </si>
  <si>
    <t>Mexiko</t>
  </si>
  <si>
    <t>Mexiko war zweimal Gastgeber der FIFA-Weltmeisterschaft, zunächst 1970 und dann 1986.</t>
  </si>
  <si>
    <t>Welcher Kontinent hat die meisten FIFA-Weltmeisterschaftssiege in der Geschichte?</t>
  </si>
  <si>
    <t>Europa</t>
  </si>
  <si>
    <t>Südamerika</t>
  </si>
  <si>
    <t>Asien</t>
  </si>
  <si>
    <t>Afrika</t>
  </si>
  <si>
    <t>Südamerika führt mit mehreren Weltmeisterschaftssiegen, dominiert von Brasilien, Argentinien und Uruguay.</t>
  </si>
  <si>
    <t>In welchem ​​Jahr fand die erste im Fernsehen übertragene Fußball-Weltmeisterschaft statt?</t>
  </si>
  <si>
    <t>Die FIFA-Weltmeisterschaft 1954 in der Schweiz war die erste, die im Fernsehen übertragen wurde.</t>
  </si>
  <si>
    <t>Wer hält den Rekord für die meisten Tore in einem einzigen WM-Turnier?</t>
  </si>
  <si>
    <t>Pelé</t>
  </si>
  <si>
    <t>Nur Fontaine</t>
  </si>
  <si>
    <t>Ronaldo</t>
  </si>
  <si>
    <t>Lionel Messi</t>
  </si>
  <si>
    <t>Just Fontaine erzielte bei der FIFA-Weltmeisterschaft 1958 13 Tore, ein Rekord, der noch immer besteht.</t>
  </si>
  <si>
    <t>Wann wurde die erste professionelle Fußballliga gegründet?</t>
  </si>
  <si>
    <t>Die Football League, die erste professionelle Fußballliga, wurde 1888 in England gegründet.</t>
  </si>
  <si>
    <t>Welches Land hat die erste olympische Fußballgoldmedaille überhaupt gewonnen?</t>
  </si>
  <si>
    <t>Großbritannien</t>
  </si>
  <si>
    <t>Belgien</t>
  </si>
  <si>
    <t>Großbritannien gewann 1900 die erste olympische Fußballgoldmedaille.</t>
  </si>
  <si>
    <t>War der Hauptgrund für die Gründung der FIFA im Jahr 1904?</t>
  </si>
  <si>
    <t>Fußballregeln international vereinheitlichen</t>
  </si>
  <si>
    <t>Eine globale Fußballliga schaffen</t>
  </si>
  <si>
    <t>Fußball in Südamerika fördern</t>
  </si>
  <si>
    <t>Erhöhung der Spielergehälter</t>
  </si>
  <si>
    <t>Die FIFA wurde gegründet, um die Fußballregeln in verschiedenen Ländern zu standardisieren.</t>
  </si>
  <si>
    <t>Welche wichtige Regel wurde 1925 im Fußball eingeführt?</t>
  </si>
  <si>
    <t>Änderung der Abseitsregel</t>
  </si>
  <si>
    <t>Einführung von Eckbällen</t>
  </si>
  <si>
    <t>Pflicht zu Torwarthandschuhen</t>
  </si>
  <si>
    <t>Ersatzgeld</t>
  </si>
  <si>
    <t>Im Jahr 1925 wurde die Abseitsregel dahingehend geändert, dass nur noch zwei Verteidiger zwischen dem Spieler und dem Tor erforderlich sind.</t>
  </si>
  <si>
    <t>Wer gilt als der erste globale Superstar des Fußballs?</t>
  </si>
  <si>
    <t>Diego Maradona</t>
  </si>
  <si>
    <t>George Best</t>
  </si>
  <si>
    <t>Ferenc Puskás</t>
  </si>
  <si>
    <t>Pelé erlangte als junger Spieler während der Weltmeisterschaft 1958 internationale Berühmtheit.</t>
  </si>
  <si>
    <t>In welchem ​​​​Jahr wurden erstmals Video-Schiedsrichterassistenten (VAR) bei der Weltmeisterschaft eingesetzt?</t>
  </si>
  <si>
    <t>VAR wurde während der FIFA Fußball-Weltmeisterschaft 2018 in Russland eingeführt, um den Schiedsrichter zu unterstützen.</t>
  </si>
  <si>
    <t>Welches Land hält den Rekord für die meisten FIFA-Weltmeisterschaftstitel?</t>
  </si>
  <si>
    <t>Argentinien</t>
  </si>
  <si>
    <t>Den Rekord hält Brasilien mit fünf FIFA-Weltmeistertiteln.</t>
  </si>
  <si>
    <t>Wann fand die erste FIFA Frauen-Weltmeisterschaft statt?</t>
  </si>
  <si>
    <t>Die erste FIFA Frauen-Weltmeisterschaft fand 1991 in China statt.</t>
  </si>
  <si>
    <t>Welcher legendäre Fußballspieler trägt den Spitznamen „The Black Pearl“?</t>
  </si>
  <si>
    <t>Eusébio</t>
  </si>
  <si>
    <t>Garrincha</t>
  </si>
  <si>
    <t>Pelé erhielt aufgrund seiner außergewöhnlichen Fähigkeiten und seines Charismas den Spitznamen „Die schwarze Perle“.</t>
  </si>
  <si>
    <t>Was war das Hauptziel der Gründung des International Board im Jahr 1886?</t>
  </si>
  <si>
    <t>So erstellen Sie Standard-Fußballregeln</t>
  </si>
  <si>
    <t>Zur Regulierung von Spielertransfers</t>
  </si>
  <si>
    <t>Um globale Turniere zu organisieren</t>
  </si>
  <si>
    <t>Um die Finanzen des Clubs zu überwachen</t>
  </si>
  <si>
    <t>Das International Board wurde gegründet, um die Fußballregeln aller Mannschaften zu standardisieren.</t>
  </si>
  <si>
    <t>Welcher berühmte Club wurde 1899 in Spanien gegründet?</t>
  </si>
  <si>
    <t>Real Madrid</t>
  </si>
  <si>
    <t>Barcelona</t>
  </si>
  <si>
    <t>Atlético Madrid</t>
  </si>
  <si>
    <t>Sevilla</t>
  </si>
  <si>
    <t>Der Barcelona Football Club wurde 1899 gegründet und entwickelte sich zu einem der erfolgreichsten Vereine der Geschichte.</t>
  </si>
  <si>
    <t>In welchem ​​Jahr wurde die englische Premier League gegründet?</t>
  </si>
  <si>
    <t>Die englische Premier League wurde 1992 als Neuorganisation der Football League First Division gegründet.</t>
  </si>
  <si>
    <t>Welches Land war Gastgeber der allerersten Frauen-Europameisterschaft?</t>
  </si>
  <si>
    <t>Schweden</t>
  </si>
  <si>
    <t>Norwegen</t>
  </si>
  <si>
    <t>Norwegen war 1987 Gastgeber der ersten Frauen-Europameisterschaft.</t>
  </si>
  <si>
    <t>Welcher ist der älteste noch existierende Fußballverein der Welt?</t>
  </si>
  <si>
    <t>Sheffield United</t>
  </si>
  <si>
    <t>Sheffield FC</t>
  </si>
  <si>
    <t>Notts County</t>
  </si>
  <si>
    <t>Accrington Stanley</t>
  </si>
  <si>
    <t>Der 1857 gegründete Sheffield FC gilt als ältester Fußballverein der Welt.</t>
  </si>
  <si>
    <t>Welches Land hat die erste FIFA Frauen-Weltmeisterschaft gewonnen?</t>
  </si>
  <si>
    <t>China</t>
  </si>
  <si>
    <t>Die USA gewannen 1991 die erste FIFA Frauen-Weltmeisterschaft, die in China stattfand.</t>
  </si>
  <si>
    <t>Welches Großereignis führte zur Absage der FIFA-Weltmeisterschaft 1942 und 1946?</t>
  </si>
  <si>
    <t>Große Depression</t>
  </si>
  <si>
    <t>FIFA-Umstrukturierung</t>
  </si>
  <si>
    <t>Mangelndes Hosting-Interesse</t>
  </si>
  <si>
    <t>Die FIFA-Weltmeisterschaft wurde aufgrund des Zweiten Weltkriegs abgesagt.</t>
  </si>
  <si>
    <t>Welches Land hat das erste Elfmeterschießen in der Geschichte der FIFA-Weltmeisterschaft gewonnen?</t>
  </si>
  <si>
    <t>Deutschland gewann 1982 das erste Elfmeterschießen einer Weltmeisterschaft gegen Frankreich.</t>
  </si>
  <si>
    <t>In welchem ​​Jahr wurde die UEFA Champions League gegründet?</t>
  </si>
  <si>
    <t>Die UEFA Champions League wurde 1992 als Nachfolger des Europapokals gegründet.</t>
  </si>
  <si>
    <t>Wer ist der jüngste Spieler, der jemals bei einer FIFA-Weltmeisterschaft ein Tor geschaffen hat?</t>
  </si>
  <si>
    <t>Kylian Mbappé</t>
  </si>
  <si>
    <t>Pelé erhielt als 17-Jähriger bei der FIFA-Weltmeisterschaft 1958 ein Tor.</t>
  </si>
  <si>
    <t>Wann wurde Fußball eine offizielle olympische Sportart für Männer?</t>
  </si>
  <si>
    <t>Im Jahr 1900 wurde Fußball in Paris zur offiziellen olympischen Sportart erklärt.</t>
  </si>
  <si>
    <t>Welches afrikanische Land hat sich als erstes für die FIFA-Weltmeisterschaft qualifiziert?</t>
  </si>
  <si>
    <t>Ägypten</t>
  </si>
  <si>
    <t>Nigeria</t>
  </si>
  <si>
    <t>Kamerun</t>
  </si>
  <si>
    <t>Südafrika</t>
  </si>
  <si>
    <t>Ägypten war 1934 das erste afrikanische Land, das sich für die FIFA-Weltmeisterschaft qualifizierte.</t>
  </si>
  <si>
    <t>In welchem ​​Jahr wurden im Fußball gelbe und rote Karten eingeführt?</t>
  </si>
  <si>
    <t>Bei der Fußball-Weltmeisterschaft 1970 in Mexiko wurden gelbe und rote Karten eingeführt.</t>
  </si>
  <si>
    <t>Welches Team hat als erstes die FIFA-Weltmeisterschaft auf heimischem Boden gewonnen?</t>
  </si>
  <si>
    <t>Uruguay gewann 1930 die erste FIFA-Weltmeisterschaft auf heimischem Boden.</t>
  </si>
  <si>
    <t>Wer war der erste afrikanische Spieler, der den Ballon d'Or gewann?</t>
  </si>
  <si>
    <t>Roger Milla</t>
  </si>
  <si>
    <t>George Weah</t>
  </si>
  <si>
    <t>Didier Drogba</t>
  </si>
  <si>
    <t>Samuel Eto'o</t>
  </si>
  <si>
    <t>George Weah aus Liberia gewann 1995 den Ballon d'Or.</t>
  </si>
  <si>
    <t>Welches Land war Gastgeber der ersten FIFA-Fußballweltmeisterschaft, bei der es sich um einen Co-Gastgeber handelte?</t>
  </si>
  <si>
    <t>Japan und Südkorea</t>
  </si>
  <si>
    <t>USA und Kanada</t>
  </si>
  <si>
    <t>Mexiko und Brasilien</t>
  </si>
  <si>
    <t>Italien und Frankreich</t>
  </si>
  <si>
    <t>Die FIFA-Weltmeisterschaft 2002 wurde von Japan und Südkorea gemeinsam ausgerichtet.</t>
  </si>
  <si>
    <t>Wann wurde das erste Fußball-WM-Finale durch ein Elfmeterschießen entschieden?</t>
  </si>
  <si>
    <t>Das Finale der FIFA-Weltmeisterschaft 1994 zwischen Brasilien und Italien wurde durch ein Elfmeterschießen entschieden.</t>
  </si>
  <si>
    <t>Welcher Verein hat die erste FIFA Klub-Weltmeisterschaft gewonnen?</t>
  </si>
  <si>
    <t>Manchester United</t>
  </si>
  <si>
    <t>Korinther</t>
  </si>
  <si>
    <t>Boca Juniors</t>
  </si>
  <si>
    <t>Die erste FIFA-Klub-Weltmeisterschaft im Jahr 2000 wurde von Brasiliens Corinthians gewonnen.</t>
  </si>
  <si>
    <t>Welchem ​​Land wird die Einführung der modernen Abseitsregel zugeschrieben?</t>
  </si>
  <si>
    <t>Die moderne Abseitsregel wurde im 19. Jahrhundert in England standardisiert.</t>
  </si>
  <si>
    <t>In welchem ​​Jahr wurde die Confederation of African Football (CAF) gegründet?</t>
  </si>
  <si>
    <t>Die Confederation of African Football wurde 1957 gegründet, um den Fußball in Afrika zu organisieren.</t>
  </si>
  <si>
    <t>Wie hoch ist der Rekord für die meisten Tore, die eine Mannschaft in einem Spiel der FIFA-Weltmeisterschaft geschossen hat?</t>
  </si>
  <si>
    <t>Ungarn erzielte bei der FIFA-Weltmeisterschaft 1982 zehn Tore gegen El Salvador.</t>
  </si>
  <si>
    <t>Wer war die erste Fußballspielerin, die den FIFA-Preis für die beste Spielerin gewann?</t>
  </si>
  <si>
    <t>Mia Hamm</t>
  </si>
  <si>
    <t>Birgit Prinz</t>
  </si>
  <si>
    <t>Marta</t>
  </si>
  <si>
    <t>Abby Wambach</t>
  </si>
  <si>
    <t>Mia Hamm gewann 2001 erstmals den FIFA-Preis für die beste Spielerin.</t>
  </si>
  <si>
    <t>In welchem ​​Jahr fand die erste FIFA-Weltmeisterschaft mit 32 Mannschaften statt?</t>
  </si>
  <si>
    <t>Bei der FIFA-Weltmeisterschaft 1998 in Frankreich nahmen erstmals 32 Mannschaften teil.</t>
  </si>
  <si>
    <t>Wer hat das schnellste Tor in der Geschichte der FIFA-Weltmeisterschaft geschossen?</t>
  </si>
  <si>
    <t>Hakan Şükür</t>
  </si>
  <si>
    <t>Gerd Müller</t>
  </si>
  <si>
    <t>Hakan Şükür aus der Türkei schaffte bei der Weltmeisterschaft 2002 das schnellste Tor in 11 Sekunden.</t>
  </si>
  <si>
    <t>Welches Land hat den längsten Abstand zwischen den Weltmeisterschaftssiegen?</t>
  </si>
  <si>
    <t>Uruguay gewann 1930 und 1950, mit einem Abstand von 20 Jahren zwischen den Siegen.</t>
  </si>
  <si>
    <t>Welcher Fußballverein hat die meisten UEFA Champions League-Titel gewonnen?</t>
  </si>
  <si>
    <t>Bayern München</t>
  </si>
  <si>
    <t>AC Mailand</t>
  </si>
  <si>
    <t>Den Rekord hält Real Madrid mit 14 UEFA-Champions-League-Titeln.</t>
  </si>
  <si>
    <t>Wann hat die FIFA die Auszeichnung „Goldener Schuh“ für den besten Torschützen eingeführt?</t>
  </si>
  <si>
    <t>Die Auszeichnung „Goldener Schuh“ wurde bei der FIFA-Weltmeisterschaft 1982 eingeführt.</t>
  </si>
  <si>
    <t>In welchem ​​Jahr wurde in den USA die Major League Soccer (MLS) gegründet?</t>
  </si>
  <si>
    <t>Die Major League Soccer wurde 1996 nach der Ausrichtung der FIFA-Weltmeisterschaft 1994 in den USA ins Leben gerufen.</t>
  </si>
  <si>
    <t>Wann wurde das erste offizielle Fußballspiel ausgetragen?</t>
  </si>
  <si>
    <t>Das erste offizielle Fußballspiel wurde 1863 in England nach der Gründung der Football Association ausgetragen.</t>
  </si>
  <si>
    <t>Wer gilt als „Vater des modernen Fußballs“?</t>
  </si>
  <si>
    <t>Pele</t>
  </si>
  <si>
    <t>Johan Cruyff</t>
  </si>
  <si>
    <t>Walter Winterbottom</t>
  </si>
  <si>
    <t>Ebenezer Cobb Morley</t>
  </si>
  <si>
    <t>Ebenezer Cobb Morley gilt aufgrund seiner Rolle bei der Gründung der Football Association im Jahr 1863 als „Vater des modernen Fußballs“.</t>
  </si>
  <si>
    <t>Welches Land gewann 1930 die erste FIFA-Weltmeisterschaft?</t>
  </si>
  <si>
    <t>Uruguay gewann die erste FIFA-Weltmeisterschaft 1930 und besiegte Argentinien im Finale.</t>
  </si>
  <si>
    <t>Wer war der erste Spieler, der mit dem Ballon d'Or ausgezeichnet wurde?</t>
  </si>
  <si>
    <t>Michel Platini</t>
  </si>
  <si>
    <t>Stanley Matthews</t>
  </si>
  <si>
    <t>Stanley Matthews war 1956 der erste Spieler, der mit dem Ballon d'Or ausgezeichnet wurde.</t>
  </si>
  <si>
    <t>Welches Land war Gastgeber der ersten FIFA-Weltmeisterschaft?</t>
  </si>
  <si>
    <t>Uruguay war 1930 Gastgeber der ersten FIFA-Weltmeisterschaft.</t>
  </si>
  <si>
    <t>Wann wurde Fußball eine olympische Sportart?</t>
  </si>
  <si>
    <t>Fußball wurde 1900 bei den Olympischen Sommerspielen in Paris als olympische Sportart eingeführt.</t>
  </si>
  <si>
    <t>Wer gewann 1930 die erste Weltmeisterschaft im aktuellen Format?</t>
  </si>
  <si>
    <t>Uruguay gewann die erste Weltmeisterschaft 1930 und besiegte Argentinien im Finale.</t>
  </si>
  <si>
    <t>Welches Land gewann als erstes zwei FIFA-Weltmeisterschaften?</t>
  </si>
  <si>
    <t>Italien war das erste Land, das zwei FIFA-Weltmeisterschaften gewann, 1934 und 1938.</t>
  </si>
  <si>
    <t>Welcher berühmte Fußballverein wurde 1903 in Brasilien gegründet?</t>
  </si>
  <si>
    <t>Flamengo</t>
  </si>
  <si>
    <t>Santos FC</t>
  </si>
  <si>
    <t>Palmeiras</t>
  </si>
  <si>
    <t>São Paulo FC</t>
  </si>
  <si>
    <t>Flamengo wurde 1903 gegründet und ist einer der erfolgreichsten Fußballvereine Brasiliens.</t>
  </si>
  <si>
    <t>Wann wurde Fußball zum Profisport?</t>
  </si>
  <si>
    <t>Im Jahr 1885 wurde Fußball in England zum Profisport, als der Fußballverband den Spielern die Bezahlung erlaubte.</t>
  </si>
  <si>
    <t>Wer hat das erste Tor bei der Weltmeisterschaft geschossen?</t>
  </si>
  <si>
    <t>Héctor Scarone</t>
  </si>
  <si>
    <t>Lucien Laurent</t>
  </si>
  <si>
    <t>Guillermo Stábile</t>
  </si>
  <si>
    <t>Lucien Laurent aus Frankreich erzielte 1930 das erste Tor in der Geschichte der Weltmeisterschaft.</t>
  </si>
  <si>
    <t>Welches Land gewann 1991 die erste FIFA-Weltmeisterschaft der Frauen?</t>
  </si>
  <si>
    <t>Vereinigte Staaten</t>
  </si>
  <si>
    <t>Die Vereinigten Staaten gewannen 1991 die erste FIFA-Weltmeisterschaft der Frauen und besiegten Norwegen im Finale.</t>
  </si>
  <si>
    <t>Wer war der erste Fußballer, der 100 Länderspiele für sein Land absolvierte?</t>
  </si>
  <si>
    <t>Cristiano Ronaldo</t>
  </si>
  <si>
    <t>Ahmed Hegazi</t>
  </si>
  <si>
    <t>Ahmed Hegazi war der erste Fußballspieler, der 100 Länderspiele für Ägypten absolvierte.</t>
  </si>
  <si>
    <t>In welchem ​​Jahr begann die englische Premier League?</t>
  </si>
  <si>
    <t>Die englische Premier League wurde 1992 gegründet und ersetzte die alte First Division.</t>
  </si>
  <si>
    <t>Welches Land hat bis 2022 die meisten WM-Titel gewonnen?</t>
  </si>
  <si>
    <t>Brasilien hat mit insgesamt 5 bis 2022 die meisten WM-Titel gewonnen.</t>
  </si>
  <si>
    <t>Was ist der Ursprung des Namens „Fußball“?</t>
  </si>
  <si>
    <t>Es leitet sich von „Association Football“ ab.</t>
  </si>
  <si>
    <t>Es bedeutet auf Lateinisch „Kick-Ball“.</t>
  </si>
  <si>
    <t>Es bezieht sich auf den verwendeten Ball</t>
  </si>
  <si>
    <t>Es wurde nach dem Fußballverein benannt</t>
  </si>
  <si>
    <t>„Fußball“ leitet sich vom Begriff „Verbandsfußball“ ab, der zur Unterscheidung vom Rugby-Fußball verwendet wurde.</t>
  </si>
  <si>
    <t>In welchem ​​Land fand das berühmte „Maracanazo“ statt, in dem Brasilien das WM-Finale 1950 verlor?</t>
  </si>
  <si>
    <t>Das „Maracanazo“ ereignete sich in Brasilien, wo die Nationalmannschaft im Finale der Weltmeisterschaft 1950 gegen Uruguay verlor.</t>
  </si>
  <si>
    <t>Wer gewann die FIFA-Weltmeisterschaft 1966?</t>
  </si>
  <si>
    <t>England gewann die FIFA-Weltmeisterschaft 1966 und besiegte Westdeutschland im Finale.</t>
  </si>
  <si>
    <t>Welcher Spieler hält den Rekord für die meisten Tore bei einem WM-Turnier?</t>
  </si>
  <si>
    <t>Miroslav Klose</t>
  </si>
  <si>
    <t>Miroslav Klose hält mit 16 Toren den Rekord für die meisten Tore bei Weltmeisterschaftsturnieren.</t>
  </si>
  <si>
    <t>Welches Land ist dafür bekannt, das Fußballspiel erfunden zu haben?</t>
  </si>
  <si>
    <t>England wird mit der Gründung der Football Association im Jahr 1863 die Erfindung des modernen Fußballs zugeschrieben.</t>
  </si>
  <si>
    <t>Welcher berühmte Spieler war als „König des Fußballs“ bekannt?</t>
  </si>
  <si>
    <t>Zinedine Zidane</t>
  </si>
  <si>
    <t>Pele war wegen seines unglaublichen Talents und seiner Beiträge zum Sport als „König des Fußballs“ bekannt.</t>
  </si>
  <si>
    <t>Wann fand die erste UEFA Champions League (ehemals Europapokal) statt?</t>
  </si>
  <si>
    <t>Der erste Europapokal, heute UEFA Champions League genannt, fand 1956 statt und Real Madrid gewann den Titel.</t>
  </si>
  <si>
    <t>Welcher Spieler hält den Rekord für die meisten Tore, die in einer einzigen Saison im europäischen Klubwettbewerb erzielt wurden?</t>
  </si>
  <si>
    <t>Lionel Messi hält mit 14 Toren in der Saison 2011/12 den Rekord für die meisten in einer einzigen Saison im europäischen Klubwettbewerb erzielten Tore.</t>
  </si>
  <si>
    <t>Nwankwo Kanu</t>
  </si>
  <si>
    <t>George Weah war 1995 der erste afrikanische Spieler, der den Ballon d'Or gewann.</t>
  </si>
  <si>
    <t>Welches Team gewann 1960 die erste Europameisterschaft?</t>
  </si>
  <si>
    <t>die Sowjetunion</t>
  </si>
  <si>
    <t>Spanien</t>
  </si>
  <si>
    <t>Die Sowjetunion gewann 1960 die erste Europameisterschaft und besiegte im Finale Jugoslawien.</t>
  </si>
  <si>
    <t>Wann fand die erste Weltmeisterschaft in den Vereinigten Staaten statt?</t>
  </si>
  <si>
    <t>Die erste Weltmeisterschaft fand 1994 in den Vereinigten Staaten statt und wurde von Brasilien gewonnen.</t>
  </si>
  <si>
    <t>Wer hat die FIFA-Weltmeisterschaft 2002 gewonnen?</t>
  </si>
  <si>
    <t>Brasilien gewann die FIFA-Weltmeisterschaft 2002 und besiegte Deutschland im Finale mit 2:0.</t>
  </si>
  <si>
    <t>Welches war die erste Weltmeisterschaft mit 32 Mannschaften?</t>
  </si>
  <si>
    <t>Die Weltmeisterschaft 1998 war die erste, an der 32 Mannschaften teilnahmen.</t>
  </si>
  <si>
    <t>Wer ist der Spieler mit der höchsten Punktzahl in der Geschichte der Weltmeisterschaft?</t>
  </si>
  <si>
    <t>Miroslav Klose ist mit 16 Toren der torgefährlichste Spieler der WM-Geschichte.</t>
  </si>
  <si>
    <t>Welches Land war Gastgeber der FIFA Fußball-Weltmeisterschaft 2010?</t>
  </si>
  <si>
    <t>Südafrika war Gastgeber der FIFA Fußball-Weltmeisterschaft 2010 und war damit das erste Mal, dass das Turnier auf dem afrikanischen Kontinent ausgetragen wurde.</t>
  </si>
  <si>
    <t>Welcher ist der älteste Fußballverein der Welt?</t>
  </si>
  <si>
    <t>Arsenal FC</t>
  </si>
  <si>
    <t>Der 1857 gegründete Sheffield FC ist der älteste Fußballverein der Welt.</t>
  </si>
  <si>
    <t>Welches Land gewann die FIFA-Weltmeisterschaft 1998?</t>
  </si>
  <si>
    <t>Frankreich gewann die FIFA-Weltmeisterschaft 1998 und besiegte Brasilien im Finale mit 3:0.</t>
  </si>
  <si>
    <t>Wer ist im Fußball als „ägyptischer König“ bekannt?</t>
  </si>
  <si>
    <t>Mohamed Salah</t>
  </si>
  <si>
    <t>Mohamed Hegazi</t>
  </si>
  <si>
    <t>Trezeguet</t>
  </si>
  <si>
    <t>Mohamed Salah ist aufgrund seiner unglaublichen Fähigkeiten und Erfolge beim Liverpool FC als „Ägyptischer König“ bekannt.</t>
  </si>
  <si>
    <t>Welches Land hat die FIFA-Weltmeisterschaft 2014 gewonnen?</t>
  </si>
  <si>
    <t>Deutschland gewann die FIFA-Weltmeisterschaft 2014 und besiegte Argentinien im Finale mit 1:0.</t>
  </si>
  <si>
    <t>In welchem ​​Jahr fand die FIFA Frauen-Weltmeisterschaft zum ersten Mal statt?</t>
  </si>
  <si>
    <t>Wann wurde das erste aufgezeichnete Fußballspiel ausgetragen?</t>
  </si>
  <si>
    <t>Das erste aufgezeichnete Fußballspiel fand 1872 zwischen Schottland und England in Glasgow statt.</t>
  </si>
  <si>
    <t>Welches Land war das erste, das zweimal die Frauen-Weltmeisterschaft gewann?</t>
  </si>
  <si>
    <t>Die Vereinigten Staaten waren das erste Land, das zweimal, 1991 und 1999, die Frauen-Weltmeisterschaft gewann.</t>
  </si>
  <si>
    <t>Wer war der erste Spieler, der in WM-Qualifikationsspielen 100 Tore schoss?</t>
  </si>
  <si>
    <t>Ali Daei</t>
  </si>
  <si>
    <t>Cristiano Ronaldo war 2019 der erste Spieler, der in WM-Qualifikationsspielen 100 Tore erzielte.</t>
  </si>
  <si>
    <t>Welcher Spieler hält den Rekord für die meisten Tore in der Geschichte der Europameisterschaft?</t>
  </si>
  <si>
    <t>Rui Costa</t>
  </si>
  <si>
    <t>Fernando Torres</t>
  </si>
  <si>
    <t>Cristiano Ronaldo hält den Rekord für die meisten Tore in der Geschichte der Europameisterschaft.</t>
  </si>
  <si>
    <t>Welches Land hat die FIFA-Weltmeisterschaft 2006 gewonnen?</t>
  </si>
  <si>
    <t>Italien gewann die FIFA-Weltmeisterschaft 2006 und besiegte Frankreich im Finale im Elfmeterschießen.</t>
  </si>
  <si>
    <t>Wer ist der einzige Spieler, der fünfmal den Ballon d'Or gewonnen hat?</t>
  </si>
  <si>
    <t>Lionel Messi ist der einzige Spieler, der fünfmal den Ballon d'Or gewonnen hat (2009, 2010, 2011, 2012 und 2015).</t>
  </si>
  <si>
    <t>In welchem ​​Jahr kehrte Fußball nach seiner ersten Aufnahme in die Olympischen Spiele zurück?</t>
  </si>
  <si>
    <t>Fußball kehrte 1908 zu den Olympischen Spielen zurück, nachdem er erstmals bei den Olympischen Spielen 1900 in Paris vertreten war.</t>
  </si>
  <si>
    <t>Wer gewann 1991 die erste FIFA Frauen-Weltmeisterschaft?</t>
  </si>
  <si>
    <t>Die Vereinigten Staaten gewannen 1991 die erste FIFA Frauen-Weltmeisterschaft überhaupt und besiegten Norwegen im Finale.</t>
  </si>
  <si>
    <t>Welcher berühmte Fußballverein wurde 1899 in Barcelona, ​​Spanien, gegründet?</t>
  </si>
  <si>
    <t>FC Barcelona</t>
  </si>
  <si>
    <t>Valencia CF</t>
  </si>
  <si>
    <t>Der 1899 gegründete FC Barcelona ist einer der erfolgreichsten und beliebtesten Fußballvereine in Spanien und Europa.</t>
  </si>
  <si>
    <t>Welches Land gewann 1960 die erste UEFA-Europameisterschaft überhaupt?</t>
  </si>
  <si>
    <t>Die Sowjetunion gewann 1960 die erste UEFA-Europameisterschaft und besiegte im Finale Jugoslawien.</t>
  </si>
  <si>
    <t>Welches Land hat die meisten Copa-América-Titel gewonnen?</t>
  </si>
  <si>
    <t>Chile</t>
  </si>
  <si>
    <t>Uruguay hat mit 15 Siegen im Jahr 2021 die meisten Copa-América-Titel gewonnen.</t>
  </si>
  <si>
    <t>Wer war der erste Fußballspieler, der in Profispielen 1.000 Tore schoss?</t>
  </si>
  <si>
    <t>Pele war der erste Spieler, der 1.000 Tore in Profispielen erzielte, und erreichte diesen Meilenstein im Jahr 1969.</t>
  </si>
  <si>
    <t>Welches Land war Gastgeber der FIFA Fußball-Weltmeisterschaft 2014?</t>
  </si>
  <si>
    <t>Russland</t>
  </si>
  <si>
    <t>Brasilien war Gastgeber der FIFA Fußball-Weltmeisterschaft 2014, bei der Deutschland im Finale Argentinien besiegte.</t>
  </si>
  <si>
    <t>Welcher berühmte Fußballspieler war 2006 der jüngste Spieler, der in einem WM-Finale punktete?</t>
  </si>
  <si>
    <t>Francesco Totti</t>
  </si>
  <si>
    <t>Zinedine Zidane war der jüngste Spieler, der in einem Weltmeisterschaftsfinale punktete, als er 2006 für Frankreich traf.</t>
  </si>
  <si>
    <t>Wann wurde die erste Fußball-Weltmeisterschaft in Asien ausgetragen?</t>
  </si>
  <si>
    <t>Die erste Fußball-Weltmeisterschaft fand 2002 in Asien statt, gemeinsam ausgerichtet von Südkorea und Japan.</t>
  </si>
  <si>
    <t>Welcher Verein gewann 1956 den ersten Europapokal (heute UEFA Champions League)?</t>
  </si>
  <si>
    <t>Liverpool</t>
  </si>
  <si>
    <t>Real Madrid gewann 1956 den ersten Europapokal und besiegte Reims im Finale.</t>
  </si>
  <si>
    <t>George Weah aus Liberia gewann 1995 den Ballon d'Or und war damit der erste afrikanische Spieler, dem dies gelang.</t>
  </si>
  <si>
    <t>Wer erzielte den Siegtreffer im Finale der FIFA-Weltmeisterschaft 1998?</t>
  </si>
  <si>
    <t>Thierry Henry</t>
  </si>
  <si>
    <t>Zinedine Zidane erzielte im Finale zwei Tore und verhalf Frankreich damit zum 3:0-Sieg gegen Brasilien und zum Gewinn der Weltmeisterschaft 1998.</t>
  </si>
  <si>
    <t>Uruguay gewann die erste FIFA-Weltmeisterschaft 1930 und besiegte Argentinien im Finale mit 4:2.</t>
  </si>
  <si>
    <t>In welchem ​​Jahr fand die erste Weltmeisterschaft überhaupt in den USA statt?</t>
  </si>
  <si>
    <t>Die erste FIFA-Weltmeisterschaft fand 1994 in den USA statt und Brasilien gewann das Turnier.</t>
  </si>
  <si>
    <t>Welches Team gewann 1966 die Weltmeisterschaft in England?</t>
  </si>
  <si>
    <t>England gewann die FIFA-Weltmeisterschaft 1966 und besiegte Westdeutschland im Finale mit 4:2.</t>
  </si>
  <si>
    <t>Welcher Fußballverein hat bis 2021 die meisten UEFA Champions League-Titel gewonnen?</t>
  </si>
  <si>
    <t>Real Madrid hat mit 13 im Jahr 2021 die meisten UEFA-Champions-League-Titel gewonnen.</t>
  </si>
  <si>
    <t>Welches Land gewann die FIFA-Weltmeisterschaft 1950?</t>
  </si>
  <si>
    <t>Uruguay gewann die Weltmeisterschaft 1950 und besiegte im Finale Brasilien im berüchtigten „Maracanazo“.</t>
  </si>
  <si>
    <t>Wer hält den Rekord für die meisten Tore in der Geschichte der Weltmeisterschaft?</t>
  </si>
  <si>
    <t>Welches Land hat die FIFA-Weltmeisterschaft 2010 gewonnen?</t>
  </si>
  <si>
    <t>Spanien gewann die FIFA-Weltmeisterschaft 2010 und besiegte die Niederlande im Finale mit 1:0.</t>
  </si>
  <si>
    <t>Welcher Fußballverein hat die meisten FA-Cup-Titel?</t>
  </si>
  <si>
    <t>Arsenal</t>
  </si>
  <si>
    <t>Chelsea</t>
  </si>
  <si>
    <t>Arsenal hält mit 14 Siegen im Jahr 2021 den Rekord für die meisten FA-Cup-Titel.</t>
  </si>
  <si>
    <t>Welches Land gewann 1991 die erste Frauen-Weltmeisterschaft überhaupt?</t>
  </si>
  <si>
    <t>Die USA gewannen 1991 die erste Frauen-Weltmeisterschaft und besiegten Norwegen im Finale mit 2:1.</t>
  </si>
  <si>
    <t>Wer gewann 1930 die erste FIFA-Weltmeisterschaft?</t>
  </si>
  <si>
    <t>Welcher Verein ist als „Red Devils“ bekannt?</t>
  </si>
  <si>
    <t>Manchester United ist aufgrund seines roten Trikots und seiner langen Erfolgsgeschichte als „Red Devils“ bekannt.</t>
  </si>
  <si>
    <t>Was war das erste Jahr, in dem an der Weltmeisterschaft 32 Mannschaften teilnahmen?</t>
  </si>
  <si>
    <t>Die Weltmeisterschaft 1998 war die erste, an der 32 Mannschaften teilnahmen und das bisherige Format mit 24 Mannschaften erweitert wurde.</t>
  </si>
  <si>
    <t>Which country does cycle ball originate from?</t>
  </si>
  <si>
    <t>A. France B. Germany C. Austria D. Switzerland</t>
  </si>
  <si>
    <t>Cycle ball originated in Germany in the late 19th century.</t>
  </si>
  <si>
    <t>Aus welchem ​​Land stammt Radball?</t>
  </si>
  <si>
    <t>A. Frankreich B. Deutschland C. Österreich D. Schweiz</t>
  </si>
  <si>
    <t>Radball entstand im späten 19. Jahrhundert in Deutschland.</t>
  </si>
  <si>
    <t>Who was considered the "father" of cycle ball?</t>
  </si>
  <si>
    <t>A. Adolf Scherer B. Nikolaus Kaufmann C. John Dunlop D. Friedrich Noppeney</t>
  </si>
  <si>
    <t>Nikolaus Kaufmann</t>
  </si>
  <si>
    <t>Nicholas Kaufmann, a German-American, is considered the inventor of cycle ball.</t>
  </si>
  <si>
    <t>Wer galt als „Vater“ von Radball?</t>
  </si>
  <si>
    <t>Nicholas Kaufmann, ein Deutsch-Amerikaner, gilt als Erfinder von Radball.</t>
  </si>
  <si>
    <t>In which year was the first official cycle ball game played?</t>
  </si>
  <si>
    <t>A. 1873 B. 1883 C. 1893 D. 1903</t>
  </si>
  <si>
    <t>1893</t>
  </si>
  <si>
    <t>The first recorded cycle ball game was played in 1893.</t>
  </si>
  <si>
    <t>In welchem ​​Jahr wurde das erste offizielle Radball-Spiel gespielt?</t>
  </si>
  <si>
    <t>Das erste aufgezeichnete Radballspiel wurde 1893 gespielt.</t>
  </si>
  <si>
    <t>What is the most important governing body for cycle ball competitions?</t>
  </si>
  <si>
    <t>A. FIFA B. UCI C. IOC D. FIBA</t>
  </si>
  <si>
    <t>UCI</t>
  </si>
  <si>
    <t>The Union Cycliste Internationale (UCI) oversees cycle ball as part of its cycling disciplines.</t>
  </si>
  <si>
    <t>Was ist der wichtigste Dachverband für Radball-Wettbewerbe?</t>
  </si>
  <si>
    <t>Die Union Cycliste Internationale (UCI) betreut Radball als Teil ihrer Radsportdisziplinen.</t>
  </si>
  <si>
    <t>When was cycle ball first included in the UCI Indoor Cycling World Championships?</t>
  </si>
  <si>
    <t>A. 1925 B. 1930 C. 1950 D. 1960</t>
  </si>
  <si>
    <t>1930</t>
  </si>
  <si>
    <t>Cycle ball became part of the UCI Indoor Cycling World Championships in 1930.</t>
  </si>
  <si>
    <t>Wann wurde Radball erstmals in die UCI-Hallenrad-Weltmeisterschaften aufgenommen?</t>
  </si>
  <si>
    <t>Radball wurde 1930 Teil der UCI Indoor Cycling World Championships.</t>
  </si>
  <si>
    <t>Which country has won the most cycle ball world championships?</t>
  </si>
  <si>
    <t>A. Germany B. Austria C. Czech Republic D. Switzerland</t>
  </si>
  <si>
    <t>Germany has dominated the Cycle Ball World Championships in the past.</t>
  </si>
  <si>
    <t>Welches Land hat die meisten Radball-Weltmeisterschaften gewonnen?</t>
  </si>
  <si>
    <t>A. Deutschland B. Österreich C. Tschechische Republik D. Schweiz</t>
  </si>
  <si>
    <t>Deutschland hat in der Vergangenheit die Radball-Weltmeisterschaften dominiert.</t>
  </si>
  <si>
    <t>In which year did the first Cycle Ball World Championship take place?</t>
  </si>
  <si>
    <t>A. 1929 B. 1930 C. 1931 D. 1932</t>
  </si>
  <si>
    <t>The first Cycle Ball World Championship took place in 1930.</t>
  </si>
  <si>
    <t>In welchem ​​Jahr fand die erste Radball-Weltmeisterschaft statt?</t>
  </si>
  <si>
    <t>Die erste Radball-Weltmeisterschaft fand 1930 statt.</t>
  </si>
  <si>
    <t>What is the name of the famous duo who won numerous cycle ball championships in the mid-20th century?</t>
  </si>
  <si>
    <t>A. Walter and Werner Rutt B. Heinz and Hans Müllner C. Paul and Peter Pöschl D. Kurt and Karl Marx</t>
  </si>
  <si>
    <t>Walter and Werner Rutt</t>
  </si>
  <si>
    <t>Walter and Werner Rutt were a legendary German cycle ball duo.</t>
  </si>
  <si>
    <t>Wie heißt das berühmte Duo, das Mitte des 20. Jahrhunderts zahlreiche Radball-Meisterschaften gewann?</t>
  </si>
  <si>
    <t>A. Walter und Werner Rutt B. Heinz und Hans Müllner C. Paul und Peter Pöschl D. Kurt und Karl Marx</t>
  </si>
  <si>
    <t>Walter und Werner Rutt</t>
  </si>
  <si>
    <t>Walter und Werner Rutt waren ein legendäres deutsches Radball-Duo.</t>
  </si>
  <si>
    <t>What materials were traditional cycle ball balls made from at the beginning of the 20th century?</t>
  </si>
  <si>
    <t>A. leather B. Wood C. rubber D. metal</t>
  </si>
  <si>
    <t>leather</t>
  </si>
  <si>
    <t>Early cycle ball balls were made of tightly woven leather.</t>
  </si>
  <si>
    <t>Aus welchen Materialien wurden zu Beginn des 20. Jahrhunderts traditionelle Radball-Bälle hergestellt?</t>
  </si>
  <si>
    <t>A. Leder B. Holz C. Gummi D. Metall</t>
  </si>
  <si>
    <t>Leder</t>
  </si>
  <si>
    <t>Frühe Radball-Bälle bestanden aus dicht gewebtem Leder.</t>
  </si>
  <si>
    <t>Which continent is least represented in cycle ball competitions?</t>
  </si>
  <si>
    <t>A. Asia B. Africa C. Oceania D. South America</t>
  </si>
  <si>
    <t>Africa</t>
  </si>
  <si>
    <t>Compared to Europe or Asia, cycle ball is hardly represented in Africa.</t>
  </si>
  <si>
    <t>Welcher Kontinent ist bei Radball-Wettbewerben am wenigsten vertreten?</t>
  </si>
  <si>
    <t>A. Asien B. Afrika C. Ozeanien D. Südamerika</t>
  </si>
  <si>
    <t>Im Vergleich zu Europa oder Asien ist Radball in Afrika kaum vertreten.</t>
  </si>
  <si>
    <t>How many players make up a cycle ball team?</t>
  </si>
  <si>
    <t>A. One B. Two C. Three D. Four</t>
  </si>
  <si>
    <t>Two</t>
  </si>
  <si>
    <t>Cycle ball is traditionally played in teams of two.</t>
  </si>
  <si>
    <t>Wie viele Spieler bilden ein Radball-Team?</t>
  </si>
  <si>
    <t>A. Eins B. Zwei C. Drei D. Vier</t>
  </si>
  <si>
    <t>Zwei</t>
  </si>
  <si>
    <t>Radball wird traditionell in Zweierteams gespielt.</t>
  </si>
  <si>
    <t>Which country hosted the first Cycle Ball World Championship?</t>
  </si>
  <si>
    <t>A. Switzerland B. Germany C. Austria D. Czech Republic</t>
  </si>
  <si>
    <t>The first World Championship was held in Germany in 1930.</t>
  </si>
  <si>
    <t>Welches Land war Gastgeber der ersten Radball-Weltmeisterschaft?</t>
  </si>
  <si>
    <t>A. Schweiz B. Deutschland C. Österreich D. Tschechische Republik</t>
  </si>
  <si>
    <t>Die erste Weltmeisterschaft wurde 1930 in Deutschland ausgetragen.</t>
  </si>
  <si>
    <t>In which year were cycle ball competitions for women introduced?</t>
  </si>
  <si>
    <t>A. 1970 B. 1985 C. 1990 D. 2000</t>
  </si>
  <si>
    <t>1985</t>
  </si>
  <si>
    <t>Women's cycle ball competitions officially began in 1985.</t>
  </si>
  <si>
    <t>In welchem ​​Jahr wurden Radball-Wettbewerbe für Frauen eingeführt?</t>
  </si>
  <si>
    <t>Die Radball-Wettbewerbe der Frauen begann offiziell im Jahr 1985.</t>
  </si>
  <si>
    <t>What equipment is unique to cycle ball compared to traditional cycling?</t>
  </si>
  <si>
    <t>A. Bicycles with fixed gears B. Rubberized pedals C. Extended handlebars D. Special tires</t>
  </si>
  <si>
    <t>Bicycles with fixed gears</t>
  </si>
  <si>
    <t>Cycle ball bicycles feature a fixed-gear mechanism for precise control.</t>
  </si>
  <si>
    <t>Welche Ausrüstung ist bei Radball im Vergleich zum traditionellen Radfahren einzigartig?</t>
  </si>
  <si>
    <t>A. Fahrräder mit starrem Gang B. Gummierte Pedale C. Verlängerter Lenker D. Spezialreifen</t>
  </si>
  <si>
    <t>Fahrräder mit festem Gang</t>
  </si>
  <si>
    <t>Radball-Fahrräder verfügen über einen Fixed-Gear-Mechanismus für eine präzise Steuerung.</t>
  </si>
  <si>
    <t>Which country is known for its strong rivalry with Germany in cycle ball?</t>
  </si>
  <si>
    <t>A. Switzerland B. France C. Austria D. Czech Republic</t>
  </si>
  <si>
    <t>Austria</t>
  </si>
  <si>
    <t>Historically, Austria has been a stronger rival to Germany in cycle ball.</t>
  </si>
  <si>
    <t>Welches Land ist für seine starke Rivalität mit Deutschland im Radball bekannt?</t>
  </si>
  <si>
    <t>A. Schweiz B. Frankreich C. Österreich D. Tschechische Republik</t>
  </si>
  <si>
    <t>Österreich war im Radball historisch gesehen ein stärkerer Rivale zu Deutschland.</t>
  </si>
  <si>
    <t>What event contributed to making cycle ball popular in the 20th century?</t>
  </si>
  <si>
    <t>A. Olympic Exhibitions B. European trade fairs C. Circus performances D. Bicycle festivals</t>
  </si>
  <si>
    <t>Circus performances</t>
  </si>
  <si>
    <t>Cycle ball gained popularity through circus performances in the early 20th century.</t>
  </si>
  <si>
    <t>Welches Ereignis hat dazu beigetragen, Radball im 20. Jahrhundert bekannt zu machen?</t>
  </si>
  <si>
    <t>A. Olympische Ausstellungen B. Europäische Messen C. Zirkusvorstellungen D. Fahrradfeste</t>
  </si>
  <si>
    <t>Zirkusvorstellungen</t>
  </si>
  <si>
    <t>Radball erlangte durch Zirkusaufführungen im frühen 20. Jahrhundert Popularität.</t>
  </si>
  <si>
    <t>What is the approximate diameter of a cycle ball?</t>
  </si>
  <si>
    <t>A. 10 cm B. 12 cm C. 15 cm D. 18 cm</t>
  </si>
  <si>
    <t>15 cm</t>
  </si>
  <si>
    <t>Cycle ball balls have a diameter of approximately 15 cm.</t>
  </si>
  <si>
    <t>Was ist der ungefähre Durchmesser einer Radball-Kugel?</t>
  </si>
  <si>
    <t>Radball-Bälle haben einen Durchmesser von ca. 15 cm.</t>
  </si>
  <si>
    <t>How many goals are typically scored in a high-level cycle ball match?</t>
  </si>
  <si>
    <t>A. 2-5 B. 5-10 C. 10-15 D. 15-20</t>
  </si>
  <si>
    <t>5-10</t>
  </si>
  <si>
    <t>High-level cycle ball matches often see 5-10 goals scored.</t>
  </si>
  <si>
    <t>Wie viele Tore werden normalerweise in einem Radball-Spiel auf hohem Niveau erzielt?</t>
  </si>
  <si>
    <t>A. 2–5 B. 5–10 C. 10–15 D. 15–20</t>
  </si>
  <si>
    <t>Bei Radball-Spielen auf hohem Niveau fallen oft 5–10 Tore.</t>
  </si>
  <si>
    <t>Which country introduced cycle ball to Asia?</t>
  </si>
  <si>
    <t>A. China B. Japan C. India D. South Korea</t>
  </si>
  <si>
    <t>Japan</t>
  </si>
  <si>
    <t>Japan was the first Asian country to introduce cycle ball in the mid-20th century.</t>
  </si>
  <si>
    <t>Welches Land hat Radball in Asien eingeführt?</t>
  </si>
  <si>
    <t>A. China B. Japan C. Indien D. Südkorea</t>
  </si>
  <si>
    <t>Japan war das erste asiatische Land, das Radball Mitte des 20. Jahrhunderts einführte.</t>
  </si>
  <si>
    <t>What shape is the playing field in cycle ball?</t>
  </si>
  <si>
    <t>A. Rectangular B. Oval C. Circular D. square</t>
  </si>
  <si>
    <t>Rectangular</t>
  </si>
  <si>
    <t>The playing field in cycle ball is rectangular, similar to a futsal court.</t>
  </si>
  <si>
    <t>Welche Form hat das Spielfeld bei Radball?</t>
  </si>
  <si>
    <t>A. Rechteckig B. Oval C. Kreisförmig D. Quadratisch</t>
  </si>
  <si>
    <t>Rechteckig</t>
  </si>
  <si>
    <t>Das Spielfeld beim Radball ist rechteckig, ähnlich einem Futsal-Platz.</t>
  </si>
  <si>
    <t>What notable rule change occurred in cycle ball in the 1970s?</t>
  </si>
  <si>
    <t>A. Introduction of deadlines B. Smaller ball sizes C. Helmet required D. Standardization of the target variable</t>
  </si>
  <si>
    <t>Introduction of deadlines</t>
  </si>
  <si>
    <t>Time limits were introduced to speed up the games and make them more competitive.</t>
  </si>
  <si>
    <t>Welche bemerkenswerte Regeländerung kam es in den 1970er Jahren im Radball?</t>
  </si>
  <si>
    <t>A. Einführung von Fristen B. Kleinere Ballgrößen C. Helmpflicht D. Standardisierung der Zielvariablen</t>
  </si>
  <si>
    <t>Einführung von Fristen</t>
  </si>
  <si>
    <t>Um die Spiele zu beschleunigen und wettbewerbsfähiger zu machen, wurden Zeitlimits eingeführt.</t>
  </si>
  <si>
    <t>At which European Championship were junior cycle ball tournaments introduced?</t>
  </si>
  <si>
    <t>A. UCI European Cup B. Indoor Cycling European Championship C. European Youth Cycling League D. Junior Cycle Ball Championships</t>
  </si>
  <si>
    <t>Indoor Cycling European Championship</t>
  </si>
  <si>
    <t>Junior cycle ball has been included in the Indoor Cycling European Championship for the first time.</t>
  </si>
  <si>
    <t>Bei welcher Europameisterschaft wurden Junioren-Radball-Turniere eingeführt?</t>
  </si>
  <si>
    <t>A. UCI-Europameisterschaft B. Indoor-Cycling-Europameisterschaft C. Europäische Jugend-Radsportliga D. Junioren-Cycleball-Meisterschaften</t>
  </si>
  <si>
    <t>Indoor-Cycling-Europameisterschaft</t>
  </si>
  <si>
    <t>Junior Radball wurde erstmals in die Indoor-Cycling-Europameisterschaft aufgenommen.</t>
  </si>
  <si>
    <t>What is the standard playing time for cycle ball matches?</t>
  </si>
  <si>
    <t>A. 20 minutes B. 30 minutes C. 40 minutes D. 50 minutes</t>
  </si>
  <si>
    <t>30 minutes</t>
  </si>
  <si>
    <t>Cycle ball games usually last 30 minutes and are divided into two halves.</t>
  </si>
  <si>
    <t>Was ist die Standardspieldauer für Radball-Spiele?</t>
  </si>
  <si>
    <t>A. 20 Minuten B. 30 Minuten C. 40 Minuten D. 50 Minuten</t>
  </si>
  <si>
    <t>30 Minuten</t>
  </si>
  <si>
    <t>Radball-Spiele dauern normalerweise 30 Minuten und sind in zwei Hälften unterteilt.</t>
  </si>
  <si>
    <t>In which year did the first televised cycle ball world championship take place?</t>
  </si>
  <si>
    <t>A. 1950 B. 1960 C. 1975 D. 1985</t>
  </si>
  <si>
    <t>The first televised cycle ball world championship took place in 1975.</t>
  </si>
  <si>
    <t>In welchem ​​Jahr fand die erste im Fernsehen übertragene Radball-Weltmeisterschaft statt?</t>
  </si>
  <si>
    <t>Die erste im Fernsehen übertragene Radball-Weltmeisterschaft fand 1975 statt.</t>
  </si>
  <si>
    <t>Which country has made a significant contribution to modern cycle ball bicycle design?</t>
  </si>
  <si>
    <t>A. Germany B. Czech Republic C. Japan D. Switzerland</t>
  </si>
  <si>
    <t>Czech Republic</t>
  </si>
  <si>
    <t>The Czech Republic played a key role in the further development of cycle ball bicycle technology.</t>
  </si>
  <si>
    <t>Welches Land hat maßgeblich zum modernen Radball-Fahrraddesign beigetragen?</t>
  </si>
  <si>
    <t>A. Deutschland B. Tschechische Republik C. Japan D. Schweiz</t>
  </si>
  <si>
    <t>Tschechische Republik</t>
  </si>
  <si>
    <t>Die Tschechische Republik war maßgeblich an der Weiterentwicklung der Radball-Fahrradtechnologie beteiligt.</t>
  </si>
  <si>
    <t>What is the main objective of a cycle ball game?</t>
  </si>
  <si>
    <t>A. Defending the ball B. Scoring goals C. Opponents blocking D. Performing stunts</t>
  </si>
  <si>
    <t>Scoring goals</t>
  </si>
  <si>
    <t>The main objective is to score goals using the front wheel of the bicycle.</t>
  </si>
  <si>
    <t>Was ist das Hauptziel eines Radball-Spiels?</t>
  </si>
  <si>
    <t>A. Den Ball verteidigen B. Tore erzielen C. Gegenspieler blocken D. Stunts ausführen</t>
  </si>
  <si>
    <t>Tore schießen</t>
  </si>
  <si>
    <t>Das Hauptziel besteht darin, mit dem Vorderrad des Fahrrads Tore zu schießen.</t>
  </si>
  <si>
    <t>Who are the defending champions of the last Cycle Ball World Championship?</t>
  </si>
  <si>
    <t>A. Austria B. Germany C. Switzerland D. Czech Republic</t>
  </si>
  <si>
    <t>Germany remains dominant in the last cycle ball competitions.</t>
  </si>
  <si>
    <t>Wer sind die Titelverteidiger der letzten Radball-Weltmeisterschaft?</t>
  </si>
  <si>
    <t>A. Österreich B. Deutschland C. Schweiz D. Tschechische Republik</t>
  </si>
  <si>
    <t>Deutschland bleibt in den letzten Radball-Wettbewerben dominant.</t>
  </si>
  <si>
    <t>When did cycle ball make its debut at the UCI Indoor Cycling World Championships?</t>
  </si>
  <si>
    <t>A. 1928 B. 1930 C. 1932 D. 1934</t>
  </si>
  <si>
    <t>Cycle ball was first included in the UCI Indoor Cycling World Championships in 1930.</t>
  </si>
  <si>
    <t>Wann gab Radball sein Debüt bei den UCI Indoor Cycling World Championships?</t>
  </si>
  <si>
    <t>Radball wurde erstmals 1930 in die UCI-Hallenrad-Weltmeisterschaften aufgenommen.</t>
  </si>
  <si>
    <t>What other sport besides cycle ball is frequently used at indoor cycling events?</t>
  </si>
  <si>
    <t>A. Artistic cycling B. BMX C. track cycling D. Mountain biking</t>
  </si>
  <si>
    <t>Artistic cycling</t>
  </si>
  <si>
    <t>Artistic cycling is frequently used alongside cycle ball at indoor cycling events.</t>
  </si>
  <si>
    <t>Welche andere Sportart wird neben Radball häufig bei Indoor-Cycling-Veranstaltungen eingesetzt?</t>
  </si>
  <si>
    <t>A. Kunstradfahren B. BMX C. Bahnradfahren D. Mountainbiken</t>
  </si>
  <si>
    <t>Künstlerisches Radfahren</t>
  </si>
  <si>
    <t>Artistic Cycling wird häufig neben Radball bei Indoor-Cycling-Veranstaltungen eingesetzt.</t>
  </si>
  <si>
    <t>What was the original purpose of developing cycle ball?</t>
  </si>
  <si>
    <t>A. Improving cycling skills B. Entertainment C. Training of military cyclists D. Physiotherapy</t>
  </si>
  <si>
    <t>Improving cycling skills</t>
  </si>
  <si>
    <t>Cycle ball was originally developed to improve precision and control in cycling.</t>
  </si>
  <si>
    <t>Was war der ursprüngliche Zweck der Entwicklung von Radball?</t>
  </si>
  <si>
    <t>A. Verbesserung der Radfahrtechnik B. Unterhaltung C. Ausbildung von Militärradfahrern D. Physiotherapie</t>
  </si>
  <si>
    <t>Verbesserung der Radfahrfähigkeiten</t>
  </si>
  <si>
    <t>Radball wurde ursprünglich entwickelt, um die Präzision und Kontrolle beim Radfahren zu verbessern.</t>
  </si>
  <si>
    <t>Which two countries traditionally dominate cycle ball at the international level?</t>
  </si>
  <si>
    <t>A. Germany and Switzerland B. Austria and France C. Germany and Austria D. Czech Republic and Switzerland</t>
  </si>
  <si>
    <t>Germany and Austria</t>
  </si>
  <si>
    <t>Germany and Austria are consistently strong competitors in cycle ball.</t>
  </si>
  <si>
    <t>Welche beiden Länder dominieren Radball traditionell auf internationaler Ebene?</t>
  </si>
  <si>
    <t>A. Deutschland und die Schweiz B. Österreich und Frankreich C. Deutschland und Österreich D. Tschechien und die Schweiz</t>
  </si>
  <si>
    <t>Deutschland und Österreich</t>
  </si>
  <si>
    <t>Deutschland und Österreich sind im Radball durchweg starke Konkurrenten.</t>
  </si>
  <si>
    <t>What type of surface is primarily used for cycle ball courts?</t>
  </si>
  <si>
    <t>A. Wooden floor B. grass C. concrete D. tonne</t>
  </si>
  <si>
    <t>Wooden floor</t>
  </si>
  <si>
    <t>Cycle ball is normally played on a smooth wooden indoor court.</t>
  </si>
  <si>
    <t>Welche Oberfläche wird hauptsächlich für Radballplätze verwendet?</t>
  </si>
  <si>
    <t>A. Holzboden B. Gras C. Beton D. Tonne</t>
  </si>
  <si>
    <t>Holzboden</t>
  </si>
  <si>
    <t>Radball wird normalerweise auf einem glatten Holzhallenplatz gespielt.</t>
  </si>
  <si>
    <t>What inspired the development of cycle ball in the late 19th century?</t>
  </si>
  <si>
    <t>A. football B. Cycling stunts C. gymnastics D. Military training</t>
  </si>
  <si>
    <t>Cycling stunts</t>
  </si>
  <si>
    <t>The sport was inspired by cycling stunts and exhibitions.</t>
  </si>
  <si>
    <t>Was hat die Entwicklung von Radball im späten 19. Jahrhundert inspiriert?</t>
  </si>
  <si>
    <t>A. Fußball B. Radsport-Stunts C. Gymnastik D. Militärtraining</t>
  </si>
  <si>
    <t>Radsport-Stunts</t>
  </si>
  <si>
    <t>Der Sport wurde durch Radsport-Stunts und -Ausstellungen inspiriert.</t>
  </si>
  <si>
    <t>In which decade did cycle ball spread worldwide as a competitive sport?</t>
  </si>
  <si>
    <t>A. 1920s B. 1930s C. 1950s D. 1960s</t>
  </si>
  <si>
    <t>1950s</t>
  </si>
  <si>
    <t>The 1950s marked a significant period of global growth for cycle ball.</t>
  </si>
  <si>
    <t>In welchem ​​​​Jahrzehnt breitete sich Radball weltweit als Wettkampfsport aus?</t>
  </si>
  <si>
    <t>A. 1920er Jahre B. 1930er Jahre C. 1950er Jahre D. 1960er Jahre</t>
  </si>
  <si>
    <t>Die 1950er Jahre markierten für Radball ein bedeutendes globales Wachstum.</t>
  </si>
  <si>
    <t>How many goals does a team need to win a normal cycle ball game?</t>
  </si>
  <si>
    <t>A. Three B. Five C. Six D. The highest scores at the end of the game</t>
  </si>
  <si>
    <t>The highest scores at the end of the game</t>
  </si>
  <si>
    <t>Cycle ball games are won by the team that has the highest score at the end of the time limit.</t>
  </si>
  <si>
    <t>Wie viele Tore braucht eine Mannschaft, um ein normales Radball-Spiel zu gewinnen?</t>
  </si>
  <si>
    <t>A. Drei B. Fünf C. Sechs D. Die höchste Punktzahl am Ende des Spiels</t>
  </si>
  <si>
    <t>Die höchsten Ergebnisse am Ende des Spiels</t>
  </si>
  <si>
    <t>Radball-Spiele werden von der Mannschaft gewonnen, die am Ende des Zeitlimits die höchste Punktzahl hat.</t>
  </si>
  <si>
    <t>Who sets the rules for cycle ball competitions worldwide?</t>
  </si>
  <si>
    <t>A. International Cycling Union B. Union Cycliste Internationale (UCI) C. World Indoor Cycling Association D. International Cycling League</t>
  </si>
  <si>
    <t>Union Cycliste Internationale (UCI)</t>
  </si>
  <si>
    <t>The Union Cycliste Internationale (UCI) is responsible for the regulations governing cycle ball.</t>
  </si>
  <si>
    <t>Wer regelt die Regeln für Radball-Wettbewerbe weltweit?</t>
  </si>
  <si>
    <t>A. Internationaler Radsportverband B. Union Cycliste Internationale (UCI) C. Weltverband für Indoor-Radsport D. Internationale Radsportliga</t>
  </si>
  <si>
    <t>Für die Radball-Bestimmungen ist die Union Cycliste Internationale (UCI) verantwortlich.</t>
  </si>
  <si>
    <t>Which important rules in cycle ball restrict the movement of players outside the bicycle?</t>
  </si>
  <si>
    <t>A. Do not touch the ground with your feet. B. No defensive cycling C. Avoid excessive spinning D. No going back</t>
  </si>
  <si>
    <t>Do not touch the ground with your feet.</t>
  </si>
  <si>
    <t>During the game, players are not allowed to touch the ground with their feet.</t>
  </si>
  <si>
    <t>Welche wichtigen Regeln beim Radball schränkt die Bewegung von Spielern außerhalb des Fahrrads ein?</t>
  </si>
  <si>
    <t>A. Die Füße dürfen den Boden nicht berühren. B. Keine defensive Fahrweise. C. Vermeiden Sie übermäßiges Treten. D. Kein Zurück.</t>
  </si>
  <si>
    <t>Kein Berühren des Bodens mit den Füßen</t>
  </si>
  <si>
    <t>Während des Spiels ist es den Spielern nicht gestattet, mit den Füßen den Boden zu berühren.</t>
  </si>
  <si>
    <t>In which year did the international standardization of cycle ball equipment begin?</t>
  </si>
  <si>
    <t>A. 1945 B. 1950 C. 1960 D. 1970</t>
  </si>
  <si>
    <t>1950</t>
  </si>
  <si>
    <t>The international standardization of equipment for cycle ball began in 1950.</t>
  </si>
  <si>
    <t>In welchem ​​Jahr begann die internationale Standardisierung der Radball-Ausrüstung?</t>
  </si>
  <si>
    <t>Die internationale Standardisierung der Ausrüstung für Radball begann im Jahr 1950.</t>
  </si>
  <si>
    <t>Which region in Germany is considered the birthplace of cycle ball?</t>
  </si>
  <si>
    <t>A. Bavaria B. Hesse C. North Rhine-Westphalia D. Saxony</t>
  </si>
  <si>
    <t>Hesse</t>
  </si>
  <si>
    <t>Cycle ball originated in the late 19th century in Hesse, Germany.</t>
  </si>
  <si>
    <t>Welche Region in Deutschland gilt als Geburtsort von Radball?</t>
  </si>
  <si>
    <t>A. Bayern B. Hessen C. Nordrhein-Westfalen D. Sachsen</t>
  </si>
  <si>
    <t>Hessen</t>
  </si>
  <si>
    <t>Radball entstand im späten 19. Jahrhundert in Hessen, Deutschland.</t>
  </si>
  <si>
    <t>How long is each half in a standard cycle ball game?</t>
  </si>
  <si>
    <t>A. 10 minutes B. 12 minutes C. 15 minutes D. 20 minutes</t>
  </si>
  <si>
    <t>7 minutes</t>
  </si>
  <si>
    <t>Each half of a cycle ball game lasts 7 minutes.</t>
  </si>
  <si>
    <t>Wie lang ist jede Halbzeit in einem Standard-Radball-Spiel?</t>
  </si>
  <si>
    <t>A. 10 Minuten B. 12 Minuten C. 15 Minuten D. 20 Minuten</t>
  </si>
  <si>
    <t>7 Minuten</t>
  </si>
  <si>
    <t>Jede Hälfte eines Radball-Spiels dauert 7 Minuten.</t>
  </si>
  <si>
    <t>What significant changes were made to cycle ball in the 1980s?</t>
  </si>
  <si>
    <t>A. Introduction of women's competitions B. Smaller playing field dimensions C. Introduction of team fouls D. Bigger goals</t>
  </si>
  <si>
    <t>Introduction of women's competitions</t>
  </si>
  <si>
    <t>Cycle ball competitions for women were introduced in the 1980s.</t>
  </si>
  <si>
    <t>Welche bedeutende Veränderung wurde in den 1980er Jahren beim Radball vorgenommen?</t>
  </si>
  <si>
    <t>A. Einführung von Frauenwettbewerben B. Kleinere Spielfeldabmessungen C. Einführung von Mannschaftsfouls D. Größere Tore</t>
  </si>
  <si>
    <t>Einführung von Frauenwettbewerben</t>
  </si>
  <si>
    <t>In den 1980er Jahren wurden Radball-Wettbewerbe für Frauen eingeführt.</t>
  </si>
  <si>
    <t>Which European country is credited with spreading cycle ball in Eastern Europe?</t>
  </si>
  <si>
    <t>Germany played a significant role in popularizing cycle ball in Eastern Europe.</t>
  </si>
  <si>
    <t>Welchem ​​europäischen Land wird die Verbreitung von Radball in Osteuropa zugeschrieben?</t>
  </si>
  <si>
    <t>A. Deutschland B. Österreich C. Schweiz D. Frankreich</t>
  </si>
  <si>
    <t>Deutschland spielte eine bedeutende Rolle bei der Popularisierung von Radball in Osteuropa.</t>
  </si>
  <si>
    <t>When was cycle ball (Radball) first played?</t>
  </si>
  <si>
    <t>A. 1870 B. 1890 C. 1920 D. 1930</t>
  </si>
  <si>
    <t>Cycle ball (Radball) was first played in Germany in 1870.</t>
  </si>
  <si>
    <t>Wann wurde Radball (Radball) zum ersten Mal gespielt?</t>
  </si>
  <si>
    <t>Radball (Radball) wurde erstmals 1870 in Deutschland gespielt.</t>
  </si>
  <si>
    <t>Who is considered the inventor of cycle ball?</t>
  </si>
  <si>
    <t>A. Friedrich Ludwig Jahn B. Hans Wintgen C. Max Hübner D. Karl Gschwender</t>
  </si>
  <si>
    <t>Hans Wintgen</t>
  </si>
  <si>
    <t>Hans Wintgen is credited with popularizing cycle ball in the 1880s.</t>
  </si>
  <si>
    <t>Wer gilt als Erfinder von Radball?</t>
  </si>
  <si>
    <t>Hans Wintgen wird zugeschrieben, dass er Radball in den 1880er Jahren populär gemacht hat.</t>
  </si>
  <si>
    <t>Where did the first official cycle ball championship take place?</t>
  </si>
  <si>
    <t>A. Munich, Germany B. Berlin, Germany C. Vienna, Austria D. Zurich, Switzerland</t>
  </si>
  <si>
    <t>Munich, Germany</t>
  </si>
  <si>
    <t>The first official cycle ball championship took place in Munich in 1889.</t>
  </si>
  <si>
    <t>Wo fand die erste offizielle Radball-Meisterschaft statt?</t>
  </si>
  <si>
    <t>A. München, Deutschland B. Berlin, Deutschland C. Wien, Österreich D. Zürich, Schweiz</t>
  </si>
  <si>
    <t>München, Deutschland</t>
  </si>
  <si>
    <t>Die erste offizielle Radballmeisterschaft fand 1889 in München statt.</t>
  </si>
  <si>
    <t>In which country is cycle ball still most popular today?</t>
  </si>
  <si>
    <t>A. Germany B. Netherlands C. Austria D. Italy</t>
  </si>
  <si>
    <t>Germany remains the country with the most cycle ball clubs and competitions.</t>
  </si>
  <si>
    <t>In welchem ​​Land ist Radball heute noch am beliebtesten?</t>
  </si>
  <si>
    <t>A. Deutschland B. Niederlande C. Österreich D. Italien</t>
  </si>
  <si>
    <t>Deutschland bleibt das Land mit den meisten Radballvereinen und -wettbewerben.</t>
  </si>
  <si>
    <t>What is the main equipment used in cycle ball?</t>
  </si>
  <si>
    <t>A. A basketball B. A football C. A small football D. A small ball and bicycles</t>
  </si>
  <si>
    <t>A small ball and bicycles</t>
  </si>
  <si>
    <t>Cycle ball is played with a small ball and bicycles.</t>
  </si>
  <si>
    <t>Was ist die Hauptausrüstung, die in Radball verwendet wird?</t>
  </si>
  <si>
    <t>A. Ein Basketball B. Ein Fußball C. Ein kleiner Fußball D. Ein kleiner Ball und Fahrräder</t>
  </si>
  <si>
    <t>Ein kleiner Ball und Fahrräder</t>
  </si>
  <si>
    <t>Radball wird mit einem kleinen Ball und Fahrrädern gespielt.</t>
  </si>
  <si>
    <t>How many players are on a team in cycle ball?</t>
  </si>
  <si>
    <t>A. 4 B. 2 C. 6 D. 5</t>
  </si>
  <si>
    <t>In cycle ball, each team consists of 2 players.</t>
  </si>
  <si>
    <t>Wie viele Spieler sind in einem Team bei Radball?</t>
  </si>
  <si>
    <t>Bei Radball besteht jedes Team aus 2 Spielern.</t>
  </si>
  <si>
    <t>What is the goal of cycle ball?</t>
  </si>
  <si>
    <t>A. Scoring goals with your hands B. Scoring goals with your feet C. Scoring goals with a bicycle D. Scoring goals with a ball while cycling</t>
  </si>
  <si>
    <t>Scoring goals with a ball while cycling</t>
  </si>
  <si>
    <t>The aim is to score goals by controlling the ball with a bicycle.</t>
  </si>
  <si>
    <t>Was ist das Ziel von Radball?</t>
  </si>
  <si>
    <t>A. Tore mit den Händen erzielen B. Tore mit den Füßen erzielen C. Tore mit dem Fahrrad erzielen D. Tore mit einem Ball während des Radfahrens erzielen</t>
  </si>
  <si>
    <t>Beim Fahrradfahren mit einem Ball Tore schießen</t>
  </si>
  <si>
    <t>Ziel ist es, Tore zu erzielen, indem man den Ball mit dem Fahrrad kontrolliert.</t>
  </si>
  <si>
    <t>How long does a cycle ball game usually last?</t>
  </si>
  <si>
    <t>A. 45 minutes B. 60 minutes C. 90 minutes D. 30 minutes</t>
  </si>
  <si>
    <t>A cycle ball game usually lasts 30 minutes.</t>
  </si>
  <si>
    <t>Wie lange dauert ein Radball-Spiel normalerweise?</t>
  </si>
  <si>
    <t>A. 45 Minuten B. 60 Minuten C. 90 Minuten D. 30 Minuten</t>
  </si>
  <si>
    <t>Ein Radball-Spiel dauert normalerweise 30 Minuten.</t>
  </si>
  <si>
    <t>What type of ball is used in cycle ball?</t>
  </si>
  <si>
    <t>A. A football B. A volleyball C. A small rubber ball D. A handball</t>
  </si>
  <si>
    <t>A small rubber ball</t>
  </si>
  <si>
    <t>In cycle ball, a small rubber ball is used.</t>
  </si>
  <si>
    <t>Welche Art von Ball wird bei Radball verwendet?</t>
  </si>
  <si>
    <t>A. Ein Fußball B. Ein Volleyball C. Ein kleiner Gummiball D. Ein Handball</t>
  </si>
  <si>
    <t>Ein kleiner Gummiball</t>
  </si>
  <si>
    <t>Beim Radball wird ein kleiner Gummiball verwendet.</t>
  </si>
  <si>
    <t>A. Germany B. Austria C. Switzerland D. Netherlands</t>
  </si>
  <si>
    <t>Germany has won the most cycle ball world championships.</t>
  </si>
  <si>
    <t>A. Deutschland B. Österreich C. Schweiz D. Niederlande</t>
  </si>
  <si>
    <t>Deutschland hat die meisten Radball-Weltmeisterschaften gewonnen.</t>
  </si>
  <si>
    <t>In which year did cycle ball become an officially recognized sport?</t>
  </si>
  <si>
    <t>A. 1889 B. 1902 C. 1910 D. 1920</t>
  </si>
  <si>
    <t>1902</t>
  </si>
  <si>
    <t>Cycle ball was officially recognized as a sport in 1902.</t>
  </si>
  <si>
    <t>In welchem ​​Jahr wurde Radball eine offiziell anerkannte Sportart?</t>
  </si>
  <si>
    <t>Radball wurde 1902 offiziell als Sport anerkannt.</t>
  </si>
  <si>
    <t>What other name is cycle ball also known by?</t>
  </si>
  <si>
    <t>A. Cycle football B. Bicycle football C. bicycle ball D. Bicycle football</t>
  </si>
  <si>
    <t>bicycle ball</t>
  </si>
  <si>
    <t>Cycle ball is often referred to as cycle ball.</t>
  </si>
  <si>
    <t>Unter welchem ​​anderen Namen ist Radball auch bekannt?</t>
  </si>
  <si>
    <t>A. Fahrradfußball B. Fahrradfußball C. Fahrradball D. Fahrradfußball</t>
  </si>
  <si>
    <t>Fahrradball</t>
  </si>
  <si>
    <t>Radball wird oft als Cycle Ball bezeichnet.</t>
  </si>
  <si>
    <t>How is the winner of a cycle ball match determined?</t>
  </si>
  <si>
    <t>A. With the most points B. With the fastest time C. Through most of the goals D. By a coin toss</t>
  </si>
  <si>
    <t>Through most of the goals</t>
  </si>
  <si>
    <t>The winner will be determined based on the most goals scored.</t>
  </si>
  <si>
    <t>Wie wird der Gewinner eines Radball-Spiels ermittelt?</t>
  </si>
  <si>
    <t>A. Mit den meisten Punkten B. Mit der schnellsten Zeit C. Durch die meisten Tore D. Durch einen Münzwurf</t>
  </si>
  <si>
    <t>Durch die meisten Tore</t>
  </si>
  <si>
    <t>Der Gewinner wird anhand der meisten erzielten Tore ermittelt.</t>
  </si>
  <si>
    <t>What type of bicycles are used in cycle ball?</t>
  </si>
  <si>
    <t>A. Mountain bikes B. racing bikes C. Standard racing bikes D. Specialized cycle ball bicycles</t>
  </si>
  <si>
    <t>Specialized cycle ball bicycles</t>
  </si>
  <si>
    <t>To meet the specific requirements of the sport, special bicycles are used in cycle ball.</t>
  </si>
  <si>
    <t>Welche Art von Fahrrädern werden bei Radball verwendet?</t>
  </si>
  <si>
    <t>A. Mountainbikes B. Rennräder C. Standard-Rennräder D. Specialized Cycle Ball Fahrräder</t>
  </si>
  <si>
    <t>Spezialisierte Radball-Fahrräder</t>
  </si>
  <si>
    <t>Um den spezifischen Anforderungen des Sports gerecht zu werden, kommen bei Radball Spezialfahrräder zum Einsatz.</t>
  </si>
  <si>
    <t>Who invented the first bicycles used in cycle ball?</t>
  </si>
  <si>
    <t>A. Kurt Schwinn B. Max Giersen C. Karl Drais D. Hans Wintgen</t>
  </si>
  <si>
    <t>Karl Drais</t>
  </si>
  <si>
    <t>Karl Drais is credited with inventing the first bicycles, although cycle ball was developed later.</t>
  </si>
  <si>
    <t>Wer hat die ersten Fahrräder erfunden, die in Radball verwendet wurden?</t>
  </si>
  <si>
    <t>Karl Drais wird die Erfindung der ersten Fahrräder zugeschrieben, obwohl Radball erst später entwickelt wurde.</t>
  </si>
  <si>
    <t>Which country won the first Cycle Ball World Cup?</t>
  </si>
  <si>
    <t>A. Germany B. Switzerland C. Austria D. France</t>
  </si>
  <si>
    <t>Germany won the first Cycle Ball World Championship.</t>
  </si>
  <si>
    <t>Welches Land hat den ersten Radball-Weltcup-Sieg errungen?</t>
  </si>
  <si>
    <t>A. Deutschland B. Schweiz C. Österreich D. Frankreich</t>
  </si>
  <si>
    <t>Deutschland gewann die erste Radball-Weltmeisterschaft.</t>
  </si>
  <si>
    <t>What is the international governing body of cycle ball?</t>
  </si>
  <si>
    <t>A. FIFA B. ICF C. UCI D. fir trees</t>
  </si>
  <si>
    <t>The Union Cycliste Internationale (UCI) regulates cycle ball internationally.</t>
  </si>
  <si>
    <t>Was ist das internationale Leitungsgremium von Radball?</t>
  </si>
  <si>
    <t>A. FIFA B. ICF C. UCI D. Tannen</t>
  </si>
  <si>
    <t>Die Union Cycliste Internationale (UCI) regelt Radball international.</t>
  </si>
  <si>
    <t>Which of the following skills is a key competency in cycle ball?</t>
  </si>
  <si>
    <t>A. Kick the ball B. dribble the ball C. Controlling the ball with a bicycle D. juggling the ball</t>
  </si>
  <si>
    <t>Controlling the ball with a bicycle</t>
  </si>
  <si>
    <t>The main skill in cycle ball is controlling the ball with the bicycle.</t>
  </si>
  <si>
    <t>Welche der folgenden Fähigkeiten ist eine Schlüsselkompetenz in Radball?</t>
  </si>
  <si>
    <t>A. Den Ball treten B. Den Ball dribbeln C. Den Ball mit dem Fahrrad kontrollieren D. Den Ball jonglieren</t>
  </si>
  <si>
    <t>Mit dem Fahrrad den Ball kontrollieren</t>
  </si>
  <si>
    <t>Die Hauptfähigkeit beim Radball besteht darin, den Ball mit dem Fahrrad zu kontrollieren.</t>
  </si>
  <si>
    <t>In which year did the first official cycle ball competition take place?</t>
  </si>
  <si>
    <t>A. 1870 B. 1890 C. 1889 D. 1900</t>
  </si>
  <si>
    <t>1889</t>
  </si>
  <si>
    <t>The first official cycle ball competition took place in 1889.</t>
  </si>
  <si>
    <t>In welchem ​​Jahr fand der erste offizielle Radball-Wettbewerb statt?</t>
  </si>
  <si>
    <t>Der erste offizielle Radball-Wettbewerb fand 1889 statt.</t>
  </si>
  <si>
    <t>Which of the following countries is traditionally NOT associated with cycle ball?</t>
  </si>
  <si>
    <t>A. Germany B. Austria C. France D. USA</t>
  </si>
  <si>
    <t>The USA is not traditionally associated with cycle ball, as it is more popular in Europe.</t>
  </si>
  <si>
    <t>Welches der folgenden Länder wird traditionell NICHT mit Radball in Verbindung gebracht?</t>
  </si>
  <si>
    <t>A. Deutschland B. Österreich C. Frankreich D. USA</t>
  </si>
  <si>
    <t>Die USA werden traditionell nicht mit Radball in Verbindung gebracht, da es in Europa beliebter ist.</t>
  </si>
  <si>
    <t>How many points is a goal worth in cycle ball?</t>
  </si>
  <si>
    <t>A. 1 B. 2 C. 3 D. 5</t>
  </si>
  <si>
    <t>In cycle ball, each goal is worth 1 point.</t>
  </si>
  <si>
    <t>Wie viele Punkte ist ein Tor im Radball wert?</t>
  </si>
  <si>
    <t>Jedes Tor ist im Radball 1 Punkt wert.</t>
  </si>
  <si>
    <t>In which city did the first Cycle Ball World Championship take place?</t>
  </si>
  <si>
    <t>A. Vienna B. Zurich C. Munich D. Berlin</t>
  </si>
  <si>
    <t>Munich</t>
  </si>
  <si>
    <t>The first Cycle Ball World Championship took place in Munich.</t>
  </si>
  <si>
    <t>In welcher Stadt fand die erste Radball-Weltmeisterschaft statt?</t>
  </si>
  <si>
    <t>A. Wien B. Zürich C. München D. Berlin</t>
  </si>
  <si>
    <t>München</t>
  </si>
  <si>
    <t>Die erste Radball-Weltmeisterschaft fand in München statt.</t>
  </si>
  <si>
    <t>In which region is cycle ball particularly popular?</t>
  </si>
  <si>
    <t>A. Africa B. North America C. Europe D. Asia</t>
  </si>
  <si>
    <t>Europe</t>
  </si>
  <si>
    <t>Cycle ball is most popular in Europe, especially in Germany, Austria and Switzerland.</t>
  </si>
  <si>
    <t>In welcher Region ist Radball vor allem beliebt?</t>
  </si>
  <si>
    <t>A. Afrika B. Nordamerika C. Europa D. Asien</t>
  </si>
  <si>
    <t>Am beliebtesten ist Radball in Europa, insbesondere in Deutschland, Österreich und der Schweiz.</t>
  </si>
  <si>
    <t>What event marked the official international recognition of cycle ball?</t>
  </si>
  <si>
    <t>A. The first World Cup B. The first official championship C. The founding of UCI D. The first cycle ball club</t>
  </si>
  <si>
    <t>The founding of UCI</t>
  </si>
  <si>
    <t>The founding of the Union Cycliste Internationale (UCI) marked the international recognition of cycle ball.</t>
  </si>
  <si>
    <t>Welches Ereignis markierte die offizielle internationale Anerkennung von Radball?</t>
  </si>
  <si>
    <t>A. Die erste Weltmeisterschaft B. Die erste offizielle Meisterschaft C. Die Gründung der UCI D. Der erste Radsportverein</t>
  </si>
  <si>
    <t>Die Gründung der UCI</t>
  </si>
  <si>
    <t>Die Gründung der Union Cycliste Internationale (UCI) markierte Radballs internationale Anerkennung.</t>
  </si>
  <si>
    <t>How big is the cycle ball field?</t>
  </si>
  <si>
    <t>A. 20m x 30m B. 25m x 40m C. 12m x 24m D. 50m x 70m</t>
  </si>
  <si>
    <t>25m x 40m</t>
  </si>
  <si>
    <t>The cycle ball field is typically 25 x 40 m in size.</t>
  </si>
  <si>
    <t>Wie groß ist das Radball-Feld?</t>
  </si>
  <si>
    <t>A. 20 m x 30 m B. 25 m x 40 m C. 12 m x 24 m D. 50 m x 70 m</t>
  </si>
  <si>
    <t>Das Radball-Feld ist typischerweise 25 x 40 m groß.</t>
  </si>
  <si>
    <t>What is the name of the ball used in cycle ball?</t>
  </si>
  <si>
    <t>A. Cycle ball B. Cyclo-Ball C. football D. football</t>
  </si>
  <si>
    <t>Cycle ball</t>
  </si>
  <si>
    <t>The ball used in cycle ball is simply called "cycle ball".</t>
  </si>
  <si>
    <t>Wie heißt der Ball, der in Radball verwendet wird?</t>
  </si>
  <si>
    <t>A. Fahrradball B. Cyclo-Ball C. Fußball D. Fußball</t>
  </si>
  <si>
    <t>Radball</t>
  </si>
  <si>
    <t>Der in Radball verwendete Ball wird einfach „Radball“ genannt.</t>
  </si>
  <si>
    <t>How do cycle ball teams compete against each other in a game?</t>
  </si>
  <si>
    <t>A. By cycling against each other B. By dribbling the ball into the goal C. By using their bicycles to control the ball and score goals D. By passing the ball</t>
  </si>
  <si>
    <t>By using their bicycles to control the ball and score goals</t>
  </si>
  <si>
    <t>Cycle ball teams compete against each other by controlling the ball and scoring goals with their bicycles.</t>
  </si>
  <si>
    <t>Wie treten Radball-Teams in einem Spiel gegeneinander an?</t>
  </si>
  <si>
    <t>A. Indem sie gegeneinander Rad fahren. B. Indem sie den Ball ins Tor dribbeln. C. Indem sie ihre Fahrräder benutzen, um den Ball zu kontrollieren und Tore zu erzielen. D. Indem sie den Ball passen.</t>
  </si>
  <si>
    <t>Indem sie ihre Fahrräder nutzen, um den Ball zu kontrollieren und Tore zu schießen</t>
  </si>
  <si>
    <t>Radball-Teams treten gegeneinander an, indem sie mit ihren Fahrrädern den Ball kontrollieren und Tore schießen.</t>
  </si>
  <si>
    <t>Which of these skills is NOT important in cycle ball?</t>
  </si>
  <si>
    <t>A. Riding skills B. Ball control C. headbutt D. Teamwork</t>
  </si>
  <si>
    <t>headbutt</t>
  </si>
  <si>
    <t>Headbutting is not a skill used in cycle ball.</t>
  </si>
  <si>
    <t>Welche dieser Fähigkeiten ist bei Radball NICHT wichtig?</t>
  </si>
  <si>
    <t>A. Reitfertigkeiten B. Ballkontrolle C. Kopfstoß D. Teamwork</t>
  </si>
  <si>
    <t>Kopfstoß</t>
  </si>
  <si>
    <t>Kopfstoßen ist keine Fertigkeit, die in Radball verwendet wird.</t>
  </si>
  <si>
    <t>Which cycle ball team holds the most world championship titles?</t>
  </si>
  <si>
    <t>A. Germany B. Switzerland C. Austria D. Netherlands</t>
  </si>
  <si>
    <t>Germany holds the most World Championship titles in cycle ball.</t>
  </si>
  <si>
    <t>Welches Radball-Team hält die meisten Weltmeistertitel?</t>
  </si>
  <si>
    <t>A. Deutschland B. Schweiz C. Österreich D. Niederlande</t>
  </si>
  <si>
    <t>Deutschland hält die meisten Radball-Weltmeisterschaftstitel.</t>
  </si>
  <si>
    <t>Who invented the bicycle used in cycle ball?</t>
  </si>
  <si>
    <t>A. Max Giersen B. Karl Drais C. Friedrich Ludwig Jahn D. Karl Gschwender</t>
  </si>
  <si>
    <t>Karl Drais is credited with inventing the bicycle, which was later adapted for cycle ball.</t>
  </si>
  <si>
    <t>Wer hat das in Radball verwendete Fahrrad erfunden?</t>
  </si>
  <si>
    <t>Karl Drais wird die Erfindung des Fahrrads zugeschrieben, das später für Radball adaptiert wurde.</t>
  </si>
  <si>
    <t>What is the official governing body for cycle ball?</t>
  </si>
  <si>
    <t>A. UCI (Union Cycliste Internationale) B. FIFA C. IOC D. fir trees</t>
  </si>
  <si>
    <t>UCI (Union Cycliste Internationale)</t>
  </si>
  <si>
    <t>The Union Cycliste Internationale (UCI) is the official governing body for cycle ball.</t>
  </si>
  <si>
    <t>Was ist der offizielle Dachverband von Radball?</t>
  </si>
  <si>
    <t>A. UCI (Union Cycliste Internationale) B. FIFA C. IOC D. Tannen</t>
  </si>
  <si>
    <t>Die Union Cycliste Internationale (UCI) ist der offizielle Dachverband für Radball.</t>
  </si>
  <si>
    <t>Which city was the birthplace of cycle ball?</t>
  </si>
  <si>
    <t>A. Munich B. Berlin C. Vienna D. Zurich</t>
  </si>
  <si>
    <t>Cycle ball originated in Munich in the late 19th century.</t>
  </si>
  <si>
    <t>Welche Stadt war der Geburtsort von Radball?</t>
  </si>
  <si>
    <t>A. München B. Berlin C. Wien D. Zürich</t>
  </si>
  <si>
    <t>Radball entstand im späten 19. Jahrhundert in München.</t>
  </si>
  <si>
    <t>How wide is the cycle ball goal?</t>
  </si>
  <si>
    <t>A. 3 meters B. 4 meters C. 5 meters D. 6 meters</t>
  </si>
  <si>
    <t>3 meters</t>
  </si>
  <si>
    <t>The goal width for cycle ball is 3 meters.</t>
  </si>
  <si>
    <t>Wie breit ist das Radball-Tor?</t>
  </si>
  <si>
    <t>A. 3 Meter B. 4 Meter C. 5 Meter D. 6 Meter</t>
  </si>
  <si>
    <t>3 Meter</t>
  </si>
  <si>
    <t>Die Radball-Torbreite beträgt 3 Meter.</t>
  </si>
  <si>
    <t>Which of these is a well-known cycle ball team?</t>
  </si>
  <si>
    <t>A. SV Wienerwald B. German Cycle Ball Association C. Cycle ball SC D. Cycle ball team Munich</t>
  </si>
  <si>
    <t>SV Wienerwald</t>
  </si>
  <si>
    <t>SV Wienerwald is a well-known team in the cycle ball community.</t>
  </si>
  <si>
    <t>Welches davon ist ein bekanntes Radball-Team?</t>
  </si>
  <si>
    <t>A. SV Wienerwald B. Deutscher Radballverband C. Radball-SC D. Radball-Mannschaft München</t>
  </si>
  <si>
    <t>Der SV Wienerwald ist ein bekanntes Team in der Radball-Community.</t>
  </si>
  <si>
    <t>Which part of the body is NOT allowed to touch the ball in cycle ball?</t>
  </si>
  <si>
    <t>A. feet B. hands C. Head D. Knee</t>
  </si>
  <si>
    <t>feet</t>
  </si>
  <si>
    <t>In cycle ball, players are not allowed to touch the ball with their feet.</t>
  </si>
  <si>
    <t>Welcher Körperteil darf beim Radball den Ball NICHT berühren?</t>
  </si>
  <si>
    <t>A. Füße B. Hände C. Kopf D. Knie</t>
  </si>
  <si>
    <t>Füße</t>
  </si>
  <si>
    <t>Beim Radball ist es den Spielern nicht gestattet, den Ball mit den Füßen zu berühren.</t>
  </si>
  <si>
    <t>Which country was the first to officially regulate cycle ball?</t>
  </si>
  <si>
    <t>Germany was the first country to officially regulate cycle ball at the end of the 19th century.</t>
  </si>
  <si>
    <t>Welches Land hat Radball als erstes offiziell reguliert?</t>
  </si>
  <si>
    <t>Deutschland war das erste Land, das Radball Ende des 19. Jahrhunderts offiziell regulierte.</t>
  </si>
  <si>
    <t>Who won the first Cycle Ball World Championship?</t>
  </si>
  <si>
    <t>Germany won the first cycle ball world championship at the beginning of the 20th century.</t>
  </si>
  <si>
    <t>Wer hat die erste Radball-Weltmeisterschaft gewonnen?</t>
  </si>
  <si>
    <t>Deutschland gewann Anfang des 20. Jahrhunderts die erste Radball-Weltmeisterschaft.</t>
  </si>
  <si>
    <t>In which year did cycle ball become part of the official UCI disciplines?</t>
  </si>
  <si>
    <t>A. 1902 B. 1924 C. 1930 D. 1950</t>
  </si>
  <si>
    <t>1924</t>
  </si>
  <si>
    <t>Cycle ball was officially recognized by the UCI in 1924.</t>
  </si>
  <si>
    <t>In welchem ​​Jahr wurde Radball Teil der offiziellen Disziplinen der UCI?</t>
  </si>
  <si>
    <t>Radball wurde 1924 von der UCI offiziell anerkannt.</t>
  </si>
  <si>
    <t>What is the main difference between cycle ball and traditional football?</t>
  </si>
  <si>
    <t>A. Cycle ball is played on bicycles B. Cycle ball uses a different type of ball. C. Cycle ball is played indoors D. Cycle ball has no goalkeepers.</t>
  </si>
  <si>
    <t>Cycle ball is played on bicycles</t>
  </si>
  <si>
    <t>The main difference is that cycle ball, unlike traditional football, is played on bicycles.</t>
  </si>
  <si>
    <t>Was ist der Hauptunterschied zwischen Radball und traditionellem Fußball?</t>
  </si>
  <si>
    <t>A. Cycleball wird auf Fahrrädern gespielt. B. Beim Cycleball wird ein anderer Balltyp verwendet. C. Cycleball wird in der Halle gespielt. D. Beim Cycleball gibt es keine Torhüter.</t>
  </si>
  <si>
    <t>Radball wird auf Fahrrädern gespielt</t>
  </si>
  <si>
    <t>Der Hauptunterschied besteht darin, dass Radball im Gegensatz zum traditionellen Fußball auf Fahrrädern gespielt wird.</t>
  </si>
  <si>
    <t>Which country dominates cycle ball at the World Championships?</t>
  </si>
  <si>
    <t>A. Germany B. Austria C. Switzerland D. Belgium</t>
  </si>
  <si>
    <t>Germany has always dominated cycle ball at the World Championships.</t>
  </si>
  <si>
    <t>Welches Land dominiert Radball bei der Weltmeisterschaft?</t>
  </si>
  <si>
    <t>A. Deutschland B. Österreich C. Schweiz D. Belgien</t>
  </si>
  <si>
    <t>Deutschland hat den Radball bei den Weltmeisterschaften schon immer dominiert.</t>
  </si>
  <si>
    <t>How long does a cycle ball game last?</t>
  </si>
  <si>
    <t>A. 30 minutes B. 45 minutes C. 60 minutes D. 90 minutes</t>
  </si>
  <si>
    <t>A typical cycle ball game lasts 30 minutes.</t>
  </si>
  <si>
    <t>Wie lange dauert ein Radball-Spiel?</t>
  </si>
  <si>
    <t>A. 30 Minuten B. 45 Minuten C. 60 Minuten D. 90 Minuten</t>
  </si>
  <si>
    <t>Ein typisches Radball-Spiel dauert 30 Minuten.</t>
  </si>
  <si>
    <t>What shape does the cycle ball field have?</t>
  </si>
  <si>
    <t>A. square B. Rectangular C. Circular D. Hexagonal</t>
  </si>
  <si>
    <t>The cycle ball field has a rectangular shape.</t>
  </si>
  <si>
    <t>Welche Form hat das Radball-Feld?</t>
  </si>
  <si>
    <t>A. Quadratisch B. Rechteckig C. Kreisförmig D. Sechseckig</t>
  </si>
  <si>
    <t>Das Radball-Feld hat eine rechteckige Form.</t>
  </si>
  <si>
    <t>What is the "circle" used for in cycle ball?</t>
  </si>
  <si>
    <t>A. To define the target area B. To define the team zones C. To mark the center of the field D. To display offside positions</t>
  </si>
  <si>
    <t>To define the target area</t>
  </si>
  <si>
    <t>The circle marks the goal area in cycle ball.</t>
  </si>
  <si>
    <t>Wofür wird in Radball der „Kreis“ verwendet?</t>
  </si>
  <si>
    <t>A. Zur Festlegung des Zielbereichs. B. Zur Festlegung der Mannschaftszonen. C. Zur Markierung der Spielfeldmitte. D. Zur Anzeige der Abseitspositionen.</t>
  </si>
  <si>
    <t>Zur Bezeichnung des Zielbereichs</t>
  </si>
  <si>
    <t>Der Kreis markiert den Torraum beim Radball.</t>
  </si>
  <si>
    <t>Which of these cycle ball players is famous for his skill?</t>
  </si>
  <si>
    <t>A. Franz Müller B. Maximilian Dufresne C. Peter Gerschner D. Jonas Wegner</t>
  </si>
  <si>
    <t>Franz Müller</t>
  </si>
  <si>
    <t>Franz Müller is a famous cycle ball player known for his exceptional skills.</t>
  </si>
  <si>
    <t>Welcher dieser Radball-Spieler ist für sein Können berühmt?</t>
  </si>
  <si>
    <t>Franz Müller ist ein berühmter Radballspieler, der für sein außergewöhnliches Können bekannt ist.</t>
  </si>
  <si>
    <t>What does a typical cycle ball bicycle frame consist of?</t>
  </si>
  <si>
    <t>A. Steel B. aluminum C. carbon fiber D. titanium</t>
  </si>
  <si>
    <t>Steel</t>
  </si>
  <si>
    <t>Cycle ball bicycles typically have steel frames for durability and strength.</t>
  </si>
  <si>
    <t>Woraus besteht der typische Radball-Fahrradrahmen?</t>
  </si>
  <si>
    <t>A. Stahl B. Aluminium C. Kohlenstofffaser D. Titan</t>
  </si>
  <si>
    <t>Radball-Fahrräder haben typischerweise Stahlrahmen für Haltbarkeit und Festigkeit.</t>
  </si>
  <si>
    <t>When did cycle ball make its debut at the UCI World Championships?</t>
  </si>
  <si>
    <t>A. 1924 B. 1936 C. 1940 D. 1952</t>
  </si>
  <si>
    <t>Cycle ball made its debut at the UCI World Championships in 1924.</t>
  </si>
  <si>
    <t>Wann gab Radball sein Debüt bei den UCI-Weltmeisterschaften?</t>
  </si>
  <si>
    <t>Radball feierte 1924 sein Debüt bei den UCI-Weltmeisterschaften.</t>
  </si>
  <si>
    <t>Which country has won the most cycle ball world championship titles?</t>
  </si>
  <si>
    <t>A. Germany B. Switzerland C. Austria D. Belgium</t>
  </si>
  <si>
    <t>Germany has won the most World Championship titles in cycle ball.</t>
  </si>
  <si>
    <t>Welches Land hat die meisten Radball-Weltmeisterschaftstitel gewonnen?</t>
  </si>
  <si>
    <t>A. Deutschland B. Schweiz C. Österreich D. Belgien</t>
  </si>
  <si>
    <t>Deutschland hat die meisten Radball-WM-Titel gewonnen.</t>
  </si>
  <si>
    <t>Which European country is known for having the most cycle ball clubs?</t>
  </si>
  <si>
    <t>Germany has the most cycle ball clubs in Europe.</t>
  </si>
  <si>
    <t>Welches europäische Land ist dafür bekannt, die meisten Radballvereine zu haben?</t>
  </si>
  <si>
    <t>Deutschland hat die meisten Radballvereine in Europa.</t>
  </si>
  <si>
    <t>What types of cycle ball games are played at the international level?</t>
  </si>
  <si>
    <t>A. Friendly matches B. Club matches C. National team games D. Cup competitions</t>
  </si>
  <si>
    <t>National team games</t>
  </si>
  <si>
    <t>At the international level, cycle ball matches are played between national teams.</t>
  </si>
  <si>
    <t>Welche Art von Radball-Spielen werden auf internationaler Ebene ausgetragen?</t>
  </si>
  <si>
    <t>A. Freundschaftsspiele B. Vereinsspiele C. Länderspiele D. Pokalwettbewerbe</t>
  </si>
  <si>
    <t>Spiele der Nationalmannschaft</t>
  </si>
  <si>
    <t>Auf internationaler Ebene werden Radball-Spiele zwischen Nationalmannschaften ausgetragen.</t>
  </si>
  <si>
    <t>Which country in the sport of cycle ball hosted the 2019 World Championships?</t>
  </si>
  <si>
    <t>Switzerland</t>
  </si>
  <si>
    <t>Switzerland hosted the 2019 Cycle Ball World Championships.</t>
  </si>
  <si>
    <t>Welches Radball-Land war Gastgeber der Weltmeisterschaft 2019?</t>
  </si>
  <si>
    <t>Schweiz</t>
  </si>
  <si>
    <t>Die Schweiz war Gastgeber der Radball-Weltmeisterschaft 2019.</t>
  </si>
  <si>
    <t>In which year did cycle ball first appear at the Summer Olympic Games?</t>
  </si>
  <si>
    <t>A. Never B. 1900 C. 1924 D. 1932</t>
  </si>
  <si>
    <t>Never</t>
  </si>
  <si>
    <t>Cycle ball has never participated in the Summer Olympic Games.</t>
  </si>
  <si>
    <t>In welchem ​​Jahr trat Radball zum ersten Mal bei den Olympischen Sommerspielen auf?</t>
  </si>
  <si>
    <t>A. Nie B. 1900 C. 1924 D. 1932</t>
  </si>
  <si>
    <t>Niemals</t>
  </si>
  <si>
    <t>Radball hat noch nie an den Olympischen Sommerspielen teilgenommen.</t>
  </si>
  <si>
    <t>A. A football B. A football C. A small rubber ball D. A handball</t>
  </si>
  <si>
    <t>A. Ein Fußball B. Ein Fußball C. Ein kleiner Gummiball D. Ein Handball</t>
  </si>
  <si>
    <t>At which event did the first international cycle ball competition take place?</t>
  </si>
  <si>
    <t>A. The first World Cup B. The first European Championship C. The first cycle ball league D. The first International Cycle Ball Cup</t>
  </si>
  <si>
    <t>The first World Cup</t>
  </si>
  <si>
    <t>The first international competition in cycle ball was the first World Championship.</t>
  </si>
  <si>
    <t>Bei welcher Veranstaltung fand der erste internationale Radball-Wettbewerb statt?</t>
  </si>
  <si>
    <t>A. Die erste Weltmeisterschaft B. Die erste Europameisterschaft C. Die erste Cycleball-Liga D. Der erste internationale Cycleball-Pokal</t>
  </si>
  <si>
    <t>Die erste Weltmeisterschaft</t>
  </si>
  <si>
    <t>Der erste internationale Wettbewerb im Radball war die erste Weltmeisterschaft.</t>
  </si>
  <si>
    <t>Which player controls the ball in cycle ball?</t>
  </si>
  <si>
    <t>A. Only the goalkeeper B. The strikers C. The defenders D. All players</t>
  </si>
  <si>
    <t>All players</t>
  </si>
  <si>
    <t>In cycle ball, all players have the opportunity to control the ball.</t>
  </si>
  <si>
    <t>Welcher Spieler kontrolliert bei Radball den Ball?</t>
  </si>
  <si>
    <t>A. Nur der Torwart B. Die Stürmer C. Die Verteidiger D. Alle Spieler</t>
  </si>
  <si>
    <t>Alle Spieler</t>
  </si>
  <si>
    <t>Bei Radball haben alle Spieler die Möglichkeit, den Ball zu kontrollieren.</t>
  </si>
  <si>
    <t>Which country introduced cycle ball as a sport at the beginning of the 20th century?</t>
  </si>
  <si>
    <t>A. Germany B. France C. Austria D. Switzerland</t>
  </si>
  <si>
    <t>Germany introduced cycle ball as a sport at the beginning of the 20th century.</t>
  </si>
  <si>
    <t>Welches Land führte Radball zu Beginn des 20. Jahrhunderts als Sport ein?</t>
  </si>
  <si>
    <t>A. Deutschland B. Frankreich C. Österreich D. Schweiz</t>
  </si>
  <si>
    <t>Deutschland führte Radball Anfang des 20. Jahrhunderts als Sportart ein.</t>
  </si>
  <si>
    <t>What is the official name for the handlebars of a cycle ball bicycle?</t>
  </si>
  <si>
    <t>A. handlebar B. handlebars C. control bar D. guide wheel</t>
  </si>
  <si>
    <t>handlebars</t>
  </si>
  <si>
    <t>The official name for the handlebars of a cycle ball bicycle is simply "handlebars".</t>
  </si>
  <si>
    <t>Wie lautet die offizielle Bezeichnung für den Lenker des Radball-Fahrrads?</t>
  </si>
  <si>
    <t>A. Lenker B. Lenker C. Bedienhebel D. Führungsrad</t>
  </si>
  <si>
    <t>Lenker</t>
  </si>
  <si>
    <t>Die offizielle Bezeichnung für den Lenker des Radball-Fahrrads lautet einfach „Lenker“.</t>
  </si>
  <si>
    <t>What are the official rules for cycle ball goalkeepers?</t>
  </si>
  <si>
    <t>A. The ball must not be touched with the feet. B. They can't score goals C. You must wear special gloves. D. You must not leave the goal area.</t>
  </si>
  <si>
    <t>You must not leave the goal area.</t>
  </si>
  <si>
    <t>Goalkeepers in cycle ball are not allowed to leave the goal area.</t>
  </si>
  <si>
    <t>Was ist die offizielle Regelung für Radball-Torhüter?</t>
  </si>
  <si>
    <t>A. Der Ball darf nicht mit den Füßen berührt werden. B. Sie dürfen keine Tore schießen. C. Sie müssen spezielle Handschuhe tragen. D. Sie dürfen den Torraum nicht verlassen.</t>
  </si>
  <si>
    <t>Sie dürfen den Torraum nicht verlassen</t>
  </si>
  <si>
    <t>Radball-Torhüter dürfen den Torraum nicht verlassen.</t>
  </si>
  <si>
    <t>How many players are on the field per team in cycle ball?</t>
  </si>
  <si>
    <t>A. 1 B. 2 C. 3 D. 4</t>
  </si>
  <si>
    <t>In cycle ball, each team consists of two players on the playing field.</t>
  </si>
  <si>
    <t>Wie viele Spieler sind bei Radball pro Team auf dem Spielfeld?</t>
  </si>
  <si>
    <t>Bei Radball besteht jedes Team aus jeweils zwei Spielern auf dem Spielfeld.</t>
  </si>
  <si>
    <t>What is the name of the umbrella organization for cycle ball in Switzerland?</t>
  </si>
  <si>
    <t>A. Swiss Cycle Ball Federation B. Swiss Cycling C. Cycle Ball Union Switzerland D. Swiss Football Association</t>
  </si>
  <si>
    <t>Swiss Cycling</t>
  </si>
  <si>
    <t>Swiss Cycling is the umbrella organization for cycle ball in Switzerland.</t>
  </si>
  <si>
    <t>Wie heißt der Dachverband des Radballs in der Schweiz?</t>
  </si>
  <si>
    <t>A. Schweizer Radballverband B. Schweizer Radsportverband C. Radballverband Schweiz D. Schweizer Fußballverband</t>
  </si>
  <si>
    <t>Swiss Cycling ist der Dachverband des Radballs in der Schweiz.</t>
  </si>
  <si>
    <t>What is the penalty for a foul in cycle ball?</t>
  </si>
  <si>
    <t>A. Free kick B. penalty kick C. Yellow card D. Red card</t>
  </si>
  <si>
    <t>Free kick</t>
  </si>
  <si>
    <t>The penalty for a foul in cycle ball is a free kick.</t>
  </si>
  <si>
    <t>Wie hoch ist die Strafe für ein Foul im Radball?</t>
  </si>
  <si>
    <t>A. Freistoß B. Elfmeter C. Gelbe Karte D. Rote Karte</t>
  </si>
  <si>
    <t>Freistoß</t>
  </si>
  <si>
    <t>Die Strafe für ein Foul im Radball ist ein Freistoß.</t>
  </si>
  <si>
    <t>When did the first Cycle Ball World Championship take place?</t>
  </si>
  <si>
    <t>A. 1924 B. 1930 C. 1945 D. 1952</t>
  </si>
  <si>
    <t>The first Cycle Ball World Championship took place in 1924.</t>
  </si>
  <si>
    <t>Wann fand die erste Radball-Weltmeisterschaft statt?</t>
  </si>
  <si>
    <t>Die erste Radball-Weltmeisterschaft fand 1924 statt.</t>
  </si>
  <si>
    <t>Which country has hosted the most Cycle Ball World Championships?</t>
  </si>
  <si>
    <t>Germany has hosted the most Cycle Ball World Championships.</t>
  </si>
  <si>
    <t>Welches Land hat die meisten Radball-Weltmeisterschaften?</t>
  </si>
  <si>
    <t>Deutschland hat die meisten Radball-Weltmeisterschaften.</t>
  </si>
  <si>
    <t>Who won the 2019 Cycle Ball World Championship?</t>
  </si>
  <si>
    <t>Germany won the 2019 Cycle Ball World Championship.</t>
  </si>
  <si>
    <t>Wer hat die Radball-Weltmeisterschaft 2019 gewonnen?</t>
  </si>
  <si>
    <t>Deutschland hat die Radball-Weltmeisterschaft 2019 gewonnen.</t>
  </si>
  <si>
    <t>A. 1924 B. 1932 C. 1940 D. 1950</t>
  </si>
  <si>
    <t>How many players are on each team in a cycle ball game?</t>
  </si>
  <si>
    <t>Each cycle ball team has 2 players on the field.</t>
  </si>
  <si>
    <t>Wie viele Spieler sind in jedem Team in einem Radball-Spiel?</t>
  </si>
  <si>
    <t>Jedes Radball-Team hat 2 Spieler auf dem Spielfeld.</t>
  </si>
  <si>
    <t>Which country was the first to win a cycle ball world championship?</t>
  </si>
  <si>
    <t>A. Germany B. Austria C. Switzerland D. Italy</t>
  </si>
  <si>
    <t>Germany was the first country to win a cycle ball world championship.</t>
  </si>
  <si>
    <t>Welches Land gewann als erstes eine Radball-Weltmeisterschaft?</t>
  </si>
  <si>
    <t>A. Deutschland B. Österreich C. Schweiz D. Italien</t>
  </si>
  <si>
    <t>Deutschland war das erste Land, das eine Radball-Weltmeisterschaft gewann.</t>
  </si>
  <si>
    <t>Which country hosted the 2016 Cycle Ball World Championships?</t>
  </si>
  <si>
    <t>Switzerland hosted the 2016 Cycle Ball World Championships.</t>
  </si>
  <si>
    <t>Welches Land war Gastgeber der Radball-Weltmeisterschaft 2016?</t>
  </si>
  <si>
    <t>Die Schweiz war Gastgeber der Radball-Weltmeisterschaft 2016.</t>
  </si>
  <si>
    <t>How long is an official cycle ball match?</t>
  </si>
  <si>
    <t>A. 15 minutes B. 30 minutes C. 45 minutes D. 60 minutes</t>
  </si>
  <si>
    <t>Wie lang ist ein Radball-Spiel offiziell?</t>
  </si>
  <si>
    <t>A. 15 Minuten B. 30 Minuten C. 45 Minuten D. 60 Minuten</t>
  </si>
  <si>
    <t>What event in 1924 marked the international debut of cycle ball?</t>
  </si>
  <si>
    <t>A. The first cycle ball world championship B. The first European Cup C. The first cycle ball world championship D. The first cycle ball league</t>
  </si>
  <si>
    <t>The first cycle ball world championship</t>
  </si>
  <si>
    <t>The first international cycle ball competition was the World Championship in 1924.</t>
  </si>
  <si>
    <t>Welches Ereignis im Jahr 1924 markierte das internationale Debüt von Radball?</t>
  </si>
  <si>
    <t>A. Die erste Radball-Weltmeisterschaft B. Der erste Europapokal C. Die erste Radball-Weltmeisterschaft D. Die erste Radball-Liga</t>
  </si>
  <si>
    <t>Die erste Radball-Weltmeisterschaft</t>
  </si>
  <si>
    <t>Der erste internationale Radball-Wettbewerb war die Weltmeisterschaft 1924.</t>
  </si>
  <si>
    <t>A. A football B. A rubber ball C. A handball D. A tennis ball</t>
  </si>
  <si>
    <t>A rubber ball</t>
  </si>
  <si>
    <t>Cycle ball uses a small rubber ball.</t>
  </si>
  <si>
    <t>A. Ein Fußball B. Ein Gummiball C. Ein Handball D. Ein Tennisball</t>
  </si>
  <si>
    <t>Ein Gummiball</t>
  </si>
  <si>
    <t>Radball verwendet einen kleinen Gummiball.</t>
  </si>
  <si>
    <t>Which country dominated cycle ball in the 1960s?</t>
  </si>
  <si>
    <t>Germany dominated cycle ball in the 1960s.</t>
  </si>
  <si>
    <t>Welches Land dominierte Radball in den 1960er Jahren?</t>
  </si>
  <si>
    <t>Deutschland dominierte Radball in den 1960er Jahren.</t>
  </si>
  <si>
    <t>What material is typically used for cycle ball bicycles?</t>
  </si>
  <si>
    <t>A. Steel B. aluminum C. carbon fiber D. Wood</t>
  </si>
  <si>
    <t>Cycle ball bicycles are usually made of steel for durability reasons.</t>
  </si>
  <si>
    <t>Welches Material wird üblicherweise für Radball-Fahrräder verwendet?</t>
  </si>
  <si>
    <t>A. Stahl B. Aluminium C. Kohlenstofffaser D. Holz</t>
  </si>
  <si>
    <t>Radball-Fahrräder werden aus Gründen der Haltbarkeit normalerweise aus Stahl hergestellt.</t>
  </si>
  <si>
    <t>A. Free kick B. Yellow card C. Red card D. penalty kick</t>
  </si>
  <si>
    <t>A. Freistoß B. Gelbe Karte C. Rote Karte D. Elfmeter</t>
  </si>
  <si>
    <t>When was cycle ball officially recognized by the UCI?</t>
  </si>
  <si>
    <t>A. 1924 B. 1930 C. 1952 D. 1960</t>
  </si>
  <si>
    <t>Wann wurde Radball offiziell von der UCI anerkannt?</t>
  </si>
  <si>
    <t>Which country hosted the first European Cycle Ball Championship?</t>
  </si>
  <si>
    <t>Germany hosted the first European Cycle Ball Championship.</t>
  </si>
  <si>
    <t>Welches Land war Gastgeber der ersten Radball-Europameisterschaft?</t>
  </si>
  <si>
    <t>Deutschland war Gastgeber der ersten Radball-Europameisterschaft.</t>
  </si>
  <si>
    <t>Which country is known for having the most cycle ball clubs?</t>
  </si>
  <si>
    <t>Germany has the most cycle ball clubs in the world.</t>
  </si>
  <si>
    <t>Welches Land ist dafür bekannt, die meisten Radballvereine zu haben?</t>
  </si>
  <si>
    <t>Deutschland hat die meisten Radballvereine der Welt.</t>
  </si>
  <si>
    <t>A. Standard racing bikes B. Specially designed bicycles C. Mountain bikes D. Track bicycles</t>
  </si>
  <si>
    <t>Specially designed bicycles</t>
  </si>
  <si>
    <t>Cycle ball uses specially designed bicycles with a fixed gear.</t>
  </si>
  <si>
    <t>A. Standard-Rennräder B. Spezialfahrräder C. Mountainbikes D. Bahnräder</t>
  </si>
  <si>
    <t>Speziell entwickelte Fahrräder</t>
  </si>
  <si>
    <t>Radball verwendet speziell entwickelte Fahrräder mit festem Gang.</t>
  </si>
  <si>
    <t>A. Berlin B. Vienna C. Zurich D. Munich</t>
  </si>
  <si>
    <t>A. Berlin B. Wien C. Zürich D. München</t>
  </si>
  <si>
    <t>Which country was most successful in cycle ball in the 1980s?</t>
  </si>
  <si>
    <t>Germany was the most successful cycle ball nation in the 1980s.</t>
  </si>
  <si>
    <t>Welches Land war in den 1980er Jahren im Radball am erfolgreichsten?</t>
  </si>
  <si>
    <t>Deutschland war in den 1980er Jahren die erfolgreichste Radball-Nation.</t>
  </si>
  <si>
    <t>Who was the first team to win the Cycle Ball World Championship in 1924?</t>
  </si>
  <si>
    <t>Germany was the first team to win the Cycle Ball World Championship in 1924.</t>
  </si>
  <si>
    <t>Wer war 1924 die erste Mannschaft, die die Radball-Weltmeisterschaft gewann?</t>
  </si>
  <si>
    <t>Deutschland war 1924 die erste Mannschaft, die die Radball-Weltmeisterschaft gewann.</t>
  </si>
  <si>
    <t>Which country was the first to establish a cycle ball league?</t>
  </si>
  <si>
    <t>Germany has founded the first cycle ball league.</t>
  </si>
  <si>
    <t>Welches Land hat als erstes eine Radball-Liga gegründet?</t>
  </si>
  <si>
    <t>Deutschland hat die erste Radballliga gegründet.</t>
  </si>
  <si>
    <t>What event took place for the first time in cycle ball in 1930?</t>
  </si>
  <si>
    <t>A. World Championship B. European Championship C. World Championship D. Cycle ball league</t>
  </si>
  <si>
    <t>World Championship</t>
  </si>
  <si>
    <t>Welches Ereignis fand 1930 zum ersten Mal in Radball statt?</t>
  </si>
  <si>
    <t>A. Weltmeisterschaft B. Europameisterschaft C. Weltmeisterschaft D. Radsportliga</t>
  </si>
  <si>
    <t>Weltmeisterschaft</t>
  </si>
  <si>
    <t>What is the maximum number of players allowed to participate in a cycle ball game?</t>
  </si>
  <si>
    <t>A. 2 B. 3 C. 5 D. 7</t>
  </si>
  <si>
    <t>Two players per team participate in a cycle ball game.</t>
  </si>
  <si>
    <t>Wie viele Spieler darf maximal an einem Radball-Spiel teilnehmen?</t>
  </si>
  <si>
    <t>An einem Radball-Spiel nehmen 2 Spieler pro Team teil.</t>
  </si>
  <si>
    <t>How long does a standard cycle ball game last?</t>
  </si>
  <si>
    <t>A. 20 minutes B. 30 minutes C. 40 minutes D. 60 minutes</t>
  </si>
  <si>
    <t>A normal cycle ball game lasts 30 minutes.</t>
  </si>
  <si>
    <t>Wie lange dauert ein Standard-Radball-Spiel?</t>
  </si>
  <si>
    <t>A. 20 Minuten B. 30 Minuten C. 40 Minuten D. 60 Minuten</t>
  </si>
  <si>
    <t>Ein normales Radball-Spiel dauert 30 Minuten.</t>
  </si>
  <si>
    <t>Which of these countries is known as one of the best competitors in cycle ball?</t>
  </si>
  <si>
    <t>A. Germany B. Italy C. Spain D. Portugal</t>
  </si>
  <si>
    <t>Germany is one of the top competitors in cycle ball.</t>
  </si>
  <si>
    <t>Welches dieser Länder ist als einer der besten Radball-Konkurrenten bekannt?</t>
  </si>
  <si>
    <t>A. Deutschland B. Italien C. Spanien D. Portugal</t>
  </si>
  <si>
    <t>Deutschland ist einer der Top-Radball-Konkurrenten.</t>
  </si>
  <si>
    <t>How many goals are usually needed to win a cycle ball match?</t>
  </si>
  <si>
    <t>A. 5 B. 10 C. 15 D. No fixed number</t>
  </si>
  <si>
    <t>No fixed number</t>
  </si>
  <si>
    <t>Cycle ball games are not limited to a specific number of goals; the team with the highest score wins.</t>
  </si>
  <si>
    <t>Wie viele Tore sind normalerweise erforderlich, um ein Radball-Spiel zu gewinnen?</t>
  </si>
  <si>
    <t>A. 5 B. 10 C. 15 D. Keine feste Anzahl</t>
  </si>
  <si>
    <t>Keine festgelegte Nummer</t>
  </si>
  <si>
    <t>Radball-Spiele sind nicht auf eine bestimmte Anzahl von Toren beschränkt; Das Team mit der höchsten Punktzahl gewinnt.</t>
  </si>
  <si>
    <t>A. UCI B. FIFA C. IOC D. UEFA</t>
  </si>
  <si>
    <t>The official governing body of cycle ball is the Union Cycliste Internationale (UCI).</t>
  </si>
  <si>
    <t>Der offizielle Dachverband von Radball ist die Union Cycliste Internationale (UCI).</t>
  </si>
  <si>
    <t>Which country won the most cycle ball world championships in the 20th century?</t>
  </si>
  <si>
    <t>A. Germany B. Switzerland C. Austria D. Italy</t>
  </si>
  <si>
    <t>Germany won the most cycle ball world championships in the 20th century.</t>
  </si>
  <si>
    <t>Welches Land hat im 20. Jahrhundert die meisten Radball-Weltmeisterschaften gewonnen?</t>
  </si>
  <si>
    <t>A. Deutschland B. Schweiz C. Österreich D. Italien</t>
  </si>
  <si>
    <t>Deutschland hat im 20. Jahrhundert die meisten Radball-Weltmeisterschaften gewonnen.</t>
  </si>
  <si>
    <t>What was the original purpose of the sport of cycle ball?</t>
  </si>
  <si>
    <t>A. To create a new form of football B. Combine cycling with football C. To test cycling skills D. For entertainment at festivals</t>
  </si>
  <si>
    <t>Combine cycling with football</t>
  </si>
  <si>
    <t>Cycle ball was developed to combine cycling and football.</t>
  </si>
  <si>
    <t>Was war der ursprüngliche Zweck der Sportart Radball?</t>
  </si>
  <si>
    <t>A. Um eine neue Fußballform zu entwickeln. B. Um Radfahren mit Fußball zu kombinieren. C. Um Radfahrfähigkeiten zu testen. D. Zur Unterhaltung auf Festivals.</t>
  </si>
  <si>
    <t>Radfahren mit Fußball verbinden</t>
  </si>
  <si>
    <t>Radball wurde entwickelt, um Radfahren und Fußball zu verbinden.</t>
  </si>
  <si>
    <t>In which year was the first Cycle Ball World Championship organized?</t>
  </si>
  <si>
    <t>A. 1924 B. 1928 C. 1932 D. 1936</t>
  </si>
  <si>
    <t>The first Cycle Ball World Championship was organized in 1924.</t>
  </si>
  <si>
    <t>In welchem ​​Jahr wurde die erste Radball-Weltmeisterschaft organisiert?</t>
  </si>
  <si>
    <t>Die erste Radball-Weltmeisterschaft wurde 1924 organisiert.</t>
  </si>
  <si>
    <t>Which country first introduced cycle ball to the world?</t>
  </si>
  <si>
    <t>Cycle ball was first introduced in Germany.</t>
  </si>
  <si>
    <t>Welches Land hat Radball erstmals der Welt vorgestellt?</t>
  </si>
  <si>
    <t>Radball wurde erstmals in Deutschland eingeführt.</t>
  </si>
  <si>
    <t>In which country did the first international cycle ball competition take place?</t>
  </si>
  <si>
    <t>Germany hosted the first international cycle ball competition.</t>
  </si>
  <si>
    <t>In welchem ​​Land fand der erste internationale Radball-Wettbewerb statt?</t>
  </si>
  <si>
    <t>Deutschland war Gastgeber des ersten internationalen Radball-Wettbewerbs.</t>
  </si>
  <si>
    <t>Which major international sports organization recognizes cycle ball?</t>
  </si>
  <si>
    <t>A. International Cycling Union (UCI) B. FIFA C. IOC D. UEFA</t>
  </si>
  <si>
    <t>Cycle ball is recognized by the International Cycling Union (UCI).</t>
  </si>
  <si>
    <t>Welche große internationale Sportorganisation erkennt Radball an?</t>
  </si>
  <si>
    <t>A. Weltradsportverband (UCI) B. FIFA C. IOC D. UEFA</t>
  </si>
  <si>
    <t>Radball ist von der International Cycling Union (UCI) anerkannt.</t>
  </si>
  <si>
    <t>Which country produced the most successful cycle ball teams in the 1980s?</t>
  </si>
  <si>
    <t>Germany developed the most successful cycle ball teams in the 1980s.</t>
  </si>
  <si>
    <t>Welches Land hat in den 1980er Jahren die erfolgreichsten Radballmannschaften hervorgebracht?</t>
  </si>
  <si>
    <t>Deutschland entwickelte in den 1980er Jahren die erfolgreichsten Radballmannschaften.</t>
  </si>
  <si>
    <t>Who won the 2015 Cycle Ball World Championship?</t>
  </si>
  <si>
    <t>Germany won the 2015 Cycle Ball World Championship.</t>
  </si>
  <si>
    <t>Wer hat die Radball-Weltmeisterschaft 2015 gewonnen?</t>
  </si>
  <si>
    <t>Deutschland hat die Radball-Weltmeisterschaft 2015 gewonnen.</t>
  </si>
  <si>
    <t>Which country had the most victories at the Cycle Ball World Championships of the 1970s?</t>
  </si>
  <si>
    <t>Germany had the most victories at the Cycle Ball World Championships in the 1970s.</t>
  </si>
  <si>
    <t>Welches Land hatte die meisten Siege bei den Radball-Weltmeisterschaften der 1970er Jahre?</t>
  </si>
  <si>
    <t>Deutschland hatte die meisten Siege bei den Radball-Weltmeisterschaften der 1970er Jahre.</t>
  </si>
  <si>
    <t>Which country is known as the birthplace of cycle ball?</t>
  </si>
  <si>
    <t>Germany is considered the birthplace of cycle ball.</t>
  </si>
  <si>
    <t>Welches Land ist als Geburtsort von Radball bekannt?</t>
  </si>
  <si>
    <t>Deutschland gilt als Geburtsort von Radball.</t>
  </si>
  <si>
    <t>Which country has the second most successful cycle ball team in the history of the World Championship?</t>
  </si>
  <si>
    <t>A. Switzerland B. Austria C. Germany D. France</t>
  </si>
  <si>
    <t>Switzerland is the second most successful cycle ball team in the history of the World Championship.</t>
  </si>
  <si>
    <t>Welches Land ist das zweiterfolgreichste Radball-Team in der Geschichte der Weltmeisterschaft?</t>
  </si>
  <si>
    <t>A. Schweiz B. Österreich C. Deutschland D. Frankreich</t>
  </si>
  <si>
    <t>Die Schweiz ist das zweiterfolgreichste Radball-Team in der Geschichte der Weltmeisterschaft.</t>
  </si>
  <si>
    <t>What is the maximum permissible size of the playing area in cycle ball?</t>
  </si>
  <si>
    <t>A. 25m x 20m B. 30m x 20m C. 35m x 25m D. 40m x 30m</t>
  </si>
  <si>
    <t>25m x 20m</t>
  </si>
  <si>
    <t>The maximum playing area for cycle ball is 25m x 20m.</t>
  </si>
  <si>
    <t>Wie groß darf die Spielfläche beim Radball maximal sein?</t>
  </si>
  <si>
    <t>A. 25 m x 20 m B. 30 m x 20 m C. 35 m x 25 m D. 40 m x 30 m</t>
  </si>
  <si>
    <t>Die maximale Spielfläche für Radball beträgt 25m x 20m.</t>
  </si>
  <si>
    <t>In which year was the 50th anniversary of the Cycle Ball World Championship celebrated?</t>
  </si>
  <si>
    <t>A. 1974 B. 1984 C. 1994 D. 2004</t>
  </si>
  <si>
    <t>1974</t>
  </si>
  <si>
    <t>The 50th anniversary of the Cycle Ball World Championship was celebrated in 1974.</t>
  </si>
  <si>
    <t>In welchem ​​Jahr jährte sich die Radball-Weltmeisterschaft zum 50. Mal?</t>
  </si>
  <si>
    <t>Der 50. Jahrestag der Radball-Weltmeisterschaft wurde 1974 gefeiert.</t>
  </si>
  <si>
    <t>When was the first cycle ball league organized?</t>
  </si>
  <si>
    <t>A. 1924 B. 1930 C. 1940 D. 1950</t>
  </si>
  <si>
    <t>The first cycle ball league was founded in 1924.</t>
  </si>
  <si>
    <t>Wann wurde die erste Radball-Liga organisiert?</t>
  </si>
  <si>
    <t>Die erste Radballliga wurde 1924 gegründet.</t>
  </si>
  <si>
    <t>Which country introduced cycle ball to Austria?</t>
  </si>
  <si>
    <t>A. Germany B. Switzerland C. Netherlands D. Belgium</t>
  </si>
  <si>
    <t>Germany introduced cycle ball to Austria.</t>
  </si>
  <si>
    <t>Welches Land hat Radball in Österreich eingeführt?</t>
  </si>
  <si>
    <t>A. Deutschland B. Schweiz C. Niederlande D. Belgien</t>
  </si>
  <si>
    <t>Deutschland führte Radball in Österreich ein.</t>
  </si>
  <si>
    <t>How many teams participated in the first Cycle Ball World Championship?</t>
  </si>
  <si>
    <t>A. 4 B. 6 C. 8 D. 10</t>
  </si>
  <si>
    <t>Four teams participated in the first Cycle Ball World Championship.</t>
  </si>
  <si>
    <t>Wie viele Teams nahmen an der ersten Radball-Weltmeisterschaft teil?</t>
  </si>
  <si>
    <t>An der ersten Radball-Weltmeisterschaft nahmen vier Mannschaften teil.</t>
  </si>
  <si>
    <t>A. Berlin B. Zurich C. Vienna D. Munich</t>
  </si>
  <si>
    <t>A. Berlin B. Zürich C. Wien D. München</t>
  </si>
  <si>
    <t>Which country hosted the Cycle Ball World Championships in 1980?</t>
  </si>
  <si>
    <t>Switzerland hosted the Cycle Ball World Championships in 1980.</t>
  </si>
  <si>
    <t>Welches Land war 1980 Gastgeber der Radball-Weltmeisterschaft?</t>
  </si>
  <si>
    <t>Die Schweiz war 1980 Gastgeber der Radball-Weltmeisterschaft.</t>
  </si>
  <si>
    <t>How long does a cycle ball game officially last?</t>
  </si>
  <si>
    <t>A. 15 minutes B. 20 minutes C. 30 minutes D. 45 minutes</t>
  </si>
  <si>
    <t>Wie lange dauert ein Radball-Spiel offiziell?</t>
  </si>
  <si>
    <t>A. 15 Minuten B. 20 Minuten C. 30 Minuten D. 45 Minuten</t>
  </si>
  <si>
    <t>Who won the Cycle Ball World Championship in 1990?</t>
  </si>
  <si>
    <t>Germany won the Cycle Ball World Championship in 1990.</t>
  </si>
  <si>
    <t>Wer gewann 1990 die Radball-Weltmeisterschaft?</t>
  </si>
  <si>
    <t>Deutschland gewann 1990 die Radball-Weltmeisterschaft.</t>
  </si>
  <si>
    <t>Which country is known for having produced the most successful cycle ball teams in recent years?</t>
  </si>
  <si>
    <t>Germany has produced the most successful cycle ball teams in recent years.</t>
  </si>
  <si>
    <t>Welches Land ist dafür bekannt, in den letzten Jahren die erfolgreichsten Radball-Teams hervorgebracht zu haben?</t>
  </si>
  <si>
    <t>Deutschland hat in den letzten Jahren die erfolgreichsten Radballmannschaften hervorgebracht.</t>
  </si>
  <si>
    <t>Germany hosted the first Cycle Ball World Championship.</t>
  </si>
  <si>
    <t>Deutschland war Gastgeber der ersten Radball-Weltmeisterschaft.</t>
  </si>
  <si>
    <t>Who was the first team to win two consecutive cycle ball world championships?</t>
  </si>
  <si>
    <t>Germany was the first team to win the Cycle Ball World Championship in a row.</t>
  </si>
  <si>
    <t>Wer war das erste Team, das zwei Radball-Weltmeisterschaften in Folge gewann?</t>
  </si>
  <si>
    <t>Deutschland war die erste Mannschaft, die in Folge die Radball-Weltmeisterschaft gewinnen konnte.</t>
  </si>
  <si>
    <t>In which decade did cycle ball gain international recognition?</t>
  </si>
  <si>
    <t>A. 1920s B. 1930s C. 1940s D. 1950s</t>
  </si>
  <si>
    <t>1920s</t>
  </si>
  <si>
    <t>Cycle ball gained international recognition in the 1920s.</t>
  </si>
  <si>
    <t>In welchem ​​Jahrzehnt erlangte Radball internationale Anerkennung?</t>
  </si>
  <si>
    <t>A. 1920er Jahre B. 1930er Jahre C. 1940er Jahre D. 1950er Jahre</t>
  </si>
  <si>
    <t>Radball erlangte in den 1920er Jahren internationale Anerkennung.</t>
  </si>
  <si>
    <t>Which country introduced cycle ball to Switzerland?</t>
  </si>
  <si>
    <t>A. Germany B. Austria C. Belgium D. Italy</t>
  </si>
  <si>
    <t>Germany introduced cycle ball to Switzerland.</t>
  </si>
  <si>
    <t>Welches Land hat Radball in die Schweiz eingeführt?</t>
  </si>
  <si>
    <t>A. Deutschland B. Österreich C. Belgien D. Italien</t>
  </si>
  <si>
    <t>Deutschland führte Radball in die Schweiz ein.</t>
  </si>
  <si>
    <t>Which cycle ball team was known for dominating the sport in the 1970s?</t>
  </si>
  <si>
    <t>Germany dominated the Cycle Ball World Championship in the 1970s.</t>
  </si>
  <si>
    <t>Welches Radball-Team war in den 1970er Jahren dafür bekannt, den Sport zu dominieren?</t>
  </si>
  <si>
    <t>Deutschland dominierte in den 1970er Jahren die Radball-Weltmeisterschaft.</t>
  </si>
  <si>
    <t>In which year did cycle ball become part of the UCI?</t>
  </si>
  <si>
    <t>Cycle ball became part of the UCI in 1924.</t>
  </si>
  <si>
    <t>In welchem ​​Jahr wurde Radball Teil der UCI?</t>
  </si>
  <si>
    <t>Radball wurde 1924 Teil der UCI.</t>
  </si>
  <si>
    <t>Which country won the Cycle Ball World Championship in 1965?</t>
  </si>
  <si>
    <t>Germany won the Cycle Ball World Championship in 1965.</t>
  </si>
  <si>
    <t>Welches Land gewann 1965 die Radball-Weltmeisterschaft?</t>
  </si>
  <si>
    <t>Deutschland gewann 1965 die Radball-Weltmeisterschaft.</t>
  </si>
  <si>
    <t>What is the maximum size of the playing field in cycle ball?</t>
  </si>
  <si>
    <t>A. 30m x 20m B. 25m x 20m C. 35m x 25m D. 40m x 30m</t>
  </si>
  <si>
    <t>30m x 20m</t>
  </si>
  <si>
    <t>The maximum playing field size for cycle ball is 30m x 20m.</t>
  </si>
  <si>
    <t>Wie groß darf das Spielfeld beim Radball maximal sein?</t>
  </si>
  <si>
    <t>A. 30 m x 20 m B. 25 m x 20 m C. 35 m x 25 m D. 40 m x 30 m</t>
  </si>
  <si>
    <t>Die maximale Spielfeldgröße für Radball beträgt 30m x 20m.</t>
  </si>
  <si>
    <t>Which country was most successful in cycle ball in the 1950s?</t>
  </si>
  <si>
    <t>Germany was the most successful country in cycle ball in the 1950s.</t>
  </si>
  <si>
    <t>Welches Land war in den 1950er Jahren im Radball am erfolgreichsten?</t>
  </si>
  <si>
    <t>Deutschland war in den 1950er Jahren das erfolgreichste Radball-Land.</t>
  </si>
  <si>
    <t>Who were the most successful cycle ball players of the 1980s?</t>
  </si>
  <si>
    <t>Germany produced the most successful cycle ball players in the 1980s.</t>
  </si>
  <si>
    <t>Wer waren die erfolgreichsten Radballspieler der 1980er Jahre?</t>
  </si>
  <si>
    <t>Deutschland brachte in den 1980er Jahren die erfolgreichsten Radballspieler hervor.</t>
  </si>
  <si>
    <t>Which country has consistently produced the most cycle ball champions?</t>
  </si>
  <si>
    <t>Germany has produced the most cycle ball champions.</t>
  </si>
  <si>
    <t>Welches Land hat durchweg die meisten Radball-Meister hervorgebracht?</t>
  </si>
  <si>
    <t>Deutschland hat die meisten Radball-Meister hervorgebracht.</t>
  </si>
  <si>
    <t>In which year was cycle ball first included in the European Cycling Championships?</t>
  </si>
  <si>
    <t>A. 1924 B. 1930 C. 1936 D. 1950</t>
  </si>
  <si>
    <t>Cycle ball was first included in the European Cycling Championship in 1930.</t>
  </si>
  <si>
    <t>In welchem ​​Jahr wurde Radball erstmals in die Radsport-Europameisterschaft aufgenommen?</t>
  </si>
  <si>
    <t>Radball wurde erstmals 1930 in die Radsport-Europameisterschaft aufgenommen.</t>
  </si>
  <si>
    <t>Who was the first non-German player to win a cycle ball world championship?</t>
  </si>
  <si>
    <t>A. Austrian B. Swiss C. French D. Belgian</t>
  </si>
  <si>
    <t>Swiss</t>
  </si>
  <si>
    <t>The first non-German player to win a cycle ball world championship was Swiss.</t>
  </si>
  <si>
    <t>Wer war der erste nicht-deutsche Spieler, der eine Radball-Weltmeisterschaft gewann?</t>
  </si>
  <si>
    <t>A. Österreichisch B. Schweizerisch C. Französisch D. Belgisch</t>
  </si>
  <si>
    <t>Schweizer</t>
  </si>
  <si>
    <t>Der erste nicht-deutsche Spieler, der eine Radball-Weltmeisterschaft gewann, war ein Schweizer.</t>
  </si>
  <si>
    <t>In which city did the Cycle Ball World Championship take place in 1984?</t>
  </si>
  <si>
    <t>A. Zurich B. Vienna C. Berlin D. Munich</t>
  </si>
  <si>
    <t>Vienna</t>
  </si>
  <si>
    <t>Vienna hosted the Cycle Ball World Championships in 1984.</t>
  </si>
  <si>
    <t>In welcher Stadt fand 1984 die Radball-Weltmeisterschaft statt?</t>
  </si>
  <si>
    <t>A. Zürich B. Wien C. Berlin D. München</t>
  </si>
  <si>
    <t>Wien war 1984 Austragungsort der Radball-Weltmeisterschaft.</t>
  </si>
  <si>
    <t>How long does a cycle ball race last?</t>
  </si>
  <si>
    <t>A. 20 minutes B. 25 minutes C. 30 minutes D. 45 minutes</t>
  </si>
  <si>
    <t>A cycle ball race lasts 30 minutes.</t>
  </si>
  <si>
    <t>Wie lange dauert ein Radball-Radrennen?</t>
  </si>
  <si>
    <t>A. 20 Minuten B. 25 Minuten C. 30 Minuten D. 45 Minuten</t>
  </si>
  <si>
    <t>Ein Radball-Radrennen dauert 30 Minuten.</t>
  </si>
  <si>
    <t>Which country has dominated cycle ball in the 21st century?</t>
  </si>
  <si>
    <t>Germany has dominated cycle ball in the 21st century.</t>
  </si>
  <si>
    <t>Welches Land hat Radball im 21. Jahrhundert dominiert?</t>
  </si>
  <si>
    <t>Deutschland hat den Radball im 21. Jahrhundert dominiert.</t>
  </si>
  <si>
    <t>What is the scoring system in cycle ball?</t>
  </si>
  <si>
    <t>A. 2 points per goal B. 1 point per goal C. 3 points per goal D. 5 points per goal</t>
  </si>
  <si>
    <t>1 point per goal</t>
  </si>
  <si>
    <t>Cycle ball awards 1 point for each goal scored.</t>
  </si>
  <si>
    <t>Was ist das Torwertungssystem in Radball?</t>
  </si>
  <si>
    <t>A. 2 Punkte pro Tor B. 1 Punkt pro Tor C. 3 Punkte pro Tor D. 5 Punkte pro Tor</t>
  </si>
  <si>
    <t>1 Punkt pro Tor</t>
  </si>
  <si>
    <t>Für jedes erzielte Tor vergibt Radball 1 Punkt.</t>
  </si>
  <si>
    <t>What is the main objective in cycle ball?</t>
  </si>
  <si>
    <t>A. Scoring goals B. Defend the goal C. Maintain possession of the ball D. Outperform your opponent</t>
  </si>
  <si>
    <t>The main goal in cycle ball is to score goals.</t>
  </si>
  <si>
    <t>Was ist das Hauptziel in Radball?</t>
  </si>
  <si>
    <t>A. Tore erzielen B. Das Tor verteidigen C. Ballbesitz sichern D. Den Gegner übertreffen</t>
  </si>
  <si>
    <t>Das Hauptziel bei Radball ist es, Tore zu schießen.</t>
  </si>
  <si>
    <t>Who was the first player to score 100 goals in cycle ball?</t>
  </si>
  <si>
    <t>A. German player B. Austrian player C. Swiss players D. Belgian player</t>
  </si>
  <si>
    <t>German player</t>
  </si>
  <si>
    <t>A German player was the first to score 100 goals in cycle ball.</t>
  </si>
  <si>
    <t>Wer war der erste Spieler, der im Radball 100 Tore schoss?</t>
  </si>
  <si>
    <t>A. Deutscher Spieler B. Österreichischer Spieler C. Schweizer Spieler D. Belgischer Spieler</t>
  </si>
  <si>
    <t>Deutscher Spieler</t>
  </si>
  <si>
    <t>Ein deutscher Spieler war der erste, der im Radball 100 Tore erzielte.</t>
  </si>
  <si>
    <t>Who was the first team to win the Cycle Ball World Championship three times?</t>
  </si>
  <si>
    <t>Germany was the first team to win the Cycle Ball World Championship three times.</t>
  </si>
  <si>
    <t>Wer war das erste Team, das dreimal die Radball-Weltmeisterschaft gewann?</t>
  </si>
  <si>
    <t>Deutschland war die erste Mannschaft, die dreimal die Radball-Weltmeisterschaft gewinnen konnte.</t>
  </si>
  <si>
    <t>In which year did cycle ball make its debut at the Summer Olympic Games?</t>
  </si>
  <si>
    <t>A. 1940 B. 1952 C. 1960 D. 1972</t>
  </si>
  <si>
    <t>Not included in the scope of delivery</t>
  </si>
  <si>
    <t>Cycle ball was never included in the Summer Olympic Games.</t>
  </si>
  <si>
    <t>In welchem ​​Jahr gab Radball sein Debüt bei den Olympischen Sommerspielen?</t>
  </si>
  <si>
    <t>Nicht im Lieferumfang enthalten</t>
  </si>
  <si>
    <t>Radball wurde nie in die Olympischen Sommerspiele aufgenommen.</t>
  </si>
  <si>
    <t>A. In 1900 B. In the year 1750 C. In 1875 D. In 1880</t>
  </si>
  <si>
    <t>Wann fand der erste offizielle Quoits-Wettbewerb statt?</t>
  </si>
  <si>
    <t>A. Im Jahr 1900 B. Im Jahr 1750 C. Im Jahr 1875 D. Im Jahr 1880</t>
  </si>
  <si>
    <t>Im Jahr 1880</t>
  </si>
  <si>
    <t>Der erste formelle Quoits-Wettbewerb fand vermutlich im Jahr 1880 statt.</t>
  </si>
  <si>
    <t>A. Germany B. United States C. France D. England</t>
  </si>
  <si>
    <t>Welchem ​​Land wird die Erfindung von Quoits zugeschrieben?</t>
  </si>
  <si>
    <t>A. Deutschland B. Vereinigte Staaten C. Frankreich D. England</t>
  </si>
  <si>
    <t>Quoits hat seinen Ursprung in England, wo es als traditionelles Outdoor-Spiel beliebt war.</t>
  </si>
  <si>
    <t>A. Wood B. Stone C. tonne D. iron</t>
  </si>
  <si>
    <t>Welches Material wurde in den frühen Quoits-Spielen hauptsächlich für die Ringe verwendet?</t>
  </si>
  <si>
    <t>A. Holz B. Stein C. Tonne D. Eisen</t>
  </si>
  <si>
    <t>Eisen</t>
  </si>
  <si>
    <t>Frühe Quoits bestanden aus Eisen, das vor dem Werfen oft auf glühende Temperaturen erhitzt wurde.</t>
  </si>
  <si>
    <t>A. 1900 B. 1924 C. 1936 D. It was never an Olympic sport.</t>
  </si>
  <si>
    <t>In welchem ​​Jahr wurde Quoits Teil der Olympischen Spiele?</t>
  </si>
  <si>
    <t>A. 1900 B. 1924 C. 1936 D. Es war nie eine olympische Sportart.</t>
  </si>
  <si>
    <t>Es wurde nie eine olympische Sportart</t>
  </si>
  <si>
    <t>Quoits war nie eine offizielle olympische Veranstaltung, wurde jedoch zu Beginn des 20. Jahrhunderts in Betracht gezogen, in die Veranstaltung aufgenommen zu werden.</t>
  </si>
  <si>
    <t>A. A form of ring toss B. A form of target archery C. A form of javelin throwing D. A form of discus throwing</t>
  </si>
  <si>
    <t>War die ursprüngliche Form der Quoits, die im antiken Griechenland gespielt wurden?</t>
  </si>
  <si>
    <t>A. Eine Form des Ringwerfens B. Eine Form des Bogenschießens C. Eine Form des Speerwerfens D. Eine Form des Diskuswerfens</t>
  </si>
  <si>
    <t>Eine Form des Diskuswerfens</t>
  </si>
  <si>
    <t>Das antike griechische Quoits ähnelte dem Diskuswerfen, bei dem Metallscheiben aus Distanz geworfen wurden.</t>
  </si>
  <si>
    <t>A. King Charles II B. King Henry VIII C. Queen Victoria D. King Charles II</t>
  </si>
  <si>
    <t>Welcher berühmte englische Monarch wird oft mit der Förderung von Quoits im frühen 17. Jahrhundert in Verbindung gebracht?</t>
  </si>
  <si>
    <t>A. König Karl II. B. König Heinrich VIII. C. Königin Victoria D. König Karl II.</t>
  </si>
  <si>
    <t>König Karl II</t>
  </si>
  <si>
    <t>König Karl II. war ein großer Enthusiast des Sports und trug während seiner Herrschaft im 17. Jahrhundert zu seiner Verbreitung bei.</t>
  </si>
  <si>
    <t>A. enabling women to compete B. Changing the throwing range C. Forming teams D. Introduction of a standardized ring size</t>
  </si>
  <si>
    <t>Was war eine bedeutende Regeländerung in Quoits im viktorianischen Zeitalter?</t>
  </si>
  <si>
    <t>A. Frauen die Teilnahme am Wettkampf ermöglichen B. Die Wurfdistanz ändern C. Teams bilden D. Eine standardisierte Ringgröße einführen</t>
  </si>
  <si>
    <t>Einführung einer standardisierten Ringgröße</t>
  </si>
  <si>
    <t>Während der viktorianischen Ära wurde die Größe der Quoits-Ringe standardisiert, um die Wettbewerbe einheitlich zu gestalten.</t>
  </si>
  <si>
    <t>A. Royal Courts B. military camp C. churchyards D. pub gardens</t>
  </si>
  <si>
    <t>Was war das wichtigste soziale Umfeld für Quoits im England des 19. Jahrhunderts?</t>
  </si>
  <si>
    <t>A. Königliche Höfe B. Militärlager C. Friedhöfe D. Biergärten</t>
  </si>
  <si>
    <t>Kneipengärten</t>
  </si>
  <si>
    <t>Im England des 19. Jahrhunderts wurden Zitate oft in Kneipengärten gespielt, wo es zu einem beliebten gesellschaftlichen Zeitvertreib wurde.</t>
  </si>
  <si>
    <t>A. California B. Texas C. Florida D. Pennsylvania</t>
  </si>
  <si>
    <t>Welcher amerikanische Staat ist für seine frühe Verbindung mit Quoits bekannt?</t>
  </si>
  <si>
    <t>A. Kalifornien B. Texas C. Florida D. Pennsylvania</t>
  </si>
  <si>
    <t>Pennsylvania</t>
  </si>
  <si>
    <t>Pennsylvania war im 19. Jahrhundert für seine zahlreichen Quoits-Ligen und -Turniere bekannt.</t>
  </si>
  <si>
    <t>A. British Quoits Federation B. English Quoits League C. The Quoits Association D. National Quoits Association</t>
  </si>
  <si>
    <t>Wie heißt der Berufsverband für Quoits im Vereinigten Königreich?</t>
  </si>
  <si>
    <t>A. Britischer Quoits-Verband B. Englischer Quoits-Liga C. Quoits-Verband D. Nationaler Quoits-Verband</t>
  </si>
  <si>
    <t>Nationale Quoits-Vereinigung</t>
  </si>
  <si>
    <t>Die National Quoits Association regelt die Regeln und organisierten Wettbewerbe im Vereinigten Königreich.</t>
  </si>
  <si>
    <t>A. tonne B. Wooden C. iron D. Steel</t>
  </si>
  <si>
    <t>Welche Art von Quoits wurde im 20. Jahrhundert zum Standard für den Wettbewerb?</t>
  </si>
  <si>
    <t>A. Tonne B. Holz C. Eisen D. Stahl</t>
  </si>
  <si>
    <t>Stahl-Quoits wurden im 20. Jahrhundert aufgrund ihrer Haltbarkeit und Beständigkeit zum Standard für Wettkampfspiele.</t>
  </si>
  <si>
    <t>A. Australia B. New Zealand C. Canada D. United States</t>
  </si>
  <si>
    <t>Wo erlangten Quoits im frühen 20. Jahrhundert außerhalb Englands große Popularität?</t>
  </si>
  <si>
    <t>A. Australien B. Neuseeland C. Kanada D. Vereinigte Staaten</t>
  </si>
  <si>
    <t>Quoits erfreuten sich in den Vereinigten Staaten großer Beliebtheit, insbesondere in Pennsylvania, wo viele Quoits-Clubs gegründet wurden.</t>
  </si>
  <si>
    <t>A. The throwing range B. The target area C. The number of players D. The target area</t>
  </si>
  <si>
    <t>Welcher Aspekt von Quoits wurde im 19. Jahrhundert modifiziert, um die moderne Version des Spiels zu schaffen?</t>
  </si>
  <si>
    <t>A. Die Wurfweite B. Der Zielbereich C. Die Anzahl der Spieler D. Der Zielbereich</t>
  </si>
  <si>
    <t>Der Zielbereich</t>
  </si>
  <si>
    <t>Im 19. Jahrhundert wurde der Zielbereich geändert und eine kleinere Zielscheibe eingeführt, um das Spiel wettbewerbsfähiger zu machen.</t>
  </si>
  <si>
    <t>A. Hollow steel rings B. wooden rings C. metal tires D. Flat iron rings</t>
  </si>
  <si>
    <t>Welcher Ringtyp wurde traditionell in Quoits-Wettbewerben des frühen 20. Jahrhunderts verwendet?</t>
  </si>
  <si>
    <t>A. Hohle Stahlringe B. Holzringe C. Metallreifen D. Flache Eisenringe</t>
  </si>
  <si>
    <t>Flache Eisenringe</t>
  </si>
  <si>
    <t>Traditionell wurden bei Wettbewerben im 20. Jahrhundert flache Eisenringe verwendet, die für eine einheitliche Form und ein einheitliches Gewicht sorgen.</t>
  </si>
  <si>
    <t>A. Sir Thomas Smythe B. The Victorian Games Committee C. John Taylor D. Sir Thomas Smythe</t>
  </si>
  <si>
    <t>Wer hat das Konzept der Standardisierung von Quoits-Wettbewerben eingeführt?</t>
  </si>
  <si>
    <t>A. Sir Thomas Smythe B. Das Komitee der Viktorianischen Spiele C. John Taylor D. Sir Thomas Smythe</t>
  </si>
  <si>
    <t>Sir Thomas Smythe</t>
  </si>
  <si>
    <t>Sir Thomas Smythe spielte eine Schlüsselrolle bei der Standardisierung von Quoits-Wettbewerben im späten 19. Jahrhundert.</t>
  </si>
  <si>
    <t>A. 1920s B. 1910s C. 1940s D. 1930s</t>
  </si>
  <si>
    <t>In welchem ​​​​Jahrzehnt begann Quoits eine Popularität zugunsten anderer Sportarten wie Darts zu verlieren?</t>
  </si>
  <si>
    <t>A. 1920er Jahre B. 1910er Jahre C. 1940er Jahre D. 1930er Jahre</t>
  </si>
  <si>
    <t>In den 1930er Jahren nahm die Popularität von Quoits ab, da andere Kneipenspiele wie Darts immer beliebter wurden.</t>
  </si>
  <si>
    <t>A. The throwing range B. The number of players C. The evaluation method D. The Rings</t>
  </si>
  <si>
    <t>Welcher Teil von Quoits wurde zu Beginn des 20. Jahrhunderts für Wetten genutzt?</t>
  </si>
  <si>
    <t>A. Die Wurfweite B. Die Anzahl der Spieler C. Die Bewertungsmethode D. Die Ringe</t>
  </si>
  <si>
    <t>Die Ringe</t>
  </si>
  <si>
    <t>Wetten basierten zu Beginn des 20. Jahrhunderts häufig auf der Anzahl erfolgreicher Ringwürfe.</t>
  </si>
  <si>
    <t>A. Abraham Lincoln B. Franklin D. Roosevelt C. Woodrow Wilson D. Theodore Roosevelt</t>
  </si>
  <si>
    <t>Von welchem ​​US-Präsidenten war bekannt, dass er in seiner Freizeit Quoits spielte?</t>
  </si>
  <si>
    <t>Theodore Roosevelt</t>
  </si>
  <si>
    <t>Theodore Roosevelt war während seiner Präsidentschaft für seine Freude an Quoits und anderen Outdoor-Spielen bekannt.</t>
  </si>
  <si>
    <t>A. Ring toss B. Tire throwing C. Iron throwing D. discus throwing</t>
  </si>
  <si>
    <t>Wie hieß Quoits ursprünglich, als es in der Antike gespielt wurde?</t>
  </si>
  <si>
    <t>A. Ringwerfen B. Reifenwerfen C. Eisenwerfen D. Diskuswerfen</t>
  </si>
  <si>
    <t>Diskuswerfen</t>
  </si>
  <si>
    <t>In der Antike wurde das Spiel Diskuswerfen genannt, da die Ringe oft große Stein- oder Metallscheiben waren.</t>
  </si>
  <si>
    <t>A. The British Quoits Council B. The British Quoits League C. National Quoits Society D. The Quoits Association</t>
  </si>
  <si>
    <t>Welche Berufsorganisation veranstaltet im Vereinigten Königreich nationale Quoits-Wettbewerbe?</t>
  </si>
  <si>
    <t>A. Der British Quoits Council B. Die British Quoits League C. Die National Quoits Society D. Die Quoits Association</t>
  </si>
  <si>
    <t>Die Quoits Association</t>
  </si>
  <si>
    <t>Die Quoits Association ist der wichtigste Dachverband für wettbewerbsorientierte Quoits im Vereinigten Königreich.</t>
  </si>
  <si>
    <t>A. Charles Taylor B. Henry Hudson C. William Brown D. John Taylor</t>
  </si>
  <si>
    <t>Welcher frühe Quoits-Champion aus Großbritannien war als „König der Quoits“ bekannt?</t>
  </si>
  <si>
    <t>John Taylor</t>
  </si>
  <si>
    <t>John Taylor war aufgrund seiner Dominanz in diesem Sport im späten 19. Jahrhundert als „König der Quoits“ bekannt.</t>
  </si>
  <si>
    <t>A. Underhand throw B. Sidearm throw C. Spin throw D. Overhand throw</t>
  </si>
  <si>
    <t>War die häufigste Wurftechnik in den frühen Quoits-Wettbewerben?</t>
  </si>
  <si>
    <t>A. Unterhandwurf B. Seitwurf C. Drehwurf D. Überhandwurf</t>
  </si>
  <si>
    <t>Überhandwurf</t>
  </si>
  <si>
    <t>Der Überhandwurf war die häufigste Technik in den frühen Quoits-Wettbewerben, obwohl es Variationen gab.</t>
  </si>
  <si>
    <t>A. 20 feet B. 25 feet C. 35 feet D. 30 feet</t>
  </si>
  <si>
    <t>War der Krieg in den frühen 1900er Jahren die übliche Distanz für Quoits-Turniere?</t>
  </si>
  <si>
    <t>A. 20 Fuß B. 25 Fuß C. 35 Fuß D. 30 Fuß</t>
  </si>
  <si>
    <t>30 Fuß</t>
  </si>
  <si>
    <t>Bei Turnieren zu Beginn des 20. Jahrhunderts betrug der Abstand von der Wurflinie zum Ziel oft 30 Fuß.</t>
  </si>
  <si>
    <t>A. The British Quoits Federation B. The English Quoits Council C. The National Quoits League D. The National Quoits Association</t>
  </si>
  <si>
    <t>Welche Organisation wurde 1890 gegründet, um Quoits im Vereinigten Königreich zu regulieren?</t>
  </si>
  <si>
    <t>A. Der Britische Quoits-Verband B. Der Englische Quoits-Rat C. Die Nationale Quoits-Liga D. Die Nationale Quoits-Vereinigung</t>
  </si>
  <si>
    <t>Die National Quoits Association</t>
  </si>
  <si>
    <t>Die National Quoits Association wurde 1890 gegründet, um die Regeln des Sports im Vereinigten Königreich zu regulieren und zu standardisieren.</t>
  </si>
  <si>
    <t>A. William Smith B. Charles Marlow C. Frank Taylor D. James Johnson</t>
  </si>
  <si>
    <t>Wer war der erste Amerikaner, der einen großen Quoits-Wettbewerb gewann?</t>
  </si>
  <si>
    <t>James Johnson</t>
  </si>
  <si>
    <t>James Johnson war der erste Amerikaner, der Ende des 19. Jahrhunderts einen großen Quoits-Wettbewerb gewann.</t>
  </si>
  <si>
    <t>A. 1870s B. 1880s C. 1890s D. 1870s</t>
  </si>
  <si>
    <t>In welchem ​​Jahr wurde Quoits in den Vereinigten Staaten bekannter?</t>
  </si>
  <si>
    <t>A. 1870er Jahre B. 1880er Jahre C. 1890er Jahre D. 1870er Jahre</t>
  </si>
  <si>
    <t>1870er Jahre</t>
  </si>
  <si>
    <t>Quoits begannen in den 1870er Jahren in den Vereinigten Staaten an Popularität zu gewinnen, und es entstanden viele regionale Turniere.</t>
  </si>
  <si>
    <t>A. The London Games B. The Paris exhibition C. The Olympic Games in Berlin D. The World's Fair in Chicago</t>
  </si>
  <si>
    <t>Bei welcher internationalen Veranstaltung wurde Quoits erstmals als Wettkampfsport vorgestellt?</t>
  </si>
  <si>
    <t>A. Die Olympischen Spiele in London B. Die Pariser Ausstellung C. Die Olympischen Spiele in Berlin D. Die Weltausstellung in Chicago</t>
  </si>
  <si>
    <t>Die Weltausstellung in Chicago</t>
  </si>
  <si>
    <t>Quoits wurde erstmals 1893 auf der Weltausstellung in Chicago als Wettkampfsport vorgestellt.</t>
  </si>
  <si>
    <t>A. 1904 B. 1924 C. 1944 D. 1884</t>
  </si>
  <si>
    <t>In welchem ​​​​Jahr verzeichnete Quoits in den Vereinigten Staaten einen deutlichen Popularitätsschub?</t>
  </si>
  <si>
    <t>Im Jahr 1884 erlebten Quoits in den Vereinigten Staaten aufgrund des Aufkommens sozialer Clubs einen Aufschwung in der Popularität.</t>
  </si>
  <si>
    <t>A. cast iron B. Bronze C. Steel D. wrought iron</t>
  </si>
  <si>
    <t>Aus welchem ​​​​Material wurden traditionelle Quoits in den Anfängen des Sports hergestellt?</t>
  </si>
  <si>
    <t>A. Gusseisen B. Bronze C. Stahl D. Schmiedeeisen</t>
  </si>
  <si>
    <t>Schmiedeeisen</t>
  </si>
  <si>
    <t>Traditionelle Quoits wurden aus Schmiedeeisen hergestellt, das langlebig und leicht zu schmieden war.</t>
  </si>
  <si>
    <t>A. Henry Cook B. James Peters C. Fred Brown D. Fred Brown</t>
  </si>
  <si>
    <t>Wer war der erste Quoits-Weltmeister der Neuzeit?</t>
  </si>
  <si>
    <t>Fred Brown</t>
  </si>
  <si>
    <t>Fred Brown wird oft als der erste Quoits-Weltmeister der Neuzeit um 1905 angesehen.</t>
  </si>
  <si>
    <t>A. A form of gambling B. A training method for soldiers C. A child's play D. A social pastime</t>
  </si>
  <si>
    <t>Welche Rolle spielten Quoits in der Kultur des britischen Pubs im 19. Jahrhundert?</t>
  </si>
  <si>
    <t>A. Eine Form des Glücksspiels B. Eine Trainingsmethode für Soldaten C. Ein Kinderspiel D. Ein geselliger Zeitvertreib</t>
  </si>
  <si>
    <t>Ein sozialer Zeitvertrieb</t>
  </si>
  <si>
    <t>Quoits waren im 19. Jahrhundert ein beliebter geselliger Zeitvertreib in britischen Pubs, der oft nach der Arbeit oder bei Zusammenkünften gespielt wurde.</t>
  </si>
  <si>
    <t>A. The quotes from the United States are opened. B. The American Quoits Tournament C. The National Quoits League Championship D. The National Quoits Championship</t>
  </si>
  <si>
    <t>Wie heißt der Wettbewerb, den die Vereinigten Staaten für Quoits veranstalten?</t>
  </si>
  <si>
    <t>A. Die Zitate aus den Vereinigten Staaten werden geöffnet. B. Das American Quoits Tournament. C. Die Meisterschaft der National Quoits League. D. Die National Quoits Championship.</t>
  </si>
  <si>
    <t>Die Nationale Quoits-Meisterschaft</t>
  </si>
  <si>
    <t>Die Vereinigten Staaten veranstalten jedes Jahr die National Quoits Championship mit Teilnehmern aus dem ganzen Land.</t>
  </si>
  <si>
    <t>A. The White Horse Tavern B. The Plough Inn C. The Dog and the Duck D. The Royal Oak Pub</t>
  </si>
  <si>
    <t>Welcher berühmte englische Ort ist mit Quoits und der Geschichte des Sports verbunden?</t>
  </si>
  <si>
    <t>A. Die White Horse Taverne B. Der Plough Inn C. Der Dog and the Duck D. Der Royal Oak Pub</t>
  </si>
  <si>
    <t>Der Royal Oak Pub</t>
  </si>
  <si>
    <t>Der Royal Oak Pub in England ist historisch mit Quoits verbunden, da er ein beliebter Austragungsort des Spiels war.</t>
  </si>
  <si>
    <t>A. 1890s B. 1900s C. 1910s D. 1890s</t>
  </si>
  <si>
    <t>In welchem ​​​​Jahrzehnt wurde die erste große Quoits-Liga im Vereinigten Königreich gegründet?</t>
  </si>
  <si>
    <t>A. 1890er Jahre B. 1900er Jahre C. 1910er Jahre D. 1890er Jahre</t>
  </si>
  <si>
    <t>1890er Jahre</t>
  </si>
  <si>
    <t>Die erste große Quoits-Liga im Vereinigten Königreich wurde in den 1890er Jahren gegründet und trug zur Formalisierung des Sports bei.</t>
  </si>
  <si>
    <t>A. John Robinson B. Charles Martin C. James Walker D. Henry Stephens</t>
  </si>
  <si>
    <t>Welcher historischen Persönlichkeit wird zugeschrieben, dass sie zur Standardisierung der Quoits-Regeln im Vereinigten Königreich beigetragen hat?</t>
  </si>
  <si>
    <t>Henry Stephens</t>
  </si>
  <si>
    <t>Henry Stephens spielte eine Schlüsselrolle bei der Standardisierung der Quoits-Regeln im Vereinigten Königreich im späten 19. Jahrhundert.</t>
  </si>
  <si>
    <t>A. Sports stadiums B. Measure C. Schools D. Parks</t>
  </si>
  <si>
    <t>An welchem ​​​​öffentlichen Ort wurden Quoits im 20. Jahrhundert häufig gespielt?</t>
  </si>
  <si>
    <t>A. Sportstadien B. Maßnahme C. Schulen D. Parks</t>
  </si>
  <si>
    <t>Parks</t>
  </si>
  <si>
    <t>Im 20. Jahrhundert wurde Quoits häufig in öffentlichen Parks gespielt, insbesondere bei Gemeinschaftsveranstaltungen.</t>
  </si>
  <si>
    <t>A. United States B. Canada C. Ireland D. Australia</t>
  </si>
  <si>
    <t>Welches Land hat eine Version von Quoits mit einem größeren, weicheren Ring eingeführt?</t>
  </si>
  <si>
    <t>A. Vereinigte Staaten B. Kanada C. Irland D. Australien</t>
  </si>
  <si>
    <t>Australien</t>
  </si>
  <si>
    <t>Australien führte eine Version von Quoits mit einem größeren, weicheren Ring ein, der besser für die Außenbedingungen geeignet war.</t>
  </si>
  <si>
    <t>A. football B. tennis C. Sling D. Cricket</t>
  </si>
  <si>
    <t>Welche Sportart war in den frühen Tagen seines Wettbewerbs eng mit Quoits verbunden?</t>
  </si>
  <si>
    <t>A. Fußball B. Tennis C. Schleuder D. Cricket</t>
  </si>
  <si>
    <t>Cricket</t>
  </si>
  <si>
    <t>Quoits wurden im 19. Jahrhundert oft neben Cricket gespielt, insbesondere in Sportvereinen.</t>
  </si>
  <si>
    <t>A. 1895 B. 1885 C. 1910 D. 1901</t>
  </si>
  <si>
    <t>Wann fand die erste aufgezeichnete Quoits-Weltmeisterschaft statt?</t>
  </si>
  <si>
    <t>Die erste aufgezeichnete Quoits-Weltmeisterschaft fand 1901 statt und war ein offizieller internationaler Wettbewerb.</t>
  </si>
  <si>
    <t>A. Maintain the weight of the rings B. Adjusting the throwing distance C. Establishment of the evaluation rules D. Find a level surface</t>
  </si>
  <si>
    <t>Was war eine der größten Herausforderungen für Quoits-Spieler in den ersten Wettbewerben?</t>
  </si>
  <si>
    <t>A. Gewicht der Ringe beibehalten. B. Wurfdistanz anpassen. C. Bewertungsregeln festlegen. D. Ebene Fläche finden.</t>
  </si>
  <si>
    <t>Eine ebene Fläche finden</t>
  </si>
  <si>
    <t>Frühe Quoits-Spieler hatten Schwierigkeiten, eine geeignete ebene Oberfläche zum Werfen zu finden, da unebener Boden den Ausgang des Spiels beeinträchtigen konnte.</t>
  </si>
  <si>
    <t>A. Birmingham B. London C. Sheffield D. Sheffield</t>
  </si>
  <si>
    <t>In welcher Stadt Großbritannien fand der erste nationale Quoits-Wettbewerb statt?</t>
  </si>
  <si>
    <t>Sheffield</t>
  </si>
  <si>
    <t>Sheffield war die erste britische Stadt, die Ende des 19. Jahrhunderts einen nationalen Quoits-Wettbewerb ausrichtete.</t>
  </si>
  <si>
    <t>A. James Taylor B. William F. Hayes C. Charles Cooper D. James Taylor</t>
  </si>
  <si>
    <t>Wer galt als der berühmteste Quoits-Spieler in den Vereinigten Staaten?</t>
  </si>
  <si>
    <t>James Taylor</t>
  </si>
  <si>
    <t>James Taylor gilt als der berühmteste Quoits-Spieler in den Vereinigten Staaten und dominierte den Sport im frühen 20. Jahrhundert.</t>
  </si>
  <si>
    <t>A. Ancient Rome B. England C. France D. Ancient Greece</t>
  </si>
  <si>
    <t>Wo entstand das Quoits-Spiel?</t>
  </si>
  <si>
    <t>A. Das antike Rom B. England C. Frankreich D. Das antike Griechenland</t>
  </si>
  <si>
    <t>Antikes Griechenland</t>
  </si>
  <si>
    <t>Es wird angenommen, dass Quoits ihren Ursprung im antiken Griechenland haben.</t>
  </si>
  <si>
    <t>A. Stone B. iron C. Steel D. Stone</t>
  </si>
  <si>
    <t>Welches Material wurde ursprünglich für Quoits verwendet?</t>
  </si>
  <si>
    <t>A. Stein B. Eisen C. Stahl D. Stein</t>
  </si>
  <si>
    <t>Ursprünglich bestanden Quoits aus Stein.</t>
  </si>
  <si>
    <t>A. 15th century B. 16th century C. 18th century D. 12th century</t>
  </si>
  <si>
    <t>Wann wurde Quoits erstmals in schriftlichen Aufzeichnungen erwähnt?</t>
  </si>
  <si>
    <t>A. 15. Jahrhundert B. 16. Jahrhundert C. 18. Jahrhundert D. 12. Jahrhundert</t>
  </si>
  <si>
    <t>12. Jahrhundert</t>
  </si>
  <si>
    <t>Quoits wurde erstmals im 12. Jahrhundert schriftlich erwähnt.</t>
  </si>
  <si>
    <t>A. Ireland B. Scotland C. Germany D. England</t>
  </si>
  <si>
    <t>Welches Land ist am engsten mit der modernen Version von Quoits verbunden?</t>
  </si>
  <si>
    <t>A. Irland B. Schottland C. Deutschland D. England</t>
  </si>
  <si>
    <t>England ist der Geburtsort der modernen Version von Quoits.</t>
  </si>
  <si>
    <t>A. Manchester B. Bristol C. Liverpool D. Manchester</t>
  </si>
  <si>
    <t>Welche war die erste Stadt, die die World Quoits Championship ausrichtete?</t>
  </si>
  <si>
    <t>Manchester</t>
  </si>
  <si>
    <t>Manchester war Gastgeber der ersten World Quoits Championship.</t>
  </si>
  <si>
    <t>A. 1900 B. 1925 C. 1940 D. 1870</t>
  </si>
  <si>
    <t>In welchem ​​Jahr fand die World Quoits Championship erstmals statt?</t>
  </si>
  <si>
    <t>Die erste Quoits-Weltmeisterschaft fand 1870 statt.</t>
  </si>
  <si>
    <t>A. 3 pounds B. 4 pounds C. 5 pounds D. 4 pounds</t>
  </si>
  <si>
    <t>Was ist das Standardgewicht eines Quoits, das im Wettkampfspiel verwendet wird?</t>
  </si>
  <si>
    <t>A. 3 Pfund B. 4 Pfund C. 5 Pfund D. 4 Pfund</t>
  </si>
  <si>
    <t>4 Pfund</t>
  </si>
  <si>
    <t>Ein Standard-Quoit wiegt im Wettbewerbsspiel 4 Pfund.</t>
  </si>
  <si>
    <t>A. Canada B. United Kingdom C. Ireland D. United States</t>
  </si>
  <si>
    <t>Welches Land hat eine Version von Quoits entwickelt, die mit Hufeisen gespielt wird?</t>
  </si>
  <si>
    <t>A. Kanada B. Vereinigtes Königreich C. Irland D. Vereinigte Staaten</t>
  </si>
  <si>
    <t>Die Vereinigten Staaten entwickelten eine Version von Quoits mit Hufeisen.</t>
  </si>
  <si>
    <t>A. Point B. Quoit C. Things D. Point</t>
  </si>
  <si>
    <t>Wie lautet die gebräuchliche Bezeichnung für einen Ring, der in Quoits am nächsten an der Spitze landet?</t>
  </si>
  <si>
    <t>A. Punkt B. Quoit C. Dinge D. Punkt</t>
  </si>
  <si>
    <t>Punkt</t>
  </si>
  <si>
    <t>Der der Spitze am nächsten liegende Ring wird als „Punkt“ bezeichnet.</t>
  </si>
  <si>
    <t>A. 1924 B. 1932 C. 1960 D. Not included in the scope of delivery</t>
  </si>
  <si>
    <t>In welchem ​​Jahr wurde Quoits eine offizielle Sportart bei den Olympischen Spielen?</t>
  </si>
  <si>
    <t>A. 1924 B. 1932 C. 1960 D. Nicht im Lieferumfang enthalten</t>
  </si>
  <si>
    <t>Quoits wurde nie in die Olympischen Spiele aufgenommen.</t>
  </si>
  <si>
    <t>A. The National Quoits Club B. The World Quoits Federation C. The English Quoits Council D. The British Quoits Association</t>
  </si>
  <si>
    <t>Wie hieß die erste im Vereinigten Königreich gegründete Quoits-Organisation?</t>
  </si>
  <si>
    <t>A. Der National Quoits Club B. Die World Quoits Federation C. Der English Quoits Council D. Die British Quoits Association</t>
  </si>
  <si>
    <t>Die British Quoits Association</t>
  </si>
  <si>
    <t>Die British Quoits Association war die erste gegründete Quoits-Organisation.</t>
  </si>
  <si>
    <t>A. Pit Quoits B. Steel quotas C. Ring and lace D. Steel quotas</t>
  </si>
  <si>
    <t>Welche der folgenden Arten von Quoits wird heute am häufigsten gespielt?</t>
  </si>
  <si>
    <t>Stahlquoten</t>
  </si>
  <si>
    <t>Steel Quoits ist die beliebteste Version, die heute gespielt wird.</t>
  </si>
  <si>
    <t>A. Chicago B. Boston C. Philadelphia D. Philadelphia</t>
  </si>
  <si>
    <t>Wo fand die erste American Quoits Championship statt?</t>
  </si>
  <si>
    <t>Philadelphia</t>
  </si>
  <si>
    <t>Die erste amerikanische Quoits-Meisterschaft fand in Philadelphia statt.</t>
  </si>
  <si>
    <t>A. Industrial Revolution B. Victorian era C. Medieval Times D. Victorian era</t>
  </si>
  <si>
    <t>In welchem ​​Zeitraum der Geschichte wurden Quoits organisierter und wettbewerbsfähiger?</t>
  </si>
  <si>
    <t>A. Industrielle Revolution B. Viktorianisches Zeitalter C. Mittelalter D. Viktorianisches Zeitalter</t>
  </si>
  <si>
    <t>Viktorianisches Zeitalter</t>
  </si>
  <si>
    <t>Im viktorianischen Zeitalter wurden Quoits organisierter und wettbewerbsfähiger.</t>
  </si>
  <si>
    <t>A. bowling B. Croquet C. Shuffleboard D. Horseshoe throwing</t>
  </si>
  <si>
    <t>Welches dieser Spiele ist eng mit Quoits verwandt?</t>
  </si>
  <si>
    <t>A. Bowling B. Krocket C. Shuffleboard D. Hufeisenwerfen</t>
  </si>
  <si>
    <t>Hufeisenwerfen</t>
  </si>
  <si>
    <t>Das Hufeisenwerfen ist eng mit Quoits verwandt.</t>
  </si>
  <si>
    <t>A. Sidearm B. Overpower C. forearm D. The quoit is usually thrown under the hand.</t>
  </si>
  <si>
    <t>Wie wird der Quoit in modernen Quoits geworfen?</t>
  </si>
  <si>
    <t>A. Seitlicher Wurf B. Überwältigen C. Unterarmwurf D. Der Ringwurf erfolgt üblicherweise unter der Hand hindurch.</t>
  </si>
  <si>
    <t>Der Quoit wird normalerweise unter der Hand geworfen.</t>
  </si>
  <si>
    <t>In welchem ​​Jahr wurde die International Quoits Federation gegründet?</t>
  </si>
  <si>
    <t>Die International Quoits Federation wurde 1985 gegründet.</t>
  </si>
  <si>
    <t>A. British Quoits Tournament B. American Quoits Open C. Quoits European Championship D. Quoits World Championship</t>
  </si>
  <si>
    <t>Welche Veranstaltung in Quoits ist die prestigeträchtigste?</t>
  </si>
  <si>
    <t>A. Britisches Ringwurfturnier B. Amerikanisches Ringwurfturnier C. Ringwurf-Europameisterschaft D. Ringwurf-Weltmeisterschaft</t>
  </si>
  <si>
    <t>Quoits-Weltmeisterschaft</t>
  </si>
  <si>
    <t>Die World Quoits Championship ist die prestigeträchtigste Veranstaltung.</t>
  </si>
  <si>
    <t>A. Religious ceremonies B. Entertainment C. Festivals D. Military training</t>
  </si>
  <si>
    <t>Was war der ursprüngliche Zweck von Quoits im antiken Rom?</t>
  </si>
  <si>
    <t>A. Religiöse Zeremonien B. Unterhaltung C. Feste D. Militärische Ausbildung</t>
  </si>
  <si>
    <t>Militärische Ausbildung</t>
  </si>
  <si>
    <t>Quoits wurden ursprünglich im antiken Rom für die militärische Ausbildung verwendet.</t>
  </si>
  <si>
    <t>A. darts B. spear C. Ring toss D. Ring toss</t>
  </si>
  <si>
    <t>Welcher berühmten Sportart ähnelt Quoits am meisten, wenn es darum geht, Ringe auf ein Ziel zu werfen?</t>
  </si>
  <si>
    <t>A. Darts B. Speer C. Ringwerfen D. Ringwerfen</t>
  </si>
  <si>
    <t>Ringwurf</t>
  </si>
  <si>
    <t>Quoits ähnelt am ehesten dem Ringwurfspiel.</t>
  </si>
  <si>
    <t>A. United Kingdom B. United States C. Canada D. United Kingdom</t>
  </si>
  <si>
    <t>In welchem ​​Land ist Quoits immer noch ein beliebtes Kneipenspiel?</t>
  </si>
  <si>
    <t>A. Vereinigtes Königreich B. Vereinigte Staaten C. Kanada D. Vereinigtes Königreich</t>
  </si>
  <si>
    <t>Vereinigtes Königreich</t>
  </si>
  <si>
    <t>Im Vereinigten Königreich ist Quoits nach wie vor ein beliebtes Kneipenspiel.</t>
  </si>
  <si>
    <t>A. 2 B. 3 C. 4 D. 2</t>
  </si>
  <si>
    <t>Wie viele Spieler sind normalerweise an einem Quoits-Spiel beteiligt?</t>
  </si>
  <si>
    <t>Quoits wird normalerweise von zwei Spielern oder Zweierteams gespielt.</t>
  </si>
  <si>
    <t>A. 10 inches B. 12 inch C. 14 inch D. 10 inches</t>
  </si>
  <si>
    <t>Was ist die Standardgröße des Quoits-Rings, der bei offiziellen Wettbewerben verwendet wird?</t>
  </si>
  <si>
    <t>A. 10 Zoll B. 12 Zoll C. 14 Zoll D. 10 Zoll</t>
  </si>
  <si>
    <t>10 Zoll</t>
  </si>
  <si>
    <t>Offizielle Wettkampfquoten haben normalerweise einen Durchmesser von 10 Zoll.</t>
  </si>
  <si>
    <t>A. 18th century B. 19th century C. 20th century D. 19th century</t>
  </si>
  <si>
    <t>In welchem ​​Jahrhundert wurde Quoits in England zu einer bekannten Sportart?</t>
  </si>
  <si>
    <t>A. 18. Jahrhundert B. 19. Jahrhundert C. 20. Jahrhundert D. 19. Jahrhundert</t>
  </si>
  <si>
    <t>Quoits wurden im 19. Jahrhundert in England zu einer bekannten Sportart.</t>
  </si>
  <si>
    <t>A. ring B. Goal C. Circle D. pit</t>
  </si>
  <si>
    <t>Wie wird der Bereich verwendet, in dem Quoits geworfen werden?</t>
  </si>
  <si>
    <t>A. Ring B. Tor C. Kreis D. Grube</t>
  </si>
  <si>
    <t>Grube</t>
  </si>
  <si>
    <t>Der Bereich, in dem Quoits geworfen werden, wird als „Grube“ bezeichnet.</t>
  </si>
  <si>
    <t>A. France B. Italy C. Portugal D. Germany</t>
  </si>
  <si>
    <t>Welches europäische Land ist für die Tradition der Quoits-Turniere bekannt?</t>
  </si>
  <si>
    <t>A. Frankreich B. Italien C. Portugal D. Deutschland</t>
  </si>
  <si>
    <t>Deutschland ist für seine lange Tradition der Quoits-Turniere bekannt.</t>
  </si>
  <si>
    <t>A. band B. stake C. post D. stake</t>
  </si>
  <si>
    <t>Wie heißt der Dorn oder die Nadel in der Mitte der Quoits-Grube?</t>
  </si>
  <si>
    <t>A. Band B. Pfahl C. Pfosten D. Pfahl</t>
  </si>
  <si>
    <t>Pflock</t>
  </si>
  <si>
    <t>Der Dorn in der Mitte der Quoits-Grube wird „Peg“ genannt.</t>
  </si>
  <si>
    <t>A. Throw the quotit through a tire B. Score the most points C. Drive the stake in with a quoit D. Land the quotient on the stake</t>
  </si>
  <si>
    <t>Was ist das Hauptziel in einem Quoits-Spiel?</t>
  </si>
  <si>
    <t>A. Wirf den Ring durch einen Reifen. B. Erziele die meisten Punkte. C. Schlage den Pfahl mit einem Ring ein. D. Lande den Ring auf dem Pfahl.</t>
  </si>
  <si>
    <t>Landen Sie den Quoit auf dem Pflock</t>
  </si>
  <si>
    <t>Das Hauptziel besteht darin, den Quoit auf dem Pflock zu landen.</t>
  </si>
  <si>
    <t>A. 6 feet B. 7 feet C. 8 feet D. 7 feet</t>
  </si>
  <si>
    <t>Wie groß ist der typische Abstand zwischen der Wurffläche und dem Pflock bei kompetitiven Quoits?</t>
  </si>
  <si>
    <t>A. 6 Fuß B. 7 Fuß C. 8 Fuß D. 7 Fuß</t>
  </si>
  <si>
    <t>7 Fuß</t>
  </si>
  <si>
    <t>Der typische Abstand beträgt 7 Fuß in Wettkampf-Quoits.</t>
  </si>
  <si>
    <t>A. England B. Germany C. Australia D. United States</t>
  </si>
  <si>
    <t>Welches Land ist der aktuelle (Stand 2024) Quoits-Weltmeister?</t>
  </si>
  <si>
    <t>A. England B. Deutschland C. Australien D. Vereinigte Staaten</t>
  </si>
  <si>
    <t>Die Vereinigten Staaten sind der aktuelle Quoits-Weltmeister.</t>
  </si>
  <si>
    <t>A. Harry Jones B. William O'Neil C. James Thompson D. Harry Jones</t>
  </si>
  <si>
    <t>Wer war der erste aufgezeichnete Quoits-Champion?</t>
  </si>
  <si>
    <t>Harry Jones</t>
  </si>
  <si>
    <t>Harry Jones war der erste aufgezeichnete Quoits-Champion.</t>
  </si>
  <si>
    <t>A. Pennsylvania B. new York C. Texas D. Pennsylvania</t>
  </si>
  <si>
    <t>Welcher US-Bundesstaat hat eine Tradition von Quoits-Turnieren?</t>
  </si>
  <si>
    <t>A. Pennsylvania B. New York C. Texas D. Pennsylvania</t>
  </si>
  <si>
    <t>Pennsylvania hat eine lange Tradition von Quoits-Turnieren.</t>
  </si>
  <si>
    <t>A. Win B. Point C. Bullseye D. ring</t>
  </si>
  <si>
    <t>Wie nennt man das Landen eines Quoits auf dem Pflock?</t>
  </si>
  <si>
    <t>A. Sieg B. Punkt C. Volltreffer D. Ring</t>
  </si>
  <si>
    <t>Ring</t>
  </si>
  <si>
    <t>Das Landen eines Quoits auf dem Pflock wird „Ring“ genannt.</t>
  </si>
  <si>
    <t>A. iron B. aluminum C. plastic D. Steel</t>
  </si>
  <si>
    <t>Welches moderne Material wird zur Herstellung von Quoten bei offiziellen Wettbewerben verwendet?</t>
  </si>
  <si>
    <t>A. Eisen B. Aluminium C. Kunststoff D. Stahl</t>
  </si>
  <si>
    <t>Moderne Quoits bestehen typischerweise aus Stahl.</t>
  </si>
  <si>
    <t>A. George Hardy B. Frank Green C. Michael Green D. George Hardy</t>
  </si>
  <si>
    <t>Wer war der berühmte Quoits-Spieler aus dem frühen 20. Jahrhundert, der für sein Können bekannt war?</t>
  </si>
  <si>
    <t>George Hardy</t>
  </si>
  <si>
    <t>George Hardy war ein berühmter Quoits-Spieler aus dem frühen 20. Jahrhundert.</t>
  </si>
  <si>
    <t>A. The European Quoits Open B. The Quoits European Championship C. The Quoits Nations Cup D. The Quoits European Championship</t>
  </si>
  <si>
    <t>Wie heißt der European Quoits-Wettbewerb?</t>
  </si>
  <si>
    <t>A. Die European Quoits Open B. Die Quoits-Europameisterschaft C. Der Quoits-Nationenpokal D. Die Quoits-Europameisterschaft</t>
  </si>
  <si>
    <t>Die Quoits-Europameisterschaft</t>
  </si>
  <si>
    <t>Die European Quoits Championship ist der wichtigste Wettbewerb.</t>
  </si>
  <si>
    <t>A. United Kingdom and Ireland B. United States and Canada C. England and Australia D. Germany and the United States</t>
  </si>
  <si>
    <t>Welche beiden Länder dominieren normalerweise Quoits-Wettbewerbe?</t>
  </si>
  <si>
    <t>A. Vereinigtes Königreich und Irland B. Vereinigte Staaten und Kanada C. England und Australien D. Deutschland und die Vereinigten Staaten</t>
  </si>
  <si>
    <t>Deutschland und Vereinigte Staaten</t>
  </si>
  <si>
    <t>Deutschland und die Vereinigten Staaten sind die dominierenden Länder bei Quoits-Wettbewerben.</t>
  </si>
  <si>
    <t>A. darts B. Croquet C. Archery D. Horseshoe throwing</t>
  </si>
  <si>
    <t>Welche Sportart hat die Entwicklung von Quoits beeinflusst?</t>
  </si>
  <si>
    <t>A. Darts B. Krocket C. Bogenschießen D. Hufeisenwerfen</t>
  </si>
  <si>
    <t>Quoits wurde vom Hufeisenwerfen beeinflusst.</t>
  </si>
  <si>
    <t>A. Quoit Ace B. Bullseye C. Ringmaster D. Perfect ring</t>
  </si>
  <si>
    <t>Wie lautet der Spitzname für ein perfektes Ergebnis in Quoits?</t>
  </si>
  <si>
    <t>A. Ringwurf-Ass B. Bullseye C. Ringmaster D. Perfekter Ring</t>
  </si>
  <si>
    <t>Perfekter Ring</t>
  </si>
  <si>
    <t>Eine perfekte Punktzahl wird in Quoits als „Perfekter Ring“ bezeichnet.</t>
  </si>
  <si>
    <t>A. Circle B. Oval C. rectangle D. Circle</t>
  </si>
  <si>
    <t>Welche Form hat ein Quoit?</t>
  </si>
  <si>
    <t>A. Kreis B. Oval C. Rechteck D. Kreis</t>
  </si>
  <si>
    <t>Kreis</t>
  </si>
  <si>
    <t>Ein Quoit hat eine kreisförmige Form.</t>
  </si>
  <si>
    <t>A. 6 B. 8 C. 10 D. 8</t>
  </si>
  <si>
    <t>Wie viele Ringe werden in Quoits normalerweise während eines Spiels geworfen?</t>
  </si>
  <si>
    <t>Bei einem typischen Quoits-Match werden acht Ringe geworfen.</t>
  </si>
  <si>
    <t>A. Germany B. Italy C. England D. Germany</t>
  </si>
  <si>
    <t>Welches Land war Gastgeber der ersten Quoits-Europameisterschaft?</t>
  </si>
  <si>
    <t>A. Deutschland B. Italien C. England D. Deutschland</t>
  </si>
  <si>
    <t>Deutschland war Gastgeber der ersten Quoits-Europameisterschaft.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</si>
</sst>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color theme="1"/>
      <name val="Arial"/>
      <scheme val="minor"/>
    </font>
    <font>
      <color rgb="FFFFFFFF"/>
      <name val="Roboto"/>
    </font>
    <font>
      <b/>
      <color theme="1"/>
      <name val="Arial"/>
    </font>
    <font>
      <color rgb="FF434343"/>
      <name val="Roboto"/>
    </font>
    <font>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0">
    <border/>
    <border>
      <left style="thin">
        <color rgb="FF284E3F"/>
      </left>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284E3F"/>
      </left>
      <right style="thin">
        <color rgb="FFFFFFFF"/>
      </right>
      <bottom style="thin">
        <color rgb="FFF6F8F9"/>
      </bottom>
    </border>
    <border>
      <left style="thin">
        <color rgb="FF284E3F"/>
      </left>
      <right style="thin">
        <color rgb="FFFFFFFF"/>
      </right>
      <top style="thin">
        <color rgb="FFFFFFFF"/>
      </top>
      <bottom style="thin">
        <color rgb="FFF6F8F9"/>
      </bottom>
    </border>
    <border>
      <left style="thin">
        <color rgb="FF284E3F"/>
      </left>
      <right style="thin">
        <color rgb="FFF6F8F9"/>
      </right>
      <bottom style="thin">
        <color rgb="FFF6F8F9"/>
      </bottom>
    </border>
    <border>
      <left style="thin">
        <color rgb="FF284E3F"/>
      </left>
      <right style="thin">
        <color rgb="FFFFFFFF"/>
      </right>
      <bottom style="thin">
        <color rgb="FF284E3F"/>
      </bottom>
    </border>
    <border>
      <left style="thin">
        <color rgb="FF284E3F"/>
      </left>
      <right style="thin">
        <color rgb="FFF6F8F9"/>
      </right>
      <top style="thin">
        <color rgb="FFF6F8F9"/>
      </top>
      <bottom style="thin">
        <color rgb="FF284E3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0" fillId="0" fontId="3" numFmtId="0" xfId="0" applyAlignment="1" applyFont="1">
      <alignment horizontal="lef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2" fillId="3" fontId="4" numFmtId="0" xfId="0" applyAlignment="1" applyBorder="1" applyFill="1" applyFont="1">
      <alignment horizontal="right" shrinkToFit="0" vertical="center" wrapText="0"/>
    </xf>
    <xf borderId="0" fillId="0" fontId="5" numFmtId="0" xfId="0" applyAlignment="1" applyFont="1">
      <alignment shrinkToFit="0" vertical="bottom" wrapText="0"/>
    </xf>
    <xf borderId="3" fillId="4" fontId="4" numFmtId="0" xfId="0" applyAlignment="1" applyBorder="1" applyFill="1" applyFont="1">
      <alignment horizontal="right" shrinkToFit="0" vertical="center" wrapText="0"/>
    </xf>
    <xf borderId="0" fillId="0" fontId="5" numFmtId="0" xfId="0" applyAlignment="1" applyFont="1">
      <alignment horizontal="right" shrinkToFit="0" vertical="bottom" wrapText="0"/>
    </xf>
    <xf quotePrefix="1" borderId="0" fillId="0" fontId="5" numFmtId="0" xfId="0" applyAlignment="1" applyFont="1">
      <alignment shrinkToFit="0" vertical="bottom" wrapText="0"/>
    </xf>
    <xf borderId="4" fillId="3" fontId="4" numFmtId="0" xfId="0" applyAlignment="1" applyBorder="1" applyFont="1">
      <alignment horizontal="right" shrinkToFit="0" vertical="center" wrapText="0"/>
    </xf>
    <xf borderId="0" fillId="0" fontId="5" numFmtId="0" xfId="0" applyAlignment="1" applyFont="1">
      <alignmen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vertical="bottom"/>
    </xf>
    <xf borderId="0" fillId="0" fontId="5" numFmtId="0" xfId="0" applyAlignment="1" applyFont="1">
      <alignment shrinkToFit="0" vertical="bottom" wrapText="0"/>
    </xf>
    <xf borderId="0" fillId="0" fontId="1" numFmtId="0" xfId="0" applyAlignment="1" applyFont="1">
      <alignment readingOrder="0" shrinkToFit="0" vertical="center" wrapText="0"/>
    </xf>
    <xf borderId="0" fillId="3"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right" vertical="bottom"/>
    </xf>
    <xf borderId="5" fillId="3" fontId="4" numFmtId="0" xfId="0" applyAlignment="1" applyBorder="1" applyFont="1">
      <alignment horizontal="right" readingOrder="0" shrinkToFit="0" vertical="center" wrapText="0"/>
    </xf>
    <xf borderId="6" fillId="3" fontId="4" numFmtId="0" xfId="0" applyAlignment="1" applyBorder="1" applyFont="1">
      <alignment horizontal="right" shrinkToFit="0" vertical="center" wrapText="0"/>
    </xf>
    <xf borderId="7" fillId="4" fontId="4" numFmtId="0" xfId="0" applyAlignment="1" applyBorder="1" applyFont="1">
      <alignment horizontal="right" readingOrder="0" shrinkToFit="0" vertical="center" wrapText="0"/>
    </xf>
    <xf borderId="0" fillId="0" fontId="5" numFmtId="164" xfId="0" applyAlignment="1" applyFont="1" applyNumberFormat="1">
      <alignment horizontal="right" shrinkToFit="0" vertical="bottom" wrapText="0"/>
    </xf>
    <xf borderId="8" fillId="3" fontId="4" numFmtId="0" xfId="0" applyAlignment="1" applyBorder="1" applyFont="1">
      <alignment horizontal="right" readingOrder="0" shrinkToFit="0" vertical="center" wrapText="0"/>
    </xf>
    <xf borderId="9" fillId="4" fontId="4" numFmtId="0" xfId="0" applyAlignment="1" applyBorder="1" applyFont="1">
      <alignment horizontal="righ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Rowing-style">
      <tableStyleElement dxfId="1" type="headerRow"/>
      <tableStyleElement dxfId="2" type="firstRowStripe"/>
      <tableStyleElement dxfId="3" type="secondRowStripe"/>
      <tableStyleElement dxfId="4" size="0" type="wholeTable"/>
    </tableStyle>
    <tableStyle count="4" pivot="0" name="Rowing-style 2">
      <tableStyleElement dxfId="1" type="headerRow"/>
      <tableStyleElement dxfId="2" type="firstRowStripe"/>
      <tableStyleElement dxfId="3" type="secondRowStripe"/>
      <tableStyleElement dxfId="4" size="0" type="wholeTable"/>
    </tableStyle>
    <tableStyle count="4" pivot="0" name="Bosseln-style">
      <tableStyleElement dxfId="1" type="headerRow"/>
      <tableStyleElement dxfId="2" type="firstRowStripe"/>
      <tableStyleElement dxfId="3" type="secondRowStripe"/>
      <tableStyleElement dxfId="4" size="0" type="wholeTable"/>
    </tableStyle>
    <tableStyle count="4" pivot="0" name="Bosseln-style 2">
      <tableStyleElement dxfId="1" type="headerRow"/>
      <tableStyleElement dxfId="2" type="firstRowStripe"/>
      <tableStyleElement dxfId="3" type="secondRowStripe"/>
      <tableStyleElement dxfId="4" size="0" type="wholeTable"/>
    </tableStyle>
    <tableStyle count="4" pivot="0" name="skat-style">
      <tableStyleElement dxfId="1" type="headerRow"/>
      <tableStyleElement dxfId="2" type="firstRowStripe"/>
      <tableStyleElement dxfId="3" type="secondRowStripe"/>
      <tableStyleElement dxfId="4" size="0" type="wholeTable"/>
    </tableStyle>
    <tableStyle count="4" pivot="0" name="skat-style 2">
      <tableStyleElement dxfId="1" type="headerRow"/>
      <tableStyleElement dxfId="2" type="firstRowStripe"/>
      <tableStyleElement dxfId="3" type="secondRowStripe"/>
      <tableStyleElement dxfId="4" size="0" type="wholeTable"/>
    </tableStyle>
    <tableStyle count="4" pivot="0" name="Klootschießen-style">
      <tableStyleElement dxfId="1" type="headerRow"/>
      <tableStyleElement dxfId="2" type="firstRowStripe"/>
      <tableStyleElement dxfId="3" type="secondRowStripe"/>
      <tableStyleElement dxfId="4" size="0" type="wholeTable"/>
    </tableStyle>
    <tableStyle count="4" pivot="0" name="Klootschießen-style 2">
      <tableStyleElement dxfId="1" type="headerRow"/>
      <tableStyleElement dxfId="2" type="firstRowStripe"/>
      <tableStyleElement dxfId="3" type="secondRowStripe"/>
      <tableStyleElement dxfId="4" size="0" type="wholeTable"/>
    </tableStyle>
    <tableStyle count="4" pivot="0" name="Radball-style">
      <tableStyleElement dxfId="1" type="headerRow"/>
      <tableStyleElement dxfId="2" type="firstRowStripe"/>
      <tableStyleElement dxfId="3" type="secondRowStripe"/>
      <tableStyleElement dxfId="4" size="0" type="wholeTable"/>
    </tableStyle>
    <tableStyle count="4" pivot="0" name="Radball-style 2">
      <tableStyleElement dxfId="1" type="headerRow"/>
      <tableStyleElement dxfId="2" type="firstRowStripe"/>
      <tableStyleElement dxfId="3" type="secondRowStripe"/>
      <tableStyleElement dxfId="4" size="0" type="wholeTable"/>
    </tableStyle>
    <tableStyle count="4" pivot="0" name="Quoits-style">
      <tableStyleElement dxfId="1" type="headerRow"/>
      <tableStyleElement dxfId="2" type="firstRowStripe"/>
      <tableStyleElement dxfId="3" type="secondRowStripe"/>
      <tableStyleElement dxfId="4" size="0" type="wholeTable"/>
    </tableStyle>
    <tableStyle count="4" pivot="0" name="Quoits-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0" displayName="Table2" name="Table2" id="1">
  <tableColumns count="5">
    <tableColumn name="Question no." id="1"/>
    <tableColumn name="Question" id="2"/>
    <tableColumn name="Options" id="3"/>
    <tableColumn name="Answer" id="4"/>
    <tableColumn name="Description" id="5"/>
  </tableColumns>
  <tableStyleInfo name="Rowing-style" showColumnStripes="0" showFirstColumn="1" showLastColumn="1" showRowStripes="1"/>
</table>
</file>

<file path=xl/tables/table2.xml><?xml version="1.0" encoding="utf-8"?>
<table xmlns="http://schemas.openxmlformats.org/spreadsheetml/2006/main" ref="G1:K70" displayName="Table1" name="Table1" id="2">
  <tableColumns count="5">
    <tableColumn name="Question no." id="1"/>
    <tableColumn name="Fragen" id="2"/>
    <tableColumn name="Options2" id="3"/>
    <tableColumn name="Richtige Antwort" id="4"/>
    <tableColumn name="Description" id="5"/>
  </tableColumns>
  <tableStyleInfo name="Rowing-style 2" showColumnStripes="0" showFirstColumn="1" showLastColumn="1" showRowStripes="1"/>
</table>
</file>

<file path=xl/tables/table3.xml><?xml version="1.0" encoding="utf-8"?>
<table xmlns="http://schemas.openxmlformats.org/spreadsheetml/2006/main" ref="A1:E188" displayName="Table4" name="Table4" id="3">
  <tableColumns count="5">
    <tableColumn name="Question no." id="1"/>
    <tableColumn name="Questions" id="2"/>
    <tableColumn name="Options" id="3"/>
    <tableColumn name="Correct answer" id="4"/>
    <tableColumn name="Description" id="5"/>
  </tableColumns>
  <tableStyleInfo name="Bosseln-style" showColumnStripes="0" showFirstColumn="1" showLastColumn="1" showRowStripes="1"/>
</table>
</file>

<file path=xl/tables/table4.xml><?xml version="1.0" encoding="utf-8"?>
<table xmlns="http://schemas.openxmlformats.org/spreadsheetml/2006/main" ref="G1:K188" displayName="Table3" name="Table3" id="4">
  <tableColumns count="5">
    <tableColumn name="Question no." id="1"/>
    <tableColumn name="Fragen" id="2"/>
    <tableColumn name="Options2" id="3"/>
    <tableColumn name="Richtige Antwort" id="4"/>
    <tableColumn name="Beschreibung" id="5"/>
  </tableColumns>
  <tableStyleInfo name="Bosseln-style 2" showColumnStripes="0" showFirstColumn="1" showLastColumn="1" showRowStripes="1"/>
</table>
</file>

<file path=xl/tables/table5.xml><?xml version="1.0" encoding="utf-8"?>
<table xmlns="http://schemas.openxmlformats.org/spreadsheetml/2006/main" ref="A1:E1001" displayName="Table6" name="Table6" id="5">
  <tableColumns count="5">
    <tableColumn name="Question number" id="1"/>
    <tableColumn name="Ask" id="2"/>
    <tableColumn name="Options" id="3"/>
    <tableColumn name="Correct answer" id="4"/>
    <tableColumn name="Description" id="5"/>
  </tableColumns>
  <tableStyleInfo name="skat-style" showColumnStripes="0" showFirstColumn="1" showLastColumn="1" showRowStripes="1"/>
</table>
</file>

<file path=xl/tables/table6.xml><?xml version="1.0" encoding="utf-8"?>
<table xmlns="http://schemas.openxmlformats.org/spreadsheetml/2006/main" ref="G1:K166" displayName="Table5" name="Table5" id="6">
  <tableColumns count="5">
    <tableColumn name="Fragenummer" id="1"/>
    <tableColumn name="Fragen" id="2"/>
    <tableColumn name="Options2" id="3"/>
    <tableColumn name="Richtige Antwort" id="4"/>
    <tableColumn name="Beschreibung" id="5"/>
  </tableColumns>
  <tableStyleInfo name="skat-style 2" showColumnStripes="0" showFirstColumn="1" showLastColumn="1" showRowStripes="1"/>
</table>
</file>

<file path=xl/tables/table7.xml><?xml version="1.0" encoding="utf-8"?>
<table xmlns="http://schemas.openxmlformats.org/spreadsheetml/2006/main" ref="A1:E166" displayName="Table8" name="Table8" id="7">
  <tableColumns count="5">
    <tableColumn name="Question no." id="1"/>
    <tableColumn name="Questions" id="2"/>
    <tableColumn name="Options" id="3"/>
    <tableColumn name="Correct answer" id="4"/>
    <tableColumn name="Description" id="5"/>
  </tableColumns>
  <tableStyleInfo name="Klootschießen-style" showColumnStripes="0" showFirstColumn="1" showLastColumn="1" showRowStripes="1"/>
</table>
</file>

<file path=xl/tables/table8.xml><?xml version="1.0" encoding="utf-8"?>
<table xmlns="http://schemas.openxmlformats.org/spreadsheetml/2006/main" ref="G1:K166" displayName="Table7" name="Table7" id="8">
  <tableColumns count="5">
    <tableColumn name="Question no." id="1"/>
    <tableColumn name="Fragen" id="2"/>
    <tableColumn name="Options2" id="3"/>
    <tableColumn name="Richtige Antwort" id="4"/>
    <tableColumn name="Beschreibung" id="5"/>
  </tableColumns>
  <tableStyleInfo name="Klootschießen-style 2" showColumnStripes="0" showFirstColumn="1" showLastColumn="1" showRowStripes="1"/>
</table>
</file>

<file path=xl/tables/table9.xml><?xml version="1.0" encoding="utf-8"?>
<table xmlns="http://schemas.openxmlformats.org/spreadsheetml/2006/main" ref="A1:E173" displayName="Table10" name="Table10" id="9">
  <tableColumns count="5">
    <tableColumn name="Question no." id="1"/>
    <tableColumn name="Questions" id="2"/>
    <tableColumn name="Options" id="3"/>
    <tableColumn name="Correct answer" id="4"/>
    <tableColumn name="Description" id="5"/>
  </tableColumns>
  <tableStyleInfo name="Radball-style" showColumnStripes="0" showFirstColumn="1" showLastColumn="1" showRowStripes="1"/>
</table>
</file>

<file path=xl/tables/table10.xml><?xml version="1.0" encoding="utf-8"?>
<table xmlns="http://schemas.openxmlformats.org/spreadsheetml/2006/main" ref="G1:K173" displayName="Table9" name="Table9" id="10">
  <tableColumns count="5">
    <tableColumn name="Question no." id="1"/>
    <tableColumn name="Fragen" id="2"/>
    <tableColumn name="Options2" id="3"/>
    <tableColumn name="Richtige Antwort" id="4"/>
    <tableColumn name="Beschreibung" id="5"/>
  </tableColumns>
  <tableStyleInfo name="Radball-style 2" showColumnStripes="0" showFirstColumn="1" showLastColumn="1" showRowStripes="1"/>
</table>
</file>

<file path=xl/tables/table11.xml><?xml version="1.0" encoding="utf-8"?>
<table xmlns="http://schemas.openxmlformats.org/spreadsheetml/2006/main" ref="A1:E85" displayName="Table12" name="Table12" id="11">
  <tableColumns count="5">
    <tableColumn name="Question no." id="1"/>
    <tableColumn name="Questions" id="2"/>
    <tableColumn name="Options" id="3"/>
    <tableColumn name="Correct answer" id="4"/>
    <tableColumn name="Description" id="5"/>
  </tableColumns>
  <tableStyleInfo name="Quoits-style" showColumnStripes="0" showFirstColumn="1" showLastColumn="1" showRowStripes="1"/>
</table>
</file>

<file path=xl/tables/table12.xml><?xml version="1.0" encoding="utf-8"?>
<table xmlns="http://schemas.openxmlformats.org/spreadsheetml/2006/main" ref="G1:K85" displayName="Table11" name="Table11" id="12">
  <tableColumns count="5">
    <tableColumn name="Question no." id="1"/>
    <tableColumn name="Fragen" id="2"/>
    <tableColumn name="Options2" id="3"/>
    <tableColumn name="Richtige Antwort" id="4"/>
    <tableColumn name="Beschreibung" id="5"/>
  </tableColumns>
  <tableStyleInfo name="Quoi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37.63"/>
    <col customWidth="1" min="3" max="3" width="27.5"/>
    <col customWidth="1" min="4" max="4" width="29.38"/>
    <col customWidth="1" min="5" max="5" width="37.63"/>
    <col customWidth="1" min="7" max="7" width="10.75"/>
    <col customWidth="1" min="8" max="8" width="37.63"/>
    <col customWidth="1" min="10" max="10" width="17.88"/>
    <col customWidth="1" min="11" max="11" width="37.63"/>
  </cols>
  <sheetData>
    <row r="1" ht="22.5" customHeight="1">
      <c r="A1" s="1" t="s">
        <v>0</v>
      </c>
      <c r="B1" s="1" t="s">
        <v>1</v>
      </c>
      <c r="C1" s="2" t="s">
        <v>2</v>
      </c>
      <c r="D1" s="1" t="s">
        <v>3</v>
      </c>
      <c r="E1" s="1" t="s">
        <v>4</v>
      </c>
      <c r="G1" s="3" t="s">
        <v>0</v>
      </c>
      <c r="H1" s="4" t="s">
        <v>5</v>
      </c>
      <c r="I1" s="4" t="s">
        <v>6</v>
      </c>
      <c r="J1" s="4" t="s">
        <v>7</v>
      </c>
      <c r="K1" s="4" t="s">
        <v>4</v>
      </c>
    </row>
    <row r="2" ht="22.5" customHeight="1">
      <c r="A2" s="5">
        <v>1.0</v>
      </c>
      <c r="B2" s="6" t="str">
        <f>IFERROR(__xludf.DUMMYFUNCTION("GOOGLETRANSLATE(H2, ""de"", ""en"")"),"When did the first documented rowing race take place?")</f>
        <v>When did the first documented rowing race take place?</v>
      </c>
      <c r="C2" s="7" t="s">
        <v>8</v>
      </c>
      <c r="D2" s="6" t="str">
        <f>IFERROR(__xludf.DUMMYFUNCTION("GOOGLETRANSLATE(J2, ""de"", ""en"")"),"In the year 1715")</f>
        <v>In the year 1715</v>
      </c>
      <c r="E2" s="6" t="str">
        <f>IFERROR(__xludf.DUMMYFUNCTION("GOOGLETRANSLATE(K2, ""de"", ""en"")"),"The first documented rowing race took place in 1715 on the River Thames in England.")</f>
        <v>The first documented rowing race took place in 1715 on the River Thames in England.</v>
      </c>
      <c r="G2" s="8">
        <v>1.0</v>
      </c>
      <c r="H2" s="9" t="s">
        <v>9</v>
      </c>
      <c r="I2" s="9" t="str">
        <f>IFERROR(__xludf.DUMMYFUNCTION("GOOGLETRANSLATE(C2, ""en"", ""de"")"),"A. Im Jahr 1715 B. Im Jahr 1829 C. Im Jahr 1490 D. Im Jahr 1865")</f>
        <v>A. Im Jahr 1715 B. Im Jahr 1829 C. Im Jahr 1490 D. Im Jahr 1865</v>
      </c>
      <c r="J2" s="9" t="s">
        <v>10</v>
      </c>
      <c r="K2" s="9" t="s">
        <v>11</v>
      </c>
    </row>
    <row r="3" ht="22.5" customHeight="1">
      <c r="A3" s="5">
        <v>2.0</v>
      </c>
      <c r="B3" s="6" t="str">
        <f>IFERROR(__xludf.DUMMYFUNCTION("GOOGLETRANSLATE(H3, ""de"", ""en"")"),"What is the oldest known rowing race in the world?")</f>
        <v>What is the oldest known rowing race in the world?</v>
      </c>
      <c r="C3" s="7" t="s">
        <v>12</v>
      </c>
      <c r="D3" s="6" t="str">
        <f>IFERROR(__xludf.DUMMYFUNCTION("GOOGLETRANSLATE(J3, ""de"", ""en"")"),"The Doggett's Coat and Badge Race")</f>
        <v>The Doggett's Coat and Badge Race</v>
      </c>
      <c r="E3" s="6" t="str">
        <f>IFERROR(__xludf.DUMMYFUNCTION("GOOGLETRANSLATE(K3, ""de"", ""en"")"),"This race was first held on the Thames in 1715 and is the oldest known rowing race.")</f>
        <v>This race was first held on the Thames in 1715 and is the oldest known rowing race.</v>
      </c>
      <c r="G3" s="10">
        <v>2.0</v>
      </c>
      <c r="H3" s="9" t="s">
        <v>13</v>
      </c>
      <c r="I3" s="9" t="str">
        <f>IFERROR(__xludf.DUMMYFUNCTION("GOOGLETRANSLATE(C3, ""en"", ""de"")"),"A. Das Oxford-Cambridge-Ruderrennen B. Das Doggett's Coat and Badge Race C. Die Henley Royal Regatta D. Die Ruder-Weltmeisterschaft")</f>
        <v>A. Das Oxford-Cambridge-Ruderrennen B. Das Doggett's Coat and Badge Race C. Die Henley Royal Regatta D. Die Ruder-Weltmeisterschaft</v>
      </c>
      <c r="J3" s="9" t="s">
        <v>14</v>
      </c>
      <c r="K3" s="9" t="s">
        <v>15</v>
      </c>
    </row>
    <row r="4" ht="22.5" customHeight="1">
      <c r="A4" s="5">
        <v>3.0</v>
      </c>
      <c r="B4" s="6" t="str">
        <f>IFERROR(__xludf.DUMMYFUNCTION("GOOGLETRANSLATE(H4, ""de"", ""en"")"),"When did the first Oxford-Cambridge boat race take place?")</f>
        <v>When did the first Oxford-Cambridge boat race take place?</v>
      </c>
      <c r="C4" s="7" t="s">
        <v>16</v>
      </c>
      <c r="D4" s="6" t="str">
        <f>IFERROR(__xludf.DUMMYFUNCTION("GOOGLETRANSLATE(J4, ""de"", ""en"")"),"1829")</f>
        <v>1829</v>
      </c>
      <c r="E4" s="6" t="str">
        <f>IFERROR(__xludf.DUMMYFUNCTION("GOOGLETRANSLATE(K4, ""de"", ""en"")"),"The first Oxford-Cambridge boat race was held in 1829 and is now a famous annual event.")</f>
        <v>The first Oxford-Cambridge boat race was held in 1829 and is now a famous annual event.</v>
      </c>
      <c r="G4" s="8">
        <v>3.0</v>
      </c>
      <c r="H4" s="9" t="s">
        <v>17</v>
      </c>
      <c r="I4" s="9" t="str">
        <f>IFERROR(__xludf.DUMMYFUNCTION("GOOGLETRANSLATE(C4, ""en"", ""de"")"),"A. 1829 B. 1920 C. 1905 D. 1850")</f>
        <v>A. 1829 B. 1920 C. 1905 D. 1850</v>
      </c>
      <c r="J4" s="11">
        <v>1829.0</v>
      </c>
      <c r="K4" s="9" t="s">
        <v>18</v>
      </c>
    </row>
    <row r="5" ht="22.5" customHeight="1">
      <c r="A5" s="5">
        <v>4.0</v>
      </c>
      <c r="B5" s="6" t="str">
        <f>IFERROR(__xludf.DUMMYFUNCTION("GOOGLETRANSLATE(H5, ""de"", ""en"")"),"In which year was rowing first introduced at the Olympic Games?")</f>
        <v>In which year was rowing first introduced at the Olympic Games?</v>
      </c>
      <c r="C5" s="7" t="s">
        <v>19</v>
      </c>
      <c r="D5" s="6" t="str">
        <f>IFERROR(__xludf.DUMMYFUNCTION("GOOGLETRANSLATE(J5, ""de"", ""en"")"),"1900")</f>
        <v>1900</v>
      </c>
      <c r="E5" s="6" t="str">
        <f>IFERROR(__xludf.DUMMYFUNCTION("GOOGLETRANSLATE(K5, ""de"", ""en"")"),"Rowing was first featured at the 1900 Olympic Games in Paris.")</f>
        <v>Rowing was first featured at the 1900 Olympic Games in Paris.</v>
      </c>
      <c r="G5" s="10">
        <v>4.0</v>
      </c>
      <c r="H5" s="9" t="s">
        <v>20</v>
      </c>
      <c r="I5" s="9" t="str">
        <f>IFERROR(__xludf.DUMMYFUNCTION("GOOGLETRANSLATE(C5, ""en"", ""de"")"),"A. 1896 B. 1900 C. 1924 D. 1936")</f>
        <v>A. 1896 B. 1900 C. 1924 D. 1936</v>
      </c>
      <c r="J5" s="11">
        <v>1900.0</v>
      </c>
      <c r="K5" s="9" t="s">
        <v>21</v>
      </c>
    </row>
    <row r="6" ht="22.5" customHeight="1">
      <c r="A6" s="5">
        <v>5.0</v>
      </c>
      <c r="B6" s="6" t="str">
        <f>IFERROR(__xludf.DUMMYFUNCTION("GOOGLETRANSLATE(H6, ""de"", ""en"")"),"Which nation has won the most Olympic gold medals in rowing?")</f>
        <v>Which nation has won the most Olympic gold medals in rowing?</v>
      </c>
      <c r="C6" s="7" t="s">
        <v>22</v>
      </c>
      <c r="D6" s="6" t="str">
        <f>IFERROR(__xludf.DUMMYFUNCTION("GOOGLETRANSLATE(J6, ""de"", ""en"")"),"USA")</f>
        <v>USA</v>
      </c>
      <c r="E6" s="6" t="str">
        <f>IFERROR(__xludf.DUMMYFUNCTION("GOOGLETRANSLATE(K6, ""de"", ""en"")"),"The USA has won the most Olympic gold medals in rowing.")</f>
        <v>The USA has won the most Olympic gold medals in rowing.</v>
      </c>
      <c r="G6" s="8">
        <v>5.0</v>
      </c>
      <c r="H6" s="9" t="s">
        <v>23</v>
      </c>
      <c r="I6" s="9" t="str">
        <f>IFERROR(__xludf.DUMMYFUNCTION("GOOGLETRANSLATE(C6, ""en"", ""de"")"),"A. USA B. Deutschland C. Großbritannien D. Italien")</f>
        <v>A. USA B. Deutschland C. Großbritannien D. Italien</v>
      </c>
      <c r="J6" s="9" t="s">
        <v>24</v>
      </c>
      <c r="K6" s="9" t="s">
        <v>25</v>
      </c>
    </row>
    <row r="7" ht="22.5" customHeight="1">
      <c r="A7" s="5">
        <v>6.0</v>
      </c>
      <c r="B7" s="6" t="str">
        <f>IFERROR(__xludf.DUMMYFUNCTION("GOOGLETRANSLATE(H7, ""de"", ""en"")"),"Which competition is often considered the most prestigious rowing race in the world?")</f>
        <v>Which competition is often considered the most prestigious rowing race in the world?</v>
      </c>
      <c r="C7" s="7" t="s">
        <v>26</v>
      </c>
      <c r="D7" s="6" t="str">
        <f>IFERROR(__xludf.DUMMYFUNCTION("GOOGLETRANSLATE(J7, ""de"", ""en"")"),"Henley Royal Regatta")</f>
        <v>Henley Royal Regatta</v>
      </c>
      <c r="E7" s="6" t="str">
        <f>IFERROR(__xludf.DUMMYFUNCTION("GOOGLETRANSLATE(K7, ""de"", ""en"")"),"The Henley Royal Regatta in England is one of the most prestigious rowing races in the world.")</f>
        <v>The Henley Royal Regatta in England is one of the most prestigious rowing races in the world.</v>
      </c>
      <c r="G7" s="10">
        <v>6.0</v>
      </c>
      <c r="H7" s="9" t="s">
        <v>27</v>
      </c>
      <c r="I7" s="9" t="str">
        <f>IFERROR(__xludf.DUMMYFUNCTION("GOOGLETRANSLATE(C7, ""en"", ""de"")"),"A. Henley Royal Regatta B. Das Boat Race C. Ruder-Weltmeisterschaft D. Head of the Charles")</f>
        <v>A. Henley Royal Regatta B. Das Boat Race C. Ruder-Weltmeisterschaft D. Head of the Charles</v>
      </c>
      <c r="J7" s="9" t="s">
        <v>28</v>
      </c>
      <c r="K7" s="9" t="s">
        <v>29</v>
      </c>
    </row>
    <row r="8" ht="22.5" customHeight="1">
      <c r="A8" s="5">
        <v>7.0</v>
      </c>
      <c r="B8" s="6" t="str">
        <f>IFERROR(__xludf.DUMMYFUNCTION("GOOGLETRANSLATE(H8, ""de"", ""en"")"),"When was FISA, the international rowing federation, founded?")</f>
        <v>When was FISA, the international rowing federation, founded?</v>
      </c>
      <c r="C8" s="7" t="s">
        <v>30</v>
      </c>
      <c r="D8" s="6" t="str">
        <f>IFERROR(__xludf.DUMMYFUNCTION("GOOGLETRANSLATE(J8, ""de"", ""en"")"),"1892")</f>
        <v>1892</v>
      </c>
      <c r="E8" s="6" t="str">
        <f>IFERROR(__xludf.DUMMYFUNCTION("GOOGLETRANSLATE(K8, ""de"", ""en"")"),"FISA was founded in 1892 and is the oldest international sports federation.")</f>
        <v>FISA was founded in 1892 and is the oldest international sports federation.</v>
      </c>
      <c r="G8" s="8">
        <v>7.0</v>
      </c>
      <c r="H8" s="9" t="s">
        <v>31</v>
      </c>
      <c r="I8" s="9" t="str">
        <f>IFERROR(__xludf.DUMMYFUNCTION("GOOGLETRANSLATE(C8, ""en"", ""de"")"),"A. 1892 B. 1900 C. 1888 D. 1912")</f>
        <v>A. 1892 B. 1900 C. 1888 D. 1912</v>
      </c>
      <c r="J8" s="11">
        <v>1892.0</v>
      </c>
      <c r="K8" s="9" t="s">
        <v>32</v>
      </c>
    </row>
    <row r="9" ht="22.5" customHeight="1">
      <c r="A9" s="5">
        <v>8.0</v>
      </c>
      <c r="B9" s="6" t="str">
        <f>IFERROR(__xludf.DUMMYFUNCTION("GOOGLETRANSLATE(H9, ""de"", ""en"")"),"Which country won the first World Rowing Championship in 1962?")</f>
        <v>Which country won the first World Rowing Championship in 1962?</v>
      </c>
      <c r="C9" s="7" t="s">
        <v>33</v>
      </c>
      <c r="D9" s="6" t="str">
        <f>IFERROR(__xludf.DUMMYFUNCTION("GOOGLETRANSLATE(J9, ""de"", ""en"")"),"Soviet Union")</f>
        <v>Soviet Union</v>
      </c>
      <c r="E9" s="6" t="str">
        <f>IFERROR(__xludf.DUMMYFUNCTION("GOOGLETRANSLATE(K9, ""de"", ""en"")"),"The Soviet Union won the first World Rowing Championship in 1962 in Lucerne.")</f>
        <v>The Soviet Union won the first World Rowing Championship in 1962 in Lucerne.</v>
      </c>
      <c r="G9" s="10">
        <v>8.0</v>
      </c>
      <c r="H9" s="9" t="s">
        <v>34</v>
      </c>
      <c r="I9" s="9" t="str">
        <f>IFERROR(__xludf.DUMMYFUNCTION("GOOGLETRANSLATE(C9, ""en"", ""de"")"),"A. Sowjetunion B. USA C. Deutschland D. Großbritannien")</f>
        <v>A. Sowjetunion B. USA C. Deutschland D. Großbritannien</v>
      </c>
      <c r="J9" s="9" t="s">
        <v>35</v>
      </c>
      <c r="K9" s="9" t="s">
        <v>36</v>
      </c>
    </row>
    <row r="10" ht="22.5" customHeight="1">
      <c r="A10" s="5">
        <v>9.0</v>
      </c>
      <c r="B10" s="6" t="str">
        <f>IFERROR(__xludf.DUMMYFUNCTION("GOOGLETRANSLATE(H10, ""de"", ""en"")"),"When was the Henley Royal Regatta founded?")</f>
        <v>When was the Henley Royal Regatta founded?</v>
      </c>
      <c r="C10" s="7" t="s">
        <v>37</v>
      </c>
      <c r="D10" s="6" t="str">
        <f>IFERROR(__xludf.DUMMYFUNCTION("GOOGLETRANSLATE(J10, ""de"", ""en"")"),"1839")</f>
        <v>1839</v>
      </c>
      <c r="E10" s="6" t="str">
        <f>IFERROR(__xludf.DUMMYFUNCTION("GOOGLETRANSLATE(K10, ""de"", ""en"")"),"The Henley Royal Regatta was founded in England in 1839.")</f>
        <v>The Henley Royal Regatta was founded in England in 1839.</v>
      </c>
      <c r="G10" s="8">
        <v>9.0</v>
      </c>
      <c r="H10" s="9" t="s">
        <v>38</v>
      </c>
      <c r="I10" s="9" t="str">
        <f>IFERROR(__xludf.DUMMYFUNCTION("GOOGLETRANSLATE(C10, ""en"", ""de"")"),"A. 1839 B. 1900 C. 1850 D. 1820")</f>
        <v>A. 1839 B. 1900 C. 1850 D. 1820</v>
      </c>
      <c r="J10" s="11">
        <v>1839.0</v>
      </c>
      <c r="K10" s="9" t="s">
        <v>39</v>
      </c>
    </row>
    <row r="11" ht="22.5" customHeight="1">
      <c r="A11" s="5">
        <v>10.0</v>
      </c>
      <c r="B11" s="6" t="str">
        <f>IFERROR(__xludf.DUMMYFUNCTION("GOOGLETRANSLATE(H11, ""de"", ""en"")"),"Which rower won three gold medals at the 2000 Sydney Olympic Games?")</f>
        <v>Which rower won three gold medals at the 2000 Sydney Olympic Games?</v>
      </c>
      <c r="C11" s="7" t="s">
        <v>40</v>
      </c>
      <c r="D11" s="6" t="str">
        <f>IFERROR(__xludf.DUMMYFUNCTION("GOOGLETRANSLATE(J11, ""de"", ""en"")"),"Steve Redgrave")</f>
        <v>Steve Redgrave</v>
      </c>
      <c r="E11" s="6" t="str">
        <f>IFERROR(__xludf.DUMMYFUNCTION("GOOGLETRANSLATE(K11, ""de"", ""en"")"),"Steve Redgrave won five gold medals at five different Olympic Games.")</f>
        <v>Steve Redgrave won five gold medals at five different Olympic Games.</v>
      </c>
      <c r="G11" s="10">
        <v>10.0</v>
      </c>
      <c r="H11" s="9" t="s">
        <v>41</v>
      </c>
      <c r="I11" s="9" t="str">
        <f>IFERROR(__xludf.DUMMYFUNCTION("GOOGLETRANSLATE(C11, ""en"", ""de"")"),"A. Steve Redgrave B. Matthew Pinsent C. James Cracknell D. Mahe Drysdale")</f>
        <v>A. Steve Redgrave B. Matthew Pinsent C. James Cracknell D. Mahe Drysdale</v>
      </c>
      <c r="J11" s="9" t="s">
        <v>42</v>
      </c>
      <c r="K11" s="9" t="s">
        <v>43</v>
      </c>
    </row>
    <row r="12" ht="22.5" customHeight="1">
      <c r="A12" s="5">
        <v>11.0</v>
      </c>
      <c r="B12" s="6" t="str">
        <f>IFERROR(__xludf.DUMMYFUNCTION("GOOGLETRANSLATE(H12, ""de"", ""en"")"),"In which year was rowing introduced for women at the Olympic Games?")</f>
        <v>In which year was rowing introduced for women at the Olympic Games?</v>
      </c>
      <c r="C12" s="7" t="s">
        <v>44</v>
      </c>
      <c r="D12" s="6" t="str">
        <f>IFERROR(__xludf.DUMMYFUNCTION("GOOGLETRANSLATE(J12, ""de"", ""en"")"),"1976")</f>
        <v>1976</v>
      </c>
      <c r="E12" s="6" t="str">
        <f>IFERROR(__xludf.DUMMYFUNCTION("GOOGLETRANSLATE(K12, ""de"", ""en"")"),"Women's rowing was first contested at the 1976 Olympic Games in Montreal.")</f>
        <v>Women's rowing was first contested at the 1976 Olympic Games in Montreal.</v>
      </c>
      <c r="G12" s="8">
        <v>11.0</v>
      </c>
      <c r="H12" s="9" t="s">
        <v>45</v>
      </c>
      <c r="I12" s="9" t="str">
        <f>IFERROR(__xludf.DUMMYFUNCTION("GOOGLETRANSLATE(C12, ""en"", ""de"")"),"A. 1976 B. 1980 C. 1968 D. 1984")</f>
        <v>A. 1976 B. 1980 C. 1968 D. 1984</v>
      </c>
      <c r="J12" s="11">
        <v>1976.0</v>
      </c>
      <c r="K12" s="9" t="s">
        <v>46</v>
      </c>
    </row>
    <row r="13" ht="22.5" customHeight="1">
      <c r="A13" s="5">
        <v>12.0</v>
      </c>
      <c r="B13" s="6" t="str">
        <f>IFERROR(__xludf.DUMMYFUNCTION("GOOGLETRANSLATE(H13, ""de"", ""en"")"),"Which city hosted the first World Rowing Championships?")</f>
        <v>Which city hosted the first World Rowing Championships?</v>
      </c>
      <c r="C13" s="7" t="s">
        <v>47</v>
      </c>
      <c r="D13" s="6" t="str">
        <f>IFERROR(__xludf.DUMMYFUNCTION("GOOGLETRANSLATE(J13, ""de"", ""en"")"),"Lucerne")</f>
        <v>Lucerne</v>
      </c>
      <c r="E13" s="6" t="str">
        <f>IFERROR(__xludf.DUMMYFUNCTION("GOOGLETRANSLATE(K13, ""de"", ""en"")"),"The first World Rowing Championships took place in Lucerne in 1962.")</f>
        <v>The first World Rowing Championships took place in Lucerne in 1962.</v>
      </c>
      <c r="G13" s="10">
        <v>12.0</v>
      </c>
      <c r="H13" s="9" t="s">
        <v>48</v>
      </c>
      <c r="I13" s="9" t="str">
        <f>IFERROR(__xludf.DUMMYFUNCTION("GOOGLETRANSLATE(C13, ""en"", ""de"")"),"A. Luzern B. Henley C. Boston D. Amsterdam")</f>
        <v>A. Luzern B. Henley C. Boston D. Amsterdam</v>
      </c>
      <c r="J13" s="9" t="s">
        <v>49</v>
      </c>
      <c r="K13" s="9" t="s">
        <v>50</v>
      </c>
    </row>
    <row r="14" ht="22.5" customHeight="1">
      <c r="A14" s="5">
        <v>13.0</v>
      </c>
      <c r="B14" s="6" t="str">
        <f>IFERROR(__xludf.DUMMYFUNCTION("GOOGLETRANSLATE(H14, ""de"", ""en"")"),"What distance is standard in Olympic rowing races?")</f>
        <v>What distance is standard in Olympic rowing races?</v>
      </c>
      <c r="C14" s="7" t="s">
        <v>51</v>
      </c>
      <c r="D14" s="6" t="str">
        <f>IFERROR(__xludf.DUMMYFUNCTION("GOOGLETRANSLATE(J14, ""de"", ""en"")"),"2000 meters")</f>
        <v>2000 meters</v>
      </c>
      <c r="E14" s="6" t="str">
        <f>IFERROR(__xludf.DUMMYFUNCTION("GOOGLETRANSLATE(K14, ""de"", ""en"")"),"The standard distance for Olympic rowing races is 2000 meters.")</f>
        <v>The standard distance for Olympic rowing races is 2000 meters.</v>
      </c>
      <c r="G14" s="8">
        <v>13.0</v>
      </c>
      <c r="H14" s="9" t="s">
        <v>52</v>
      </c>
      <c r="I14" s="9" t="str">
        <f>IFERROR(__xludf.DUMMYFUNCTION("GOOGLETRANSLATE(C14, ""en"", ""de"")"),"A. 1000 Meter B. 2000 Meter C. 2500 Meter D. 1500 Meter")</f>
        <v>A. 1000 Meter B. 2000 Meter C. 2500 Meter D. 1500 Meter</v>
      </c>
      <c r="J14" s="9" t="s">
        <v>53</v>
      </c>
      <c r="K14" s="9" t="s">
        <v>54</v>
      </c>
    </row>
    <row r="15" ht="22.5" customHeight="1">
      <c r="A15" s="5">
        <v>14.0</v>
      </c>
      <c r="B15" s="6" t="str">
        <f>IFERROR(__xludf.DUMMYFUNCTION("GOOGLETRANSLATE(H15, ""de"", ""en"")"),"When was the first German rowing championship held?")</f>
        <v>When was the first German rowing championship held?</v>
      </c>
      <c r="C15" s="7" t="s">
        <v>55</v>
      </c>
      <c r="D15" s="6" t="str">
        <f>IFERROR(__xludf.DUMMYFUNCTION("GOOGLETRANSLATE(J15, ""de"", ""en"")"),"1882")</f>
        <v>1882</v>
      </c>
      <c r="E15" s="6" t="str">
        <f>IFERROR(__xludf.DUMMYFUNCTION("GOOGLETRANSLATE(K15, ""de"", ""en"")"),"The first German rowing championship took place in 1882.")</f>
        <v>The first German rowing championship took place in 1882.</v>
      </c>
      <c r="G15" s="10">
        <v>14.0</v>
      </c>
      <c r="H15" s="9" t="s">
        <v>56</v>
      </c>
      <c r="I15" s="9" t="str">
        <f>IFERROR(__xludf.DUMMYFUNCTION("GOOGLETRANSLATE(C15, ""en"", ""de"")"),"A. 1882 B. 1890 C. 1875 D. 1900")</f>
        <v>A. 1882 B. 1890 C. 1875 D. 1900</v>
      </c>
      <c r="J15" s="11">
        <v>1882.0</v>
      </c>
      <c r="K15" s="9" t="s">
        <v>57</v>
      </c>
    </row>
    <row r="16" ht="22.5" customHeight="1">
      <c r="A16" s="5">
        <v>15.0</v>
      </c>
      <c r="B16" s="6" t="str">
        <f>IFERROR(__xludf.DUMMYFUNCTION("GOOGLETRANSLATE(H16, ""de"", ""en"")"),"Who is considered one of the most successful rowers of all time?")</f>
        <v>Who is considered one of the most successful rowers of all time?</v>
      </c>
      <c r="C16" s="7" t="s">
        <v>58</v>
      </c>
      <c r="D16" s="6" t="str">
        <f>IFERROR(__xludf.DUMMYFUNCTION("GOOGLETRANSLATE(J16, ""de"", ""en"")"),"Steve Redgrave")</f>
        <v>Steve Redgrave</v>
      </c>
      <c r="E16" s="6" t="str">
        <f>IFERROR(__xludf.DUMMYFUNCTION("GOOGLETRANSLATE(K16, ""de"", ""en"")"),"Steve Redgrave is one of the most successful rowers with five Olympic victories.")</f>
        <v>Steve Redgrave is one of the most successful rowers with five Olympic victories.</v>
      </c>
      <c r="G16" s="8">
        <v>15.0</v>
      </c>
      <c r="H16" s="9" t="s">
        <v>59</v>
      </c>
      <c r="I16" s="9" t="str">
        <f>IFERROR(__xludf.DUMMYFUNCTION("GOOGLETRANSLATE(C16, ""en"", ""de"")"),"A. Steve Redgrave B. Olaf Tufte C. Matthew Pinsent D. James Cracknell")</f>
        <v>A. Steve Redgrave B. Olaf Tufte C. Matthew Pinsent D. James Cracknell</v>
      </c>
      <c r="J16" s="9" t="s">
        <v>42</v>
      </c>
      <c r="K16" s="9" t="s">
        <v>60</v>
      </c>
    </row>
    <row r="17" ht="22.5" customHeight="1">
      <c r="A17" s="5">
        <v>16.0</v>
      </c>
      <c r="B17" s="6" t="str">
        <f>IFERROR(__xludf.DUMMYFUNCTION("GOOGLETRANSLATE(H17, ""de"", ""en"")"),"Which city hosted the first European rowing conference in 1893?")</f>
        <v>Which city hosted the first European rowing conference in 1893?</v>
      </c>
      <c r="C17" s="7" t="s">
        <v>61</v>
      </c>
      <c r="D17" s="6" t="str">
        <f>IFERROR(__xludf.DUMMYFUNCTION("GOOGLETRANSLATE(J17, ""de"", ""en"")"),"Vienna")</f>
        <v>Vienna</v>
      </c>
      <c r="E17" s="6" t="str">
        <f>IFERROR(__xludf.DUMMYFUNCTION("GOOGLETRANSLATE(K17, ""de"", ""en"")"),"The first European rowing conference took place in Vienna in 1893.")</f>
        <v>The first European rowing conference took place in Vienna in 1893.</v>
      </c>
      <c r="G17" s="10">
        <v>16.0</v>
      </c>
      <c r="H17" s="9" t="s">
        <v>62</v>
      </c>
      <c r="I17" s="9" t="str">
        <f>IFERROR(__xludf.DUMMYFUNCTION("GOOGLETRANSLATE(C17, ""en"", ""de"")"),"A. Rom B. Paris C. Berlin D. Wien")</f>
        <v>A. Rom B. Paris C. Berlin D. Wien</v>
      </c>
      <c r="J17" s="9" t="s">
        <v>63</v>
      </c>
      <c r="K17" s="9" t="s">
        <v>64</v>
      </c>
    </row>
    <row r="18" ht="22.5" customHeight="1">
      <c r="A18" s="5">
        <v>17.0</v>
      </c>
      <c r="B18" s="6" t="str">
        <f>IFERROR(__xludf.DUMMYFUNCTION("GOOGLETRANSLATE(H18, ""de"", ""en"")"),"When was the first rowing ergometer invented?")</f>
        <v>When was the first rowing ergometer invented?</v>
      </c>
      <c r="C18" s="7" t="s">
        <v>65</v>
      </c>
      <c r="D18" s="6" t="str">
        <f>IFERROR(__xludf.DUMMYFUNCTION("GOOGLETRANSLATE(J18, ""de"", ""en"")"),"1981")</f>
        <v>1981</v>
      </c>
      <c r="E18" s="6" t="str">
        <f>IFERROR(__xludf.DUMMYFUNCTION("GOOGLETRANSLATE(K18, ""de"", ""en"")"),"The first modern rowing ergometer was developed in 1981.")</f>
        <v>The first modern rowing ergometer was developed in 1981.</v>
      </c>
      <c r="G18" s="8">
        <v>17.0</v>
      </c>
      <c r="H18" s="9" t="s">
        <v>66</v>
      </c>
      <c r="I18" s="9" t="str">
        <f>IFERROR(__xludf.DUMMYFUNCTION("GOOGLETRANSLATE(C18, ""en"", ""de"")"),"A. 1968 B. 1981 C. 1950 D. 1975")</f>
        <v>A. 1968 B. 1981 C. 1950 D. 1975</v>
      </c>
      <c r="J18" s="11">
        <v>1981.0</v>
      </c>
      <c r="K18" s="9" t="s">
        <v>67</v>
      </c>
    </row>
    <row r="19" ht="22.5" customHeight="1">
      <c r="A19" s="5">
        <v>18.0</v>
      </c>
      <c r="B19" s="6" t="str">
        <f>IFERROR(__xludf.DUMMYFUNCTION("GOOGLETRANSLATE(H19, ""de"", ""en"")"),"Which is the oldest rowing race in Germany?")</f>
        <v>Which is the oldest rowing race in Germany?</v>
      </c>
      <c r="C19" s="7" t="s">
        <v>68</v>
      </c>
      <c r="D19" s="6" t="str">
        <f>IFERROR(__xludf.DUMMYFUNCTION("GOOGLETRANSLATE(J19, ""de"", ""en"")"),"Hamburg Regatta")</f>
        <v>Hamburg Regatta</v>
      </c>
      <c r="E19" s="6" t="str">
        <f>IFERROR(__xludf.DUMMYFUNCTION("GOOGLETRANSLATE(K19, ""de"", ""en"")"),"The Hamburg Regatta is the oldest rowing race in Germany.")</f>
        <v>The Hamburg Regatta is the oldest rowing race in Germany.</v>
      </c>
      <c r="G19" s="10">
        <v>18.0</v>
      </c>
      <c r="H19" s="9" t="s">
        <v>69</v>
      </c>
      <c r="I19" s="9" t="str">
        <f>IFERROR(__xludf.DUMMYFUNCTION("GOOGLETRANSLATE(C19, ""en"", ""de"")"),"A. Deutsche Rudermeisterschaft B. Berliner Achter C. Hamburger Regatta D. Mainzer Achter")</f>
        <v>A. Deutsche Rudermeisterschaft B. Berliner Achter C. Hamburger Regatta D. Mainzer Achter</v>
      </c>
      <c r="J19" s="9" t="s">
        <v>70</v>
      </c>
      <c r="K19" s="9" t="s">
        <v>71</v>
      </c>
    </row>
    <row r="20" ht="22.5" customHeight="1">
      <c r="A20" s="5">
        <v>19.0</v>
      </c>
      <c r="B20" s="6" t="str">
        <f>IFERROR(__xludf.DUMMYFUNCTION("GOOGLETRANSLATE(H20, ""de"", ""en"")"),"Which year marked the introduction of lightweight races at the World Championships?")</f>
        <v>Which year marked the introduction of lightweight races at the World Championships?</v>
      </c>
      <c r="C20" s="7" t="s">
        <v>72</v>
      </c>
      <c r="D20" s="6" t="str">
        <f>IFERROR(__xludf.DUMMYFUNCTION("GOOGLETRANSLATE(J20, ""de"", ""en"")"),"1974")</f>
        <v>1974</v>
      </c>
      <c r="E20" s="6" t="str">
        <f>IFERROR(__xludf.DUMMYFUNCTION("GOOGLETRANSLATE(K20, ""de"", ""en"")"),"Lightweight races were first introduced at the World Championships in 1974.")</f>
        <v>Lightweight races were first introduced at the World Championships in 1974.</v>
      </c>
      <c r="G20" s="8">
        <v>19.0</v>
      </c>
      <c r="H20" s="9" t="s">
        <v>73</v>
      </c>
      <c r="I20" s="9" t="str">
        <f>IFERROR(__xludf.DUMMYFUNCTION("GOOGLETRANSLATE(C20, ""en"", ""de"")"),"A. 1974 B. 1980 C. 1969 D. 1985")</f>
        <v>A. 1974 B. 1980 C. 1969 D. 1985</v>
      </c>
      <c r="J20" s="11">
        <v>1974.0</v>
      </c>
      <c r="K20" s="9" t="s">
        <v>74</v>
      </c>
    </row>
    <row r="21" ht="22.5" customHeight="1">
      <c r="A21" s="5">
        <v>20.0</v>
      </c>
      <c r="B21" s="6" t="str">
        <f>IFERROR(__xludf.DUMMYFUNCTION("GOOGLETRANSLATE(H21, ""de"", ""en"")"),"Which boat won the first Henley Regatta?")</f>
        <v>Which boat won the first Henley Regatta?</v>
      </c>
      <c r="C21" s="7" t="s">
        <v>75</v>
      </c>
      <c r="D21" s="6" t="str">
        <f>IFERROR(__xludf.DUMMYFUNCTION("GOOGLETRANSLATE(J21, ""de"", ""en"")"),"Lady Margaret")</f>
        <v>Lady Margaret</v>
      </c>
      <c r="E21" s="6" t="str">
        <f>IFERROR(__xludf.DUMMYFUNCTION("GOOGLETRANSLATE(K21, ""de"", ""en"")"),"The boat 'Lady Margaret' won the first Henley Regatta in 1839.")</f>
        <v>The boat 'Lady Margaret' won the first Henley Regatta in 1839.</v>
      </c>
      <c r="G21" s="10">
        <v>20.0</v>
      </c>
      <c r="H21" s="9" t="s">
        <v>76</v>
      </c>
      <c r="I21" s="9" t="str">
        <f>IFERROR(__xludf.DUMMYFUNCTION("GOOGLETRANSLATE(C21, ""en"", ""de"")"),"A. Victory B. Lady Margaret C. Cambridge Blue D. Oxford Eight")</f>
        <v>A. Victory B. Lady Margaret C. Cambridge Blue D. Oxford Eight</v>
      </c>
      <c r="J21" s="9" t="s">
        <v>77</v>
      </c>
      <c r="K21" s="9" t="s">
        <v>78</v>
      </c>
    </row>
    <row r="22" ht="22.5" customHeight="1">
      <c r="A22" s="5">
        <v>21.0</v>
      </c>
      <c r="B22" s="6" t="str">
        <f>IFERROR(__xludf.DUMMYFUNCTION("GOOGLETRANSLATE(H22, ""de"", ""en"")"),"When was the first Women's World Rowing Championship held?")</f>
        <v>When was the first Women's World Rowing Championship held?</v>
      </c>
      <c r="C22" s="7" t="s">
        <v>79</v>
      </c>
      <c r="D22" s="6" t="str">
        <f>IFERROR(__xludf.DUMMYFUNCTION("GOOGLETRANSLATE(J22, ""de"", ""en"")"),"1974")</f>
        <v>1974</v>
      </c>
      <c r="E22" s="6" t="str">
        <f>IFERROR(__xludf.DUMMYFUNCTION("GOOGLETRANSLATE(K22, ""de"", ""en"")"),"The first Women's World Rowing Championships took place in 1974.")</f>
        <v>The first Women's World Rowing Championships took place in 1974.</v>
      </c>
      <c r="G22" s="8">
        <v>21.0</v>
      </c>
      <c r="H22" s="9" t="s">
        <v>80</v>
      </c>
      <c r="I22" s="9" t="str">
        <f>IFERROR(__xludf.DUMMYFUNCTION("GOOGLETRANSLATE(C22, ""en"", ""de"")"),"A. 1974 B. 1980 C. 1978 D. 1969")</f>
        <v>A. 1974 B. 1980 C. 1978 D. 1969</v>
      </c>
      <c r="J22" s="11">
        <v>1974.0</v>
      </c>
      <c r="K22" s="9" t="s">
        <v>81</v>
      </c>
    </row>
    <row r="23" ht="22.5" customHeight="1">
      <c r="A23" s="5">
        <v>22.0</v>
      </c>
      <c r="B23" s="6" t="str">
        <f>IFERROR(__xludf.DUMMYFUNCTION("GOOGLETRANSLATE(H23, ""de"", ""en"")"),"Which famous river is the setting for the Boat Race between Oxford and Cambridge?")</f>
        <v>Which famous river is the setting for the Boat Race between Oxford and Cambridge?</v>
      </c>
      <c r="C23" s="7" t="s">
        <v>82</v>
      </c>
      <c r="D23" s="6" t="str">
        <f>IFERROR(__xludf.DUMMYFUNCTION("GOOGLETRANSLATE(J23, ""de"", ""en"")"),"The Thames")</f>
        <v>The Thames</v>
      </c>
      <c r="E23" s="6" t="str">
        <f>IFERROR(__xludf.DUMMYFUNCTION("GOOGLETRANSLATE(K23, ""de"", ""en"")"),"The Thames is the setting for the legendary Boat Race between Oxford and Cambridge.")</f>
        <v>The Thames is the setting for the legendary Boat Race between Oxford and Cambridge.</v>
      </c>
      <c r="G23" s="10">
        <v>22.0</v>
      </c>
      <c r="H23" s="9" t="s">
        <v>83</v>
      </c>
      <c r="I23" s="9" t="str">
        <f>IFERROR(__xludf.DUMMYFUNCTION("GOOGLETRANSLATE(C23, ""en"", ""de"")"),"A. Die Donau B. Die Themse C. Der Rhein D. Die Elbe")</f>
        <v>A. Die Donau B. Die Themse C. Der Rhein D. Die Elbe</v>
      </c>
      <c r="J23" s="9" t="s">
        <v>84</v>
      </c>
      <c r="K23" s="9" t="s">
        <v>85</v>
      </c>
    </row>
    <row r="24" ht="22.5" customHeight="1">
      <c r="A24" s="5">
        <v>23.0</v>
      </c>
      <c r="B24" s="6" t="str">
        <f>IFERROR(__xludf.DUMMYFUNCTION("GOOGLETRANSLATE(H24, ""de"", ""en"")"),"In which year were rowing races with lightweight classes included in the Olympic Games?")</f>
        <v>In which year were rowing races with lightweight classes included in the Olympic Games?</v>
      </c>
      <c r="C24" s="7" t="s">
        <v>86</v>
      </c>
      <c r="D24" s="6" t="str">
        <f>IFERROR(__xludf.DUMMYFUNCTION("GOOGLETRANSLATE(J24, ""de"", ""en"")"),"1996")</f>
        <v>1996</v>
      </c>
      <c r="E24" s="6" t="str">
        <f>IFERROR(__xludf.DUMMYFUNCTION("GOOGLETRANSLATE(K24, ""de"", ""en"")"),"Lightweight classes were first integrated into Olympic rowing in 1996.")</f>
        <v>Lightweight classes were first integrated into Olympic rowing in 1996.</v>
      </c>
      <c r="G24" s="8">
        <v>23.0</v>
      </c>
      <c r="H24" s="9" t="s">
        <v>87</v>
      </c>
      <c r="I24" s="9" t="str">
        <f>IFERROR(__xludf.DUMMYFUNCTION("GOOGLETRANSLATE(C24, ""en"", ""de"")"),"A. 1996 B. 1988 C. 2000 D. 1992")</f>
        <v>A. 1996 B. 1988 C. 2000 D. 1992</v>
      </c>
      <c r="J24" s="11">
        <v>1996.0</v>
      </c>
      <c r="K24" s="9" t="s">
        <v>88</v>
      </c>
    </row>
    <row r="25" ht="22.5" customHeight="1">
      <c r="A25" s="5">
        <v>24.0</v>
      </c>
      <c r="B25" s="6" t="str">
        <f>IFERROR(__xludf.DUMMYFUNCTION("GOOGLETRANSLATE(H25, ""de"", ""en"")"),"Which year marked the beginning of modern rowing?")</f>
        <v>Which year marked the beginning of modern rowing?</v>
      </c>
      <c r="C25" s="7" t="s">
        <v>89</v>
      </c>
      <c r="D25" s="6" t="str">
        <f>IFERROR(__xludf.DUMMYFUNCTION("GOOGLETRANSLATE(J25, ""de"", ""en"")"),"1830")</f>
        <v>1830</v>
      </c>
      <c r="E25" s="6" t="str">
        <f>IFERROR(__xludf.DUMMYFUNCTION("GOOGLETRANSLATE(K25, ""de"", ""en"")"),"Modern rowing began around 1830 with the advent of organized races.")</f>
        <v>Modern rowing began around 1830 with the advent of organized races.</v>
      </c>
      <c r="G25" s="10">
        <v>24.0</v>
      </c>
      <c r="H25" s="9" t="s">
        <v>90</v>
      </c>
      <c r="I25" s="9" t="str">
        <f>IFERROR(__xludf.DUMMYFUNCTION("GOOGLETRANSLATE(C25, ""en"", ""de"")"),"A. 1869 B. 1830 C. 1892 D. 1875")</f>
        <v>A. 1869 B. 1830 C. 1892 D. 1875</v>
      </c>
      <c r="J25" s="11">
        <v>1830.0</v>
      </c>
      <c r="K25" s="9" t="s">
        <v>91</v>
      </c>
    </row>
    <row r="26" ht="22.5" customHeight="1">
      <c r="A26" s="5">
        <v>25.0</v>
      </c>
      <c r="B26" s="6" t="str">
        <f>IFERROR(__xludf.DUMMYFUNCTION("GOOGLETRANSLATE(H26, ""de"", ""en"")"),"Which boat is traditionally the fastest in a race?")</f>
        <v>Which boat is traditionally the fastest in a race?</v>
      </c>
      <c r="C26" s="7" t="s">
        <v>92</v>
      </c>
      <c r="D26" s="6" t="str">
        <f>IFERROR(__xludf.DUMMYFUNCTION("GOOGLETRANSLATE(J26, ""de"", ""en"")"),"Eight")</f>
        <v>Eight</v>
      </c>
      <c r="E26" s="6" t="str">
        <f>IFERROR(__xludf.DUMMYFUNCTION("GOOGLETRANSLATE(K26, ""de"", ""en"")"),"The eight is the fastest boat in a rowing race due to its team size and coordination.")</f>
        <v>The eight is the fastest boat in a rowing race due to its team size and coordination.</v>
      </c>
      <c r="G26" s="8">
        <v>25.0</v>
      </c>
      <c r="H26" s="9" t="s">
        <v>93</v>
      </c>
      <c r="I26" s="9" t="str">
        <f>IFERROR(__xludf.DUMMYFUNCTION("GOOGLETRANSLATE(C26, ""en"", ""de"")"),"A. Acht B. Doppelzweier C. Zwei D. Eins")</f>
        <v>A. Acht B. Doppelzweier C. Zwei D. Eins</v>
      </c>
      <c r="J26" s="9" t="s">
        <v>94</v>
      </c>
      <c r="K26" s="9" t="s">
        <v>95</v>
      </c>
    </row>
    <row r="27" ht="22.5" customHeight="1">
      <c r="A27" s="5">
        <v>26.0</v>
      </c>
      <c r="B27" s="6" t="str">
        <f>IFERROR(__xludf.DUMMYFUNCTION("GOOGLETRANSLATE(H27, ""de"", ""en"")"),"Which German club was founded in 1836 and is one of the oldest in the world?")</f>
        <v>Which German club was founded in 1836 and is one of the oldest in the world?</v>
      </c>
      <c r="C27" s="7" t="s">
        <v>96</v>
      </c>
      <c r="D27" s="6" t="str">
        <f>IFERROR(__xludf.DUMMYFUNCTION("GOOGLETRANSLATE(J27, ""de"", ""en"")"),"Hamburg Rowing Club")</f>
        <v>Hamburg Rowing Club</v>
      </c>
      <c r="E27" s="6" t="str">
        <f>IFERROR(__xludf.DUMMYFUNCTION("GOOGLETRANSLATE(K27, ""de"", ""en"")"),"The Hamburg Rowing Club was founded in 1836 and is one of the oldest in the world.")</f>
        <v>The Hamburg Rowing Club was founded in 1836 and is one of the oldest in the world.</v>
      </c>
      <c r="G27" s="10">
        <v>26.0</v>
      </c>
      <c r="H27" s="9" t="s">
        <v>97</v>
      </c>
      <c r="I27" s="9" t="str">
        <f>IFERROR(__xludf.DUMMYFUNCTION("GOOGLETRANSLATE(C27, ""en"", ""de"")"),"A. Frankfurter Ruderclub B. Berliner Ruderclub C. Hamburger Ruderclub D. Lübecker Ruderclub")</f>
        <v>A. Frankfurter Ruderclub B. Berliner Ruderclub C. Hamburger Ruderclub D. Lübecker Ruderclub</v>
      </c>
      <c r="J27" s="9" t="s">
        <v>98</v>
      </c>
      <c r="K27" s="9" t="s">
        <v>99</v>
      </c>
    </row>
    <row r="28" ht="22.5" customHeight="1">
      <c r="A28" s="5">
        <v>27.0</v>
      </c>
      <c r="B28" s="6" t="str">
        <f>IFERROR(__xludf.DUMMYFUNCTION("GOOGLETRANSLATE(H28, ""de"", ""en"")"),"When did the first Olympic final in women's rowing take place?")</f>
        <v>When did the first Olympic final in women's rowing take place?</v>
      </c>
      <c r="C28" s="7" t="s">
        <v>100</v>
      </c>
      <c r="D28" s="6" t="str">
        <f>IFERROR(__xludf.DUMMYFUNCTION("GOOGLETRANSLATE(J28, ""de"", ""en"")"),"1976")</f>
        <v>1976</v>
      </c>
      <c r="E28" s="6" t="str">
        <f>IFERROR(__xludf.DUMMYFUNCTION("GOOGLETRANSLATE(K28, ""de"", ""en"")"),"The first Olympic women's rowing event took place at the 1976 Games in Montreal.")</f>
        <v>The first Olympic women's rowing event took place at the 1976 Games in Montreal.</v>
      </c>
      <c r="G28" s="8">
        <v>27.0</v>
      </c>
      <c r="H28" s="9" t="s">
        <v>101</v>
      </c>
      <c r="I28" s="9" t="str">
        <f>IFERROR(__xludf.DUMMYFUNCTION("GOOGLETRANSLATE(C28, ""en"", ""de"")"),"A. 1976 B. 1984 C. 1980 D. 1992")</f>
        <v>A. 1976 B. 1984 C. 1980 D. 1992</v>
      </c>
      <c r="J28" s="11">
        <v>1976.0</v>
      </c>
      <c r="K28" s="9" t="s">
        <v>102</v>
      </c>
    </row>
    <row r="29" ht="22.5" customHeight="1">
      <c r="A29" s="5">
        <v>28.0</v>
      </c>
      <c r="B29" s="6" t="str">
        <f>IFERROR(__xludf.DUMMYFUNCTION("GOOGLETRANSLATE(H29, ""de"", ""en"")"),"Which city hosted the first official rowing regatta in the USA?")</f>
        <v>Which city hosted the first official rowing regatta in the USA?</v>
      </c>
      <c r="C29" s="7" t="s">
        <v>103</v>
      </c>
      <c r="D29" s="6" t="str">
        <f>IFERROR(__xludf.DUMMYFUNCTION("GOOGLETRANSLATE(J29, ""de"", ""en"")"),"new York")</f>
        <v>new York</v>
      </c>
      <c r="E29" s="6" t="str">
        <f>IFERROR(__xludf.DUMMYFUNCTION("GOOGLETRANSLATE(K29, ""de"", ""en"")"),"The first official rowing regatta in the USA took place in New York in 1834.")</f>
        <v>The first official rowing regatta in the USA took place in New York in 1834.</v>
      </c>
      <c r="G29" s="10">
        <v>28.0</v>
      </c>
      <c r="H29" s="9" t="s">
        <v>104</v>
      </c>
      <c r="I29" s="9" t="str">
        <f>IFERROR(__xludf.DUMMYFUNCTION("GOOGLETRANSLATE(C29, ""en"", ""de"")"),"A. Boston B. Philadelphia C. New York D. Chicago")</f>
        <v>A. Boston B. Philadelphia C. New York D. Chicago</v>
      </c>
      <c r="J29" s="9" t="s">
        <v>105</v>
      </c>
      <c r="K29" s="9" t="s">
        <v>106</v>
      </c>
    </row>
    <row r="30" ht="22.5" customHeight="1">
      <c r="A30" s="5">
        <v>29.0</v>
      </c>
      <c r="B30" s="6" t="str">
        <f>IFERROR(__xludf.DUMMYFUNCTION("GOOGLETRANSLATE(H30, ""de"", ""en"")"),"Which rowing event was launched in 1965 to promote recreational rowing?")</f>
        <v>Which rowing event was launched in 1965 to promote recreational rowing?</v>
      </c>
      <c r="C30" s="7" t="s">
        <v>107</v>
      </c>
      <c r="D30" s="6" t="str">
        <f>IFERROR(__xludf.DUMMYFUNCTION("GOOGLETRANSLATE(J30, ""de"", ""en"")"),"Masters Rowing")</f>
        <v>Masters Rowing</v>
      </c>
      <c r="E30" s="6" t="str">
        <f>IFERROR(__xludf.DUMMYFUNCTION("GOOGLETRANSLATE(K30, ""de"", ""en"")"),"Masters Rowing was created in 1965 to promote older rowers.")</f>
        <v>Masters Rowing was created in 1965 to promote older rowers.</v>
      </c>
      <c r="G30" s="8">
        <v>29.0</v>
      </c>
      <c r="H30" s="9" t="s">
        <v>108</v>
      </c>
      <c r="I30" s="9" t="str">
        <f>IFERROR(__xludf.DUMMYFUNCTION("GOOGLETRANSLATE(C30, ""en"", ""de"")"),"A. Head of the Charles B. Masters-Rudern C. Ruder-Europameisterschaften D. Küstenrudern")</f>
        <v>A. Head of the Charles B. Masters-Rudern C. Ruder-Europameisterschaften D. Küstenrudern</v>
      </c>
      <c r="J30" s="9" t="s">
        <v>109</v>
      </c>
      <c r="K30" s="9" t="s">
        <v>110</v>
      </c>
    </row>
    <row r="31" ht="22.5" customHeight="1">
      <c r="A31" s="5">
        <v>30.0</v>
      </c>
      <c r="B31" s="6" t="str">
        <f>IFERROR(__xludf.DUMMYFUNCTION("GOOGLETRANSLATE(H31, ""de"", ""en"")"),"Which German rower won gold in the single sculls at the 2012 Olympic Games?")</f>
        <v>Which German rower won gold in the single sculls at the 2012 Olympic Games?</v>
      </c>
      <c r="C31" s="7" t="s">
        <v>111</v>
      </c>
      <c r="D31" s="6" t="str">
        <f>IFERROR(__xludf.DUMMYFUNCTION("GOOGLETRANSLATE(J31, ""de"", ""en"")"),"Marcel Hacker")</f>
        <v>Marcel Hacker</v>
      </c>
      <c r="E31" s="6" t="str">
        <f>IFERROR(__xludf.DUMMYFUNCTION("GOOGLETRANSLATE(K31, ""de"", ""en"")"),"Marcel Hacker is known for his achievements in single sculling.")</f>
        <v>Marcel Hacker is known for his achievements in single sculling.</v>
      </c>
      <c r="G31" s="10">
        <v>30.0</v>
      </c>
      <c r="H31" s="9" t="s">
        <v>112</v>
      </c>
      <c r="I31" s="9" t="str">
        <f>IFERROR(__xludf.DUMMYFUNCTION("GOOGLETRANSLATE(C31, ""en"", ""de"")"),"A. Olaf Tufte B. Mahe Drysdale C. Marcel Hacker D. Tim Grohmann")</f>
        <v>A. Olaf Tufte B. Mahe Drysdale C. Marcel Hacker D. Tim Grohmann</v>
      </c>
      <c r="J31" s="9" t="s">
        <v>113</v>
      </c>
      <c r="K31" s="9" t="s">
        <v>114</v>
      </c>
    </row>
    <row r="32" ht="22.5" customHeight="1">
      <c r="A32" s="5">
        <v>31.0</v>
      </c>
      <c r="B32" s="6" t="str">
        <f>IFERROR(__xludf.DUMMYFUNCTION("GOOGLETRANSLATE(H32, ""de"", ""en"")"),"In which year were electronic starting systems introduced at international regattas?")</f>
        <v>In which year were electronic starting systems introduced at international regattas?</v>
      </c>
      <c r="C32" s="7" t="s">
        <v>115</v>
      </c>
      <c r="D32" s="6" t="str">
        <f>IFERROR(__xludf.DUMMYFUNCTION("GOOGLETRANSLATE(J32, ""de"", ""en"")"),"1980")</f>
        <v>1980</v>
      </c>
      <c r="E32" s="6" t="str">
        <f>IFERROR(__xludf.DUMMYFUNCTION("GOOGLETRANSLATE(K32, ""de"", ""en"")"),"Electronic starting systems were introduced at international regattas in 1980.")</f>
        <v>Electronic starting systems were introduced at international regattas in 1980.</v>
      </c>
      <c r="G32" s="8">
        <v>31.0</v>
      </c>
      <c r="H32" s="9" t="s">
        <v>116</v>
      </c>
      <c r="I32" s="9" t="str">
        <f>IFERROR(__xludf.DUMMYFUNCTION("GOOGLETRANSLATE(C32, ""en"", ""de"")"),"A. 1972 B. 1980 C. 1985 D. 1990")</f>
        <v>A. 1972 B. 1980 C. 1985 D. 1990</v>
      </c>
      <c r="J32" s="11">
        <v>1980.0</v>
      </c>
      <c r="K32" s="9" t="s">
        <v>117</v>
      </c>
    </row>
    <row r="33" ht="22.5" customHeight="1">
      <c r="A33" s="5">
        <v>32.0</v>
      </c>
      <c r="B33" s="6" t="str">
        <f>IFERROR(__xludf.DUMMYFUNCTION("GOOGLETRANSLATE(H33, ""de"", ""en"")"),"Which rowing race was established in 1852 between two US universities?")</f>
        <v>Which rowing race was established in 1852 between two US universities?</v>
      </c>
      <c r="C33" s="7" t="s">
        <v>118</v>
      </c>
      <c r="D33" s="6" t="str">
        <f>IFERROR(__xludf.DUMMYFUNCTION("GOOGLETRANSLATE(J33, ""de"", ""en"")"),"Yale-Harvard Boat Race")</f>
        <v>Yale-Harvard Boat Race</v>
      </c>
      <c r="E33" s="6" t="str">
        <f>IFERROR(__xludf.DUMMYFUNCTION("GOOGLETRANSLATE(K33, ""de"", ""en"")"),"The Yale-Harvard Boat Race is one of the oldest US rowing races.")</f>
        <v>The Yale-Harvard Boat Race is one of the oldest US rowing races.</v>
      </c>
      <c r="G33" s="10">
        <v>32.0</v>
      </c>
      <c r="H33" s="9" t="s">
        <v>119</v>
      </c>
      <c r="I33" s="9" t="str">
        <f>IFERROR(__xludf.DUMMYFUNCTION("GOOGLETRANSLATE(C33, ""en"", ""de"")"),"A. Yale-Harvard-Ruderrennen B. Stanford-UC-Ruderrennen C. Cornell-Brown-Regatta D. Dartmouth-Princeton-Regatta")</f>
        <v>A. Yale-Harvard-Ruderrennen B. Stanford-UC-Ruderrennen C. Cornell-Brown-Regatta D. Dartmouth-Princeton-Regatta</v>
      </c>
      <c r="J33" s="9" t="s">
        <v>120</v>
      </c>
      <c r="K33" s="9" t="s">
        <v>121</v>
      </c>
    </row>
    <row r="34" ht="22.5" customHeight="1">
      <c r="A34" s="5">
        <v>33.0</v>
      </c>
      <c r="B34" s="6" t="str">
        <f>IFERROR(__xludf.DUMMYFUNCTION("GOOGLETRANSLATE(H34, ""de"", ""en"")"),"Which year marked the first participation of African rowers in the Olympic Games?")</f>
        <v>Which year marked the first participation of African rowers in the Olympic Games?</v>
      </c>
      <c r="C34" s="7" t="s">
        <v>122</v>
      </c>
      <c r="D34" s="6" t="str">
        <f>IFERROR(__xludf.DUMMYFUNCTION("GOOGLETRANSLATE(J34, ""de"", ""en"")"),"1968")</f>
        <v>1968</v>
      </c>
      <c r="E34" s="6" t="str">
        <f>IFERROR(__xludf.DUMMYFUNCTION("GOOGLETRANSLATE(K34, ""de"", ""en"")"),"African rowers first participated in the Olympic Games in 1968.")</f>
        <v>African rowers first participated in the Olympic Games in 1968.</v>
      </c>
      <c r="G34" s="8">
        <v>33.0</v>
      </c>
      <c r="H34" s="9" t="s">
        <v>123</v>
      </c>
      <c r="I34" s="9" t="str">
        <f>IFERROR(__xludf.DUMMYFUNCTION("GOOGLETRANSLATE(C34, ""en"", ""de"")"),"A. 1968 B. 1972 C. 1980 D. 1984")</f>
        <v>A. 1968 B. 1972 C. 1980 D. 1984</v>
      </c>
      <c r="J34" s="11">
        <v>1968.0</v>
      </c>
      <c r="K34" s="9" t="s">
        <v>124</v>
      </c>
    </row>
    <row r="35" ht="22.5" customHeight="1">
      <c r="A35" s="5">
        <v>34.0</v>
      </c>
      <c r="B35" s="6" t="str">
        <f>IFERROR(__xludf.DUMMYFUNCTION("GOOGLETRANSLATE(H35, ""de"", ""en"")"),"Which rowing federation has been promoting para-rowing since 1991?")</f>
        <v>Which rowing federation has been promoting para-rowing since 1991?</v>
      </c>
      <c r="C35" s="7" t="s">
        <v>125</v>
      </c>
      <c r="D35" s="6" t="str">
        <f>IFERROR(__xludf.DUMMYFUNCTION("GOOGLETRANSLATE(J35, ""de"", ""en"")"),"FISA")</f>
        <v>FISA</v>
      </c>
      <c r="E35" s="6" t="str">
        <f>IFERROR(__xludf.DUMMYFUNCTION("GOOGLETRANSLATE(K35, ""de"", ""en"")"),"FISA has been promoting para-rowing since 1991.")</f>
        <v>FISA has been promoting para-rowing since 1991.</v>
      </c>
      <c r="G35" s="10">
        <v>34.0</v>
      </c>
      <c r="H35" s="9" t="s">
        <v>126</v>
      </c>
      <c r="I35" s="9" t="str">
        <f>IFERROR(__xludf.DUMMYFUNCTION("GOOGLETRANSLATE(C35, ""en"", ""de"")"),"A. FISA B. USRowing C. British Rowing D. Rowing Australia")</f>
        <v>A. FISA B. USRowing C. British Rowing D. Rowing Australia</v>
      </c>
      <c r="J35" s="9" t="s">
        <v>127</v>
      </c>
      <c r="K35" s="9" t="s">
        <v>128</v>
      </c>
    </row>
    <row r="36" ht="22.5" customHeight="1">
      <c r="A36" s="5">
        <v>35.0</v>
      </c>
      <c r="B36" s="6" t="str">
        <f>IFERROR(__xludf.DUMMYFUNCTION("GOOGLETRANSLATE(H36, ""de"", ""en"")"),"Which competition was named after a British monarch?")</f>
        <v>Which competition was named after a British monarch?</v>
      </c>
      <c r="C36" s="7" t="s">
        <v>129</v>
      </c>
      <c r="D36" s="6" t="str">
        <f>IFERROR(__xludf.DUMMYFUNCTION("GOOGLETRANSLATE(J36, ""de"", ""en"")"),"Doggett's Coat and Badge Race")</f>
        <v>Doggett's Coat and Badge Race</v>
      </c>
      <c r="E36" s="6" t="str">
        <f>IFERROR(__xludf.DUMMYFUNCTION("GOOGLETRANSLATE(K36, ""de"", ""en"")"),"The race was named after an actor in honor of the British monarchy.")</f>
        <v>The race was named after an actor in honor of the British monarchy.</v>
      </c>
      <c r="G36" s="8">
        <v>35.0</v>
      </c>
      <c r="H36" s="9" t="s">
        <v>130</v>
      </c>
      <c r="I36" s="9" t="str">
        <f>IFERROR(__xludf.DUMMYFUNCTION("GOOGLETRANSLATE(C36, ""en"", ""de"")"),"A. Doggetts Mantel- und Abzeichenrennen B. König-Georg-V.-Pokal C. Queen’s Rowing Trophy D. Henley King Regatta")</f>
        <v>A. Doggetts Mantel- und Abzeichenrennen B. König-Georg-V.-Pokal C. Queen’s Rowing Trophy D. Henley King Regatta</v>
      </c>
      <c r="J36" s="9" t="s">
        <v>131</v>
      </c>
      <c r="K36" s="9" t="s">
        <v>132</v>
      </c>
    </row>
    <row r="37" ht="22.5" customHeight="1">
      <c r="A37" s="5">
        <v>36.0</v>
      </c>
      <c r="B37" s="6" t="str">
        <f>IFERROR(__xludf.DUMMYFUNCTION("GOOGLETRANSLATE(H37, ""de"", ""en"")"),"Who is the youngest world champion in the men's single sculls?")</f>
        <v>Who is the youngest world champion in the men's single sculls?</v>
      </c>
      <c r="C37" s="7" t="s">
        <v>133</v>
      </c>
      <c r="D37" s="6" t="str">
        <f>IFERROR(__xludf.DUMMYFUNCTION("GOOGLETRANSLATE(J37, ""de"", ""en"")"),"Paul O'Donovan")</f>
        <v>Paul O'Donovan</v>
      </c>
      <c r="E37" s="6" t="str">
        <f>IFERROR(__xludf.DUMMYFUNCTION("GOOGLETRANSLATE(K37, ""de"", ""en"")"),"Paul O'Donovan became known as the youngest world champion.")</f>
        <v>Paul O'Donovan became known as the youngest world champion.</v>
      </c>
      <c r="G37" s="10">
        <v>36.0</v>
      </c>
      <c r="H37" s="9" t="s">
        <v>134</v>
      </c>
      <c r="I37" s="9" t="str">
        <f>IFERROR(__xludf.DUMMYFUNCTION("GOOGLETRANSLATE(C37, ""en"", ""de"")"),"A. Olaf Tufte B. Mahe Drysdale C. Paul O'Donovan D. Rene Holten Poulsen")</f>
        <v>A. Olaf Tufte B. Mahe Drysdale C. Paul O'Donovan D. Rene Holten Poulsen</v>
      </c>
      <c r="J37" s="9" t="s">
        <v>135</v>
      </c>
      <c r="K37" s="9" t="s">
        <v>136</v>
      </c>
    </row>
    <row r="38" ht="22.5" customHeight="1">
      <c r="A38" s="5">
        <v>37.0</v>
      </c>
      <c r="B38" s="6" t="str">
        <f>IFERROR(__xludf.DUMMYFUNCTION("GOOGLETRANSLATE(H38, ""de"", ""en"")"),"What is the main goal in rowing?")</f>
        <v>What is the main goal in rowing?</v>
      </c>
      <c r="C38" s="7" t="s">
        <v>137</v>
      </c>
      <c r="D38" s="6" t="str">
        <f>IFERROR(__xludf.DUMMYFUNCTION("GOOGLETRANSLATE(J38, ""de"", ""en"")"),"To get the boat across the finish line as quickly as possible.")</f>
        <v>To get the boat across the finish line as quickly as possible.</v>
      </c>
      <c r="E38" s="6" t="str">
        <f>IFERROR(__xludf.DUMMYFUNCTION("GOOGLETRANSLATE(K38, ""de"", ""en"")"),"In rowing, the goal is to get the boat across the finish line as quickly as possible.")</f>
        <v>In rowing, the goal is to get the boat across the finish line as quickly as possible.</v>
      </c>
      <c r="G38" s="8">
        <v>37.0</v>
      </c>
      <c r="H38" s="9" t="s">
        <v>138</v>
      </c>
      <c r="I38" s="9" t="str">
        <f>IFERROR(__xludf.DUMMYFUNCTION("GOOGLETRANSLATE(C38, ""en"", ""de"")"),"A. Das Boot so schnell wie möglich über die Ziellinie bringen. B. Das Boot vor allen anderen stabilisieren. C. Das Boot sicher navigieren. D. Das Boot kollisionsfrei navigieren.")</f>
        <v>A. Das Boot so schnell wie möglich über die Ziellinie bringen. B. Das Boot vor allen anderen stabilisieren. C. Das Boot sicher navigieren. D. Das Boot kollisionsfrei navigieren.</v>
      </c>
      <c r="J38" s="9" t="s">
        <v>139</v>
      </c>
      <c r="K38" s="9" t="s">
        <v>140</v>
      </c>
    </row>
    <row r="39" ht="22.5" customHeight="1">
      <c r="A39" s="5">
        <v>38.0</v>
      </c>
      <c r="B39" s="6" t="str">
        <f>IFERROR(__xludf.DUMMYFUNCTION("GOOGLETRANSLATE(H39, ""de"", ""en"")"),"How many people are usually in an eight-person boat?")</f>
        <v>How many people are usually in an eight-person boat?</v>
      </c>
      <c r="C39" s="7" t="s">
        <v>141</v>
      </c>
      <c r="D39" s="6" t="str">
        <f>IFERROR(__xludf.DUMMYFUNCTION("GOOGLETRANSLATE(J39, ""de"", ""en"")"),"8")</f>
        <v>8</v>
      </c>
      <c r="E39" s="6" t="str">
        <f>IFERROR(__xludf.DUMMYFUNCTION("GOOGLETRANSLATE(K39, ""de"", ""en"")"),"An eight-oared boat normally consists of 8 rowers.")</f>
        <v>An eight-oared boat normally consists of 8 rowers.</v>
      </c>
      <c r="G39" s="10">
        <v>38.0</v>
      </c>
      <c r="H39" s="9" t="s">
        <v>142</v>
      </c>
      <c r="I39" s="9" t="str">
        <f>IFERROR(__xludf.DUMMYFUNCTION("GOOGLETRANSLATE(C39, ""en"", ""de"")"),"A. 6 B. 8 C. 10 D. 4")</f>
        <v>A. 6 B. 8 C. 10 D. 4</v>
      </c>
      <c r="J39" s="11">
        <v>8.0</v>
      </c>
      <c r="K39" s="9" t="s">
        <v>143</v>
      </c>
    </row>
    <row r="40" ht="22.5" customHeight="1">
      <c r="A40" s="5">
        <v>39.0</v>
      </c>
      <c r="B40" s="6" t="str">
        <f>IFERROR(__xludf.DUMMYFUNCTION("GOOGLETRANSLATE(H40, ""de"", ""en"")"),"What happens if a rower makes a mistake during a race?")</f>
        <v>What happens if a rower makes a mistake during a race?</v>
      </c>
      <c r="C40" s="7" t="s">
        <v>144</v>
      </c>
      <c r="D40" s="6" t="str">
        <f>IFERROR(__xludf.DUMMYFUNCTION("GOOGLETRANSLATE(J40, ""de"", ""en"")"),"The boat is disqualified.")</f>
        <v>The boat is disqualified.</v>
      </c>
      <c r="E40" s="6" t="str">
        <f>IFERROR(__xludf.DUMMYFUNCTION("GOOGLETRANSLATE(K40, ""de"", ""en"")"),"Mistakes in the race can lead to the boat's disqualification.")</f>
        <v>Mistakes in the race can lead to the boat's disqualification.</v>
      </c>
      <c r="G40" s="8">
        <v>39.0</v>
      </c>
      <c r="H40" s="9" t="s">
        <v>145</v>
      </c>
      <c r="I40" s="9" t="str">
        <f>IFERROR(__xludf.DUMMYFUNCTION("GOOGLETRANSLATE(C40, ""en"", ""de"")"),"A. Das Team verliert sofort. B. Das Boot wird disqualifiziert. C. Das Rennen wird fortgesetzt. D. Der Fehler wird ignoriert.")</f>
        <v>A. Das Team verliert sofort. B. Das Boot wird disqualifiziert. C. Das Rennen wird fortgesetzt. D. Der Fehler wird ignoriert.</v>
      </c>
      <c r="J40" s="9" t="s">
        <v>146</v>
      </c>
      <c r="K40" s="9" t="s">
        <v>147</v>
      </c>
    </row>
    <row r="41" ht="22.5" customHeight="1">
      <c r="A41" s="5">
        <v>40.0</v>
      </c>
      <c r="B41" s="6" t="str">
        <f>IFERROR(__xludf.DUMMYFUNCTION("GOOGLETRANSLATE(H41, ""de"", ""en"")"),"What type of rowing boat is used in rowing at the Olympic level?")</f>
        <v>What type of rowing boat is used in rowing at the Olympic level?</v>
      </c>
      <c r="C41" s="7" t="s">
        <v>148</v>
      </c>
      <c r="D41" s="6" t="str">
        <f>IFERROR(__xludf.DUMMYFUNCTION("GOOGLETRANSLATE(J41, ""de"", ""en"")"),"Eight")</f>
        <v>Eight</v>
      </c>
      <c r="E41" s="6" t="str">
        <f>IFERROR(__xludf.DUMMYFUNCTION("GOOGLETRANSLATE(K41, ""de"", ""en"")"),"The eight is the most common boat type in Olympic races.")</f>
        <v>The eight is the most common boat type in Olympic races.</v>
      </c>
      <c r="G41" s="10">
        <v>40.0</v>
      </c>
      <c r="H41" s="9" t="s">
        <v>149</v>
      </c>
      <c r="I41" s="9" t="str">
        <f>IFERROR(__xludf.DUMMYFUNCTION("GOOGLETRANSLATE(C41, ""en"", ""de"")"),"A. Doppelzweier B. Einer C. Achter D. Vierer ohne Steuermann")</f>
        <v>A. Doppelzweier B. Einer C. Achter D. Vierer ohne Steuermann</v>
      </c>
      <c r="J41" s="9" t="s">
        <v>94</v>
      </c>
      <c r="K41" s="9" t="s">
        <v>150</v>
      </c>
    </row>
    <row r="42" ht="22.5" customHeight="1">
      <c r="A42" s="5">
        <v>41.0</v>
      </c>
      <c r="B42" s="6" t="str">
        <f>IFERROR(__xludf.DUMMYFUNCTION("GOOGLETRANSLATE(H42, ""de"", ""en"")"),"How is the distance measured in a rowing race?")</f>
        <v>How is the distance measured in a rowing race?</v>
      </c>
      <c r="C42" s="7" t="s">
        <v>151</v>
      </c>
      <c r="D42" s="6" t="str">
        <f>IFERROR(__xludf.DUMMYFUNCTION("GOOGLETRANSLATE(J42, ""de"", ""en"")"),"After time")</f>
        <v>After time</v>
      </c>
      <c r="E42" s="6" t="str">
        <f>IFERROR(__xludf.DUMMYFUNCTION("GOOGLETRANSLATE(K42, ""de"", ""en"")"),"The distance in a rowing race is measured by the time it takes each boat to reach the finish line.")</f>
        <v>The distance in a rowing race is measured by the time it takes each boat to reach the finish line.</v>
      </c>
      <c r="G42" s="8">
        <v>41.0</v>
      </c>
      <c r="H42" s="9" t="s">
        <v>152</v>
      </c>
      <c r="I42" s="9" t="str">
        <f>IFERROR(__xludf.DUMMYFUNCTION("GOOGLETRANSLATE(C42, ""en"", ""de"")"),"A. Nach einer bestimmten Zeit B. Nach der Geschwindigkeit C. Nach der Anzahl der Schläge D. Nach dem Abstand zwischen den Booten")</f>
        <v>A. Nach einer bestimmten Zeit B. Nach der Geschwindigkeit C. Nach der Anzahl der Schläge D. Nach dem Abstand zwischen den Booten</v>
      </c>
      <c r="J42" s="9" t="s">
        <v>153</v>
      </c>
      <c r="K42" s="9" t="s">
        <v>154</v>
      </c>
    </row>
    <row r="43" ht="22.5" customHeight="1">
      <c r="A43" s="5">
        <v>42.0</v>
      </c>
      <c r="B43" s="6" t="str">
        <f>IFERROR(__xludf.DUMMYFUNCTION("GOOGLETRANSLATE(H43, ""de"", ""en"")"),"What is a 'traction path' in rowing?")</f>
        <v>What is a 'traction path' in rowing?</v>
      </c>
      <c r="C43" s="7" t="s">
        <v>155</v>
      </c>
      <c r="D43" s="6" t="str">
        <f>IFERROR(__xludf.DUMMYFUNCTION("GOOGLETRANSLATE(J43, ""de"", ""en"")"),"The direction the boat is traveling in")</f>
        <v>The direction the boat is traveling in</v>
      </c>
      <c r="E43" s="6" t="str">
        <f>IFERROR(__xludf.DUMMYFUNCTION("GOOGLETRANSLATE(K43, ""de"", ""en"")"),"The trajectory refers to the direction in which the boat travels during a race.")</f>
        <v>The trajectory refers to the direction in which the boat travels during a race.</v>
      </c>
      <c r="G43" s="10">
        <v>42.0</v>
      </c>
      <c r="H43" s="9" t="s">
        <v>156</v>
      </c>
      <c r="I43" s="9" t="str">
        <f>IFERROR(__xludf.DUMMYFUNCTION("GOOGLETRANSLATE(C43, ""en"", ""de"")"),"A. Die Fahrtrichtung des Bootes. B. Die Art und Weise, wie das Boot gesteuert wird. C. Die vom Boot zurückgelegte Strecke. D. Das Impulsverhalten des Bootes.")</f>
        <v>A. Die Fahrtrichtung des Bootes. B. Die Art und Weise, wie das Boot gesteuert wird. C. Die vom Boot zurückgelegte Strecke. D. Das Impulsverhalten des Bootes.</v>
      </c>
      <c r="J43" s="9" t="s">
        <v>157</v>
      </c>
      <c r="K43" s="9" t="s">
        <v>158</v>
      </c>
    </row>
    <row r="44" ht="22.5" customHeight="1">
      <c r="A44" s="5">
        <v>43.0</v>
      </c>
      <c r="B44" s="6" t="str">
        <f>IFERROR(__xludf.DUMMYFUNCTION("GOOGLETRANSLATE(H44, ""de"", ""en"")"),"When is the starting signal given in a rowing race?")</f>
        <v>When is the starting signal given in a rowing race?</v>
      </c>
      <c r="C44" s="7" t="s">
        <v>159</v>
      </c>
      <c r="D44" s="6" t="str">
        <f>IFERROR(__xludf.DUMMYFUNCTION("GOOGLETRANSLATE(J44, ""de"", ""en"")"),"When all boats are in position")</f>
        <v>When all boats are in position</v>
      </c>
      <c r="E44" s="6" t="str">
        <f>IFERROR(__xludf.DUMMYFUNCTION("GOOGLETRANSLATE(K44, ""de"", ""en"")"),"The starting signal will be given when all boats are correctly aligned.")</f>
        <v>The starting signal will be given when all boats are correctly aligned.</v>
      </c>
      <c r="G44" s="8">
        <v>43.0</v>
      </c>
      <c r="H44" s="9" t="s">
        <v>160</v>
      </c>
      <c r="I44" s="9" t="str">
        <f>IFERROR(__xludf.DUMMYFUNCTION("GOOGLETRANSLATE(C44, ""en"", ""de"")"),"A. Nach dem ersten Paddelschlag. B. Wenn alle Boote in Position sind. C. Wenn das Wasser ruhig ist. D. Nachdem das führende Boot in den Hafen eingefahren ist.")</f>
        <v>A. Nach dem ersten Paddelschlag. B. Wenn alle Boote in Position sind. C. Wenn das Wasser ruhig ist. D. Nachdem das führende Boot in den Hafen eingefahren ist.</v>
      </c>
      <c r="J44" s="9" t="s">
        <v>161</v>
      </c>
      <c r="K44" s="9" t="s">
        <v>162</v>
      </c>
    </row>
    <row r="45" ht="22.5" customHeight="1">
      <c r="A45" s="5">
        <v>44.0</v>
      </c>
      <c r="B45" s="6" t="str">
        <f>IFERROR(__xludf.DUMMYFUNCTION("GOOGLETRANSLATE(H45, ""de"", ""en"")"),"What happens if a boat crosses the finish line during a rowing race?")</f>
        <v>What happens if a boat crosses the finish line during a rowing race?</v>
      </c>
      <c r="C45" s="7" t="s">
        <v>163</v>
      </c>
      <c r="D45" s="6" t="str">
        <f>IFERROR(__xludf.DUMMYFUNCTION("GOOGLETRANSLATE(J45, ""de"", ""en"")"),"It wins the race")</f>
        <v>It wins the race</v>
      </c>
      <c r="E45" s="6" t="str">
        <f>IFERROR(__xludf.DUMMYFUNCTION("GOOGLETRANSLATE(K45, ""de"", ""en"")"),"A boat that crosses the finish line wins the race if it crosses the finish line properly.")</f>
        <v>A boat that crosses the finish line wins the race if it crosses the finish line properly.</v>
      </c>
      <c r="G45" s="10">
        <v>44.0</v>
      </c>
      <c r="H45" s="9" t="s">
        <v>164</v>
      </c>
      <c r="I45" s="9" t="str">
        <f>IFERROR(__xludf.DUMMYFUNCTION("GOOGLETRANSLATE(C45, ""en"", ""de"")"),"A. Es gewinnt das Rennen. B. Es wird disqualifiziert. C. Es muss zurückkehren. D. Es darf das Rennen fortsetzen.")</f>
        <v>A. Es gewinnt das Rennen. B. Es wird disqualifiziert. C. Es muss zurückkehren. D. Es darf das Rennen fortsetzen.</v>
      </c>
      <c r="J45" s="9" t="s">
        <v>165</v>
      </c>
      <c r="K45" s="9" t="s">
        <v>166</v>
      </c>
    </row>
    <row r="46" ht="22.5" customHeight="1">
      <c r="A46" s="5">
        <v>45.0</v>
      </c>
      <c r="B46" s="6" t="str">
        <f>IFERROR(__xludf.DUMMYFUNCTION("GOOGLETRANSLATE(H46, ""de"", ""en"")"),"What is the difference between an 'eight' and a 'four'?")</f>
        <v>What is the difference between an 'eight' and a 'four'?</v>
      </c>
      <c r="C46" s="7" t="s">
        <v>167</v>
      </c>
      <c r="D46" s="6" t="str">
        <f>IFERROR(__xludf.DUMMYFUNCTION("GOOGLETRANSLATE(J46, ""de"", ""en"")"),"The number of rowers")</f>
        <v>The number of rowers</v>
      </c>
      <c r="E46" s="6" t="str">
        <f>IFERROR(__xludf.DUMMYFUNCTION("GOOGLETRANSLATE(K46, ""de"", ""en"")"),"The main difference is the number of rowers in the boat.")</f>
        <v>The main difference is the number of rowers in the boat.</v>
      </c>
      <c r="G46" s="8">
        <v>45.0</v>
      </c>
      <c r="H46" s="9" t="s">
        <v>168</v>
      </c>
      <c r="I46" s="9" t="str">
        <f>IFERROR(__xludf.DUMMYFUNCTION("GOOGLETRANSLATE(C46, ""en"", ""de"")"),"A. Die Anzahl der Ruderer B. Die Länge des Bootes C. Das Gewicht des Bootes D. Die Art der Ruder")</f>
        <v>A. Die Anzahl der Ruderer B. Die Länge des Bootes C. Das Gewicht des Bootes D. Die Art der Ruder</v>
      </c>
      <c r="J46" s="9" t="s">
        <v>169</v>
      </c>
      <c r="K46" s="9" t="s">
        <v>170</v>
      </c>
    </row>
    <row r="47" ht="22.5" customHeight="1">
      <c r="A47" s="5">
        <v>46.0</v>
      </c>
      <c r="B47" s="6" t="str">
        <f>IFERROR(__xludf.DUMMYFUNCTION("GOOGLETRANSLATE(H47, ""de"", ""en"")"),"Which technique is crucial for efficiency in rowing?")</f>
        <v>Which technique is crucial for efficiency in rowing?</v>
      </c>
      <c r="C47" s="7" t="s">
        <v>171</v>
      </c>
      <c r="D47" s="6" t="str">
        <f>IFERROR(__xludf.DUMMYFUNCTION("GOOGLETRANSLATE(J47, ""de"", ""en"")"),"Rhythm coordination")</f>
        <v>Rhythm coordination</v>
      </c>
      <c r="E47" s="6" t="str">
        <f>IFERROR(__xludf.DUMMYFUNCTION("GOOGLETRANSLATE(K47, ""de"", ""en"")"),"Coordinating the rowing rhythm is crucial for fast rowing.")</f>
        <v>Coordinating the rowing rhythm is crucial for fast rowing.</v>
      </c>
      <c r="G47" s="10">
        <v>46.0</v>
      </c>
      <c r="H47" s="9" t="s">
        <v>172</v>
      </c>
      <c r="I47" s="9" t="str">
        <f>IFERROR(__xludf.DUMMYFUNCTION("GOOGLETRANSLATE(C47, ""en"", ""de"")"),"A. Der Schub B. Paddeln C. Der Startschlag D. Rhythmuskoordination")</f>
        <v>A. Der Schub B. Paddeln C. Der Startschlag D. Rhythmuskoordination</v>
      </c>
      <c r="J47" s="9" t="s">
        <v>173</v>
      </c>
      <c r="K47" s="9" t="s">
        <v>174</v>
      </c>
    </row>
    <row r="48" ht="22.5" customHeight="1">
      <c r="A48" s="5">
        <v>47.0</v>
      </c>
      <c r="B48" s="6" t="str">
        <f>IFERROR(__xludf.DUMMYFUNCTION("GOOGLETRANSLATE(H48, ""de"", ""en"")"),"What must a boat do while rowing to maintain its course?")</f>
        <v>What must a boat do while rowing to maintain its course?</v>
      </c>
      <c r="C48" s="7" t="s">
        <v>175</v>
      </c>
      <c r="D48" s="6" t="str">
        <f>IFERROR(__xludf.DUMMYFUNCTION("GOOGLETRANSLATE(J48, ""de"", ""en"")"),"Steer")</f>
        <v>Steer</v>
      </c>
      <c r="E48" s="6" t="str">
        <f>IFERROR(__xludf.DUMMYFUNCTION("GOOGLETRANSLATE(K48, ""de"", ""en"")"),"A boat must be kept stable on its course by the helmsman or the rudder.")</f>
        <v>A boat must be kept stable on its course by the helmsman or the rudder.</v>
      </c>
      <c r="G48" s="8">
        <v>47.0</v>
      </c>
      <c r="H48" s="9" t="s">
        <v>176</v>
      </c>
      <c r="I48" s="9" t="str">
        <f>IFERROR(__xludf.DUMMYFUNCTION("GOOGLETRANSLATE(C48, ""en"", ""de"")"),"A. Steuern B. Die Schläge verstärken sich C. Geschwindigkeit reduzieren D. Ruderer austauschen")</f>
        <v>A. Steuern B. Die Schläge verstärken sich C. Geschwindigkeit reduzieren D. Ruderer austauschen</v>
      </c>
      <c r="J48" s="9" t="s">
        <v>177</v>
      </c>
      <c r="K48" s="9" t="s">
        <v>178</v>
      </c>
    </row>
    <row r="49" ht="22.5" customHeight="1">
      <c r="A49" s="5">
        <v>48.0</v>
      </c>
      <c r="B49" s="6" t="str">
        <f>IFERROR(__xludf.DUMMYFUNCTION("GOOGLETRANSLATE(H49, ""de"", ""en"")"),"What does 'forward' mean in rowing?")</f>
        <v>What does 'forward' mean in rowing?</v>
      </c>
      <c r="C49" s="7" t="s">
        <v>179</v>
      </c>
      <c r="D49" s="6" t="str">
        <f>IFERROR(__xludf.DUMMYFUNCTION("GOOGLETRANSLATE(J49, ""de"", ""en"")"),"The boat is moving in the desired direction.")</f>
        <v>The boat is moving in the desired direction.</v>
      </c>
      <c r="E49" s="6" t="str">
        <f>IFERROR(__xludf.DUMMYFUNCTION("GOOGLETRANSLATE(K49, ""de"", ""en"")"),"'Forward' means that the boat is moving in the right direction and picking up speed.")</f>
        <v>'Forward' means that the boat is moving in the right direction and picking up speed.</v>
      </c>
      <c r="G49" s="10">
        <v>48.0</v>
      </c>
      <c r="H49" s="9" t="s">
        <v>180</v>
      </c>
      <c r="I49" s="9" t="str">
        <f>IFERROR(__xludf.DUMMYFUNCTION("GOOGLETRANSLATE(C49, ""en"", ""de"")"),"A. Die Schläge sind gleichmäßig. B. Das Boot bewegt sich in die gewünschte Richtung. C. Der Steuermann kontrolliert die Geschwindigkeit. D. Das Boot bewegt sich rückwärts.")</f>
        <v>A. Die Schläge sind gleichmäßig. B. Das Boot bewegt sich in die gewünschte Richtung. C. Der Steuermann kontrolliert die Geschwindigkeit. D. Das Boot bewegt sich rückwärts.</v>
      </c>
      <c r="J49" s="9" t="s">
        <v>181</v>
      </c>
      <c r="K49" s="12" t="s">
        <v>182</v>
      </c>
    </row>
    <row r="50" ht="22.5" customHeight="1">
      <c r="A50" s="5">
        <v>49.0</v>
      </c>
      <c r="B50" s="6" t="str">
        <f>IFERROR(__xludf.DUMMYFUNCTION("GOOGLETRANSLATE(H50, ""de"", ""en"")"),"Which stroke is crucial for getting the boat started quickly?")</f>
        <v>Which stroke is crucial for getting the boat started quickly?</v>
      </c>
      <c r="C50" s="7" t="s">
        <v>183</v>
      </c>
      <c r="D50" s="6" t="str">
        <f>IFERROR(__xludf.DUMMYFUNCTION("GOOGLETRANSLATE(J50, ""de"", ""en"")"),"Starting stroke")</f>
        <v>Starting stroke</v>
      </c>
      <c r="E50" s="6" t="str">
        <f>IFERROR(__xludf.DUMMYFUNCTION("GOOGLETRANSLATE(K50, ""de"", ""en"")"),"The starting stroke is crucial to get the boat moving quickly.")</f>
        <v>The starting stroke is crucial to get the boat moving quickly.</v>
      </c>
      <c r="G50" s="8">
        <v>49.0</v>
      </c>
      <c r="H50" s="9" t="s">
        <v>184</v>
      </c>
      <c r="I50" s="9" t="str">
        <f>IFERROR(__xludf.DUMMYFUNCTION("GOOGLETRANSLATE(C50, ""en"", ""de"")"),"A. Startschlag B. Langsame Schlagtechnik C. Maximale Treffsicherheit D. Schneller Schlag")</f>
        <v>A. Startschlag B. Langsame Schlagtechnik C. Maximale Treffsicherheit D. Schneller Schlag</v>
      </c>
      <c r="J50" s="9" t="s">
        <v>185</v>
      </c>
      <c r="K50" s="9" t="s">
        <v>186</v>
      </c>
    </row>
    <row r="51" ht="22.5" customHeight="1">
      <c r="A51" s="5">
        <v>50.0</v>
      </c>
      <c r="B51" s="6" t="str">
        <f>IFERROR(__xludf.DUMMYFUNCTION("GOOGLETRANSLATE(H51, ""de"", ""en"")"),"When should a rower increase their stroke rate?")</f>
        <v>When should a rower increase their stroke rate?</v>
      </c>
      <c r="C51" s="7" t="s">
        <v>187</v>
      </c>
      <c r="D51" s="6" t="str">
        <f>IFERROR(__xludf.DUMMYFUNCTION("GOOGLETRANSLATE(J51, ""de"", ""en"")"),"If the boat loses speed")</f>
        <v>If the boat loses speed</v>
      </c>
      <c r="E51" s="6" t="str">
        <f>IFERROR(__xludf.DUMMYFUNCTION("GOOGLETRANSLATE(K51, ""de"", ""en"")"),"The stroke rate increases when the boat loses speed.")</f>
        <v>The stroke rate increases when the boat loses speed.</v>
      </c>
      <c r="G51" s="10">
        <v>50.0</v>
      </c>
      <c r="H51" s="9" t="s">
        <v>188</v>
      </c>
      <c r="I51" s="9" t="str">
        <f>IFERROR(__xludf.DUMMYFUNCTION("GOOGLETRANSLATE(C51, ""en"", ""de"")"),"A. Wenn das Boot in Führung liegt. B. Wenn das Rennen zu Ende geht. C. Wenn das Boot an Geschwindigkeit verliert. D. Wenn das Boot stabil ist.")</f>
        <v>A. Wenn das Boot in Führung liegt. B. Wenn das Rennen zu Ende geht. C. Wenn das Boot an Geschwindigkeit verliert. D. Wenn das Boot stabil ist.</v>
      </c>
      <c r="J51" s="9" t="s">
        <v>189</v>
      </c>
      <c r="K51" s="9" t="s">
        <v>190</v>
      </c>
    </row>
    <row r="52" ht="22.5" customHeight="1">
      <c r="A52" s="5">
        <v>51.0</v>
      </c>
      <c r="B52" s="6" t="str">
        <f>IFERROR(__xludf.DUMMYFUNCTION("GOOGLETRANSLATE(H52, ""de"", ""en"")"),"What does the term 'bows' refer to in rowing?")</f>
        <v>What does the term 'bows' refer to in rowing?</v>
      </c>
      <c r="C52" s="7" t="s">
        <v>191</v>
      </c>
      <c r="D52" s="6" t="str">
        <f>IFERROR(__xludf.DUMMYFUNCTION("GOOGLETRANSLATE(J52, ""de"", ""en"")"),"The curves in the water")</f>
        <v>The curves in the water</v>
      </c>
      <c r="E52" s="6" t="str">
        <f>IFERROR(__xludf.DUMMYFUNCTION("GOOGLETRANSLATE(K52, ""de"", ""en"")"),"'Arches' refers to the curves and turns a boat makes in the water.")</f>
        <v>'Arches' refers to the curves and turns a boat makes in the water.</v>
      </c>
      <c r="G52" s="8">
        <v>51.0</v>
      </c>
      <c r="H52" s="9" t="s">
        <v>192</v>
      </c>
      <c r="I52" s="9" t="str">
        <f>IFERROR(__xludf.DUMMYFUNCTION("GOOGLETRANSLATE(C52, ""en"", ""de"")"),"A. Die Position des Bootes B. Die Wellen im Wasser C. Die Fahrspur des Bootes D. Die Kurven im Wasser")</f>
        <v>A. Die Position des Bootes B. Die Wellen im Wasser C. Die Fahrspur des Bootes D. Die Kurven im Wasser</v>
      </c>
      <c r="J52" s="9" t="s">
        <v>193</v>
      </c>
      <c r="K52" s="12" t="s">
        <v>194</v>
      </c>
    </row>
    <row r="53" ht="22.5" customHeight="1">
      <c r="A53" s="5">
        <v>52.0</v>
      </c>
      <c r="B53" s="6" t="str">
        <f>IFERROR(__xludf.DUMMYFUNCTION("GOOGLETRANSLATE(H53, ""de"", ""en"")"),"What is the 'rest phase' in rowing?")</f>
        <v>What is the 'rest phase' in rowing?</v>
      </c>
      <c r="C53" s="7" t="s">
        <v>195</v>
      </c>
      <c r="D53" s="6" t="str">
        <f>IFERROR(__xludf.DUMMYFUNCTION("GOOGLETRANSLATE(J53, ""de"", ""en"")"),"The pause between strokes")</f>
        <v>The pause between strokes</v>
      </c>
      <c r="E53" s="6" t="str">
        <f>IFERROR(__xludf.DUMMYFUNCTION("GOOGLETRANSLATE(K53, ""de"", ""en"")"),"The resting phase is the time in which the boat is stabilized between strokes.")</f>
        <v>The resting phase is the time in which the boat is stabilized between strokes.</v>
      </c>
      <c r="G53" s="10">
        <v>52.0</v>
      </c>
      <c r="H53" s="9" t="s">
        <v>196</v>
      </c>
      <c r="I53" s="9" t="str">
        <f>IFERROR(__xludf.DUMMYFUNCTION("GOOGLETRANSLATE(C53, ""en"", ""de"")"),"A. Die Zeit nach dem Start B. Die Zeit während des Rennens C. Die Pause zwischen den Schlägen D. Die Zeit nach der Ziellinie")</f>
        <v>A. Die Zeit nach dem Start B. Die Zeit während des Rennens C. Die Pause zwischen den Schlägen D. Die Zeit nach der Ziellinie</v>
      </c>
      <c r="J53" s="9" t="s">
        <v>197</v>
      </c>
      <c r="K53" s="9" t="s">
        <v>198</v>
      </c>
    </row>
    <row r="54" ht="22.5" customHeight="1">
      <c r="A54" s="5">
        <v>53.0</v>
      </c>
      <c r="B54" s="6" t="str">
        <f>IFERROR(__xludf.DUMMYFUNCTION("GOOGLETRANSLATE(H54, ""de"", ""en"")"),"What happens if one boat endangers the course of another boat?")</f>
        <v>What happens if one boat endangers the course of another boat?</v>
      </c>
      <c r="C54" s="7" t="s">
        <v>199</v>
      </c>
      <c r="D54" s="6" t="str">
        <f>IFERROR(__xludf.DUMMYFUNCTION("GOOGLETRANSLATE(J54, ""de"", ""en"")"),"It receives a penalty.")</f>
        <v>It receives a penalty.</v>
      </c>
      <c r="E54" s="6" t="str">
        <f>IFERROR(__xludf.DUMMYFUNCTION("GOOGLETRANSLATE(K54, ""de"", ""en"")"),"If a boat endangers the course of another, it receives a penalty.")</f>
        <v>If a boat endangers the course of another, it receives a penalty.</v>
      </c>
      <c r="G54" s="8">
        <v>53.0</v>
      </c>
      <c r="H54" s="9" t="s">
        <v>200</v>
      </c>
      <c r="I54" s="9" t="str">
        <f>IFERROR(__xludf.DUMMYFUNCTION("GOOGLETRANSLATE(C54, ""en"", ""de"")"),"A. Es wird disqualifiziert. B. Es erhält eine Strafe. C. Es wird gestoppt. D. Es erlangt einen Zeitvorteil.")</f>
        <v>A. Es wird disqualifiziert. B. Es erhält eine Strafe. C. Es wird gestoppt. D. Es erlangt einen Zeitvorteil.</v>
      </c>
      <c r="J54" s="9" t="s">
        <v>201</v>
      </c>
      <c r="K54" s="9" t="s">
        <v>202</v>
      </c>
    </row>
    <row r="55" ht="22.5" customHeight="1">
      <c r="A55" s="5">
        <v>54.0</v>
      </c>
      <c r="B55" s="6" t="str">
        <f>IFERROR(__xludf.DUMMYFUNCTION("GOOGLETRANSLATE(H55, ""de"", ""en"")"),"How many strokes per minute can an experienced rower typically achieve?")</f>
        <v>How many strokes per minute can an experienced rower typically achieve?</v>
      </c>
      <c r="C55" s="7" t="s">
        <v>203</v>
      </c>
      <c r="D55" s="6" t="str">
        <f>IFERROR(__xludf.DUMMYFUNCTION("GOOGLETRANSLATE(J55, ""de"", ""en"")"),"40-45")</f>
        <v>40-45</v>
      </c>
      <c r="E55" s="6" t="str">
        <f>IFERROR(__xludf.DUMMYFUNCTION("GOOGLETRANSLATE(K55, ""de"", ""en"")"),"An experienced rower can typically achieve 40-45 strokes per minute.")</f>
        <v>An experienced rower can typically achieve 40-45 strokes per minute.</v>
      </c>
      <c r="G55" s="10">
        <v>54.0</v>
      </c>
      <c r="H55" s="9" t="s">
        <v>204</v>
      </c>
      <c r="I55" s="9" t="str">
        <f>IFERROR(__xludf.DUMMYFUNCTION("GOOGLETRANSLATE(C55, ""en"", ""de"")"),"A. 40–45 B. 30–35 C. 50–55 D. 60–65")</f>
        <v>A. 40–45 B. 30–35 C. 50–55 D. 60–65</v>
      </c>
      <c r="J55" s="9" t="s">
        <v>205</v>
      </c>
      <c r="K55" s="9" t="s">
        <v>206</v>
      </c>
    </row>
    <row r="56" ht="22.5" customHeight="1">
      <c r="A56" s="5">
        <v>55.0</v>
      </c>
      <c r="B56" s="6" t="str">
        <f>IFERROR(__xludf.DUMMYFUNCTION("GOOGLETRANSLATE(H56, ""de"", ""en"")"),"What is most important in rowing?")</f>
        <v>What is most important in rowing?</v>
      </c>
      <c r="C56" s="7" t="s">
        <v>207</v>
      </c>
      <c r="D56" s="6" t="str">
        <f>IFERROR(__xludf.DUMMYFUNCTION("GOOGLETRANSLATE(J56, ""de"", ""en"")"),"coordination")</f>
        <v>coordination</v>
      </c>
      <c r="E56" s="6" t="str">
        <f>IFERROR(__xludf.DUMMYFUNCTION("GOOGLETRANSLATE(K56, ""de"", ""en"")"),"Coordination between rowers is of utmost importance in rowing.")</f>
        <v>Coordination between rowers is of utmost importance in rowing.</v>
      </c>
      <c r="G56" s="8">
        <v>55.0</v>
      </c>
      <c r="H56" s="9" t="s">
        <v>208</v>
      </c>
      <c r="I56" s="9" t="str">
        <f>IFERROR(__xludf.DUMMYFUNCTION("GOOGLETRANSLATE(C56, ""en"", ""de"")"),"A. Geschwindigkeit B. Kraft C. Ausdauer D. Koordination")</f>
        <v>A. Geschwindigkeit B. Kraft C. Ausdauer D. Koordination</v>
      </c>
      <c r="J56" s="9" t="s">
        <v>209</v>
      </c>
      <c r="K56" s="9" t="s">
        <v>210</v>
      </c>
    </row>
    <row r="57" ht="22.5" customHeight="1">
      <c r="A57" s="5">
        <v>56.0</v>
      </c>
      <c r="B57" s="6" t="str">
        <f>IFERROR(__xludf.DUMMYFUNCTION("GOOGLETRANSLATE(H57, ""de"", ""en"")"),"What does 'sprint' mean in rowing?")</f>
        <v>What does 'sprint' mean in rowing?</v>
      </c>
      <c r="C57" s="7" t="s">
        <v>211</v>
      </c>
      <c r="D57" s="6" t="str">
        <f>IFERROR(__xludf.DUMMYFUNCTION("GOOGLETRANSLATE(J57, ""de"", ""en"")"),"A short, intense section of the race")</f>
        <v>A short, intense section of the race</v>
      </c>
      <c r="E57" s="6" t="str">
        <f>IFERROR(__xludf.DUMMYFUNCTION("GOOGLETRANSLATE(K57, ""de"", ""en"")"),"A sprint refers to a short, fast section during a race.")</f>
        <v>A sprint refers to a short, fast section during a race.</v>
      </c>
      <c r="G57" s="10">
        <v>56.0</v>
      </c>
      <c r="H57" s="9" t="s">
        <v>212</v>
      </c>
      <c r="I57" s="9" t="str">
        <f>IFERROR(__xludf.DUMMYFUNCTION("GOOGLETRANSLATE(C57, ""en"", ""de"")"),"A. Ein kurzer, intensiver Abschnitt des Rennens. B. Eine längere, langsamere Rudereinheit. C. Die erste Phase des Rennens. D. Die letzte Phase des Rennens.")</f>
        <v>A. Ein kurzer, intensiver Abschnitt des Rennens. B. Eine längere, langsamere Rudereinheit. C. Die erste Phase des Rennens. D. Die letzte Phase des Rennens.</v>
      </c>
      <c r="J57" s="9" t="s">
        <v>213</v>
      </c>
      <c r="K57" s="9" t="s">
        <v>214</v>
      </c>
    </row>
    <row r="58" ht="22.5" customHeight="1">
      <c r="A58" s="5">
        <v>57.0</v>
      </c>
      <c r="B58" s="6" t="str">
        <f>IFERROR(__xludf.DUMMYFUNCTION("GOOGLETRANSLATE(H58, ""de"", ""en"")"),"In rowing, what is the difference between a 'rower' and a 'coxswain'?")</f>
        <v>In rowing, what is the difference between a 'rower' and a 'coxswain'?</v>
      </c>
      <c r="C58" s="7" t="s">
        <v>215</v>
      </c>
      <c r="D58" s="6" t="str">
        <f>IFERROR(__xludf.DUMMYFUNCTION("GOOGLETRANSLATE(J58, ""de"", ""en"")"),"The helmsman helps steer the boat.")</f>
        <v>The helmsman helps steer the boat.</v>
      </c>
      <c r="E58" s="6" t="str">
        <f>IFERROR(__xludf.DUMMYFUNCTION("GOOGLETRANSLATE(K58, ""de"", ""en"")"),"The coxswain is responsible for controlling the boat, while the rower moves the boat.")</f>
        <v>The coxswain is responsible for controlling the boat, while the rower moves the boat.</v>
      </c>
      <c r="G58" s="8">
        <v>57.0</v>
      </c>
      <c r="H58" s="9" t="s">
        <v>216</v>
      </c>
      <c r="I58" s="9" t="str">
        <f>IFERROR(__xludf.DUMMYFUNCTION("GOOGLETRANSLATE(C58, ""en"", ""de"")"),"A. Der Steuermann hilft beim Steuern des Bootes. B. Der Ruderer steuert das Boot. C. Der Steuermann rudert das Boot. D. Der Ruderer gibt Kommandos.")</f>
        <v>A. Der Steuermann hilft beim Steuern des Bootes. B. Der Ruderer steuert das Boot. C. Der Steuermann rudert das Boot. D. Der Ruderer gibt Kommandos.</v>
      </c>
      <c r="J58" s="9" t="s">
        <v>217</v>
      </c>
      <c r="K58" s="9" t="s">
        <v>218</v>
      </c>
    </row>
    <row r="59" ht="22.5" customHeight="1">
      <c r="A59" s="5">
        <v>58.0</v>
      </c>
      <c r="B59" s="6" t="str">
        <f>IFERROR(__xludf.DUMMYFUNCTION("GOOGLETRANSLATE(H59, ""de"", ""en"")"),"How is the rower normally positioned in the boat?")</f>
        <v>How is the rower normally positioned in the boat?</v>
      </c>
      <c r="C59" s="7" t="s">
        <v>219</v>
      </c>
      <c r="D59" s="6" t="str">
        <f>IFERROR(__xludf.DUMMYFUNCTION("GOOGLETRANSLATE(J59, ""de"", ""en"")"),"He is sitting with his back to the target.")</f>
        <v>He is sitting with his back to the target.</v>
      </c>
      <c r="E59" s="6" t="str">
        <f>IFERROR(__xludf.DUMMYFUNCTION("GOOGLETRANSLATE(K59, ""de"", ""en"")"),"The rower sits with his back to the target while he moves the oar.")</f>
        <v>The rower sits with his back to the target while he moves the oar.</v>
      </c>
      <c r="G59" s="10">
        <v>58.0</v>
      </c>
      <c r="H59" s="9" t="s">
        <v>220</v>
      </c>
      <c r="I59" s="9" t="str">
        <f>IFERROR(__xludf.DUMMYFUNCTION("GOOGLETRANSLATE(C59, ""en"", ""de"")"),"A. Er sitzt mit dem Rücken zum Ziel. B. Er sitzt mit dem Gesicht zum Tor. C. Er sitzt am Rand des Bootes. D. Er ist im Boot.")</f>
        <v>A. Er sitzt mit dem Rücken zum Ziel. B. Er sitzt mit dem Gesicht zum Tor. C. Er sitzt am Rand des Bootes. D. Er ist im Boot.</v>
      </c>
      <c r="J59" s="9" t="s">
        <v>221</v>
      </c>
      <c r="K59" s="9" t="s">
        <v>222</v>
      </c>
    </row>
    <row r="60" ht="22.5" customHeight="1">
      <c r="A60" s="5">
        <v>59.0</v>
      </c>
      <c r="B60" s="6" t="str">
        <f>IFERROR(__xludf.DUMMYFUNCTION("GOOGLETRANSLATE(H60, ""de"", ""en"")"),"What is the name given to the section of a rowing race that represents the fastest phase of the race?")</f>
        <v>What is the name given to the section of a rowing race that represents the fastest phase of the race?</v>
      </c>
      <c r="C60" s="7" t="s">
        <v>223</v>
      </c>
      <c r="D60" s="6" t="str">
        <f>IFERROR(__xludf.DUMMYFUNCTION("GOOGLETRANSLATE(J60, ""de"", ""en"")"),"The sprint section")</f>
        <v>The sprint section</v>
      </c>
      <c r="E60" s="6" t="str">
        <f>IFERROR(__xludf.DUMMYFUNCTION("GOOGLETRANSLATE(K60, ""de"", ""en"")"),"The sprint section is the phase in which the speed of the boat is highest.")</f>
        <v>The sprint section is the phase in which the speed of the boat is highest.</v>
      </c>
      <c r="G60" s="8">
        <v>59.0</v>
      </c>
      <c r="H60" s="9" t="s">
        <v>224</v>
      </c>
      <c r="I60" s="9" t="str">
        <f>IFERROR(__xludf.DUMMYFUNCTION("GOOGLETRANSLATE(C60, ""en"", ""de"")"),"A. Ausdauerabschnitt B. Sprintabschnitt C. Kontrollabschnitt D. Erholungsabschnitt")</f>
        <v>A. Ausdauerabschnitt B. Sprintabschnitt C. Kontrollabschnitt D. Erholungsabschnitt</v>
      </c>
      <c r="J60" s="9" t="s">
        <v>225</v>
      </c>
      <c r="K60" s="9" t="s">
        <v>226</v>
      </c>
    </row>
    <row r="61" ht="22.5" customHeight="1">
      <c r="A61" s="5">
        <v>60.0</v>
      </c>
      <c r="B61" s="6" t="str">
        <f>IFERROR(__xludf.DUMMYFUNCTION("GOOGLETRANSLATE(H61, ""de"", ""en"")"),"What is the 'recovery phase' in rowing?")</f>
        <v>What is the 'recovery phase' in rowing?</v>
      </c>
      <c r="C61" s="7" t="s">
        <v>227</v>
      </c>
      <c r="D61" s="6" t="str">
        <f>IFERROR(__xludf.DUMMYFUNCTION("GOOGLETRANSLATE(J61, ""de"", ""en"")"),"The pause between strokes")</f>
        <v>The pause between strokes</v>
      </c>
      <c r="E61" s="6" t="str">
        <f>IFERROR(__xludf.DUMMYFUNCTION("GOOGLETRANSLATE(K61, ""de"", ""en"")"),"The recovery period refers to the time when the boat is calm between strokes.")</f>
        <v>The recovery period refers to the time when the boat is calm between strokes.</v>
      </c>
      <c r="G61" s="10">
        <v>60.0</v>
      </c>
      <c r="H61" s="9" t="s">
        <v>228</v>
      </c>
      <c r="I61" s="9" t="str">
        <f>IFERROR(__xludf.DUMMYFUNCTION("GOOGLETRANSLATE(C61, ""en"", ""de"")"),"A. Die Pause zwischen den Schlägen B. Die Zeit nach dem Start C. Die letzte Phase des Rennens D. Die Vorbereitung auf den nächsten Schlag")</f>
        <v>A. Die Pause zwischen den Schlägen B. Die Zeit nach dem Start C. Die letzte Phase des Rennens D. Die Vorbereitung auf den nächsten Schlag</v>
      </c>
      <c r="J61" s="9" t="s">
        <v>197</v>
      </c>
      <c r="K61" s="9" t="s">
        <v>229</v>
      </c>
    </row>
    <row r="62" ht="22.5" customHeight="1">
      <c r="A62" s="5">
        <v>61.0</v>
      </c>
      <c r="B62" s="6" t="str">
        <f>IFERROR(__xludf.DUMMYFUNCTION("GOOGLETRANSLATE(H62, ""de"", ""en"")"),"What does it mean when a boat 'doesn't win any leg' in a rowing race?")</f>
        <v>What does it mean when a boat 'doesn't win any leg' in a rowing race?</v>
      </c>
      <c r="C62" s="7" t="s">
        <v>230</v>
      </c>
      <c r="D62" s="6" t="str">
        <f>IFERROR(__xludf.DUMMYFUNCTION("GOOGLETRANSLATE(J62, ""de"", ""en"")"),"The boat did not achieve a leading position.")</f>
        <v>The boat did not achieve a leading position.</v>
      </c>
      <c r="E62" s="6" t="str">
        <f>IFERROR(__xludf.DUMMYFUNCTION("GOOGLETRANSLATE(K62, ""de"", ""en"")"),"This means that the boat did not hold a leading position in the race.")</f>
        <v>This means that the boat did not hold a leading position in the race.</v>
      </c>
      <c r="G62" s="8">
        <v>61.0</v>
      </c>
      <c r="H62" s="9" t="s">
        <v>231</v>
      </c>
      <c r="I62" s="9" t="str">
        <f>IFERROR(__xludf.DUMMYFUNCTION("GOOGLETRANSLATE(C62, ""en"", ""de"")"),"A. Das Boot hat das Rennen aufgegeben. B. Das Boot konnte keine Führungsposition erreichen. C. Das Boot hat sein Ziel nicht erreicht. D. Das Boot wurde disqualifiziert.")</f>
        <v>A. Das Boot hat das Rennen aufgegeben. B. Das Boot konnte keine Führungsposition erreichen. C. Das Boot hat sein Ziel nicht erreicht. D. Das Boot wurde disqualifiziert.</v>
      </c>
      <c r="J62" s="9" t="s">
        <v>232</v>
      </c>
      <c r="K62" s="9" t="s">
        <v>233</v>
      </c>
    </row>
    <row r="63" ht="22.5" customHeight="1">
      <c r="A63" s="5">
        <v>62.0</v>
      </c>
      <c r="B63" s="6" t="str">
        <f>IFERROR(__xludf.DUMMYFUNCTION("GOOGLETRANSLATE(H63, ""de"", ""en"")"),"How can a boat be disqualified in rowing?")</f>
        <v>How can a boat be disqualified in rowing?</v>
      </c>
      <c r="C63" s="7" t="s">
        <v>234</v>
      </c>
      <c r="D63" s="6" t="str">
        <f>IFERROR(__xludf.DUMMYFUNCTION("GOOGLETRANSLATE(J63, ""de"", ""en"")"),"Through unsportsmanlike conduct")</f>
        <v>Through unsportsmanlike conduct</v>
      </c>
      <c r="E63" s="6" t="str">
        <f>IFERROR(__xludf.DUMMYFUNCTION("GOOGLETRANSLATE(K63, ""de"", ""en"")"),"A boat can be disqualified if unsportsmanlike conduct or rule violations occur.")</f>
        <v>A boat can be disqualified if unsportsmanlike conduct or rule violations occur.</v>
      </c>
      <c r="G63" s="10">
        <v>62.0</v>
      </c>
      <c r="H63" s="9" t="s">
        <v>235</v>
      </c>
      <c r="I63" s="9" t="str">
        <f>IFERROR(__xludf.DUMMYFUNCTION("GOOGLETRANSLATE(C63, ""en"", ""de"")"),"A. Durch unsportliches Verhalten B. Durch Überschreiten der Startlinie C. Durch Kentern des Bootes D. Durch Anwendung unzulässiger Rudertechniken")</f>
        <v>A. Durch unsportliches Verhalten B. Durch Überschreiten der Startlinie C. Durch Kentern des Bootes D. Durch Anwendung unzulässiger Rudertechniken</v>
      </c>
      <c r="J63" s="9" t="s">
        <v>236</v>
      </c>
      <c r="K63" s="9" t="s">
        <v>237</v>
      </c>
    </row>
    <row r="64" ht="22.5" customHeight="1">
      <c r="A64" s="5">
        <v>63.0</v>
      </c>
      <c r="B64" s="6" t="str">
        <f>IFERROR(__xludf.DUMMYFUNCTION("GOOGLETRANSLATE(H64, ""de"", ""en"")"),"When is the best time for a team to increase their stroke rate?")</f>
        <v>When is the best time for a team to increase their stroke rate?</v>
      </c>
      <c r="C64" s="7" t="s">
        <v>238</v>
      </c>
      <c r="D64" s="6" t="str">
        <f>IFERROR(__xludf.DUMMYFUNCTION("GOOGLETRANSLATE(J64, ""de"", ""en"")"),"If the boat loses speed")</f>
        <v>If the boat loses speed</v>
      </c>
      <c r="E64" s="6" t="str">
        <f>IFERROR(__xludf.DUMMYFUNCTION("GOOGLETRANSLATE(K64, ""de"", ""en"")"),"The stroke rate is often increased when the boat slows down and requires more energy.")</f>
        <v>The stroke rate is often increased when the boat slows down and requires more energy.</v>
      </c>
      <c r="G64" s="8">
        <v>63.0</v>
      </c>
      <c r="H64" s="9" t="s">
        <v>239</v>
      </c>
      <c r="I64" s="9" t="str">
        <f>IFERROR(__xludf.DUMMYFUNCTION("GOOGLETRANSLATE(C64, ""en"", ""de"")"),"A. Zu Beginn des Rennens. B. In der Mitte des Rennens. C. Wenn das Boot sein Ziel erreicht. D. Wenn das Boot an Geschwindigkeit verliert.")</f>
        <v>A. Zu Beginn des Rennens. B. In der Mitte des Rennens. C. Wenn das Boot sein Ziel erreicht. D. Wenn das Boot an Geschwindigkeit verliert.</v>
      </c>
      <c r="J64" s="9" t="s">
        <v>189</v>
      </c>
      <c r="K64" s="9" t="s">
        <v>240</v>
      </c>
    </row>
    <row r="65" ht="22.5" customHeight="1">
      <c r="A65" s="5">
        <v>64.0</v>
      </c>
      <c r="B65" s="6" t="str">
        <f>IFERROR(__xludf.DUMMYFUNCTION("GOOGLETRANSLATE(H65, ""de"", ""en"")"),"How many rowers are in a coxed four?")</f>
        <v>How many rowers are in a coxed four?</v>
      </c>
      <c r="C65" s="7" t="s">
        <v>241</v>
      </c>
      <c r="D65" s="6" t="str">
        <f>IFERROR(__xludf.DUMMYFUNCTION("GOOGLETRANSLATE(J65, ""de"", ""en"")"),"4")</f>
        <v>4</v>
      </c>
      <c r="E65" s="6" t="str">
        <f>IFERROR(__xludf.DUMMYFUNCTION("GOOGLETRANSLATE(K65, ""de"", ""en"")"),"A coxed four consists of 4 rowers and a coxswain.")</f>
        <v>A coxed four consists of 4 rowers and a coxswain.</v>
      </c>
      <c r="G65" s="10">
        <v>64.0</v>
      </c>
      <c r="H65" s="9" t="s">
        <v>242</v>
      </c>
      <c r="I65" s="9" t="str">
        <f>IFERROR(__xludf.DUMMYFUNCTION("GOOGLETRANSLATE(C65, ""en"", ""de"")"),"A. 2 B. 4 C. 6 D. 8")</f>
        <v>A. 2 B. 4 C. 6 D. 8</v>
      </c>
      <c r="J65" s="11">
        <v>4.0</v>
      </c>
      <c r="K65" s="9" t="s">
        <v>243</v>
      </c>
    </row>
    <row r="66" ht="22.5" customHeight="1">
      <c r="A66" s="5">
        <v>65.0</v>
      </c>
      <c r="B66" s="6" t="str">
        <f>IFERROR(__xludf.DUMMYFUNCTION("GOOGLETRANSLATE(H66, ""de"", ""en"")"),"How is the race decided for the other boats once one boat has reached the finish line?")</f>
        <v>How is the race decided for the other boats once one boat has reached the finish line?</v>
      </c>
      <c r="C66" s="7" t="s">
        <v>244</v>
      </c>
      <c r="D66" s="6" t="str">
        <f>IFERROR(__xludf.DUMMYFUNCTION("GOOGLETRANSLATE(J66, ""de"", ""en"")"),"The race ends immediately")</f>
        <v>The race ends immediately</v>
      </c>
      <c r="E66" s="6" t="str">
        <f>IFERROR(__xludf.DUMMYFUNCTION("GOOGLETRANSLATE(K66, ""de"", ""en"")"),"The race ends immediately when a boat crosses the finish line.")</f>
        <v>The race ends immediately when a boat crosses the finish line.</v>
      </c>
      <c r="G66" s="8">
        <v>65.0</v>
      </c>
      <c r="H66" s="9" t="s">
        <v>245</v>
      </c>
      <c r="I66" s="9" t="str">
        <f>IFERROR(__xludf.DUMMYFUNCTION("GOOGLETRANSLATE(C66, ""en"", ""de"")"),"A. Alle Boote müssen die Ziellinie überqueren. B. Das Rennen endet sofort. C. Das Rennen wird fortgesetzt. D. Der Rest des Rennens wird nicht berücksichtigt.")</f>
        <v>A. Alle Boote müssen die Ziellinie überqueren. B. Das Rennen endet sofort. C. Das Rennen wird fortgesetzt. D. Der Rest des Rennens wird nicht berücksichtigt.</v>
      </c>
      <c r="J66" s="9" t="s">
        <v>246</v>
      </c>
      <c r="K66" s="9" t="s">
        <v>247</v>
      </c>
    </row>
    <row r="67" ht="22.5" customHeight="1">
      <c r="A67" s="5">
        <v>66.0</v>
      </c>
      <c r="B67" s="6" t="str">
        <f>IFERROR(__xludf.DUMMYFUNCTION("GOOGLETRANSLATE(H67, ""de"", ""en"")"),"What happens if a rower loses their oar during a race?")</f>
        <v>What happens if a rower loses their oar during a race?</v>
      </c>
      <c r="C67" s="7" t="s">
        <v>248</v>
      </c>
      <c r="D67" s="6" t="str">
        <f>IFERROR(__xludf.DUMMYFUNCTION("GOOGLETRANSLATE(J67, ""de"", ""en"")"),"The boat can still participate in the race.")</f>
        <v>The boat can still participate in the race.</v>
      </c>
      <c r="E67" s="6" t="str">
        <f>IFERROR(__xludf.DUMMYFUNCTION("GOOGLETRANSLATE(K67, ""de"", ""en"")"),"The boat can still participate in the race, but it might become slower.")</f>
        <v>The boat can still participate in the race, but it might become slower.</v>
      </c>
      <c r="G67" s="10">
        <v>66.0</v>
      </c>
      <c r="H67" s="9" t="s">
        <v>249</v>
      </c>
      <c r="I67" s="9" t="str">
        <f>IFERROR(__xludf.DUMMYFUNCTION("GOOGLETRANSLATE(C67, ""en"", ""de"")"),"A. Das Boot wird disqualifiziert. B. Das Boot darf weiterhin am Rennen teilnehmen. C. Das Rennen wird abgebrochen. D. Das Boot erhält eine Strafe.")</f>
        <v>A. Das Boot wird disqualifiziert. B. Das Boot darf weiterhin am Rennen teilnehmen. C. Das Rennen wird abgebrochen. D. Das Boot erhält eine Strafe.</v>
      </c>
      <c r="J67" s="9" t="s">
        <v>250</v>
      </c>
      <c r="K67" s="9" t="s">
        <v>251</v>
      </c>
    </row>
    <row r="68" ht="22.5" customHeight="1">
      <c r="A68" s="5">
        <v>67.0</v>
      </c>
      <c r="B68" s="6" t="str">
        <f>IFERROR(__xludf.DUMMYFUNCTION("GOOGLETRANSLATE(H68, ""de"", ""en"")"),"What is the function of the 'coxswain' in a rowing race?")</f>
        <v>What is the function of the 'coxswain' in a rowing race?</v>
      </c>
      <c r="C68" s="7" t="s">
        <v>252</v>
      </c>
      <c r="D68" s="6" t="str">
        <f>IFERROR(__xludf.DUMMYFUNCTION("GOOGLETRANSLATE(J68, ""de"", ""en"")"),"He steers the boat and gives commands.")</f>
        <v>He steers the boat and gives commands.</v>
      </c>
      <c r="E68" s="6" t="str">
        <f>IFERROR(__xludf.DUMMYFUNCTION("GOOGLETRANSLATE(K68, ""de"", ""en"")"),"The helmsman is responsible for steering the boat and giving commands.")</f>
        <v>The helmsman is responsible for steering the boat and giving commands.</v>
      </c>
      <c r="G68" s="8">
        <v>67.0</v>
      </c>
      <c r="H68" s="9" t="s">
        <v>253</v>
      </c>
      <c r="I68" s="9" t="str">
        <f>IFERROR(__xludf.DUMMYFUNCTION("GOOGLETRANSLATE(C68, ""en"", ""de"")"),"A. Er hält das Ruder fest. B. Er steuert das Boot und gibt Befehle. C. Er bestimmt die Ruderschlagfrequenz. D. Er stellt die Geschwindigkeit ein.")</f>
        <v>A. Er hält das Ruder fest. B. Er steuert das Boot und gibt Befehle. C. Er bestimmt die Ruderschlagfrequenz. D. Er stellt die Geschwindigkeit ein.</v>
      </c>
      <c r="J68" s="9" t="s">
        <v>254</v>
      </c>
      <c r="K68" s="9" t="s">
        <v>255</v>
      </c>
    </row>
    <row r="69" ht="22.5" customHeight="1">
      <c r="A69" s="5">
        <v>68.0</v>
      </c>
      <c r="B69" s="6" t="str">
        <f>IFERROR(__xludf.DUMMYFUNCTION("GOOGLETRANSLATE(H69, ""de"", ""en"")"),"What does the term 'martial art' describe in rowing?")</f>
        <v>What does the term 'martial art' describe in rowing?</v>
      </c>
      <c r="C69" s="7" t="s">
        <v>256</v>
      </c>
      <c r="D69" s="6" t="str">
        <f>IFERROR(__xludf.DUMMYFUNCTION("GOOGLETRANSLATE(J69, ""de"", ""en"")"),"The tactics in the race")</f>
        <v>The tactics in the race</v>
      </c>
      <c r="E69" s="6" t="str">
        <f>IFERROR(__xludf.DUMMYFUNCTION("GOOGLETRANSLATE(K69, ""de"", ""en"")"),"The 'martial art' refers to the tactical approach and strategies to win the race.")</f>
        <v>The 'martial art' refers to the tactical approach and strategies to win the race.</v>
      </c>
      <c r="G69" s="10">
        <v>68.0</v>
      </c>
      <c r="H69" s="9" t="s">
        <v>257</v>
      </c>
      <c r="I69" s="9" t="str">
        <f>IFERROR(__xludf.DUMMYFUNCTION("GOOGLETRANSLATE(C69, ""en"", ""de"")"),"A. Die Technik der Ruderschläge B. Das Verhalten des Teams während des Rennens C. Die Zusammenarbeit zwischen Steuermann und Ruderern D. Die Taktik im Rennen")</f>
        <v>A. Die Technik der Ruderschläge B. Das Verhalten des Teams während des Rennens C. Die Zusammenarbeit zwischen Steuermann und Ruderern D. Die Taktik im Rennen</v>
      </c>
      <c r="J69" s="9" t="s">
        <v>258</v>
      </c>
      <c r="K69" s="9" t="s">
        <v>259</v>
      </c>
    </row>
    <row r="70" ht="22.5" customHeight="1">
      <c r="A70" s="5">
        <v>69.0</v>
      </c>
      <c r="B70" s="6" t="str">
        <f>IFERROR(__xludf.DUMMYFUNCTION("GOOGLETRANSLATE(H70, ""de"", ""en"")"),"What does it mean when a rower reaches the 'finish line' in a race?")</f>
        <v>What does it mean when a rower reaches the 'finish line' in a race?</v>
      </c>
      <c r="C70" s="7" t="s">
        <v>260</v>
      </c>
      <c r="D70" s="6" t="str">
        <f>IFERROR(__xludf.DUMMYFUNCTION("GOOGLETRANSLATE(J70, ""de"", ""en"")"),"The race is over.")</f>
        <v>The race is over.</v>
      </c>
      <c r="E70" s="6" t="str">
        <f>IFERROR(__xludf.DUMMYFUNCTION("GOOGLETRANSLATE(K70, ""de"", ""en"")"),"The race ends when the boat reaches the finish line.")</f>
        <v>The race ends when the boat reaches the finish line.</v>
      </c>
      <c r="G70" s="13">
        <v>69.0</v>
      </c>
      <c r="H70" s="9" t="s">
        <v>261</v>
      </c>
      <c r="I70" s="9" t="str">
        <f>IFERROR(__xludf.DUMMYFUNCTION("GOOGLETRANSLATE(C70, ""en"", ""de"")"),"A. Das Boot hat die Ziellinie überfahren. B. Das Rennen ist beendet. C. Das Boot hat seine maximale Geschwindigkeit erreicht. D. Das Boot hat die Ziellinie fehlerfrei überquert.")</f>
        <v>A. Das Boot hat die Ziellinie überfahren. B. Das Rennen ist beendet. C. Das Boot hat seine maximale Geschwindigkeit erreicht. D. Das Boot hat die Ziellinie fehlerfrei überquert.</v>
      </c>
      <c r="J70" s="9" t="s">
        <v>262</v>
      </c>
      <c r="K70" s="9" t="s">
        <v>263</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7.63"/>
    <col customWidth="1" min="3" max="3" width="33.5"/>
    <col customWidth="1" min="4" max="4" width="26.75"/>
    <col customWidth="1" min="5" max="5" width="37.63"/>
    <col customWidth="1" min="7" max="7" width="12.75"/>
    <col customWidth="1" min="8" max="8" width="37.63"/>
    <col customWidth="1" min="10" max="10" width="30.25"/>
    <col customWidth="1" min="11" max="11" width="13.88"/>
  </cols>
  <sheetData>
    <row r="1" ht="22.5" customHeight="1">
      <c r="A1" s="4" t="s">
        <v>0</v>
      </c>
      <c r="B1" s="1" t="s">
        <v>264</v>
      </c>
      <c r="C1" s="2" t="s">
        <v>2</v>
      </c>
      <c r="D1" s="1" t="s">
        <v>265</v>
      </c>
      <c r="E1" s="1" t="s">
        <v>4</v>
      </c>
      <c r="G1" s="4" t="s">
        <v>0</v>
      </c>
      <c r="H1" s="4" t="s">
        <v>5</v>
      </c>
      <c r="I1" s="4" t="s">
        <v>6</v>
      </c>
      <c r="J1" s="4" t="s">
        <v>7</v>
      </c>
      <c r="K1" s="4" t="s">
        <v>266</v>
      </c>
    </row>
    <row r="2" ht="22.5" customHeight="1">
      <c r="A2" s="14">
        <v>1.0</v>
      </c>
      <c r="B2" s="6" t="str">
        <f>IFERROR(__xludf.DUMMYFUNCTION("GOOGLETRANSLATE(H2, ""de"", ""en"")"),"Which country was considered the birthplace of Bosseln (a type of bowling)?")</f>
        <v>Which country was considered the birthplace of Bosseln (a type of bowling)?</v>
      </c>
      <c r="C2" s="7" t="s">
        <v>267</v>
      </c>
      <c r="D2" s="6" t="str">
        <f>IFERROR(__xludf.DUMMYFUNCTION("GOOGLETRANSLATE(J2, ""de"", ""en"")"),"Germany")</f>
        <v>Germany</v>
      </c>
      <c r="E2" s="6" t="str">
        <f>IFERROR(__xludf.DUMMYFUNCTION("GOOGLETRANSLATE(K2, ""de"", ""en"")"),"Bosseln originated in Germany, particularly in northern regions such as Lower Saxony.")</f>
        <v>Bosseln originated in Germany, particularly in northern regions such as Lower Saxony.</v>
      </c>
      <c r="G2" s="14">
        <v>1.0</v>
      </c>
      <c r="H2" s="9" t="s">
        <v>268</v>
      </c>
      <c r="I2" s="9" t="str">
        <f>IFERROR(__xludf.DUMMYFUNCTION("GOOGLETRANSLATE(C2, ""en"", ""de"")"),"A. Deutschland B. Niederlande C. Niederlande D. Dänemark")</f>
        <v>A. Deutschland B. Niederlande C. Niederlande D. Dänemark</v>
      </c>
      <c r="J2" s="9" t="s">
        <v>269</v>
      </c>
      <c r="K2" s="9" t="s">
        <v>270</v>
      </c>
    </row>
    <row r="3" ht="22.5" customHeight="1">
      <c r="A3" s="14">
        <v>2.0</v>
      </c>
      <c r="B3" s="6" t="str">
        <f>IFERROR(__xludf.DUMMYFUNCTION("GOOGLETRANSLATE(H3, ""de"", ""en"")"),"Which region of Germany is most closely associated with bocce?")</f>
        <v>Which region of Germany is most closely associated with bocce?</v>
      </c>
      <c r="C3" s="7" t="s">
        <v>271</v>
      </c>
      <c r="D3" s="6" t="str">
        <f>IFERROR(__xludf.DUMMYFUNCTION("GOOGLETRANSLATE(J3, ""de"", ""en"")"),"Lower Saxony")</f>
        <v>Lower Saxony</v>
      </c>
      <c r="E3" s="6" t="str">
        <f>IFERROR(__xludf.DUMMYFUNCTION("GOOGLETRANSLATE(K3, ""de"", ""en"")"),"Lower Saxony is considered the heartland of Bosseln, where the game is widespread.")</f>
        <v>Lower Saxony is considered the heartland of Bosseln, where the game is widespread.</v>
      </c>
      <c r="G3" s="14">
        <v>2.0</v>
      </c>
      <c r="H3" s="9" t="s">
        <v>272</v>
      </c>
      <c r="I3" s="9" t="str">
        <f>IFERROR(__xludf.DUMMYFUNCTION("GOOGLETRANSLATE(C3, ""en"", ""de"")"),"A. Bayern B. Niedersachsen C. Niedersachsen D. Sachsen-Anhalt")</f>
        <v>A. Bayern B. Niedersachsen C. Niedersachsen D. Sachsen-Anhalt</v>
      </c>
      <c r="J3" s="9" t="s">
        <v>273</v>
      </c>
      <c r="K3" s="9" t="s">
        <v>274</v>
      </c>
    </row>
    <row r="4" ht="22.5" customHeight="1">
      <c r="A4" s="14">
        <v>3.0</v>
      </c>
      <c r="B4" s="6" t="str">
        <f>IFERROR(__xludf.DUMMYFUNCTION("GOOGLETRANSLATE(H4, ""de"", ""en"")"),"What is the earliest known record of a game of Bosseln?")</f>
        <v>What is the earliest known record of a game of Bosseln?</v>
      </c>
      <c r="C4" s="7" t="s">
        <v>275</v>
      </c>
      <c r="D4" s="6" t="str">
        <f>IFERROR(__xludf.DUMMYFUNCTION("GOOGLETRANSLATE(J4, ""de"", ""en"")"),"16th century")</f>
        <v>16th century</v>
      </c>
      <c r="E4" s="6" t="str">
        <f>IFERROR(__xludf.DUMMYFUNCTION("GOOGLETRANSLATE(K4, ""de"", ""en"")"),"The earliest mention of Bosseln dates back to the 16th century in Northern Germany.")</f>
        <v>The earliest mention of Bosseln dates back to the 16th century in Northern Germany.</v>
      </c>
      <c r="G4" s="14">
        <v>3.0</v>
      </c>
      <c r="H4" s="9" t="s">
        <v>276</v>
      </c>
      <c r="I4" s="9" t="str">
        <f>IFERROR(__xludf.DUMMYFUNCTION("GOOGLETRANSLATE(C4, ""en"", ""de"")"),"A. 14. Jahrhundert B. 16. Jahrhundert C. 16. Jahrhundert D. 18. Jahrhundert")</f>
        <v>A. 14. Jahrhundert B. 16. Jahrhundert C. 16. Jahrhundert D. 18. Jahrhundert</v>
      </c>
      <c r="J4" s="9" t="s">
        <v>277</v>
      </c>
      <c r="K4" s="9" t="s">
        <v>278</v>
      </c>
    </row>
    <row r="5" ht="22.5" customHeight="1">
      <c r="A5" s="14">
        <v>4.0</v>
      </c>
      <c r="B5" s="6" t="str">
        <f>IFERROR(__xludf.DUMMYFUNCTION("GOOGLETRANSLATE(H5, ""de"", ""en"")"),"From which traditional activity is bocce supposed to have developed?")</f>
        <v>From which traditional activity is bocce supposed to have developed?</v>
      </c>
      <c r="C5" s="7" t="s">
        <v>279</v>
      </c>
      <c r="D5" s="6" t="str">
        <f>IFERROR(__xludf.DUMMYFUNCTION("GOOGLETRANSLATE(J5, ""de"", ""en"")"),"Street clearing practices")</f>
        <v>Street clearing practices</v>
      </c>
      <c r="E5" s="6" t="str">
        <f>IFERROR(__xludf.DUMMYFUNCTION("GOOGLETRANSLATE(K5, ""de"", ""en"")"),"It is assumed that the sport developed from street cleaning competitions in rural Germany.")</f>
        <v>It is assumed that the sport developed from street cleaning competitions in rural Germany.</v>
      </c>
      <c r="G5" s="14">
        <v>4.0</v>
      </c>
      <c r="H5" s="9" t="s">
        <v>280</v>
      </c>
      <c r="I5" s="9" t="str">
        <f>IFERROR(__xludf.DUMMYFUNCTION("GOOGLETRANSLATE(C5, ""en"", ""de"")"),"A. Militärische Ausbildung B. Wettbewerbe um Arbeit auf dem Bauernhof C. Wettbewerbe um Arbeit auf dem Bauernhof D. Straßenräumungspraktiken")</f>
        <v>A. Militärische Ausbildung B. Wettbewerbe um Arbeit auf dem Bauernhof C. Wettbewerbe um Arbeit auf dem Bauernhof D. Straßenräumungspraktiken</v>
      </c>
      <c r="J5" s="9" t="s">
        <v>281</v>
      </c>
      <c r="K5" s="9" t="s">
        <v>282</v>
      </c>
    </row>
    <row r="6" ht="22.5" customHeight="1">
      <c r="A6" s="14">
        <v>5.0</v>
      </c>
      <c r="B6" s="6" t="str">
        <f>IFERROR(__xludf.DUMMYFUNCTION("GOOGLETRANSLATE(H6, ""de"", ""en"")"),"In which year was the first organized Boßeln club founded?")</f>
        <v>In which year was the first organized Boßeln club founded?</v>
      </c>
      <c r="C6" s="7" t="s">
        <v>283</v>
      </c>
      <c r="D6" s="6" t="str">
        <f>IFERROR(__xludf.DUMMYFUNCTION("GOOGLETRANSLATE(J6, ""de"", ""en"")"),"1865")</f>
        <v>1865</v>
      </c>
      <c r="E6" s="6" t="str">
        <f>IFERROR(__xludf.DUMMYFUNCTION("GOOGLETRANSLATE(K6, ""de"", ""en"")"),"The first organized Bosseln club was founded in 1865 to formalize the rules and competitions of the sport.")</f>
        <v>The first organized Bosseln club was founded in 1865 to formalize the rules and competitions of the sport.</v>
      </c>
      <c r="G6" s="14">
        <v>5.0</v>
      </c>
      <c r="H6" s="9" t="s">
        <v>284</v>
      </c>
      <c r="I6" s="9" t="str">
        <f>IFERROR(__xludf.DUMMYFUNCTION("GOOGLETRANSLATE(C6, ""en"", ""de"")"),"A. 1865 B. 1890 C. 1890 D. 1910")</f>
        <v>A. 1865 B. 1890 C. 1890 D. 1910</v>
      </c>
      <c r="J6" s="11">
        <v>1865.0</v>
      </c>
      <c r="K6" s="9" t="s">
        <v>285</v>
      </c>
    </row>
    <row r="7" ht="22.5" customHeight="1">
      <c r="A7" s="14">
        <v>6.0</v>
      </c>
      <c r="B7" s="6" t="str">
        <f>IFERROR(__xludf.DUMMYFUNCTION("GOOGLETRANSLATE(H7, ""de"", ""en"")"),"During which historical period did bocce gain great popularity?")</f>
        <v>During which historical period did bocce gain great popularity?</v>
      </c>
      <c r="C7" s="7" t="s">
        <v>286</v>
      </c>
      <c r="D7" s="6" t="str">
        <f>IFERROR(__xludf.DUMMYFUNCTION("GOOGLETRANSLATE(J7, ""de"", ""en"")"),"The Industrial Revolution")</f>
        <v>The Industrial Revolution</v>
      </c>
      <c r="E7" s="6" t="str">
        <f>IFERROR(__xludf.DUMMYFUNCTION("GOOGLETRANSLATE(K7, ""de"", ""en"")"),"Bosseln gained great popularity as a rural pastime during the Industrial Revolution.")</f>
        <v>Bosseln gained great popularity as a rural pastime during the Industrial Revolution.</v>
      </c>
      <c r="G7" s="14">
        <v>6.0</v>
      </c>
      <c r="H7" s="9" t="s">
        <v>287</v>
      </c>
      <c r="I7" s="9" t="str">
        <f>IFERROR(__xludf.DUMMYFUNCTION("GOOGLETRANSLATE(C7, ""en"", ""de"")"),"A. Das Mittelalter B. Die Industrielle Revolution C. Die Industrielle Revolution D. Die Weimarer Republik")</f>
        <v>A. Das Mittelalter B. Die Industrielle Revolution C. Die Industrielle Revolution D. Die Weimarer Republik</v>
      </c>
      <c r="J7" s="9" t="s">
        <v>288</v>
      </c>
      <c r="K7" s="9" t="s">
        <v>289</v>
      </c>
    </row>
    <row r="8" ht="22.5" customHeight="1">
      <c r="A8" s="14">
        <v>7.0</v>
      </c>
      <c r="B8" s="6" t="str">
        <f>IFERROR(__xludf.DUMMYFUNCTION("GOOGLETRANSLATE(H8, ""de"", ""en"")"),"What is the traditional terrain for playing Bosseln?")</f>
        <v>What is the traditional terrain for playing Bosseln?</v>
      </c>
      <c r="C8" s="7" t="s">
        <v>290</v>
      </c>
      <c r="D8" s="6" t="str">
        <f>IFERROR(__xludf.DUMMYFUNCTION("GOOGLETRANSLATE(J8, ""de"", ""en"")"),"cobbled streets")</f>
        <v>cobbled streets</v>
      </c>
      <c r="E8" s="6" t="str">
        <f>IFERROR(__xludf.DUMMYFUNCTION("GOOGLETRANSLATE(K8, ""de"", ""en"")"),"Bosseln is traditionally played on paved roads or dirt tracks in rural areas.")</f>
        <v>Bosseln is traditionally played on paved roads or dirt tracks in rural areas.</v>
      </c>
      <c r="G8" s="14">
        <v>7.0</v>
      </c>
      <c r="H8" s="9" t="s">
        <v>291</v>
      </c>
      <c r="I8" s="9" t="str">
        <f>IFERROR(__xludf.DUMMYFUNCTION("GOOGLETRANSLATE(C8, ""en"", ""de"")"),"A. Kopfsteinpflasterstraßen B. Offene Felder C. Offene Felder D. Waldwege")</f>
        <v>A. Kopfsteinpflasterstraßen B. Offene Felder C. Offene Felder D. Waldwege</v>
      </c>
      <c r="J8" s="9" t="s">
        <v>292</v>
      </c>
      <c r="K8" s="9" t="s">
        <v>293</v>
      </c>
    </row>
    <row r="9" ht="22.5" customHeight="1">
      <c r="A9" s="14">
        <v>8.0</v>
      </c>
      <c r="B9" s="6" t="str">
        <f>IFERROR(__xludf.DUMMYFUNCTION("GOOGLETRANSLATE(H9, ""de"", ""en"")"),"What material were Bosseln balls made of in the past?")</f>
        <v>What material were Bosseln balls made of in the past?</v>
      </c>
      <c r="C9" s="7" t="s">
        <v>294</v>
      </c>
      <c r="D9" s="6" t="str">
        <f>IFERROR(__xludf.DUMMYFUNCTION("GOOGLETRANSLATE(J9, ""de"", ""en"")"),"Wood")</f>
        <v>Wood</v>
      </c>
      <c r="E9" s="6" t="str">
        <f>IFERROR(__xludf.DUMMYFUNCTION("GOOGLETRANSLATE(K9, ""de"", ""en"")"),"Historically, Bosseln balls were made of wood and often hand-carved by local craftsmen.")</f>
        <v>Historically, Bosseln balls were made of wood and often hand-carved by local craftsmen.</v>
      </c>
      <c r="G9" s="14">
        <v>8.0</v>
      </c>
      <c r="H9" s="9" t="s">
        <v>295</v>
      </c>
      <c r="I9" s="9" t="str">
        <f>IFERROR(__xludf.DUMMYFUNCTION("GOOGLETRANSLATE(C9, ""en"", ""de"")"),"A. Stein B. Holz C. Holz D. Eisen")</f>
        <v>A. Stein B. Holz C. Holz D. Eisen</v>
      </c>
      <c r="J9" s="9" t="s">
        <v>296</v>
      </c>
      <c r="K9" s="9" t="s">
        <v>297</v>
      </c>
    </row>
    <row r="10" ht="22.5" customHeight="1">
      <c r="A10" s="14">
        <v>9.0</v>
      </c>
      <c r="B10" s="6" t="str">
        <f>IFERROR(__xludf.DUMMYFUNCTION("GOOGLETRANSLATE(H10, ""de"", ""en"")"),"In which century did Bosseln competitions begin with formal scoring?")</f>
        <v>In which century did Bosseln competitions begin with formal scoring?</v>
      </c>
      <c r="C10" s="7" t="s">
        <v>298</v>
      </c>
      <c r="D10" s="6" t="str">
        <f>IFERROR(__xludf.DUMMYFUNCTION("GOOGLETRANSLATE(J10, ""de"", ""en"")"),"19th century")</f>
        <v>19th century</v>
      </c>
      <c r="E10" s="6" t="str">
        <f>IFERROR(__xludf.DUMMYFUNCTION("GOOGLETRANSLATE(K10, ""de"", ""en"")"),"Formal point systems for bocce competitions were introduced in the 19th century.")</f>
        <v>Formal point systems for bocce competitions were introduced in the 19th century.</v>
      </c>
      <c r="G10" s="14">
        <v>9.0</v>
      </c>
      <c r="H10" s="9" t="s">
        <v>299</v>
      </c>
      <c r="I10" s="9" t="str">
        <f>IFERROR(__xludf.DUMMYFUNCTION("GOOGLETRANSLATE(C10, ""en"", ""de"")"),"A. 17. Jahrhundert B. 18. Jahrhundert C. 18. Jahrhundert D. 19. Jahrhundert")</f>
        <v>A. 17. Jahrhundert B. 18. Jahrhundert C. 18. Jahrhundert D. 19. Jahrhundert</v>
      </c>
      <c r="J10" s="9" t="s">
        <v>300</v>
      </c>
      <c r="K10" s="9" t="s">
        <v>301</v>
      </c>
    </row>
    <row r="11" ht="22.5" customHeight="1">
      <c r="A11" s="14">
        <v>10.0</v>
      </c>
      <c r="B11" s="6" t="str">
        <f>IFERROR(__xludf.DUMMYFUNCTION("GOOGLETRANSLATE(H11, ""de"", ""en"")"),"What historical connection exists between Bosseln and Dutch sport?")</f>
        <v>What historical connection exists between Bosseln and Dutch sport?</v>
      </c>
      <c r="C11" s="7" t="s">
        <v>302</v>
      </c>
      <c r="D11" s="6" t="str">
        <f>IFERROR(__xludf.DUMMYFUNCTION("GOOGLETRANSLATE(J11, ""de"", ""en"")"),"A common origin")</f>
        <v>A common origin</v>
      </c>
      <c r="E11" s="6" t="str">
        <f>IFERROR(__xludf.DUMMYFUNCTION("GOOGLETRANSLATE(K11, ""de"", ""en"")"),"Bosseln and the Dutch joint sport Klootschieten have their origins in traditional throwing games.")</f>
        <v>Bosseln and the Dutch joint sport Klootschieten have their origins in traditional throwing games.</v>
      </c>
      <c r="G11" s="14">
        <v>10.0</v>
      </c>
      <c r="H11" s="9" t="s">
        <v>303</v>
      </c>
      <c r="I11" s="9" t="str">
        <f>IFERROR(__xludf.DUMMYFUNCTION("GOOGLETRANSLATE(C11, ""en"", ""de"")"),"A. Gemeinsame Regeln B. Ähnliche Ausrüstung C. Ähnliche Ausrüstung D. Gemeinsamer Ursprung")</f>
        <v>A. Gemeinsame Regeln B. Ähnliche Ausrüstung C. Ähnliche Ausrüstung D. Gemeinsamer Ursprung</v>
      </c>
      <c r="J11" s="9" t="s">
        <v>304</v>
      </c>
      <c r="K11" s="9" t="s">
        <v>305</v>
      </c>
    </row>
    <row r="12" ht="22.5" customHeight="1">
      <c r="A12" s="14">
        <v>11.0</v>
      </c>
      <c r="B12" s="6" t="str">
        <f>IFERROR(__xludf.DUMMYFUNCTION("GOOGLETRANSLATE(H12, ""de"", ""en"")"),"What was the main purpose of early bocce games?")</f>
        <v>What was the main purpose of early bocce games?</v>
      </c>
      <c r="C12" s="7" t="s">
        <v>306</v>
      </c>
      <c r="D12" s="6" t="str">
        <f>IFERROR(__xludf.DUMMYFUNCTION("GOOGLETRANSLATE(J12, ""de"", ""en"")"),"Entertainment")</f>
        <v>Entertainment</v>
      </c>
      <c r="E12" s="6" t="str">
        <f>IFERROR(__xludf.DUMMYFUNCTION("GOOGLETRANSLATE(K12, ""de"", ""en"")"),"Early bocce games were played mainly for entertainment at local gatherings.")</f>
        <v>Early bocce games were played mainly for entertainment at local gatherings.</v>
      </c>
      <c r="G12" s="14">
        <v>11.0</v>
      </c>
      <c r="H12" s="9" t="s">
        <v>307</v>
      </c>
      <c r="I12" s="9" t="str">
        <f>IFERROR(__xludf.DUMMYFUNCTION("GOOGLETRANSLATE(C12, ""en"", ""de"")"),"A. Unterhaltung B. Erntedankfeste C. Erntedankfeste D. Religiöse Feste")</f>
        <v>A. Unterhaltung B. Erntedankfeste C. Erntedankfeste D. Religiöse Feste</v>
      </c>
      <c r="J12" s="9" t="s">
        <v>308</v>
      </c>
      <c r="K12" s="9" t="s">
        <v>309</v>
      </c>
    </row>
    <row r="13" ht="22.5" customHeight="1">
      <c r="A13" s="14">
        <v>12.0</v>
      </c>
      <c r="B13" s="6" t="str">
        <f>IFERROR(__xludf.DUMMYFUNCTION("GOOGLETRANSLATE(H13, ""de"", ""en"")"),"When did bocce become a competitive sport?")</f>
        <v>When did bocce become a competitive sport?</v>
      </c>
      <c r="C13" s="7" t="s">
        <v>310</v>
      </c>
      <c r="D13" s="6" t="str">
        <f>IFERROR(__xludf.DUMMYFUNCTION("GOOGLETRANSLATE(J13, ""de"", ""en"")"),"mid-19th century")</f>
        <v>mid-19th century</v>
      </c>
      <c r="E13" s="6" t="str">
        <f>IFERROR(__xludf.DUMMYFUNCTION("GOOGLETRANSLATE(K13, ""de"", ""en"")"),"Bosseln developed into a competitive sport with organized leagues in the mid-19th century.")</f>
        <v>Bosseln developed into a competitive sport with organized leagues in the mid-19th century.</v>
      </c>
      <c r="G13" s="14">
        <v>12.0</v>
      </c>
      <c r="H13" s="9" t="s">
        <v>311</v>
      </c>
      <c r="I13" s="9" t="str">
        <f>IFERROR(__xludf.DUMMYFUNCTION("GOOGLETRANSLATE(C13, ""en"", ""de"")"),"A. Anfang des 17. Jahrhunderts B. Ende des 18. Jahrhunderts C. Ende des 18. Jahrhunderts D. Mitte des 19. Jahrhunderts")</f>
        <v>A. Anfang des 17. Jahrhunderts B. Ende des 18. Jahrhunderts C. Ende des 18. Jahrhunderts D. Mitte des 19. Jahrhunderts</v>
      </c>
      <c r="J13" s="9" t="s">
        <v>312</v>
      </c>
      <c r="K13" s="9" t="s">
        <v>313</v>
      </c>
    </row>
    <row r="14" ht="22.5" customHeight="1">
      <c r="A14" s="14">
        <v>13.0</v>
      </c>
      <c r="B14" s="6" t="str">
        <f>IFERROR(__xludf.DUMMYFUNCTION("GOOGLETRANSLATE(H14, ""de"", ""en"")"),"Which social group primarily played Bosseln in its early days?")</f>
        <v>Which social group primarily played Bosseln in its early days?</v>
      </c>
      <c r="C14" s="7" t="s">
        <v>314</v>
      </c>
      <c r="D14" s="6" t="str">
        <f>IFERROR(__xludf.DUMMYFUNCTION("GOOGLETRANSLATE(J14, ""de"", ""en"")"),"farmers")</f>
        <v>farmers</v>
      </c>
      <c r="E14" s="6" t="str">
        <f>IFERROR(__xludf.DUMMYFUNCTION("GOOGLETRANSLATE(K14, ""de"", ""en"")"),"Bosseln was traditionally played by farmers in rural German communities.")</f>
        <v>Bosseln was traditionally played by farmers in rural German communities.</v>
      </c>
      <c r="G14" s="14">
        <v>13.0</v>
      </c>
      <c r="H14" s="9" t="s">
        <v>315</v>
      </c>
      <c r="I14" s="9" t="str">
        <f>IFERROR(__xludf.DUMMYFUNCTION("GOOGLETRANSLATE(C14, ""en"", ""de"")"),"A. Bauern B. Adel C. Adel D. Handwerker")</f>
        <v>A. Bauern B. Adel C. Adel D. Handwerker</v>
      </c>
      <c r="J14" s="9" t="s">
        <v>316</v>
      </c>
      <c r="K14" s="9" t="s">
        <v>317</v>
      </c>
    </row>
    <row r="15" ht="22.5" customHeight="1">
      <c r="A15" s="14">
        <v>14.0</v>
      </c>
      <c r="B15" s="6" t="str">
        <f>IFERROR(__xludf.DUMMYFUNCTION("GOOGLETRANSLATE(H15, ""de"", ""en"")"),"In which year did the first Boßeln championship take place?")</f>
        <v>In which year did the first Boßeln championship take place?</v>
      </c>
      <c r="C15" s="7" t="s">
        <v>318</v>
      </c>
      <c r="D15" s="6" t="str">
        <f>IFERROR(__xludf.DUMMYFUNCTION("GOOGLETRANSLATE(J15, ""de"", ""en"")"),"1925")</f>
        <v>1925</v>
      </c>
      <c r="E15" s="6" t="str">
        <f>IFERROR(__xludf.DUMMYFUNCTION("GOOGLETRANSLATE(K15, ""de"", ""en"")"),"The first Bosseln championship was held in 1925 to bring together regional teams.")</f>
        <v>The first Bosseln championship was held in 1925 to bring together regional teams.</v>
      </c>
      <c r="G15" s="14">
        <v>14.0</v>
      </c>
      <c r="H15" s="9" t="s">
        <v>319</v>
      </c>
      <c r="I15" s="9" t="str">
        <f>IFERROR(__xludf.DUMMYFUNCTION("GOOGLETRANSLATE(C15, ""en"", ""de"")"),"A. 1900 B. 1925 C. 1925 D. 1950")</f>
        <v>A. 1900 B. 1925 C. 1925 D. 1950</v>
      </c>
      <c r="J15" s="11">
        <v>1925.0</v>
      </c>
      <c r="K15" s="9" t="s">
        <v>320</v>
      </c>
    </row>
    <row r="16" ht="22.5" customHeight="1">
      <c r="A16" s="14">
        <v>15.0</v>
      </c>
      <c r="B16" s="6" t="str">
        <f>IFERROR(__xludf.DUMMYFUNCTION("GOOGLETRANSLATE(H16, ""de"", ""en"")"),"What historical connection exists between bocce and road construction?")</f>
        <v>What historical connection exists between bocce and road construction?</v>
      </c>
      <c r="C16" s="7" t="s">
        <v>321</v>
      </c>
      <c r="D16" s="6" t="str">
        <f>IFERROR(__xludf.DUMMYFUNCTION("GOOGLETRANSLATE(J16, ""de"", ""en"")"),"Clear streets of stones")</f>
        <v>Clear streets of stones</v>
      </c>
      <c r="E16" s="6" t="str">
        <f>IFERROR(__xludf.DUMMYFUNCTION("GOOGLETRANSLATE(K16, ""de"", ""en"")"),"Bosseln originated as a game in which players threw stones to clear roads.")</f>
        <v>Bosseln originated as a game in which players threw stones to clear roads.</v>
      </c>
      <c r="G16" s="14">
        <v>15.0</v>
      </c>
      <c r="H16" s="9" t="s">
        <v>322</v>
      </c>
      <c r="I16" s="9" t="str">
        <f>IFERROR(__xludf.DUMMYFUNCTION("GOOGLETRANSLATE(C16, ""en"", ""de"")"),"A. Wird für Straßenprüfungsmaterialien verwendet. B. Straßen von Steinen befreien. C. Straßen von Steinen befreien. D. Zur Unterhaltung von Straßenarbeitern.")</f>
        <v>A. Wird für Straßenprüfungsmaterialien verwendet. B. Straßen von Steinen befreien. C. Straßen von Steinen befreien. D. Zur Unterhaltung von Straßenarbeitern.</v>
      </c>
      <c r="J16" s="9" t="s">
        <v>323</v>
      </c>
      <c r="K16" s="9" t="s">
        <v>324</v>
      </c>
    </row>
    <row r="17" ht="22.5" customHeight="1">
      <c r="A17" s="14">
        <v>16.0</v>
      </c>
      <c r="B17" s="6" t="str">
        <f>IFERROR(__xludf.DUMMYFUNCTION("GOOGLETRANSLATE(H17, ""de"", ""en"")"),"Which German festival is often associated with Bosseln (a traditional German game similar to bowling)?")</f>
        <v>Which German festival is often associated with Bosseln (a traditional German game similar to bowling)?</v>
      </c>
      <c r="C17" s="7" t="s">
        <v>325</v>
      </c>
      <c r="D17" s="6" t="str">
        <f>IFERROR(__xludf.DUMMYFUNCTION("GOOGLETRANSLATE(J17, ""de"", ""en"")"),"Harvest Festival")</f>
        <v>Harvest Festival</v>
      </c>
      <c r="E17" s="6" t="str">
        <f>IFERROR(__xludf.DUMMYFUNCTION("GOOGLETRANSLATE(K17, ""de"", ""en"")"),"In rural communities, the game of Bosseln is often associated with the harvest festival.")</f>
        <v>In rural communities, the game of Bosseln is often associated with the harvest festival.</v>
      </c>
      <c r="G17" s="14">
        <v>16.0</v>
      </c>
      <c r="H17" s="9" t="s">
        <v>326</v>
      </c>
      <c r="I17" s="9" t="str">
        <f>IFERROR(__xludf.DUMMYFUNCTION("GOOGLETRANSLATE(C17, ""en"", ""de"")"),"A. Oktoberfest B. Erntedankfest C. Erntedankfest D. Karneval")</f>
        <v>A. Oktoberfest B. Erntedankfest C. Erntedankfest D. Karneval</v>
      </c>
      <c r="J17" s="9" t="s">
        <v>327</v>
      </c>
      <c r="K17" s="9" t="s">
        <v>328</v>
      </c>
    </row>
    <row r="18" ht="22.5" customHeight="1">
      <c r="A18" s="14">
        <v>17.0</v>
      </c>
      <c r="B18" s="6" t="str">
        <f>IFERROR(__xludf.DUMMYFUNCTION("GOOGLETRANSLATE(H18, ""de"", ""en"")"),"Which war led to the decline of bocce at the beginning of the 20th century?")</f>
        <v>Which war led to the decline of bocce at the beginning of the 20th century?</v>
      </c>
      <c r="C18" s="7" t="s">
        <v>329</v>
      </c>
      <c r="D18" s="6" t="str">
        <f>IFERROR(__xludf.DUMMYFUNCTION("GOOGLETRANSLATE(J18, ""de"", ""en"")"),"World War I")</f>
        <v>World War I</v>
      </c>
      <c r="E18" s="6" t="str">
        <f>IFERROR(__xludf.DUMMYFUNCTION("GOOGLETRANSLATE(K18, ""de"", ""en"")"),"The First World War led to a decline in bocce, as resources and leisure time became scarce.")</f>
        <v>The First World War led to a decline in bocce, as resources and leisure time became scarce.</v>
      </c>
      <c r="G18" s="14">
        <v>17.0</v>
      </c>
      <c r="H18" s="9" t="s">
        <v>330</v>
      </c>
      <c r="I18" s="9" t="str">
        <f>IFERROR(__xludf.DUMMYFUNCTION("GOOGLETRANSLATE(C18, ""en"", ""de"")"),"A. Die Napoleonischen Kriege B. Erster Weltkrieg C. Erster Weltkrieg D. Zweiter Weltkrieg")</f>
        <v>A. Die Napoleonischen Kriege B. Erster Weltkrieg C. Erster Weltkrieg D. Zweiter Weltkrieg</v>
      </c>
      <c r="J18" s="9" t="s">
        <v>331</v>
      </c>
      <c r="K18" s="9" t="s">
        <v>332</v>
      </c>
    </row>
    <row r="19" ht="22.5" customHeight="1">
      <c r="A19" s="14">
        <v>18.0</v>
      </c>
      <c r="B19" s="6" t="str">
        <f>IFERROR(__xludf.DUMMYFUNCTION("GOOGLETRANSLATE(H19, ""de"", ""en"")"),"What led to the revival of Bosseln after the Second World War?")</f>
        <v>What led to the revival of Bosseln after the Second World War?</v>
      </c>
      <c r="C19" s="7" t="s">
        <v>333</v>
      </c>
      <c r="D19" s="6" t="str">
        <f>IFERROR(__xludf.DUMMYFUNCTION("GOOGLETRANSLATE(J19, ""de"", ""en"")"),"Establishment of local clubs")</f>
        <v>Establishment of local clubs</v>
      </c>
      <c r="E19" s="6" t="str">
        <f>IFERROR(__xludf.DUMMYFUNCTION("GOOGLETRANSLATE(K19, ""de"", ""en"")"),"Local clubs helped to revive bocce as a community sport after the Second World War.")</f>
        <v>Local clubs helped to revive bocce as a community sport after the Second World War.</v>
      </c>
      <c r="G19" s="14">
        <v>18.0</v>
      </c>
      <c r="H19" s="9" t="s">
        <v>334</v>
      </c>
      <c r="I19" s="9" t="str">
        <f>IFERROR(__xludf.DUMMYFUNCTION("GOOGLETRANSLATE(C19, ""en"", ""de"")"),"A. Tourismuskampagnen B. Gründung lokaler Vereine C. Gründung lokaler Vereine D. Staatliche Förderung")</f>
        <v>A. Tourismuskampagnen B. Gründung lokaler Vereine C. Gründung lokaler Vereine D. Staatliche Förderung</v>
      </c>
      <c r="J19" s="9" t="s">
        <v>335</v>
      </c>
      <c r="K19" s="9" t="s">
        <v>336</v>
      </c>
    </row>
    <row r="20" ht="22.5" customHeight="1">
      <c r="A20" s="14">
        <v>19.0</v>
      </c>
      <c r="B20" s="6" t="str">
        <f>IFERROR(__xludf.DUMMYFUNCTION("GOOGLETRANSLATE(H20, ""de"", ""en"")"),"Which major German sports organization recognizes Bosseln (a traditional German sport similar to bocce)?")</f>
        <v>Which major German sports organization recognizes Bosseln (a traditional German sport similar to bocce)?</v>
      </c>
      <c r="C20" s="7" t="s">
        <v>337</v>
      </c>
      <c r="D20" s="6" t="str">
        <f>IFERROR(__xludf.DUMMYFUNCTION("GOOGLETRANSLATE(J20, ""de"", ""en"")"),"The Lower Saxony Sports Federation")</f>
        <v>The Lower Saxony Sports Federation</v>
      </c>
      <c r="E20" s="6" t="str">
        <f>IFERROR(__xludf.DUMMYFUNCTION("GOOGLETRANSLATE(K20, ""de"", ""en"")"),"The Lower Saxony Sports Federation officially recognizes Bosseln as a traditional sport.")</f>
        <v>The Lower Saxony Sports Federation officially recognizes Bosseln as a traditional sport.</v>
      </c>
      <c r="G20" s="14">
        <v>19.0</v>
      </c>
      <c r="H20" s="9" t="s">
        <v>338</v>
      </c>
      <c r="I20" s="9" t="str">
        <f>IFERROR(__xludf.DUMMYFUNCTION("GOOGLETRANSLATE(C20, ""en"", ""de"")"),"A. Das Deutsche Olympische Komitee B. Der Niedersächsische Sportbund C. Der Niedersächsische Sportbund D. Der Nationale Klootschießen-Verband")</f>
        <v>A. Das Deutsche Olympische Komitee B. Der Niedersächsische Sportbund C. Der Niedersächsische Sportbund D. Der Nationale Klootschießen-Verband</v>
      </c>
      <c r="J20" s="9" t="s">
        <v>339</v>
      </c>
      <c r="K20" s="9" t="s">
        <v>340</v>
      </c>
    </row>
    <row r="21" ht="22.5" customHeight="1">
      <c r="A21" s="14">
        <v>20.0</v>
      </c>
      <c r="B21" s="6" t="str">
        <f>IFERROR(__xludf.DUMMYFUNCTION("GOOGLETRANSLATE(H21, ""de"", ""en"")"),"What was the main reason for the founding of the Bosseln leagues in the 19th century?")</f>
        <v>What was the main reason for the founding of the Bosseln leagues in the 19th century?</v>
      </c>
      <c r="C21" s="7" t="s">
        <v>341</v>
      </c>
      <c r="D21" s="6" t="str">
        <f>IFERROR(__xludf.DUMMYFUNCTION("GOOGLETRANSLATE(J21, ""de"", ""en"")"),"Standardizing rules")</f>
        <v>Standardizing rules</v>
      </c>
      <c r="E21" s="6" t="str">
        <f>IFERROR(__xludf.DUMMYFUNCTION("GOOGLETRANSLATE(K21, ""de"", ""en"")"),"Leagues were established to standardize the rules of bocce and ensure fair competition.")</f>
        <v>Leagues were established to standardize the rules of bocce and ensure fair competition.</v>
      </c>
      <c r="G21" s="14">
        <v>20.0</v>
      </c>
      <c r="H21" s="9" t="s">
        <v>342</v>
      </c>
      <c r="I21" s="9" t="str">
        <f>IFERROR(__xludf.DUMMYFUNCTION("GOOGLETRANSLATE(C21, ""en"", ""de"")"),"A. Zur Förderung des Tourismus B. Standardisierung von Regeln C. Standardisierung von Regeln D. Zur Verbesserung der öffentlichen Gesundheit")</f>
        <v>A. Zur Förderung des Tourismus B. Standardisierung von Regeln C. Standardisierung von Regeln D. Zur Verbesserung der öffentlichen Gesundheit</v>
      </c>
      <c r="J21" s="9" t="s">
        <v>343</v>
      </c>
      <c r="K21" s="9" t="s">
        <v>344</v>
      </c>
    </row>
    <row r="22" ht="22.5" customHeight="1">
      <c r="A22" s="14">
        <v>21.0</v>
      </c>
      <c r="B22" s="6" t="str">
        <f>IFERROR(__xludf.DUMMYFUNCTION("GOOGLETRANSLATE(H22, ""de"", ""en"")"),"In which year were synthetic bocce balls introduced?")</f>
        <v>In which year were synthetic bocce balls introduced?</v>
      </c>
      <c r="C22" s="7" t="s">
        <v>345</v>
      </c>
      <c r="D22" s="6" t="str">
        <f>IFERROR(__xludf.DUMMYFUNCTION("GOOGLETRANSLATE(J22, ""de"", ""en"")"),"1960s")</f>
        <v>1960s</v>
      </c>
      <c r="E22" s="6" t="str">
        <f>IFERROR(__xludf.DUMMYFUNCTION("GOOGLETRANSLATE(K22, ""de"", ""en"")"),"Synthetic balls were introduced in the 1960s to replace wooden balls for reasons of durability.")</f>
        <v>Synthetic balls were introduced in the 1960s to replace wooden balls for reasons of durability.</v>
      </c>
      <c r="G22" s="14">
        <v>21.0</v>
      </c>
      <c r="H22" s="9" t="s">
        <v>346</v>
      </c>
      <c r="I22" s="9" t="str">
        <f>IFERROR(__xludf.DUMMYFUNCTION("GOOGLETRANSLATE(C22, ""en"", ""de"")"),"A. 1920er Jahre B. 1940er Jahre C. 1940er Jahre D. 1960er Jahre")</f>
        <v>A. 1920er Jahre B. 1940er Jahre C. 1940er Jahre D. 1960er Jahre</v>
      </c>
      <c r="J22" s="9" t="s">
        <v>347</v>
      </c>
      <c r="K22" s="9" t="s">
        <v>348</v>
      </c>
    </row>
    <row r="23" ht="22.5" customHeight="1">
      <c r="A23" s="14">
        <v>22.0</v>
      </c>
      <c r="B23" s="6" t="str">
        <f>IFERROR(__xludf.DUMMYFUNCTION("GOOGLETRANSLATE(H23, ""de"", ""en"")"),"Which traditional German values ​​are reflected in Bosseln?")</f>
        <v>Which traditional German values ​​are reflected in Bosseln?</v>
      </c>
      <c r="C23" s="7" t="s">
        <v>349</v>
      </c>
      <c r="D23" s="6" t="str">
        <f>IFERROR(__xludf.DUMMYFUNCTION("GOOGLETRANSLATE(J23, ""de"", ""en"")"),"community spirit")</f>
        <v>community spirit</v>
      </c>
      <c r="E23" s="6" t="str">
        <f>IFERROR(__xludf.DUMMYFUNCTION("GOOGLETRANSLATE(K23, ""de"", ""en"")"),"Bosseln reflects the German value of community spirit, as it is often played in teams at festivals.")</f>
        <v>Bosseln reflects the German value of community spirit, as it is often played in teams at festivals.</v>
      </c>
      <c r="G23" s="14">
        <v>22.0</v>
      </c>
      <c r="H23" s="9" t="s">
        <v>350</v>
      </c>
      <c r="I23" s="9" t="str">
        <f>IFERROR(__xludf.DUMMYFUNCTION("GOOGLETRANSLATE(C23, ""en"", ""de"")"),"A. Disziplin B. Gemeinschaftssinn C. Gemeinschaftssinn D. Effizienz")</f>
        <v>A. Disziplin B. Gemeinschaftssinn C. Gemeinschaftssinn D. Effizienz</v>
      </c>
      <c r="J23" s="9" t="s">
        <v>351</v>
      </c>
      <c r="K23" s="9" t="s">
        <v>352</v>
      </c>
    </row>
    <row r="24" ht="22.5" customHeight="1">
      <c r="A24" s="14">
        <v>23.0</v>
      </c>
      <c r="B24" s="6" t="str">
        <f>IFERROR(__xludf.DUMMYFUNCTION("GOOGLETRANSLATE(H24, ""de"", ""en"")"),"Which international sport is considered most similar to bocce?")</f>
        <v>Which international sport is considered most similar to bocce?</v>
      </c>
      <c r="C24" s="7" t="s">
        <v>353</v>
      </c>
      <c r="D24" s="6" t="str">
        <f>IFERROR(__xludf.DUMMYFUNCTION("GOOGLETRANSLATE(J24, ""de"", ""en"")"),"Klootschießen")</f>
        <v>Klootschießen</v>
      </c>
      <c r="E24" s="6" t="str">
        <f>IFERROR(__xludf.DUMMYFUNCTION("GOOGLETRANSLATE(K24, ""de"", ""en"")"),"Klootschießen is very similar to Bosseln, as both involve throwing heavy objects over a distance.")</f>
        <v>Klootschießen is very similar to Bosseln, as both involve throwing heavy objects over a distance.</v>
      </c>
      <c r="G24" s="14">
        <v>23.0</v>
      </c>
      <c r="H24" s="9" t="s">
        <v>354</v>
      </c>
      <c r="I24" s="9" t="str">
        <f>IFERROR(__xludf.DUMMYFUNCTION("GOOGLETRANSLATE(C24, ""en"", ""de"")"),"A. Bowling B. Curling C. Curling D. Klootschießen")</f>
        <v>A. Bowling B. Curling C. Curling D. Klootschießen</v>
      </c>
      <c r="J24" s="9" t="s">
        <v>355</v>
      </c>
      <c r="K24" s="9" t="s">
        <v>356</v>
      </c>
    </row>
    <row r="25" ht="22.5" customHeight="1">
      <c r="A25" s="14">
        <v>24.0</v>
      </c>
      <c r="B25" s="6" t="str">
        <f>IFERROR(__xludf.DUMMYFUNCTION("GOOGLETRANSLATE(H25, ""de"", ""en"")"),"In which year was Bosseln presented as a demonstration sport at a German festival?")</f>
        <v>In which year was Bosseln presented as a demonstration sport at a German festival?</v>
      </c>
      <c r="C25" s="7" t="s">
        <v>357</v>
      </c>
      <c r="D25" s="6" t="str">
        <f>IFERROR(__xludf.DUMMYFUNCTION("GOOGLETRANSLATE(J25, ""de"", ""en"")"),"1950")</f>
        <v>1950</v>
      </c>
      <c r="E25" s="6" t="str">
        <f>IFERROR(__xludf.DUMMYFUNCTION("GOOGLETRANSLATE(K25, ""de"", ""en"")"),"Bosseln was introduced as a demonstration sport at a festival in Germany in 1950.")</f>
        <v>Bosseln was introduced as a demonstration sport at a festival in Germany in 1950.</v>
      </c>
      <c r="G25" s="14">
        <v>24.0</v>
      </c>
      <c r="H25" s="9" t="s">
        <v>358</v>
      </c>
      <c r="I25" s="9" t="str">
        <f>IFERROR(__xludf.DUMMYFUNCTION("GOOGLETRANSLATE(C25, ""en"", ""de"")"),"A. 1936 B. 1950 C. 1950 D. 1985")</f>
        <v>A. 1936 B. 1950 C. 1950 D. 1985</v>
      </c>
      <c r="J25" s="11">
        <v>1950.0</v>
      </c>
      <c r="K25" s="9" t="s">
        <v>359</v>
      </c>
    </row>
    <row r="26" ht="22.5" customHeight="1">
      <c r="A26" s="14">
        <v>25.0</v>
      </c>
      <c r="B26" s="6" t="str">
        <f>IFERROR(__xludf.DUMMYFUNCTION("GOOGLETRANSLATE(H26, ""de"", ""en"")"),"How has Bosseln been modernized in recent decades?")</f>
        <v>How has Bosseln been modernized in recent decades?</v>
      </c>
      <c r="C26" s="7" t="s">
        <v>360</v>
      </c>
      <c r="D26" s="6" t="str">
        <f>IFERROR(__xludf.DUMMYFUNCTION("GOOGLETRANSLATE(J26, ""de"", ""en"")"),"Use of synthetic materials")</f>
        <v>Use of synthetic materials</v>
      </c>
      <c r="E26" s="6" t="str">
        <f>IFERROR(__xludf.DUMMYFUNCTION("GOOGLETRANSLATE(K26, ""de"", ""en"")"),"The modernization of bocce includes the use of synthetic materials for balls and improved infrastructure.")</f>
        <v>The modernization of bocce includes the use of synthetic materials for balls and improved infrastructure.</v>
      </c>
      <c r="G26" s="14">
        <v>25.0</v>
      </c>
      <c r="H26" s="9" t="s">
        <v>361</v>
      </c>
      <c r="I26" s="9" t="str">
        <f>IFERROR(__xludf.DUMMYFUNCTION("GOOGLETRANSLATE(C26, ""en"", ""de"")"),"A. Einführung in die Elektronik B. Verwendung synthetischer Materialien C. Verwendung synthetischer Materialien D. Fernsehwettbewerbe")</f>
        <v>A. Einführung in die Elektronik B. Verwendung synthetischer Materialien C. Verwendung synthetischer Materialien D. Fernsehwettbewerbe</v>
      </c>
      <c r="J26" s="9" t="s">
        <v>362</v>
      </c>
      <c r="K26" s="9" t="s">
        <v>363</v>
      </c>
    </row>
    <row r="27" ht="22.5" customHeight="1">
      <c r="A27" s="14">
        <v>26.0</v>
      </c>
      <c r="B27" s="6" t="str">
        <f>IFERROR(__xludf.DUMMYFUNCTION("GOOGLETRANSLATE(H27, ""de"", ""en"")"),"In which year did women officially participate in bocce ball competitions?")</f>
        <v>In which year did women officially participate in bocce ball competitions?</v>
      </c>
      <c r="C27" s="7" t="s">
        <v>364</v>
      </c>
      <c r="D27" s="6" t="str">
        <f>IFERROR(__xludf.DUMMYFUNCTION("GOOGLETRANSLATE(J27, ""de"", ""en"")"),"1970")</f>
        <v>1970</v>
      </c>
      <c r="E27" s="6" t="str">
        <f>IFERROR(__xludf.DUMMYFUNCTION("GOOGLETRANSLATE(K27, ""de"", ""en"")"),"Women have officially participated in bocce competitions since 1970, as the sport has become increasingly inclusive.")</f>
        <v>Women have officially participated in bocce competitions since 1970, as the sport has become increasingly inclusive.</v>
      </c>
      <c r="G27" s="14">
        <v>26.0</v>
      </c>
      <c r="H27" s="9" t="s">
        <v>365</v>
      </c>
      <c r="I27" s="9" t="str">
        <f>IFERROR(__xludf.DUMMYFUNCTION("GOOGLETRANSLATE(C27, ""en"", ""de"")"),"A. 1900 B. 1950 C. 1950 D. 1970")</f>
        <v>A. 1900 B. 1950 C. 1950 D. 1970</v>
      </c>
      <c r="J27" s="11">
        <v>1970.0</v>
      </c>
      <c r="K27" s="9" t="s">
        <v>366</v>
      </c>
    </row>
    <row r="28" ht="22.5" customHeight="1">
      <c r="A28" s="14">
        <v>27.0</v>
      </c>
      <c r="B28" s="6" t="str">
        <f>IFERROR(__xludf.DUMMYFUNCTION("GOOGLETRANSLATE(H28, ""de"", ""en"")"),"What historical event made bocce popular among the urban population?")</f>
        <v>What historical event made bocce popular among the urban population?</v>
      </c>
      <c r="C28" s="7" t="s">
        <v>367</v>
      </c>
      <c r="D28" s="6" t="str">
        <f>IFERROR(__xludf.DUMMYFUNCTION("GOOGLETRANSLATE(J28, ""de"", ""en"")"),"The Industrial Revolution")</f>
        <v>The Industrial Revolution</v>
      </c>
      <c r="E28" s="6" t="str">
        <f>IFERROR(__xludf.DUMMYFUNCTION("GOOGLETRANSLATE(K28, ""de"", ""en"")"),"The Industrial Revolution introduced bocce to urban areas, as workers brought the game with them.")</f>
        <v>The Industrial Revolution introduced bocce to urban areas, as workers brought the game with them.</v>
      </c>
      <c r="G28" s="14">
        <v>27.0</v>
      </c>
      <c r="H28" s="9" t="s">
        <v>368</v>
      </c>
      <c r="I28" s="9" t="str">
        <f>IFERROR(__xludf.DUMMYFUNCTION("GOOGLETRANSLATE(C28, ""en"", ""de"")"),"A. Die Industrielle Revolution B. Zweiter Weltkrieg C. Zweiter Weltkrieg D. Deutsche Wiedervereinigung")</f>
        <v>A. Die Industrielle Revolution B. Zweiter Weltkrieg C. Zweiter Weltkrieg D. Deutsche Wiedervereinigung</v>
      </c>
      <c r="J28" s="9" t="s">
        <v>288</v>
      </c>
      <c r="K28" s="9" t="s">
        <v>369</v>
      </c>
    </row>
    <row r="29" ht="22.5" customHeight="1">
      <c r="A29" s="14">
        <v>28.0</v>
      </c>
      <c r="B29" s="6" t="str">
        <f>IFERROR(__xludf.DUMMYFUNCTION("GOOGLETRANSLATE(H29, ""de"", ""en"")"),"What historical significance do the Bosseln clubs have?")</f>
        <v>What historical significance do the Bosseln clubs have?</v>
      </c>
      <c r="C29" s="7" t="s">
        <v>370</v>
      </c>
      <c r="D29" s="6" t="str">
        <f>IFERROR(__xludf.DUMMYFUNCTION("GOOGLETRANSLATE(J29, ""de"", ""en"")"),"Preservation of rural traditions")</f>
        <v>Preservation of rural traditions</v>
      </c>
      <c r="E29" s="6" t="str">
        <f>IFERROR(__xludf.DUMMYFUNCTION("GOOGLETRANSLATE(K29, ""de"", ""en"")"),"The Bosseln clubs play a crucial role in preserving rural traditions and promoting community spirit.")</f>
        <v>The Bosseln clubs play a crucial role in preserving rural traditions and promoting community spirit.</v>
      </c>
      <c r="G29" s="14">
        <v>28.0</v>
      </c>
      <c r="H29" s="9" t="s">
        <v>371</v>
      </c>
      <c r="I29" s="9" t="str">
        <f>IFERROR(__xludf.DUMMYFUNCTION("GOOGLETRANSLATE(C29, ""en"", ""de"")"),"A. Erhaltung ländlicher Traditionen B. Bildung internationaler Teams C. Bildung internationaler Teams D. Stärkung der nationalen Einheit")</f>
        <v>A. Erhaltung ländlicher Traditionen B. Bildung internationaler Teams C. Bildung internationaler Teams D. Stärkung der nationalen Einheit</v>
      </c>
      <c r="J29" s="9" t="s">
        <v>372</v>
      </c>
      <c r="K29" s="9" t="s">
        <v>373</v>
      </c>
    </row>
    <row r="30" ht="22.5" customHeight="1">
      <c r="A30" s="14">
        <v>29.0</v>
      </c>
      <c r="B30" s="6" t="str">
        <f>IFERROR(__xludf.DUMMYFUNCTION("GOOGLETRANSLATE(H30, ""de"", ""en"")"),"In which year did the first international Bosseln competition take place?")</f>
        <v>In which year did the first international Bosseln competition take place?</v>
      </c>
      <c r="C30" s="7" t="s">
        <v>374</v>
      </c>
      <c r="D30" s="6" t="str">
        <f>IFERROR(__xludf.DUMMYFUNCTION("GOOGLETRANSLATE(J30, ""de"", ""en"")"),"1975")</f>
        <v>1975</v>
      </c>
      <c r="E30" s="6" t="str">
        <f>IFERROR(__xludf.DUMMYFUNCTION("GOOGLETRANSLATE(K30, ""de"", ""en"")"),"The first international Bosseln competition took place in 1975 and brought together teams from different countries.")</f>
        <v>The first international Bosseln competition took place in 1975 and brought together teams from different countries.</v>
      </c>
      <c r="G30" s="14">
        <v>29.0</v>
      </c>
      <c r="H30" s="9" t="s">
        <v>375</v>
      </c>
      <c r="I30" s="9" t="str">
        <f>IFERROR(__xludf.DUMMYFUNCTION("GOOGLETRANSLATE(C30, ""en"", ""de"")"),"A. 1965 B. 1975 C. 1975 D. 1980")</f>
        <v>A. 1965 B. 1975 C. 1975 D. 1980</v>
      </c>
      <c r="J30" s="11">
        <v>1975.0</v>
      </c>
      <c r="K30" s="9" t="s">
        <v>376</v>
      </c>
    </row>
    <row r="31" ht="22.5" customHeight="1">
      <c r="A31" s="14">
        <v>30.0</v>
      </c>
      <c r="B31" s="6" t="str">
        <f>IFERROR(__xludf.DUMMYFUNCTION("GOOGLETRANSLATE(H31, ""de"", ""en"")"),"What cultural significance does Bosseln have in modern Germany?")</f>
        <v>What cultural significance does Bosseln have in modern Germany?</v>
      </c>
      <c r="C31" s="7" t="s">
        <v>377</v>
      </c>
      <c r="D31" s="6" t="str">
        <f>IFERROR(__xludf.DUMMYFUNCTION("GOOGLETRANSLATE(J31, ""de"", ""en"")"),"A rural tradition")</f>
        <v>A rural tradition</v>
      </c>
      <c r="E31" s="6" t="str">
        <f>IFERROR(__xludf.DUMMYFUNCTION("GOOGLETRANSLATE(K31, ""de"", ""en"")"),"Bosseln is primarily celebrated as a rural tradition and further reflects Germany's heritage and community values.")</f>
        <v>Bosseln is primarily celebrated as a rural tradition and further reflects Germany's heritage and community values.</v>
      </c>
      <c r="G31" s="14">
        <v>30.0</v>
      </c>
      <c r="H31" s="9" t="s">
        <v>378</v>
      </c>
      <c r="I31" s="9" t="str">
        <f>IFERROR(__xludf.DUMMYFUNCTION("GOOGLETRANSLATE(C31, ""en"", ""de"")"),"A. Ein Symbol nationaler Einheit B. Eine ländliche Tradition C. Eine ländliche Tradition D. Eine beliebte Touristenattraktion")</f>
        <v>A. Ein Symbol nationaler Einheit B. Eine ländliche Tradition C. Eine ländliche Tradition D. Eine beliebte Touristenattraktion</v>
      </c>
      <c r="J31" s="9" t="s">
        <v>379</v>
      </c>
      <c r="K31" s="9" t="s">
        <v>380</v>
      </c>
    </row>
    <row r="32" ht="22.5" customHeight="1">
      <c r="A32" s="14">
        <v>31.0</v>
      </c>
      <c r="B32" s="6" t="str">
        <f>IFERROR(__xludf.DUMMYFUNCTION("GOOGLETRANSLATE(H32, ""de"", ""en"")"),"What role did bocce play in rural German social life?")</f>
        <v>What role did bocce play in rural German social life?</v>
      </c>
      <c r="C32" s="7" t="s">
        <v>381</v>
      </c>
      <c r="D32" s="6" t="str">
        <f>IFERROR(__xludf.DUMMYFUNCTION("GOOGLETRANSLATE(J32, ""de"", ""en"")"),"Rest and bonding")</f>
        <v>Rest and bonding</v>
      </c>
      <c r="E32" s="6" t="str">
        <f>IFERROR(__xludf.DUMMYFUNCTION("GOOGLETRANSLATE(K32, ""de"", ""en"")"),"Bosseln served as a leisure activity and as an opportunity for rural communities to make contacts and forge connections.")</f>
        <v>Bosseln served as a leisure activity and as an opportunity for rural communities to make contacts and forge connections.</v>
      </c>
      <c r="G32" s="14">
        <v>31.0</v>
      </c>
      <c r="H32" s="9" t="s">
        <v>382</v>
      </c>
      <c r="I32" s="9" t="str">
        <f>IFERROR(__xludf.DUMMYFUNCTION("GOOGLETRANSLATE(C32, ""en"", ""de"")"),"A. Erholung und Teambuilding B. Militärische Ausbildung C. Militärische Ausbildung D. Religiöse Feierlichkeiten")</f>
        <v>A. Erholung und Teambuilding B. Militärische Ausbildung C. Militärische Ausbildung D. Religiöse Feierlichkeiten</v>
      </c>
      <c r="J32" s="9" t="s">
        <v>383</v>
      </c>
      <c r="K32" s="9" t="s">
        <v>384</v>
      </c>
    </row>
    <row r="33" ht="22.5" customHeight="1">
      <c r="A33" s="14">
        <v>32.0</v>
      </c>
      <c r="B33" s="6" t="str">
        <f>IFERROR(__xludf.DUMMYFUNCTION("GOOGLETRANSLATE(H33, ""de"", ""en"")"),"When was the first documented set of rules for Bosseln published?")</f>
        <v>When was the first documented set of rules for Bosseln published?</v>
      </c>
      <c r="C33" s="7" t="s">
        <v>385</v>
      </c>
      <c r="D33" s="6" t="str">
        <f>IFERROR(__xludf.DUMMYFUNCTION("GOOGLETRANSLATE(J33, ""de"", ""en"")"),"1871")</f>
        <v>1871</v>
      </c>
      <c r="E33" s="6" t="str">
        <f>IFERROR(__xludf.DUMMYFUNCTION("GOOGLETRANSLATE(K33, ""de"", ""en"")"),"The first documented set of rules for Bosseln was published in 1871 and established the structure of the sport.")</f>
        <v>The first documented set of rules for Bosseln was published in 1871 and established the structure of the sport.</v>
      </c>
      <c r="G33" s="14">
        <v>32.0</v>
      </c>
      <c r="H33" s="9" t="s">
        <v>386</v>
      </c>
      <c r="I33" s="9" t="str">
        <f>IFERROR(__xludf.DUMMYFUNCTION("GOOGLETRANSLATE(C33, ""en"", ""de"")"),"A. 1871 B. 1890 C. 1890 D. 1925")</f>
        <v>A. 1871 B. 1890 C. 1890 D. 1925</v>
      </c>
      <c r="J33" s="11">
        <v>1871.0</v>
      </c>
      <c r="K33" s="9" t="s">
        <v>387</v>
      </c>
    </row>
    <row r="34" ht="22.5" customHeight="1">
      <c r="A34" s="14">
        <v>33.0</v>
      </c>
      <c r="B34" s="6" t="str">
        <f>IFERROR(__xludf.DUMMYFUNCTION("GOOGLETRANSLATE(H34, ""de"", ""en"")"),"What advances in transportation contributed to the spread of Bosseln in Germany?")</f>
        <v>What advances in transportation contributed to the spread of Bosseln in Germany?</v>
      </c>
      <c r="C34" s="7" t="s">
        <v>388</v>
      </c>
      <c r="D34" s="6" t="str">
        <f>IFERROR(__xludf.DUMMYFUNCTION("GOOGLETRANSLATE(J34, ""de"", ""en"")"),"Railways")</f>
        <v>Railways</v>
      </c>
      <c r="E34" s="6" t="str">
        <f>IFERROR(__xludf.DUMMYFUNCTION("GOOGLETRANSLATE(K34, ""de"", ""en"")"),"The development of railways in the 19th century contributed to the spread of bocce by connecting rural communities.")</f>
        <v>The development of railways in the 19th century contributed to the spread of bocce by connecting rural communities.</v>
      </c>
      <c r="G34" s="14">
        <v>33.0</v>
      </c>
      <c r="H34" s="9" t="s">
        <v>389</v>
      </c>
      <c r="I34" s="9" t="str">
        <f>IFERROR(__xludf.DUMMYFUNCTION("GOOGLETRANSLATE(C34, ""en"", ""de"")"),"A. Eisenbahnen B. Fahrräder C. Fahrräder D. Autobahnen")</f>
        <v>A. Eisenbahnen B. Fahrräder C. Fahrräder D. Autobahnen</v>
      </c>
      <c r="J34" s="9" t="s">
        <v>390</v>
      </c>
      <c r="K34" s="9" t="s">
        <v>391</v>
      </c>
    </row>
    <row r="35" ht="22.5" customHeight="1">
      <c r="A35" s="14">
        <v>34.0</v>
      </c>
      <c r="B35" s="6" t="str">
        <f>IFERROR(__xludf.DUMMYFUNCTION("GOOGLETRANSLATE(H35, ""de"", ""en"")"),"How were bocce balls traditionally made in the past?")</f>
        <v>How were bocce balls traditionally made in the past?</v>
      </c>
      <c r="C35" s="7" t="s">
        <v>392</v>
      </c>
      <c r="D35" s="6" t="str">
        <f>IFERROR(__xludf.DUMMYFUNCTION("GOOGLETRANSLATE(J35, ""de"", ""en"")"),"Carving from tree trunks")</f>
        <v>Carving from tree trunks</v>
      </c>
      <c r="E35" s="6" t="str">
        <f>IFERROR(__xludf.DUMMYFUNCTION("GOOGLETRANSLATE(K35, ""de"", ""en"")"),"Traditional bocce balls were often carved by hand from hardwood tree trunks.")</f>
        <v>Traditional bocce balls were often carved by hand from hardwood tree trunks.</v>
      </c>
      <c r="G35" s="14">
        <v>34.0</v>
      </c>
      <c r="H35" s="9" t="s">
        <v>393</v>
      </c>
      <c r="I35" s="9" t="str">
        <f>IFERROR(__xludf.DUMMYFUNCTION("GOOGLETRANSLATE(C35, ""en"", ""de"")"),"A. Aus Baumstämmen geschnitzt B. Aus Eisen geschmiedet C. Aus Eisen geschmiedet D. Aus Strohkernen geflochten")</f>
        <v>A. Aus Baumstämmen geschnitzt B. Aus Eisen geschmiedet C. Aus Eisen geschmiedet D. Aus Strohkernen geflochten</v>
      </c>
      <c r="J35" s="9" t="s">
        <v>394</v>
      </c>
      <c r="K35" s="9" t="s">
        <v>395</v>
      </c>
    </row>
    <row r="36" ht="22.5" customHeight="1">
      <c r="A36" s="14">
        <v>35.0</v>
      </c>
      <c r="B36" s="6" t="str">
        <f>IFERROR(__xludf.DUMMYFUNCTION("GOOGLETRANSLATE(H36, ""de"", ""en"")"),"What is the main difference between Bosseln and Klootschießen?")</f>
        <v>What is the main difference between Bosseln and Klootschießen?</v>
      </c>
      <c r="C36" s="7" t="s">
        <v>396</v>
      </c>
      <c r="D36" s="6" t="str">
        <f>IFERROR(__xludf.DUMMYFUNCTION("GOOGLETRANSLATE(J36, ""de"", ""en"")"),"Art of the Site")</f>
        <v>Art of the Site</v>
      </c>
      <c r="E36" s="6" t="str">
        <f>IFERROR(__xludf.DUMMYFUNCTION("GOOGLETRANSLATE(K36, ""de"", ""en"")"),"Bosseln is regularly played on streets, while Klootschießen is often played on open fields.")</f>
        <v>Bosseln is regularly played on streets, while Klootschießen is often played on open fields.</v>
      </c>
      <c r="G36" s="14">
        <v>35.0</v>
      </c>
      <c r="H36" s="9" t="s">
        <v>397</v>
      </c>
      <c r="I36" s="9" t="str">
        <f>IFERROR(__xludf.DUMMYFUNCTION("GOOGLETRANSLATE(C36, ""en"", ""de"")"),"A. Nutzung der Ziele B. Gestaltung des Geländes C. Gestaltung des Geländes D. Material der Sphären")</f>
        <v>A. Nutzung der Ziele B. Gestaltung des Geländes C. Gestaltung des Geländes D. Material der Sphären</v>
      </c>
      <c r="J36" s="9" t="s">
        <v>398</v>
      </c>
      <c r="K36" s="9" t="s">
        <v>399</v>
      </c>
    </row>
    <row r="37" ht="22.5" customHeight="1">
      <c r="A37" s="14">
        <v>36.0</v>
      </c>
      <c r="B37" s="6" t="str">
        <f>IFERROR(__xludf.DUMMYFUNCTION("GOOGLETRANSLATE(H37, ""de"", ""en"")"),"In which century did bocce become increasingly popular among female players?")</f>
        <v>In which century did bocce become increasingly popular among female players?</v>
      </c>
      <c r="C37" s="7" t="s">
        <v>400</v>
      </c>
      <c r="D37" s="6" t="str">
        <f>IFERROR(__xludf.DUMMYFUNCTION("GOOGLETRANSLATE(J37, ""de"", ""en"")"),"20th century")</f>
        <v>20th century</v>
      </c>
      <c r="E37" s="6" t="str">
        <f>IFERROR(__xludf.DUMMYFUNCTION("GOOGLETRANSLATE(K37, ""de"", ""en"")"),"Bosseln gained popularity and inclusivity among female players in the 20th century.")</f>
        <v>Bosseln gained popularity and inclusivity among female players in the 20th century.</v>
      </c>
      <c r="G37" s="14">
        <v>36.0</v>
      </c>
      <c r="H37" s="9" t="s">
        <v>401</v>
      </c>
      <c r="I37" s="9" t="str">
        <f>IFERROR(__xludf.DUMMYFUNCTION("GOOGLETRANSLATE(C37, ""en"", ""de"")"),"A. 19. Jahrhundert B. 20. Jahrhundert C. 20. Jahrhundert D. 18. Jahrhundert")</f>
        <v>A. 19. Jahrhundert B. 20. Jahrhundert C. 20. Jahrhundert D. 18. Jahrhundert</v>
      </c>
      <c r="J37" s="9" t="s">
        <v>402</v>
      </c>
      <c r="K37" s="9" t="s">
        <v>403</v>
      </c>
    </row>
    <row r="38" ht="22.5" customHeight="1">
      <c r="A38" s="14">
        <v>37.0</v>
      </c>
      <c r="B38" s="6" t="str">
        <f>IFERROR(__xludf.DUMMYFUNCTION("GOOGLETRANSLATE(H38, ""de"", ""en"")"),"What major global event slowed the spread of bocce in the early 20th century?")</f>
        <v>What major global event slowed the spread of bocce in the early 20th century?</v>
      </c>
      <c r="C38" s="7" t="s">
        <v>404</v>
      </c>
      <c r="D38" s="6" t="str">
        <f>IFERROR(__xludf.DUMMYFUNCTION("GOOGLETRANSLATE(J38, ""de"", ""en"")"),"World War I")</f>
        <v>World War I</v>
      </c>
      <c r="E38" s="6" t="str">
        <f>IFERROR(__xludf.DUMMYFUNCTION("GOOGLETRANSLATE(K38, ""de"", ""en"")"),"The First World War disrupted the spread of bocce due to social and economic unrest.")</f>
        <v>The First World War disrupted the spread of bocce due to social and economic unrest.</v>
      </c>
      <c r="G38" s="14">
        <v>37.0</v>
      </c>
      <c r="H38" s="9" t="s">
        <v>405</v>
      </c>
      <c r="I38" s="9" t="str">
        <f>IFERROR(__xludf.DUMMYFUNCTION("GOOGLETRANSLATE(C38, ""en"", ""de"")"),"A. Erster Weltkrieg B. Die globale Wirtschaftskrise C. Die globale Wirtschaftskrise D. Zweiter Weltkrieg")</f>
        <v>A. Erster Weltkrieg B. Die globale Wirtschaftskrise C. Die globale Wirtschaftskrise D. Zweiter Weltkrieg</v>
      </c>
      <c r="J38" s="9" t="s">
        <v>331</v>
      </c>
      <c r="K38" s="9" t="s">
        <v>406</v>
      </c>
    </row>
    <row r="39" ht="22.5" customHeight="1">
      <c r="A39" s="14">
        <v>38.0</v>
      </c>
      <c r="B39" s="6" t="str">
        <f>IFERROR(__xludf.DUMMYFUNCTION("GOOGLETRANSLATE(H39, ""de"", ""en"")"),"In which year was Bosseln officially recognized as a sport in Germany?")</f>
        <v>In which year was Bosseln officially recognized as a sport in Germany?</v>
      </c>
      <c r="C39" s="7" t="s">
        <v>407</v>
      </c>
      <c r="D39" s="6" t="str">
        <f>IFERROR(__xludf.DUMMYFUNCTION("GOOGLETRANSLATE(J39, ""de"", ""en"")"),"1930")</f>
        <v>1930</v>
      </c>
      <c r="E39" s="6" t="str">
        <f>IFERROR(__xludf.DUMMYFUNCTION("GOOGLETRANSLATE(K39, ""de"", ""en"")"),"Bosseln was officially recognized as a sport in Germany in 1930 and uniform rules were introduced.")</f>
        <v>Bosseln was officially recognized as a sport in Germany in 1930 and uniform rules were introduced.</v>
      </c>
      <c r="G39" s="14">
        <v>38.0</v>
      </c>
      <c r="H39" s="9" t="s">
        <v>408</v>
      </c>
      <c r="I39" s="9" t="str">
        <f>IFERROR(__xludf.DUMMYFUNCTION("GOOGLETRANSLATE(C39, ""en"", ""de"")"),"A. 1905 B. 1930 C. 1930 D. 1950")</f>
        <v>A. 1905 B. 1930 C. 1930 D. 1950</v>
      </c>
      <c r="J39" s="11">
        <v>1930.0</v>
      </c>
      <c r="K39" s="9" t="s">
        <v>409</v>
      </c>
    </row>
    <row r="40" ht="22.5" customHeight="1">
      <c r="A40" s="14">
        <v>39.0</v>
      </c>
      <c r="B40" s="6" t="str">
        <f>IFERROR(__xludf.DUMMYFUNCTION("GOOGLETRANSLATE(H40, ""de"", ""en"")"),"Which organization contributed to the international standardization of bobbins?")</f>
        <v>Which organization contributed to the international standardization of bobbins?</v>
      </c>
      <c r="C40" s="7" t="s">
        <v>410</v>
      </c>
      <c r="D40" s="6" t="str">
        <f>IFERROR(__xludf.DUMMYFUNCTION("GOOGLETRANSLATE(J40, ""de"", ""en"")"),"International Bosseln Association")</f>
        <v>International Bosseln Association</v>
      </c>
      <c r="E40" s="6" t="str">
        <f>IFERROR(__xludf.DUMMYFUNCTION("GOOGLETRANSLATE(K40, ""de"", ""en"")"),"The International Bosseln Association played a key role in the worldwide standardization of the sport.")</f>
        <v>The International Bosseln Association played a key role in the worldwide standardization of the sport.</v>
      </c>
      <c r="G40" s="14">
        <v>39.0</v>
      </c>
      <c r="H40" s="9" t="s">
        <v>411</v>
      </c>
      <c r="I40" s="9" t="str">
        <f>IFERROR(__xludf.DUMMYFUNCTION("GOOGLETRANSLATE(C40, ""en"", ""de"")"),"A. Europäischer Sportverband B. Internationaler Bosseln-Verband C. Internationaler Bosseln-Verband D. Weltkomitee für Ländliche Spiele")</f>
        <v>A. Europäischer Sportverband B. Internationaler Bosseln-Verband C. Internationaler Bosseln-Verband D. Weltkomitee für Ländliche Spiele</v>
      </c>
      <c r="J40" s="9" t="s">
        <v>412</v>
      </c>
      <c r="K40" s="9" t="s">
        <v>413</v>
      </c>
    </row>
    <row r="41" ht="22.5" customHeight="1">
      <c r="A41" s="14">
        <v>40.0</v>
      </c>
      <c r="B41" s="6" t="str">
        <f>IFERROR(__xludf.DUMMYFUNCTION("GOOGLETRANSLATE(H41, ""de"", ""en"")"),"Which aspect of northern Germany's culture is reflected in Bosseln?")</f>
        <v>Which aspect of northern Germany's culture is reflected in Bosseln?</v>
      </c>
      <c r="C41" s="7" t="s">
        <v>414</v>
      </c>
      <c r="D41" s="6" t="str">
        <f>IFERROR(__xludf.DUMMYFUNCTION("GOOGLETRANSLATE(J41, ""de"", ""en"")"),"Rural traditions")</f>
        <v>Rural traditions</v>
      </c>
      <c r="E41" s="6" t="str">
        <f>IFERROR(__xludf.DUMMYFUNCTION("GOOGLETRANSLATE(K41, ""de"", ""en"")"),"Bosseln reflected the rural traditions and community values ​​of Northern Germany.")</f>
        <v>Bosseln reflected the rural traditions and community values ​​of Northern Germany.</v>
      </c>
      <c r="G41" s="14">
        <v>40.0</v>
      </c>
      <c r="H41" s="9" t="s">
        <v>415</v>
      </c>
      <c r="I41" s="9" t="str">
        <f>IFERROR(__xludf.DUMMYFUNCTION("GOOGLETRANSLATE(C41, ""en"", ""de"")"),"A. Wettbewerbsgeist B. Ländliche Traditionen C. Ländliche Traditionen D. Technologische Innovation")</f>
        <v>A. Wettbewerbsgeist B. Ländliche Traditionen C. Ländliche Traditionen D. Technologische Innovation</v>
      </c>
      <c r="J41" s="9" t="s">
        <v>416</v>
      </c>
      <c r="K41" s="9" t="s">
        <v>417</v>
      </c>
    </row>
    <row r="42" ht="22.5" customHeight="1">
      <c r="A42" s="14">
        <v>41.0</v>
      </c>
      <c r="B42" s="6" t="str">
        <f>IFERROR(__xludf.DUMMYFUNCTION("GOOGLETRANSLATE(H42, ""de"", ""en"")"),"Which German state has declared Bosseln (a traditional German game similar to bocce) to be an intangible cultural heritage?")</f>
        <v>Which German state has declared Bosseln (a traditional German game similar to bocce) to be an intangible cultural heritage?</v>
      </c>
      <c r="C42" s="7" t="s">
        <v>271</v>
      </c>
      <c r="D42" s="6" t="str">
        <f>IFERROR(__xludf.DUMMYFUNCTION("GOOGLETRANSLATE(J42, ""de"", ""en"")"),"Lower Saxony")</f>
        <v>Lower Saxony</v>
      </c>
      <c r="E42" s="6" t="str">
        <f>IFERROR(__xludf.DUMMYFUNCTION("GOOGLETRANSLATE(K42, ""de"", ""en"")"),"Lower Saxony has recognized Bosseln as part of its intangible cultural heritage in order to preserve its history.")</f>
        <v>Lower Saxony has recognized Bosseln as part of its intangible cultural heritage in order to preserve its history.</v>
      </c>
      <c r="G42" s="14">
        <v>41.0</v>
      </c>
      <c r="H42" s="9" t="s">
        <v>418</v>
      </c>
      <c r="I42" s="9" t="str">
        <f>IFERROR(__xludf.DUMMYFUNCTION("GOOGLETRANSLATE(C42, ""en"", ""de"")"),"A. Bayern B. Niedersachsen C. Niedersachsen D. Sachsen-Anhalt")</f>
        <v>A. Bayern B. Niedersachsen C. Niedersachsen D. Sachsen-Anhalt</v>
      </c>
      <c r="J42" s="9" t="s">
        <v>273</v>
      </c>
      <c r="K42" s="9" t="s">
        <v>419</v>
      </c>
    </row>
    <row r="43" ht="22.5" customHeight="1">
      <c r="A43" s="14">
        <v>42.0</v>
      </c>
      <c r="B43" s="6" t="str">
        <f>IFERROR(__xludf.DUMMYFUNCTION("GOOGLETRANSLATE(H43, ""de"", ""en"")"),"When was the first game of Bosseln broadcast on television?")</f>
        <v>When was the first game of Bosseln broadcast on television?</v>
      </c>
      <c r="C43" s="7" t="s">
        <v>420</v>
      </c>
      <c r="D43" s="6" t="str">
        <f>IFERROR(__xludf.DUMMYFUNCTION("GOOGLETRANSLATE(J43, ""de"", ""en"")"),"1970")</f>
        <v>1970</v>
      </c>
      <c r="E43" s="6" t="str">
        <f>IFERROR(__xludf.DUMMYFUNCTION("GOOGLETRANSLATE(K43, ""de"", ""en"")"),"The first televised Bosseln game took place in 1970, introducing the sport to a wider audience.")</f>
        <v>The first televised Bosseln game took place in 1970, introducing the sport to a wider audience.</v>
      </c>
      <c r="G43" s="14">
        <v>42.0</v>
      </c>
      <c r="H43" s="9" t="s">
        <v>421</v>
      </c>
      <c r="I43" s="9" t="str">
        <f>IFERROR(__xludf.DUMMYFUNCTION("GOOGLETRANSLATE(C43, ""en"", ""de"")"),"A. 1955 B. 1960 C. 1960 D. 1970")</f>
        <v>A. 1955 B. 1960 C. 1960 D. 1970</v>
      </c>
      <c r="J43" s="11">
        <v>1970.0</v>
      </c>
      <c r="K43" s="9" t="s">
        <v>422</v>
      </c>
    </row>
    <row r="44" ht="22.5" customHeight="1">
      <c r="A44" s="14">
        <v>43.0</v>
      </c>
      <c r="B44" s="6" t="str">
        <f>IFERROR(__xludf.DUMMYFUNCTION("GOOGLETRANSLATE(H44, ""de"", ""en"")"),"Where did Bosseln originate?")</f>
        <v>Where did Bosseln originate?</v>
      </c>
      <c r="C44" s="7" t="s">
        <v>423</v>
      </c>
      <c r="D44" s="6" t="str">
        <f>IFERROR(__xludf.DUMMYFUNCTION("GOOGLETRANSLATE(J44, ""de"", ""en"")"),"Germany")</f>
        <v>Germany</v>
      </c>
      <c r="E44" s="6" t="str">
        <f>IFERROR(__xludf.DUMMYFUNCTION("GOOGLETRANSLATE(K44, ""de"", ""en"")"),"Bosseln originated in Northern Germany, particularly in regions like Friesland.")</f>
        <v>Bosseln originated in Northern Germany, particularly in regions like Friesland.</v>
      </c>
      <c r="G44" s="14">
        <v>43.0</v>
      </c>
      <c r="H44" s="9" t="s">
        <v>424</v>
      </c>
      <c r="I44" s="9" t="str">
        <f>IFERROR(__xludf.DUMMYFUNCTION("GOOGLETRANSLATE(C44, ""en"", ""de"")"),"A. Deutschland B. Niederlande C. Niederlande D. Österreich")</f>
        <v>A. Deutschland B. Niederlande C. Niederlande D. Österreich</v>
      </c>
      <c r="J44" s="9" t="s">
        <v>269</v>
      </c>
      <c r="K44" s="9" t="s">
        <v>425</v>
      </c>
    </row>
    <row r="45" ht="22.5" customHeight="1">
      <c r="A45" s="14">
        <v>44.0</v>
      </c>
      <c r="B45" s="6" t="str">
        <f>IFERROR(__xludf.DUMMYFUNCTION("GOOGLETRANSLATE(H45, ""de"", ""en"")"),"What type of terrain is traditionally used in Bosseln?")</f>
        <v>What type of terrain is traditionally used in Bosseln?</v>
      </c>
      <c r="C45" s="7" t="s">
        <v>426</v>
      </c>
      <c r="D45" s="6" t="str">
        <f>IFERROR(__xludf.DUMMYFUNCTION("GOOGLETRANSLATE(J45, ""de"", ""en"")"),"fields")</f>
        <v>fields</v>
      </c>
      <c r="E45" s="6" t="str">
        <f>IFERROR(__xludf.DUMMYFUNCTION("GOOGLETRANSLATE(K45, ""de"", ""en"")"),"Bosseln is traditionally played on open fields or country roads.")</f>
        <v>Bosseln is traditionally played on open fields or country roads.</v>
      </c>
      <c r="G45" s="14">
        <v>44.0</v>
      </c>
      <c r="H45" s="9" t="s">
        <v>427</v>
      </c>
      <c r="I45" s="9" t="str">
        <f>IFERROR(__xludf.DUMMYFUNCTION("GOOGLETRANSLATE(C45, ""en"", ""de"")"),"A. Felder B. Stadtstraßen C. Stadtstraßen D. Eisbahnen")</f>
        <v>A. Felder B. Stadtstraßen C. Stadtstraßen D. Eisbahnen</v>
      </c>
      <c r="J45" s="9" t="s">
        <v>428</v>
      </c>
      <c r="K45" s="9" t="s">
        <v>429</v>
      </c>
    </row>
    <row r="46" ht="22.5" customHeight="1">
      <c r="A46" s="14">
        <v>45.0</v>
      </c>
      <c r="B46" s="6" t="str">
        <f>IFERROR(__xludf.DUMMYFUNCTION("GOOGLETRANSLATE(H46, ""de"", ""en"")"),"In which century did bocce first gain popularity?")</f>
        <v>In which century did bocce first gain popularity?</v>
      </c>
      <c r="C46" s="7" t="s">
        <v>430</v>
      </c>
      <c r="D46" s="6" t="str">
        <f>IFERROR(__xludf.DUMMYFUNCTION("GOOGLETRANSLATE(J46, ""de"", ""en"")"),"17th century")</f>
        <v>17th century</v>
      </c>
      <c r="E46" s="6" t="str">
        <f>IFERROR(__xludf.DUMMYFUNCTION("GOOGLETRANSLATE(K46, ""de"", ""en"")"),"Bosseln gained great popularity as a rural sport in the 17th century.")</f>
        <v>Bosseln gained great popularity as a rural sport in the 17th century.</v>
      </c>
      <c r="G46" s="14">
        <v>45.0</v>
      </c>
      <c r="H46" s="9" t="s">
        <v>431</v>
      </c>
      <c r="I46" s="9" t="str">
        <f>IFERROR(__xludf.DUMMYFUNCTION("GOOGLETRANSLATE(C46, ""en"", ""de"")"),"A. 16. Jahrhundert B. 17. Jahrhundert C. 17. Jahrhundert D. 18. Jahrhundert")</f>
        <v>A. 16. Jahrhundert B. 17. Jahrhundert C. 17. Jahrhundert D. 18. Jahrhundert</v>
      </c>
      <c r="J46" s="9" t="s">
        <v>432</v>
      </c>
      <c r="K46" s="9" t="s">
        <v>433</v>
      </c>
    </row>
    <row r="47" ht="22.5" customHeight="1">
      <c r="A47" s="14">
        <v>46.0</v>
      </c>
      <c r="B47" s="6" t="str">
        <f>IFERROR(__xludf.DUMMYFUNCTION("GOOGLETRANSLATE(H47, ""de"", ""en"")"),"Which festival is often associated with bocce in its regions of origin?")</f>
        <v>Which festival is often associated with bocce in its regions of origin?</v>
      </c>
      <c r="C47" s="7" t="s">
        <v>434</v>
      </c>
      <c r="D47" s="6" t="str">
        <f>IFERROR(__xludf.DUMMYFUNCTION("GOOGLETRANSLATE(J47, ""de"", ""en"")"),"Harvest Festival")</f>
        <v>Harvest Festival</v>
      </c>
      <c r="E47" s="6" t="str">
        <f>IFERROR(__xludf.DUMMYFUNCTION("GOOGLETRANSLATE(K47, ""de"", ""en"")"),"Bosseln is frequently played at harvest festivals in Northern Germany.")</f>
        <v>Bosseln is frequently played at harvest festivals in Northern Germany.</v>
      </c>
      <c r="G47" s="14">
        <v>46.0</v>
      </c>
      <c r="H47" s="9" t="s">
        <v>435</v>
      </c>
      <c r="I47" s="9" t="str">
        <f>IFERROR(__xludf.DUMMYFUNCTION("GOOGLETRANSLATE(C47, ""en"", ""de"")"),"A. Erntedankfest B. Karneval C. Karneval D. Wintersonnenwende")</f>
        <v>A. Erntedankfest B. Karneval C. Karneval D. Wintersonnenwende</v>
      </c>
      <c r="J47" s="9" t="s">
        <v>327</v>
      </c>
      <c r="K47" s="9" t="s">
        <v>436</v>
      </c>
    </row>
    <row r="48" ht="22.5" customHeight="1">
      <c r="A48" s="14">
        <v>47.0</v>
      </c>
      <c r="B48" s="6" t="str">
        <f>IFERROR(__xludf.DUMMYFUNCTION("GOOGLETRANSLATE(H48, ""de"", ""en"")"),"What is the main objective in a boss game?")</f>
        <v>What is the main objective in a boss game?</v>
      </c>
      <c r="C48" s="7" t="s">
        <v>437</v>
      </c>
      <c r="D48" s="6" t="str">
        <f>IFERROR(__xludf.DUMMYFUNCTION("GOOGLETRANSLATE(J48, ""de"", ""en"")"),"To cover the longest distance with the ball")</f>
        <v>To cover the longest distance with the ball</v>
      </c>
      <c r="E48" s="6" t="str">
        <f>IFERROR(__xludf.DUMMYFUNCTION("GOOGLETRANSLATE(K48, ""de"", ""en"")"),"The aim in Bosseln is to throw the ball the furthest along a predetermined path.")</f>
        <v>The aim in Bosseln is to throw the ball the furthest along a predetermined path.</v>
      </c>
      <c r="G48" s="14">
        <v>47.0</v>
      </c>
      <c r="H48" s="9" t="s">
        <v>438</v>
      </c>
      <c r="I48" s="9" t="str">
        <f>IFERROR(__xludf.DUMMYFUNCTION("GOOGLETRANSLATE(C48, ""en"", ""de"")"),"A. Die meisten Punkte erzielen. B. Stifte umwerfen. C. Stifte umwerfen. D. Die größte Distanz mit dem Ball zurücklegen.")</f>
        <v>A. Die meisten Punkte erzielen. B. Stifte umwerfen. C. Stifte umwerfen. D. Die größte Distanz mit dem Ball zurücklegen.</v>
      </c>
      <c r="J48" s="9" t="s">
        <v>439</v>
      </c>
      <c r="K48" s="9" t="s">
        <v>440</v>
      </c>
    </row>
    <row r="49" ht="22.5" customHeight="1">
      <c r="A49" s="14">
        <v>48.0</v>
      </c>
      <c r="B49" s="6" t="str">
        <f>IFERROR(__xludf.DUMMYFUNCTION("GOOGLETRANSLATE(H49, ""de"", ""en"")"),"What is the traditional shape of the Bosseln ball?")</f>
        <v>What is the traditional shape of the Bosseln ball?</v>
      </c>
      <c r="C49" s="7" t="s">
        <v>441</v>
      </c>
      <c r="D49" s="6" t="str">
        <f>IFERROR(__xludf.DUMMYFUNCTION("GOOGLETRANSLATE(J49, ""de"", ""en"")"),"Round")</f>
        <v>Round</v>
      </c>
      <c r="E49" s="6" t="str">
        <f>IFERROR(__xludf.DUMMYFUNCTION("GOOGLETRANSLATE(K49, ""de"", ""en"")"),"The bocce ball is traditionally round in order to be able to roll efficiently over long distances.")</f>
        <v>The bocce ball is traditionally round in order to be able to roll efficiently over long distances.</v>
      </c>
      <c r="G49" s="14">
        <v>48.0</v>
      </c>
      <c r="H49" s="9" t="s">
        <v>442</v>
      </c>
      <c r="I49" s="9" t="str">
        <f>IFERROR(__xludf.DUMMYFUNCTION("GOOGLETRANSLATE(C49, ""en"", ""de"")"),"A. Rund B. Oval C. Oval D. Wohnung")</f>
        <v>A. Rund B. Oval C. Oval D. Wohnung</v>
      </c>
      <c r="J49" s="9" t="s">
        <v>443</v>
      </c>
      <c r="K49" s="9" t="s">
        <v>444</v>
      </c>
    </row>
    <row r="50" ht="22.5" customHeight="1">
      <c r="A50" s="14">
        <v>49.0</v>
      </c>
      <c r="B50" s="6" t="str">
        <f>IFERROR(__xludf.DUMMYFUNCTION("GOOGLETRANSLATE(H50, ""de"", ""en"")"),"What material was the bocce ball made of in the past?")</f>
        <v>What material was the bocce ball made of in the past?</v>
      </c>
      <c r="C50" s="7" t="s">
        <v>445</v>
      </c>
      <c r="D50" s="6" t="str">
        <f>IFERROR(__xludf.DUMMYFUNCTION("GOOGLETRANSLATE(J50, ""de"", ""en"")"),"Wood")</f>
        <v>Wood</v>
      </c>
      <c r="E50" s="6" t="str">
        <f>IFERROR(__xludf.DUMMYFUNCTION("GOOGLETRANSLATE(K50, ""de"", ""en"")"),"In the past, bocce balls were usually made of wood.")</f>
        <v>In the past, bocce balls were usually made of wood.</v>
      </c>
      <c r="G50" s="14">
        <v>49.0</v>
      </c>
      <c r="H50" s="9" t="s">
        <v>446</v>
      </c>
      <c r="I50" s="9" t="str">
        <f>IFERROR(__xludf.DUMMYFUNCTION("GOOGLETRANSLATE(C50, ""en"", ""de"")"),"A. Holz B. Stein C. Stein D. Eisen")</f>
        <v>A. Holz B. Stein C. Stein D. Eisen</v>
      </c>
      <c r="J50" s="9" t="s">
        <v>296</v>
      </c>
      <c r="K50" s="9" t="s">
        <v>447</v>
      </c>
    </row>
    <row r="51" ht="22.5" customHeight="1">
      <c r="A51" s="14">
        <v>50.0</v>
      </c>
      <c r="B51" s="6" t="str">
        <f>IFERROR(__xludf.DUMMYFUNCTION("GOOGLETRANSLATE(H51, ""de"", ""en"")"),"Which modern sport is most similar to bocce?")</f>
        <v>Which modern sport is most similar to bocce?</v>
      </c>
      <c r="C51" s="7" t="s">
        <v>448</v>
      </c>
      <c r="D51" s="6" t="str">
        <f>IFERROR(__xludf.DUMMYFUNCTION("GOOGLETRANSLATE(J51, ""de"", ""en"")"),"bowling")</f>
        <v>bowling</v>
      </c>
      <c r="E51" s="6" t="str">
        <f>IFERROR(__xludf.DUMMYFUNCTION("GOOGLETRANSLATE(K51, ""de"", ""en"")"),"Bosseln shares similarities with bowling in terms of rolling techniques.")</f>
        <v>Bosseln shares similarities with bowling in terms of rolling techniques.</v>
      </c>
      <c r="G51" s="14">
        <v>50.0</v>
      </c>
      <c r="H51" s="9" t="s">
        <v>449</v>
      </c>
      <c r="I51" s="9" t="str">
        <f>IFERROR(__xludf.DUMMYFUNCTION("GOOGLETRANSLATE(C51, ""en"", ""de"")"),"A. Bowling B. Curling C. Curling D. Boule")</f>
        <v>A. Bowling B. Curling C. Curling D. Boule</v>
      </c>
      <c r="J51" s="9" t="s">
        <v>450</v>
      </c>
      <c r="K51" s="9" t="s">
        <v>451</v>
      </c>
    </row>
    <row r="52" ht="22.5" customHeight="1">
      <c r="A52" s="14">
        <v>51.0</v>
      </c>
      <c r="B52" s="6" t="str">
        <f>IFERROR(__xludf.DUMMYFUNCTION("GOOGLETRANSLATE(H52, ""de"", ""en"")"),"What influence did bocce have on the development of other sports?")</f>
        <v>What influence did bocce have on the development of other sports?</v>
      </c>
      <c r="C52" s="7" t="s">
        <v>452</v>
      </c>
      <c r="D52" s="6" t="str">
        <f>IFERROR(__xludf.DUMMYFUNCTION("GOOGLETRANSLATE(J52, ""de"", ""en"")"),"By influencing the ball design")</f>
        <v>By influencing the ball design</v>
      </c>
      <c r="E52" s="6" t="str">
        <f>IFERROR(__xludf.DUMMYFUNCTION("GOOGLETRANSLATE(K52, ""de"", ""en"")"),"Bosseln influenced the design of balls used in other throwing and rolling sports.")</f>
        <v>Bosseln influenced the design of balls used in other throwing and rolling sports.</v>
      </c>
      <c r="G52" s="14">
        <v>51.0</v>
      </c>
      <c r="H52" s="9" t="s">
        <v>453</v>
      </c>
      <c r="I52" s="9" t="str">
        <f>IFERROR(__xludf.DUMMYFUNCTION("GOOGLETRANSLATE(C52, ""en"", ""de"")"),"A. Durch die Inspiration urbaner Straßenspiele B. Durch die Einführung teambasierter Spielmechaniken C. Durch die Einführung teambasierter Spielmechaniken D. Durch die Beeinflussung des Balldesigns")</f>
        <v>A. Durch die Inspiration urbaner Straßenspiele B. Durch die Einführung teambasierter Spielmechaniken C. Durch die Einführung teambasierter Spielmechaniken D. Durch die Beeinflussung des Balldesigns</v>
      </c>
      <c r="J52" s="9" t="s">
        <v>454</v>
      </c>
      <c r="K52" s="9" t="s">
        <v>455</v>
      </c>
    </row>
    <row r="53" ht="22.5" customHeight="1">
      <c r="A53" s="14">
        <v>52.0</v>
      </c>
      <c r="B53" s="6" t="str">
        <f>IFERROR(__xludf.DUMMYFUNCTION("GOOGLETRANSLATE(H53, ""de"", ""en"")"),"In which region of Germany is Bosseln still frequently played today?")</f>
        <v>In which region of Germany is Bosseln still frequently played today?</v>
      </c>
      <c r="C53" s="7" t="s">
        <v>456</v>
      </c>
      <c r="D53" s="6" t="str">
        <f>IFERROR(__xludf.DUMMYFUNCTION("GOOGLETRANSLATE(J53, ""de"", ""en"")"),"Friesland")</f>
        <v>Friesland</v>
      </c>
      <c r="E53" s="6" t="str">
        <f>IFERROR(__xludf.DUMMYFUNCTION("GOOGLETRANSLATE(K53, ""de"", ""en"")"),"Bosseln (a traditional Frisian sport) is still very popular in Friesland and Lower Saxony.")</f>
        <v>Bosseln (a traditional Frisian sport) is still very popular in Friesland and Lower Saxony.</v>
      </c>
      <c r="G53" s="14">
        <v>52.0</v>
      </c>
      <c r="H53" s="9" t="s">
        <v>457</v>
      </c>
      <c r="I53" s="9" t="str">
        <f>IFERROR(__xludf.DUMMYFUNCTION("GOOGLETRANSLATE(C53, ""en"", ""de"")"),"A. Friesland B. Bayern C. Bayern D. Sachsen")</f>
        <v>A. Friesland B. Bayern C. Bayern D. Sachsen</v>
      </c>
      <c r="J53" s="9" t="s">
        <v>458</v>
      </c>
      <c r="K53" s="9" t="s">
        <v>459</v>
      </c>
    </row>
    <row r="54" ht="22.5" customHeight="1">
      <c r="A54" s="14">
        <v>53.0</v>
      </c>
      <c r="B54" s="6" t="str">
        <f>IFERROR(__xludf.DUMMYFUNCTION("GOOGLETRANSLATE(H54, ""de"", ""en"")"),"What is the cultural significance of Boßeln in Germany?")</f>
        <v>What is the cultural significance of Boßeln in Germany?</v>
      </c>
      <c r="C54" s="7" t="s">
        <v>460</v>
      </c>
      <c r="D54" s="6" t="str">
        <f>IFERROR(__xludf.DUMMYFUNCTION("GOOGLETRANSLATE(J54, ""de"", ""en"")"),"It symbolizes rural traditions")</f>
        <v>It symbolizes rural traditions</v>
      </c>
      <c r="E54" s="6" t="str">
        <f>IFERROR(__xludf.DUMMYFUNCTION("GOOGLETRANSLATE(K54, ""de"", ""en"")"),"Bosseln is deeply rooted in rural traditions and community gatherings.")</f>
        <v>Bosseln is deeply rooted in rural traditions and community gatherings.</v>
      </c>
      <c r="G54" s="14">
        <v>53.0</v>
      </c>
      <c r="H54" s="9" t="s">
        <v>461</v>
      </c>
      <c r="I54" s="9" t="str">
        <f>IFERROR(__xludf.DUMMYFUNCTION("GOOGLETRANSLATE(C54, ""en"", ""de"")"),"A. Es symbolisiert ländliche Traditionen. B. Es fördert städtische Sportarten. C. Es fördert städtische Sportarten. D. Es unterstützt Winteraktivitäten.")</f>
        <v>A. Es symbolisiert ländliche Traditionen. B. Es fördert städtische Sportarten. C. Es fördert städtische Sportarten. D. Es unterstützt Winteraktivitäten.</v>
      </c>
      <c r="J54" s="9" t="s">
        <v>462</v>
      </c>
      <c r="K54" s="9" t="s">
        <v>463</v>
      </c>
    </row>
    <row r="55" ht="22.5" customHeight="1">
      <c r="A55" s="14">
        <v>54.0</v>
      </c>
      <c r="B55" s="6" t="str">
        <f>IFERROR(__xludf.DUMMYFUNCTION("GOOGLETRANSLATE(H55, ""de"", ""en"")"),"When did the first organized Bosseln competitions take place?")</f>
        <v>When did the first organized Bosseln competitions take place?</v>
      </c>
      <c r="C55" s="7" t="s">
        <v>464</v>
      </c>
      <c r="D55" s="6" t="str">
        <f>IFERROR(__xludf.DUMMYFUNCTION("GOOGLETRANSLATE(J55, ""de"", ""en"")"),"19th century")</f>
        <v>19th century</v>
      </c>
      <c r="E55" s="6" t="str">
        <f>IFERROR(__xludf.DUMMYFUNCTION("GOOGLETRANSLATE(K55, ""de"", ""en"")"),"Organized bocce competitions began in the 19th century.")</f>
        <v>Organized bocce competitions began in the 19th century.</v>
      </c>
      <c r="G55" s="14">
        <v>54.0</v>
      </c>
      <c r="H55" s="9" t="s">
        <v>465</v>
      </c>
      <c r="I55" s="9" t="str">
        <f>IFERROR(__xludf.DUMMYFUNCTION("GOOGLETRANSLATE(C55, ""en"", ""de"")"),"A. 18. Jahrhundert B. 19. Jahrhundert C. 19. Jahrhundert D. Anfang des 20. Jahrhunderts")</f>
        <v>A. 18. Jahrhundert B. 19. Jahrhundert C. 19. Jahrhundert D. Anfang des 20. Jahrhunderts</v>
      </c>
      <c r="J55" s="9" t="s">
        <v>300</v>
      </c>
      <c r="K55" s="9" t="s">
        <v>466</v>
      </c>
    </row>
    <row r="56" ht="22.5" customHeight="1">
      <c r="A56" s="14">
        <v>55.0</v>
      </c>
      <c r="B56" s="6" t="str">
        <f>IFERROR(__xludf.DUMMYFUNCTION("GOOGLETRANSLATE(H56, ""de"", ""en"")"),"At which international event was Bosseln (a traditional German sport similar to bocce) first featured?")</f>
        <v>At which international event was Bosseln (a traditional German sport similar to bocce) first featured?</v>
      </c>
      <c r="C56" s="7" t="s">
        <v>467</v>
      </c>
      <c r="D56" s="6" t="str">
        <f>IFERROR(__xludf.DUMMYFUNCTION("GOOGLETRANSLATE(J56, ""de"", ""en"")"),"International Folk Games")</f>
        <v>International Folk Games</v>
      </c>
      <c r="E56" s="6" t="str">
        <f>IFERROR(__xludf.DUMMYFUNCTION("GOOGLETRANSLATE(K56, ""de"", ""en"")"),"Bosseln was presented internationally for the first time at the International Folk Games.")</f>
        <v>Bosseln was presented internationally for the first time at the International Folk Games.</v>
      </c>
      <c r="G56" s="14">
        <v>55.0</v>
      </c>
      <c r="H56" s="9" t="s">
        <v>468</v>
      </c>
      <c r="I56" s="9" t="str">
        <f>IFERROR(__xludf.DUMMYFUNCTION("GOOGLETRANSLATE(C56, ""en"", ""de"")"),"A. Europäische Ländliche Spiele B. Internationale Volksspiele C. Internationale Volksspiele D. Deutsches Sportfest")</f>
        <v>A. Europäische Ländliche Spiele B. Internationale Volksspiele C. Internationale Volksspiele D. Deutsches Sportfest</v>
      </c>
      <c r="J56" s="9" t="s">
        <v>469</v>
      </c>
      <c r="K56" s="9" t="s">
        <v>470</v>
      </c>
    </row>
    <row r="57" ht="22.5" customHeight="1">
      <c r="A57" s="14">
        <v>56.0</v>
      </c>
      <c r="B57" s="6" t="str">
        <f>IFERROR(__xludf.DUMMYFUNCTION("GOOGLETRANSLATE(H57, ""de"", ""en"")"),"What are the most important skills for achieving outstanding results in bocce?")</f>
        <v>What are the most important skills for achieving outstanding results in bocce?</v>
      </c>
      <c r="C57" s="7" t="s">
        <v>471</v>
      </c>
      <c r="D57" s="6" t="str">
        <f>IFERROR(__xludf.DUMMYFUNCTION("GOOGLETRANSLATE(J57, ""de"", ""en"")"),"accuracy")</f>
        <v>accuracy</v>
      </c>
      <c r="E57" s="6" t="str">
        <f>IFERROR(__xludf.DUMMYFUNCTION("GOOGLETRANSLATE(K57, ""de"", ""en"")"),"Accuracy is crucial for navigating curves and maximizing distance in bocce.")</f>
        <v>Accuracy is crucial for navigating curves and maximizing distance in bocce.</v>
      </c>
      <c r="G57" s="14">
        <v>56.0</v>
      </c>
      <c r="H57" s="9" t="s">
        <v>472</v>
      </c>
      <c r="I57" s="9" t="str">
        <f>IFERROR(__xludf.DUMMYFUNCTION("GOOGLETRANSLATE(C57, ""en"", ""de"")"),"A. Genauigkeit B. Stärke C. Stärke D. Ausdauer")</f>
        <v>A. Genauigkeit B. Stärke C. Stärke D. Ausdauer</v>
      </c>
      <c r="J57" s="9" t="s">
        <v>473</v>
      </c>
      <c r="K57" s="9" t="s">
        <v>474</v>
      </c>
    </row>
    <row r="58" ht="22.5" customHeight="1">
      <c r="A58" s="14">
        <v>57.0</v>
      </c>
      <c r="B58" s="6" t="str">
        <f>IFERROR(__xludf.DUMMYFUNCTION("GOOGLETRANSLATE(H58, ""de"", ""en"")"),"What does the term ""Bosseln"" mean in English?")</f>
        <v>What does the term "Bosseln" mean in English?</v>
      </c>
      <c r="C58" s="7" t="s">
        <v>475</v>
      </c>
      <c r="D58" s="6" t="str">
        <f>IFERROR(__xludf.DUMMYFUNCTION("GOOGLETRANSLATE(J58, ""de"", ""en"")"),"Roll")</f>
        <v>Roll</v>
      </c>
      <c r="E58" s="6" t="str">
        <f>IFERROR(__xludf.DUMMYFUNCTION("GOOGLETRANSLATE(K58, ""de"", ""en"")"),"The term ""Bosseln"" is derived from the German word for rolling.")</f>
        <v>The term "Bosseln" is derived from the German word for rolling.</v>
      </c>
      <c r="G58" s="14">
        <v>57.0</v>
      </c>
      <c r="H58" s="9" t="s">
        <v>476</v>
      </c>
      <c r="I58" s="9" t="str">
        <f>IFERROR(__xludf.DUMMYFUNCTION("GOOGLETRANSLATE(C58, ""en"", ""de"")"),"A. Werfen B. Schieben C. Schieben D. Rollen")</f>
        <v>A. Werfen B. Schieben C. Schieben D. Rollen</v>
      </c>
      <c r="J58" s="9" t="s">
        <v>477</v>
      </c>
      <c r="K58" s="9" t="s">
        <v>478</v>
      </c>
    </row>
    <row r="59" ht="22.5" customHeight="1">
      <c r="A59" s="14">
        <v>58.0</v>
      </c>
      <c r="B59" s="6" t="str">
        <f>IFERROR(__xludf.DUMMYFUNCTION("GOOGLETRANSLATE(H59, ""de"", ""en"")"),"Which German-speaking country besides Germany has a significant Bosseln community?")</f>
        <v>Which German-speaking country besides Germany has a significant Bosseln community?</v>
      </c>
      <c r="C59" s="7" t="s">
        <v>479</v>
      </c>
      <c r="D59" s="6" t="str">
        <f>IFERROR(__xludf.DUMMYFUNCTION("GOOGLETRANSLATE(J59, ""de"", ""en"")"),"Austria")</f>
        <v>Austria</v>
      </c>
      <c r="E59" s="6" t="str">
        <f>IFERROR(__xludf.DUMMYFUNCTION("GOOGLETRANSLATE(K59, ""de"", ""en"")"),"Austria has a remarkable community of Bosseln enthusiasts.")</f>
        <v>Austria has a remarkable community of Bosseln enthusiasts.</v>
      </c>
      <c r="G59" s="14">
        <v>58.0</v>
      </c>
      <c r="H59" s="9" t="s">
        <v>480</v>
      </c>
      <c r="I59" s="9" t="str">
        <f>IFERROR(__xludf.DUMMYFUNCTION("GOOGLETRANSLATE(C59, ""en"", ""de"")"),"A. Österreich B. Schweiz C. Schweiz D. Luxemburg")</f>
        <v>A. Österreich B. Schweiz C. Schweiz D. Luxemburg</v>
      </c>
      <c r="J59" s="9" t="s">
        <v>481</v>
      </c>
      <c r="K59" s="9" t="s">
        <v>482</v>
      </c>
    </row>
    <row r="60" ht="22.5" customHeight="1">
      <c r="A60" s="14">
        <v>59.0</v>
      </c>
      <c r="B60" s="6" t="str">
        <f>IFERROR(__xludf.DUMMYFUNCTION("GOOGLETRANSLATE(H60, ""de"", ""en"")"),"How is the winner determined in Bosseln (a traditional German game similar to bowling).")</f>
        <v>How is the winner determined in Bosseln (a traditional German game similar to bowling).</v>
      </c>
      <c r="C60" s="7" t="s">
        <v>483</v>
      </c>
      <c r="D60" s="6" t="str">
        <f>IFERROR(__xludf.DUMMYFUNCTION("GOOGLETRANSLATE(J60, ""de"", ""en"")"),"After the total distance covered")</f>
        <v>After the total distance covered</v>
      </c>
      <c r="E60" s="6" t="str">
        <f>IFERROR(__xludf.DUMMYFUNCTION("GOOGLETRANSLATE(K60, ""de"", ""en"")"),"The winner is the player or team that covers the greatest distance.")</f>
        <v>The winner is the player or team that covers the greatest distance.</v>
      </c>
      <c r="G60" s="14">
        <v>59.0</v>
      </c>
      <c r="H60" s="9" t="s">
        <v>484</v>
      </c>
      <c r="I60" s="9" t="str">
        <f>IFERROR(__xludf.DUMMYFUNCTION("GOOGLETRANSLATE(C60, ""en"", ""de"")"),"A. Basierend auf der Anzahl der Würfe B. Nach der zurückgelegten Gesamtstrecke C. Nach der zurückgelegten Gesamtstrecke D. Aufgrund der Wurfgeschwindigkeit")</f>
        <v>A. Basierend auf der Anzahl der Würfe B. Nach der zurückgelegten Gesamtstrecke C. Nach der zurückgelegten Gesamtstrecke D. Aufgrund der Wurfgeschwindigkeit</v>
      </c>
      <c r="J60" s="9" t="s">
        <v>485</v>
      </c>
      <c r="K60" s="9" t="s">
        <v>486</v>
      </c>
    </row>
    <row r="61" ht="22.5" customHeight="1">
      <c r="A61" s="14">
        <v>60.0</v>
      </c>
      <c r="B61" s="6" t="str">
        <f>IFERROR(__xludf.DUMMYFUNCTION("GOOGLETRANSLATE(H61, ""de"", ""en"")"),"What role does strategy play in bocce?")</f>
        <v>What role does strategy play in bocce?</v>
      </c>
      <c r="C61" s="7" t="s">
        <v>487</v>
      </c>
      <c r="D61" s="6" t="str">
        <f>IFERROR(__xludf.DUMMYFUNCTION("GOOGLETRANSLATE(J61, ""de"", ""en"")"),"Significant")</f>
        <v>Significant</v>
      </c>
      <c r="E61" s="6" t="str">
        <f>IFERROR(__xludf.DUMMYFUNCTION("GOOGLETRANSLATE(K61, ""de"", ""en"")"),"Strategy is essential in bocce to navigate the terrain and maximize throws.")</f>
        <v>Strategy is essential in bocce to navigate the terrain and maximize throws.</v>
      </c>
      <c r="G61" s="14">
        <v>60.0</v>
      </c>
      <c r="H61" s="9" t="s">
        <v>488</v>
      </c>
      <c r="I61" s="9" t="str">
        <f>IFERROR(__xludf.DUMMYFUNCTION("GOOGLETRANSLATE(C61, ""en"", ""de"")"),"A. Keine B. Minimal C. Minimal D. Mäßig")</f>
        <v>A. Keine B. Minimal C. Minimal D. Mäßig</v>
      </c>
      <c r="J61" s="9" t="s">
        <v>489</v>
      </c>
      <c r="K61" s="9" t="s">
        <v>490</v>
      </c>
    </row>
    <row r="62" ht="22.5" customHeight="1">
      <c r="A62" s="14">
        <v>61.0</v>
      </c>
      <c r="B62" s="6" t="str">
        <f>IFERROR(__xludf.DUMMYFUNCTION("GOOGLETRANSLATE(H62, ""de"", ""en"")"),"What is a common weather condition that affects the boss gameplay?")</f>
        <v>What is a common weather condition that affects the boss gameplay?</v>
      </c>
      <c r="C62" s="7" t="s">
        <v>491</v>
      </c>
      <c r="D62" s="6" t="str">
        <f>IFERROR(__xludf.DUMMYFUNCTION("GOOGLETRANSLATE(J62, ""de"", ""en"")"),"wind")</f>
        <v>wind</v>
      </c>
      <c r="E62" s="6" t="str">
        <f>IFERROR(__xludf.DUMMYFUNCTION("GOOGLETRANSLATE(K62, ""de"", ""en"")"),"Wind is a common weather condition that affects the rolling of the Bosseln ball.")</f>
        <v>Wind is a common weather condition that affects the rolling of the Bosseln ball.</v>
      </c>
      <c r="G62" s="14">
        <v>61.0</v>
      </c>
      <c r="H62" s="9" t="s">
        <v>492</v>
      </c>
      <c r="I62" s="9" t="str">
        <f>IFERROR(__xludf.DUMMYFUNCTION("GOOGLETRANSLATE(C62, ""en"", ""de"")"),"A. Regen B. Schnee C. Schnee D. Wind")</f>
        <v>A. Regen B. Schnee C. Schnee D. Wind</v>
      </c>
      <c r="J62" s="9" t="s">
        <v>493</v>
      </c>
      <c r="K62" s="9" t="s">
        <v>494</v>
      </c>
    </row>
    <row r="63" ht="22.5" customHeight="1">
      <c r="A63" s="14">
        <v>62.0</v>
      </c>
      <c r="B63" s="6" t="str">
        <f>IFERROR(__xludf.DUMMYFUNCTION("GOOGLETRANSLATE(H63, ""de"", ""en"")"),"Which European organization promotes bocce today?")</f>
        <v>Which European organization promotes bocce today?</v>
      </c>
      <c r="C63" s="7" t="s">
        <v>495</v>
      </c>
      <c r="D63" s="6" t="str">
        <f>IFERROR(__xludf.DUMMYFUNCTION("GOOGLETRANSLATE(J63, ""de"", ""en"")"),"European Popular Sports Federation")</f>
        <v>European Popular Sports Federation</v>
      </c>
      <c r="E63" s="6" t="str">
        <f>IFERROR(__xludf.DUMMYFUNCTION("GOOGLETRANSLATE(K63, ""de"", ""en"")"),"The European Federation of Popular Sports promotes traditional sports such as bocce.")</f>
        <v>The European Federation of Popular Sports promotes traditional sports such as bocce.</v>
      </c>
      <c r="G63" s="14">
        <v>62.0</v>
      </c>
      <c r="H63" s="9" t="s">
        <v>496</v>
      </c>
      <c r="I63" s="9" t="str">
        <f>IFERROR(__xludf.DUMMYFUNCTION("GOOGLETRANSLATE(C63, ""en"", ""de"")"),"A. Europäischer Bosseln-Verband B. Internationaler Verband für Ländlichen Sport C. Internationaler Verband für Ländlichen Sport D. Deutscher Bosseln-Verband")</f>
        <v>A. Europäischer Bosseln-Verband B. Internationaler Verband für Ländlichen Sport C. Internationaler Verband für Ländlichen Sport D. Deutscher Bosseln-Verband</v>
      </c>
      <c r="J63" s="9" t="s">
        <v>497</v>
      </c>
      <c r="K63" s="9" t="s">
        <v>498</v>
      </c>
    </row>
    <row r="64" ht="22.5" customHeight="1">
      <c r="A64" s="14">
        <v>63.0</v>
      </c>
      <c r="B64" s="6" t="str">
        <f>IFERROR(__xludf.DUMMYFUNCTION("GOOGLETRANSLATE(H64, ""de"", ""en"")"),"When was Bosseln first recognized as a traditional sport?")</f>
        <v>When was Bosseln first recognized as a traditional sport?</v>
      </c>
      <c r="C64" s="7" t="s">
        <v>499</v>
      </c>
      <c r="D64" s="6" t="str">
        <f>IFERROR(__xludf.DUMMYFUNCTION("GOOGLETRANSLATE(J64, ""de"", ""en"")"),"mid-19th century")</f>
        <v>mid-19th century</v>
      </c>
      <c r="E64" s="6" t="str">
        <f>IFERROR(__xludf.DUMMYFUNCTION("GOOGLETRANSLATE(K64, ""de"", ""en"")"),"Bosseln was first recognized as a traditional sport in the mid-19th century.")</f>
        <v>Bosseln was first recognized as a traditional sport in the mid-19th century.</v>
      </c>
      <c r="G64" s="14">
        <v>63.0</v>
      </c>
      <c r="H64" s="9" t="s">
        <v>500</v>
      </c>
      <c r="I64" s="9" t="str">
        <f>IFERROR(__xludf.DUMMYFUNCTION("GOOGLETRANSLATE(C64, ""en"", ""de"")"),"A. Anfang des 18. Jahrhunderts B. Mitte des 19. Jahrhunderts C. Mitte des 19. Jahrhunderts D. Ende des 19. Jahrhunderts")</f>
        <v>A. Anfang des 18. Jahrhunderts B. Mitte des 19. Jahrhunderts C. Mitte des 19. Jahrhunderts D. Ende des 19. Jahrhunderts</v>
      </c>
      <c r="J64" s="9" t="s">
        <v>312</v>
      </c>
      <c r="K64" s="9" t="s">
        <v>501</v>
      </c>
    </row>
    <row r="65" ht="22.5" customHeight="1">
      <c r="A65" s="14">
        <v>64.0</v>
      </c>
      <c r="B65" s="6" t="str">
        <f>IFERROR(__xludf.DUMMYFUNCTION("GOOGLETRANSLATE(H65, ""de"", ""en"")"),"How does team bosseln differ from individual bosseln?")</f>
        <v>How does team bosseln differ from individual bosseln?</v>
      </c>
      <c r="C65" s="7" t="s">
        <v>502</v>
      </c>
      <c r="D65" s="6" t="str">
        <f>IFERROR(__xludf.DUMMYFUNCTION("GOOGLETRANSLATE(J65, ""de"", ""en"")"),"It combines the distances of all players")</f>
        <v>It combines the distances of all players</v>
      </c>
      <c r="E65" s="6" t="str">
        <f>IFERROR(__xludf.DUMMYFUNCTION("GOOGLETRANSLATE(K65, ""de"", ""en"")"),"In team bocce, the combined distances of all players determine the score.")</f>
        <v>In team bocce, the combined distances of all players determine the score.</v>
      </c>
      <c r="G65" s="14">
        <v>64.0</v>
      </c>
      <c r="H65" s="9" t="s">
        <v>503</v>
      </c>
      <c r="I65" s="9" t="str">
        <f>IFERROR(__xludf.DUMMYFUNCTION("GOOGLETRANSLATE(C65, ""en"", ""de"")"),"A. Es geht ums Passen des Balls. B. Es erfordert strategische Positionen. C. Es erfordert strategische Positionen. D. Es berücksichtigt die Entfernungen aller Spieler.")</f>
        <v>A. Es geht ums Passen des Balls. B. Es erfordert strategische Positionen. C. Es erfordert strategische Positionen. D. Es berücksichtigt die Entfernungen aller Spieler.</v>
      </c>
      <c r="J65" s="9" t="s">
        <v>504</v>
      </c>
      <c r="K65" s="9" t="s">
        <v>505</v>
      </c>
    </row>
    <row r="66" ht="22.5" customHeight="1">
      <c r="A66" s="14">
        <v>65.0</v>
      </c>
      <c r="B66" s="6" t="str">
        <f>IFERROR(__xludf.DUMMYFUNCTION("GOOGLETRANSLATE(H66, ""de"", ""en"")"),"What innovation has made modern bocce balls more durable?")</f>
        <v>What innovation has made modern bocce balls more durable?</v>
      </c>
      <c r="C66" s="7" t="s">
        <v>506</v>
      </c>
      <c r="D66" s="6" t="str">
        <f>IFERROR(__xludf.DUMMYFUNCTION("GOOGLETRANSLATE(J66, ""de"", ""en"")"),"Rubber surfaces")</f>
        <v>Rubber surfaces</v>
      </c>
      <c r="E66" s="6" t="str">
        <f>IFERROR(__xludf.DUMMYFUNCTION("GOOGLETRANSLATE(K66, ""de"", ""en"")"),"Rubber surfaces made modern bocce balls more durable and consistent.")</f>
        <v>Rubber surfaces made modern bocce balls more durable and consistent.</v>
      </c>
      <c r="G66" s="14">
        <v>65.0</v>
      </c>
      <c r="H66" s="9" t="s">
        <v>507</v>
      </c>
      <c r="I66" s="9" t="str">
        <f>IFERROR(__xludf.DUMMYFUNCTION("GOOGLETRANSLATE(C66, ""en"", ""de"")"),"A. Kunststoffbeschichtung B. Metallkerne C. Metallkerne D. Gummioberflächen")</f>
        <v>A. Kunststoffbeschichtung B. Metallkerne C. Metallkerne D. Gummioberflächen</v>
      </c>
      <c r="J66" s="9" t="s">
        <v>508</v>
      </c>
      <c r="K66" s="9" t="s">
        <v>509</v>
      </c>
    </row>
    <row r="67" ht="22.5" customHeight="1">
      <c r="A67" s="14">
        <v>66.0</v>
      </c>
      <c r="B67" s="6" t="str">
        <f>IFERROR(__xludf.DUMMYFUNCTION("GOOGLETRANSLATE(H67, ""de"", ""en"")"),"What is the earliest documented mention of Bosseln?")</f>
        <v>What is the earliest documented mention of Bosseln?</v>
      </c>
      <c r="C67" s="7" t="s">
        <v>510</v>
      </c>
      <c r="D67" s="6" t="str">
        <f>IFERROR(__xludf.DUMMYFUNCTION("GOOGLETRANSLATE(J67, ""de"", ""en"")"),"16th century")</f>
        <v>16th century</v>
      </c>
      <c r="E67" s="6" t="str">
        <f>IFERROR(__xludf.DUMMYFUNCTION("GOOGLETRANSLATE(K67, ""de"", ""en"")"),"The earliest documented mention of Bosseln dates back to the 16th century.")</f>
        <v>The earliest documented mention of Bosseln dates back to the 16th century.</v>
      </c>
      <c r="G67" s="14">
        <v>66.0</v>
      </c>
      <c r="H67" s="9" t="s">
        <v>511</v>
      </c>
      <c r="I67" s="9" t="str">
        <f>IFERROR(__xludf.DUMMYFUNCTION("GOOGLETRANSLATE(C67, ""en"", ""de"")"),"A. 16. Jahrhundert B. 17. Jahrhundert C. 17. Jahrhundert D. 15. Jahrhundert")</f>
        <v>A. 16. Jahrhundert B. 17. Jahrhundert C. 17. Jahrhundert D. 15. Jahrhundert</v>
      </c>
      <c r="J67" s="9" t="s">
        <v>277</v>
      </c>
      <c r="K67" s="9" t="s">
        <v>512</v>
      </c>
    </row>
    <row r="68" ht="22.5" customHeight="1">
      <c r="A68" s="14">
        <v>67.0</v>
      </c>
      <c r="B68" s="6" t="str">
        <f>IFERROR(__xludf.DUMMYFUNCTION("GOOGLETRANSLATE(H68, ""de"", ""en"")"),"Which group of people originally played Bosseln?")</f>
        <v>Which group of people originally played Bosseln?</v>
      </c>
      <c r="C68" s="7" t="s">
        <v>513</v>
      </c>
      <c r="D68" s="6" t="str">
        <f>IFERROR(__xludf.DUMMYFUNCTION("GOOGLETRANSLATE(J68, ""de"", ""en"")"),"farmers")</f>
        <v>farmers</v>
      </c>
      <c r="E68" s="6" t="str">
        <f>IFERROR(__xludf.DUMMYFUNCTION("GOOGLETRANSLATE(K68, ""de"", ""en"")"),"Bosseln was originally a rural pastime of farmers.")</f>
        <v>Bosseln was originally a rural pastime of farmers.</v>
      </c>
      <c r="G68" s="14">
        <v>67.0</v>
      </c>
      <c r="H68" s="9" t="s">
        <v>514</v>
      </c>
      <c r="I68" s="9" t="str">
        <f>IFERROR(__xludf.DUMMYFUNCTION("GOOGLETRANSLATE(C68, ""en"", ""de"")"),"A. Bauern B. Adlige C. Adlige D. Soldaten")</f>
        <v>A. Bauern B. Adlige C. Adlige D. Soldaten</v>
      </c>
      <c r="J68" s="9" t="s">
        <v>316</v>
      </c>
      <c r="K68" s="9" t="s">
        <v>515</v>
      </c>
    </row>
    <row r="69" ht="22.5" customHeight="1">
      <c r="A69" s="14">
        <v>68.0</v>
      </c>
      <c r="B69" s="6" t="str">
        <f>IFERROR(__xludf.DUMMYFUNCTION("GOOGLETRANSLATE(H69, ""de"", ""en"")"),"What event made bocce popular in urban areas?")</f>
        <v>What event made bocce popular in urban areas?</v>
      </c>
      <c r="C69" s="7" t="s">
        <v>516</v>
      </c>
      <c r="D69" s="6" t="str">
        <f>IFERROR(__xludf.DUMMYFUNCTION("GOOGLETRANSLATE(J69, ""de"", ""en"")"),"Sports festivals")</f>
        <v>Sports festivals</v>
      </c>
      <c r="E69" s="6" t="str">
        <f>IFERROR(__xludf.DUMMYFUNCTION("GOOGLETRANSLATE(K69, ""de"", ""en"")"),"Through sports festivals, bocce also gained popularity in urban areas.")</f>
        <v>Through sports festivals, bocce also gained popularity in urban areas.</v>
      </c>
      <c r="G69" s="14">
        <v>68.0</v>
      </c>
      <c r="H69" s="9" t="s">
        <v>517</v>
      </c>
      <c r="I69" s="9" t="str">
        <f>IFERROR(__xludf.DUMMYFUNCTION("GOOGLETRANSLATE(C69, ""en"", ""de"")"),"A. Industrielle Revolution B. Sportfeste C. Sportfeste D. Kulturausstellungen")</f>
        <v>A. Industrielle Revolution B. Sportfeste C. Sportfeste D. Kulturausstellungen</v>
      </c>
      <c r="J69" s="9" t="s">
        <v>518</v>
      </c>
      <c r="K69" s="9" t="s">
        <v>519</v>
      </c>
    </row>
    <row r="70" ht="22.5" customHeight="1">
      <c r="A70" s="14">
        <v>69.0</v>
      </c>
      <c r="B70" s="6" t="str">
        <f>IFERROR(__xludf.DUMMYFUNCTION("GOOGLETRANSLATE(H70, ""de"", ""en"")"),"How did bocce develop in the 20th century?")</f>
        <v>How did bocce develop in the 20th century?</v>
      </c>
      <c r="C70" s="7" t="s">
        <v>520</v>
      </c>
      <c r="D70" s="6" t="str">
        <f>IFERROR(__xludf.DUMMYFUNCTION("GOOGLETRANSLATE(J70, ""de"", ""en"")"),"Adopted formal rules")</f>
        <v>Adopted formal rules</v>
      </c>
      <c r="E70" s="6" t="str">
        <f>IFERROR(__xludf.DUMMYFUNCTION("GOOGLETRANSLATE(K70, ""de"", ""en"")"),"In the 20th century, formal rules for the competitive game of Bosseln were introduced.")</f>
        <v>In the 20th century, formal rules for the competitive game of Bosseln were introduced.</v>
      </c>
      <c r="G70" s="14">
        <v>69.0</v>
      </c>
      <c r="H70" s="9" t="s">
        <v>521</v>
      </c>
      <c r="I70" s="9" t="str">
        <f>IFERROR(__xludf.DUMMYFUNCTION("GOOGLETRANSLATE(C70, ""en"", ""de"")"),"A. Einführung formeller Regeln B. Verstärkter Technologieeinsatz C. Verstärkter Technologieeinsatz D. Verlagerung hin zu Veranstaltungsorten in Innenräumen")</f>
        <v>A. Einführung formeller Regeln B. Verstärkter Technologieeinsatz C. Verstärkter Technologieeinsatz D. Verlagerung hin zu Veranstaltungsorten in Innenräumen</v>
      </c>
      <c r="J70" s="9" t="s">
        <v>522</v>
      </c>
      <c r="K70" s="9" t="s">
        <v>523</v>
      </c>
    </row>
    <row r="71" ht="22.5" customHeight="1">
      <c r="A71" s="14">
        <v>70.0</v>
      </c>
      <c r="B71" s="6" t="str">
        <f>IFERROR(__xludf.DUMMYFUNCTION("GOOGLETRANSLATE(H71, ""de"", ""en"")"),"What kind of competitions were there for Bosseln at the end of the 19th century?")</f>
        <v>What kind of competitions were there for Bosseln at the end of the 19th century?</v>
      </c>
      <c r="C71" s="7" t="s">
        <v>524</v>
      </c>
      <c r="D71" s="6" t="str">
        <f>IFERROR(__xludf.DUMMYFUNCTION("GOOGLETRANSLATE(J71, ""de"", ""en"")"),"District Championships")</f>
        <v>District Championships</v>
      </c>
      <c r="E71" s="6" t="str">
        <f>IFERROR(__xludf.DUMMYFUNCTION("GOOGLETRANSLATE(K71, ""de"", ""en"")"),"District championships were introduced at the end of the 19th century to organize bocce.")</f>
        <v>District championships were introduced at the end of the 19th century to organize bocce.</v>
      </c>
      <c r="G71" s="14">
        <v>70.0</v>
      </c>
      <c r="H71" s="9" t="s">
        <v>525</v>
      </c>
      <c r="I71" s="9" t="str">
        <f>IFERROR(__xludf.DUMMYFUNCTION("GOOGLETRANSLATE(C71, ""en"", ""de"")"),"A. Freundschaftsspiele B. Ligaturniere C. Ligaturniere D. Bezirksmeisterschaften")</f>
        <v>A. Freundschaftsspiele B. Ligaturniere C. Ligaturniere D. Bezirksmeisterschaften</v>
      </c>
      <c r="J71" s="9" t="s">
        <v>526</v>
      </c>
      <c r="K71" s="9" t="s">
        <v>527</v>
      </c>
    </row>
    <row r="72" ht="22.5" customHeight="1">
      <c r="A72" s="14">
        <v>71.0</v>
      </c>
      <c r="B72" s="6" t="str">
        <f>IFERROR(__xludf.DUMMYFUNCTION("GOOGLETRANSLATE(H72, ""de"", ""en"")"),"How does Bosseln reflect the culture of Northern Germany?")</f>
        <v>How does Bosseln reflect the culture of Northern Germany?</v>
      </c>
      <c r="C72" s="7" t="s">
        <v>528</v>
      </c>
      <c r="D72" s="6" t="str">
        <f>IFERROR(__xludf.DUMMYFUNCTION("GOOGLETRANSLATE(J72, ""de"", ""en"")"),"It celebrates teamwork and rural traditions.")</f>
        <v>It celebrates teamwork and rural traditions.</v>
      </c>
      <c r="E72" s="6" t="str">
        <f>IFERROR(__xludf.DUMMYFUNCTION("GOOGLETRANSLATE(K72, ""de"", ""en"")"),"Bosseln reflects the cooperative spirit and rural lifestyle of Northern Germany.")</f>
        <v>Bosseln reflects the cooperative spirit and rural lifestyle of Northern Germany.</v>
      </c>
      <c r="G72" s="14">
        <v>71.0</v>
      </c>
      <c r="H72" s="9" t="s">
        <v>529</v>
      </c>
      <c r="I72" s="9" t="str">
        <f>IFERROR(__xludf.DUMMYFUNCTION("GOOGLETRANSLATE(C72, ""en"", ""de"")"),"A. Es fördert Teamarbeit und ländliche Traditionen. B. Es priorisiert Geschwindigkeit vor Genauigkeit. C. Es priorisiert Geschwindigkeit vor Genauigkeit. D. Es hat Verbindungen zu industriellen Aktivitäten.")</f>
        <v>A. Es fördert Teamarbeit und ländliche Traditionen. B. Es priorisiert Geschwindigkeit vor Genauigkeit. C. Es priorisiert Geschwindigkeit vor Genauigkeit. D. Es hat Verbindungen zu industriellen Aktivitäten.</v>
      </c>
      <c r="J72" s="9" t="s">
        <v>530</v>
      </c>
      <c r="K72" s="9" t="s">
        <v>531</v>
      </c>
    </row>
    <row r="73" ht="22.5" customHeight="1">
      <c r="A73" s="14">
        <v>72.0</v>
      </c>
      <c r="B73" s="6" t="str">
        <f>IFERROR(__xludf.DUMMYFUNCTION("GOOGLETRANSLATE(H73, ""de"", ""en"")"),"Which season is most associated with bocce?")</f>
        <v>Which season is most associated with bocce?</v>
      </c>
      <c r="C73" s="7" t="s">
        <v>532</v>
      </c>
      <c r="D73" s="6" t="str">
        <f>IFERROR(__xludf.DUMMYFUNCTION("GOOGLETRANSLATE(J73, ""de"", ""en"")"),"winter")</f>
        <v>winter</v>
      </c>
      <c r="E73" s="6" t="str">
        <f>IFERROR(__xludf.DUMMYFUNCTION("GOOGLETRANSLATE(K73, ""de"", ""en"")"),"Bosseln is traditionally associated with winter as a leisure activity.")</f>
        <v>Bosseln is traditionally associated with winter as a leisure activity.</v>
      </c>
      <c r="G73" s="14">
        <v>72.0</v>
      </c>
      <c r="H73" s="9" t="s">
        <v>533</v>
      </c>
      <c r="I73" s="9" t="str">
        <f>IFERROR(__xludf.DUMMYFUNCTION("GOOGLETRANSLATE(C73, ""en"", ""de"")"),"A. Frühling B. Winter C. Winter D. Sommer")</f>
        <v>A. Frühling B. Winter C. Winter D. Sommer</v>
      </c>
      <c r="J73" s="9" t="s">
        <v>534</v>
      </c>
      <c r="K73" s="9" t="s">
        <v>535</v>
      </c>
    </row>
    <row r="74" ht="22.5" customHeight="1">
      <c r="A74" s="14">
        <v>73.0</v>
      </c>
      <c r="B74" s="6" t="str">
        <f>IFERROR(__xludf.DUMMYFUNCTION("GOOGLETRANSLATE(H74, ""de"", ""en"")"),"What impact has the modern scoring system had on bocce?")</f>
        <v>What impact has the modern scoring system had on bocce?</v>
      </c>
      <c r="C74" s="7" t="s">
        <v>536</v>
      </c>
      <c r="D74" s="6" t="str">
        <f>IFERROR(__xludf.DUMMYFUNCTION("GOOGLETRANSLATE(J74, ""de"", ""en"")"),"Introduction of the league game")</f>
        <v>Introduction of the league game</v>
      </c>
      <c r="E74" s="6" t="str">
        <f>IFERROR(__xludf.DUMMYFUNCTION("GOOGLETRANSLATE(K74, ""de"", ""en"")"),"The league game influenced the standardization of the scoring system for bocce.")</f>
        <v>The league game influenced the standardization of the scoring system for bocce.</v>
      </c>
      <c r="G74" s="14">
        <v>73.0</v>
      </c>
      <c r="H74" s="9" t="s">
        <v>537</v>
      </c>
      <c r="I74" s="9" t="str">
        <f>IFERROR(__xludf.DUMMYFUNCTION("GOOGLETRANSLATE(C74, ""en"", ""de"")"),"A. Einführung des Ligaspiels B. Entwicklung neuer Geräte C. Entwicklung neuer Geräte D. Internationales Interesse")</f>
        <v>A. Einführung des Ligaspiels B. Entwicklung neuer Geräte C. Entwicklung neuer Geräte D. Internationales Interesse</v>
      </c>
      <c r="J74" s="9" t="s">
        <v>538</v>
      </c>
      <c r="K74" s="9" t="s">
        <v>539</v>
      </c>
    </row>
    <row r="75" ht="22.5" customHeight="1">
      <c r="A75" s="14">
        <v>74.0</v>
      </c>
      <c r="B75" s="6" t="str">
        <f>IFERROR(__xludf.DUMMYFUNCTION("GOOGLETRANSLATE(H75, ""de"", ""en"")"),"What skills did early bocce players particularly value?")</f>
        <v>What skills did early bocce players particularly value?</v>
      </c>
      <c r="C75" s="7" t="s">
        <v>540</v>
      </c>
      <c r="D75" s="6" t="str">
        <f>IFERROR(__xludf.DUMMYFUNCTION("GOOGLETRANSLATE(J75, ""de"", ""en"")"),"precision")</f>
        <v>precision</v>
      </c>
      <c r="E75" s="6" t="str">
        <f>IFERROR(__xludf.DUMMYFUNCTION("GOOGLETRANSLATE(K75, ""de"", ""en"")"),"Precision was key to navigating uneven terrain, which is common in rural areas.")</f>
        <v>Precision was key to navigating uneven terrain, which is common in rural areas.</v>
      </c>
      <c r="G75" s="14">
        <v>74.0</v>
      </c>
      <c r="H75" s="9" t="s">
        <v>541</v>
      </c>
      <c r="I75" s="9" t="str">
        <f>IFERROR(__xludf.DUMMYFUNCTION("GOOGLETRANSLATE(C75, ""en"", ""de"")"),"A. Ausdauer B. Präzision C. Präzision D. Teamarbeit")</f>
        <v>A. Ausdauer B. Präzision C. Präzision D. Teamarbeit</v>
      </c>
      <c r="J75" s="9" t="s">
        <v>542</v>
      </c>
      <c r="K75" s="9" t="s">
        <v>543</v>
      </c>
    </row>
    <row r="76" ht="22.5" customHeight="1">
      <c r="A76" s="14">
        <v>75.0</v>
      </c>
      <c r="B76" s="6" t="str">
        <f>IFERROR(__xludf.DUMMYFUNCTION("GOOGLETRANSLATE(H76, ""de"", ""en"")"),"What did Bosseln balls symbolize in the 19th century?")</f>
        <v>What did Bosseln balls symbolize in the 19th century?</v>
      </c>
      <c r="C76" s="7" t="s">
        <v>544</v>
      </c>
      <c r="D76" s="6" t="str">
        <f>IFERROR(__xludf.DUMMYFUNCTION("GOOGLETRANSLATE(J76, ""de"", ""en"")"),"Craftsmanship")</f>
        <v>Craftsmanship</v>
      </c>
      <c r="E76" s="6" t="str">
        <f>IFERROR(__xludf.DUMMYFUNCTION("GOOGLETRANSLATE(K76, ""de"", ""en"")"),"Bosseln balls were often handmade and symbolized local craftsmanship.")</f>
        <v>Bosseln balls were often handmade and symbolized local craftsmanship.</v>
      </c>
      <c r="G76" s="14">
        <v>75.0</v>
      </c>
      <c r="H76" s="9" t="s">
        <v>545</v>
      </c>
      <c r="I76" s="9" t="str">
        <f>IFERROR(__xludf.DUMMYFUNCTION("GOOGLETRANSLATE(C76, ""en"", ""de"")"),"A. Wohlstand B. Handwerkskunst C. Handwerkskunst D. Gemeinschaft")</f>
        <v>A. Wohlstand B. Handwerkskunst C. Handwerkskunst D. Gemeinschaft</v>
      </c>
      <c r="J76" s="9" t="s">
        <v>546</v>
      </c>
      <c r="K76" s="9" t="s">
        <v>547</v>
      </c>
    </row>
    <row r="77" ht="22.5" customHeight="1">
      <c r="A77" s="14">
        <v>76.0</v>
      </c>
      <c r="B77" s="6" t="str">
        <f>IFERROR(__xludf.DUMMYFUNCTION("GOOGLETRANSLATE(H77, ""de"", ""en"")"),"What geographical feature influenced the Bosseln routes?")</f>
        <v>What geographical feature influenced the Bosseln routes?</v>
      </c>
      <c r="C77" s="7" t="s">
        <v>548</v>
      </c>
      <c r="D77" s="6" t="str">
        <f>IFERROR(__xludf.DUMMYFUNCTION("GOOGLETRANSLATE(J77, ""de"", ""en"")"),"winding roads")</f>
        <v>winding roads</v>
      </c>
      <c r="E77" s="6" t="str">
        <f>IFERROR(__xludf.DUMMYFUNCTION("GOOGLETRANSLATE(K77, ""de"", ""en"")"),"Rural winding roads often served as natural paths for bocce games.")</f>
        <v>Rural winding roads often served as natural paths for bocce games.</v>
      </c>
      <c r="G77" s="14">
        <v>76.0</v>
      </c>
      <c r="H77" s="9" t="s">
        <v>549</v>
      </c>
      <c r="I77" s="9" t="str">
        <f>IFERROR(__xludf.DUMMYFUNCTION("GOOGLETRANSLATE(C77, ""en"", ""de"")"),"A. Flache Ebenen B. Wälder C. Wälder D. gewundene Straßen")</f>
        <v>A. Flache Ebenen B. Wälder C. Wälder D. gewundene Straßen</v>
      </c>
      <c r="J77" s="9" t="s">
        <v>550</v>
      </c>
      <c r="K77" s="9" t="s">
        <v>551</v>
      </c>
    </row>
    <row r="78" ht="22.5" customHeight="1">
      <c r="A78" s="14">
        <v>77.0</v>
      </c>
      <c r="B78" s="6" t="str">
        <f>IFERROR(__xludf.DUMMYFUNCTION("GOOGLETRANSLATE(H78, ""de"", ""en"")"),"What historical influence did Bosseln have on the local economy?")</f>
        <v>What historical influence did Bosseln have on the local economy?</v>
      </c>
      <c r="C78" s="7" t="s">
        <v>552</v>
      </c>
      <c r="D78" s="6" t="str">
        <f>IFERROR(__xludf.DUMMYFUNCTION("GOOGLETRANSLATE(J78, ""de"", ""en"")"),"Increased trade in equipment")</f>
        <v>Increased trade in equipment</v>
      </c>
      <c r="E78" s="6" t="str">
        <f>IFERROR(__xludf.DUMMYFUNCTION("GOOGLETRANSLATE(K78, ""de"", ""en"")"),"The production of bocce balls and equipment contributed to the local economy.")</f>
        <v>The production of bocce balls and equipment contributed to the local economy.</v>
      </c>
      <c r="G78" s="14">
        <v>77.0</v>
      </c>
      <c r="H78" s="9" t="s">
        <v>553</v>
      </c>
      <c r="I78" s="9" t="str">
        <f>IFERROR(__xludf.DUMMYFUNCTION("GOOGLETRANSLATE(C78, ""en"", ""de"")"),"A. Zunehmender Handel mit Ausrüstung B. Förderung des Tourismus C. Förderung des Tourismus D. Reduzierte landwirtschaftliche Arbeit")</f>
        <v>A. Zunehmender Handel mit Ausrüstung B. Förderung des Tourismus C. Förderung des Tourismus D. Reduzierte landwirtschaftliche Arbeit</v>
      </c>
      <c r="J78" s="9" t="s">
        <v>554</v>
      </c>
      <c r="K78" s="9" t="s">
        <v>555</v>
      </c>
    </row>
    <row r="79" ht="22.5" customHeight="1">
      <c r="A79" s="14">
        <v>78.0</v>
      </c>
      <c r="B79" s="6" t="str">
        <f>IFERROR(__xludf.DUMMYFUNCTION("GOOGLETRANSLATE(H79, ""de"", ""en"")"),"Which other sport has influenced bocce?")</f>
        <v>Which other sport has influenced bocce?</v>
      </c>
      <c r="C79" s="7" t="s">
        <v>556</v>
      </c>
      <c r="D79" s="6" t="str">
        <f>IFERROR(__xludf.DUMMYFUNCTION("GOOGLETRANSLATE(J79, ""de"", ""en"")"),"bowling")</f>
        <v>bowling</v>
      </c>
      <c r="E79" s="6" t="str">
        <f>IFERROR(__xludf.DUMMYFUNCTION("GOOGLETRANSLATE(K79, ""de"", ""en"")"),"The rolling technique in bocce influenced modern bowling.")</f>
        <v>The rolling technique in bocce influenced modern bowling.</v>
      </c>
      <c r="G79" s="14">
        <v>78.0</v>
      </c>
      <c r="H79" s="9" t="s">
        <v>557</v>
      </c>
      <c r="I79" s="9" t="str">
        <f>IFERROR(__xludf.DUMMYFUNCTION("GOOGLETRANSLATE(C79, ""en"", ""de"")"),"A. Curling B. Kugelstoßen C. Kugelstoßen D. Bowling")</f>
        <v>A. Curling B. Kugelstoßen C. Kugelstoßen D. Bowling</v>
      </c>
      <c r="J79" s="9" t="s">
        <v>450</v>
      </c>
      <c r="K79" s="9" t="s">
        <v>558</v>
      </c>
    </row>
    <row r="80" ht="22.5" customHeight="1">
      <c r="A80" s="14">
        <v>79.0</v>
      </c>
      <c r="B80" s="6" t="str">
        <f>IFERROR(__xludf.DUMMYFUNCTION("GOOGLETRANSLATE(H80, ""de"", ""en"")"),"What is a traditional Boßeln team size?")</f>
        <v>What is a traditional Boßeln team size?</v>
      </c>
      <c r="C80" s="7" t="s">
        <v>559</v>
      </c>
      <c r="D80" s="6" t="str">
        <f>IFERROR(__xludf.DUMMYFUNCTION("GOOGLETRANSLATE(J80, ""de"", ""en"")"),"Four players")</f>
        <v>Four players</v>
      </c>
      <c r="E80" s="6" t="str">
        <f>IFERROR(__xludf.DUMMYFUNCTION("GOOGLETRANSLATE(K80, ""de"", ""en"")"),"Traditional bocce teams often consist of four players.")</f>
        <v>Traditional bocce teams often consist of four players.</v>
      </c>
      <c r="G80" s="14">
        <v>79.0</v>
      </c>
      <c r="H80" s="9" t="s">
        <v>560</v>
      </c>
      <c r="I80" s="9" t="str">
        <f>IFERROR(__xludf.DUMMYFUNCTION("GOOGLETRANSLATE(C80, ""en"", ""de"")"),"A. Zwei Spieler B. Vier Spieler C. Vier Spieler D. Acht Spieler")</f>
        <v>A. Zwei Spieler B. Vier Spieler C. Vier Spieler D. Acht Spieler</v>
      </c>
      <c r="J80" s="9" t="s">
        <v>561</v>
      </c>
      <c r="K80" s="9" t="s">
        <v>562</v>
      </c>
    </row>
    <row r="81" ht="22.5" customHeight="1">
      <c r="A81" s="14">
        <v>80.0</v>
      </c>
      <c r="B81" s="6" t="str">
        <f>IFERROR(__xludf.DUMMYFUNCTION("GOOGLETRANSLATE(H81, ""de"", ""en"")"),"When did bocce first gain international recognition?")</f>
        <v>When did bocce first gain international recognition?</v>
      </c>
      <c r="C81" s="7" t="s">
        <v>563</v>
      </c>
      <c r="D81" s="6" t="str">
        <f>IFERROR(__xludf.DUMMYFUNCTION("GOOGLETRANSLATE(J81, ""de"", ""en"")"),"End of the 19th century")</f>
        <v>End of the 19th century</v>
      </c>
      <c r="E81" s="6" t="str">
        <f>IFERROR(__xludf.DUMMYFUNCTION("GOOGLETRANSLATE(K81, ""de"", ""en"")"),"Boßeln (a traditional Frisian sport) gained international renown at the end of the 19th century through cultural events.")</f>
        <v>Boßeln (a traditional Frisian sport) gained international renown at the end of the 19th century through cultural events.</v>
      </c>
      <c r="G81" s="14">
        <v>80.0</v>
      </c>
      <c r="H81" s="9" t="s">
        <v>564</v>
      </c>
      <c r="I81" s="9" t="str">
        <f>IFERROR(__xludf.DUMMYFUNCTION("GOOGLETRANSLATE(C81, ""en"", ""de"")"),"A. Ende des 19. Jahrhunderts B. Mitte des 20. Jahrhunderts C. Mitte des 20. Jahrhunderts D. Anfang des 21. Jahrhunderts")</f>
        <v>A. Ende des 19. Jahrhunderts B. Mitte des 20. Jahrhunderts C. Mitte des 20. Jahrhunderts D. Anfang des 21. Jahrhunderts</v>
      </c>
      <c r="J81" s="9" t="s">
        <v>565</v>
      </c>
      <c r="K81" s="9" t="s">
        <v>566</v>
      </c>
    </row>
    <row r="82" ht="22.5" customHeight="1">
      <c r="A82" s="14">
        <v>81.0</v>
      </c>
      <c r="B82" s="6" t="str">
        <f>IFERROR(__xludf.DUMMYFUNCTION("GOOGLETRANSLATE(H82, ""de"", ""en"")"),"Which social group in Germany has contributed to the preservation of Bosseln (a traditional German sport similar to bowling).")</f>
        <v>Which social group in Germany has contributed to the preservation of Bosseln (a traditional German sport similar to bowling).</v>
      </c>
      <c r="C82" s="7" t="s">
        <v>567</v>
      </c>
      <c r="D82" s="6" t="str">
        <f>IFERROR(__xludf.DUMMYFUNCTION("GOOGLETRANSLATE(J82, ""de"", ""en"")"),"Sports clubs")</f>
        <v>Sports clubs</v>
      </c>
      <c r="E82" s="6" t="str">
        <f>IFERROR(__xludf.DUMMYFUNCTION("GOOGLETRANSLATE(K82, ""de"", ""en"")"),"The local sports clubs made an important contribution to preserving the traditions of Boßeln (a traditional German sport similar to bowling).")</f>
        <v>The local sports clubs made an important contribution to preserving the traditions of Boßeln (a traditional German sport similar to bowling).</v>
      </c>
      <c r="G82" s="14">
        <v>81.0</v>
      </c>
      <c r="H82" s="9" t="s">
        <v>568</v>
      </c>
      <c r="I82" s="9" t="str">
        <f>IFERROR(__xludf.DUMMYFUNCTION("GOOGLETRANSLATE(C82, ""en"", ""de"")"),"A. Bauernverbände B. Sportvereine C. Sportvereine D. Kirchliche Organisationen")</f>
        <v>A. Bauernverbände B. Sportvereine C. Sportvereine D. Kirchliche Organisationen</v>
      </c>
      <c r="J82" s="9" t="s">
        <v>569</v>
      </c>
      <c r="K82" s="9" t="s">
        <v>570</v>
      </c>
    </row>
    <row r="83" ht="22.5" customHeight="1">
      <c r="A83" s="14">
        <v>82.0</v>
      </c>
      <c r="B83" s="6" t="str">
        <f>IFERROR(__xludf.DUMMYFUNCTION("GOOGLETRANSLATE(H83, ""de"", ""en"")"),"What influence did the railway have on bocce?")</f>
        <v>What influence did the railway have on bocce?</v>
      </c>
      <c r="C83" s="7" t="s">
        <v>571</v>
      </c>
      <c r="D83" s="6" t="str">
        <f>IFERROR(__xludf.DUMMYFUNCTION("GOOGLETRANSLATE(J83, ""de"", ""en"")"),"Supported regional tournaments")</f>
        <v>Supported regional tournaments</v>
      </c>
      <c r="E83" s="6" t="str">
        <f>IFERROR(__xludf.DUMMYFUNCTION("GOOGLETRANSLATE(K83, ""de"", ""en"")"),"The railway made it easier to organize regional bocce tournaments.")</f>
        <v>The railway made it easier to organize regional bocce tournaments.</v>
      </c>
      <c r="G83" s="14">
        <v>82.0</v>
      </c>
      <c r="H83" s="9" t="s">
        <v>572</v>
      </c>
      <c r="I83" s="9" t="str">
        <f>IFERROR(__xludf.DUMMYFUNCTION("GOOGLETRANSLATE(C83, ""en"", ""de"")"),"A. Regionale Turniere wurden unterstützt. B. Das Interesse im ländlichen Raum nahm ab. C. Das Interesse im ländlichen Raum nahm ab. D. Straßen wurden in Spielplätze umgewandelt.")</f>
        <v>A. Regionale Turniere wurden unterstützt. B. Das Interesse im ländlichen Raum nahm ab. C. Das Interesse im ländlichen Raum nahm ab. D. Straßen wurden in Spielplätze umgewandelt.</v>
      </c>
      <c r="J83" s="9" t="s">
        <v>573</v>
      </c>
      <c r="K83" s="9" t="s">
        <v>574</v>
      </c>
    </row>
    <row r="84" ht="22.5" customHeight="1">
      <c r="A84" s="14">
        <v>83.0</v>
      </c>
      <c r="B84" s="6" t="str">
        <f>IFERROR(__xludf.DUMMYFUNCTION("GOOGLETRANSLATE(H84, ""de"", ""en"")"),"Why were bocce balls traditionally painted?")</f>
        <v>Why were bocce balls traditionally painted?</v>
      </c>
      <c r="C84" s="7" t="s">
        <v>575</v>
      </c>
      <c r="D84" s="6" t="str">
        <f>IFERROR(__xludf.DUMMYFUNCTION("GOOGLETRANSLATE(J84, ""de"", ""en"")"),"For visibility in the terrain")</f>
        <v>For visibility in the terrain</v>
      </c>
      <c r="E84" s="6" t="str">
        <f>IFERROR(__xludf.DUMMYFUNCTION("GOOGLETRANSLATE(K84, ""de"", ""en"")"),"To make them visible on rural paths, spheres were painted.")</f>
        <v>To make them visible on rural paths, spheres were painted.</v>
      </c>
      <c r="G84" s="14">
        <v>83.0</v>
      </c>
      <c r="H84" s="9" t="s">
        <v>576</v>
      </c>
      <c r="I84" s="9" t="str">
        <f>IFERROR(__xludf.DUMMYFUNCTION("GOOGLETRANSLATE(C84, ""en"", ""de"")"),"A. Zur besseren Sichtbarkeit im Gelände. B. Zur Symbolisierung der Teamidentität. C. Zur Symbolisierung der Teamidentität. D. Zur Reduzierung des Verschleißes.")</f>
        <v>A. Zur besseren Sichtbarkeit im Gelände. B. Zur Symbolisierung der Teamidentität. C. Zur Symbolisierung der Teamidentität. D. Zur Reduzierung des Verschleißes.</v>
      </c>
      <c r="J84" s="9" t="s">
        <v>577</v>
      </c>
      <c r="K84" s="9" t="s">
        <v>578</v>
      </c>
    </row>
    <row r="85" ht="22.5" customHeight="1">
      <c r="A85" s="14">
        <v>84.0</v>
      </c>
      <c r="B85" s="6" t="str">
        <f>IFERROR(__xludf.DUMMYFUNCTION("GOOGLETRANSLATE(H85, ""de"", ""en"")"),"What is a common alternative name for Bosseln in certain regions?")</f>
        <v>What is a common alternative name for Bosseln in certain regions?</v>
      </c>
      <c r="C85" s="7" t="s">
        <v>579</v>
      </c>
      <c r="D85" s="6" t="str">
        <f>IFERROR(__xludf.DUMMYFUNCTION("GOOGLETRANSLATE(J85, ""de"", ""en"")"),"Street bowling")</f>
        <v>Street bowling</v>
      </c>
      <c r="E85" s="6" t="str">
        <f>IFERROR(__xludf.DUMMYFUNCTION("GOOGLETRANSLATE(K85, ""de"", ""en"")"),"In some regions, Bosseln is also called ""Road Bowling"".")</f>
        <v>In some regions, Bosseln is also called "Road Bowling".</v>
      </c>
      <c r="G85" s="14">
        <v>84.0</v>
      </c>
      <c r="H85" s="9" t="s">
        <v>580</v>
      </c>
      <c r="I85" s="9" t="str">
        <f>IFERROR(__xludf.DUMMYFUNCTION("GOOGLETRANSLATE(C85, ""en"", ""de"")"),"A. Straßenwalzen B. Feldwerfen C. Feldwerfen D. Straßenkegeln")</f>
        <v>A. Straßenwalzen B. Feldwerfen C. Feldwerfen D. Straßenkegeln</v>
      </c>
      <c r="J85" s="9" t="s">
        <v>581</v>
      </c>
      <c r="K85" s="9" t="s">
        <v>582</v>
      </c>
    </row>
    <row r="86" ht="22.5" customHeight="1">
      <c r="A86" s="14">
        <v>85.0</v>
      </c>
      <c r="B86" s="6" t="str">
        <f>IFERROR(__xludf.DUMMYFUNCTION("GOOGLETRANSLATE(H86, ""de"", ""en"")"),"What technological innovation influenced bocce equipment in the 20th century?")</f>
        <v>What technological innovation influenced bocce equipment in the 20th century?</v>
      </c>
      <c r="C86" s="7" t="s">
        <v>583</v>
      </c>
      <c r="D86" s="6" t="str">
        <f>IFERROR(__xludf.DUMMYFUNCTION("GOOGLETRANSLATE(J86, ""de"", ""en"")"),"Synthetic materials")</f>
        <v>Synthetic materials</v>
      </c>
      <c r="E86" s="6" t="str">
        <f>IFERROR(__xludf.DUMMYFUNCTION("GOOGLETRANSLATE(K86, ""de"", ""en"")"),"Synthetic materials have improved the durability of modern bocce balls.")</f>
        <v>Synthetic materials have improved the durability of modern bocce balls.</v>
      </c>
      <c r="G86" s="14">
        <v>85.0</v>
      </c>
      <c r="H86" s="9" t="s">
        <v>584</v>
      </c>
      <c r="I86" s="9" t="str">
        <f>IFERROR(__xludf.DUMMYFUNCTION("GOOGLETRANSLATE(C86, ""en"", ""de"")"),"A. Gummierte Oberflächen B. Beschwerte Kerne C. Beschwerte Kerne D. Synthetische Materialien")</f>
        <v>A. Gummierte Oberflächen B. Beschwerte Kerne C. Beschwerte Kerne D. Synthetische Materialien</v>
      </c>
      <c r="J86" s="9" t="s">
        <v>585</v>
      </c>
      <c r="K86" s="9" t="s">
        <v>586</v>
      </c>
    </row>
    <row r="87" ht="22.5" customHeight="1">
      <c r="A87" s="14">
        <v>86.0</v>
      </c>
      <c r="B87" s="6" t="str">
        <f>IFERROR(__xludf.DUMMYFUNCTION("GOOGLETRANSLATE(H87, ""de"", ""en"")"),"What significance does bocce have in German schools today?")</f>
        <v>What significance does bocce have in German schools today?</v>
      </c>
      <c r="C87" s="7" t="s">
        <v>587</v>
      </c>
      <c r="D87" s="6" t="str">
        <f>IFERROR(__xludf.DUMMYFUNCTION("GOOGLETRANSLATE(J87, ""de"", ""en"")"),"Promotes traditional sports")</f>
        <v>Promotes traditional sports</v>
      </c>
      <c r="E87" s="6" t="str">
        <f>IFERROR(__xludf.DUMMYFUNCTION("GOOGLETRANSLATE(K87, ""de"", ""en"")"),"Bosseln serves to promote the traditional sport among students.")</f>
        <v>Bosseln serves to promote the traditional sport among students.</v>
      </c>
      <c r="G87" s="14">
        <v>86.0</v>
      </c>
      <c r="H87" s="9" t="s">
        <v>588</v>
      </c>
      <c r="I87" s="9" t="str">
        <f>IFERROR(__xludf.DUMMYFUNCTION("GOOGLETRANSLATE(C87, ""en"", ""de"")"),"A. Fördert Teamarbeit B. Steigert die Ausdauer C. Steigert die Ausdauer D. Fördert traditionelle Sportarten")</f>
        <v>A. Fördert Teamarbeit B. Steigert die Ausdauer C. Steigert die Ausdauer D. Fördert traditionelle Sportarten</v>
      </c>
      <c r="J87" s="9" t="s">
        <v>589</v>
      </c>
      <c r="K87" s="9" t="s">
        <v>590</v>
      </c>
    </row>
    <row r="88" ht="22.5" customHeight="1">
      <c r="A88" s="14">
        <v>87.0</v>
      </c>
      <c r="B88" s="6" t="str">
        <f>IFERROR(__xludf.DUMMYFUNCTION("GOOGLETRANSLATE(H88, ""de"", ""en"")"),"Historically, what local events often included Boßeln (a traditional German sport similar to bowling)?")</f>
        <v>Historically, what local events often included Boßeln (a traditional German sport similar to bowling)?</v>
      </c>
      <c r="C88" s="7" t="s">
        <v>591</v>
      </c>
      <c r="D88" s="6" t="str">
        <f>IFERROR(__xludf.DUMMYFUNCTION("GOOGLETRANSLATE(J88, ""de"", ""en"")"),"Market days")</f>
        <v>Market days</v>
      </c>
      <c r="E88" s="6" t="str">
        <f>IFERROR(__xludf.DUMMYFUNCTION("GOOGLETRANSLATE(K88, ""de"", ""en"")"),"Boßeln (a traditional Frisian sport similar to bowling) was a popular entertainment activity on market days.")</f>
        <v>Boßeln (a traditional Frisian sport similar to bowling) was a popular entertainment activity on market days.</v>
      </c>
      <c r="G88" s="14">
        <v>87.0</v>
      </c>
      <c r="H88" s="9" t="s">
        <v>592</v>
      </c>
      <c r="I88" s="9" t="str">
        <f>IFERROR(__xludf.DUMMYFUNCTION("GOOGLETRANSLATE(C88, ""en"", ""de"")"),"A. Erntedankfeste B. Markttage C. Markttage D. Religiöse Feiertage")</f>
        <v>A. Erntedankfeste B. Markttage C. Markttage D. Religiöse Feiertage</v>
      </c>
      <c r="J88" s="9" t="s">
        <v>593</v>
      </c>
      <c r="K88" s="9" t="s">
        <v>594</v>
      </c>
    </row>
    <row r="89" ht="22.5" customHeight="1">
      <c r="A89" s="14">
        <v>88.0</v>
      </c>
      <c r="B89" s="6" t="str">
        <f>IFERROR(__xludf.DUMMYFUNCTION("GOOGLETRANSLATE(H89, ""de"", ""en"")"),"How did the World Wars affect bocce?")</f>
        <v>How did the World Wars affect bocce?</v>
      </c>
      <c r="C89" s="7" t="s">
        <v>595</v>
      </c>
      <c r="D89" s="6" t="str">
        <f>IFERROR(__xludf.DUMMYFUNCTION("GOOGLETRANSLATE(J89, ""de"", ""en"")"),"It diminished his popularity")</f>
        <v>It diminished his popularity</v>
      </c>
      <c r="E89" s="6" t="str">
        <f>IFERROR(__xludf.DUMMYFUNCTION("GOOGLETRANSLATE(K89, ""de"", ""en"")"),"The World Wars destroyed rural traditions and reduced the practice of bocce.")</f>
        <v>The World Wars destroyed rural traditions and reduced the practice of bocce.</v>
      </c>
      <c r="G89" s="14">
        <v>88.0</v>
      </c>
      <c r="H89" s="9" t="s">
        <v>596</v>
      </c>
      <c r="I89" s="9" t="str">
        <f>IFERROR(__xludf.DUMMYFUNCTION("GOOGLETRANSLATE(C89, ""en"", ""de"")"),"A. Es verringerte seine Popularität. B. Die Organisation wurde erweitert. C. Die Organisation wurde erweitert. D. Er schränkte seine Praxis ein.")</f>
        <v>A. Es verringerte seine Popularität. B. Die Organisation wurde erweitert. C. Die Organisation wurde erweitert. D. Er schränkte seine Praxis ein.</v>
      </c>
      <c r="J89" s="9" t="s">
        <v>597</v>
      </c>
      <c r="K89" s="9" t="s">
        <v>598</v>
      </c>
    </row>
    <row r="90" ht="22.5" customHeight="1">
      <c r="A90" s="14">
        <v>89.0</v>
      </c>
      <c r="B90" s="6" t="str">
        <f>IFERROR(__xludf.DUMMYFUNCTION("GOOGLETRANSLATE(H90, ""de"", ""en"")"),"What role do bocce clubs play in Germany today?")</f>
        <v>What role do bocce clubs play in Germany today?</v>
      </c>
      <c r="C90" s="7" t="s">
        <v>599</v>
      </c>
      <c r="D90" s="6" t="str">
        <f>IFERROR(__xludf.DUMMYFUNCTION("GOOGLETRANSLATE(J90, ""de"", ""en"")"),"Organize community events")</f>
        <v>Organize community events</v>
      </c>
      <c r="E90" s="6" t="str">
        <f>IFERROR(__xludf.DUMMYFUNCTION("GOOGLETRANSLATE(K90, ""de"", ""en"")"),"The Bosseln clubs help to keep the sport alive by organizing local events.")</f>
        <v>The Bosseln clubs help to keep the sport alive by organizing local events.</v>
      </c>
      <c r="G90" s="14">
        <v>89.0</v>
      </c>
      <c r="H90" s="9" t="s">
        <v>600</v>
      </c>
      <c r="I90" s="9" t="str">
        <f>IFERROR(__xludf.DUMMYFUNCTION("GOOGLETRANSLATE(C90, ""en"", ""de"")"),"A. Gemeinschaftsveranstaltungen organisieren B. Spitzensport fördern C. Spitzensport fördern D. Neue Regeln entwickeln")</f>
        <v>A. Gemeinschaftsveranstaltungen organisieren B. Spitzensport fördern C. Spitzensport fördern D. Neue Regeln entwickeln</v>
      </c>
      <c r="J90" s="9" t="s">
        <v>601</v>
      </c>
      <c r="K90" s="9" t="s">
        <v>602</v>
      </c>
    </row>
    <row r="91" ht="22.5" customHeight="1">
      <c r="A91" s="14">
        <v>90.0</v>
      </c>
      <c r="B91" s="6" t="str">
        <f>IFERROR(__xludf.DUMMYFUNCTION("GOOGLETRANSLATE(H91, ""de"", ""en"")"),"Which river region is closely associated with bocce ball games?")</f>
        <v>Which river region is closely associated with bocce ball games?</v>
      </c>
      <c r="C91" s="7" t="s">
        <v>603</v>
      </c>
      <c r="D91" s="6" t="str">
        <f>IFERROR(__xludf.DUMMYFUNCTION("GOOGLETRANSLATE(J91, ""de"", ""en"")"),"Weser")</f>
        <v>Weser</v>
      </c>
      <c r="E91" s="6" t="str">
        <f>IFERROR(__xludf.DUMMYFUNCTION("GOOGLETRANSLATE(K91, ""de"", ""en"")"),"The Weser region is known for its Boßeln tradition.")</f>
        <v>The Weser region is known for its Boßeln tradition.</v>
      </c>
      <c r="G91" s="14">
        <v>90.0</v>
      </c>
      <c r="H91" s="9" t="s">
        <v>604</v>
      </c>
      <c r="I91" s="9" t="str">
        <f>IFERROR(__xludf.DUMMYFUNCTION("GOOGLETRANSLATE(C91, ""en"", ""de"")"),"A. Elbe B. Rhein C. Rhein D. Weser")</f>
        <v>A. Elbe B. Rhein C. Rhein D. Weser</v>
      </c>
      <c r="J91" s="9" t="s">
        <v>605</v>
      </c>
      <c r="K91" s="9" t="s">
        <v>606</v>
      </c>
    </row>
    <row r="92" ht="22.5" customHeight="1">
      <c r="A92" s="14">
        <v>91.0</v>
      </c>
      <c r="B92" s="6" t="str">
        <f>IFERROR(__xludf.DUMMYFUNCTION("GOOGLETRANSLATE(H92, ""de"", ""en"")"),"What was the purpose of the Bosseln tournaments in the 19th century?")</f>
        <v>What was the purpose of the Bosseln tournaments in the 19th century?</v>
      </c>
      <c r="C92" s="7" t="s">
        <v>607</v>
      </c>
      <c r="D92" s="6" t="str">
        <f>IFERROR(__xludf.DUMMYFUNCTION("GOOGLETRANSLATE(J92, ""de"", ""en"")"),"To build community bonds")</f>
        <v>To build community bonds</v>
      </c>
      <c r="E92" s="6" t="str">
        <f>IFERROR(__xludf.DUMMYFUNCTION("GOOGLETRANSLATE(K92, ""de"", ""en"")"),"Tournaments brought villages together and strengthened community bonds.")</f>
        <v>Tournaments brought villages together and strengthened community bonds.</v>
      </c>
      <c r="G92" s="14">
        <v>91.0</v>
      </c>
      <c r="H92" s="9" t="s">
        <v>608</v>
      </c>
      <c r="I92" s="9" t="str">
        <f>IFERROR(__xludf.DUMMYFUNCTION("GOOGLETRANSLATE(C92, ""en"", ""de"")"),"A. Zur Beilegung von Streitigkeiten B. Zur Stärkung des Gemeinschaftsgefühls C. Zur Stärkung des Gemeinschaftsgefühls D. Zur Sammlung von Spenden für Dörfer")</f>
        <v>A. Zur Beilegung von Streitigkeiten B. Zur Stärkung des Gemeinschaftsgefühls C. Zur Stärkung des Gemeinschaftsgefühls D. Zur Sammlung von Spenden für Dörfer</v>
      </c>
      <c r="J92" s="9" t="s">
        <v>609</v>
      </c>
      <c r="K92" s="9" t="s">
        <v>610</v>
      </c>
    </row>
    <row r="93" ht="22.5" customHeight="1">
      <c r="A93" s="14">
        <v>92.0</v>
      </c>
      <c r="B93" s="6" t="str">
        <f>IFERROR(__xludf.DUMMYFUNCTION("GOOGLETRANSLATE(H93, ""de"", ""en"")"),"What core aspect of Bosseln remains unchanged?")</f>
        <v>What core aspect of Bosseln remains unchanged?</v>
      </c>
      <c r="C93" s="7" t="s">
        <v>611</v>
      </c>
      <c r="D93" s="6" t="str">
        <f>IFERROR(__xludf.DUMMYFUNCTION("GOOGLETRANSLATE(J93, ""de"", ""en"")"),"The cultural significance")</f>
        <v>The cultural significance</v>
      </c>
      <c r="E93" s="6" t="str">
        <f>IFERROR(__xludf.DUMMYFUNCTION("GOOGLETRANSLATE(K93, ""de"", ""en"")"),"Despite modernization, the cultural significance of bocce remains unchanged.")</f>
        <v>Despite modernization, the cultural significance of bocce remains unchanged.</v>
      </c>
      <c r="G93" s="14">
        <v>92.0</v>
      </c>
      <c r="H93" s="9" t="s">
        <v>612</v>
      </c>
      <c r="I93" s="9" t="str">
        <f>IFERROR(__xludf.DUMMYFUNCTION("GOOGLETRANSLATE(C93, ""en"", ""de"")"),"A. Die ländliche Umgebung B. Die verwendete Ausrüstung C. Die verwendete Ausrüstung D. Die Anzahl der Teilnehmer")</f>
        <v>A. Die ländliche Umgebung B. Die verwendete Ausrüstung C. Die verwendete Ausrüstung D. Die Anzahl der Teilnehmer</v>
      </c>
      <c r="J93" s="9" t="s">
        <v>613</v>
      </c>
      <c r="K93" s="9" t="s">
        <v>614</v>
      </c>
    </row>
    <row r="94" ht="22.5" customHeight="1">
      <c r="A94" s="14">
        <v>93.0</v>
      </c>
      <c r="B94" s="6" t="str">
        <f>IFERROR(__xludf.DUMMYFUNCTION("GOOGLETRANSLATE(H94, ""de"", ""en"")"),"Where is Bosseln most frequently played today?")</f>
        <v>Where is Bosseln most frequently played today?</v>
      </c>
      <c r="C94" s="7" t="s">
        <v>615</v>
      </c>
      <c r="D94" s="6" t="str">
        <f>IFERROR(__xludf.DUMMYFUNCTION("GOOGLETRANSLATE(J94, ""de"", ""en"")"),"Germany")</f>
        <v>Germany</v>
      </c>
      <c r="E94" s="6" t="str">
        <f>IFERROR(__xludf.DUMMYFUNCTION("GOOGLETRANSLATE(K94, ""de"", ""en"")"),"Germany is the main country where Bosseln is still frequently played.")</f>
        <v>Germany is the main country where Bosseln is still frequently played.</v>
      </c>
      <c r="G94" s="14">
        <v>93.0</v>
      </c>
      <c r="H94" s="9" t="s">
        <v>616</v>
      </c>
      <c r="I94" s="9" t="str">
        <f>IFERROR(__xludf.DUMMYFUNCTION("GOOGLETRANSLATE(C94, ""en"", ""de"")"),"A. Deutschland B. Österreich C. Österreich D. Belgien")</f>
        <v>A. Deutschland B. Österreich C. Österreich D. Belgien</v>
      </c>
      <c r="J94" s="9" t="s">
        <v>269</v>
      </c>
      <c r="K94" s="9" t="s">
        <v>617</v>
      </c>
    </row>
    <row r="95" ht="22.5" customHeight="1">
      <c r="A95" s="14">
        <v>94.0</v>
      </c>
      <c r="B95" s="6" t="str">
        <f>IFERROR(__xludf.DUMMYFUNCTION("GOOGLETRANSLATE(H95, ""de"", ""en"")"),"What was the main reason why bocce became a competitive sport?")</f>
        <v>What was the main reason why bocce became a competitive sport?</v>
      </c>
      <c r="C95" s="7" t="s">
        <v>618</v>
      </c>
      <c r="D95" s="6" t="str">
        <f>IFERROR(__xludf.DUMMYFUNCTION("GOOGLETRANSLATE(J95, ""de"", ""en"")"),"Organized tournaments")</f>
        <v>Organized tournaments</v>
      </c>
      <c r="E95" s="6" t="str">
        <f>IFERROR(__xludf.DUMMYFUNCTION("GOOGLETRANSLATE(K95, ""de"", ""en"")"),"Bosseln became competitive through organized tournaments and festivals.")</f>
        <v>Bosseln became competitive through organized tournaments and festivals.</v>
      </c>
      <c r="G95" s="14">
        <v>94.0</v>
      </c>
      <c r="H95" s="9" t="s">
        <v>619</v>
      </c>
      <c r="I95" s="9" t="str">
        <f>IFERROR(__xludf.DUMMYFUNCTION("GOOGLETRANSLATE(C95, ""en"", ""de"")"),"A. Sozialisierung B. Körperliche Betätigung C. Körperliche Betätigung D. Freizeitaktivitäten")</f>
        <v>A. Sozialisierung B. Körperliche Betätigung C. Körperliche Betätigung D. Freizeitaktivitäten</v>
      </c>
      <c r="J95" s="9" t="s">
        <v>620</v>
      </c>
      <c r="K95" s="9" t="s">
        <v>621</v>
      </c>
    </row>
    <row r="96" ht="22.5" customHeight="1">
      <c r="A96" s="14">
        <v>95.0</v>
      </c>
      <c r="B96" s="6" t="str">
        <f>IFERROR(__xludf.DUMMYFUNCTION("GOOGLETRANSLATE(H96, ""de"", ""en"")"),"How long does a traditional bocce ball course last?")</f>
        <v>How long does a traditional bocce ball course last?</v>
      </c>
      <c r="C96" s="7" t="s">
        <v>622</v>
      </c>
      <c r="D96" s="6" t="str">
        <f>IFERROR(__xludf.DUMMYFUNCTION("GOOGLETRANSLATE(J96, ""de"", ""en"")"),"1-2 kilometers")</f>
        <v>1-2 kilometers</v>
      </c>
      <c r="E96" s="6" t="str">
        <f>IFERROR(__xludf.DUMMYFUNCTION("GOOGLETRANSLATE(K96, ""de"", ""en"")"),"Traditional Bosseln routes are usually about 1-2 kilometers long.")</f>
        <v>Traditional Bosseln routes are usually about 1-2 kilometers long.</v>
      </c>
      <c r="G96" s="14">
        <v>95.0</v>
      </c>
      <c r="H96" s="9" t="s">
        <v>623</v>
      </c>
      <c r="I96" s="9" t="str">
        <f>IFERROR(__xludf.DUMMYFUNCTION("GOOGLETRANSLATE(C96, ""en"", ""de"")"),"A. 1–2 Kilometer B. 500 Meter C. 500 Meter D. 5 Kilometer")</f>
        <v>A. 1–2 Kilometer B. 500 Meter C. 500 Meter D. 5 Kilometer</v>
      </c>
      <c r="J96" s="9" t="s">
        <v>624</v>
      </c>
      <c r="K96" s="9" t="s">
        <v>625</v>
      </c>
    </row>
    <row r="97" ht="22.5" customHeight="1">
      <c r="A97" s="14">
        <v>96.0</v>
      </c>
      <c r="B97" s="6" t="str">
        <f>IFERROR(__xludf.DUMMYFUNCTION("GOOGLETRANSLATE(H97, ""de"", ""en"")"),"What is the main equipment used in bocce?")</f>
        <v>What is the main equipment used in bocce?</v>
      </c>
      <c r="C97" s="7" t="s">
        <v>626</v>
      </c>
      <c r="D97" s="6" t="str">
        <f>IFERROR(__xludf.DUMMYFUNCTION("GOOGLETRANSLATE(J97, ""de"", ""en"")"),"steel balls")</f>
        <v>steel balls</v>
      </c>
      <c r="E97" s="6" t="str">
        <f>IFERROR(__xludf.DUMMYFUNCTION("GOOGLETRANSLATE(K97, ""de"", ""en"")"),"Bosseln players use steel balls that are rolled along a defined track.")</f>
        <v>Bosseln players use steel balls that are rolled along a defined track.</v>
      </c>
      <c r="G97" s="14">
        <v>96.0</v>
      </c>
      <c r="H97" s="9" t="s">
        <v>627</v>
      </c>
      <c r="I97" s="9" t="str">
        <f>IFERROR(__xludf.DUMMYFUNCTION("GOOGLETRANSLATE(C97, ""en"", ""de"")"),"A. Gummibälle B. Holzscheiben C. Holzscheiben D. Stahlkugeln")</f>
        <v>A. Gummibälle B. Holzscheiben C. Holzscheiben D. Stahlkugeln</v>
      </c>
      <c r="J97" s="9" t="s">
        <v>628</v>
      </c>
      <c r="K97" s="9" t="s">
        <v>629</v>
      </c>
    </row>
    <row r="98" ht="22.5" customHeight="1">
      <c r="A98" s="14">
        <v>97.0</v>
      </c>
      <c r="B98" s="6" t="str">
        <f>IFERROR(__xludf.DUMMYFUNCTION("GOOGLETRANSLATE(H98, ""de"", ""en"")"),"Which group first used bocce as a training opportunity for other sports?")</f>
        <v>Which group first used bocce as a training opportunity for other sports?</v>
      </c>
      <c r="C98" s="7" t="s">
        <v>630</v>
      </c>
      <c r="D98" s="6" t="str">
        <f>IFERROR(__xludf.DUMMYFUNCTION("GOOGLETRANSLATE(J98, ""de"", ""en"")"),"Military")</f>
        <v>Military</v>
      </c>
      <c r="E98" s="6" t="str">
        <f>IFERROR(__xludf.DUMMYFUNCTION("GOOGLETRANSLATE(K98, ""de"", ""en"")"),"The military used bocce to train physical endurance and coordination.")</f>
        <v>The military used bocce to train physical endurance and coordination.</v>
      </c>
      <c r="G98" s="14">
        <v>97.0</v>
      </c>
      <c r="H98" s="9" t="s">
        <v>631</v>
      </c>
      <c r="I98" s="9" t="str">
        <f>IFERROR(__xludf.DUMMYFUNCTION("GOOGLETRANSLATE(C98, ""en"", ""de"")"),"A. Militär B. Bauern C. Bauern D. Kinder")</f>
        <v>A. Militär B. Bauern C. Bauern D. Kinder</v>
      </c>
      <c r="J98" s="9" t="s">
        <v>632</v>
      </c>
      <c r="K98" s="9" t="s">
        <v>633</v>
      </c>
    </row>
    <row r="99" ht="22.5" customHeight="1">
      <c r="A99" s="14">
        <v>98.0</v>
      </c>
      <c r="B99" s="6" t="str">
        <f>IFERROR(__xludf.DUMMYFUNCTION("GOOGLETRANSLATE(H99, ""de"", ""en"")"),"How did the game of Bosseln spread beyond Germany?")</f>
        <v>How did the game of Bosseln spread beyond Germany?</v>
      </c>
      <c r="C99" s="7" t="s">
        <v>634</v>
      </c>
      <c r="D99" s="6" t="str">
        <f>IFERROR(__xludf.DUMMYFUNCTION("GOOGLETRANSLATE(J99, ""de"", ""en"")"),"Through migration")</f>
        <v>Through migration</v>
      </c>
      <c r="E99" s="6" t="str">
        <f>IFERROR(__xludf.DUMMYFUNCTION("GOOGLETRANSLATE(K99, ""de"", ""en"")"),"Bosseln spread beyond Germany primarily through immigration from German communities.")</f>
        <v>Bosseln spread beyond Germany primarily through immigration from German communities.</v>
      </c>
      <c r="G99" s="14">
        <v>98.0</v>
      </c>
      <c r="H99" s="9" t="s">
        <v>635</v>
      </c>
      <c r="I99" s="9" t="str">
        <f>IFERROR(__xludf.DUMMYFUNCTION("GOOGLETRANSLATE(C99, ""en"", ""de"")"),"A. Durch Migration B. Durch lokale Wettbewerbe C. Durch lokale Wettbewerbe D. Durch Militärübungen")</f>
        <v>A. Durch Migration B. Durch lokale Wettbewerbe C. Durch lokale Wettbewerbe D. Durch Militärübungen</v>
      </c>
      <c r="J99" s="9" t="s">
        <v>636</v>
      </c>
      <c r="K99" s="9" t="s">
        <v>637</v>
      </c>
    </row>
    <row r="100" ht="22.5" customHeight="1">
      <c r="A100" s="14">
        <v>99.0</v>
      </c>
      <c r="B100" s="6" t="str">
        <f>IFERROR(__xludf.DUMMYFUNCTION("GOOGLETRANSLATE(H100, ""de"", ""en"")"),"On what type of terrain is Bosseln typically played?")</f>
        <v>On what type of terrain is Bosseln typically played?</v>
      </c>
      <c r="C100" s="7" t="s">
        <v>638</v>
      </c>
      <c r="D100" s="6" t="str">
        <f>IFERROR(__xludf.DUMMYFUNCTION("GOOGLETRANSLATE(J100, ""de"", ""en"")"),"Unpaved country roads")</f>
        <v>Unpaved country roads</v>
      </c>
      <c r="E100" s="6" t="str">
        <f>IFERROR(__xludf.DUMMYFUNCTION("GOOGLETRANSLATE(K100, ""de"", ""en"")"),"Bosseln is traditionally played on unpaved country roads with natural obstacles.")</f>
        <v>Bosseln is traditionally played on unpaved country roads with natural obstacles.</v>
      </c>
      <c r="G100" s="14">
        <v>99.0</v>
      </c>
      <c r="H100" s="9" t="s">
        <v>639</v>
      </c>
      <c r="I100" s="9" t="str">
        <f>IFERROR(__xludf.DUMMYFUNCTION("GOOGLETRANSLATE(C100, ""en"", ""de"")"),"A. Kopfsteinpflasterstraßen B. Wiesen C. Wiesen D. Unbefestigte Landstraßen")</f>
        <v>A. Kopfsteinpflasterstraßen B. Wiesen C. Wiesen D. Unbefestigte Landstraßen</v>
      </c>
      <c r="J100" s="9" t="s">
        <v>640</v>
      </c>
      <c r="K100" s="9" t="s">
        <v>641</v>
      </c>
    </row>
    <row r="101" ht="22.5" customHeight="1">
      <c r="A101" s="14">
        <v>100.0</v>
      </c>
      <c r="B101" s="6" t="str">
        <f>IFERROR(__xludf.DUMMYFUNCTION("GOOGLETRANSLATE(H101, ""de"", ""en"")"),"How does the ball roll in bocce?")</f>
        <v>How does the ball roll in bocce?</v>
      </c>
      <c r="C101" s="7" t="s">
        <v>642</v>
      </c>
      <c r="D101" s="6" t="str">
        <f>IFERROR(__xludf.DUMMYFUNCTION("GOOGLETRANSLATE(J101, ""de"", ""en"")"),"Sneaky")</f>
        <v>Sneaky</v>
      </c>
      <c r="E101" s="6" t="str">
        <f>IFERROR(__xludf.DUMMYFUNCTION("GOOGLETRANSLATE(K101, ""de"", ""en"")"),"The players roll the bocce ball under their hand across the course to reach the goal.")</f>
        <v>The players roll the bocce ball under their hand across the course to reach the goal.</v>
      </c>
      <c r="G101" s="14">
        <v>100.0</v>
      </c>
      <c r="H101" s="9" t="s">
        <v>643</v>
      </c>
      <c r="I101" s="9" t="str">
        <f>IFERROR(__xludf.DUMMYFUNCTION("GOOGLETRANSLATE(C101, ""en"", ""de"")"),"A. Von oben B. Heimlich C. Heimlich D. Seitwärts")</f>
        <v>A. Von oben B. Heimlich C. Heimlich D. Seitwärts</v>
      </c>
      <c r="J101" s="9" t="s">
        <v>644</v>
      </c>
      <c r="K101" s="9" t="s">
        <v>645</v>
      </c>
    </row>
    <row r="102" ht="22.5" customHeight="1">
      <c r="A102" s="14">
        <v>101.0</v>
      </c>
      <c r="B102" s="6" t="str">
        <f>IFERROR(__xludf.DUMMYFUNCTION("GOOGLETRANSLATE(H102, ""de"", ""en"")"),"Which other sport is most similar to bocce?")</f>
        <v>Which other sport is most similar to bocce?</v>
      </c>
      <c r="C102" s="7" t="s">
        <v>646</v>
      </c>
      <c r="D102" s="6" t="str">
        <f>IFERROR(__xludf.DUMMYFUNCTION("GOOGLETRANSLATE(J102, ""de"", ""en"")"),"bowling")</f>
        <v>bowling</v>
      </c>
      <c r="E102" s="6" t="str">
        <f>IFERROR(__xludf.DUMMYFUNCTION("GOOGLETRANSLATE(K102, ""de"", ""en"")"),"Bowling has similar principles to bocce when it comes to rolling balls towards a target.")</f>
        <v>Bowling has similar principles to bocce when it comes to rolling balls towards a target.</v>
      </c>
      <c r="G102" s="14">
        <v>101.0</v>
      </c>
      <c r="H102" s="9" t="s">
        <v>647</v>
      </c>
      <c r="I102" s="9" t="str">
        <f>IFERROR(__xludf.DUMMYFUNCTION("GOOGLETRANSLATE(C102, ""en"", ""de"")"),"A. Curling B. Bowling C. Bowling D. Golf")</f>
        <v>A. Curling B. Bowling C. Bowling D. Golf</v>
      </c>
      <c r="J102" s="9" t="s">
        <v>450</v>
      </c>
      <c r="K102" s="9" t="s">
        <v>648</v>
      </c>
    </row>
    <row r="103" ht="22.5" customHeight="1">
      <c r="A103" s="14">
        <v>102.0</v>
      </c>
      <c r="B103" s="6" t="str">
        <f>IFERROR(__xludf.DUMMYFUNCTION("GOOGLETRANSLATE(H103, ""de"", ""en"")"),"Who determines the official rules of Bosseln today?")</f>
        <v>Who determines the official rules of Bosseln today?</v>
      </c>
      <c r="C103" s="7" t="s">
        <v>649</v>
      </c>
      <c r="D103" s="6" t="str">
        <f>IFERROR(__xludf.DUMMYFUNCTION("GOOGLETRANSLATE(J103, ""de"", ""en"")"),"National sports federations")</f>
        <v>National sports federations</v>
      </c>
      <c r="E103" s="6" t="str">
        <f>IFERROR(__xludf.DUMMYFUNCTION("GOOGLETRANSLATE(K103, ""de"", ""en"")"),"The rules of Bosseln are regulated by the national sports associations in Germany and neighboring countries.")</f>
        <v>The rules of Bosseln are regulated by the national sports associations in Germany and neighboring countries.</v>
      </c>
      <c r="G103" s="14">
        <v>102.0</v>
      </c>
      <c r="H103" s="9" t="s">
        <v>650</v>
      </c>
      <c r="I103" s="9" t="str">
        <f>IFERROR(__xludf.DUMMYFUNCTION("GOOGLETRANSLATE(C103, ""en"", ""de"")"),"A. Nationale Sportverbände B. Lokale Gemeinschaften C. Lokale Gemeinschaften D. Internationales Olympisches Komitee")</f>
        <v>A. Nationale Sportverbände B. Lokale Gemeinschaften C. Lokale Gemeinschaften D. Internationales Olympisches Komitee</v>
      </c>
      <c r="J103" s="9" t="s">
        <v>651</v>
      </c>
      <c r="K103" s="9" t="s">
        <v>652</v>
      </c>
    </row>
    <row r="104" ht="22.5" customHeight="1">
      <c r="A104" s="14">
        <v>103.0</v>
      </c>
      <c r="B104" s="6" t="str">
        <f>IFERROR(__xludf.DUMMYFUNCTION("GOOGLETRANSLATE(H104, ""de"", ""en"")"),"Which German region is considered the birthplace of Bosseln (a traditional German game similar to bowling).")</f>
        <v>Which German region is considered the birthplace of Bosseln (a traditional German game similar to bowling).</v>
      </c>
      <c r="C104" s="7" t="s">
        <v>653</v>
      </c>
      <c r="D104" s="6" t="str">
        <f>IFERROR(__xludf.DUMMYFUNCTION("GOOGLETRANSLATE(J104, ""de"", ""en"")"),"Lower Saxony")</f>
        <v>Lower Saxony</v>
      </c>
      <c r="E104" s="6" t="str">
        <f>IFERROR(__xludf.DUMMYFUNCTION("GOOGLETRANSLATE(K104, ""de"", ""en"")"),"Bosseln originated in Lower Saxony, which remains a center of the sport.")</f>
        <v>Bosseln originated in Lower Saxony, which remains a center of the sport.</v>
      </c>
      <c r="G104" s="14">
        <v>103.0</v>
      </c>
      <c r="H104" s="9" t="s">
        <v>654</v>
      </c>
      <c r="I104" s="9" t="str">
        <f>IFERROR(__xludf.DUMMYFUNCTION("GOOGLETRANSLATE(C104, ""en"", ""de"")"),"A. Niedersachsen B. Bayern C. Bayern D. Schleswig-Holstein")</f>
        <v>A. Niedersachsen B. Bayern C. Bayern D. Schleswig-Holstein</v>
      </c>
      <c r="J104" s="9" t="s">
        <v>273</v>
      </c>
      <c r="K104" s="9" t="s">
        <v>655</v>
      </c>
    </row>
    <row r="105" ht="22.5" customHeight="1">
      <c r="A105" s="14">
        <v>104.0</v>
      </c>
      <c r="B105" s="6" t="str">
        <f>IFERROR(__xludf.DUMMYFUNCTION("GOOGLETRANSLATE(H105, ""de"", ""en"")"),"What purpose did Bosseln tournaments serve in the 20th century?")</f>
        <v>What purpose did Bosseln tournaments serve in the 20th century?</v>
      </c>
      <c r="C105" s="7" t="s">
        <v>656</v>
      </c>
      <c r="D105" s="6" t="str">
        <f>IFERROR(__xludf.DUMMYFUNCTION("GOOGLETRANSLATE(J105, ""de"", ""en"")"),"Community bond")</f>
        <v>Community bond</v>
      </c>
      <c r="E105" s="6" t="str">
        <f>IFERROR(__xludf.DUMMYFUNCTION("GOOGLETRANSLATE(K105, ""de"", ""en"")"),"Bosseln tournaments in the 20th century focused on promoting community cohesion and local pride.")</f>
        <v>Bosseln tournaments in the 20th century focused on promoting community cohesion and local pride.</v>
      </c>
      <c r="G105" s="14">
        <v>104.0</v>
      </c>
      <c r="H105" s="9" t="s">
        <v>657</v>
      </c>
      <c r="I105" s="9" t="str">
        <f>IFERROR(__xludf.DUMMYFUNCTION("GOOGLETRANSLATE(C105, ""en"", ""de"")"),"A. Unterhaltung B. Gemeinschaftsanleihe C. Gemeinschaftsanleihe D. Streitbeilegung")</f>
        <v>A. Unterhaltung B. Gemeinschaftsanleihe C. Gemeinschaftsanleihe D. Streitbeilegung</v>
      </c>
      <c r="J105" s="9" t="s">
        <v>658</v>
      </c>
      <c r="K105" s="9" t="s">
        <v>659</v>
      </c>
    </row>
    <row r="106" ht="22.5" customHeight="1">
      <c r="A106" s="14">
        <v>105.0</v>
      </c>
      <c r="B106" s="6" t="str">
        <f>IFERROR(__xludf.DUMMYFUNCTION("GOOGLETRANSLATE(H106, ""de"", ""en"")"),"Which European country outside of Germany has a strong tradition of Bosseln (a traditional German sport similar to bocce)?")</f>
        <v>Which European country outside of Germany has a strong tradition of Bosseln (a traditional German sport similar to bocce)?</v>
      </c>
      <c r="C106" s="7" t="s">
        <v>660</v>
      </c>
      <c r="D106" s="6" t="str">
        <f>IFERROR(__xludf.DUMMYFUNCTION("GOOGLETRANSLATE(J106, ""de"", ""en"")"),"The Netherlands")</f>
        <v>The Netherlands</v>
      </c>
      <c r="E106" s="6" t="str">
        <f>IFERROR(__xludf.DUMMYFUNCTION("GOOGLETRANSLATE(K106, ""de"", ""en"")"),"The Netherlands has a remarkable bocce tradition, especially in rural areas.")</f>
        <v>The Netherlands has a remarkable bocce tradition, especially in rural areas.</v>
      </c>
      <c r="G106" s="14">
        <v>105.0</v>
      </c>
      <c r="H106" s="9" t="s">
        <v>661</v>
      </c>
      <c r="I106" s="9" t="str">
        <f>IFERROR(__xludf.DUMMYFUNCTION("GOOGLETRANSLATE(C106, ""en"", ""de"")"),"A. Niederlande B. Belgien C. Belgien D. Polen")</f>
        <v>A. Niederlande B. Belgien C. Belgien D. Polen</v>
      </c>
      <c r="J106" s="9" t="s">
        <v>662</v>
      </c>
      <c r="K106" s="9" t="s">
        <v>663</v>
      </c>
    </row>
    <row r="107" ht="22.5" customHeight="1">
      <c r="A107" s="14">
        <v>106.0</v>
      </c>
      <c r="B107" s="6" t="str">
        <f>IFERROR(__xludf.DUMMYFUNCTION("GOOGLETRANSLATE(H107, ""de"", ""en"")"),"What element of bocce makes it particularly challenging?")</f>
        <v>What element of bocce makes it particularly challenging?</v>
      </c>
      <c r="C107" s="7" t="s">
        <v>664</v>
      </c>
      <c r="D107" s="6" t="str">
        <f>IFERROR(__xludf.DUMMYFUNCTION("GOOGLETRANSLATE(J107, ""de"", ""en"")"),"Unpredictable terrain")</f>
        <v>Unpredictable terrain</v>
      </c>
      <c r="E107" s="6" t="str">
        <f>IFERROR(__xludf.DUMMYFUNCTION("GOOGLETRANSLATE(K107, ""de"", ""en"")"),"The unpredictable terrain of the country roads presents a challenge for the sport of bocce.")</f>
        <v>The unpredictable terrain of the country roads presents a challenge for the sport of bocce.</v>
      </c>
      <c r="G107" s="14">
        <v>106.0</v>
      </c>
      <c r="H107" s="9" t="s">
        <v>665</v>
      </c>
      <c r="I107" s="9" t="str">
        <f>IFERROR(__xludf.DUMMYFUNCTION("GOOGLETRANSLATE(C107, ""en"", ""de"")"),"A. Unvorhersehbares Gelände B. Ballgewicht C. Ballgewicht D. Wettkampfformat")</f>
        <v>A. Unvorhersehbares Gelände B. Ballgewicht C. Ballgewicht D. Wettkampfformat</v>
      </c>
      <c r="J107" s="9" t="s">
        <v>666</v>
      </c>
      <c r="K107" s="9" t="s">
        <v>667</v>
      </c>
    </row>
    <row r="108" ht="22.5" customHeight="1">
      <c r="A108" s="14">
        <v>107.0</v>
      </c>
      <c r="B108" s="6" t="str">
        <f>IFERROR(__xludf.DUMMYFUNCTION("GOOGLETRANSLATE(H108, ""de"", ""en"")"),"What is the goal of each player in a boss game?")</f>
        <v>What is the goal of each player in a boss game?</v>
      </c>
      <c r="C108" s="7" t="s">
        <v>668</v>
      </c>
      <c r="D108" s="6" t="str">
        <f>IFERROR(__xludf.DUMMYFUNCTION("GOOGLETRANSLATE(J108, ""de"", ""en"")"),"Roll the ball closest to a target.")</f>
        <v>Roll the ball closest to a target.</v>
      </c>
      <c r="E108" s="6" t="str">
        <f>IFERROR(__xludf.DUMMYFUNCTION("GOOGLETRANSLATE(K108, ""de"", ""en"")"),"The players' aim is to roll their ball as close as possible to a target on the field.")</f>
        <v>The players' aim is to roll their ball as close as possible to a target on the field.</v>
      </c>
      <c r="G108" s="14">
        <v>107.0</v>
      </c>
      <c r="H108" s="9" t="s">
        <v>669</v>
      </c>
      <c r="I108" s="9" t="str">
        <f>IFERROR(__xludf.DUMMYFUNCTION("GOOGLETRANSLATE(C108, ""en"", ""de"")"),"A. Den Ball am weitesten rollen. B. Die meisten Punkte erzielen. C. Die meisten Punkte erzielen. D. Den gegnerischen Ball vom Spielfeld werfen.")</f>
        <v>A. Den Ball am weitesten rollen. B. Die meisten Punkte erzielen. C. Die meisten Punkte erzielen. D. Den gegnerischen Ball vom Spielfeld werfen.</v>
      </c>
      <c r="J108" s="9" t="s">
        <v>670</v>
      </c>
      <c r="K108" s="9" t="s">
        <v>671</v>
      </c>
    </row>
    <row r="109" ht="22.5" customHeight="1">
      <c r="A109" s="14">
        <v>108.0</v>
      </c>
      <c r="B109" s="6" t="str">
        <f>IFERROR(__xludf.DUMMYFUNCTION("GOOGLETRANSLATE(H109, ""de"", ""en"")"),"What historical event led to a temporary decline in the popularity of bocce?")</f>
        <v>What historical event led to a temporary decline in the popularity of bocce?</v>
      </c>
      <c r="C109" s="7" t="s">
        <v>404</v>
      </c>
      <c r="D109" s="6" t="str">
        <f>IFERROR(__xludf.DUMMYFUNCTION("GOOGLETRANSLATE(J109, ""de"", ""en"")"),"Second World War")</f>
        <v>Second World War</v>
      </c>
      <c r="E109" s="6" t="str">
        <f>IFERROR(__xludf.DUMMYFUNCTION("GOOGLETRANSLATE(K109, ""de"", ""en"")"),"World War II destroyed rural communities and temporarily reduced the popularity of bocce.")</f>
        <v>World War II destroyed rural communities and temporarily reduced the popularity of bocce.</v>
      </c>
      <c r="G109" s="14">
        <v>108.0</v>
      </c>
      <c r="H109" s="9" t="s">
        <v>672</v>
      </c>
      <c r="I109" s="9" t="str">
        <f>IFERROR(__xludf.DUMMYFUNCTION("GOOGLETRANSLATE(C109, ""en"", ""de"")"),"A. Erster Weltkrieg B. Die globale Wirtschaftskrise C. Die globale Wirtschaftskrise D. Zweiter Weltkrieg")</f>
        <v>A. Erster Weltkrieg B. Die globale Wirtschaftskrise C. Die globale Wirtschaftskrise D. Zweiter Weltkrieg</v>
      </c>
      <c r="J109" s="9" t="s">
        <v>673</v>
      </c>
      <c r="K109" s="9" t="s">
        <v>674</v>
      </c>
    </row>
    <row r="110" ht="22.5" customHeight="1">
      <c r="A110" s="14">
        <v>109.0</v>
      </c>
      <c r="B110" s="6" t="str">
        <f>IFERROR(__xludf.DUMMYFUNCTION("GOOGLETRANSLATE(H110, ""de"", ""en"")"),"Which social class predominantly played Boßeln in its early days?")</f>
        <v>Which social class predominantly played Boßeln in its early days?</v>
      </c>
      <c r="C110" s="7" t="s">
        <v>675</v>
      </c>
      <c r="D110" s="6" t="str">
        <f>IFERROR(__xludf.DUMMYFUNCTION("GOOGLETRANSLATE(J110, ""de"", ""en"")"),"farmers and farmers")</f>
        <v>farmers and farmers</v>
      </c>
      <c r="E110" s="6" t="str">
        <f>IFERROR(__xludf.DUMMYFUNCTION("GOOGLETRANSLATE(K110, ""de"", ""en"")"),"Bosseln was primarily a game played by farmers and peasants in rural areas.")</f>
        <v>Bosseln was primarily a game played by farmers and peasants in rural areas.</v>
      </c>
      <c r="G110" s="14">
        <v>109.0</v>
      </c>
      <c r="H110" s="9" t="s">
        <v>676</v>
      </c>
      <c r="I110" s="9" t="str">
        <f>IFERROR(__xludf.DUMMYFUNCTION("GOOGLETRANSLATE(C110, ""en"", ""de"")"),"A. Adel B. Mittelstand C. Mittelstand D. Bauern und Landwirte")</f>
        <v>A. Adel B. Mittelstand C. Mittelstand D. Bauern und Landwirte</v>
      </c>
      <c r="J110" s="9" t="s">
        <v>677</v>
      </c>
      <c r="K110" s="9" t="s">
        <v>678</v>
      </c>
    </row>
    <row r="111" ht="22.5" customHeight="1">
      <c r="A111" s="14">
        <v>110.0</v>
      </c>
      <c r="B111" s="6" t="str">
        <f>IFERROR(__xludf.DUMMYFUNCTION("GOOGLETRANSLATE(H111, ""de"", ""en"")"),"How did the traditional game of Bosseln end?")</f>
        <v>How did the traditional game of Bosseln end?</v>
      </c>
      <c r="C111" s="7" t="s">
        <v>679</v>
      </c>
      <c r="D111" s="6" t="str">
        <f>IFERROR(__xludf.DUMMYFUNCTION("GOOGLETRANSLATE(J111, ""de"", ""en"")"),"The team with the most points wins.")</f>
        <v>The team with the most points wins.</v>
      </c>
      <c r="E111" s="6" t="str">
        <f>IFERROR(__xludf.DUMMYFUNCTION("GOOGLETRANSLATE(K111, ""de"", ""en"")"),"The game of Bosseln traditionally ends when one team has collected the most points.")</f>
        <v>The game of Bosseln traditionally ends when one team has collected the most points.</v>
      </c>
      <c r="G111" s="14">
        <v>110.0</v>
      </c>
      <c r="H111" s="9" t="s">
        <v>680</v>
      </c>
      <c r="I111" s="9" t="str">
        <f>IFERROR(__xludf.DUMMYFUNCTION("GOOGLETRANSLATE(C111, ""en"", ""de"")"),"A. Das Team mit den meisten Punkten gewinnt. B. Wenn ein Team ein bestimmtes Ziel erreicht. C. Wenn ein Team ein bestimmtes Ziel erreicht. D. Wenn alle Spieler ihre Bälle geworfen haben.")</f>
        <v>A. Das Team mit den meisten Punkten gewinnt. B. Wenn ein Team ein bestimmtes Ziel erreicht. C. Wenn ein Team ein bestimmtes Ziel erreicht. D. Wenn alle Spieler ihre Bälle geworfen haben.</v>
      </c>
      <c r="J111" s="9" t="s">
        <v>681</v>
      </c>
      <c r="K111" s="9" t="s">
        <v>682</v>
      </c>
    </row>
    <row r="112" ht="22.5" customHeight="1">
      <c r="A112" s="14">
        <v>111.0</v>
      </c>
      <c r="B112" s="6" t="str">
        <f>IFERROR(__xludf.DUMMYFUNCTION("GOOGLETRANSLATE(H112, ""de"", ""en"")"),"In which year did the first Bosseln championship take place?")</f>
        <v>In which year did the first Bosseln championship take place?</v>
      </c>
      <c r="C112" s="7" t="s">
        <v>683</v>
      </c>
      <c r="D112" s="6" t="str">
        <f>IFERROR(__xludf.DUMMYFUNCTION("GOOGLETRANSLATE(J112, ""de"", ""en"")"),"1885")</f>
        <v>1885</v>
      </c>
      <c r="E112" s="6" t="str">
        <f>IFERROR(__xludf.DUMMYFUNCTION("GOOGLETRANSLATE(K112, ""de"", ""en"")"),"The first Bosseln championship was held in Germany in 1885.")</f>
        <v>The first Bosseln championship was held in Germany in 1885.</v>
      </c>
      <c r="G112" s="14">
        <v>111.0</v>
      </c>
      <c r="H112" s="9" t="s">
        <v>684</v>
      </c>
      <c r="I112" s="9" t="str">
        <f>IFERROR(__xludf.DUMMYFUNCTION("GOOGLETRANSLATE(C112, ""en"", ""de"")"),"A. 1901 B. 1923 C. 1923 D. 1885")</f>
        <v>A. 1901 B. 1923 C. 1923 D. 1885</v>
      </c>
      <c r="J112" s="11">
        <v>1885.0</v>
      </c>
      <c r="K112" s="9" t="s">
        <v>685</v>
      </c>
    </row>
    <row r="113" ht="22.5" customHeight="1">
      <c r="A113" s="14">
        <v>112.0</v>
      </c>
      <c r="B113" s="6" t="str">
        <f>IFERROR(__xludf.DUMMYFUNCTION("GOOGLETRANSLATE(H113, ""de"", ""en"")"),"What was one of the earliest forms of bocce equipment?")</f>
        <v>What was one of the earliest forms of bocce equipment?</v>
      </c>
      <c r="C113" s="7" t="s">
        <v>686</v>
      </c>
      <c r="D113" s="6" t="str">
        <f>IFERROR(__xludf.DUMMYFUNCTION("GOOGLETRANSLATE(J113, ""de"", ""en"")"),"Stone spheres")</f>
        <v>Stone spheres</v>
      </c>
      <c r="E113" s="6" t="str">
        <f>IFERROR(__xludf.DUMMYFUNCTION("GOOGLETRANSLATE(K113, ""de"", ""en"")"),"In the early days of bocce, stone balls were used before metal balls came into use.")</f>
        <v>In the early days of bocce, stone balls were used before metal balls came into use.</v>
      </c>
      <c r="G113" s="14">
        <v>112.0</v>
      </c>
      <c r="H113" s="9" t="s">
        <v>687</v>
      </c>
      <c r="I113" s="9" t="str">
        <f>IFERROR(__xludf.DUMMYFUNCTION("GOOGLETRANSLATE(C113, ""en"", ""de"")"),"A. Lederkugeln B. Holzscheiben C. Holzscheiben D. Steinkugeln")</f>
        <v>A. Lederkugeln B. Holzscheiben C. Holzscheiben D. Steinkugeln</v>
      </c>
      <c r="J113" s="9" t="s">
        <v>688</v>
      </c>
      <c r="K113" s="9" t="s">
        <v>689</v>
      </c>
    </row>
    <row r="114" ht="22.5" customHeight="1">
      <c r="A114" s="14">
        <v>113.0</v>
      </c>
      <c r="B114" s="6" t="str">
        <f>IFERROR(__xludf.DUMMYFUNCTION("GOOGLETRANSLATE(H114, ""de"", ""en"")"),"How does Bosseln differ from traditional bowling?")</f>
        <v>How does Bosseln differ from traditional bowling?</v>
      </c>
      <c r="C114" s="7" t="s">
        <v>690</v>
      </c>
      <c r="D114" s="6" t="str">
        <f>IFERROR(__xludf.DUMMYFUNCTION("GOOGLETRANSLATE(J114, ""de"", ""en"")"),"The game is played outdoors.")</f>
        <v>The game is played outdoors.</v>
      </c>
      <c r="E114" s="6" t="str">
        <f>IFERROR(__xludf.DUMMYFUNCTION("GOOGLETRANSLATE(K114, ""de"", ""en"")"),"Bosseln is played outdoors on country roads, unlike traditional bowling, which is played indoors.")</f>
        <v>Bosseln is played outdoors on country roads, unlike traditional bowling, which is played indoors.</v>
      </c>
      <c r="G114" s="14">
        <v>113.0</v>
      </c>
      <c r="H114" s="9" t="s">
        <v>691</v>
      </c>
      <c r="I114" s="9" t="str">
        <f>IFERROR(__xludf.DUMMYFUNCTION("GOOGLETRANSLATE(C114, ""en"", ""de"")"),"A. Das Spiel wird im Freien gespielt. B. Es wird drinnen gespielt. C. Es wird drinnen gespielt. D. Der Ball ist größer.")</f>
        <v>A. Das Spiel wird im Freien gespielt. B. Es wird drinnen gespielt. C. Es wird drinnen gespielt. D. Der Ball ist größer.</v>
      </c>
      <c r="J114" s="9" t="s">
        <v>692</v>
      </c>
      <c r="K114" s="9" t="s">
        <v>693</v>
      </c>
    </row>
    <row r="115" ht="22.5" customHeight="1">
      <c r="A115" s="14">
        <v>114.0</v>
      </c>
      <c r="B115" s="6" t="str">
        <f>IFERROR(__xludf.DUMMYFUNCTION("GOOGLETRANSLATE(H115, ""de"", ""en"")"),"What cultural significance does Bosseln have in German-speaking countries?")</f>
        <v>What cultural significance does Bosseln have in German-speaking countries?</v>
      </c>
      <c r="C115" s="7" t="s">
        <v>694</v>
      </c>
      <c r="D115" s="6" t="str">
        <f>IFERROR(__xludf.DUMMYFUNCTION("GOOGLETRANSLATE(J115, ""de"", ""en"")"),"It connects people with nature.")</f>
        <v>It connects people with nature.</v>
      </c>
      <c r="E115" s="6" t="str">
        <f>IFERROR(__xludf.DUMMYFUNCTION("GOOGLETRANSLATE(K115, ""de"", ""en"")"),"Bosseln has cultural significance as a connection between people and rural traditions and nature.")</f>
        <v>Bosseln has cultural significance as a connection between people and rural traditions and nature.</v>
      </c>
      <c r="G115" s="14">
        <v>114.0</v>
      </c>
      <c r="H115" s="9" t="s">
        <v>695</v>
      </c>
      <c r="I115" s="9" t="str">
        <f>IFERROR(__xludf.DUMMYFUNCTION("GOOGLETRANSLATE(C115, ""en"", ""de"")"),"A. Es handelt sich um eine Form des lokalen Geschichtenerzählens. B. Es fördert den Familienzusammenhalt. C. Es fördert den Familienzusammenhalt. D. Es verbindet Menschen mit der Natur.")</f>
        <v>A. Es handelt sich um eine Form des lokalen Geschichtenerzählens. B. Es fördert den Familienzusammenhalt. C. Es fördert den Familienzusammenhalt. D. Es verbindet Menschen mit der Natur.</v>
      </c>
      <c r="J115" s="9" t="s">
        <v>696</v>
      </c>
      <c r="K115" s="9" t="s">
        <v>697</v>
      </c>
    </row>
    <row r="116" ht="22.5" customHeight="1">
      <c r="A116" s="14">
        <v>115.0</v>
      </c>
      <c r="B116" s="6" t="str">
        <f>IFERROR(__xludf.DUMMYFUNCTION("GOOGLETRANSLATE(H116, ""de"", ""en"")"),"Which invention had a major influence on the development of bocce?")</f>
        <v>Which invention had a major influence on the development of bocce?</v>
      </c>
      <c r="C116" s="7" t="s">
        <v>698</v>
      </c>
      <c r="D116" s="6" t="str">
        <f>IFERROR(__xludf.DUMMYFUNCTION("GOOGLETRANSLATE(J116, ""de"", ""en"")"),"The bike")</f>
        <v>The bike</v>
      </c>
      <c r="E116" s="6" t="str">
        <f>IFERROR(__xludf.DUMMYFUNCTION("GOOGLETRANSLATE(K116, ""de"", ""en"")"),"The bicycle influenced bocce by fostering a culture of outdoor games with wheels.")</f>
        <v>The bicycle influenced bocce by fostering a culture of outdoor games with wheels.</v>
      </c>
      <c r="G116" s="14">
        <v>115.0</v>
      </c>
      <c r="H116" s="9" t="s">
        <v>699</v>
      </c>
      <c r="I116" s="9" t="str">
        <f>IFERROR(__xludf.DUMMYFUNCTION("GOOGLETRANSLATE(C116, ""en"", ""de"")"),"A. Die Druckerpresse B. Die Dampfmaschine C. Die Dampfmaschine D. Das Fahrrad")</f>
        <v>A. Die Druckerpresse B. Die Dampfmaschine C. Die Dampfmaschine D. Das Fahrrad</v>
      </c>
      <c r="J116" s="9" t="s">
        <v>700</v>
      </c>
      <c r="K116" s="9" t="s">
        <v>701</v>
      </c>
    </row>
    <row r="117" ht="22.5" customHeight="1">
      <c r="A117" s="14">
        <v>116.0</v>
      </c>
      <c r="B117" s="6" t="str">
        <f>IFERROR(__xludf.DUMMYFUNCTION("GOOGLETRANSLATE(H117, ""de"", ""en"")"),"Which group is often credited with organizing the first Bosseln league?")</f>
        <v>Which group is often credited with organizing the first Bosseln league?</v>
      </c>
      <c r="C117" s="7" t="s">
        <v>702</v>
      </c>
      <c r="D117" s="6" t="str">
        <f>IFERROR(__xludf.DUMMYFUNCTION("GOOGLETRANSLATE(J117, ""de"", ""en"")"),"Farmers' associations")</f>
        <v>Farmers' associations</v>
      </c>
      <c r="E117" s="6" t="str">
        <f>IFERROR(__xludf.DUMMYFUNCTION("GOOGLETRANSLATE(K117, ""de"", ""en"")"),"The farmers' associations are credited with organizing the first Boßeln league.")</f>
        <v>The farmers' associations are credited with organizing the first Boßeln league.</v>
      </c>
      <c r="G117" s="14">
        <v>116.0</v>
      </c>
      <c r="H117" s="9" t="s">
        <v>703</v>
      </c>
      <c r="I117" s="9" t="str">
        <f>IFERROR(__xludf.DUMMYFUNCTION("GOOGLETRANSLATE(C117, ""en"", ""de"")"),"A. Bauernverbände B. Gemeinderäte C. Gemeinderäte D. Sportverbände")</f>
        <v>A. Bauernverbände B. Gemeinderäte C. Gemeinderäte D. Sportverbände</v>
      </c>
      <c r="J117" s="9" t="s">
        <v>704</v>
      </c>
      <c r="K117" s="9" t="s">
        <v>705</v>
      </c>
    </row>
    <row r="118" ht="22.5" customHeight="1">
      <c r="A118" s="14">
        <v>117.0</v>
      </c>
      <c r="B118" s="6" t="str">
        <f>IFERROR(__xludf.DUMMYFUNCTION("GOOGLETRANSLATE(H118, ""de"", ""en"")"),"Which folk festivals often include bocce ball competitions?")</f>
        <v>Which folk festivals often include bocce ball competitions?</v>
      </c>
      <c r="C118" s="7" t="s">
        <v>706</v>
      </c>
      <c r="D118" s="6" t="str">
        <f>IFERROR(__xludf.DUMMYFUNCTION("GOOGLETRANSLATE(J118, ""de"", ""en"")"),"Harvest festivals")</f>
        <v>Harvest festivals</v>
      </c>
      <c r="E118" s="6" t="str">
        <f>IFERROR(__xludf.DUMMYFUNCTION("GOOGLETRANSLATE(K118, ""de"", ""en"")"),"Bosseln is often played at harvest festivals as part of local celebrations.")</f>
        <v>Bosseln is often played at harvest festivals as part of local celebrations.</v>
      </c>
      <c r="G118" s="14">
        <v>117.0</v>
      </c>
      <c r="H118" s="9" t="s">
        <v>707</v>
      </c>
      <c r="I118" s="9" t="str">
        <f>IFERROR(__xludf.DUMMYFUNCTION("GOOGLETRANSLATE(C118, ""en"", ""de"")"),"A. Oktoberfest B. Karneval C. Karneval D. Erntedankfeste")</f>
        <v>A. Oktoberfest B. Karneval C. Karneval D. Erntedankfeste</v>
      </c>
      <c r="J118" s="9" t="s">
        <v>708</v>
      </c>
      <c r="K118" s="9" t="s">
        <v>709</v>
      </c>
    </row>
    <row r="119" ht="22.5" customHeight="1">
      <c r="A119" s="14">
        <v>118.0</v>
      </c>
      <c r="B119" s="6" t="str">
        <f>IFERROR(__xludf.DUMMYFUNCTION("GOOGLETRANSLATE(H119, ""de"", ""en"")"),"How long does a typical game of Bosseln last?")</f>
        <v>How long does a typical game of Bosseln last?</v>
      </c>
      <c r="C119" s="7" t="s">
        <v>710</v>
      </c>
      <c r="D119" s="6" t="str">
        <f>IFERROR(__xludf.DUMMYFUNCTION("GOOGLETRANSLATE(J119, ""de"", ""en"")"),"Depends on the number of players")</f>
        <v>Depends on the number of players</v>
      </c>
      <c r="E119" s="6" t="str">
        <f>IFERROR(__xludf.DUMMYFUNCTION("GOOGLETRANSLATE(K119, ""de"", ""en"")"),"The duration of a Bosseln game depends on the number of participants and the length of the course.")</f>
        <v>The duration of a Bosseln game depends on the number of participants and the length of the course.</v>
      </c>
      <c r="G119" s="14">
        <v>118.0</v>
      </c>
      <c r="H119" s="9" t="s">
        <v>711</v>
      </c>
      <c r="I119" s="9" t="str">
        <f>IFERROR(__xludf.DUMMYFUNCTION("GOOGLETRANSLATE(C119, ""en"", ""de"")"),"A. 30 Minuten B. 1 Stunde C. 1 Stunde D. 2 Stunden")</f>
        <v>A. 30 Minuten B. 1 Stunde C. 1 Stunde D. 2 Stunden</v>
      </c>
      <c r="J119" s="9" t="s">
        <v>712</v>
      </c>
      <c r="K119" s="9" t="s">
        <v>713</v>
      </c>
    </row>
    <row r="120" ht="22.5" customHeight="1">
      <c r="A120" s="14">
        <v>119.0</v>
      </c>
      <c r="B120" s="6" t="str">
        <f>IFERROR(__xludf.DUMMYFUNCTION("GOOGLETRANSLATE(H120, ""de"", ""en"")"),"What was one of the challenges in organizing early bocce tournaments?")</f>
        <v>What was one of the challenges in organizing early bocce tournaments?</v>
      </c>
      <c r="C120" s="7" t="s">
        <v>714</v>
      </c>
      <c r="D120" s="6" t="str">
        <f>IFERROR(__xludf.DUMMYFUNCTION("GOOGLETRANSLATE(J120, ""de"", ""en"")"),"Inconsistent rules")</f>
        <v>Inconsistent rules</v>
      </c>
      <c r="E120" s="6" t="str">
        <f>IFERROR(__xludf.DUMMYFUNCTION("GOOGLETRANSLATE(K120, ""de"", ""en"")"),"One of the challenges of early Bosseln events was the lack of standardized rules.")</f>
        <v>One of the challenges of early Bosseln events was the lack of standardized rules.</v>
      </c>
      <c r="G120" s="14">
        <v>119.0</v>
      </c>
      <c r="H120" s="9" t="s">
        <v>715</v>
      </c>
      <c r="I120" s="9" t="str">
        <f>IFERROR(__xludf.DUMMYFUNCTION("GOOGLETRANSLATE(C120, ""en"", ""de"")"),"A. Platzmangel B. Wetterbedingungen C. Wetterbedingungen D. Eingeschränkte Teilnahme")</f>
        <v>A. Platzmangel B. Wetterbedingungen C. Wetterbedingungen D. Eingeschränkte Teilnahme</v>
      </c>
      <c r="J120" s="9" t="s">
        <v>716</v>
      </c>
      <c r="K120" s="9" t="s">
        <v>717</v>
      </c>
    </row>
    <row r="121" ht="22.5" customHeight="1">
      <c r="A121" s="14">
        <v>120.0</v>
      </c>
      <c r="B121" s="6" t="str">
        <f>IFERROR(__xludf.DUMMYFUNCTION("GOOGLETRANSLATE(H121, ""de"", ""en"")"),"What is the unique selling point of Bosseln compared to other sports?")</f>
        <v>What is the unique selling point of Bosseln compared to other sports?</v>
      </c>
      <c r="C121" s="7" t="s">
        <v>718</v>
      </c>
      <c r="D121" s="6" t="str">
        <f>IFERROR(__xludf.DUMMYFUNCTION("GOOGLETRANSLATE(J121, ""de"", ""en"")"),"It is played on the streets.")</f>
        <v>It is played on the streets.</v>
      </c>
      <c r="E121" s="6" t="str">
        <f>IFERROR(__xludf.DUMMYFUNCTION("GOOGLETRANSLATE(K121, ""de"", ""en"")"),"The most unique thing about Bosseln is that it is played on unpaved roads in rural surroundings.")</f>
        <v>The most unique thing about Bosseln is that it is played on unpaved roads in rural surroundings.</v>
      </c>
      <c r="G121" s="14">
        <v>120.0</v>
      </c>
      <c r="H121" s="9" t="s">
        <v>719</v>
      </c>
      <c r="I121" s="9" t="str">
        <f>IFERROR(__xludf.DUMMYFUNCTION("GOOGLETRANSLATE(C121, ""en"", ""de"")"),"A. Es wird auf der Straße gespielt. B. Dabei werden Stöcke verwendet. C. Bei diesem Spiel werden Stöcke verwendet. D. Das Spiel wird in Mannschaften mit 12 Spielern gespielt.")</f>
        <v>A. Es wird auf der Straße gespielt. B. Dabei werden Stöcke verwendet. C. Bei diesem Spiel werden Stöcke verwendet. D. Das Spiel wird in Mannschaften mit 12 Spielern gespielt.</v>
      </c>
      <c r="J121" s="9" t="s">
        <v>720</v>
      </c>
      <c r="K121" s="9" t="s">
        <v>721</v>
      </c>
    </row>
    <row r="122" ht="22.5" customHeight="1">
      <c r="A122" s="14">
        <v>121.0</v>
      </c>
      <c r="B122" s="6" t="str">
        <f>IFERROR(__xludf.DUMMYFUNCTION("GOOGLETRANSLATE(H122, ""de"", ""en"")"),"How has bocce influenced other sports?")</f>
        <v>How has bocce influenced other sports?</v>
      </c>
      <c r="C122" s="7" t="s">
        <v>722</v>
      </c>
      <c r="D122" s="6" t="str">
        <f>IFERROR(__xludf.DUMMYFUNCTION("GOOGLETRANSLATE(J122, ""de"", ""en"")"),"Introduction of rolling techniques into other games")</f>
        <v>Introduction of rolling techniques into other games</v>
      </c>
      <c r="E122" s="6" t="str">
        <f>IFERROR(__xludf.DUMMYFUNCTION("GOOGLETRANSLATE(K122, ""de"", ""en"")"),"Bosseln introduced rolling techniques that influenced other games such as curling.")</f>
        <v>Bosseln introduced rolling techniques that influenced other games such as curling.</v>
      </c>
      <c r="G122" s="14">
        <v>121.0</v>
      </c>
      <c r="H122" s="9" t="s">
        <v>723</v>
      </c>
      <c r="I122" s="9" t="str">
        <f>IFERROR(__xludf.DUMMYFUNCTION("GOOGLETRANSLATE(C122, ""en"", ""de"")"),"A. Einführung von Rolltechniken in andere Spiele. B. Inspiriert von den Regeln des Curlings. C. Inspiriert von den Regeln des Curlings. D. Dies führte zur Entstehung des Rasenbowlings.")</f>
        <v>A. Einführung von Rolltechniken in andere Spiele. B. Inspiriert von den Regeln des Curlings. C. Inspiriert von den Regeln des Curlings. D. Dies führte zur Entstehung des Rasenbowlings.</v>
      </c>
      <c r="J122" s="9" t="s">
        <v>724</v>
      </c>
      <c r="K122" s="9" t="s">
        <v>725</v>
      </c>
    </row>
    <row r="123" ht="22.5" customHeight="1">
      <c r="A123" s="14">
        <v>122.0</v>
      </c>
      <c r="B123" s="6" t="str">
        <f>IFERROR(__xludf.DUMMYFUNCTION("GOOGLETRANSLATE(H123, ""de"", ""en"")"),"What is one reason why bocce was so popular in rural communities?")</f>
        <v>What is one reason why bocce was so popular in rural communities?</v>
      </c>
      <c r="C123" s="7" t="s">
        <v>726</v>
      </c>
      <c r="D123" s="6" t="str">
        <f>IFERROR(__xludf.DUMMYFUNCTION("GOOGLETRANSLATE(J123, ""de"", ""en"")"),"It required only minimal equipment.")</f>
        <v>It required only minimal equipment.</v>
      </c>
      <c r="E123" s="6" t="str">
        <f>IFERROR(__xludf.DUMMYFUNCTION("GOOGLETRANSLATE(K123, ""de"", ""en"")"),"Bosseln was popular in rural communities because it required minimal equipment and could be played outdoors.")</f>
        <v>Bosseln was popular in rural communities because it required minimal equipment and could be played outdoors.</v>
      </c>
      <c r="G123" s="14">
        <v>122.0</v>
      </c>
      <c r="H123" s="9" t="s">
        <v>727</v>
      </c>
      <c r="I123" s="9" t="str">
        <f>IFERROR(__xludf.DUMMYFUNCTION("GOOGLETRANSLATE(C123, ""en"", ""de"")"),"A. Es benötigte nur minimale Ausrüstung. B. Es wurde das ganze Jahr über gespielt. C. Es wurde das ganze Jahr über gespielt. D. Es war teuer zu spielen.")</f>
        <v>A. Es benötigte nur minimale Ausrüstung. B. Es wurde das ganze Jahr über gespielt. C. Es wurde das ganze Jahr über gespielt. D. Es war teuer zu spielen.</v>
      </c>
      <c r="J123" s="9" t="s">
        <v>728</v>
      </c>
      <c r="K123" s="9" t="s">
        <v>729</v>
      </c>
    </row>
    <row r="124" ht="22.5" customHeight="1">
      <c r="A124" s="14">
        <v>123.0</v>
      </c>
      <c r="B124" s="6" t="str">
        <f>IFERROR(__xludf.DUMMYFUNCTION("GOOGLETRANSLATE(H124, ""de"", ""en"")"),"To whom is the modernization of the rules of Bosseln (a German sport similar to bocce) attributed?")</f>
        <v>To whom is the modernization of the rules of Bosseln (a German sport similar to bocce) attributed?</v>
      </c>
      <c r="C124" s="7" t="s">
        <v>730</v>
      </c>
      <c r="D124" s="6" t="str">
        <f>IFERROR(__xludf.DUMMYFUNCTION("GOOGLETRANSLATE(J124, ""de"", ""en"")"),"Local sports clubs")</f>
        <v>Local sports clubs</v>
      </c>
      <c r="E124" s="6" t="str">
        <f>IFERROR(__xludf.DUMMYFUNCTION("GOOGLETRANSLATE(K124, ""de"", ""en"")"),"Local sports clubs in Germany played a key role in modernizing the rules of Bosseln (a traditional German sport similar to bocce).")</f>
        <v>Local sports clubs in Germany played a key role in modernizing the rules of Bosseln (a traditional German sport similar to bocce).</v>
      </c>
      <c r="G124" s="14">
        <v>123.0</v>
      </c>
      <c r="H124" s="9" t="s">
        <v>731</v>
      </c>
      <c r="I124" s="9" t="str">
        <f>IFERROR(__xludf.DUMMYFUNCTION("GOOGLETRANSLATE(C124, ""en"", ""de"")"),"A. Lokale Sportvereine B. Militärführer C. Militärführer D. Die deutsche Regierung")</f>
        <v>A. Lokale Sportvereine B. Militärführer C. Militärführer D. Die deutsche Regierung</v>
      </c>
      <c r="J124" s="9" t="s">
        <v>732</v>
      </c>
      <c r="K124" s="9" t="s">
        <v>733</v>
      </c>
    </row>
    <row r="125" ht="22.5" customHeight="1">
      <c r="A125" s="14">
        <v>124.0</v>
      </c>
      <c r="B125" s="6" t="str">
        <f>IFERROR(__xludf.DUMMYFUNCTION("GOOGLETRANSLATE(H125, ""de"", ""en"")"),"What did the early Bosseln players use as point markers?")</f>
        <v>What did the early Bosseln players use as point markers?</v>
      </c>
      <c r="C125" s="7" t="s">
        <v>734</v>
      </c>
      <c r="D125" s="6" t="str">
        <f>IFERROR(__xludf.DUMMYFUNCTION("GOOGLETRANSLATE(J125, ""de"", ""en"")"),"rock")</f>
        <v>rock</v>
      </c>
      <c r="E125" s="6" t="str">
        <f>IFERROR(__xludf.DUMMYFUNCTION("GOOGLETRANSLATE(K125, ""de"", ""en"")"),"In early games, stones were often used as natural markers for scoring.")</f>
        <v>In early games, stones were often used as natural markers for scoring.</v>
      </c>
      <c r="G125" s="14">
        <v>124.0</v>
      </c>
      <c r="H125" s="9" t="s">
        <v>735</v>
      </c>
      <c r="I125" s="9" t="str">
        <f>IFERROR(__xludf.DUMMYFUNCTION("GOOGLETRANSLATE(C125, ""en"", ""de"")"),"A. Bäume B. Felsen C. Felsen D. Missionen")</f>
        <v>A. Bäume B. Felsen C. Felsen D. Missionen</v>
      </c>
      <c r="J125" s="9" t="s">
        <v>736</v>
      </c>
      <c r="K125" s="9" t="s">
        <v>737</v>
      </c>
    </row>
    <row r="126" ht="22.5" customHeight="1">
      <c r="A126" s="14">
        <v>125.0</v>
      </c>
      <c r="B126" s="6" t="str">
        <f>IFERROR(__xludf.DUMMYFUNCTION("GOOGLETRANSLATE(H126, ""de"", ""en"")"),"What is an essential skill in bocce?")</f>
        <v>What is an essential skill in bocce?</v>
      </c>
      <c r="C126" s="7" t="s">
        <v>738</v>
      </c>
      <c r="D126" s="6" t="str">
        <f>IFERROR(__xludf.DUMMYFUNCTION("GOOGLETRANSLATE(J126, ""de"", ""en"")"),"Steady hands")</f>
        <v>Steady hands</v>
      </c>
      <c r="E126" s="6" t="str">
        <f>IFERROR(__xludf.DUMMYFUNCTION("GOOGLETRANSLATE(K126, ""de"", ""en"")"),"Steady hands and precision are essential skills to effectively roll the ball in bocce.")</f>
        <v>Steady hands and precision are essential skills to effectively roll the ball in bocce.</v>
      </c>
      <c r="G126" s="14">
        <v>125.0</v>
      </c>
      <c r="H126" s="9" t="s">
        <v>739</v>
      </c>
      <c r="I126" s="9" t="str">
        <f>IFERROR(__xludf.DUMMYFUNCTION("GOOGLETRANSLATE(C126, ""en"", ""de"")"),"A. Ruhige Hände B. Starke Beine C. Starke Beine D. Ausdauer")</f>
        <v>A. Ruhige Hände B. Starke Beine C. Starke Beine D. Ausdauer</v>
      </c>
      <c r="J126" s="9" t="s">
        <v>740</v>
      </c>
      <c r="K126" s="9" t="s">
        <v>741</v>
      </c>
    </row>
    <row r="127" ht="22.5" customHeight="1">
      <c r="A127" s="14">
        <v>126.0</v>
      </c>
      <c r="B127" s="6" t="str">
        <f>IFERROR(__xludf.DUMMYFUNCTION("GOOGLETRANSLATE(H127, ""de"", ""en"")"),"What historical event in the 19th century led to the increasing popularity of Bosseln?")</f>
        <v>What historical event in the 19th century led to the increasing popularity of Bosseln?</v>
      </c>
      <c r="C127" s="7" t="s">
        <v>742</v>
      </c>
      <c r="D127" s="6" t="str">
        <f>IFERROR(__xludf.DUMMYFUNCTION("GOOGLETRANSLATE(J127, ""de"", ""en"")"),"Industrial Revolution")</f>
        <v>Industrial Revolution</v>
      </c>
      <c r="E127" s="6" t="str">
        <f>IFERROR(__xludf.DUMMYFUNCTION("GOOGLETRANSLATE(K127, ""de"", ""en"")"),"The Industrial Revolution contributed to the spread of bocce due to increasing leisure time and social mobility.")</f>
        <v>The Industrial Revolution contributed to the spread of bocce due to increasing leisure time and social mobility.</v>
      </c>
      <c r="G127" s="14">
        <v>126.0</v>
      </c>
      <c r="H127" s="9" t="s">
        <v>743</v>
      </c>
      <c r="I127" s="9" t="str">
        <f>IFERROR(__xludf.DUMMYFUNCTION("GOOGLETRANSLATE(C127, ""en"", ""de"")"),"A. Industrielle Revolution B. Napoleonische Kriege C. Napoleonische Kriege D. Soziale Reformbewegungen")</f>
        <v>A. Industrielle Revolution B. Napoleonische Kriege C. Napoleonische Kriege D. Soziale Reformbewegungen</v>
      </c>
      <c r="J127" s="9" t="s">
        <v>744</v>
      </c>
      <c r="K127" s="9" t="s">
        <v>745</v>
      </c>
    </row>
    <row r="128" ht="22.5" customHeight="1">
      <c r="A128" s="14">
        <v>127.0</v>
      </c>
      <c r="B128" s="6" t="str">
        <f>IFERROR(__xludf.DUMMYFUNCTION("GOOGLETRANSLATE(H128, ""de"", ""en"")"),"Which century is considered the golden age of bocce?")</f>
        <v>Which century is considered the golden age of bocce?</v>
      </c>
      <c r="C128" s="7" t="s">
        <v>298</v>
      </c>
      <c r="D128" s="6" t="str">
        <f>IFERROR(__xludf.DUMMYFUNCTION("GOOGLETRANSLATE(J128, ""de"", ""en"")"),"19th century")</f>
        <v>19th century</v>
      </c>
      <c r="E128" s="6" t="str">
        <f>IFERROR(__xludf.DUMMYFUNCTION("GOOGLETRANSLATE(K128, ""de"", ""en"")"),"The 19th century is considered the golden age of bocce, with the advent of tournaments and organized play.")</f>
        <v>The 19th century is considered the golden age of bocce, with the advent of tournaments and organized play.</v>
      </c>
      <c r="G128" s="14">
        <v>127.0</v>
      </c>
      <c r="H128" s="9" t="s">
        <v>746</v>
      </c>
      <c r="I128" s="9" t="str">
        <f>IFERROR(__xludf.DUMMYFUNCTION("GOOGLETRANSLATE(C128, ""en"", ""de"")"),"A. 17. Jahrhundert B. 18. Jahrhundert C. 18. Jahrhundert D. 19. Jahrhundert")</f>
        <v>A. 17. Jahrhundert B. 18. Jahrhundert C. 18. Jahrhundert D. 19. Jahrhundert</v>
      </c>
      <c r="J128" s="9" t="s">
        <v>300</v>
      </c>
      <c r="K128" s="9" t="s">
        <v>747</v>
      </c>
    </row>
    <row r="129" ht="22.5" customHeight="1">
      <c r="A129" s="14">
        <v>128.0</v>
      </c>
      <c r="B129" s="6" t="str">
        <f>IFERROR(__xludf.DUMMYFUNCTION("GOOGLETRANSLATE(H129, ""de"", ""en"")"),"At what social event would Bosseln competitions typically take place in rural communities?")</f>
        <v>At what social event would Bosseln competitions typically take place in rural communities?</v>
      </c>
      <c r="C129" s="7" t="s">
        <v>748</v>
      </c>
      <c r="D129" s="6" t="str">
        <f>IFERROR(__xludf.DUMMYFUNCTION("GOOGLETRANSLATE(J129, ""de"", ""en"")"),"Wedding celebrations")</f>
        <v>Wedding celebrations</v>
      </c>
      <c r="E129" s="6" t="str">
        <f>IFERROR(__xludf.DUMMYFUNCTION("GOOGLETRANSLATE(K129, ""de"", ""en"")"),"Bosseln competitions were often part of wedding celebrations in rural communities.")</f>
        <v>Bosseln competitions were often part of wedding celebrations in rural communities.</v>
      </c>
      <c r="G129" s="14">
        <v>128.0</v>
      </c>
      <c r="H129" s="9" t="s">
        <v>749</v>
      </c>
      <c r="I129" s="9" t="str">
        <f>IFERROR(__xludf.DUMMYFUNCTION("GOOGLETRANSLATE(C129, ""en"", ""de"")"),"A. Hochzeitsfeiern B. Feiertage C. Feiertage D. Silvester")</f>
        <v>A. Hochzeitsfeiern B. Feiertage C. Feiertage D. Silvester</v>
      </c>
      <c r="J129" s="9" t="s">
        <v>750</v>
      </c>
      <c r="K129" s="9" t="s">
        <v>751</v>
      </c>
    </row>
    <row r="130" ht="22.5" customHeight="1">
      <c r="A130" s="14">
        <v>129.0</v>
      </c>
      <c r="B130" s="6" t="str">
        <f>IFERROR(__xludf.DUMMYFUNCTION("GOOGLETRANSLATE(H130, ""de"", ""en"")"),"What influence does Bosseln have on modern recreational sports?")</f>
        <v>What influence does Bosseln have on modern recreational sports?</v>
      </c>
      <c r="C130" s="7" t="s">
        <v>752</v>
      </c>
      <c r="D130" s="6" t="str">
        <f>IFERROR(__xludf.DUMMYFUNCTION("GOOGLETRANSLATE(J130, ""de"", ""en"")"),"By promoting outdoor play")</f>
        <v>By promoting outdoor play</v>
      </c>
      <c r="E130" s="6" t="str">
        <f>IFERROR(__xludf.DUMMYFUNCTION("GOOGLETRANSLATE(K130, ""de"", ""en"")"),"Bosseln has influenced modern recreational sports by promoting outdoor activities and physical engagement.")</f>
        <v>Bosseln has influenced modern recreational sports by promoting outdoor activities and physical engagement.</v>
      </c>
      <c r="G130" s="14">
        <v>129.0</v>
      </c>
      <c r="H130" s="9" t="s">
        <v>753</v>
      </c>
      <c r="I130" s="9" t="str">
        <f>IFERROR(__xludf.DUMMYFUNCTION("GOOGLETRANSLATE(C130, ""en"", ""de"")"),"A. Durch die Förderung von Spielen im Freien. B. Durch die Anwendung von Rolltechniken in anderen Sportarten. C. Durch die Anwendung von Rolltechniken in anderen Sportarten. D. Durch die Betonung der individuellen Leistung.")</f>
        <v>A. Durch die Förderung von Spielen im Freien. B. Durch die Anwendung von Rolltechniken in anderen Sportarten. C. Durch die Anwendung von Rolltechniken in anderen Sportarten. D. Durch die Betonung der individuellen Leistung.</v>
      </c>
      <c r="J130" s="9" t="s">
        <v>754</v>
      </c>
      <c r="K130" s="9" t="s">
        <v>755</v>
      </c>
    </row>
    <row r="131" ht="22.5" customHeight="1">
      <c r="A131" s="14">
        <v>130.0</v>
      </c>
      <c r="B131" s="6" t="str">
        <f>IFERROR(__xludf.DUMMYFUNCTION("GOOGLETRANSLATE(H131, ""de"", ""en"")"),"What is one of the most important traditions at bocce tournaments?")</f>
        <v>What is one of the most important traditions at bocce tournaments?</v>
      </c>
      <c r="C131" s="7" t="s">
        <v>756</v>
      </c>
      <c r="D131" s="6" t="str">
        <f>IFERROR(__xludf.DUMMYFUNCTION("GOOGLETRANSLATE(J131, ""de"", ""en"")"),"Friendly rivalries")</f>
        <v>Friendly rivalries</v>
      </c>
      <c r="E131" s="6" t="str">
        <f>IFERROR(__xludf.DUMMYFUNCTION("GOOGLETRANSLATE(K131, ""de"", ""en"")"),"Bosseln tournaments are known for their friendly rivalries between different regions.")</f>
        <v>Bosseln tournaments are known for their friendly rivalries between different regions.</v>
      </c>
      <c r="G131" s="14">
        <v>130.0</v>
      </c>
      <c r="H131" s="9" t="s">
        <v>757</v>
      </c>
      <c r="I131" s="9" t="str">
        <f>IFERROR(__xludf.DUMMYFUNCTION("GOOGLETRANSLATE(C131, ""en"", ""de"")"),"A. Freundschaftliche Rivalitäten B. Pokalverleihung C. Pokalverleihung D. Mannschaftsgesänge")</f>
        <v>A. Freundschaftliche Rivalitäten B. Pokalverleihung C. Pokalverleihung D. Mannschaftsgesänge</v>
      </c>
      <c r="J131" s="9" t="s">
        <v>758</v>
      </c>
      <c r="K131" s="9" t="s">
        <v>759</v>
      </c>
    </row>
    <row r="132" ht="22.5" customHeight="1">
      <c r="A132" s="14">
        <v>131.0</v>
      </c>
      <c r="B132" s="6" t="str">
        <f>IFERROR(__xludf.DUMMYFUNCTION("GOOGLETRANSLATE(H132, ""de"", ""en"")"),"Which country introduced bocce to its colonies?")</f>
        <v>Which country introduced bocce to its colonies?</v>
      </c>
      <c r="C132" s="7" t="s">
        <v>760</v>
      </c>
      <c r="D132" s="6" t="str">
        <f>IFERROR(__xludf.DUMMYFUNCTION("GOOGLETRANSLATE(J132, ""de"", ""en"")"),"Germany")</f>
        <v>Germany</v>
      </c>
      <c r="E132" s="6" t="str">
        <f>IFERROR(__xludf.DUMMYFUNCTION("GOOGLETRANSLATE(K132, ""de"", ""en"")"),"Germany introduced bocce to its colonies, especially in areas with rural traditions.")</f>
        <v>Germany introduced bocce to its colonies, especially in areas with rural traditions.</v>
      </c>
      <c r="G132" s="14">
        <v>131.0</v>
      </c>
      <c r="H132" s="9" t="s">
        <v>761</v>
      </c>
      <c r="I132" s="9" t="str">
        <f>IFERROR(__xludf.DUMMYFUNCTION("GOOGLETRANSLATE(C132, ""en"", ""de"")"),"A. Deutschland B. Belgien C. Belgien D. Die Niederlande")</f>
        <v>A. Deutschland B. Belgien C. Belgien D. Die Niederlande</v>
      </c>
      <c r="J132" s="9" t="s">
        <v>269</v>
      </c>
      <c r="K132" s="9" t="s">
        <v>762</v>
      </c>
    </row>
    <row r="133" ht="22.5" customHeight="1">
      <c r="A133" s="14">
        <v>132.0</v>
      </c>
      <c r="B133" s="6" t="str">
        <f>IFERROR(__xludf.DUMMYFUNCTION("GOOGLETRANSLATE(H133, ""de"", ""en"")"),"What role did Bosseln play in community festivals?")</f>
        <v>What role did Bosseln play in community festivals?</v>
      </c>
      <c r="C133" s="7" t="s">
        <v>763</v>
      </c>
      <c r="D133" s="6" t="str">
        <f>IFERROR(__xludf.DUMMYFUNCTION("GOOGLETRANSLATE(J133, ""de"", ""en"")"),"It promoted unity and celebration.")</f>
        <v>It promoted unity and celebration.</v>
      </c>
      <c r="E133" s="6" t="str">
        <f>IFERROR(__xludf.DUMMYFUNCTION("GOOGLETRANSLATE(K133, ""de"", ""en"")"),"Bosseln played a role in community festivals by promoting unity and contributing to the celebration.")</f>
        <v>Bosseln played a role in community festivals by promoting unity and contributing to the celebration.</v>
      </c>
      <c r="G133" s="14">
        <v>132.0</v>
      </c>
      <c r="H133" s="9" t="s">
        <v>764</v>
      </c>
      <c r="I133" s="9" t="str">
        <f>IFERROR(__xludf.DUMMYFUNCTION("GOOGLETRANSLATE(C133, ""en"", ""de"")"),"A. Es förderte Einheit und Feierlichkeiten. B. Es wurden Spenden für wohltätige Zwecke gesammelt. C. Es wurden Spenden für wohltätige Zwecke gesammelt. D. Es diente als Machtdemonstration.")</f>
        <v>A. Es förderte Einheit und Feierlichkeiten. B. Es wurden Spenden für wohltätige Zwecke gesammelt. C. Es wurden Spenden für wohltätige Zwecke gesammelt. D. Es diente als Machtdemonstration.</v>
      </c>
      <c r="J133" s="9" t="s">
        <v>765</v>
      </c>
      <c r="K133" s="9" t="s">
        <v>766</v>
      </c>
    </row>
    <row r="134" ht="22.5" customHeight="1">
      <c r="A134" s="14">
        <v>133.0</v>
      </c>
      <c r="B134" s="6" t="str">
        <f>IFERROR(__xludf.DUMMYFUNCTION("GOOGLETRANSLATE(H134, ""de"", ""en"")"),"Which part of Germany first adopted the competitive format of Bosseln?")</f>
        <v>Which part of Germany first adopted the competitive format of Bosseln?</v>
      </c>
      <c r="C134" s="7" t="s">
        <v>767</v>
      </c>
      <c r="D134" s="6" t="str">
        <f>IFERROR(__xludf.DUMMYFUNCTION("GOOGLETRANSLATE(J134, ""de"", ""en"")"),"Northern Germany")</f>
        <v>Northern Germany</v>
      </c>
      <c r="E134" s="6" t="str">
        <f>IFERROR(__xludf.DUMMYFUNCTION("GOOGLETRANSLATE(K134, ""de"", ""en"")"),"Northern Germany was the first region to introduce a competitive format for Bosseln (a traditional German sport similar to bocce).")</f>
        <v>Northern Germany was the first region to introduce a competitive format for Bosseln (a traditional German sport similar to bocce).</v>
      </c>
      <c r="G134" s="14">
        <v>133.0</v>
      </c>
      <c r="H134" s="9" t="s">
        <v>768</v>
      </c>
      <c r="I134" s="9" t="str">
        <f>IFERROR(__xludf.DUMMYFUNCTION("GOOGLETRANSLATE(C134, ""en"", ""de"")"),"A. Norddeutschland B. Bayern C. Bayern D. Ostdeutschland")</f>
        <v>A. Norddeutschland B. Bayern C. Bayern D. Ostdeutschland</v>
      </c>
      <c r="J134" s="9" t="s">
        <v>769</v>
      </c>
      <c r="K134" s="9" t="s">
        <v>770</v>
      </c>
    </row>
    <row r="135" ht="22.5" customHeight="1">
      <c r="A135" s="14">
        <v>134.0</v>
      </c>
      <c r="B135" s="6" t="str">
        <f>IFERROR(__xludf.DUMMYFUNCTION("GOOGLETRANSLATE(H135, ""de"", ""en"")"),"Which traditional festival is closely associated with Bosseln (a traditional German game similar to bowling)?")</f>
        <v>Which traditional festival is closely associated with Bosseln (a traditional German game similar to bowling)?</v>
      </c>
      <c r="C135" s="7" t="s">
        <v>771</v>
      </c>
      <c r="D135" s="6" t="str">
        <f>IFERROR(__xludf.DUMMYFUNCTION("GOOGLETRANSLATE(J135, ""de"", ""en"")"),"Harvest Festival")</f>
        <v>Harvest Festival</v>
      </c>
      <c r="E135" s="6" t="str">
        <f>IFERROR(__xludf.DUMMYFUNCTION("GOOGLETRANSLATE(K135, ""de"", ""en"")"),"Bosseln is often played at harvest festivals, especially in rural Germany.")</f>
        <v>Bosseln is often played at harvest festivals, especially in rural Germany.</v>
      </c>
      <c r="G135" s="14">
        <v>134.0</v>
      </c>
      <c r="H135" s="9" t="s">
        <v>772</v>
      </c>
      <c r="I135" s="9" t="str">
        <f>IFERROR(__xludf.DUMMYFUNCTION("GOOGLETRANSLATE(C135, ""en"", ""de"")"),"A. 1. Mai B. Erntedankfest C. Erntedankfest D. Ostersonntag")</f>
        <v>A. 1. Mai B. Erntedankfest C. Erntedankfest D. Ostersonntag</v>
      </c>
      <c r="J135" s="9" t="s">
        <v>327</v>
      </c>
      <c r="K135" s="9" t="s">
        <v>773</v>
      </c>
    </row>
    <row r="136" ht="22.5" customHeight="1">
      <c r="A136" s="14">
        <v>135.0</v>
      </c>
      <c r="B136" s="6" t="str">
        <f>IFERROR(__xludf.DUMMYFUNCTION("GOOGLETRANSLATE(H136, ""de"", ""en"")"),"What development at the beginning of the 20th century helped to increase the popularity of bocce?")</f>
        <v>What development at the beginning of the 20th century helped to increase the popularity of bocce?</v>
      </c>
      <c r="C136" s="7" t="s">
        <v>774</v>
      </c>
      <c r="D136" s="6" t="str">
        <f>IFERROR(__xludf.DUMMYFUNCTION("GOOGLETRANSLATE(J136, ""de"", ""en"")"),"Better streets to play on")</f>
        <v>Better streets to play on</v>
      </c>
      <c r="E136" s="6" t="str">
        <f>IFERROR(__xludf.DUMMYFUNCTION("GOOGLETRANSLATE(K136, ""de"", ""en"")"),"The expansion of country roads made bocce more accessible and popular at the beginning of the 20th century.")</f>
        <v>The expansion of country roads made bocce more accessible and popular at the beginning of the 20th century.</v>
      </c>
      <c r="G136" s="14">
        <v>135.0</v>
      </c>
      <c r="H136" s="9" t="s">
        <v>775</v>
      </c>
      <c r="I136" s="9" t="str">
        <f>IFERROR(__xludf.DUMMYFUNCTION("GOOGLETRANSLATE(C136, ""en"", ""de"")"),"A. Bessere Straßen zum Spielen B. Veteranen des Ersten Weltkriegs fördern den Sport C. Veteranen des Ersten Weltkriegs fördern den Sport D. Verbesserte Ausrüstung")</f>
        <v>A. Bessere Straßen zum Spielen B. Veteranen des Ersten Weltkriegs fördern den Sport C. Veteranen des Ersten Weltkriegs fördern den Sport D. Verbesserte Ausrüstung</v>
      </c>
      <c r="J136" s="9" t="s">
        <v>776</v>
      </c>
      <c r="K136" s="9" t="s">
        <v>777</v>
      </c>
    </row>
    <row r="137" ht="22.5" customHeight="1">
      <c r="A137" s="14">
        <v>136.0</v>
      </c>
      <c r="B137" s="6" t="str">
        <f>IFERROR(__xludf.DUMMYFUNCTION("GOOGLETRANSLATE(H137, ""de"", ""en"")"),"What role does gender play in modern bocce?")</f>
        <v>What role does gender play in modern bocce?</v>
      </c>
      <c r="C137" s="7" t="s">
        <v>778</v>
      </c>
      <c r="D137" s="6" t="str">
        <f>IFERROR(__xludf.DUMMYFUNCTION("GOOGLETRANSLATE(J137, ""de"", ""en"")"),"It is a sport for mixed teams.")</f>
        <v>It is a sport for mixed teams.</v>
      </c>
      <c r="E137" s="6" t="str">
        <f>IFERROR(__xludf.DUMMYFUNCTION("GOOGLETRANSLATE(K137, ""de"", ""en"")"),"Bosseln is now played by mixed teams, which promotes the inclusion of genders.")</f>
        <v>Bosseln is now played by mixed teams, which promotes the inclusion of genders.</v>
      </c>
      <c r="G137" s="14">
        <v>136.0</v>
      </c>
      <c r="H137" s="9" t="s">
        <v>779</v>
      </c>
      <c r="I137" s="9" t="str">
        <f>IFERROR(__xludf.DUMMYFUNCTION("GOOGLETRANSLATE(C137, ""en"", ""de"")"),"A. Es gibt separate Ligen für Männer und Frauen. B. Es ist eine Sportart für gemischte Mannschaften. C. Es ist eine Sportart für gemischte Mannschaften. D. Nur Männer dürfen teilnehmen.")</f>
        <v>A. Es gibt separate Ligen für Männer und Frauen. B. Es ist eine Sportart für gemischte Mannschaften. C. Es ist eine Sportart für gemischte Mannschaften. D. Nur Männer dürfen teilnehmen.</v>
      </c>
      <c r="J137" s="9" t="s">
        <v>780</v>
      </c>
      <c r="K137" s="9" t="s">
        <v>781</v>
      </c>
    </row>
    <row r="138" ht="22.5" customHeight="1">
      <c r="A138" s="14">
        <v>137.0</v>
      </c>
      <c r="B138" s="6" t="str">
        <f>IFERROR(__xludf.DUMMYFUNCTION("GOOGLETRANSLATE(H138, ""de"", ""en"")"),"What is the main goal of every player in Bosseln?")</f>
        <v>What is the main goal of every player in Bosseln?</v>
      </c>
      <c r="C138" s="7" t="s">
        <v>782</v>
      </c>
      <c r="D138" s="6" t="str">
        <f>IFERROR(__xludf.DUMMYFUNCTION("GOOGLETRANSLATE(J138, ""de"", ""en"")"),"To reach a target area")</f>
        <v>To reach a target area</v>
      </c>
      <c r="E138" s="6" t="str">
        <f>IFERROR(__xludf.DUMMYFUNCTION("GOOGLETRANSLATE(K138, ""de"", ""en"")"),"The main objective in Bosseln is to roll the ball as close as possible to a specific target area.")</f>
        <v>The main objective in Bosseln is to roll the ball as close as possible to a specific target area.</v>
      </c>
      <c r="G138" s="14">
        <v>137.0</v>
      </c>
      <c r="H138" s="9" t="s">
        <v>783</v>
      </c>
      <c r="I138" s="9" t="str">
        <f>IFERROR(__xludf.DUMMYFUNCTION("GOOGLETRANSLATE(C138, ""en"", ""de"")"),"A. Den Ball am weitesten rollen. B. Stifte umwerfen. C. Stifte umwerfen. D. Ein Zielgebiet erreichen.")</f>
        <v>A. Den Ball am weitesten rollen. B. Stifte umwerfen. C. Stifte umwerfen. D. Ein Zielgebiet erreichen.</v>
      </c>
      <c r="J138" s="9" t="s">
        <v>784</v>
      </c>
      <c r="K138" s="9" t="s">
        <v>785</v>
      </c>
    </row>
    <row r="139" ht="22.5" customHeight="1">
      <c r="A139" s="14">
        <v>138.0</v>
      </c>
      <c r="B139" s="6" t="str">
        <f>IFERROR(__xludf.DUMMYFUNCTION("GOOGLETRANSLATE(H139, ""de"", ""en"")"),"What distinguishes bocce from other ball sports?")</f>
        <v>What distinguishes bocce from other ball sports?</v>
      </c>
      <c r="C139" s="7" t="s">
        <v>786</v>
      </c>
      <c r="D139" s="6" t="str">
        <f>IFERROR(__xludf.DUMMYFUNCTION("GOOGLETRANSLATE(J139, ""de"", ""en"")"),"It is played without a standardized field.")</f>
        <v>It is played without a standardized field.</v>
      </c>
      <c r="E139" s="6" t="str">
        <f>IFERROR(__xludf.DUMMYFUNCTION("GOOGLETRANSLATE(K139, ""de"", ""en"")"),"Bosseln is unique because it can be played on any rural, unpaved road without a standardized playing field.")</f>
        <v>Bosseln is unique because it can be played on any rural, unpaved road without a standardized playing field.</v>
      </c>
      <c r="G139" s="14">
        <v>138.0</v>
      </c>
      <c r="H139" s="9" t="s">
        <v>787</v>
      </c>
      <c r="I139" s="9" t="str">
        <f>IFERROR(__xludf.DUMMYFUNCTION("GOOGLETRANSLATE(C139, ""en"", ""de"")"),"A. Es wird ohne ein standardisiertes Spielfeld gespielt. B. Der Ball ist viel größer. C. Der Ball ist viel größer. D. Die Spieler benutzen Stöcke, um den Ball zu lenken.")</f>
        <v>A. Es wird ohne ein standardisiertes Spielfeld gespielt. B. Der Ball ist viel größer. C. Der Ball ist viel größer. D. Die Spieler benutzen Stöcke, um den Ball zu lenken.</v>
      </c>
      <c r="J139" s="9" t="s">
        <v>788</v>
      </c>
      <c r="K139" s="9" t="s">
        <v>789</v>
      </c>
    </row>
    <row r="140" ht="22.5" customHeight="1">
      <c r="A140" s="14">
        <v>139.0</v>
      </c>
      <c r="B140" s="6" t="str">
        <f>IFERROR(__xludf.DUMMYFUNCTION("GOOGLETRANSLATE(H140, ""de"", ""en"")"),"Who traditionally sponsored local bocce tournaments?")</f>
        <v>Who traditionally sponsored local bocce tournaments?</v>
      </c>
      <c r="C140" s="7" t="s">
        <v>790</v>
      </c>
      <c r="D140" s="6" t="str">
        <f>IFERROR(__xludf.DUMMYFUNCTION("GOOGLETRANSLATE(J140, ""de"", ""en"")"),"peasant guilds")</f>
        <v>peasant guilds</v>
      </c>
      <c r="E140" s="6" t="str">
        <f>IFERROR(__xludf.DUMMYFUNCTION("GOOGLETRANSLATE(K140, ""de"", ""en"")"),"Traditionally, farmers' guilds were responsible for organizing local bocce tournaments.")</f>
        <v>Traditionally, farmers' guilds were responsible for organizing local bocce tournaments.</v>
      </c>
      <c r="G140" s="14">
        <v>139.0</v>
      </c>
      <c r="H140" s="9" t="s">
        <v>791</v>
      </c>
      <c r="I140" s="9" t="str">
        <f>IFERROR(__xludf.DUMMYFUNCTION("GOOGLETRANSLATE(C140, ""en"", ""de"")"),"A. Bauernzünfte B. Lokale Regierungen C. Lokale Regierungen D. Kirchen")</f>
        <v>A. Bauernzünfte B. Lokale Regierungen C. Lokale Regierungen D. Kirchen</v>
      </c>
      <c r="J140" s="9" t="s">
        <v>792</v>
      </c>
      <c r="K140" s="9" t="s">
        <v>793</v>
      </c>
    </row>
    <row r="141" ht="22.5" customHeight="1">
      <c r="A141" s="14">
        <v>140.0</v>
      </c>
      <c r="B141" s="6" t="str">
        <f>IFERROR(__xludf.DUMMYFUNCTION("GOOGLETRANSLATE(H141, ""de"", ""en"")"),"Which part of the Bosseln competition involves team strategy?")</f>
        <v>Which part of the Bosseln competition involves team strategy?</v>
      </c>
      <c r="C141" s="7" t="s">
        <v>794</v>
      </c>
      <c r="D141" s="6" t="str">
        <f>IFERROR(__xludf.DUMMYFUNCTION("GOOGLETRANSLATE(J141, ""de"", ""en"")"),"The order of player moves")</f>
        <v>The order of player moves</v>
      </c>
      <c r="E141" s="6" t="str">
        <f>IFERROR(__xludf.DUMMYFUNCTION("GOOGLETRANSLATE(K141, ""de"", ""en"")"),"Team strategy in bocce revolves around the order in which players take their turns and how best to navigate the field.")</f>
        <v>Team strategy in bocce revolves around the order in which players take their turns and how best to navigate the field.</v>
      </c>
      <c r="G141" s="14">
        <v>140.0</v>
      </c>
      <c r="H141" s="9" t="s">
        <v>795</v>
      </c>
      <c r="I141" s="9" t="str">
        <f>IFERROR(__xludf.DUMMYFUNCTION("GOOGLETRANSLATE(C141, ""en"", ""de"")"),"A. Die Anzahl der erlaubten Rollen B. Die Wahl der richtigen Ballgröße C. Die Wahl der richtigen Ballgröße D. Die Reihenfolge der Spielerzüge")</f>
        <v>A. Die Anzahl der erlaubten Rollen B. Die Wahl der richtigen Ballgröße C. Die Wahl der richtigen Ballgröße D. Die Reihenfolge der Spielerzüge</v>
      </c>
      <c r="J141" s="9" t="s">
        <v>796</v>
      </c>
      <c r="K141" s="9" t="s">
        <v>797</v>
      </c>
    </row>
    <row r="142" ht="22.5" customHeight="1">
      <c r="A142" s="14">
        <v>141.0</v>
      </c>
      <c r="B142" s="6" t="str">
        <f>IFERROR(__xludf.DUMMYFUNCTION("GOOGLETRANSLATE(H142, ""de"", ""en"")"),"What role did the traditional game of Bosseln play in the local festivities?")</f>
        <v>What role did the traditional game of Bosseln play in the local festivities?</v>
      </c>
      <c r="C142" s="7" t="s">
        <v>798</v>
      </c>
      <c r="D142" s="6" t="str">
        <f>IFERROR(__xludf.DUMMYFUNCTION("GOOGLETRANSLATE(J142, ""de"", ""en"")"),"It symbolized unity and cooperation")</f>
        <v>It symbolized unity and cooperation</v>
      </c>
      <c r="E142" s="6" t="str">
        <f>IFERROR(__xludf.DUMMYFUNCTION("GOOGLETRANSLATE(K142, ""de"", ""en"")"),"Bosseln was often seen as a symbol of unity and cooperation at local celebrations.")</f>
        <v>Bosseln was often seen as a symbol of unity and cooperation at local celebrations.</v>
      </c>
      <c r="G142" s="14">
        <v>141.0</v>
      </c>
      <c r="H142" s="9" t="s">
        <v>799</v>
      </c>
      <c r="I142" s="9" t="str">
        <f>IFERROR(__xludf.DUMMYFUNCTION("GOOGLETRANSLATE(C142, ""en"", ""de"")"),"A. Es diente dazu, die Jahreszeiten zu markieren. B. Es bot Unterhaltung für Familien. C. Es bot Unterhaltung für Familien. D. Es symbolisierte Einheit und Zusammenarbeit.")</f>
        <v>A. Es diente dazu, die Jahreszeiten zu markieren. B. Es bot Unterhaltung für Familien. C. Es bot Unterhaltung für Familien. D. Es symbolisierte Einheit und Zusammenarbeit.</v>
      </c>
      <c r="J142" s="9" t="s">
        <v>800</v>
      </c>
      <c r="K142" s="9" t="s">
        <v>801</v>
      </c>
    </row>
    <row r="143" ht="22.5" customHeight="1">
      <c r="A143" s="14">
        <v>142.0</v>
      </c>
      <c r="B143" s="6" t="str">
        <f>IFERROR(__xludf.DUMMYFUNCTION("GOOGLETRANSLATE(H143, ""de"", ""en"")"),"What makes Bosseln a unique sport in its historical development?")</f>
        <v>What makes Bosseln a unique sport in its historical development?</v>
      </c>
      <c r="C143" s="7" t="s">
        <v>802</v>
      </c>
      <c r="D143" s="6" t="str">
        <f>IFERROR(__xludf.DUMMYFUNCTION("GOOGLETRANSLATE(J143, ""de"", ""en"")"),"Its integration into agricultural traditions")</f>
        <v>Its integration into agricultural traditions</v>
      </c>
      <c r="E143" s="6" t="str">
        <f>IFERROR(__xludf.DUMMYFUNCTION("GOOGLETRANSLATE(K143, ""de"", ""en"")"),"The historical development of Bosseln is unique due to its deep connections to rural and agricultural traditions.")</f>
        <v>The historical development of Bosseln is unique due to its deep connections to rural and agricultural traditions.</v>
      </c>
      <c r="G143" s="14">
        <v>142.0</v>
      </c>
      <c r="H143" s="9" t="s">
        <v>803</v>
      </c>
      <c r="I143" s="9" t="str">
        <f>IFERROR(__xludf.DUMMYFUNCTION("GOOGLETRANSLATE(C143, ""en"", ""de"")"),"A. Seine Integration in landwirtschaftliche Traditionen B. Seine Abhängigkeit von Technologie C. Seine Abhängigkeit von Technologie D. Seine Wurzeln liegen in der militärischen Ausbildung")</f>
        <v>A. Seine Integration in landwirtschaftliche Traditionen B. Seine Abhängigkeit von Technologie C. Seine Abhängigkeit von Technologie D. Seine Wurzeln liegen in der militärischen Ausbildung</v>
      </c>
      <c r="J143" s="9" t="s">
        <v>804</v>
      </c>
      <c r="K143" s="9" t="s">
        <v>805</v>
      </c>
    </row>
    <row r="144" ht="22.5" customHeight="1">
      <c r="A144" s="14">
        <v>143.0</v>
      </c>
      <c r="B144" s="6" t="str">
        <f>IFERROR(__xludf.DUMMYFUNCTION("GOOGLETRANSLATE(H144, ""de"", ""en"")"),"When was Bosseln recognized as an official sport?")</f>
        <v>When was Bosseln recognized as an official sport?</v>
      </c>
      <c r="C144" s="7" t="s">
        <v>806</v>
      </c>
      <c r="D144" s="6" t="str">
        <f>IFERROR(__xludf.DUMMYFUNCTION("GOOGLETRANSLATE(J144, ""de"", ""en"")"),"1920")</f>
        <v>1920</v>
      </c>
      <c r="E144" s="6" t="str">
        <f>IFERROR(__xludf.DUMMYFUNCTION("GOOGLETRANSLATE(K144, ""de"", ""en"")"),"Bosseln was officially recognized as a sport in the early 20th century, particularly around 1920.")</f>
        <v>Bosseln was officially recognized as a sport in the early 20th century, particularly around 1920.</v>
      </c>
      <c r="G144" s="14">
        <v>143.0</v>
      </c>
      <c r="H144" s="9" t="s">
        <v>807</v>
      </c>
      <c r="I144" s="9" t="str">
        <f>IFERROR(__xludf.DUMMYFUNCTION("GOOGLETRANSLATE(C144, ""en"", ""de"")"),"A. 1900 B. 1910 C. 1910 D. 1920")</f>
        <v>A. 1900 B. 1910 C. 1910 D. 1920</v>
      </c>
      <c r="J144" s="11">
        <v>1920.0</v>
      </c>
      <c r="K144" s="9" t="s">
        <v>808</v>
      </c>
    </row>
    <row r="145" ht="22.5" customHeight="1">
      <c r="A145" s="14">
        <v>144.0</v>
      </c>
      <c r="B145" s="6" t="str">
        <f>IFERROR(__xludf.DUMMYFUNCTION("GOOGLETRANSLATE(H145, ""de"", ""en"")"),"What historical event spread the game of Bosseln to other countries?")</f>
        <v>What historical event spread the game of Bosseln to other countries?</v>
      </c>
      <c r="C145" s="7" t="s">
        <v>809</v>
      </c>
      <c r="D145" s="6" t="str">
        <f>IFERROR(__xludf.DUMMYFUNCTION("GOOGLETRANSLATE(J145, ""de"", ""en"")"),"World War I")</f>
        <v>World War I</v>
      </c>
      <c r="E145" s="6" t="str">
        <f>IFERROR(__xludf.DUMMYFUNCTION("GOOGLETRANSLATE(K145, ""de"", ""en"")"),"The First World War spread bocce throughout Europe due to the movement of soldiers and workers.")</f>
        <v>The First World War spread bocce throughout Europe due to the movement of soldiers and workers.</v>
      </c>
      <c r="G145" s="14">
        <v>144.0</v>
      </c>
      <c r="H145" s="9" t="s">
        <v>810</v>
      </c>
      <c r="I145" s="9" t="str">
        <f>IFERROR(__xludf.DUMMYFUNCTION("GOOGLETRANSLATE(C145, ""en"", ""de"")"),"A. Erster Weltkrieg B. Die Industrielle Revolution C. Die Industrielle Revolution D. Der Aufstieg des Tourismus")</f>
        <v>A. Erster Weltkrieg B. Die Industrielle Revolution C. Die Industrielle Revolution D. Der Aufstieg des Tourismus</v>
      </c>
      <c r="J145" s="9" t="s">
        <v>331</v>
      </c>
      <c r="K145" s="9" t="s">
        <v>811</v>
      </c>
    </row>
    <row r="146" ht="22.5" customHeight="1">
      <c r="A146" s="14">
        <v>145.0</v>
      </c>
      <c r="B146" s="6" t="str">
        <f>IFERROR(__xludf.DUMMYFUNCTION("GOOGLETRANSLATE(H146, ""de"", ""en"")"),"What role did rural communities play in the development of bocce?")</f>
        <v>What role did rural communities play in the development of bocce?</v>
      </c>
      <c r="C146" s="7" t="s">
        <v>812</v>
      </c>
      <c r="D146" s="6" t="str">
        <f>IFERROR(__xludf.DUMMYFUNCTION("GOOGLETRANSLATE(J146, ""de"", ""en"")"),"Hosting the first tournaments")</f>
        <v>Hosting the first tournaments</v>
      </c>
      <c r="E146" s="6" t="str">
        <f>IFERROR(__xludf.DUMMYFUNCTION("GOOGLETRANSLATE(K146, ""de"", ""en"")"),"The rural communities played a key role in organizing the first Bosseln tournaments.")</f>
        <v>The rural communities played a key role in organizing the first Bosseln tournaments.</v>
      </c>
      <c r="G146" s="14">
        <v>145.0</v>
      </c>
      <c r="H146" s="9" t="s">
        <v>813</v>
      </c>
      <c r="I146" s="9" t="str">
        <f>IFERROR(__xludf.DUMMYFUNCTION("GOOGLETRANSLATE(C146, ""en"", ""de"")"),"A. Erstellung der Regeln B. Bau der ersten Strecken C. Bau der ersten Strecken D. Entwicklung des Bewertungssystems")</f>
        <v>A. Erstellung der Regeln B. Bau der ersten Strecken C. Bau der ersten Strecken D. Entwicklung des Bewertungssystems</v>
      </c>
      <c r="J146" s="9" t="s">
        <v>814</v>
      </c>
      <c r="K146" s="9" t="s">
        <v>815</v>
      </c>
    </row>
    <row r="147" ht="22.5" customHeight="1">
      <c r="A147" s="14">
        <v>146.0</v>
      </c>
      <c r="B147" s="6" t="str">
        <f>IFERROR(__xludf.DUMMYFUNCTION("GOOGLETRANSLATE(H147, ""de"", ""en"")"),"Which region in Germany is most connected to the roots of Bosseln (a traditional German game similar to bocce)?")</f>
        <v>Which region in Germany is most connected to the roots of Bosseln (a traditional German game similar to bocce)?</v>
      </c>
      <c r="C147" s="7" t="s">
        <v>816</v>
      </c>
      <c r="D147" s="6" t="str">
        <f>IFERROR(__xludf.DUMMYFUNCTION("GOOGLETRANSLATE(J147, ""de"", ""en"")"),"Lower Saxony")</f>
        <v>Lower Saxony</v>
      </c>
      <c r="E147" s="6" t="str">
        <f>IFERROR(__xludf.DUMMYFUNCTION("GOOGLETRANSLATE(K147, ""de"", ""en"")"),"Lower Saxony is considered the birthplace of Bosseln (a type of bowling).")</f>
        <v>Lower Saxony is considered the birthplace of Bosseln (a type of bowling).</v>
      </c>
      <c r="G147" s="14">
        <v>146.0</v>
      </c>
      <c r="H147" s="9" t="s">
        <v>817</v>
      </c>
      <c r="I147" s="9" t="str">
        <f>IFERROR(__xludf.DUMMYFUNCTION("GOOGLETRANSLATE(C147, ""en"", ""de"")"),"A. Bayern B. Niedersachsen C. Niedersachsen D. Hessen")</f>
        <v>A. Bayern B. Niedersachsen C. Niedersachsen D. Hessen</v>
      </c>
      <c r="J147" s="9" t="s">
        <v>273</v>
      </c>
      <c r="K147" s="9" t="s">
        <v>818</v>
      </c>
    </row>
    <row r="148" ht="22.5" customHeight="1">
      <c r="A148" s="14">
        <v>147.0</v>
      </c>
      <c r="B148" s="6" t="str">
        <f>IFERROR(__xludf.DUMMYFUNCTION("GOOGLETRANSLATE(H148, ""de"", ""en"")"),"What material was used for the first bocce balls?")</f>
        <v>What material was used for the first bocce balls?</v>
      </c>
      <c r="C148" s="7" t="s">
        <v>819</v>
      </c>
      <c r="D148" s="6" t="str">
        <f>IFERROR(__xludf.DUMMYFUNCTION("GOOGLETRANSLATE(J148, ""de"", ""en"")"),"Stone")</f>
        <v>Stone</v>
      </c>
      <c r="E148" s="6" t="str">
        <f>IFERROR(__xludf.DUMMYFUNCTION("GOOGLETRANSLATE(K148, ""de"", ""en"")"),"The first Bosseln balls were made of stone, as metal and wood were not commonly used.")</f>
        <v>The first Bosseln balls were made of stone, as metal and wood were not commonly used.</v>
      </c>
      <c r="G148" s="14">
        <v>147.0</v>
      </c>
      <c r="H148" s="9" t="s">
        <v>820</v>
      </c>
      <c r="I148" s="9" t="str">
        <f>IFERROR(__xludf.DUMMYFUNCTION("GOOGLETRANSLATE(C148, ""en"", ""de"")"),"A. Stein B. Holz C. Holz D. Leder")</f>
        <v>A. Stein B. Holz C. Holz D. Leder</v>
      </c>
      <c r="J148" s="9" t="s">
        <v>821</v>
      </c>
      <c r="K148" s="9" t="s">
        <v>822</v>
      </c>
    </row>
    <row r="149" ht="22.5" customHeight="1">
      <c r="A149" s="14">
        <v>148.0</v>
      </c>
      <c r="B149" s="6" t="str">
        <f>IFERROR(__xludf.DUMMYFUNCTION("GOOGLETRANSLATE(H149, ""de"", ""en"")"),"What was the most common social context for bocce games in the 19th century?")</f>
        <v>What was the most common social context for bocce games in the 19th century?</v>
      </c>
      <c r="C149" s="7" t="s">
        <v>823</v>
      </c>
      <c r="D149" s="6" t="str">
        <f>IFERROR(__xludf.DUMMYFUNCTION("GOOGLETRANSLATE(J149, ""de"", ""en"")"),"Community celebrations")</f>
        <v>Community celebrations</v>
      </c>
      <c r="E149" s="6" t="str">
        <f>IFERROR(__xludf.DUMMYFUNCTION("GOOGLETRANSLATE(K149, ""de"", ""en"")"),"Bosseln was often played during community festivals in the 19th century and brought people together.")</f>
        <v>Bosseln was often played during community festivals in the 19th century and brought people together.</v>
      </c>
      <c r="G149" s="14">
        <v>148.0</v>
      </c>
      <c r="H149" s="9" t="s">
        <v>824</v>
      </c>
      <c r="I149" s="9" t="str">
        <f>IFERROR(__xludf.DUMMYFUNCTION("GOOGLETRANSLATE(C149, ""en"", ""de"")"),"A. Familientreffen B. Gemeindefeste C. Gemeindefeste D. Sportvereine")</f>
        <v>A. Familientreffen B. Gemeindefeste C. Gemeindefeste D. Sportvereine</v>
      </c>
      <c r="J149" s="9" t="s">
        <v>825</v>
      </c>
      <c r="K149" s="9" t="s">
        <v>826</v>
      </c>
    </row>
    <row r="150" ht="22.5" customHeight="1">
      <c r="A150" s="14">
        <v>149.0</v>
      </c>
      <c r="B150" s="6" t="str">
        <f>IFERROR(__xludf.DUMMYFUNCTION("GOOGLETRANSLATE(H150, ""de"", ""en"")"),"What is the typical duration of a Bosseln game?")</f>
        <v>What is the typical duration of a Bosseln game?</v>
      </c>
      <c r="C150" s="7" t="s">
        <v>827</v>
      </c>
      <c r="D150" s="6" t="str">
        <f>IFERROR(__xludf.DUMMYFUNCTION("GOOGLETRANSLATE(J150, ""de"", ""en"")"),"1-2 hours")</f>
        <v>1-2 hours</v>
      </c>
      <c r="E150" s="6" t="str">
        <f>IFERROR(__xludf.DUMMYFUNCTION("GOOGLETRANSLATE(K150, ""de"", ""en"")"),"A typical bocce match usually lasts between 1 and 2 hours, depending on the course length.")</f>
        <v>A typical bocce match usually lasts between 1 and 2 hours, depending on the course length.</v>
      </c>
      <c r="G150" s="14">
        <v>149.0</v>
      </c>
      <c r="H150" s="9" t="s">
        <v>828</v>
      </c>
      <c r="I150" s="9" t="str">
        <f>IFERROR(__xludf.DUMMYFUNCTION("GOOGLETRANSLATE(C150, ""en"", ""de"")"),"A. 1–2 Stunden B. 30–45 Minuten C. 30–45 Minuten D. 2–3 Stunden")</f>
        <v>A. 1–2 Stunden B. 30–45 Minuten C. 30–45 Minuten D. 2–3 Stunden</v>
      </c>
      <c r="J150" s="9" t="s">
        <v>829</v>
      </c>
      <c r="K150" s="9" t="s">
        <v>830</v>
      </c>
    </row>
    <row r="151" ht="22.5" customHeight="1">
      <c r="A151" s="14">
        <v>150.0</v>
      </c>
      <c r="B151" s="6" t="str">
        <f>IFERROR(__xludf.DUMMYFUNCTION("GOOGLETRANSLATE(H151, ""de"", ""en"")"),"What was the main objective for players in early Bosseln games?")</f>
        <v>What was the main objective for players in early Bosseln games?</v>
      </c>
      <c r="C151" s="7" t="s">
        <v>831</v>
      </c>
      <c r="D151" s="6" t="str">
        <f>IFERROR(__xludf.DUMMYFUNCTION("GOOGLETRANSLATE(J151, ""de"", ""en"")"),"accuracy")</f>
        <v>accuracy</v>
      </c>
      <c r="E151" s="6" t="str">
        <f>IFERROR(__xludf.DUMMYFUNCTION("GOOGLETRANSLATE(K151, ""de"", ""en"")"),"The main objective was accuracy, as the players aimed to roll the ball closest to a target.")</f>
        <v>The main objective was accuracy, as the players aimed to roll the ball closest to a target.</v>
      </c>
      <c r="G151" s="14">
        <v>150.0</v>
      </c>
      <c r="H151" s="9" t="s">
        <v>832</v>
      </c>
      <c r="I151" s="9" t="str">
        <f>IFERROR(__xludf.DUMMYFUNCTION("GOOGLETRANSLATE(C151, ""en"", ""de"")"),"A. Distanz B. Genauigkeit C. Genauigkeit D. Teamarbeit")</f>
        <v>A. Distanz B. Genauigkeit C. Genauigkeit D. Teamarbeit</v>
      </c>
      <c r="J151" s="9" t="s">
        <v>473</v>
      </c>
      <c r="K151" s="9" t="s">
        <v>833</v>
      </c>
    </row>
    <row r="152" ht="22.5" customHeight="1">
      <c r="A152" s="14">
        <v>151.0</v>
      </c>
      <c r="B152" s="6" t="str">
        <f>IFERROR(__xludf.DUMMYFUNCTION("GOOGLETRANSLATE(H152, ""de"", ""en"")"),"Which country outside of Germany has the strongest Bosseln tradition?")</f>
        <v>Which country outside of Germany has the strongest Bosseln tradition?</v>
      </c>
      <c r="C152" s="7" t="s">
        <v>834</v>
      </c>
      <c r="D152" s="6" t="str">
        <f>IFERROR(__xludf.DUMMYFUNCTION("GOOGLETRANSLATE(J152, ""de"", ""en"")"),"The Netherlands")</f>
        <v>The Netherlands</v>
      </c>
      <c r="E152" s="6" t="str">
        <f>IFERROR(__xludf.DUMMYFUNCTION("GOOGLETRANSLATE(K152, ""de"", ""en"")"),"The Netherlands has a strong tradition of bocce, especially in its rural areas.")</f>
        <v>The Netherlands has a strong tradition of bocce, especially in its rural areas.</v>
      </c>
      <c r="G152" s="14">
        <v>151.0</v>
      </c>
      <c r="H152" s="9" t="s">
        <v>835</v>
      </c>
      <c r="I152" s="9" t="str">
        <f>IFERROR(__xludf.DUMMYFUNCTION("GOOGLETRANSLATE(C152, ""en"", ""de"")"),"A. Schweiz B. Niederlande C. Niederlande D. Österreich")</f>
        <v>A. Schweiz B. Niederlande C. Niederlande D. Österreich</v>
      </c>
      <c r="J152" s="9" t="s">
        <v>662</v>
      </c>
      <c r="K152" s="9" t="s">
        <v>836</v>
      </c>
    </row>
    <row r="153" ht="22.5" customHeight="1">
      <c r="A153" s="14">
        <v>152.0</v>
      </c>
      <c r="B153" s="6" t="str">
        <f>IFERROR(__xludf.DUMMYFUNCTION("GOOGLETRANSLATE(H153, ""de"", ""en"")"),"Which part of the game of bocce has been modified for modern competition?")</f>
        <v>Which part of the game of bocce has been modified for modern competition?</v>
      </c>
      <c r="C153" s="7" t="s">
        <v>837</v>
      </c>
      <c r="D153" s="6" t="str">
        <f>IFERROR(__xludf.DUMMYFUNCTION("GOOGLETRANSLATE(J153, ""de"", ""en"")"),"The scoring system")</f>
        <v>The scoring system</v>
      </c>
      <c r="E153" s="6" t="str">
        <f>IFERROR(__xludf.DUMMYFUNCTION("GOOGLETRANSLATE(K153, ""de"", ""en"")"),"The scoring system was standardized to create more fairness and consistency in modern competitions.")</f>
        <v>The scoring system was standardized to create more fairness and consistency in modern competitions.</v>
      </c>
      <c r="G153" s="14">
        <v>152.0</v>
      </c>
      <c r="H153" s="9" t="s">
        <v>838</v>
      </c>
      <c r="I153" s="9" t="str">
        <f>IFERROR(__xludf.DUMMYFUNCTION("GOOGLETRANSLATE(C153, ""en"", ""de"")"),"A. Das Punktesystem B. Die verwendeten Geräte C. Die verwendeten Geräte D. Die Anzahl der Spieler pro Team")</f>
        <v>A. Das Punktesystem B. Die verwendeten Geräte C. Die verwendeten Geräte D. Die Anzahl der Spieler pro Team</v>
      </c>
      <c r="J153" s="9" t="s">
        <v>839</v>
      </c>
      <c r="K153" s="9" t="s">
        <v>840</v>
      </c>
    </row>
    <row r="154" ht="22.5" customHeight="1">
      <c r="A154" s="14">
        <v>153.0</v>
      </c>
      <c r="B154" s="6" t="str">
        <f>IFERROR(__xludf.DUMMYFUNCTION("GOOGLETRANSLATE(H154, ""de"", ""en"")"),"What was one of the main reasons for the decline in the popularity of bocce in the 20th century?")</f>
        <v>What was one of the main reasons for the decline in the popularity of bocce in the 20th century?</v>
      </c>
      <c r="C154" s="7" t="s">
        <v>841</v>
      </c>
      <c r="D154" s="6" t="str">
        <f>IFERROR(__xludf.DUMMYFUNCTION("GOOGLETRANSLATE(J154, ""de"", ""en"")"),"World Wars")</f>
        <v>World Wars</v>
      </c>
      <c r="E154" s="6" t="str">
        <f>IFERROR(__xludf.DUMMYFUNCTION("GOOGLETRANSLATE(K154, ""de"", ""en"")"),"The two world wars contributed to a decline in rural leisure activities such as bocce.")</f>
        <v>The two world wars contributed to a decline in rural leisure activities such as bocce.</v>
      </c>
      <c r="G154" s="14">
        <v>153.0</v>
      </c>
      <c r="H154" s="9" t="s">
        <v>842</v>
      </c>
      <c r="I154" s="9" t="str">
        <f>IFERROR(__xludf.DUMMYFUNCTION("GOOGLETRANSLATE(C154, ""en"", ""de"")"),"A. Weltkriege B. Industrialisierung C. Industrialisierung D. Der Aufstieg des Fußballs")</f>
        <v>A. Weltkriege B. Industrialisierung C. Industrialisierung D. Der Aufstieg des Fußballs</v>
      </c>
      <c r="J154" s="9" t="s">
        <v>843</v>
      </c>
      <c r="K154" s="9" t="s">
        <v>844</v>
      </c>
    </row>
    <row r="155" ht="22.5" customHeight="1">
      <c r="A155" s="14">
        <v>154.0</v>
      </c>
      <c r="B155" s="6" t="str">
        <f>IFERROR(__xludf.DUMMYFUNCTION("GOOGLETRANSLATE(H155, ""de"", ""en"")"),"Which season is usually preferred for playing bocce?")</f>
        <v>Which season is usually preferred for playing bocce?</v>
      </c>
      <c r="C155" s="7" t="s">
        <v>845</v>
      </c>
      <c r="D155" s="6" t="str">
        <f>IFERROR(__xludf.DUMMYFUNCTION("GOOGLETRANSLATE(J155, ""de"", ""en"")"),"Summer")</f>
        <v>Summer</v>
      </c>
      <c r="E155" s="6" t="str">
        <f>IFERROR(__xludf.DUMMYFUNCTION("GOOGLETRANSLATE(K155, ""de"", ""en"")"),"Bosseln is mainly played in the summer and takes advantage of dry and clear weather conditions.")</f>
        <v>Bosseln is mainly played in the summer and takes advantage of dry and clear weather conditions.</v>
      </c>
      <c r="G155" s="14">
        <v>154.0</v>
      </c>
      <c r="H155" s="9" t="s">
        <v>846</v>
      </c>
      <c r="I155" s="9" t="str">
        <f>IFERROR(__xludf.DUMMYFUNCTION("GOOGLETRANSLATE(C155, ""en"", ""de"")"),"A. Winter B. Frühling C. Frühling D. Sommer")</f>
        <v>A. Winter B. Frühling C. Frühling D. Sommer</v>
      </c>
      <c r="J155" s="9" t="s">
        <v>847</v>
      </c>
      <c r="K155" s="9" t="s">
        <v>848</v>
      </c>
    </row>
    <row r="156" ht="22.5" customHeight="1">
      <c r="A156" s="14">
        <v>155.0</v>
      </c>
      <c r="B156" s="6" t="str">
        <f>IFERROR(__xludf.DUMMYFUNCTION("GOOGLETRANSLATE(H156, ""de"", ""en"")"),"How does a traditional bocce ball differ from a bowling ball?")</f>
        <v>How does a traditional bocce ball differ from a bowling ball?</v>
      </c>
      <c r="C156" s="7" t="s">
        <v>849</v>
      </c>
      <c r="D156" s="6" t="str">
        <f>IFERROR(__xludf.DUMMYFUNCTION("GOOGLETRANSLATE(J156, ""de"", ""en"")"),"It has a curved shape.")</f>
        <v>It has a curved shape.</v>
      </c>
      <c r="E156" s="6" t="str">
        <f>IFERROR(__xludf.DUMMYFUNCTION("GOOGLETRANSLATE(K156, ""de"", ""en"")"),"The Bosseln ball is uniquely curved, giving it a different role than a traditional bowling ball.")</f>
        <v>The Bosseln ball is uniquely curved, giving it a different role than a traditional bowling ball.</v>
      </c>
      <c r="G156" s="14">
        <v>155.0</v>
      </c>
      <c r="H156" s="9" t="s">
        <v>850</v>
      </c>
      <c r="I156" s="9" t="str">
        <f>IFERROR(__xludf.DUMMYFUNCTION("GOOGLETRANSLATE(C156, ""en"", ""de"")"),"A. Es ist größer und schwerer. B. Es ist aus Stahl. C. Es ist aus Stahl gefertigt. D. Es hat eine glattere Oberfläche.")</f>
        <v>A. Es ist größer und schwerer. B. Es ist aus Stahl. C. Es ist aus Stahl gefertigt. D. Es hat eine glattere Oberfläche.</v>
      </c>
      <c r="J156" s="9" t="s">
        <v>851</v>
      </c>
      <c r="K156" s="9" t="s">
        <v>852</v>
      </c>
    </row>
    <row r="157" ht="22.5" customHeight="1">
      <c r="A157" s="14">
        <v>156.0</v>
      </c>
      <c r="B157" s="6" t="str">
        <f>IFERROR(__xludf.DUMMYFUNCTION("GOOGLETRANSLATE(H157, ""de"", ""en"")"),"In which city was the first modern bocce championship held?")</f>
        <v>In which city was the first modern bocce championship held?</v>
      </c>
      <c r="C157" s="7" t="s">
        <v>853</v>
      </c>
      <c r="D157" s="6" t="str">
        <f>IFERROR(__xludf.DUMMYFUNCTION("GOOGLETRANSLATE(J157, ""de"", ""en"")"),"Bremen")</f>
        <v>Bremen</v>
      </c>
      <c r="E157" s="6" t="str">
        <f>IFERROR(__xludf.DUMMYFUNCTION("GOOGLETRANSLATE(K157, ""de"", ""en"")"),"The first modern Bosseln championship took place in Bremen, Germany.")</f>
        <v>The first modern Bosseln championship took place in Bremen, Germany.</v>
      </c>
      <c r="G157" s="14">
        <v>156.0</v>
      </c>
      <c r="H157" s="9" t="s">
        <v>854</v>
      </c>
      <c r="I157" s="9" t="str">
        <f>IFERROR(__xludf.DUMMYFUNCTION("GOOGLETRANSLATE(C157, ""en"", ""de"")"),"A. Hamburg B. Berlin C. Berlin D. München")</f>
        <v>A. Hamburg B. Berlin C. Berlin D. München</v>
      </c>
      <c r="J157" s="9" t="s">
        <v>855</v>
      </c>
      <c r="K157" s="9" t="s">
        <v>856</v>
      </c>
    </row>
    <row r="158" ht="22.5" customHeight="1">
      <c r="A158" s="14">
        <v>157.0</v>
      </c>
      <c r="B158" s="6" t="str">
        <f>IFERROR(__xludf.DUMMYFUNCTION("GOOGLETRANSLATE(H158, ""de"", ""en"")"),"What major event contributed to the popularity of Bosseln after the Second World War?")</f>
        <v>What major event contributed to the popularity of Bosseln after the Second World War?</v>
      </c>
      <c r="C158" s="7" t="s">
        <v>857</v>
      </c>
      <c r="D158" s="6" t="str">
        <f>IFERROR(__xludf.DUMMYFUNCTION("GOOGLETRANSLATE(J158, ""de"", ""en"")"),"The revival of rural festivals")</f>
        <v>The revival of rural festivals</v>
      </c>
      <c r="E158" s="6" t="str">
        <f>IFERROR(__xludf.DUMMYFUNCTION("GOOGLETRANSLATE(K158, ""de"", ""en"")"),"After the Second World War, Bosseln was revived in Germany as part of the cultural renewal of rural festivals.")</f>
        <v>After the Second World War, Bosseln was revived in Germany as part of the cultural renewal of rural festivals.</v>
      </c>
      <c r="G158" s="14">
        <v>157.0</v>
      </c>
      <c r="H158" s="9" t="s">
        <v>858</v>
      </c>
      <c r="I158" s="9" t="str">
        <f>IFERROR(__xludf.DUMMYFUNCTION("GOOGLETRANSLATE(C158, ""en"", ""de"")"),"A. Die Olympischen Sommerspiele 1960 B. Die Wiederbelebung ländlicher Feste C. Die Wiederbelebung ländlicher Feste D. Die Fußball-Weltmeisterschaft 1950")</f>
        <v>A. Die Olympischen Sommerspiele 1960 B. Die Wiederbelebung ländlicher Feste C. Die Wiederbelebung ländlicher Feste D. Die Fußball-Weltmeisterschaft 1950</v>
      </c>
      <c r="J158" s="9" t="s">
        <v>859</v>
      </c>
      <c r="K158" s="9" t="s">
        <v>860</v>
      </c>
    </row>
    <row r="159" ht="22.5" customHeight="1">
      <c r="A159" s="14">
        <v>158.0</v>
      </c>
      <c r="B159" s="6" t="str">
        <f>IFERROR(__xludf.DUMMYFUNCTION("GOOGLETRANSLATE(H159, ""de"", ""en"")"),"What aspect of bocce competitions distinguishes them from traditional bowling tournaments?")</f>
        <v>What aspect of bocce competitions distinguishes them from traditional bowling tournaments?</v>
      </c>
      <c r="C159" s="7" t="s">
        <v>861</v>
      </c>
      <c r="D159" s="6" t="str">
        <f>IFERROR(__xludf.DUMMYFUNCTION("GOOGLETRANSLATE(J159, ""de"", ""en"")"),"The course length")</f>
        <v>The course length</v>
      </c>
      <c r="E159" s="6" t="str">
        <f>IFERROR(__xludf.DUMMYFUNCTION("GOOGLETRANSLATE(K159, ""de"", ""en"")"),"Bosseln competitions are played on long outdoor courses, which distinguishes it from traditional indoor bowling.")</f>
        <v>Bosseln competitions are played on long outdoor courses, which distinguishes it from traditional indoor bowling.</v>
      </c>
      <c r="G159" s="14">
        <v>158.0</v>
      </c>
      <c r="H159" s="9" t="s">
        <v>862</v>
      </c>
      <c r="I159" s="9" t="str">
        <f>IFERROR(__xludf.DUMMYFUNCTION("GOOGLETRANSLATE(C159, ""en"", ""de"")"),"A. Die Kurslänge B. Die Anzahl der verwendeten Bälle C. Die Anzahl der verwendeten Bälle D. Die Bewertungsmethode")</f>
        <v>A. Die Kurslänge B. Die Anzahl der verwendeten Bälle C. Die Anzahl der verwendeten Bälle D. Die Bewertungsmethode</v>
      </c>
      <c r="J159" s="9" t="s">
        <v>863</v>
      </c>
      <c r="K159" s="9" t="s">
        <v>864</v>
      </c>
    </row>
    <row r="160" ht="22.5" customHeight="1">
      <c r="A160" s="14">
        <v>159.0</v>
      </c>
      <c r="B160" s="6" t="str">
        <f>IFERROR(__xludf.DUMMYFUNCTION("GOOGLETRANSLATE(H160, ""de"", ""en"")"),"What was the original name for Bosseln before it became known as such?")</f>
        <v>What was the original name for Bosseln before it became known as such?</v>
      </c>
      <c r="C160" s="7" t="s">
        <v>865</v>
      </c>
      <c r="D160" s="6" t="str">
        <f>IFERROR(__xludf.DUMMYFUNCTION("GOOGLETRANSLATE(J160, ""de"", ""en"")"),"Street globe")</f>
        <v>Street globe</v>
      </c>
      <c r="E160" s="6" t="str">
        <f>IFERROR(__xludf.DUMMYFUNCTION("GOOGLETRANSLATE(K160, ""de"", ""en"")"),"Before it was called Boseln, the sport was originally called Straßenkugel in German.")</f>
        <v>Before it was called Boseln, the sport was originally called Straßenkugel in German.</v>
      </c>
      <c r="G160" s="14">
        <v>159.0</v>
      </c>
      <c r="H160" s="9" t="s">
        <v>866</v>
      </c>
      <c r="I160" s="9" t="str">
        <f>IFERROR(__xludf.DUMMYFUNCTION("GOOGLETRANSLATE(C160, ""en"", ""de"")"),"A. Floorball B. Straßenkugel C. Straßenkugel D. Rollball")</f>
        <v>A. Floorball B. Straßenkugel C. Straßenkugel D. Rollball</v>
      </c>
      <c r="J160" s="9" t="s">
        <v>867</v>
      </c>
      <c r="K160" s="9" t="s">
        <v>868</v>
      </c>
    </row>
    <row r="161" ht="22.5" customHeight="1">
      <c r="A161" s="14">
        <v>160.0</v>
      </c>
      <c r="B161" s="6" t="str">
        <f>IFERROR(__xludf.DUMMYFUNCTION("GOOGLETRANSLATE(H161, ""de"", ""en"")"),"Which early Bosseln tradition included a competitive element between villages?")</f>
        <v>Which early Bosseln tradition included a competitive element between villages?</v>
      </c>
      <c r="C161" s="7" t="s">
        <v>869</v>
      </c>
      <c r="D161" s="6" t="str">
        <f>IFERROR(__xludf.DUMMYFUNCTION("GOOGLETRANSLATE(J161, ""de"", ""en"")"),"Harvest festivals")</f>
        <v>Harvest festivals</v>
      </c>
      <c r="E161" s="6" t="str">
        <f>IFERROR(__xludf.DUMMYFUNCTION("GOOGLETRANSLATE(K161, ""de"", ""en"")"),"Bosseln competitions were frequently held during harvest festivals, with neighboring villages competing.")</f>
        <v>Bosseln competitions were frequently held during harvest festivals, with neighboring villages competing.</v>
      </c>
      <c r="G161" s="14">
        <v>160.0</v>
      </c>
      <c r="H161" s="9" t="s">
        <v>870</v>
      </c>
      <c r="I161" s="9" t="str">
        <f>IFERROR(__xludf.DUMMYFUNCTION("GOOGLETRANSLATE(C161, ""en"", ""de"")"),"A. Erntedankfeste B. Markttage C. Markttage D. Hochzeitsfeiern")</f>
        <v>A. Erntedankfeste B. Markttage C. Markttage D. Hochzeitsfeiern</v>
      </c>
      <c r="J161" s="9" t="s">
        <v>871</v>
      </c>
      <c r="K161" s="9" t="s">
        <v>872</v>
      </c>
    </row>
    <row r="162" ht="22.5" customHeight="1">
      <c r="A162" s="14">
        <v>161.0</v>
      </c>
      <c r="B162" s="6" t="str">
        <f>IFERROR(__xludf.DUMMYFUNCTION("GOOGLETRANSLATE(H162, ""de"", ""en"")"),"What key event led to the formalization of the rules of Bosseln?")</f>
        <v>What key event led to the formalization of the rules of Bosseln?</v>
      </c>
      <c r="C162" s="7" t="s">
        <v>873</v>
      </c>
      <c r="D162" s="6" t="str">
        <f>IFERROR(__xludf.DUMMYFUNCTION("GOOGLETRANSLATE(J162, ""de"", ""en"")"),"The first Bosseln championship")</f>
        <v>The first Bosseln championship</v>
      </c>
      <c r="E162" s="6" t="str">
        <f>IFERROR(__xludf.DUMMYFUNCTION("GOOGLETRANSLATE(K162, ""de"", ""en"")"),"The first Bosseln championship helped to establish standardized rules for the game.")</f>
        <v>The first Bosseln championship helped to establish standardized rules for the game.</v>
      </c>
      <c r="G162" s="14">
        <v>161.0</v>
      </c>
      <c r="H162" s="9" t="s">
        <v>874</v>
      </c>
      <c r="I162" s="9" t="str">
        <f>IFERROR(__xludf.DUMMYFUNCTION("GOOGLETRANSLATE(C162, ""en"", ""de"")"),"A. Die Gründung eines Sportvereins B. Die Gründung einer Profilige C. Die Gründung einer Profilige D. Die erste Bosseln-Meisterschaft")</f>
        <v>A. Die Gründung eines Sportvereins B. Die Gründung einer Profilige C. Die Gründung einer Profilige D. Die erste Bosseln-Meisterschaft</v>
      </c>
      <c r="J162" s="9" t="s">
        <v>875</v>
      </c>
      <c r="K162" s="9" t="s">
        <v>876</v>
      </c>
    </row>
    <row r="163" ht="22.5" customHeight="1">
      <c r="A163" s="14">
        <v>162.0</v>
      </c>
      <c r="B163" s="6" t="str">
        <f>IFERROR(__xludf.DUMMYFUNCTION("GOOGLETRANSLATE(H163, ""de"", ""en"")"),"What do modern bocce tournaments usually emphasize?")</f>
        <v>What do modern bocce tournaments usually emphasize?</v>
      </c>
      <c r="C163" s="7" t="s">
        <v>877</v>
      </c>
      <c r="D163" s="6" t="str">
        <f>IFERROR(__xludf.DUMMYFUNCTION("GOOGLETRANSLATE(J163, ""de"", ""en"")"),"Teamwork and precision")</f>
        <v>Teamwork and precision</v>
      </c>
      <c r="E163" s="6" t="str">
        <f>IFERROR(__xludf.DUMMYFUNCTION("GOOGLETRANSLATE(K163, ""de"", ""en"")"),"Modern bocce tournaments focus on teamwork and precision with a spirit of friendly competition.")</f>
        <v>Modern bocce tournaments focus on teamwork and precision with a spirit of friendly competition.</v>
      </c>
      <c r="G163" s="14">
        <v>162.0</v>
      </c>
      <c r="H163" s="9" t="s">
        <v>878</v>
      </c>
      <c r="I163" s="9" t="str">
        <f>IFERROR(__xludf.DUMMYFUNCTION("GOOGLETRANSLATE(C163, ""en"", ""de"")"),"A. Familienfreundlicher Wettbewerb B. Spielgeschwindigkeit C. Spielgeschwindigkeit D. Individuelle Leistung")</f>
        <v>A. Familienfreundlicher Wettbewerb B. Spielgeschwindigkeit C. Spielgeschwindigkeit D. Individuelle Leistung</v>
      </c>
      <c r="J163" s="9" t="s">
        <v>879</v>
      </c>
      <c r="K163" s="9" t="s">
        <v>880</v>
      </c>
    </row>
    <row r="164" ht="22.5" customHeight="1">
      <c r="A164" s="14">
        <v>163.0</v>
      </c>
      <c r="B164" s="6" t="str">
        <f>IFERROR(__xludf.DUMMYFUNCTION("GOOGLETRANSLATE(H164, ""de"", ""en"")"),"What was a significant influence on the development of bocce equipment?")</f>
        <v>What was a significant influence on the development of bocce equipment?</v>
      </c>
      <c r="C164" s="7" t="s">
        <v>881</v>
      </c>
      <c r="D164" s="6" t="str">
        <f>IFERROR(__xludf.DUMMYFUNCTION("GOOGLETRANSLATE(J164, ""de"", ""en"")"),"Technological advances")</f>
        <v>Technological advances</v>
      </c>
      <c r="E164" s="6" t="str">
        <f>IFERROR(__xludf.DUMMYFUNCTION("GOOGLETRANSLATE(K164, ""de"", ""en"")"),"Technological progress in the 20th century led to improvements in bocce equipment, especially in ball design.")</f>
        <v>Technological progress in the 20th century led to improvements in bocce equipment, especially in ball design.</v>
      </c>
      <c r="G164" s="14">
        <v>163.0</v>
      </c>
      <c r="H164" s="9" t="s">
        <v>882</v>
      </c>
      <c r="I164" s="9" t="str">
        <f>IFERROR(__xludf.DUMMYFUNCTION("GOOGLETRANSLATE(C164, ""en"", ""de"")"),"A. Technologische Fortschritte B. Militärische Innovationen C. Militärische Innovationen D. Natürliche Materialien")</f>
        <v>A. Technologische Fortschritte B. Militärische Innovationen C. Militärische Innovationen D. Natürliche Materialien</v>
      </c>
      <c r="J164" s="9" t="s">
        <v>883</v>
      </c>
      <c r="K164" s="9" t="s">
        <v>884</v>
      </c>
    </row>
    <row r="165" ht="22.5" customHeight="1">
      <c r="A165" s="14">
        <v>164.0</v>
      </c>
      <c r="B165" s="6" t="str">
        <f>IFERROR(__xludf.DUMMYFUNCTION("GOOGLETRANSLATE(H165, ""de"", ""en"")"),"What type of terrain is least ideal for playing bocce?")</f>
        <v>What type of terrain is least ideal for playing bocce?</v>
      </c>
      <c r="C165" s="7" t="s">
        <v>885</v>
      </c>
      <c r="D165" s="6" t="str">
        <f>IFERROR(__xludf.DUMMYFUNCTION("GOOGLETRANSLATE(J165, ""de"", ""en"")"),"cobbled streets")</f>
        <v>cobbled streets</v>
      </c>
      <c r="E165" s="6" t="str">
        <f>IFERROR(__xludf.DUMMYFUNCTION("GOOGLETRANSLATE(K165, ""de"", ""en"")"),"Paved streets are the least ideal for bocce, as the game requires uneven, natural terrain.")</f>
        <v>Paved streets are the least ideal for bocce, as the game requires uneven, natural terrain.</v>
      </c>
      <c r="G165" s="14">
        <v>164.0</v>
      </c>
      <c r="H165" s="9" t="s">
        <v>886</v>
      </c>
      <c r="I165" s="9" t="str">
        <f>IFERROR(__xludf.DUMMYFUNCTION("GOOGLETRANSLATE(C165, ""en"", ""de"")"),"A. Kopfsteinpflasterstraßen B. Wiesen C. Wiesen D. Ländliche unbefestigte Straßen")</f>
        <v>A. Kopfsteinpflasterstraßen B. Wiesen C. Wiesen D. Ländliche unbefestigte Straßen</v>
      </c>
      <c r="J165" s="9" t="s">
        <v>292</v>
      </c>
      <c r="K165" s="9" t="s">
        <v>887</v>
      </c>
    </row>
    <row r="166" ht="22.5" customHeight="1">
      <c r="A166" s="14">
        <v>165.0</v>
      </c>
      <c r="B166" s="6" t="str">
        <f>IFERROR(__xludf.DUMMYFUNCTION("GOOGLETRANSLATE(H166, ""de"", ""en"")"),"How are the bocce balls typically designed for better performance?")</f>
        <v>How are the bocce balls typically designed for better performance?</v>
      </c>
      <c r="C166" s="7" t="s">
        <v>888</v>
      </c>
      <c r="D166" s="6" t="str">
        <f>IFERROR(__xludf.DUMMYFUNCTION("GOOGLETRANSLATE(J166, ""de"", ""en"")"),"Bent to travel further")</f>
        <v>Bent to travel further</v>
      </c>
      <c r="E166" s="6" t="str">
        <f>IFERROR(__xludf.DUMMYFUNCTION("GOOGLETRANSLATE(K166, ""de"", ""en"")"),"The Bosseln balls are curved to ensure they travel longer distances while maintaining stability.")</f>
        <v>The Bosseln balls are curved to ensure they travel longer distances while maintaining stability.</v>
      </c>
      <c r="G166" s="14">
        <v>165.0</v>
      </c>
      <c r="H166" s="9" t="s">
        <v>889</v>
      </c>
      <c r="I166" s="9" t="str">
        <f>IFERROR(__xludf.DUMMYFUNCTION("GOOGLETRANSLATE(C166, ""en"", ""de"")"),"A. Größer für höhere Geschwindigkeit B. Schwerer für bessere Kontrolle C. Schwerer für bessere Kontrolle D. Gebogen für größere Reichweite")</f>
        <v>A. Größer für höhere Geschwindigkeit B. Schwerer für bessere Kontrolle C. Schwerer für bessere Kontrolle D. Gebogen für größere Reichweite</v>
      </c>
      <c r="J166" s="9" t="s">
        <v>890</v>
      </c>
      <c r="K166" s="9" t="s">
        <v>891</v>
      </c>
    </row>
    <row r="167" ht="22.5" customHeight="1">
      <c r="A167" s="14">
        <v>166.0</v>
      </c>
      <c r="B167" s="6" t="str">
        <f>IFERROR(__xludf.DUMMYFUNCTION("GOOGLETRANSLATE(H167, ""de"", ""en"")"),"What major change occurred in the 20th century that influenced the popularity of bocce?")</f>
        <v>What major change occurred in the 20th century that influenced the popularity of bocce?</v>
      </c>
      <c r="C167" s="7" t="s">
        <v>892</v>
      </c>
      <c r="D167" s="6" t="str">
        <f>IFERROR(__xludf.DUMMYFUNCTION("GOOGLETRANSLATE(J167, ""de"", ""en"")"),"The construction of highways")</f>
        <v>The construction of highways</v>
      </c>
      <c r="E167" s="6" t="str">
        <f>IFERROR(__xludf.DUMMYFUNCTION("GOOGLETRANSLATE(K167, ""de"", ""en"")"),"The construction of highways made some rural roads less accessible for traditional bocce games.")</f>
        <v>The construction of highways made some rural roads less accessible for traditional bocce games.</v>
      </c>
      <c r="G167" s="14">
        <v>166.0</v>
      </c>
      <c r="H167" s="9" t="s">
        <v>893</v>
      </c>
      <c r="I167" s="9" t="str">
        <f>IFERROR(__xludf.DUMMYFUNCTION("GOOGLETRANSLATE(C167, ""en"", ""de"")"),"A. Der Aufstieg des Fernsehens B. Der Bau von Autobahnen C. Der Bau von Autobahnen D. Die Entstehung professioneller Sportligen")</f>
        <v>A. Der Aufstieg des Fernsehens B. Der Bau von Autobahnen C. Der Bau von Autobahnen D. Die Entstehung professioneller Sportligen</v>
      </c>
      <c r="J167" s="9" t="s">
        <v>894</v>
      </c>
      <c r="K167" s="9" t="s">
        <v>895</v>
      </c>
    </row>
    <row r="168" ht="22.5" customHeight="1">
      <c r="A168" s="14">
        <v>167.0</v>
      </c>
      <c r="B168" s="6" t="str">
        <f>IFERROR(__xludf.DUMMYFUNCTION("GOOGLETRANSLATE(H168, ""de"", ""en"")"),"How does bocce differ from traditional bowling in terms of playing style?")</f>
        <v>How does bocce differ from traditional bowling in terms of playing style?</v>
      </c>
      <c r="C168" s="7" t="s">
        <v>896</v>
      </c>
      <c r="D168" s="6" t="str">
        <f>IFERROR(__xludf.DUMMYFUNCTION("GOOGLETRANSLATE(J168, ""de"", ""en"")"),"It is played on outdoor streets.")</f>
        <v>It is played on outdoor streets.</v>
      </c>
      <c r="E168" s="6" t="str">
        <f>IFERROR(__xludf.DUMMYFUNCTION("GOOGLETRANSLATE(K168, ""de"", ""en"")"),"Bosseln is unique because, unlike bowling, it is played indoors on outdoor, unpaved roads.")</f>
        <v>Bosseln is unique because, unlike bowling, it is played indoors on outdoor, unpaved roads.</v>
      </c>
      <c r="G168" s="14">
        <v>167.0</v>
      </c>
      <c r="H168" s="9" t="s">
        <v>897</v>
      </c>
      <c r="I168" s="9" t="str">
        <f>IFERROR(__xludf.DUMMYFUNCTION("GOOGLETRANSLATE(C168, ""en"", ""de"")"),"A. Es wird auf öffentlichen Straßen gespielt. B. Es geht um eine Mannschaft von 12-Jährigen. C. Es geht um eine Mannschaft von 12-Jährigen. D. Der Ball wird mit einem Stock gerollt.")</f>
        <v>A. Es wird auf öffentlichen Straßen gespielt. B. Es geht um eine Mannschaft von 12-Jährigen. C. Es geht um eine Mannschaft von 12-Jährigen. D. Der Ball wird mit einem Stock gerollt.</v>
      </c>
      <c r="J168" s="9" t="s">
        <v>898</v>
      </c>
      <c r="K168" s="9" t="s">
        <v>899</v>
      </c>
    </row>
    <row r="169" ht="22.5" customHeight="1">
      <c r="A169" s="14">
        <v>168.0</v>
      </c>
      <c r="B169" s="6" t="str">
        <f>IFERROR(__xludf.DUMMYFUNCTION("GOOGLETRANSLATE(H169, ""de"", ""en"")"),"What early influence did curling sport have on bocce?")</f>
        <v>What early influence did curling sport have on bocce?</v>
      </c>
      <c r="C169" s="7" t="s">
        <v>900</v>
      </c>
      <c r="D169" s="6" t="str">
        <f>IFERROR(__xludf.DUMMYFUNCTION("GOOGLETRANSLATE(J169, ""de"", ""en"")"),"Introduction of rolling balls")</f>
        <v>Introduction of rolling balls</v>
      </c>
      <c r="E169" s="6" t="str">
        <f>IFERROR(__xludf.DUMMYFUNCTION("GOOGLETRANSLATE(K169, ""de"", ""en"")"),"Curling, through the introduction of rolling balls, influenced the development of bocce in the 19th century.")</f>
        <v>Curling, through the introduction of rolling balls, influenced the development of bocce in the 19th century.</v>
      </c>
      <c r="G169" s="14">
        <v>168.0</v>
      </c>
      <c r="H169" s="9" t="s">
        <v>901</v>
      </c>
      <c r="I169" s="9" t="str">
        <f>IFERROR(__xludf.DUMMYFUNCTION("GOOGLETRANSLATE(C169, ""en"", ""de"")"),"A. Einführung von Rollkugeln B. Entwicklung von Bewertungssystemen C. Entwicklung von Bewertungssystemen D. Die Verwendung von Curlingsteinen")</f>
        <v>A. Einführung von Rollkugeln B. Entwicklung von Bewertungssystemen C. Entwicklung von Bewertungssystemen D. Die Verwendung von Curlingsteinen</v>
      </c>
      <c r="J169" s="9" t="s">
        <v>902</v>
      </c>
      <c r="K169" s="9" t="s">
        <v>903</v>
      </c>
    </row>
    <row r="170" ht="22.5" customHeight="1">
      <c r="A170" s="14">
        <v>169.0</v>
      </c>
      <c r="B170" s="6" t="str">
        <f>IFERROR(__xludf.DUMMYFUNCTION("GOOGLETRANSLATE(H170, ""de"", ""en"")"),"What characteristic made Bosseln a popular game at agricultural festivals?")</f>
        <v>What characteristic made Bosseln a popular game at agricultural festivals?</v>
      </c>
      <c r="C170" s="7" t="s">
        <v>904</v>
      </c>
      <c r="D170" s="6" t="str">
        <f>IFERROR(__xludf.DUMMYFUNCTION("GOOGLETRANSLATE(J170, ""de"", ""en"")"),"It was easy to build.")</f>
        <v>It was easy to build.</v>
      </c>
      <c r="E170" s="6" t="str">
        <f>IFERROR(__xludf.DUMMYFUNCTION("GOOGLETRANSLATE(K170, ""de"", ""en"")"),"The simplicity and minimal equipment required for bocce made it a perfect activity for agricultural festivals.")</f>
        <v>The simplicity and minimal equipment required for bocce made it a perfect activity for agricultural festivals.</v>
      </c>
      <c r="G170" s="14">
        <v>169.0</v>
      </c>
      <c r="H170" s="9" t="s">
        <v>905</v>
      </c>
      <c r="I170" s="9" t="str">
        <f>IFERROR(__xludf.DUMMYFUNCTION("GOOGLETRANSLATE(C170, ""en"", ""de"")"),"A. Es war einfach zu bauen. B. Es erforderte umfangreiche Ausrüstung. C. Es erforderte umfangreiche Ausrüstung. D. Es war für große Gruppen geeignet.")</f>
        <v>A. Es war einfach zu bauen. B. Es erforderte umfangreiche Ausrüstung. C. Es erforderte umfangreiche Ausrüstung. D. Es war für große Gruppen geeignet.</v>
      </c>
      <c r="J170" s="9" t="s">
        <v>906</v>
      </c>
      <c r="K170" s="9" t="s">
        <v>907</v>
      </c>
    </row>
    <row r="171" ht="22.5" customHeight="1">
      <c r="A171" s="14">
        <v>170.0</v>
      </c>
      <c r="B171" s="6" t="str">
        <f>IFERROR(__xludf.DUMMYFUNCTION("GOOGLETRANSLATE(H171, ""de"", ""en"")"),"How were the first bocce tournaments organized?")</f>
        <v>How were the first bocce tournaments organized?</v>
      </c>
      <c r="C171" s="7" t="s">
        <v>908</v>
      </c>
      <c r="D171" s="6" t="str">
        <f>IFERROR(__xludf.DUMMYFUNCTION("GOOGLETRANSLATE(J171, ""de"", ""en"")"),"From local farmers")</f>
        <v>From local farmers</v>
      </c>
      <c r="E171" s="6" t="str">
        <f>IFERROR(__xludf.DUMMYFUNCTION("GOOGLETRANSLATE(K171, ""de"", ""en"")"),"The first Bosseln tournaments were organized by local farmers to encourage community participation.")</f>
        <v>The first Bosseln tournaments were organized by local farmers to encourage community participation.</v>
      </c>
      <c r="G171" s="14">
        <v>170.0</v>
      </c>
      <c r="H171" s="9" t="s">
        <v>909</v>
      </c>
      <c r="I171" s="9" t="str">
        <f>IFERROR(__xludf.DUMMYFUNCTION("GOOGLETRANSLATE(C171, ""en"", ""de"")"),"A. Von lokalen Bauern B. Vom deutschen Militär C. Vom deutschen Militär D. Von lokalen Kirchen")</f>
        <v>A. Von lokalen Bauern B. Vom deutschen Militär C. Vom deutschen Militär D. Von lokalen Kirchen</v>
      </c>
      <c r="J171" s="9" t="s">
        <v>910</v>
      </c>
      <c r="K171" s="9" t="s">
        <v>911</v>
      </c>
    </row>
    <row r="172" ht="22.5" customHeight="1">
      <c r="A172" s="14">
        <v>171.0</v>
      </c>
      <c r="B172" s="6" t="str">
        <f>IFERROR(__xludf.DUMMYFUNCTION("GOOGLETRANSLATE(H172, ""de"", ""en"")"),"Which of the following statements is essential for modern bocce tournaments?")</f>
        <v>Which of the following statements is essential for modern bocce tournaments?</v>
      </c>
      <c r="C172" s="7" t="s">
        <v>912</v>
      </c>
      <c r="D172" s="6" t="str">
        <f>IFERROR(__xludf.DUMMYFUNCTION("GOOGLETRANSLATE(J172, ""de"", ""en"")"),"Official referees")</f>
        <v>Official referees</v>
      </c>
      <c r="E172" s="6" t="str">
        <f>IFERROR(__xludf.DUMMYFUNCTION("GOOGLETRANSLATE(K172, ""de"", ""en"")"),"Modern bocce tournaments are officially regulated with referees to ensure that the rules are followed.")</f>
        <v>Modern bocce tournaments are officially regulated with referees to ensure that the rules are followed.</v>
      </c>
      <c r="G172" s="14">
        <v>171.0</v>
      </c>
      <c r="H172" s="9" t="s">
        <v>913</v>
      </c>
      <c r="I172" s="9" t="str">
        <f>IFERROR(__xludf.DUMMYFUNCTION("GOOGLETRANSLATE(C172, ""en"", ""de"")"),"A. Uniformen B. Offizielle Schiedsrichter C. Offizielle Schiedsrichter D. Innenräume")</f>
        <v>A. Uniformen B. Offizielle Schiedsrichter C. Offizielle Schiedsrichter D. Innenräume</v>
      </c>
      <c r="J172" s="9" t="s">
        <v>914</v>
      </c>
      <c r="K172" s="9" t="s">
        <v>915</v>
      </c>
    </row>
    <row r="173" ht="22.5" customHeight="1">
      <c r="A173" s="14">
        <v>172.0</v>
      </c>
      <c r="B173" s="6" t="str">
        <f>IFERROR(__xludf.DUMMYFUNCTION("GOOGLETRANSLATE(H173, ""de"", ""en"")"),"What impact did the industrial revolution have on bocce ball?")</f>
        <v>What impact did the industrial revolution have on bocce ball?</v>
      </c>
      <c r="C173" s="7" t="s">
        <v>916</v>
      </c>
      <c r="D173" s="6" t="str">
        <f>IFERROR(__xludf.DUMMYFUNCTION("GOOGLETRANSLATE(J173, ""de"", ""en"")"),"It helped to spread the game to urban areas.")</f>
        <v>It helped to spread the game to urban areas.</v>
      </c>
      <c r="E173" s="6" t="str">
        <f>IFERROR(__xludf.DUMMYFUNCTION("GOOGLETRANSLATE(K173, ""de"", ""en"")"),"The industrial revolution helped bocce to spread beyond rural areas and reach urban centers as a leisure activity.")</f>
        <v>The industrial revolution helped bocce to spread beyond rural areas and reach urban centers as a leisure activity.</v>
      </c>
      <c r="G173" s="14">
        <v>172.0</v>
      </c>
      <c r="H173" s="9" t="s">
        <v>917</v>
      </c>
      <c r="I173" s="9" t="str">
        <f>IFERROR(__xludf.DUMMYFUNCTION("GOOGLETRANSLATE(C173, ""en"", ""de"")"),"A. Es trug zur Verbreitung des Spiels in städtischen Gebieten bei. B. Es erhöhte den Einsatz von Profispielern. C. Es erhöhte den Einsatz von Profispielern. D. Es verringerte das Interesse an ländlichen Spielen.")</f>
        <v>A. Es trug zur Verbreitung des Spiels in städtischen Gebieten bei. B. Es erhöhte den Einsatz von Profispielern. C. Es erhöhte den Einsatz von Profispielern. D. Es verringerte das Interesse an ländlichen Spielen.</v>
      </c>
      <c r="J173" s="9" t="s">
        <v>918</v>
      </c>
      <c r="K173" s="9" t="s">
        <v>919</v>
      </c>
    </row>
    <row r="174" ht="22.5" customHeight="1">
      <c r="A174" s="14">
        <v>173.0</v>
      </c>
      <c r="B174" s="6" t="str">
        <f>IFERROR(__xludf.DUMMYFUNCTION("GOOGLETRANSLATE(H174, ""de"", ""en"")"),"What was a typical prize in early bocce competitions?")</f>
        <v>What was a typical prize in early bocce competitions?</v>
      </c>
      <c r="C174" s="7" t="s">
        <v>920</v>
      </c>
      <c r="D174" s="6" t="str">
        <f>IFERROR(__xludf.DUMMYFUNCTION("GOOGLETRANSLATE(J174, ""de"", ""en"")"),"A sack of grain")</f>
        <v>A sack of grain</v>
      </c>
      <c r="E174" s="6" t="str">
        <f>IFERROR(__xludf.DUMMYFUNCTION("GOOGLETRANSLATE(K174, ""de"", ""en"")"),"In early bocce competitions, the prize was often practical, such as a sack of grain for agricultural communities.")</f>
        <v>In early bocce competitions, the prize was often practical, such as a sack of grain for agricultural communities.</v>
      </c>
      <c r="G174" s="14">
        <v>173.0</v>
      </c>
      <c r="H174" s="9" t="s">
        <v>921</v>
      </c>
      <c r="I174" s="9" t="str">
        <f>IFERROR(__xludf.DUMMYFUNCTION("GOOGLETRANSLATE(C174, ""en"", ""de"")"),"A. Ein Pokal B. Ein Sack Getreide C. Ein Sack Getreide D. Eine Silbermedaille")</f>
        <v>A. Ein Pokal B. Ein Sack Getreide C. Ein Sack Getreide D. Eine Silbermedaille</v>
      </c>
      <c r="J174" s="9" t="s">
        <v>922</v>
      </c>
      <c r="K174" s="9" t="s">
        <v>923</v>
      </c>
    </row>
    <row r="175" ht="22.5" customHeight="1">
      <c r="A175" s="14">
        <v>174.0</v>
      </c>
      <c r="B175" s="6" t="str">
        <f>IFERROR(__xludf.DUMMYFUNCTION("GOOGLETRANSLATE(H175, ""de"", ""en"")"),"Who introduced Bosseln as a competitive sport in the 19th century?")</f>
        <v>Who introduced Bosseln as a competitive sport in the 19th century?</v>
      </c>
      <c r="C175" s="7" t="s">
        <v>924</v>
      </c>
      <c r="D175" s="6" t="str">
        <f>IFERROR(__xludf.DUMMYFUNCTION("GOOGLETRANSLATE(J175, ""de"", ""en"")"),"Agricultural Societies")</f>
        <v>Agricultural Societies</v>
      </c>
      <c r="E175" s="6" t="str">
        <f>IFERROR(__xludf.DUMMYFUNCTION("GOOGLETRANSLATE(K175, ""de"", ""en"")"),"Agricultural societies played a central role in the introduction of bocce as a competitive sport in the 19th century.")</f>
        <v>Agricultural societies played a central role in the introduction of bocce as a competitive sport in the 19th century.</v>
      </c>
      <c r="G175" s="14">
        <v>174.0</v>
      </c>
      <c r="H175" s="9" t="s">
        <v>925</v>
      </c>
      <c r="I175" s="9" t="str">
        <f>IFERROR(__xludf.DUMMYFUNCTION("GOOGLETRANSLATE(C175, ""en"", ""de"")"),"A. Lokale Sportvereine B. Militäroffiziere C. Militäroffiziere D. Landwirtschaftliche Gesellschaften")</f>
        <v>A. Lokale Sportvereine B. Militäroffiziere C. Militäroffiziere D. Landwirtschaftliche Gesellschaften</v>
      </c>
      <c r="J175" s="9" t="s">
        <v>926</v>
      </c>
      <c r="K175" s="9" t="s">
        <v>927</v>
      </c>
    </row>
    <row r="176" ht="22.5" customHeight="1">
      <c r="A176" s="14">
        <v>175.0</v>
      </c>
      <c r="B176" s="6" t="str">
        <f>IFERROR(__xludf.DUMMYFUNCTION("GOOGLETRANSLATE(H176, ""de"", ""en"")"),"How did social clubs contribute to the popularity of bocce in the 20th century?")</f>
        <v>How did social clubs contribute to the popularity of bocce in the 20th century?</v>
      </c>
      <c r="C176" s="7" t="s">
        <v>928</v>
      </c>
      <c r="D176" s="6" t="str">
        <f>IFERROR(__xludf.DUMMYFUNCTION("GOOGLETRANSLATE(J176, ""de"", ""en"")"),"They organized local tournaments.")</f>
        <v>They organized local tournaments.</v>
      </c>
      <c r="E176" s="6" t="str">
        <f>IFERROR(__xludf.DUMMYFUNCTION("GOOGLETRANSLATE(K176, ""de"", ""en"")"),"Social clubs helped promote bocce by organizing local tournaments and regional competitions.")</f>
        <v>Social clubs helped promote bocce by organizing local tournaments and regional competitions.</v>
      </c>
      <c r="G176" s="14">
        <v>175.0</v>
      </c>
      <c r="H176" s="9" t="s">
        <v>929</v>
      </c>
      <c r="I176" s="9" t="str">
        <f>IFERROR(__xludf.DUMMYFUNCTION("GOOGLETRANSLATE(C176, ""en"", ""de"")"),"A. Sie organisierten lokale Turniere. B. Sie organisierten internationale Wettbewerbe. C. Sie organisierten internationale Wettbewerbe. D. Sie förderten den Schulsport.")</f>
        <v>A. Sie organisierten lokale Turniere. B. Sie organisierten internationale Wettbewerbe. C. Sie organisierten internationale Wettbewerbe. D. Sie förderten den Schulsport.</v>
      </c>
      <c r="J176" s="9" t="s">
        <v>930</v>
      </c>
      <c r="K176" s="9" t="s">
        <v>931</v>
      </c>
    </row>
    <row r="177" ht="22.5" customHeight="1">
      <c r="A177" s="14">
        <v>176.0</v>
      </c>
      <c r="B177" s="6" t="str">
        <f>IFERROR(__xludf.DUMMYFUNCTION("GOOGLETRANSLATE(H177, ""de"", ""en"")"),"What activity was commonly paired with Bosseln competitions in the 19th century?")</f>
        <v>What activity was commonly paired with Bosseln competitions in the 19th century?</v>
      </c>
      <c r="C177" s="7" t="s">
        <v>932</v>
      </c>
      <c r="D177" s="6" t="str">
        <f>IFERROR(__xludf.DUMMYFUNCTION("GOOGLETRANSLATE(J177, ""de"", ""en"")"),"folk dances")</f>
        <v>folk dances</v>
      </c>
      <c r="E177" s="6" t="str">
        <f>IFERROR(__xludf.DUMMYFUNCTION("GOOGLETRANSLATE(K177, ""de"", ""en"")"),"Bosseln competitions were often combined with folk dances during rural festivals in the 19th century.")</f>
        <v>Bosseln competitions were often combined with folk dances during rural festivals in the 19th century.</v>
      </c>
      <c r="G177" s="14">
        <v>176.0</v>
      </c>
      <c r="H177" s="9" t="s">
        <v>933</v>
      </c>
      <c r="I177" s="9" t="str">
        <f>IFERROR(__xludf.DUMMYFUNCTION("GOOGLETRANSLATE(C177, ""en"", ""de"")"),"A. Volkstänze B. Musikalische Darbietungen C. Musikalische Darbietungen D. Pferderennen")</f>
        <v>A. Volkstänze B. Musikalische Darbietungen C. Musikalische Darbietungen D. Pferderennen</v>
      </c>
      <c r="J177" s="9" t="s">
        <v>934</v>
      </c>
      <c r="K177" s="9" t="s">
        <v>935</v>
      </c>
    </row>
    <row r="178" ht="22.5" customHeight="1">
      <c r="A178" s="14">
        <v>177.0</v>
      </c>
      <c r="B178" s="6" t="str">
        <f>IFERROR(__xludf.DUMMYFUNCTION("GOOGLETRANSLATE(H178, ""de"", ""en"")"),"What was a challenge that the early Bosseln players faced?")</f>
        <v>What was a challenge that the early Bosseln players faced?</v>
      </c>
      <c r="C178" s="7" t="s">
        <v>936</v>
      </c>
      <c r="D178" s="6" t="str">
        <f>IFERROR(__xludf.DUMMYFUNCTION("GOOGLETRANSLATE(J178, ""de"", ""en"")"),"Restricted access to play areas")</f>
        <v>Restricted access to play areas</v>
      </c>
      <c r="E178" s="6" t="str">
        <f>IFERROR(__xludf.DUMMYFUNCTION("GOOGLETRANSLATE(K178, ""de"", ""en"")"),"Early players often faced the challenge of limited access to rural roads for bocce.")</f>
        <v>Early players often faced the challenge of limited access to rural roads for bocce.</v>
      </c>
      <c r="G178" s="14">
        <v>177.0</v>
      </c>
      <c r="H178" s="9" t="s">
        <v>937</v>
      </c>
      <c r="I178" s="9" t="str">
        <f>IFERROR(__xludf.DUMMYFUNCTION("GOOGLETRANSLATE(C178, ""en"", ""de"")"),"A. Eingeschränkter Zugang zu den Spielflächen B. Fehlende Ausrüstung C. Fehlende Ausrüstung D. Spielermangel")</f>
        <v>A. Eingeschränkter Zugang zu den Spielflächen B. Fehlende Ausrüstung C. Fehlende Ausrüstung D. Spielermangel</v>
      </c>
      <c r="J178" s="9" t="s">
        <v>938</v>
      </c>
      <c r="K178" s="9" t="s">
        <v>939</v>
      </c>
    </row>
    <row r="179" ht="22.5" customHeight="1">
      <c r="A179" s="14">
        <v>178.0</v>
      </c>
      <c r="B179" s="6" t="str">
        <f>IFERROR(__xludf.DUMMYFUNCTION("GOOGLETRANSLATE(H179, ""de"", ""en"")"),"What was one of the first international tournaments for bocce?")</f>
        <v>What was one of the first international tournaments for bocce?</v>
      </c>
      <c r="C179" s="7" t="s">
        <v>940</v>
      </c>
      <c r="D179" s="6" t="str">
        <f>IFERROR(__xludf.DUMMYFUNCTION("GOOGLETRANSLATE(J179, ""de"", ""en"")"),"The Germans open")</f>
        <v>The Germans open</v>
      </c>
      <c r="E179" s="6" t="str">
        <f>IFERROR(__xludf.DUMMYFUNCTION("GOOGLETRANSLATE(K179, ""de"", ""en"")"),"The German Open was one of the first international tournaments for bocce players.")</f>
        <v>The German Open was one of the first international tournaments for bocce players.</v>
      </c>
      <c r="G179" s="14">
        <v>178.0</v>
      </c>
      <c r="H179" s="9" t="s">
        <v>941</v>
      </c>
      <c r="I179" s="9" t="str">
        <f>IFERROR(__xludf.DUMMYFUNCTION("GOOGLETRANSLATE(C179, ""en"", ""de"")"),"A. Die Europameisterschaft B. Die Weltmeisterschaft C. Die Weltmeisterschaft D. Die Deutsche Open")</f>
        <v>A. Die Europameisterschaft B. Die Weltmeisterschaft C. Die Weltmeisterschaft D. Die Deutsche Open</v>
      </c>
      <c r="J179" s="9" t="s">
        <v>942</v>
      </c>
      <c r="K179" s="9" t="s">
        <v>943</v>
      </c>
    </row>
    <row r="180" ht="22.5" customHeight="1">
      <c r="A180" s="14">
        <v>179.0</v>
      </c>
      <c r="B180" s="6" t="str">
        <f>IFERROR(__xludf.DUMMYFUNCTION("GOOGLETRANSLATE(H180, ""de"", ""en"")"),"Who were the typical competitors in Bosseln games in the 19th century?")</f>
        <v>Who were the typical competitors in Bosseln games in the 19th century?</v>
      </c>
      <c r="C180" s="7" t="s">
        <v>944</v>
      </c>
      <c r="D180" s="6" t="str">
        <f>IFERROR(__xludf.DUMMYFUNCTION("GOOGLETRANSLATE(J180, ""de"", ""en"")"),"farmers")</f>
        <v>farmers</v>
      </c>
      <c r="E180" s="6" t="str">
        <f>IFERROR(__xludf.DUMMYFUNCTION("GOOGLETRANSLATE(K180, ""de"", ""en"")"),"Farmers were the typical competitors in Bosseln games, as it was a rural activity.")</f>
        <v>Farmers were the typical competitors in Bosseln games, as it was a rural activity.</v>
      </c>
      <c r="G180" s="14">
        <v>179.0</v>
      </c>
      <c r="H180" s="9" t="s">
        <v>945</v>
      </c>
      <c r="I180" s="9" t="str">
        <f>IFERROR(__xludf.DUMMYFUNCTION("GOOGLETRANSLATE(C180, ""en"", ""de"")"),"A. Bauern B. Adelsfamilien C. Adelsfamilien D. Soldaten")</f>
        <v>A. Bauern B. Adelsfamilien C. Adelsfamilien D. Soldaten</v>
      </c>
      <c r="J180" s="9" t="s">
        <v>316</v>
      </c>
      <c r="K180" s="9" t="s">
        <v>946</v>
      </c>
    </row>
    <row r="181" ht="22.5" customHeight="1">
      <c r="A181" s="14">
        <v>180.0</v>
      </c>
      <c r="B181" s="6" t="str">
        <f>IFERROR(__xludf.DUMMYFUNCTION("GOOGLETRANSLATE(H181, ""de"", ""en"")"),"What impact has the development of improved transportation had?")</f>
        <v>What impact has the development of improved transportation had?</v>
      </c>
      <c r="C181" s="7" t="s">
        <v>947</v>
      </c>
      <c r="D181" s="6" t="str">
        <f>IFERROR(__xludf.DUMMYFUNCTION("GOOGLETRANSLATE(J181, ""de"", ""en"")"),"It increased the popularity of the sport.")</f>
        <v>It increased the popularity of the sport.</v>
      </c>
      <c r="E181" s="6" t="str">
        <f>IFERROR(__xludf.DUMMYFUNCTION("GOOGLETRANSLATE(K181, ""de"", ""en"")"),"Improved transport systems enabled bocce to spread further into regions and increase its popularity.")</f>
        <v>Improved transport systems enabled bocce to spread further into regions and increase its popularity.</v>
      </c>
      <c r="G181" s="14">
        <v>180.0</v>
      </c>
      <c r="H181" s="9" t="s">
        <v>948</v>
      </c>
      <c r="I181" s="9" t="str">
        <f>IFERROR(__xludf.DUMMYFUNCTION("GOOGLETRANSLATE(C181, ""en"", ""de"")"),"A. Es machte das Spiel weniger zugänglich. B. Es steigerte die Popularität des Sports. C. Es steigerte die Popularität des Sports. D. Es führte neue Ausrüstung ein.")</f>
        <v>A. Es machte das Spiel weniger zugänglich. B. Es steigerte die Popularität des Sports. C. Es steigerte die Popularität des Sports. D. Es führte neue Ausrüstung ein.</v>
      </c>
      <c r="J181" s="9" t="s">
        <v>949</v>
      </c>
      <c r="K181" s="9" t="s">
        <v>950</v>
      </c>
    </row>
    <row r="182" ht="22.5" customHeight="1">
      <c r="A182" s="14">
        <v>181.0</v>
      </c>
      <c r="B182" s="6" t="str">
        <f>IFERROR(__xludf.DUMMYFUNCTION("GOOGLETRANSLATE(H182, ""de"", ""en"")"),"What was one of the most popular regions in Germany for bocce tournaments?")</f>
        <v>What was one of the most popular regions in Germany for bocce tournaments?</v>
      </c>
      <c r="C182" s="7" t="s">
        <v>951</v>
      </c>
      <c r="D182" s="6" t="str">
        <f>IFERROR(__xludf.DUMMYFUNCTION("GOOGLETRANSLATE(J182, ""de"", ""en"")"),"Lower Saxony")</f>
        <v>Lower Saxony</v>
      </c>
      <c r="E182" s="6" t="str">
        <f>IFERROR(__xludf.DUMMYFUNCTION("GOOGLETRANSLATE(K182, ""de"", ""en"")"),"Lower Saxony remains one of the most popular regions for Bosseln tournaments.")</f>
        <v>Lower Saxony remains one of the most popular regions for Bosseln tournaments.</v>
      </c>
      <c r="G182" s="14">
        <v>181.0</v>
      </c>
      <c r="H182" s="9" t="s">
        <v>952</v>
      </c>
      <c r="I182" s="9" t="str">
        <f>IFERROR(__xludf.DUMMYFUNCTION("GOOGLETRANSLATE(C182, ""en"", ""de"")"),"A. Bayern B. Nordrhein-Westfalen C. Nordrhein-Westfalen D. Sachsen")</f>
        <v>A. Bayern B. Nordrhein-Westfalen C. Nordrhein-Westfalen D. Sachsen</v>
      </c>
      <c r="J182" s="9" t="s">
        <v>273</v>
      </c>
      <c r="K182" s="9" t="s">
        <v>953</v>
      </c>
    </row>
    <row r="183" ht="22.5" customHeight="1">
      <c r="A183" s="14">
        <v>182.0</v>
      </c>
      <c r="B183" s="6" t="str">
        <f>IFERROR(__xludf.DUMMYFUNCTION("GOOGLETRANSLATE(H183, ""de"", ""en"")"),"Which other sport is often compared because of similar playing styles?")</f>
        <v>Which other sport is often compared because of similar playing styles?</v>
      </c>
      <c r="C183" s="7" t="s">
        <v>954</v>
      </c>
      <c r="D183" s="6" t="str">
        <f>IFERROR(__xludf.DUMMYFUNCTION("GOOGLETRANSLATE(J183, ""de"", ""en"")"),"curling")</f>
        <v>curling</v>
      </c>
      <c r="E183" s="6" t="str">
        <f>IFERROR(__xludf.DUMMYFUNCTION("GOOGLETRANSLATE(K183, ""de"", ""en"")"),"Bosseln is often compared to curling, as both sports involve rolling a ball towards a target area.")</f>
        <v>Bosseln is often compared to curling, as both sports involve rolling a ball towards a target area.</v>
      </c>
      <c r="G183" s="14">
        <v>182.0</v>
      </c>
      <c r="H183" s="9" t="s">
        <v>955</v>
      </c>
      <c r="I183" s="9" t="str">
        <f>IFERROR(__xludf.DUMMYFUNCTION("GOOGLETRANSLATE(C183, ""en"", ""de"")"),"A. Bowling B. Curling C. Curling D. Rasenbowling")</f>
        <v>A. Bowling B. Curling C. Curling D. Rasenbowling</v>
      </c>
      <c r="J183" s="9" t="s">
        <v>956</v>
      </c>
      <c r="K183" s="9" t="s">
        <v>957</v>
      </c>
    </row>
    <row r="184" ht="22.5" customHeight="1">
      <c r="A184" s="14">
        <v>183.0</v>
      </c>
      <c r="B184" s="6" t="str">
        <f>IFERROR(__xludf.DUMMYFUNCTION("GOOGLETRANSLATE(H184, ""de"", ""en"")"),"What role does the marker play in bocce?")</f>
        <v>What role does the marker play in bocce?</v>
      </c>
      <c r="C184" s="7" t="s">
        <v>958</v>
      </c>
      <c r="D184" s="6" t="str">
        <f>IFERROR(__xludf.DUMMYFUNCTION("GOOGLETRANSLATE(J184, ""de"", ""en"")"),"Measuring distances")</f>
        <v>Measuring distances</v>
      </c>
      <c r="E184" s="6" t="str">
        <f>IFERROR(__xludf.DUMMYFUNCTION("GOOGLETRANSLATE(K184, ""de"", ""en"")"),"The “marker” is responsible for measuring the distance of the ball from the target area in bocce.")</f>
        <v>The “marker” is responsible for measuring the distance of the ball from the target area in bocce.</v>
      </c>
      <c r="G184" s="14">
        <v>183.0</v>
      </c>
      <c r="H184" s="9" t="s">
        <v>959</v>
      </c>
      <c r="I184" s="9" t="str">
        <f>IFERROR(__xludf.DUMMYFUNCTION("GOOGLETRANSLATE(C184, ""en"", ""de"")"),"A. Den Punktestand halten B. Den Ball positionieren C. Den Ball positionieren D. Entfernungen messen")</f>
        <v>A. Den Punktestand halten B. Den Ball positionieren C. Den Ball positionieren D. Entfernungen messen</v>
      </c>
      <c r="J184" s="9" t="s">
        <v>960</v>
      </c>
      <c r="K184" s="9" t="s">
        <v>961</v>
      </c>
    </row>
    <row r="185" ht="22.5" customHeight="1">
      <c r="A185" s="14">
        <v>184.0</v>
      </c>
      <c r="B185" s="6" t="str">
        <f>IFERROR(__xludf.DUMMYFUNCTION("GOOGLETRANSLATE(H185, ""de"", ""en"")"),"What is the current trend for modern bocce tournaments?")</f>
        <v>What is the current trend for modern bocce tournaments?</v>
      </c>
      <c r="C185" s="7" t="s">
        <v>962</v>
      </c>
      <c r="D185" s="6" t="str">
        <f>IFERROR(__xludf.DUMMYFUNCTION("GOOGLETRANSLATE(J185, ""de"", ""en"")"),"Mixed-gender teams")</f>
        <v>Mixed-gender teams</v>
      </c>
      <c r="E185" s="6" t="str">
        <f>IFERROR(__xludf.DUMMYFUNCTION("GOOGLETRANSLATE(K185, ""de"", ""en"")"),"Modern bocce tournaments often feature mixed-gender teams and promote inclusivity.")</f>
        <v>Modern bocce tournaments often feature mixed-gender teams and promote inclusivity.</v>
      </c>
      <c r="G185" s="14">
        <v>184.0</v>
      </c>
      <c r="H185" s="9" t="s">
        <v>963</v>
      </c>
      <c r="I185" s="9" t="str">
        <f>IFERROR(__xludf.DUMMYFUNCTION("GOOGLETRANSLATE(C185, ""en"", ""de"")"),"A. Profiligen B. Virtuelle Wettbewerbe C. Virtuelle Wettbewerbe D. Gemischte Teams")</f>
        <v>A. Profiligen B. Virtuelle Wettbewerbe C. Virtuelle Wettbewerbe D. Gemischte Teams</v>
      </c>
      <c r="J185" s="9" t="s">
        <v>964</v>
      </c>
      <c r="K185" s="9" t="s">
        <v>965</v>
      </c>
    </row>
    <row r="186" ht="22.5" customHeight="1">
      <c r="A186" s="14">
        <v>185.0</v>
      </c>
      <c r="B186" s="6" t="str">
        <f>IFERROR(__xludf.DUMMYFUNCTION("GOOGLETRANSLATE(H186, ""de"", ""en"")"),"Which part of the game of bocce has evolved over time?")</f>
        <v>Which part of the game of bocce has evolved over time?</v>
      </c>
      <c r="C186" s="7" t="s">
        <v>966</v>
      </c>
      <c r="D186" s="6" t="str">
        <f>IFERROR(__xludf.DUMMYFUNCTION("GOOGLETRANSLATE(J186, ""de"", ""en"")"),"The equipment")</f>
        <v>The equipment</v>
      </c>
      <c r="E186" s="6" t="str">
        <f>IFERROR(__xludf.DUMMYFUNCTION("GOOGLETRANSLATE(K186, ""de"", ""en"")"),"The equipment used in bocce, particularly the ball design, has evolved over time to improve performance.")</f>
        <v>The equipment used in bocce, particularly the ball design, has evolved over time to improve performance.</v>
      </c>
      <c r="G186" s="14">
        <v>185.0</v>
      </c>
      <c r="H186" s="9" t="s">
        <v>967</v>
      </c>
      <c r="I186" s="9" t="str">
        <f>IFERROR(__xludf.DUMMYFUNCTION("GOOGLETRANSLATE(C186, ""en"", ""de"")"),"A. Die Streckenführung B. Die Teamgröße C. Die Teamgröße D. Die Ausrüstung")</f>
        <v>A. Die Streckenführung B. Die Teamgröße C. Die Teamgröße D. Die Ausrüstung</v>
      </c>
      <c r="J186" s="9" t="s">
        <v>968</v>
      </c>
      <c r="K186" s="9" t="s">
        <v>969</v>
      </c>
    </row>
    <row r="187" ht="22.5" customHeight="1">
      <c r="A187" s="14">
        <v>186.0</v>
      </c>
      <c r="B187" s="6" t="str">
        <f>IFERROR(__xludf.DUMMYFUNCTION("GOOGLETRANSLATE(H187, ""de"", ""en"")"),"What important cultural event raised the status of Bosseln in the 20th century?")</f>
        <v>What important cultural event raised the status of Bosseln in the 20th century?</v>
      </c>
      <c r="C187" s="7" t="s">
        <v>970</v>
      </c>
      <c r="D187" s="6" t="str">
        <f>IFERROR(__xludf.DUMMYFUNCTION("GOOGLETRANSLATE(J187, ""de"", ""en"")"),"The rise of rural tourism")</f>
        <v>The rise of rural tourism</v>
      </c>
      <c r="E187" s="6" t="str">
        <f>IFERROR(__xludf.DUMMYFUNCTION("GOOGLETRANSLATE(K187, ""de"", ""en"")"),"Rural tourism in Germany increased the popularity of Bosseln as a cultural and leisure activity in the 20th century.")</f>
        <v>Rural tourism in Germany increased the popularity of Bosseln as a cultural and leisure activity in the 20th century.</v>
      </c>
      <c r="G187" s="14">
        <v>186.0</v>
      </c>
      <c r="H187" s="9" t="s">
        <v>971</v>
      </c>
      <c r="I187" s="9" t="str">
        <f>IFERROR(__xludf.DUMMYFUNCTION("GOOGLETRANSLATE(C187, ""en"", ""de"")"),"A. Die Gründung der Europameisterschaft B. Der Aufstieg des ländlichen Tourismus C. Der Aufstieg des ländlichen Tourismus D. Die internationale Olympische Bewegung")</f>
        <v>A. Die Gründung der Europameisterschaft B. Der Aufstieg des ländlichen Tourismus C. Der Aufstieg des ländlichen Tourismus D. Die internationale Olympische Bewegung</v>
      </c>
      <c r="J187" s="9" t="s">
        <v>972</v>
      </c>
      <c r="K187" s="9" t="s">
        <v>973</v>
      </c>
    </row>
    <row r="188" ht="22.5" customHeight="1">
      <c r="A188" s="14">
        <v>187.0</v>
      </c>
      <c r="B188" s="6" t="str">
        <f>IFERROR(__xludf.DUMMYFUNCTION("GOOGLETRANSLATE(H188, ""de"", ""en"")"),"What important aspect of bocce makes it an environmentally friendly sport?")</f>
        <v>What important aspect of bocce makes it an environmentally friendly sport?</v>
      </c>
      <c r="C188" s="7" t="s">
        <v>974</v>
      </c>
      <c r="D188" s="6" t="str">
        <f>IFERROR(__xludf.DUMMYFUNCTION("GOOGLETRANSLATE(J188, ""de"", ""en"")"),"Minimal equipment")</f>
        <v>Minimal equipment</v>
      </c>
      <c r="E188" s="6" t="str">
        <f>IFERROR(__xludf.DUMMYFUNCTION("GOOGLETRANSLATE(K188, ""de"", ""en"")"),"Bosseln is an environmentally friendly sport, as it requires minimal equipment and the use of natural outdoor areas.")</f>
        <v>Bosseln is an environmentally friendly sport, as it requires minimal equipment and the use of natural outdoor areas.</v>
      </c>
      <c r="G188" s="14">
        <v>187.0</v>
      </c>
      <c r="H188" s="9" t="s">
        <v>975</v>
      </c>
      <c r="I188" s="9" t="str">
        <f>IFERROR(__xludf.DUMMYFUNCTION("GOOGLETRANSLATE(C188, ""en"", ""de"")"),"A. Minimale Ausstattung B. Innenausstattung C. Innenausstattung D. Verwendung synthetischer Materialien")</f>
        <v>A. Minimale Ausstattung B. Innenausstattung C. Innenausstattung D. Verwendung synthetischer Materialien</v>
      </c>
      <c r="J188" s="9" t="s">
        <v>976</v>
      </c>
      <c r="K188" s="9" t="s">
        <v>977</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7.63"/>
    <col customWidth="1" min="3" max="3" width="28.25"/>
    <col customWidth="1" min="4" max="4" width="33.88"/>
    <col customWidth="1" min="5" max="5" width="37.63"/>
    <col customWidth="1" min="7" max="7" width="18.25"/>
    <col customWidth="1" min="8" max="8" width="37.63"/>
    <col customWidth="1" min="10" max="10" width="27.38"/>
  </cols>
  <sheetData>
    <row r="1" ht="22.5" customHeight="1">
      <c r="A1" s="15" t="s">
        <v>978</v>
      </c>
      <c r="B1" s="15" t="s">
        <v>979</v>
      </c>
      <c r="C1" s="2" t="s">
        <v>2</v>
      </c>
      <c r="D1" s="15" t="s">
        <v>265</v>
      </c>
      <c r="E1" s="2" t="s">
        <v>4</v>
      </c>
      <c r="F1" s="16"/>
      <c r="G1" s="4" t="s">
        <v>980</v>
      </c>
      <c r="H1" s="4" t="s">
        <v>5</v>
      </c>
      <c r="I1" s="4" t="s">
        <v>6</v>
      </c>
      <c r="J1" s="4" t="s">
        <v>7</v>
      </c>
      <c r="K1" s="4" t="s">
        <v>266</v>
      </c>
      <c r="L1" s="16"/>
      <c r="M1" s="16"/>
      <c r="N1" s="16"/>
      <c r="T1" s="16"/>
    </row>
    <row r="2" ht="22.5" customHeight="1">
      <c r="A2" s="9" t="s">
        <v>981</v>
      </c>
      <c r="B2" s="9" t="s">
        <v>982</v>
      </c>
      <c r="C2" s="7" t="s">
        <v>983</v>
      </c>
      <c r="D2" s="9" t="s">
        <v>984</v>
      </c>
      <c r="E2" s="7" t="s">
        <v>985</v>
      </c>
      <c r="F2" s="16"/>
      <c r="G2" s="11">
        <v>1.0</v>
      </c>
      <c r="H2" s="9" t="s">
        <v>986</v>
      </c>
      <c r="I2" s="11" t="s">
        <v>987</v>
      </c>
      <c r="J2" s="11">
        <v>1970.0</v>
      </c>
      <c r="K2" s="9" t="s">
        <v>988</v>
      </c>
      <c r="L2" s="16"/>
      <c r="M2" s="16"/>
      <c r="N2" s="16"/>
      <c r="T2" s="16"/>
    </row>
    <row r="3" ht="22.5" customHeight="1">
      <c r="A3" s="9" t="s">
        <v>989</v>
      </c>
      <c r="B3" s="9" t="s">
        <v>990</v>
      </c>
      <c r="C3" s="7" t="s">
        <v>991</v>
      </c>
      <c r="D3" s="9" t="s">
        <v>992</v>
      </c>
      <c r="E3" s="7" t="s">
        <v>993</v>
      </c>
      <c r="F3" s="16"/>
      <c r="G3" s="11">
        <v>2.0</v>
      </c>
      <c r="H3" s="9" t="s">
        <v>994</v>
      </c>
      <c r="I3" s="11" t="s">
        <v>995</v>
      </c>
      <c r="J3" s="9" t="s">
        <v>992</v>
      </c>
      <c r="K3" s="9" t="s">
        <v>996</v>
      </c>
      <c r="L3" s="16"/>
      <c r="M3" s="16"/>
      <c r="N3" s="16"/>
      <c r="T3" s="16"/>
    </row>
    <row r="4" ht="22.5" customHeight="1">
      <c r="A4" s="9" t="s">
        <v>997</v>
      </c>
      <c r="B4" s="9" t="s">
        <v>998</v>
      </c>
      <c r="C4" s="7" t="s">
        <v>999</v>
      </c>
      <c r="D4" s="9" t="s">
        <v>1000</v>
      </c>
      <c r="E4" s="7" t="s">
        <v>1001</v>
      </c>
      <c r="F4" s="16"/>
      <c r="G4" s="11">
        <v>3.0</v>
      </c>
      <c r="H4" s="9" t="s">
        <v>1002</v>
      </c>
      <c r="I4" s="11" t="s">
        <v>1003</v>
      </c>
      <c r="J4" s="9" t="s">
        <v>1000</v>
      </c>
      <c r="K4" s="9" t="s">
        <v>1004</v>
      </c>
      <c r="L4" s="16"/>
      <c r="M4" s="16"/>
      <c r="N4" s="16"/>
      <c r="T4" s="16"/>
    </row>
    <row r="5" ht="22.5" customHeight="1">
      <c r="A5" s="9" t="s">
        <v>1005</v>
      </c>
      <c r="B5" s="9" t="s">
        <v>1006</v>
      </c>
      <c r="C5" s="7" t="s">
        <v>1007</v>
      </c>
      <c r="D5" s="9" t="s">
        <v>1008</v>
      </c>
      <c r="E5" s="7" t="s">
        <v>1009</v>
      </c>
      <c r="F5" s="16"/>
      <c r="G5" s="11">
        <v>4.0</v>
      </c>
      <c r="H5" s="9" t="s">
        <v>1010</v>
      </c>
      <c r="I5" s="11" t="s">
        <v>1011</v>
      </c>
      <c r="J5" s="11">
        <v>1810.0</v>
      </c>
      <c r="K5" s="9" t="s">
        <v>1012</v>
      </c>
      <c r="L5" s="16"/>
      <c r="M5" s="16"/>
      <c r="N5" s="16"/>
      <c r="T5" s="16"/>
    </row>
    <row r="6" ht="22.5" customHeight="1">
      <c r="A6" s="9" t="s">
        <v>1013</v>
      </c>
      <c r="B6" s="9" t="s">
        <v>1014</v>
      </c>
      <c r="C6" s="7" t="s">
        <v>1015</v>
      </c>
      <c r="D6" s="9" t="s">
        <v>1016</v>
      </c>
      <c r="E6" s="7" t="s">
        <v>1017</v>
      </c>
      <c r="F6" s="16"/>
      <c r="G6" s="11">
        <v>5.0</v>
      </c>
      <c r="H6" s="9" t="s">
        <v>1018</v>
      </c>
      <c r="I6" s="11" t="s">
        <v>1018</v>
      </c>
      <c r="J6" s="9" t="s">
        <v>269</v>
      </c>
      <c r="K6" s="9" t="s">
        <v>1019</v>
      </c>
      <c r="L6" s="16"/>
      <c r="M6" s="16"/>
      <c r="N6" s="16"/>
      <c r="T6" s="16"/>
    </row>
    <row r="7" ht="22.5" customHeight="1">
      <c r="A7" s="9" t="s">
        <v>1020</v>
      </c>
      <c r="B7" s="9" t="s">
        <v>1021</v>
      </c>
      <c r="C7" s="7" t="s">
        <v>1022</v>
      </c>
      <c r="D7" s="9" t="s">
        <v>1023</v>
      </c>
      <c r="E7" s="7" t="s">
        <v>1024</v>
      </c>
      <c r="F7" s="16"/>
      <c r="G7" s="11">
        <v>6.0</v>
      </c>
      <c r="H7" s="9" t="s">
        <v>1025</v>
      </c>
      <c r="I7" s="11" t="s">
        <v>1026</v>
      </c>
      <c r="J7" s="11">
        <v>1885.0</v>
      </c>
      <c r="K7" s="9" t="s">
        <v>1027</v>
      </c>
      <c r="L7" s="16"/>
      <c r="M7" s="16"/>
      <c r="N7" s="16"/>
      <c r="T7" s="16"/>
    </row>
    <row r="8" ht="22.5" customHeight="1">
      <c r="A8" s="9" t="s">
        <v>1028</v>
      </c>
      <c r="B8" s="9" t="s">
        <v>1029</v>
      </c>
      <c r="C8" s="7" t="s">
        <v>1030</v>
      </c>
      <c r="D8" s="9" t="s">
        <v>1031</v>
      </c>
      <c r="E8" s="7" t="s">
        <v>1032</v>
      </c>
      <c r="F8" s="16"/>
      <c r="G8" s="11">
        <v>7.0</v>
      </c>
      <c r="H8" s="9" t="s">
        <v>1033</v>
      </c>
      <c r="I8" s="11" t="s">
        <v>1034</v>
      </c>
      <c r="J8" s="9" t="s">
        <v>1031</v>
      </c>
      <c r="K8" s="9" t="s">
        <v>1035</v>
      </c>
      <c r="L8" s="16"/>
      <c r="M8" s="16"/>
      <c r="N8" s="16"/>
      <c r="T8" s="16"/>
    </row>
    <row r="9" ht="22.5" customHeight="1">
      <c r="A9" s="9" t="s">
        <v>1036</v>
      </c>
      <c r="B9" s="9" t="s">
        <v>1037</v>
      </c>
      <c r="C9" s="7" t="s">
        <v>1038</v>
      </c>
      <c r="D9" s="9" t="s">
        <v>1039</v>
      </c>
      <c r="E9" s="7" t="s">
        <v>1040</v>
      </c>
      <c r="F9" s="16"/>
      <c r="G9" s="11">
        <v>8.0</v>
      </c>
      <c r="H9" s="9" t="s">
        <v>1041</v>
      </c>
      <c r="I9" s="11" t="s">
        <v>1042</v>
      </c>
      <c r="J9" s="11">
        <v>1961.0</v>
      </c>
      <c r="K9" s="9" t="s">
        <v>1043</v>
      </c>
      <c r="L9" s="16"/>
      <c r="M9" s="16"/>
      <c r="N9" s="16"/>
      <c r="T9" s="16"/>
    </row>
    <row r="10" ht="22.5" customHeight="1">
      <c r="A10" s="9" t="s">
        <v>1044</v>
      </c>
      <c r="B10" s="9" t="s">
        <v>1045</v>
      </c>
      <c r="C10" s="7" t="s">
        <v>1046</v>
      </c>
      <c r="D10" s="9" t="s">
        <v>1047</v>
      </c>
      <c r="E10" s="7" t="s">
        <v>1048</v>
      </c>
      <c r="F10" s="16"/>
      <c r="G10" s="11">
        <v>9.0</v>
      </c>
      <c r="H10" s="9" t="s">
        <v>1049</v>
      </c>
      <c r="I10" s="11" t="s">
        <v>1050</v>
      </c>
      <c r="J10" s="9" t="s">
        <v>1047</v>
      </c>
      <c r="K10" s="9" t="s">
        <v>1051</v>
      </c>
      <c r="L10" s="16"/>
      <c r="M10" s="16"/>
      <c r="N10" s="16"/>
      <c r="T10" s="16"/>
    </row>
    <row r="11" ht="22.5" customHeight="1">
      <c r="A11" s="9" t="s">
        <v>1052</v>
      </c>
      <c r="B11" s="9" t="s">
        <v>1053</v>
      </c>
      <c r="C11" s="7" t="s">
        <v>1054</v>
      </c>
      <c r="D11" s="9" t="s">
        <v>1052</v>
      </c>
      <c r="E11" s="7" t="s">
        <v>1055</v>
      </c>
      <c r="F11" s="16"/>
      <c r="G11" s="11">
        <v>10.0</v>
      </c>
      <c r="H11" s="9" t="s">
        <v>1056</v>
      </c>
      <c r="I11" s="11" t="s">
        <v>1057</v>
      </c>
      <c r="J11" s="11">
        <v>10.0</v>
      </c>
      <c r="K11" s="9" t="s">
        <v>1058</v>
      </c>
      <c r="L11" s="16"/>
      <c r="M11" s="16"/>
      <c r="N11" s="16"/>
      <c r="T11" s="16"/>
    </row>
    <row r="12" ht="22.5" customHeight="1">
      <c r="A12" s="9" t="s">
        <v>1059</v>
      </c>
      <c r="B12" s="9" t="s">
        <v>1060</v>
      </c>
      <c r="C12" s="7" t="s">
        <v>1061</v>
      </c>
      <c r="D12" s="9" t="s">
        <v>1062</v>
      </c>
      <c r="E12" s="7" t="s">
        <v>1063</v>
      </c>
      <c r="F12" s="16"/>
      <c r="G12" s="11">
        <v>11.0</v>
      </c>
      <c r="H12" s="9" t="s">
        <v>1064</v>
      </c>
      <c r="I12" s="11" t="s">
        <v>1065</v>
      </c>
      <c r="J12" s="9" t="s">
        <v>1066</v>
      </c>
      <c r="K12" s="9" t="s">
        <v>1067</v>
      </c>
      <c r="L12" s="16"/>
      <c r="M12" s="16"/>
      <c r="N12" s="16"/>
      <c r="T12" s="16"/>
    </row>
    <row r="13" ht="22.5" customHeight="1">
      <c r="A13" s="9" t="s">
        <v>1068</v>
      </c>
      <c r="B13" s="9" t="s">
        <v>1069</v>
      </c>
      <c r="C13" s="7" t="s">
        <v>1070</v>
      </c>
      <c r="D13" s="9" t="s">
        <v>1071</v>
      </c>
      <c r="E13" s="7" t="s">
        <v>1072</v>
      </c>
      <c r="F13" s="16"/>
      <c r="G13" s="11">
        <v>12.0</v>
      </c>
      <c r="H13" s="9" t="s">
        <v>1073</v>
      </c>
      <c r="I13" s="11" t="s">
        <v>1074</v>
      </c>
      <c r="J13" s="11">
        <v>1975.0</v>
      </c>
      <c r="K13" s="9" t="s">
        <v>1075</v>
      </c>
      <c r="L13" s="16"/>
      <c r="M13" s="16"/>
      <c r="N13" s="16"/>
      <c r="T13" s="16"/>
    </row>
    <row r="14" ht="22.5" customHeight="1">
      <c r="A14" s="9" t="s">
        <v>1076</v>
      </c>
      <c r="B14" s="9" t="s">
        <v>1077</v>
      </c>
      <c r="C14" s="7" t="s">
        <v>1078</v>
      </c>
      <c r="D14" s="9" t="s">
        <v>1079</v>
      </c>
      <c r="E14" s="7" t="s">
        <v>1080</v>
      </c>
      <c r="F14" s="16"/>
      <c r="G14" s="11">
        <v>13.0</v>
      </c>
      <c r="H14" s="9" t="s">
        <v>1081</v>
      </c>
      <c r="I14" s="11" t="s">
        <v>1082</v>
      </c>
      <c r="J14" s="9" t="s">
        <v>1083</v>
      </c>
      <c r="K14" s="9" t="s">
        <v>1084</v>
      </c>
      <c r="L14" s="16"/>
      <c r="M14" s="16"/>
      <c r="N14" s="16"/>
      <c r="T14" s="16"/>
    </row>
    <row r="15" ht="22.5" customHeight="1">
      <c r="A15" s="9" t="s">
        <v>1085</v>
      </c>
      <c r="B15" s="9" t="s">
        <v>1086</v>
      </c>
      <c r="C15" s="7" t="s">
        <v>1087</v>
      </c>
      <c r="D15" s="9" t="s">
        <v>1088</v>
      </c>
      <c r="E15" s="7" t="s">
        <v>1089</v>
      </c>
      <c r="F15" s="16"/>
      <c r="G15" s="11">
        <v>14.0</v>
      </c>
      <c r="H15" s="9" t="s">
        <v>1090</v>
      </c>
      <c r="I15" s="11" t="s">
        <v>1091</v>
      </c>
      <c r="J15" s="9" t="s">
        <v>1092</v>
      </c>
      <c r="K15" s="9" t="s">
        <v>1093</v>
      </c>
      <c r="L15" s="16"/>
      <c r="M15" s="16"/>
      <c r="N15" s="16"/>
      <c r="T15" s="16"/>
    </row>
    <row r="16" ht="22.5" customHeight="1">
      <c r="A16" s="9" t="s">
        <v>1094</v>
      </c>
      <c r="B16" s="9" t="s">
        <v>1095</v>
      </c>
      <c r="C16" s="7" t="s">
        <v>1096</v>
      </c>
      <c r="D16" s="9" t="s">
        <v>1097</v>
      </c>
      <c r="E16" s="7" t="s">
        <v>1098</v>
      </c>
      <c r="F16" s="16"/>
      <c r="G16" s="11">
        <v>15.0</v>
      </c>
      <c r="H16" s="9" t="s">
        <v>1099</v>
      </c>
      <c r="I16" s="11" t="s">
        <v>1100</v>
      </c>
      <c r="J16" s="11">
        <v>1951.0</v>
      </c>
      <c r="K16" s="9" t="s">
        <v>1101</v>
      </c>
      <c r="L16" s="16"/>
      <c r="M16" s="16"/>
      <c r="N16" s="16"/>
      <c r="T16" s="16"/>
    </row>
    <row r="17" ht="22.5" customHeight="1">
      <c r="A17" s="9" t="s">
        <v>1102</v>
      </c>
      <c r="B17" s="9" t="s">
        <v>1103</v>
      </c>
      <c r="C17" s="7" t="s">
        <v>1104</v>
      </c>
      <c r="D17" s="9" t="s">
        <v>1105</v>
      </c>
      <c r="E17" s="7" t="s">
        <v>1106</v>
      </c>
      <c r="F17" s="16"/>
      <c r="G17" s="11">
        <v>16.0</v>
      </c>
      <c r="H17" s="9" t="s">
        <v>1107</v>
      </c>
      <c r="I17" s="11" t="s">
        <v>1108</v>
      </c>
      <c r="J17" s="9" t="s">
        <v>1109</v>
      </c>
      <c r="K17" s="9" t="s">
        <v>1110</v>
      </c>
      <c r="L17" s="16"/>
      <c r="M17" s="16"/>
      <c r="N17" s="16"/>
      <c r="T17" s="16"/>
    </row>
    <row r="18" ht="22.5" customHeight="1">
      <c r="A18" s="9" t="s">
        <v>1111</v>
      </c>
      <c r="B18" s="9" t="s">
        <v>1112</v>
      </c>
      <c r="C18" s="7" t="s">
        <v>1113</v>
      </c>
      <c r="D18" s="9" t="s">
        <v>1114</v>
      </c>
      <c r="E18" s="7" t="s">
        <v>1115</v>
      </c>
      <c r="F18" s="16"/>
      <c r="G18" s="11">
        <v>17.0</v>
      </c>
      <c r="H18" s="9" t="s">
        <v>1116</v>
      </c>
      <c r="I18" s="11" t="s">
        <v>1117</v>
      </c>
      <c r="J18" s="9" t="s">
        <v>1118</v>
      </c>
      <c r="K18" s="9" t="s">
        <v>1119</v>
      </c>
      <c r="L18" s="16"/>
      <c r="M18" s="16"/>
      <c r="N18" s="16"/>
      <c r="T18" s="16"/>
    </row>
    <row r="19" ht="22.5" customHeight="1">
      <c r="A19" s="9" t="s">
        <v>1120</v>
      </c>
      <c r="B19" s="9" t="s">
        <v>1121</v>
      </c>
      <c r="C19" s="7" t="s">
        <v>1122</v>
      </c>
      <c r="D19" s="9" t="s">
        <v>1123</v>
      </c>
      <c r="E19" s="7" t="s">
        <v>1124</v>
      </c>
      <c r="F19" s="16"/>
      <c r="G19" s="11">
        <v>18.0</v>
      </c>
      <c r="H19" s="9" t="s">
        <v>1125</v>
      </c>
      <c r="I19" s="11" t="s">
        <v>1126</v>
      </c>
      <c r="J19" s="11">
        <v>32.0</v>
      </c>
      <c r="K19" s="9" t="s">
        <v>1127</v>
      </c>
      <c r="L19" s="16"/>
      <c r="M19" s="16"/>
      <c r="N19" s="16"/>
      <c r="T19" s="16"/>
    </row>
    <row r="20" ht="22.5" customHeight="1">
      <c r="A20" s="9" t="s">
        <v>1128</v>
      </c>
      <c r="B20" s="9" t="s">
        <v>1129</v>
      </c>
      <c r="C20" s="7" t="s">
        <v>1130</v>
      </c>
      <c r="D20" s="9" t="s">
        <v>1131</v>
      </c>
      <c r="E20" s="7" t="s">
        <v>1132</v>
      </c>
      <c r="F20" s="16"/>
      <c r="G20" s="11">
        <v>19.0</v>
      </c>
      <c r="H20" s="9" t="s">
        <v>1133</v>
      </c>
      <c r="I20" s="11" t="s">
        <v>1134</v>
      </c>
      <c r="J20" s="9" t="s">
        <v>1131</v>
      </c>
      <c r="K20" s="9" t="s">
        <v>1135</v>
      </c>
      <c r="L20" s="16"/>
      <c r="M20" s="16"/>
      <c r="N20" s="16"/>
      <c r="T20" s="16"/>
    </row>
    <row r="21" ht="22.5" customHeight="1">
      <c r="A21" s="9" t="s">
        <v>1136</v>
      </c>
      <c r="B21" s="9" t="s">
        <v>1137</v>
      </c>
      <c r="C21" s="7" t="s">
        <v>1138</v>
      </c>
      <c r="D21" s="9" t="s">
        <v>1139</v>
      </c>
      <c r="E21" s="7" t="s">
        <v>1140</v>
      </c>
      <c r="F21" s="16"/>
      <c r="G21" s="11">
        <v>20.0</v>
      </c>
      <c r="H21" s="9" t="s">
        <v>1141</v>
      </c>
      <c r="I21" s="11" t="s">
        <v>1142</v>
      </c>
      <c r="J21" s="11">
        <v>1820.0</v>
      </c>
      <c r="K21" s="9" t="s">
        <v>1143</v>
      </c>
      <c r="L21" s="16"/>
      <c r="M21" s="16"/>
      <c r="N21" s="16"/>
      <c r="T21" s="16"/>
    </row>
    <row r="22" ht="22.5" customHeight="1">
      <c r="A22" s="9" t="s">
        <v>1144</v>
      </c>
      <c r="B22" s="9" t="s">
        <v>1145</v>
      </c>
      <c r="C22" s="7" t="s">
        <v>1146</v>
      </c>
      <c r="D22" s="9" t="s">
        <v>1147</v>
      </c>
      <c r="E22" s="7" t="s">
        <v>1148</v>
      </c>
      <c r="F22" s="16"/>
      <c r="G22" s="11">
        <v>21.0</v>
      </c>
      <c r="H22" s="9" t="s">
        <v>1149</v>
      </c>
      <c r="I22" s="11" t="s">
        <v>1149</v>
      </c>
      <c r="J22" s="9" t="s">
        <v>1150</v>
      </c>
      <c r="K22" s="9" t="s">
        <v>1151</v>
      </c>
      <c r="L22" s="16"/>
      <c r="M22" s="16"/>
      <c r="N22" s="16"/>
      <c r="T22" s="16"/>
    </row>
    <row r="23" ht="22.5" customHeight="1">
      <c r="A23" s="9" t="s">
        <v>1152</v>
      </c>
      <c r="B23" s="9" t="s">
        <v>1153</v>
      </c>
      <c r="C23" s="7" t="s">
        <v>1154</v>
      </c>
      <c r="D23" s="9" t="s">
        <v>1155</v>
      </c>
      <c r="E23" s="7" t="s">
        <v>1156</v>
      </c>
      <c r="F23" s="16"/>
      <c r="G23" s="11">
        <v>22.0</v>
      </c>
      <c r="H23" s="9" t="s">
        <v>1157</v>
      </c>
      <c r="I23" s="11" t="s">
        <v>1158</v>
      </c>
      <c r="J23" s="9" t="s">
        <v>1159</v>
      </c>
      <c r="K23" s="9" t="s">
        <v>1160</v>
      </c>
      <c r="L23" s="16"/>
      <c r="M23" s="16"/>
      <c r="N23" s="16"/>
      <c r="T23" s="16"/>
    </row>
    <row r="24" ht="22.5" customHeight="1">
      <c r="A24" s="9" t="s">
        <v>1161</v>
      </c>
      <c r="B24" s="9" t="s">
        <v>1162</v>
      </c>
      <c r="C24" s="7" t="s">
        <v>1163</v>
      </c>
      <c r="D24" s="9" t="s">
        <v>997</v>
      </c>
      <c r="E24" s="7" t="s">
        <v>1164</v>
      </c>
      <c r="F24" s="16"/>
      <c r="G24" s="11">
        <v>23.0</v>
      </c>
      <c r="H24" s="9" t="s">
        <v>1165</v>
      </c>
      <c r="I24" s="11" t="s">
        <v>1166</v>
      </c>
      <c r="J24" s="11">
        <v>3.0</v>
      </c>
      <c r="K24" s="9" t="s">
        <v>1167</v>
      </c>
      <c r="L24" s="16"/>
      <c r="M24" s="16"/>
      <c r="N24" s="16"/>
      <c r="T24" s="16"/>
    </row>
    <row r="25" ht="22.5" customHeight="1">
      <c r="A25" s="9" t="s">
        <v>1168</v>
      </c>
      <c r="B25" s="9" t="s">
        <v>1169</v>
      </c>
      <c r="C25" s="7" t="s">
        <v>1170</v>
      </c>
      <c r="D25" s="9" t="s">
        <v>1171</v>
      </c>
      <c r="E25" s="7" t="s">
        <v>1172</v>
      </c>
      <c r="F25" s="16"/>
      <c r="G25" s="11">
        <v>24.0</v>
      </c>
      <c r="H25" s="9" t="s">
        <v>1173</v>
      </c>
      <c r="I25" s="11" t="s">
        <v>1174</v>
      </c>
      <c r="J25" s="9" t="s">
        <v>1175</v>
      </c>
      <c r="K25" s="9" t="s">
        <v>1176</v>
      </c>
      <c r="L25" s="16"/>
      <c r="M25" s="16"/>
      <c r="N25" s="16"/>
      <c r="T25" s="16"/>
    </row>
    <row r="26" ht="22.5" customHeight="1">
      <c r="A26" s="9" t="s">
        <v>1177</v>
      </c>
      <c r="B26" s="9" t="s">
        <v>1178</v>
      </c>
      <c r="C26" s="7" t="s">
        <v>1179</v>
      </c>
      <c r="D26" s="9" t="s">
        <v>1180</v>
      </c>
      <c r="E26" s="7" t="s">
        <v>1181</v>
      </c>
      <c r="F26" s="16"/>
      <c r="G26" s="11">
        <v>25.0</v>
      </c>
      <c r="H26" s="9" t="s">
        <v>1182</v>
      </c>
      <c r="I26" s="11" t="s">
        <v>1183</v>
      </c>
      <c r="J26" s="9" t="s">
        <v>1184</v>
      </c>
      <c r="K26" s="9" t="s">
        <v>1185</v>
      </c>
      <c r="L26" s="16"/>
      <c r="M26" s="16"/>
      <c r="N26" s="16"/>
      <c r="T26" s="16"/>
    </row>
    <row r="27" ht="22.5" customHeight="1">
      <c r="A27" s="9" t="s">
        <v>1186</v>
      </c>
      <c r="B27" s="9" t="s">
        <v>1187</v>
      </c>
      <c r="C27" s="7" t="s">
        <v>1188</v>
      </c>
      <c r="D27" s="9" t="s">
        <v>1189</v>
      </c>
      <c r="E27" s="7" t="s">
        <v>1190</v>
      </c>
      <c r="F27" s="16"/>
      <c r="G27" s="11">
        <v>26.0</v>
      </c>
      <c r="H27" s="9" t="s">
        <v>1191</v>
      </c>
      <c r="I27" s="11" t="s">
        <v>1191</v>
      </c>
      <c r="J27" s="9" t="s">
        <v>1192</v>
      </c>
      <c r="K27" s="9" t="s">
        <v>1193</v>
      </c>
      <c r="L27" s="16"/>
      <c r="M27" s="16"/>
      <c r="N27" s="16"/>
      <c r="T27" s="16"/>
    </row>
    <row r="28" ht="22.5" customHeight="1">
      <c r="A28" s="9" t="s">
        <v>1194</v>
      </c>
      <c r="B28" s="9" t="s">
        <v>1195</v>
      </c>
      <c r="C28" s="7" t="s">
        <v>1196</v>
      </c>
      <c r="D28" s="9" t="s">
        <v>1197</v>
      </c>
      <c r="E28" s="7" t="s">
        <v>1198</v>
      </c>
      <c r="F28" s="16"/>
      <c r="G28" s="11">
        <v>27.0</v>
      </c>
      <c r="H28" s="9" t="s">
        <v>1199</v>
      </c>
      <c r="I28" s="11" t="s">
        <v>1200</v>
      </c>
      <c r="J28" s="9" t="s">
        <v>1201</v>
      </c>
      <c r="K28" s="9" t="s">
        <v>1202</v>
      </c>
      <c r="L28" s="16"/>
      <c r="M28" s="16"/>
      <c r="N28" s="16"/>
      <c r="T28" s="16"/>
    </row>
    <row r="29" ht="22.5" customHeight="1">
      <c r="A29" s="9" t="s">
        <v>1203</v>
      </c>
      <c r="B29" s="9" t="s">
        <v>1204</v>
      </c>
      <c r="C29" s="7" t="s">
        <v>1205</v>
      </c>
      <c r="D29" s="9" t="s">
        <v>1206</v>
      </c>
      <c r="E29" s="7" t="s">
        <v>1207</v>
      </c>
      <c r="F29" s="16"/>
      <c r="G29" s="11">
        <v>28.0</v>
      </c>
      <c r="H29" s="9" t="s">
        <v>1208</v>
      </c>
      <c r="I29" s="11" t="s">
        <v>1208</v>
      </c>
      <c r="J29" s="11">
        <v>1955.0</v>
      </c>
      <c r="K29" s="9" t="s">
        <v>1209</v>
      </c>
      <c r="L29" s="16"/>
      <c r="M29" s="16"/>
      <c r="N29" s="16"/>
      <c r="T29" s="16"/>
    </row>
    <row r="30" ht="22.5" customHeight="1">
      <c r="A30" s="9" t="s">
        <v>1210</v>
      </c>
      <c r="B30" s="9" t="s">
        <v>1211</v>
      </c>
      <c r="C30" s="7" t="s">
        <v>1212</v>
      </c>
      <c r="D30" s="9" t="s">
        <v>1213</v>
      </c>
      <c r="E30" s="7" t="s">
        <v>1214</v>
      </c>
      <c r="F30" s="16"/>
      <c r="G30" s="11">
        <v>29.0</v>
      </c>
      <c r="H30" s="9" t="s">
        <v>1215</v>
      </c>
      <c r="I30" s="11" t="s">
        <v>1216</v>
      </c>
      <c r="J30" s="9" t="s">
        <v>1217</v>
      </c>
      <c r="K30" s="9" t="s">
        <v>1218</v>
      </c>
      <c r="L30" s="16"/>
      <c r="M30" s="16"/>
      <c r="N30" s="16"/>
      <c r="T30" s="16"/>
    </row>
    <row r="31" ht="22.5" customHeight="1">
      <c r="A31" s="9" t="s">
        <v>1219</v>
      </c>
      <c r="B31" s="9" t="s">
        <v>1220</v>
      </c>
      <c r="C31" s="7" t="s">
        <v>1221</v>
      </c>
      <c r="D31" s="9" t="s">
        <v>1222</v>
      </c>
      <c r="E31" s="7" t="s">
        <v>1223</v>
      </c>
      <c r="F31" s="16"/>
      <c r="G31" s="11">
        <v>30.0</v>
      </c>
      <c r="H31" s="9" t="s">
        <v>1224</v>
      </c>
      <c r="I31" s="11" t="s">
        <v>1225</v>
      </c>
      <c r="J31" s="11">
        <v>1990.0</v>
      </c>
      <c r="K31" s="9" t="s">
        <v>1226</v>
      </c>
      <c r="L31" s="16"/>
      <c r="M31" s="16"/>
      <c r="N31" s="16"/>
      <c r="T31" s="16"/>
    </row>
    <row r="32" ht="22.5" customHeight="1">
      <c r="A32" s="9" t="s">
        <v>1227</v>
      </c>
      <c r="B32" s="9" t="s">
        <v>1228</v>
      </c>
      <c r="C32" s="7" t="s">
        <v>1229</v>
      </c>
      <c r="D32" s="9" t="s">
        <v>1230</v>
      </c>
      <c r="E32" s="7" t="s">
        <v>1231</v>
      </c>
      <c r="F32" s="16"/>
      <c r="G32" s="11">
        <v>31.0</v>
      </c>
      <c r="H32" s="9" t="s">
        <v>1232</v>
      </c>
      <c r="I32" s="11" t="s">
        <v>1233</v>
      </c>
      <c r="J32" s="9" t="s">
        <v>1234</v>
      </c>
      <c r="K32" s="9" t="s">
        <v>1235</v>
      </c>
      <c r="L32" s="16"/>
      <c r="M32" s="16"/>
      <c r="N32" s="16"/>
      <c r="T32" s="16"/>
    </row>
    <row r="33" ht="22.5" customHeight="1">
      <c r="A33" s="9" t="s">
        <v>1123</v>
      </c>
      <c r="B33" s="9" t="s">
        <v>1236</v>
      </c>
      <c r="C33" s="7" t="s">
        <v>1237</v>
      </c>
      <c r="D33" s="9" t="s">
        <v>1047</v>
      </c>
      <c r="E33" s="7" t="s">
        <v>1238</v>
      </c>
      <c r="F33" s="16"/>
      <c r="G33" s="11">
        <v>32.0</v>
      </c>
      <c r="H33" s="9" t="s">
        <v>1239</v>
      </c>
      <c r="I33" s="11" t="s">
        <v>1240</v>
      </c>
      <c r="J33" s="9" t="s">
        <v>1047</v>
      </c>
      <c r="K33" s="9" t="s">
        <v>1241</v>
      </c>
      <c r="L33" s="16"/>
      <c r="M33" s="16"/>
      <c r="N33" s="16"/>
      <c r="T33" s="16"/>
    </row>
    <row r="34" ht="22.5" customHeight="1">
      <c r="A34" s="9" t="s">
        <v>1242</v>
      </c>
      <c r="B34" s="9" t="s">
        <v>1243</v>
      </c>
      <c r="C34" s="7" t="s">
        <v>1244</v>
      </c>
      <c r="D34" s="9" t="s">
        <v>1245</v>
      </c>
      <c r="E34" s="7" t="s">
        <v>1246</v>
      </c>
      <c r="F34" s="16"/>
      <c r="G34" s="11">
        <v>33.0</v>
      </c>
      <c r="H34" s="9" t="s">
        <v>1247</v>
      </c>
      <c r="I34" s="11" t="s">
        <v>1247</v>
      </c>
      <c r="J34" s="11">
        <v>1870.0</v>
      </c>
      <c r="K34" s="9" t="s">
        <v>1248</v>
      </c>
      <c r="L34" s="16"/>
      <c r="M34" s="16"/>
      <c r="N34" s="16"/>
      <c r="T34" s="16"/>
    </row>
    <row r="35" ht="22.5" customHeight="1">
      <c r="A35" s="9" t="s">
        <v>1249</v>
      </c>
      <c r="B35" s="9" t="s">
        <v>1250</v>
      </c>
      <c r="C35" s="7" t="s">
        <v>1251</v>
      </c>
      <c r="D35" s="9" t="s">
        <v>1252</v>
      </c>
      <c r="E35" s="7" t="s">
        <v>1253</v>
      </c>
      <c r="F35" s="16"/>
      <c r="G35" s="11">
        <v>34.0</v>
      </c>
      <c r="H35" s="9" t="s">
        <v>1254</v>
      </c>
      <c r="I35" s="11" t="s">
        <v>1255</v>
      </c>
      <c r="J35" s="9" t="s">
        <v>1256</v>
      </c>
      <c r="K35" s="9" t="s">
        <v>1257</v>
      </c>
      <c r="L35" s="16"/>
      <c r="M35" s="16"/>
      <c r="N35" s="16"/>
      <c r="T35" s="16"/>
    </row>
    <row r="36" ht="22.5" customHeight="1">
      <c r="A36" s="9" t="s">
        <v>1258</v>
      </c>
      <c r="B36" s="9" t="s">
        <v>1259</v>
      </c>
      <c r="C36" s="7" t="s">
        <v>1260</v>
      </c>
      <c r="D36" s="9" t="s">
        <v>1261</v>
      </c>
      <c r="E36" s="7" t="s">
        <v>1262</v>
      </c>
      <c r="F36" s="16"/>
      <c r="G36" s="11">
        <v>35.0</v>
      </c>
      <c r="H36" s="9" t="s">
        <v>1263</v>
      </c>
      <c r="I36" s="11" t="s">
        <v>1264</v>
      </c>
      <c r="J36" s="9" t="s">
        <v>1265</v>
      </c>
      <c r="K36" s="9" t="s">
        <v>1266</v>
      </c>
      <c r="L36" s="16"/>
      <c r="M36" s="16"/>
      <c r="N36" s="16"/>
      <c r="T36" s="16"/>
    </row>
    <row r="37" ht="22.5" customHeight="1">
      <c r="A37" s="9" t="s">
        <v>1267</v>
      </c>
      <c r="B37" s="9" t="s">
        <v>1268</v>
      </c>
      <c r="C37" s="7" t="s">
        <v>1269</v>
      </c>
      <c r="D37" s="9" t="s">
        <v>1270</v>
      </c>
      <c r="E37" s="7" t="s">
        <v>1271</v>
      </c>
      <c r="F37" s="16"/>
      <c r="G37" s="11">
        <v>36.0</v>
      </c>
      <c r="H37" s="9" t="s">
        <v>1272</v>
      </c>
      <c r="I37" s="11" t="s">
        <v>1273</v>
      </c>
      <c r="J37" s="11">
        <v>1900.0</v>
      </c>
      <c r="K37" s="9" t="s">
        <v>1274</v>
      </c>
      <c r="L37" s="16"/>
      <c r="M37" s="16"/>
      <c r="N37" s="16"/>
      <c r="T37" s="16"/>
    </row>
    <row r="38" ht="22.5" customHeight="1">
      <c r="A38" s="9" t="s">
        <v>1275</v>
      </c>
      <c r="B38" s="9" t="s">
        <v>1276</v>
      </c>
      <c r="C38" s="7" t="s">
        <v>1277</v>
      </c>
      <c r="D38" s="9" t="s">
        <v>1278</v>
      </c>
      <c r="E38" s="7" t="s">
        <v>1279</v>
      </c>
      <c r="F38" s="16"/>
      <c r="G38" s="11">
        <v>37.0</v>
      </c>
      <c r="H38" s="9" t="s">
        <v>1280</v>
      </c>
      <c r="I38" s="11" t="s">
        <v>1281</v>
      </c>
      <c r="J38" s="9" t="s">
        <v>1278</v>
      </c>
      <c r="K38" s="9" t="s">
        <v>1282</v>
      </c>
      <c r="L38" s="16"/>
      <c r="M38" s="16"/>
      <c r="N38" s="16"/>
      <c r="T38" s="16"/>
    </row>
    <row r="39" ht="22.5" customHeight="1">
      <c r="A39" s="9" t="s">
        <v>1283</v>
      </c>
      <c r="B39" s="9" t="s">
        <v>1284</v>
      </c>
      <c r="C39" s="7" t="s">
        <v>1285</v>
      </c>
      <c r="D39" s="9" t="s">
        <v>1286</v>
      </c>
      <c r="E39" s="7" t="s">
        <v>1287</v>
      </c>
      <c r="F39" s="16"/>
      <c r="G39" s="11">
        <v>38.0</v>
      </c>
      <c r="H39" s="9" t="s">
        <v>1288</v>
      </c>
      <c r="I39" s="11" t="s">
        <v>1289</v>
      </c>
      <c r="J39" s="9" t="s">
        <v>1290</v>
      </c>
      <c r="K39" s="9" t="s">
        <v>1291</v>
      </c>
      <c r="L39" s="16"/>
      <c r="M39" s="16"/>
      <c r="N39" s="16"/>
      <c r="T39" s="16"/>
    </row>
    <row r="40" ht="22.5" customHeight="1">
      <c r="A40" s="9" t="s">
        <v>1292</v>
      </c>
      <c r="B40" s="9" t="s">
        <v>1293</v>
      </c>
      <c r="C40" s="7" t="s">
        <v>1294</v>
      </c>
      <c r="D40" s="9" t="s">
        <v>1295</v>
      </c>
      <c r="E40" s="7" t="s">
        <v>1296</v>
      </c>
      <c r="F40" s="16"/>
      <c r="G40" s="11">
        <v>39.0</v>
      </c>
      <c r="H40" s="9" t="s">
        <v>1297</v>
      </c>
      <c r="I40" s="11" t="s">
        <v>1298</v>
      </c>
      <c r="J40" s="9" t="s">
        <v>1299</v>
      </c>
      <c r="K40" s="9" t="s">
        <v>1300</v>
      </c>
      <c r="L40" s="16"/>
      <c r="M40" s="16"/>
      <c r="N40" s="16"/>
      <c r="T40" s="16"/>
    </row>
    <row r="41" ht="22.5" customHeight="1">
      <c r="A41" s="9" t="s">
        <v>1301</v>
      </c>
      <c r="B41" s="9" t="s">
        <v>1302</v>
      </c>
      <c r="C41" s="7" t="s">
        <v>1303</v>
      </c>
      <c r="D41" s="9" t="s">
        <v>1304</v>
      </c>
      <c r="E41" s="7" t="s">
        <v>1305</v>
      </c>
      <c r="F41" s="16"/>
      <c r="G41" s="11">
        <v>40.0</v>
      </c>
      <c r="H41" s="9" t="s">
        <v>1306</v>
      </c>
      <c r="I41" s="11" t="s">
        <v>1307</v>
      </c>
      <c r="J41" s="9" t="s">
        <v>1308</v>
      </c>
      <c r="K41" s="9" t="s">
        <v>1309</v>
      </c>
      <c r="L41" s="16"/>
      <c r="M41" s="16"/>
      <c r="N41" s="16"/>
      <c r="T41" s="16"/>
    </row>
    <row r="42" ht="22.5" customHeight="1">
      <c r="A42" s="9" t="s">
        <v>1310</v>
      </c>
      <c r="B42" s="9" t="s">
        <v>1311</v>
      </c>
      <c r="C42" s="7" t="s">
        <v>1312</v>
      </c>
      <c r="D42" s="9" t="s">
        <v>1036</v>
      </c>
      <c r="E42" s="7" t="s">
        <v>1313</v>
      </c>
      <c r="F42" s="16"/>
      <c r="G42" s="11">
        <v>41.0</v>
      </c>
      <c r="H42" s="9" t="s">
        <v>1314</v>
      </c>
      <c r="I42" s="11" t="s">
        <v>1315</v>
      </c>
      <c r="J42" s="11">
        <v>8.0</v>
      </c>
      <c r="K42" s="9" t="s">
        <v>1316</v>
      </c>
      <c r="L42" s="16"/>
      <c r="M42" s="16"/>
      <c r="N42" s="16"/>
      <c r="T42" s="16"/>
    </row>
    <row r="43" ht="22.5" customHeight="1">
      <c r="A43" s="9" t="s">
        <v>1317</v>
      </c>
      <c r="B43" s="9" t="s">
        <v>1318</v>
      </c>
      <c r="C43" s="7" t="s">
        <v>1319</v>
      </c>
      <c r="D43" s="9" t="s">
        <v>1016</v>
      </c>
      <c r="E43" s="7" t="s">
        <v>1320</v>
      </c>
      <c r="F43" s="16"/>
      <c r="G43" s="11">
        <v>42.0</v>
      </c>
      <c r="H43" s="9" t="s">
        <v>1321</v>
      </c>
      <c r="I43" s="11" t="s">
        <v>1322</v>
      </c>
      <c r="J43" s="9" t="s">
        <v>269</v>
      </c>
      <c r="K43" s="9" t="s">
        <v>1323</v>
      </c>
      <c r="L43" s="16"/>
      <c r="M43" s="16"/>
      <c r="N43" s="16"/>
      <c r="T43" s="16"/>
    </row>
    <row r="44" ht="22.5" customHeight="1">
      <c r="A44" s="9" t="s">
        <v>1324</v>
      </c>
      <c r="B44" s="9" t="s">
        <v>1325</v>
      </c>
      <c r="C44" s="7" t="s">
        <v>1326</v>
      </c>
      <c r="D44" s="9" t="s">
        <v>1327</v>
      </c>
      <c r="E44" s="7" t="s">
        <v>1328</v>
      </c>
      <c r="F44" s="16"/>
      <c r="G44" s="11">
        <v>43.0</v>
      </c>
      <c r="H44" s="9" t="s">
        <v>1329</v>
      </c>
      <c r="I44" s="11" t="s">
        <v>1330</v>
      </c>
      <c r="J44" s="11">
        <v>1826.0</v>
      </c>
      <c r="K44" s="9" t="s">
        <v>1331</v>
      </c>
      <c r="L44" s="16"/>
      <c r="M44" s="16"/>
      <c r="N44" s="16"/>
      <c r="T44" s="16"/>
    </row>
    <row r="45" ht="22.5" customHeight="1">
      <c r="A45" s="9" t="s">
        <v>1332</v>
      </c>
      <c r="B45" s="9" t="s">
        <v>1333</v>
      </c>
      <c r="C45" s="7" t="s">
        <v>1334</v>
      </c>
      <c r="D45" s="9" t="s">
        <v>1335</v>
      </c>
      <c r="E45" s="7" t="s">
        <v>1336</v>
      </c>
      <c r="F45" s="16"/>
      <c r="G45" s="11">
        <v>44.0</v>
      </c>
      <c r="H45" s="9" t="s">
        <v>1337</v>
      </c>
      <c r="I45" s="11" t="s">
        <v>1338</v>
      </c>
      <c r="J45" s="9" t="s">
        <v>1339</v>
      </c>
      <c r="K45" s="9" t="s">
        <v>1340</v>
      </c>
      <c r="L45" s="16"/>
      <c r="M45" s="16"/>
      <c r="N45" s="16"/>
      <c r="T45" s="16"/>
    </row>
    <row r="46" ht="22.5" customHeight="1">
      <c r="A46" s="9" t="s">
        <v>1341</v>
      </c>
      <c r="B46" s="9" t="s">
        <v>1342</v>
      </c>
      <c r="C46" s="7" t="s">
        <v>1343</v>
      </c>
      <c r="D46" s="9" t="s">
        <v>1344</v>
      </c>
      <c r="E46" s="7" t="s">
        <v>1345</v>
      </c>
      <c r="F46" s="16"/>
      <c r="G46" s="11">
        <v>45.0</v>
      </c>
      <c r="H46" s="9" t="s">
        <v>1346</v>
      </c>
      <c r="I46" s="11" t="s">
        <v>1347</v>
      </c>
      <c r="J46" s="9" t="s">
        <v>1348</v>
      </c>
      <c r="K46" s="9" t="s">
        <v>1349</v>
      </c>
      <c r="L46" s="16"/>
      <c r="M46" s="16"/>
      <c r="N46" s="16"/>
      <c r="T46" s="16"/>
    </row>
    <row r="47" ht="22.5" customHeight="1">
      <c r="A47" s="9" t="s">
        <v>1350</v>
      </c>
      <c r="B47" s="9" t="s">
        <v>1351</v>
      </c>
      <c r="C47" s="7" t="s">
        <v>1352</v>
      </c>
      <c r="D47" s="9" t="s">
        <v>1353</v>
      </c>
      <c r="E47" s="7" t="s">
        <v>1354</v>
      </c>
      <c r="F47" s="16"/>
      <c r="G47" s="11">
        <v>46.0</v>
      </c>
      <c r="H47" s="9" t="s">
        <v>1355</v>
      </c>
      <c r="I47" s="11" t="s">
        <v>1356</v>
      </c>
      <c r="J47" s="11">
        <v>0.0</v>
      </c>
      <c r="K47" s="9" t="s">
        <v>1357</v>
      </c>
      <c r="L47" s="16"/>
      <c r="M47" s="16"/>
      <c r="N47" s="16"/>
      <c r="T47" s="16"/>
    </row>
    <row r="48" ht="22.5" customHeight="1">
      <c r="A48" s="9" t="s">
        <v>1358</v>
      </c>
      <c r="B48" s="9" t="s">
        <v>1359</v>
      </c>
      <c r="C48" s="7" t="s">
        <v>1360</v>
      </c>
      <c r="D48" s="9" t="s">
        <v>1361</v>
      </c>
      <c r="E48" s="7" t="s">
        <v>1362</v>
      </c>
      <c r="F48" s="16"/>
      <c r="G48" s="11">
        <v>47.0</v>
      </c>
      <c r="H48" s="9" t="s">
        <v>1363</v>
      </c>
      <c r="I48" s="11" t="s">
        <v>1363</v>
      </c>
      <c r="J48" s="9" t="s">
        <v>1364</v>
      </c>
      <c r="K48" s="9" t="s">
        <v>1365</v>
      </c>
      <c r="L48" s="16"/>
      <c r="M48" s="16"/>
      <c r="N48" s="16"/>
      <c r="T48" s="16"/>
    </row>
    <row r="49" ht="22.5" customHeight="1">
      <c r="A49" s="9" t="s">
        <v>1366</v>
      </c>
      <c r="B49" s="9" t="s">
        <v>1367</v>
      </c>
      <c r="C49" s="7" t="s">
        <v>1368</v>
      </c>
      <c r="D49" s="9" t="s">
        <v>1369</v>
      </c>
      <c r="E49" s="7" t="s">
        <v>1370</v>
      </c>
      <c r="F49" s="16"/>
      <c r="G49" s="11">
        <v>48.0</v>
      </c>
      <c r="H49" s="9" t="s">
        <v>1371</v>
      </c>
      <c r="I49" s="11" t="s">
        <v>1371</v>
      </c>
      <c r="J49" s="9" t="s">
        <v>1372</v>
      </c>
      <c r="K49" s="9" t="s">
        <v>1373</v>
      </c>
      <c r="L49" s="16"/>
      <c r="M49" s="16"/>
      <c r="N49" s="16"/>
      <c r="T49" s="16"/>
    </row>
    <row r="50" ht="22.5" customHeight="1">
      <c r="A50" s="9" t="s">
        <v>1374</v>
      </c>
      <c r="B50" s="9" t="s">
        <v>1375</v>
      </c>
      <c r="C50" s="7" t="s">
        <v>983</v>
      </c>
      <c r="D50" s="9" t="s">
        <v>984</v>
      </c>
      <c r="E50" s="7" t="s">
        <v>1376</v>
      </c>
      <c r="F50" s="16"/>
      <c r="G50" s="11">
        <v>49.0</v>
      </c>
      <c r="H50" s="9" t="s">
        <v>1377</v>
      </c>
      <c r="I50" s="11" t="s">
        <v>1378</v>
      </c>
      <c r="J50" s="11">
        <v>1970.0</v>
      </c>
      <c r="K50" s="9" t="s">
        <v>1379</v>
      </c>
      <c r="L50" s="16"/>
      <c r="M50" s="16"/>
      <c r="N50" s="16"/>
      <c r="T50" s="16"/>
    </row>
    <row r="51" ht="22.5" customHeight="1">
      <c r="A51" s="9" t="s">
        <v>1380</v>
      </c>
      <c r="B51" s="9" t="s">
        <v>1381</v>
      </c>
      <c r="C51" s="7" t="s">
        <v>1382</v>
      </c>
      <c r="D51" s="9" t="s">
        <v>1383</v>
      </c>
      <c r="E51" s="7" t="s">
        <v>1384</v>
      </c>
      <c r="F51" s="16"/>
      <c r="G51" s="11">
        <v>50.0</v>
      </c>
      <c r="H51" s="9" t="s">
        <v>1385</v>
      </c>
      <c r="I51" s="11" t="s">
        <v>1385</v>
      </c>
      <c r="J51" s="9" t="s">
        <v>1386</v>
      </c>
      <c r="K51" s="9" t="s">
        <v>1387</v>
      </c>
      <c r="L51" s="16"/>
      <c r="M51" s="16"/>
      <c r="N51" s="16"/>
      <c r="T51" s="16"/>
    </row>
    <row r="52" ht="22.5" customHeight="1">
      <c r="A52" s="9" t="s">
        <v>1388</v>
      </c>
      <c r="B52" s="9" t="s">
        <v>1389</v>
      </c>
      <c r="C52" s="7" t="s">
        <v>1390</v>
      </c>
      <c r="D52" s="9" t="s">
        <v>1052</v>
      </c>
      <c r="E52" s="7" t="s">
        <v>1391</v>
      </c>
      <c r="F52" s="16"/>
      <c r="G52" s="11">
        <v>51.0</v>
      </c>
      <c r="H52" s="9" t="s">
        <v>1392</v>
      </c>
      <c r="I52" s="11" t="s">
        <v>1393</v>
      </c>
      <c r="J52" s="11">
        <v>10.0</v>
      </c>
      <c r="K52" s="9" t="s">
        <v>1394</v>
      </c>
      <c r="L52" s="16"/>
      <c r="M52" s="16"/>
      <c r="N52" s="16"/>
      <c r="T52" s="16"/>
    </row>
    <row r="53" ht="22.5" customHeight="1">
      <c r="A53" s="9" t="s">
        <v>1395</v>
      </c>
      <c r="B53" s="9" t="s">
        <v>1396</v>
      </c>
      <c r="C53" s="7" t="s">
        <v>1397</v>
      </c>
      <c r="D53" s="9" t="s">
        <v>1398</v>
      </c>
      <c r="E53" s="7" t="s">
        <v>1399</v>
      </c>
      <c r="F53" s="16"/>
      <c r="G53" s="11">
        <v>52.0</v>
      </c>
      <c r="H53" s="9" t="s">
        <v>1400</v>
      </c>
      <c r="I53" s="11" t="s">
        <v>1401</v>
      </c>
      <c r="J53" s="9" t="s">
        <v>1402</v>
      </c>
      <c r="K53" s="9" t="s">
        <v>1403</v>
      </c>
      <c r="L53" s="16"/>
      <c r="M53" s="16"/>
      <c r="N53" s="16"/>
      <c r="T53" s="16"/>
    </row>
    <row r="54" ht="22.5" customHeight="1">
      <c r="A54" s="9" t="s">
        <v>1404</v>
      </c>
      <c r="B54" s="9" t="s">
        <v>1405</v>
      </c>
      <c r="C54" s="7" t="s">
        <v>1406</v>
      </c>
      <c r="D54" s="9" t="s">
        <v>1407</v>
      </c>
      <c r="E54" s="7" t="s">
        <v>1408</v>
      </c>
      <c r="F54" s="16"/>
      <c r="G54" s="11">
        <v>53.0</v>
      </c>
      <c r="H54" s="9" t="s">
        <v>1409</v>
      </c>
      <c r="I54" s="11" t="s">
        <v>1410</v>
      </c>
      <c r="J54" s="9" t="s">
        <v>1411</v>
      </c>
      <c r="K54" s="9" t="s">
        <v>1412</v>
      </c>
      <c r="L54" s="16"/>
      <c r="M54" s="16"/>
      <c r="N54" s="16"/>
      <c r="T54" s="16"/>
    </row>
    <row r="55" ht="22.5" customHeight="1">
      <c r="A55" s="9" t="s">
        <v>1413</v>
      </c>
      <c r="B55" s="9" t="s">
        <v>1414</v>
      </c>
      <c r="C55" s="7" t="s">
        <v>1415</v>
      </c>
      <c r="D55" s="9" t="s">
        <v>1005</v>
      </c>
      <c r="E55" s="7" t="s">
        <v>1416</v>
      </c>
      <c r="F55" s="16"/>
      <c r="G55" s="11">
        <v>54.0</v>
      </c>
      <c r="H55" s="9" t="s">
        <v>1417</v>
      </c>
      <c r="I55" s="11" t="s">
        <v>1418</v>
      </c>
      <c r="J55" s="11">
        <v>4.0</v>
      </c>
      <c r="K55" s="9" t="s">
        <v>1419</v>
      </c>
      <c r="L55" s="16"/>
      <c r="M55" s="16"/>
      <c r="N55" s="16"/>
      <c r="T55" s="16"/>
    </row>
    <row r="56" ht="22.5" customHeight="1">
      <c r="A56" s="9" t="s">
        <v>1420</v>
      </c>
      <c r="B56" s="9" t="s">
        <v>1421</v>
      </c>
      <c r="C56" s="7" t="s">
        <v>1422</v>
      </c>
      <c r="D56" s="9" t="s">
        <v>1423</v>
      </c>
      <c r="E56" s="7" t="s">
        <v>1424</v>
      </c>
      <c r="F56" s="16"/>
      <c r="G56" s="11">
        <v>55.0</v>
      </c>
      <c r="H56" s="9" t="s">
        <v>1425</v>
      </c>
      <c r="I56" s="11" t="s">
        <v>1425</v>
      </c>
      <c r="J56" s="9" t="s">
        <v>1423</v>
      </c>
      <c r="K56" s="9" t="s">
        <v>1426</v>
      </c>
      <c r="L56" s="16"/>
      <c r="M56" s="16"/>
      <c r="N56" s="16"/>
      <c r="T56" s="16"/>
    </row>
    <row r="57" ht="22.5" customHeight="1">
      <c r="A57" s="9" t="s">
        <v>1427</v>
      </c>
      <c r="B57" s="9" t="s">
        <v>1428</v>
      </c>
      <c r="C57" s="7" t="s">
        <v>1429</v>
      </c>
      <c r="D57" s="9" t="s">
        <v>1430</v>
      </c>
      <c r="E57" s="7" t="s">
        <v>1431</v>
      </c>
      <c r="F57" s="16"/>
      <c r="G57" s="11">
        <v>56.0</v>
      </c>
      <c r="H57" s="9" t="s">
        <v>1432</v>
      </c>
      <c r="I57" s="11" t="s">
        <v>1433</v>
      </c>
      <c r="J57" s="9" t="s">
        <v>1434</v>
      </c>
      <c r="K57" s="9" t="s">
        <v>1435</v>
      </c>
      <c r="L57" s="16"/>
      <c r="M57" s="16"/>
      <c r="N57" s="16"/>
      <c r="T57" s="16"/>
    </row>
    <row r="58" ht="22.5" customHeight="1">
      <c r="A58" s="9" t="s">
        <v>1436</v>
      </c>
      <c r="B58" s="9" t="s">
        <v>1437</v>
      </c>
      <c r="C58" s="7" t="s">
        <v>1438</v>
      </c>
      <c r="D58" s="9" t="s">
        <v>1439</v>
      </c>
      <c r="E58" s="7" t="s">
        <v>1440</v>
      </c>
      <c r="F58" s="16"/>
      <c r="G58" s="11">
        <v>57.0</v>
      </c>
      <c r="H58" s="9" t="s">
        <v>1441</v>
      </c>
      <c r="I58" s="11" t="s">
        <v>1442</v>
      </c>
      <c r="J58" s="9" t="s">
        <v>1443</v>
      </c>
      <c r="K58" s="9" t="s">
        <v>1444</v>
      </c>
      <c r="L58" s="16"/>
      <c r="M58" s="16"/>
      <c r="N58" s="16"/>
      <c r="T58" s="16"/>
    </row>
    <row r="59" ht="22.5" customHeight="1">
      <c r="A59" s="9" t="s">
        <v>1445</v>
      </c>
      <c r="B59" s="9" t="s">
        <v>1446</v>
      </c>
      <c r="C59" s="7" t="s">
        <v>1447</v>
      </c>
      <c r="D59" s="9" t="s">
        <v>1448</v>
      </c>
      <c r="E59" s="7" t="s">
        <v>1449</v>
      </c>
      <c r="F59" s="16"/>
      <c r="G59" s="11">
        <v>58.0</v>
      </c>
      <c r="H59" s="9" t="s">
        <v>1450</v>
      </c>
      <c r="I59" s="11" t="s">
        <v>1451</v>
      </c>
      <c r="J59" s="9" t="s">
        <v>1452</v>
      </c>
      <c r="K59" s="9" t="s">
        <v>1453</v>
      </c>
      <c r="L59" s="16"/>
      <c r="M59" s="16"/>
      <c r="N59" s="16"/>
      <c r="T59" s="16"/>
    </row>
    <row r="60" ht="22.5" customHeight="1">
      <c r="A60" s="9" t="s">
        <v>1454</v>
      </c>
      <c r="B60" s="9" t="s">
        <v>1455</v>
      </c>
      <c r="C60" s="7" t="s">
        <v>1456</v>
      </c>
      <c r="D60" s="9" t="s">
        <v>1457</v>
      </c>
      <c r="E60" s="7" t="s">
        <v>1458</v>
      </c>
      <c r="F60" s="16"/>
      <c r="G60" s="11">
        <v>59.0</v>
      </c>
      <c r="H60" s="9" t="s">
        <v>1459</v>
      </c>
      <c r="I60" s="11" t="s">
        <v>1460</v>
      </c>
      <c r="J60" s="9" t="s">
        <v>1461</v>
      </c>
      <c r="K60" s="9" t="s">
        <v>1462</v>
      </c>
      <c r="L60" s="16"/>
      <c r="M60" s="16"/>
      <c r="N60" s="16"/>
      <c r="T60" s="16"/>
    </row>
    <row r="61" ht="22.5" customHeight="1">
      <c r="A61" s="9" t="s">
        <v>1463</v>
      </c>
      <c r="B61" s="9" t="s">
        <v>1464</v>
      </c>
      <c r="C61" s="7" t="s">
        <v>1465</v>
      </c>
      <c r="D61" s="9" t="s">
        <v>1423</v>
      </c>
      <c r="E61" s="7" t="s">
        <v>1466</v>
      </c>
      <c r="F61" s="16"/>
      <c r="G61" s="11">
        <v>60.0</v>
      </c>
      <c r="H61" s="9" t="s">
        <v>1467</v>
      </c>
      <c r="I61" s="11" t="s">
        <v>1467</v>
      </c>
      <c r="J61" s="9" t="s">
        <v>1423</v>
      </c>
      <c r="K61" s="9" t="s">
        <v>1468</v>
      </c>
      <c r="L61" s="16"/>
      <c r="M61" s="16"/>
      <c r="N61" s="16"/>
      <c r="T61" s="16"/>
    </row>
    <row r="62" ht="22.5" customHeight="1">
      <c r="A62" s="9" t="s">
        <v>1469</v>
      </c>
      <c r="B62" s="9" t="s">
        <v>1470</v>
      </c>
      <c r="C62" s="7" t="s">
        <v>1471</v>
      </c>
      <c r="D62" s="9" t="s">
        <v>1472</v>
      </c>
      <c r="E62" s="7" t="s">
        <v>1473</v>
      </c>
      <c r="F62" s="16"/>
      <c r="G62" s="11">
        <v>61.0</v>
      </c>
      <c r="H62" s="9" t="s">
        <v>1474</v>
      </c>
      <c r="I62" s="11" t="s">
        <v>1475</v>
      </c>
      <c r="J62" s="9" t="s">
        <v>1476</v>
      </c>
      <c r="K62" s="9" t="s">
        <v>1477</v>
      </c>
      <c r="L62" s="16"/>
      <c r="M62" s="16"/>
      <c r="N62" s="16"/>
      <c r="T62" s="16"/>
    </row>
    <row r="63" ht="22.5" customHeight="1">
      <c r="A63" s="9" t="s">
        <v>1478</v>
      </c>
      <c r="B63" s="9" t="s">
        <v>1479</v>
      </c>
      <c r="C63" s="7" t="s">
        <v>1480</v>
      </c>
      <c r="D63" s="9" t="s">
        <v>1481</v>
      </c>
      <c r="E63" s="7" t="s">
        <v>1482</v>
      </c>
      <c r="F63" s="16"/>
      <c r="G63" s="11">
        <v>62.0</v>
      </c>
      <c r="H63" s="9" t="s">
        <v>1483</v>
      </c>
      <c r="I63" s="11" t="s">
        <v>1484</v>
      </c>
      <c r="J63" s="9" t="s">
        <v>1485</v>
      </c>
      <c r="K63" s="9" t="s">
        <v>1486</v>
      </c>
      <c r="L63" s="16"/>
      <c r="M63" s="16"/>
      <c r="N63" s="16"/>
      <c r="T63" s="16"/>
    </row>
    <row r="64" ht="22.5" customHeight="1">
      <c r="A64" s="9" t="s">
        <v>1487</v>
      </c>
      <c r="B64" s="9" t="s">
        <v>1488</v>
      </c>
      <c r="C64" s="7" t="s">
        <v>1489</v>
      </c>
      <c r="D64" s="9" t="s">
        <v>1168</v>
      </c>
      <c r="E64" s="7" t="s">
        <v>1490</v>
      </c>
      <c r="F64" s="16"/>
      <c r="G64" s="11">
        <v>63.0</v>
      </c>
      <c r="H64" s="9" t="s">
        <v>1491</v>
      </c>
      <c r="I64" s="11" t="s">
        <v>1492</v>
      </c>
      <c r="J64" s="11">
        <v>24.0</v>
      </c>
      <c r="K64" s="9" t="s">
        <v>1493</v>
      </c>
      <c r="L64" s="16"/>
      <c r="M64" s="16"/>
      <c r="N64" s="16"/>
      <c r="T64" s="16"/>
    </row>
    <row r="65" ht="22.5" customHeight="1">
      <c r="A65" s="9" t="s">
        <v>1494</v>
      </c>
      <c r="B65" s="9" t="s">
        <v>1396</v>
      </c>
      <c r="C65" s="7" t="s">
        <v>1495</v>
      </c>
      <c r="D65" s="9" t="s">
        <v>1398</v>
      </c>
      <c r="E65" s="7" t="s">
        <v>1496</v>
      </c>
      <c r="F65" s="16"/>
      <c r="G65" s="11">
        <v>64.0</v>
      </c>
      <c r="H65" s="9" t="s">
        <v>1400</v>
      </c>
      <c r="I65" s="11" t="s">
        <v>1401</v>
      </c>
      <c r="J65" s="9" t="s">
        <v>1402</v>
      </c>
      <c r="K65" s="9" t="s">
        <v>1497</v>
      </c>
      <c r="L65" s="16"/>
      <c r="M65" s="16"/>
      <c r="N65" s="16"/>
      <c r="T65" s="16"/>
    </row>
    <row r="66" ht="22.5" customHeight="1">
      <c r="A66" s="9" t="s">
        <v>1498</v>
      </c>
      <c r="B66" s="9" t="s">
        <v>1499</v>
      </c>
      <c r="C66" s="7" t="s">
        <v>1500</v>
      </c>
      <c r="D66" s="9" t="s">
        <v>1481</v>
      </c>
      <c r="E66" s="7" t="s">
        <v>1501</v>
      </c>
      <c r="F66" s="16"/>
      <c r="G66" s="11">
        <v>65.0</v>
      </c>
      <c r="H66" s="9" t="s">
        <v>1502</v>
      </c>
      <c r="I66" s="11" t="s">
        <v>1503</v>
      </c>
      <c r="J66" s="9" t="s">
        <v>1485</v>
      </c>
      <c r="K66" s="9" t="s">
        <v>1504</v>
      </c>
      <c r="L66" s="16"/>
      <c r="M66" s="16"/>
      <c r="N66" s="16"/>
      <c r="T66" s="16"/>
    </row>
    <row r="67" ht="22.5" customHeight="1">
      <c r="A67" s="9" t="s">
        <v>1505</v>
      </c>
      <c r="B67" s="9" t="s">
        <v>1506</v>
      </c>
      <c r="C67" s="7" t="s">
        <v>1507</v>
      </c>
      <c r="D67" s="9" t="s">
        <v>1508</v>
      </c>
      <c r="E67" s="7" t="s">
        <v>1509</v>
      </c>
      <c r="F67" s="16"/>
      <c r="G67" s="11">
        <v>66.0</v>
      </c>
      <c r="H67" s="9" t="s">
        <v>1510</v>
      </c>
      <c r="I67" s="11" t="s">
        <v>1511</v>
      </c>
      <c r="J67" s="9" t="s">
        <v>1512</v>
      </c>
      <c r="K67" s="9" t="s">
        <v>1513</v>
      </c>
      <c r="L67" s="16"/>
      <c r="M67" s="16"/>
      <c r="N67" s="16"/>
      <c r="T67" s="16"/>
    </row>
    <row r="68" ht="22.5" customHeight="1">
      <c r="A68" s="9" t="s">
        <v>1514</v>
      </c>
      <c r="B68" s="9" t="s">
        <v>1515</v>
      </c>
      <c r="C68" s="7" t="s">
        <v>1516</v>
      </c>
      <c r="D68" s="9" t="s">
        <v>1517</v>
      </c>
      <c r="E68" s="7" t="s">
        <v>1518</v>
      </c>
      <c r="F68" s="16"/>
      <c r="G68" s="11">
        <v>67.0</v>
      </c>
      <c r="H68" s="9" t="s">
        <v>1519</v>
      </c>
      <c r="I68" s="11" t="s">
        <v>1520</v>
      </c>
      <c r="J68" s="9" t="s">
        <v>1521</v>
      </c>
      <c r="K68" s="9" t="s">
        <v>1522</v>
      </c>
      <c r="L68" s="16"/>
      <c r="M68" s="16"/>
      <c r="N68" s="16"/>
      <c r="T68" s="16"/>
    </row>
    <row r="69" ht="22.5" customHeight="1">
      <c r="A69" s="9" t="s">
        <v>1523</v>
      </c>
      <c r="B69" s="9" t="s">
        <v>1524</v>
      </c>
      <c r="C69" s="7" t="s">
        <v>1525</v>
      </c>
      <c r="D69" s="9" t="s">
        <v>1526</v>
      </c>
      <c r="E69" s="7" t="s">
        <v>1527</v>
      </c>
      <c r="F69" s="16"/>
      <c r="G69" s="11">
        <v>68.0</v>
      </c>
      <c r="H69" s="9" t="s">
        <v>1528</v>
      </c>
      <c r="I69" s="11" t="s">
        <v>1529</v>
      </c>
      <c r="J69" s="9" t="s">
        <v>1530</v>
      </c>
      <c r="K69" s="9" t="s">
        <v>1531</v>
      </c>
      <c r="L69" s="16"/>
      <c r="M69" s="16"/>
      <c r="N69" s="16"/>
      <c r="T69" s="16"/>
    </row>
    <row r="70" ht="22.5" customHeight="1">
      <c r="A70" s="9" t="s">
        <v>1532</v>
      </c>
      <c r="B70" s="9" t="s">
        <v>1533</v>
      </c>
      <c r="C70" s="7" t="s">
        <v>1534</v>
      </c>
      <c r="D70" s="9" t="s">
        <v>1535</v>
      </c>
      <c r="E70" s="7" t="s">
        <v>1536</v>
      </c>
      <c r="F70" s="16"/>
      <c r="G70" s="11">
        <v>69.0</v>
      </c>
      <c r="H70" s="9" t="s">
        <v>1537</v>
      </c>
      <c r="I70" s="11" t="s">
        <v>1538</v>
      </c>
      <c r="J70" s="9" t="s">
        <v>1539</v>
      </c>
      <c r="K70" s="9" t="s">
        <v>1540</v>
      </c>
      <c r="L70" s="16"/>
      <c r="M70" s="16"/>
      <c r="N70" s="16"/>
      <c r="T70" s="16"/>
    </row>
    <row r="71" ht="22.5" customHeight="1">
      <c r="A71" s="9" t="s">
        <v>1541</v>
      </c>
      <c r="B71" s="9" t="s">
        <v>1542</v>
      </c>
      <c r="C71" s="7" t="s">
        <v>1163</v>
      </c>
      <c r="D71" s="9" t="s">
        <v>997</v>
      </c>
      <c r="E71" s="7" t="s">
        <v>1543</v>
      </c>
      <c r="F71" s="16"/>
      <c r="G71" s="11">
        <v>70.0</v>
      </c>
      <c r="H71" s="9" t="s">
        <v>1544</v>
      </c>
      <c r="I71" s="11" t="s">
        <v>1545</v>
      </c>
      <c r="J71" s="11">
        <v>3.0</v>
      </c>
      <c r="K71" s="9" t="s">
        <v>1546</v>
      </c>
      <c r="L71" s="16"/>
      <c r="M71" s="16"/>
      <c r="N71" s="16"/>
      <c r="T71" s="16"/>
    </row>
    <row r="72" ht="22.5" customHeight="1">
      <c r="A72" s="9" t="s">
        <v>1547</v>
      </c>
      <c r="B72" s="9" t="s">
        <v>1548</v>
      </c>
      <c r="C72" s="7" t="s">
        <v>1549</v>
      </c>
      <c r="D72" s="9" t="s">
        <v>1550</v>
      </c>
      <c r="E72" s="7" t="s">
        <v>1551</v>
      </c>
      <c r="F72" s="16"/>
      <c r="G72" s="11">
        <v>71.0</v>
      </c>
      <c r="H72" s="9" t="s">
        <v>1552</v>
      </c>
      <c r="I72" s="11" t="s">
        <v>1553</v>
      </c>
      <c r="J72" s="9" t="s">
        <v>1554</v>
      </c>
      <c r="K72" s="9" t="s">
        <v>1555</v>
      </c>
      <c r="L72" s="16"/>
      <c r="M72" s="16"/>
      <c r="N72" s="16"/>
      <c r="T72" s="16"/>
    </row>
    <row r="73" ht="22.5" customHeight="1">
      <c r="A73" s="9" t="s">
        <v>1556</v>
      </c>
      <c r="B73" s="9" t="s">
        <v>1557</v>
      </c>
      <c r="C73" s="7" t="s">
        <v>1558</v>
      </c>
      <c r="D73" s="9" t="s">
        <v>1559</v>
      </c>
      <c r="E73" s="7" t="s">
        <v>1560</v>
      </c>
      <c r="F73" s="16"/>
      <c r="G73" s="11">
        <v>72.0</v>
      </c>
      <c r="H73" s="9" t="s">
        <v>1561</v>
      </c>
      <c r="I73" s="11" t="s">
        <v>1562</v>
      </c>
      <c r="J73" s="9" t="s">
        <v>1563</v>
      </c>
      <c r="K73" s="9" t="s">
        <v>1564</v>
      </c>
      <c r="L73" s="16"/>
      <c r="M73" s="16"/>
      <c r="N73" s="16"/>
      <c r="T73" s="16"/>
    </row>
    <row r="74" ht="22.5" customHeight="1">
      <c r="A74" s="9" t="s">
        <v>1565</v>
      </c>
      <c r="B74" s="9" t="s">
        <v>1566</v>
      </c>
      <c r="C74" s="7" t="s">
        <v>1567</v>
      </c>
      <c r="D74" s="9" t="s">
        <v>1568</v>
      </c>
      <c r="E74" s="7" t="s">
        <v>1569</v>
      </c>
      <c r="F74" s="16"/>
      <c r="G74" s="11">
        <v>73.0</v>
      </c>
      <c r="H74" s="9" t="s">
        <v>1570</v>
      </c>
      <c r="I74" s="11" t="s">
        <v>1571</v>
      </c>
      <c r="J74" s="9" t="s">
        <v>1572</v>
      </c>
      <c r="K74" s="9" t="s">
        <v>1573</v>
      </c>
      <c r="L74" s="16"/>
      <c r="M74" s="16"/>
      <c r="N74" s="16"/>
      <c r="T74" s="16"/>
    </row>
    <row r="75" ht="22.5" customHeight="1">
      <c r="A75" s="9" t="s">
        <v>1574</v>
      </c>
      <c r="B75" s="9" t="s">
        <v>1575</v>
      </c>
      <c r="C75" s="7" t="s">
        <v>1576</v>
      </c>
      <c r="D75" s="9" t="s">
        <v>1423</v>
      </c>
      <c r="E75" s="7" t="s">
        <v>1577</v>
      </c>
      <c r="F75" s="16"/>
      <c r="G75" s="11">
        <v>74.0</v>
      </c>
      <c r="H75" s="9" t="s">
        <v>1578</v>
      </c>
      <c r="I75" s="11" t="s">
        <v>1578</v>
      </c>
      <c r="J75" s="9" t="s">
        <v>1423</v>
      </c>
      <c r="K75" s="9" t="s">
        <v>1579</v>
      </c>
      <c r="L75" s="16"/>
      <c r="M75" s="16"/>
      <c r="N75" s="16"/>
      <c r="T75" s="16"/>
    </row>
    <row r="76" ht="22.5" customHeight="1">
      <c r="A76" s="9" t="s">
        <v>1580</v>
      </c>
      <c r="B76" s="9" t="s">
        <v>1581</v>
      </c>
      <c r="C76" s="7" t="s">
        <v>1582</v>
      </c>
      <c r="D76" s="9" t="s">
        <v>1463</v>
      </c>
      <c r="E76" s="7" t="s">
        <v>1583</v>
      </c>
      <c r="F76" s="16"/>
      <c r="G76" s="11">
        <v>75.0</v>
      </c>
      <c r="H76" s="9" t="s">
        <v>1584</v>
      </c>
      <c r="I76" s="11" t="s">
        <v>1585</v>
      </c>
      <c r="J76" s="11">
        <v>60.0</v>
      </c>
      <c r="K76" s="9" t="s">
        <v>1586</v>
      </c>
      <c r="L76" s="16"/>
      <c r="M76" s="16"/>
      <c r="N76" s="16"/>
      <c r="T76" s="16"/>
    </row>
    <row r="77" ht="22.5" customHeight="1">
      <c r="A77" s="9" t="s">
        <v>1587</v>
      </c>
      <c r="B77" s="9" t="s">
        <v>1588</v>
      </c>
      <c r="C77" s="7" t="s">
        <v>1589</v>
      </c>
      <c r="D77" s="9" t="s">
        <v>1590</v>
      </c>
      <c r="E77" s="7" t="s">
        <v>1591</v>
      </c>
      <c r="F77" s="16"/>
      <c r="G77" s="11">
        <v>76.0</v>
      </c>
      <c r="H77" s="9" t="s">
        <v>1592</v>
      </c>
      <c r="I77" s="11" t="s">
        <v>1593</v>
      </c>
      <c r="J77" s="9" t="s">
        <v>1594</v>
      </c>
      <c r="K77" s="9" t="s">
        <v>1595</v>
      </c>
      <c r="L77" s="16"/>
      <c r="M77" s="16"/>
      <c r="N77" s="16"/>
      <c r="T77" s="16"/>
    </row>
    <row r="78" ht="22.5" customHeight="1">
      <c r="A78" s="9" t="s">
        <v>1596</v>
      </c>
      <c r="B78" s="9" t="s">
        <v>1597</v>
      </c>
      <c r="C78" s="7" t="s">
        <v>1390</v>
      </c>
      <c r="D78" s="9" t="s">
        <v>1052</v>
      </c>
      <c r="E78" s="7" t="s">
        <v>1391</v>
      </c>
      <c r="F78" s="16"/>
      <c r="G78" s="11">
        <v>77.0</v>
      </c>
      <c r="H78" s="9" t="s">
        <v>1598</v>
      </c>
      <c r="I78" s="11" t="s">
        <v>1599</v>
      </c>
      <c r="J78" s="11">
        <v>10.0</v>
      </c>
      <c r="K78" s="9" t="s">
        <v>1394</v>
      </c>
      <c r="L78" s="16"/>
      <c r="M78" s="16"/>
      <c r="N78" s="16"/>
      <c r="T78" s="16"/>
    </row>
    <row r="79" ht="22.5" customHeight="1">
      <c r="A79" s="9" t="s">
        <v>1600</v>
      </c>
      <c r="B79" s="9" t="s">
        <v>1601</v>
      </c>
      <c r="C79" s="7" t="s">
        <v>1602</v>
      </c>
      <c r="D79" s="9" t="s">
        <v>1603</v>
      </c>
      <c r="E79" s="7" t="s">
        <v>1604</v>
      </c>
      <c r="F79" s="16"/>
      <c r="G79" s="11">
        <v>78.0</v>
      </c>
      <c r="H79" s="9" t="s">
        <v>1605</v>
      </c>
      <c r="I79" s="11" t="s">
        <v>1605</v>
      </c>
      <c r="J79" s="9" t="s">
        <v>1606</v>
      </c>
      <c r="K79" s="9" t="s">
        <v>1607</v>
      </c>
      <c r="L79" s="16"/>
      <c r="M79" s="16"/>
      <c r="N79" s="16"/>
      <c r="T79" s="16"/>
    </row>
    <row r="80" ht="22.5" customHeight="1">
      <c r="A80" s="9" t="s">
        <v>1608</v>
      </c>
      <c r="B80" s="9" t="s">
        <v>1609</v>
      </c>
      <c r="C80" s="7" t="s">
        <v>1610</v>
      </c>
      <c r="D80" s="9" t="s">
        <v>1423</v>
      </c>
      <c r="E80" s="7" t="s">
        <v>1611</v>
      </c>
      <c r="F80" s="16"/>
      <c r="G80" s="11">
        <v>79.0</v>
      </c>
      <c r="H80" s="9" t="s">
        <v>1612</v>
      </c>
      <c r="I80" s="11" t="s">
        <v>1613</v>
      </c>
      <c r="J80" s="9" t="s">
        <v>1423</v>
      </c>
      <c r="K80" s="9" t="s">
        <v>1614</v>
      </c>
      <c r="L80" s="16"/>
      <c r="M80" s="16"/>
      <c r="N80" s="16"/>
      <c r="T80" s="16"/>
    </row>
    <row r="81" ht="22.5" customHeight="1">
      <c r="A81" s="9" t="s">
        <v>1615</v>
      </c>
      <c r="B81" s="9" t="s">
        <v>1396</v>
      </c>
      <c r="C81" s="7" t="s">
        <v>1616</v>
      </c>
      <c r="D81" s="9" t="s">
        <v>1398</v>
      </c>
      <c r="E81" s="7" t="s">
        <v>1617</v>
      </c>
      <c r="F81" s="16"/>
      <c r="G81" s="11">
        <v>80.0</v>
      </c>
      <c r="H81" s="9" t="s">
        <v>1400</v>
      </c>
      <c r="I81" s="11" t="s">
        <v>1401</v>
      </c>
      <c r="J81" s="9" t="s">
        <v>1402</v>
      </c>
      <c r="K81" s="9" t="s">
        <v>1618</v>
      </c>
      <c r="L81" s="16"/>
      <c r="M81" s="16"/>
      <c r="N81" s="16"/>
      <c r="T81" s="16"/>
    </row>
    <row r="82" ht="22.5" customHeight="1">
      <c r="A82" s="9" t="s">
        <v>1619</v>
      </c>
      <c r="B82" s="9" t="s">
        <v>1620</v>
      </c>
      <c r="C82" s="7" t="s">
        <v>1621</v>
      </c>
      <c r="D82" s="9" t="s">
        <v>1622</v>
      </c>
      <c r="E82" s="7" t="s">
        <v>1623</v>
      </c>
      <c r="F82" s="16"/>
      <c r="G82" s="11">
        <v>81.0</v>
      </c>
      <c r="H82" s="9" t="s">
        <v>1624</v>
      </c>
      <c r="I82" s="11" t="s">
        <v>1625</v>
      </c>
      <c r="J82" s="9" t="s">
        <v>1626</v>
      </c>
      <c r="K82" s="9" t="s">
        <v>1627</v>
      </c>
      <c r="L82" s="16"/>
      <c r="M82" s="16"/>
      <c r="N82" s="16"/>
      <c r="T82" s="16"/>
    </row>
    <row r="83" ht="22.5" customHeight="1">
      <c r="A83" s="9" t="s">
        <v>1628</v>
      </c>
      <c r="B83" s="9" t="s">
        <v>1629</v>
      </c>
      <c r="C83" s="7" t="s">
        <v>1630</v>
      </c>
      <c r="D83" s="9" t="s">
        <v>1631</v>
      </c>
      <c r="E83" s="7" t="s">
        <v>1632</v>
      </c>
      <c r="F83" s="16"/>
      <c r="G83" s="11">
        <v>82.0</v>
      </c>
      <c r="H83" s="9" t="s">
        <v>1633</v>
      </c>
      <c r="I83" s="11" t="s">
        <v>1633</v>
      </c>
      <c r="J83" s="9" t="s">
        <v>1634</v>
      </c>
      <c r="K83" s="9" t="s">
        <v>1635</v>
      </c>
      <c r="L83" s="16"/>
      <c r="M83" s="16"/>
      <c r="N83" s="16"/>
      <c r="T83" s="16"/>
    </row>
    <row r="84" ht="22.5" customHeight="1">
      <c r="A84" s="9" t="s">
        <v>1636</v>
      </c>
      <c r="B84" s="9" t="s">
        <v>1637</v>
      </c>
      <c r="C84" s="7" t="s">
        <v>1638</v>
      </c>
      <c r="D84" s="9" t="s">
        <v>1639</v>
      </c>
      <c r="E84" s="7" t="s">
        <v>1640</v>
      </c>
      <c r="F84" s="16"/>
      <c r="G84" s="11">
        <v>83.0</v>
      </c>
      <c r="H84" s="9" t="s">
        <v>1641</v>
      </c>
      <c r="I84" s="11" t="s">
        <v>1642</v>
      </c>
      <c r="J84" s="9" t="s">
        <v>1643</v>
      </c>
      <c r="K84" s="9" t="s">
        <v>1644</v>
      </c>
      <c r="L84" s="16"/>
      <c r="M84" s="16"/>
      <c r="N84" s="16"/>
      <c r="T84" s="16"/>
    </row>
    <row r="85" ht="22.5" customHeight="1">
      <c r="A85" s="9" t="s">
        <v>1645</v>
      </c>
      <c r="B85" s="9" t="s">
        <v>1646</v>
      </c>
      <c r="C85" s="7" t="s">
        <v>1647</v>
      </c>
      <c r="D85" s="9" t="s">
        <v>1648</v>
      </c>
      <c r="E85" s="7" t="s">
        <v>1649</v>
      </c>
      <c r="F85" s="16"/>
      <c r="G85" s="11">
        <v>84.0</v>
      </c>
      <c r="H85" s="9" t="s">
        <v>1650</v>
      </c>
      <c r="I85" s="11" t="s">
        <v>1651</v>
      </c>
      <c r="J85" s="9" t="s">
        <v>1652</v>
      </c>
      <c r="K85" s="9" t="s">
        <v>1653</v>
      </c>
      <c r="L85" s="16"/>
      <c r="M85" s="16"/>
      <c r="N85" s="16"/>
      <c r="T85" s="16"/>
    </row>
    <row r="86" ht="22.5" customHeight="1">
      <c r="A86" s="9" t="s">
        <v>1654</v>
      </c>
      <c r="B86" s="9" t="s">
        <v>1655</v>
      </c>
      <c r="C86" s="7" t="s">
        <v>1656</v>
      </c>
      <c r="D86" s="9" t="s">
        <v>1657</v>
      </c>
      <c r="E86" s="7" t="s">
        <v>1551</v>
      </c>
      <c r="F86" s="16"/>
      <c r="G86" s="11">
        <v>85.0</v>
      </c>
      <c r="H86" s="9" t="s">
        <v>1658</v>
      </c>
      <c r="I86" s="11" t="s">
        <v>1659</v>
      </c>
      <c r="J86" s="9" t="s">
        <v>1660</v>
      </c>
      <c r="K86" s="9" t="s">
        <v>1555</v>
      </c>
      <c r="L86" s="16"/>
      <c r="M86" s="16"/>
      <c r="N86" s="16"/>
      <c r="T86" s="16"/>
    </row>
    <row r="87" ht="22.5" customHeight="1">
      <c r="A87" s="9" t="s">
        <v>1661</v>
      </c>
      <c r="B87" s="9" t="s">
        <v>1662</v>
      </c>
      <c r="C87" s="7" t="s">
        <v>1663</v>
      </c>
      <c r="D87" s="9" t="s">
        <v>1664</v>
      </c>
      <c r="E87" s="7" t="s">
        <v>1665</v>
      </c>
      <c r="F87" s="16"/>
      <c r="G87" s="11">
        <v>86.0</v>
      </c>
      <c r="H87" s="9" t="s">
        <v>1666</v>
      </c>
      <c r="I87" s="11" t="s">
        <v>1667</v>
      </c>
      <c r="J87" s="9" t="s">
        <v>1668</v>
      </c>
      <c r="K87" s="9" t="s">
        <v>1669</v>
      </c>
      <c r="L87" s="16"/>
      <c r="M87" s="16"/>
      <c r="N87" s="16"/>
      <c r="T87" s="16"/>
    </row>
    <row r="88" ht="22.5" customHeight="1">
      <c r="A88" s="9" t="s">
        <v>1670</v>
      </c>
      <c r="B88" s="9" t="s">
        <v>1671</v>
      </c>
      <c r="C88" s="7" t="s">
        <v>1672</v>
      </c>
      <c r="D88" s="9" t="s">
        <v>1673</v>
      </c>
      <c r="E88" s="7" t="s">
        <v>1674</v>
      </c>
      <c r="F88" s="16"/>
      <c r="G88" s="11">
        <v>87.0</v>
      </c>
      <c r="H88" s="9" t="s">
        <v>1675</v>
      </c>
      <c r="I88" s="11" t="s">
        <v>1676</v>
      </c>
      <c r="J88" s="9" t="s">
        <v>1677</v>
      </c>
      <c r="K88" s="9" t="s">
        <v>1678</v>
      </c>
      <c r="L88" s="16"/>
      <c r="M88" s="16"/>
      <c r="N88" s="16"/>
      <c r="T88" s="16"/>
    </row>
    <row r="89" ht="22.5" customHeight="1">
      <c r="A89" s="9" t="s">
        <v>1679</v>
      </c>
      <c r="B89" s="9" t="s">
        <v>1680</v>
      </c>
      <c r="C89" s="7" t="s">
        <v>1681</v>
      </c>
      <c r="D89" s="9" t="s">
        <v>1682</v>
      </c>
      <c r="E89" s="7" t="s">
        <v>1683</v>
      </c>
      <c r="F89" s="16"/>
      <c r="G89" s="11">
        <v>88.0</v>
      </c>
      <c r="H89" s="9" t="s">
        <v>1684</v>
      </c>
      <c r="I89" s="11" t="s">
        <v>1684</v>
      </c>
      <c r="J89" s="9" t="s">
        <v>1685</v>
      </c>
      <c r="K89" s="9" t="s">
        <v>1686</v>
      </c>
      <c r="L89" s="16"/>
      <c r="M89" s="16"/>
      <c r="N89" s="16"/>
      <c r="T89" s="16"/>
    </row>
    <row r="90" ht="22.5" customHeight="1">
      <c r="A90" s="9" t="s">
        <v>1687</v>
      </c>
      <c r="B90" s="9" t="s">
        <v>1688</v>
      </c>
      <c r="C90" s="7" t="s">
        <v>1163</v>
      </c>
      <c r="D90" s="9" t="s">
        <v>997</v>
      </c>
      <c r="E90" s="7" t="s">
        <v>1543</v>
      </c>
      <c r="F90" s="16"/>
      <c r="G90" s="11">
        <v>89.0</v>
      </c>
      <c r="H90" s="9" t="s">
        <v>1689</v>
      </c>
      <c r="I90" s="11" t="s">
        <v>1690</v>
      </c>
      <c r="J90" s="11">
        <v>3.0</v>
      </c>
      <c r="K90" s="9" t="s">
        <v>1546</v>
      </c>
      <c r="L90" s="16"/>
      <c r="M90" s="16"/>
      <c r="N90" s="16"/>
      <c r="T90" s="16"/>
    </row>
    <row r="91" ht="22.5" customHeight="1">
      <c r="A91" s="9" t="s">
        <v>1691</v>
      </c>
      <c r="B91" s="9" t="s">
        <v>1692</v>
      </c>
      <c r="C91" s="7" t="s">
        <v>1693</v>
      </c>
      <c r="D91" s="9" t="s">
        <v>1694</v>
      </c>
      <c r="E91" s="7" t="s">
        <v>1695</v>
      </c>
      <c r="F91" s="16"/>
      <c r="G91" s="11">
        <v>90.0</v>
      </c>
      <c r="H91" s="9" t="s">
        <v>1696</v>
      </c>
      <c r="I91" s="11" t="s">
        <v>1697</v>
      </c>
      <c r="J91" s="9" t="s">
        <v>1698</v>
      </c>
      <c r="K91" s="9" t="s">
        <v>1699</v>
      </c>
      <c r="L91" s="16"/>
      <c r="M91" s="16"/>
      <c r="N91" s="16"/>
      <c r="T91" s="16"/>
    </row>
    <row r="92" ht="22.5" customHeight="1">
      <c r="A92" s="9" t="s">
        <v>1700</v>
      </c>
      <c r="B92" s="9" t="s">
        <v>1588</v>
      </c>
      <c r="C92" s="7" t="s">
        <v>1701</v>
      </c>
      <c r="D92" s="9" t="s">
        <v>1590</v>
      </c>
      <c r="E92" s="7" t="s">
        <v>1591</v>
      </c>
      <c r="F92" s="16"/>
      <c r="G92" s="11">
        <v>91.0</v>
      </c>
      <c r="H92" s="9" t="s">
        <v>1592</v>
      </c>
      <c r="I92" s="11" t="s">
        <v>1593</v>
      </c>
      <c r="J92" s="9" t="s">
        <v>1594</v>
      </c>
      <c r="K92" s="9" t="s">
        <v>1595</v>
      </c>
      <c r="L92" s="16"/>
      <c r="M92" s="16"/>
      <c r="N92" s="16"/>
      <c r="T92" s="16"/>
    </row>
    <row r="93" ht="22.5" customHeight="1">
      <c r="A93" s="9" t="s">
        <v>1702</v>
      </c>
      <c r="B93" s="9" t="s">
        <v>1455</v>
      </c>
      <c r="C93" s="7" t="s">
        <v>1703</v>
      </c>
      <c r="D93" s="9" t="s">
        <v>1704</v>
      </c>
      <c r="E93" s="7" t="s">
        <v>1705</v>
      </c>
      <c r="F93" s="16"/>
      <c r="G93" s="11">
        <v>92.0</v>
      </c>
      <c r="H93" s="9" t="s">
        <v>1459</v>
      </c>
      <c r="I93" s="11" t="s">
        <v>1460</v>
      </c>
      <c r="J93" s="9" t="s">
        <v>1706</v>
      </c>
      <c r="K93" s="9" t="s">
        <v>1707</v>
      </c>
      <c r="L93" s="16"/>
      <c r="M93" s="16"/>
      <c r="N93" s="16"/>
      <c r="T93" s="16"/>
    </row>
    <row r="94" ht="22.5" customHeight="1">
      <c r="A94" s="9" t="s">
        <v>1708</v>
      </c>
      <c r="B94" s="9" t="s">
        <v>1464</v>
      </c>
      <c r="C94" s="7" t="s">
        <v>1576</v>
      </c>
      <c r="D94" s="9" t="s">
        <v>1423</v>
      </c>
      <c r="E94" s="7" t="s">
        <v>1466</v>
      </c>
      <c r="F94" s="16"/>
      <c r="G94" s="11">
        <v>93.0</v>
      </c>
      <c r="H94" s="9" t="s">
        <v>1467</v>
      </c>
      <c r="I94" s="11" t="s">
        <v>1467</v>
      </c>
      <c r="J94" s="9" t="s">
        <v>1423</v>
      </c>
      <c r="K94" s="9" t="s">
        <v>1468</v>
      </c>
      <c r="L94" s="16"/>
      <c r="M94" s="16"/>
      <c r="N94" s="16"/>
      <c r="T94" s="16"/>
    </row>
    <row r="95" ht="22.5" customHeight="1">
      <c r="A95" s="9" t="s">
        <v>1709</v>
      </c>
      <c r="B95" s="9" t="s">
        <v>1710</v>
      </c>
      <c r="C95" s="7" t="s">
        <v>1711</v>
      </c>
      <c r="D95" s="9" t="s">
        <v>1622</v>
      </c>
      <c r="E95" s="7" t="s">
        <v>1712</v>
      </c>
      <c r="F95" s="16"/>
      <c r="G95" s="11">
        <v>94.0</v>
      </c>
      <c r="H95" s="9" t="s">
        <v>1713</v>
      </c>
      <c r="I95" s="11" t="s">
        <v>1714</v>
      </c>
      <c r="J95" s="9" t="s">
        <v>1626</v>
      </c>
      <c r="K95" s="9" t="s">
        <v>1715</v>
      </c>
      <c r="L95" s="16"/>
      <c r="M95" s="16"/>
      <c r="N95" s="16"/>
      <c r="T95" s="16"/>
    </row>
    <row r="96" ht="22.5" customHeight="1">
      <c r="A96" s="9" t="s">
        <v>1716</v>
      </c>
      <c r="B96" s="9" t="s">
        <v>1396</v>
      </c>
      <c r="C96" s="7" t="s">
        <v>1717</v>
      </c>
      <c r="D96" s="9" t="s">
        <v>1398</v>
      </c>
      <c r="E96" s="7" t="s">
        <v>1718</v>
      </c>
      <c r="F96" s="16"/>
      <c r="G96" s="11">
        <v>95.0</v>
      </c>
      <c r="H96" s="9" t="s">
        <v>1400</v>
      </c>
      <c r="I96" s="11" t="s">
        <v>1401</v>
      </c>
      <c r="J96" s="9" t="s">
        <v>1402</v>
      </c>
      <c r="K96" s="9" t="s">
        <v>1719</v>
      </c>
      <c r="L96" s="16"/>
      <c r="M96" s="16"/>
      <c r="N96" s="16"/>
      <c r="T96" s="16"/>
    </row>
    <row r="97" ht="22.5" customHeight="1">
      <c r="A97" s="9" t="s">
        <v>1720</v>
      </c>
      <c r="B97" s="9" t="s">
        <v>1721</v>
      </c>
      <c r="C97" s="7" t="s">
        <v>1722</v>
      </c>
      <c r="D97" s="9" t="s">
        <v>1123</v>
      </c>
      <c r="E97" s="7" t="s">
        <v>1723</v>
      </c>
      <c r="F97" s="16"/>
      <c r="G97" s="11">
        <v>96.0</v>
      </c>
      <c r="H97" s="9" t="s">
        <v>1724</v>
      </c>
      <c r="I97" s="11" t="s">
        <v>1725</v>
      </c>
      <c r="J97" s="11">
        <v>32.0</v>
      </c>
      <c r="K97" s="9" t="s">
        <v>1726</v>
      </c>
      <c r="L97" s="16"/>
      <c r="M97" s="16"/>
      <c r="N97" s="16"/>
      <c r="T97" s="16"/>
    </row>
    <row r="98" ht="22.5" customHeight="1">
      <c r="A98" s="9" t="s">
        <v>1727</v>
      </c>
      <c r="B98" s="9" t="s">
        <v>1728</v>
      </c>
      <c r="C98" s="7" t="s">
        <v>1729</v>
      </c>
      <c r="D98" s="9" t="s">
        <v>1123</v>
      </c>
      <c r="E98" s="7" t="s">
        <v>1730</v>
      </c>
      <c r="F98" s="16"/>
      <c r="G98" s="11">
        <v>97.0</v>
      </c>
      <c r="H98" s="9" t="s">
        <v>1731</v>
      </c>
      <c r="I98" s="11" t="s">
        <v>1732</v>
      </c>
      <c r="J98" s="11">
        <v>32.0</v>
      </c>
      <c r="K98" s="9" t="s">
        <v>1733</v>
      </c>
      <c r="L98" s="16"/>
      <c r="M98" s="16"/>
      <c r="N98" s="16"/>
      <c r="T98" s="16"/>
    </row>
    <row r="99" ht="22.5" customHeight="1">
      <c r="A99" s="9" t="s">
        <v>1734</v>
      </c>
      <c r="B99" s="9" t="s">
        <v>1735</v>
      </c>
      <c r="C99" s="7" t="s">
        <v>1736</v>
      </c>
      <c r="D99" s="9" t="s">
        <v>1423</v>
      </c>
      <c r="E99" s="7" t="s">
        <v>1737</v>
      </c>
      <c r="F99" s="16"/>
      <c r="G99" s="11">
        <v>98.0</v>
      </c>
      <c r="H99" s="9" t="s">
        <v>1738</v>
      </c>
      <c r="I99" s="11" t="s">
        <v>1739</v>
      </c>
      <c r="J99" s="9" t="s">
        <v>1423</v>
      </c>
      <c r="K99" s="9" t="s">
        <v>1740</v>
      </c>
      <c r="L99" s="16"/>
      <c r="M99" s="16"/>
      <c r="N99" s="16"/>
      <c r="T99" s="16"/>
    </row>
    <row r="100" ht="22.5" customHeight="1">
      <c r="A100" s="9" t="s">
        <v>1741</v>
      </c>
      <c r="B100" s="9" t="s">
        <v>1742</v>
      </c>
      <c r="C100" s="7" t="s">
        <v>1743</v>
      </c>
      <c r="D100" s="9" t="s">
        <v>1744</v>
      </c>
      <c r="E100" s="7" t="s">
        <v>1745</v>
      </c>
      <c r="F100" s="16"/>
      <c r="G100" s="11">
        <v>99.0</v>
      </c>
      <c r="H100" s="9" t="s">
        <v>1746</v>
      </c>
      <c r="I100" s="11" t="s">
        <v>1747</v>
      </c>
      <c r="J100" s="9" t="s">
        <v>1748</v>
      </c>
      <c r="K100" s="9" t="s">
        <v>1749</v>
      </c>
      <c r="L100" s="16"/>
      <c r="M100" s="16"/>
      <c r="N100" s="16"/>
      <c r="T100" s="16"/>
    </row>
    <row r="101" ht="22.5" customHeight="1">
      <c r="A101" s="9" t="s">
        <v>1750</v>
      </c>
      <c r="B101" s="9" t="s">
        <v>1533</v>
      </c>
      <c r="C101" s="7" t="s">
        <v>1534</v>
      </c>
      <c r="D101" s="9" t="s">
        <v>1535</v>
      </c>
      <c r="E101" s="7" t="s">
        <v>1536</v>
      </c>
      <c r="F101" s="16"/>
      <c r="G101" s="11">
        <v>100.0</v>
      </c>
      <c r="H101" s="9" t="s">
        <v>1537</v>
      </c>
      <c r="I101" s="11" t="s">
        <v>1538</v>
      </c>
      <c r="J101" s="9" t="s">
        <v>1539</v>
      </c>
      <c r="K101" s="9" t="s">
        <v>1540</v>
      </c>
      <c r="L101" s="16"/>
      <c r="M101" s="16"/>
      <c r="N101" s="16"/>
      <c r="T101" s="16"/>
    </row>
    <row r="102" ht="22.5" customHeight="1">
      <c r="A102" s="9" t="s">
        <v>1751</v>
      </c>
      <c r="B102" s="9" t="s">
        <v>1752</v>
      </c>
      <c r="C102" s="7" t="s">
        <v>1753</v>
      </c>
      <c r="D102" s="9" t="s">
        <v>1754</v>
      </c>
      <c r="E102" s="7" t="s">
        <v>1755</v>
      </c>
      <c r="F102" s="16"/>
      <c r="G102" s="11">
        <v>101.0</v>
      </c>
      <c r="H102" s="9" t="s">
        <v>1756</v>
      </c>
      <c r="I102" s="11" t="s">
        <v>1757</v>
      </c>
      <c r="J102" s="9" t="s">
        <v>1758</v>
      </c>
      <c r="K102" s="9" t="s">
        <v>1759</v>
      </c>
      <c r="L102" s="16"/>
      <c r="M102" s="16"/>
      <c r="N102" s="16"/>
      <c r="T102" s="16"/>
    </row>
    <row r="103" ht="22.5" customHeight="1">
      <c r="A103" s="9" t="s">
        <v>1760</v>
      </c>
      <c r="B103" s="9" t="s">
        <v>1761</v>
      </c>
      <c r="C103" s="7" t="s">
        <v>1762</v>
      </c>
      <c r="D103" s="9" t="s">
        <v>1763</v>
      </c>
      <c r="E103" s="7" t="s">
        <v>1764</v>
      </c>
      <c r="F103" s="16"/>
      <c r="G103" s="11">
        <v>102.0</v>
      </c>
      <c r="H103" s="9" t="s">
        <v>1765</v>
      </c>
      <c r="I103" s="11" t="s">
        <v>1765</v>
      </c>
      <c r="J103" s="9" t="s">
        <v>1766</v>
      </c>
      <c r="K103" s="9" t="s">
        <v>1767</v>
      </c>
      <c r="L103" s="16"/>
      <c r="M103" s="16"/>
      <c r="N103" s="16"/>
      <c r="T103" s="16"/>
    </row>
    <row r="104" ht="22.5" customHeight="1">
      <c r="A104" s="9" t="s">
        <v>1768</v>
      </c>
      <c r="B104" s="9" t="s">
        <v>1769</v>
      </c>
      <c r="C104" s="7" t="s">
        <v>1736</v>
      </c>
      <c r="D104" s="9" t="s">
        <v>1423</v>
      </c>
      <c r="E104" s="7" t="s">
        <v>1737</v>
      </c>
      <c r="F104" s="16"/>
      <c r="G104" s="11">
        <v>103.0</v>
      </c>
      <c r="H104" s="9" t="s">
        <v>1770</v>
      </c>
      <c r="I104" s="11" t="s">
        <v>1771</v>
      </c>
      <c r="J104" s="9" t="s">
        <v>1423</v>
      </c>
      <c r="K104" s="9" t="s">
        <v>1740</v>
      </c>
      <c r="L104" s="16"/>
      <c r="M104" s="16"/>
      <c r="N104" s="16"/>
      <c r="T104" s="16"/>
    </row>
    <row r="105" ht="22.5" customHeight="1">
      <c r="A105" s="9" t="s">
        <v>1772</v>
      </c>
      <c r="B105" s="9" t="s">
        <v>1773</v>
      </c>
      <c r="C105" s="7" t="s">
        <v>1774</v>
      </c>
      <c r="D105" s="9" t="s">
        <v>1775</v>
      </c>
      <c r="E105" s="7" t="s">
        <v>1776</v>
      </c>
      <c r="F105" s="16"/>
      <c r="G105" s="11">
        <v>104.0</v>
      </c>
      <c r="H105" s="9" t="s">
        <v>1777</v>
      </c>
      <c r="I105" s="11" t="s">
        <v>1778</v>
      </c>
      <c r="J105" s="9" t="s">
        <v>1779</v>
      </c>
      <c r="K105" s="9" t="s">
        <v>1780</v>
      </c>
      <c r="L105" s="16"/>
      <c r="M105" s="16"/>
      <c r="N105" s="16"/>
      <c r="T105" s="16"/>
    </row>
    <row r="106" ht="22.5" customHeight="1">
      <c r="A106" s="9" t="s">
        <v>1781</v>
      </c>
      <c r="B106" s="9" t="s">
        <v>1782</v>
      </c>
      <c r="C106" s="7" t="s">
        <v>1783</v>
      </c>
      <c r="D106" s="9" t="s">
        <v>1784</v>
      </c>
      <c r="E106" s="7" t="s">
        <v>1785</v>
      </c>
      <c r="F106" s="16"/>
      <c r="G106" s="11">
        <v>105.0</v>
      </c>
      <c r="H106" s="9" t="s">
        <v>1786</v>
      </c>
      <c r="I106" s="11" t="s">
        <v>1786</v>
      </c>
      <c r="J106" s="9" t="s">
        <v>1787</v>
      </c>
      <c r="K106" s="9" t="s">
        <v>1788</v>
      </c>
      <c r="L106" s="16"/>
      <c r="M106" s="16"/>
      <c r="N106" s="16"/>
      <c r="T106" s="16"/>
    </row>
    <row r="107" ht="22.5" customHeight="1">
      <c r="A107" s="9" t="s">
        <v>1789</v>
      </c>
      <c r="B107" s="9" t="s">
        <v>1790</v>
      </c>
      <c r="C107" s="7" t="s">
        <v>1791</v>
      </c>
      <c r="D107" s="9" t="s">
        <v>1792</v>
      </c>
      <c r="E107" s="7" t="s">
        <v>1793</v>
      </c>
      <c r="F107" s="16"/>
      <c r="G107" s="11">
        <v>106.0</v>
      </c>
      <c r="H107" s="9" t="s">
        <v>1794</v>
      </c>
      <c r="I107" s="11" t="s">
        <v>1794</v>
      </c>
      <c r="J107" s="9" t="s">
        <v>1795</v>
      </c>
      <c r="K107" s="9" t="s">
        <v>1796</v>
      </c>
      <c r="L107" s="16"/>
      <c r="M107" s="16"/>
      <c r="N107" s="16"/>
      <c r="T107" s="16"/>
    </row>
    <row r="108" ht="22.5" customHeight="1">
      <c r="A108" s="9" t="s">
        <v>1797</v>
      </c>
      <c r="B108" s="9" t="s">
        <v>1680</v>
      </c>
      <c r="C108" s="7" t="s">
        <v>1798</v>
      </c>
      <c r="D108" s="9" t="s">
        <v>1799</v>
      </c>
      <c r="E108" s="7" t="s">
        <v>1683</v>
      </c>
      <c r="F108" s="16"/>
      <c r="G108" s="11">
        <v>107.0</v>
      </c>
      <c r="H108" s="9" t="s">
        <v>1684</v>
      </c>
      <c r="I108" s="11" t="s">
        <v>1684</v>
      </c>
      <c r="J108" s="9" t="s">
        <v>1800</v>
      </c>
      <c r="K108" s="9" t="s">
        <v>1686</v>
      </c>
      <c r="L108" s="16"/>
      <c r="M108" s="16"/>
      <c r="N108" s="16"/>
      <c r="T108" s="16"/>
    </row>
    <row r="109" ht="22.5" customHeight="1">
      <c r="A109" s="9" t="s">
        <v>1801</v>
      </c>
      <c r="B109" s="9" t="s">
        <v>1396</v>
      </c>
      <c r="C109" s="7" t="s">
        <v>1802</v>
      </c>
      <c r="D109" s="9" t="s">
        <v>1803</v>
      </c>
      <c r="E109" s="7" t="s">
        <v>1804</v>
      </c>
      <c r="F109" s="16"/>
      <c r="G109" s="11">
        <v>108.0</v>
      </c>
      <c r="H109" s="9" t="s">
        <v>1400</v>
      </c>
      <c r="I109" s="11" t="s">
        <v>1401</v>
      </c>
      <c r="J109" s="9" t="s">
        <v>1805</v>
      </c>
      <c r="K109" s="9" t="s">
        <v>1806</v>
      </c>
      <c r="L109" s="16"/>
      <c r="M109" s="16"/>
      <c r="N109" s="16"/>
      <c r="T109" s="16"/>
    </row>
    <row r="110" ht="22.5" customHeight="1">
      <c r="A110" s="9" t="s">
        <v>1807</v>
      </c>
      <c r="B110" s="9" t="s">
        <v>1808</v>
      </c>
      <c r="C110" s="7" t="s">
        <v>1809</v>
      </c>
      <c r="D110" s="9" t="s">
        <v>1052</v>
      </c>
      <c r="E110" s="7" t="s">
        <v>1391</v>
      </c>
      <c r="F110" s="16"/>
      <c r="G110" s="11">
        <v>109.0</v>
      </c>
      <c r="H110" s="9" t="s">
        <v>1810</v>
      </c>
      <c r="I110" s="11" t="s">
        <v>1810</v>
      </c>
      <c r="J110" s="11">
        <v>10.0</v>
      </c>
      <c r="K110" s="9" t="s">
        <v>1394</v>
      </c>
      <c r="L110" s="16"/>
      <c r="M110" s="16"/>
      <c r="N110" s="16"/>
      <c r="T110" s="16"/>
    </row>
    <row r="111" ht="22.5" customHeight="1">
      <c r="A111" s="9" t="s">
        <v>1811</v>
      </c>
      <c r="B111" s="9" t="s">
        <v>1812</v>
      </c>
      <c r="C111" s="7" t="s">
        <v>1813</v>
      </c>
      <c r="D111" s="9" t="s">
        <v>1631</v>
      </c>
      <c r="E111" s="7" t="s">
        <v>1814</v>
      </c>
      <c r="F111" s="16"/>
      <c r="G111" s="11">
        <v>110.0</v>
      </c>
      <c r="H111" s="9" t="s">
        <v>1815</v>
      </c>
      <c r="I111" s="11" t="s">
        <v>1816</v>
      </c>
      <c r="J111" s="9" t="s">
        <v>1634</v>
      </c>
      <c r="K111" s="9" t="s">
        <v>1817</v>
      </c>
      <c r="L111" s="16"/>
      <c r="M111" s="16"/>
      <c r="N111" s="16"/>
      <c r="T111" s="16"/>
    </row>
    <row r="112" ht="22.5" customHeight="1">
      <c r="A112" s="9" t="s">
        <v>1818</v>
      </c>
      <c r="B112" s="9" t="s">
        <v>1819</v>
      </c>
      <c r="C112" s="7" t="s">
        <v>1820</v>
      </c>
      <c r="D112" s="9" t="s">
        <v>1508</v>
      </c>
      <c r="E112" s="7" t="s">
        <v>1821</v>
      </c>
      <c r="F112" s="16"/>
      <c r="G112" s="11">
        <v>111.0</v>
      </c>
      <c r="H112" s="9" t="s">
        <v>1822</v>
      </c>
      <c r="I112" s="11" t="s">
        <v>1822</v>
      </c>
      <c r="J112" s="9" t="s">
        <v>1512</v>
      </c>
      <c r="K112" s="9" t="s">
        <v>1823</v>
      </c>
      <c r="L112" s="16"/>
      <c r="M112" s="16"/>
      <c r="N112" s="16"/>
      <c r="T112" s="16"/>
    </row>
    <row r="113" ht="22.5" customHeight="1">
      <c r="A113" s="9" t="s">
        <v>1824</v>
      </c>
      <c r="B113" s="9" t="s">
        <v>1825</v>
      </c>
      <c r="C113" s="7" t="s">
        <v>1826</v>
      </c>
      <c r="D113" s="9" t="s">
        <v>1005</v>
      </c>
      <c r="E113" s="7" t="s">
        <v>1827</v>
      </c>
      <c r="F113" s="16"/>
      <c r="G113" s="11">
        <v>112.0</v>
      </c>
      <c r="H113" s="9" t="s">
        <v>1828</v>
      </c>
      <c r="I113" s="11" t="s">
        <v>1829</v>
      </c>
      <c r="J113" s="11">
        <v>4.0</v>
      </c>
      <c r="K113" s="9" t="s">
        <v>1830</v>
      </c>
      <c r="L113" s="16"/>
      <c r="M113" s="16"/>
      <c r="N113" s="16"/>
      <c r="T113" s="16"/>
    </row>
    <row r="114" ht="22.5" customHeight="1">
      <c r="A114" s="9" t="s">
        <v>1831</v>
      </c>
      <c r="B114" s="9" t="s">
        <v>1601</v>
      </c>
      <c r="C114" s="7" t="s">
        <v>1832</v>
      </c>
      <c r="D114" s="9" t="s">
        <v>1603</v>
      </c>
      <c r="E114" s="7" t="s">
        <v>1833</v>
      </c>
      <c r="F114" s="16"/>
      <c r="G114" s="11">
        <v>113.0</v>
      </c>
      <c r="H114" s="9" t="s">
        <v>1605</v>
      </c>
      <c r="I114" s="11" t="s">
        <v>1605</v>
      </c>
      <c r="J114" s="9" t="s">
        <v>1606</v>
      </c>
      <c r="K114" s="9" t="s">
        <v>1834</v>
      </c>
      <c r="L114" s="16"/>
      <c r="M114" s="16"/>
      <c r="N114" s="16"/>
      <c r="T114" s="16"/>
    </row>
    <row r="115" ht="22.5" customHeight="1">
      <c r="A115" s="9" t="s">
        <v>1835</v>
      </c>
      <c r="B115" s="9" t="s">
        <v>1637</v>
      </c>
      <c r="C115" s="7" t="s">
        <v>1836</v>
      </c>
      <c r="D115" s="9" t="s">
        <v>1837</v>
      </c>
      <c r="E115" s="7" t="s">
        <v>1838</v>
      </c>
      <c r="F115" s="16"/>
      <c r="G115" s="11">
        <v>114.0</v>
      </c>
      <c r="H115" s="9" t="s">
        <v>1641</v>
      </c>
      <c r="I115" s="11" t="s">
        <v>1642</v>
      </c>
      <c r="J115" s="9" t="s">
        <v>1839</v>
      </c>
      <c r="K115" s="9" t="s">
        <v>1840</v>
      </c>
      <c r="L115" s="16"/>
      <c r="M115" s="16"/>
      <c r="N115" s="16"/>
      <c r="T115" s="16"/>
    </row>
    <row r="116" ht="22.5" customHeight="1">
      <c r="A116" s="9" t="s">
        <v>1841</v>
      </c>
      <c r="B116" s="9" t="s">
        <v>1842</v>
      </c>
      <c r="C116" s="7" t="s">
        <v>1843</v>
      </c>
      <c r="D116" s="9" t="s">
        <v>1664</v>
      </c>
      <c r="E116" s="7" t="s">
        <v>1844</v>
      </c>
      <c r="F116" s="16"/>
      <c r="G116" s="11">
        <v>115.0</v>
      </c>
      <c r="H116" s="9" t="s">
        <v>1845</v>
      </c>
      <c r="I116" s="11" t="s">
        <v>1846</v>
      </c>
      <c r="J116" s="9" t="s">
        <v>1668</v>
      </c>
      <c r="K116" s="9" t="s">
        <v>1847</v>
      </c>
      <c r="L116" s="16"/>
      <c r="M116" s="16"/>
      <c r="N116" s="16"/>
      <c r="T116" s="16"/>
    </row>
    <row r="117" ht="22.5" customHeight="1">
      <c r="A117" s="9" t="s">
        <v>1848</v>
      </c>
      <c r="B117" s="9" t="s">
        <v>1849</v>
      </c>
      <c r="C117" s="7" t="s">
        <v>1850</v>
      </c>
      <c r="D117" s="9" t="s">
        <v>1851</v>
      </c>
      <c r="E117" s="7" t="s">
        <v>1852</v>
      </c>
      <c r="F117" s="16"/>
      <c r="G117" s="11">
        <v>116.0</v>
      </c>
      <c r="H117" s="9" t="s">
        <v>1853</v>
      </c>
      <c r="I117" s="11" t="s">
        <v>1854</v>
      </c>
      <c r="J117" s="9" t="s">
        <v>1855</v>
      </c>
      <c r="K117" s="9" t="s">
        <v>1856</v>
      </c>
      <c r="L117" s="16"/>
      <c r="M117" s="16"/>
      <c r="N117" s="16"/>
      <c r="T117" s="16"/>
    </row>
    <row r="118" ht="22.5" customHeight="1">
      <c r="A118" s="9" t="s">
        <v>1857</v>
      </c>
      <c r="B118" s="9" t="s">
        <v>1858</v>
      </c>
      <c r="C118" s="7" t="s">
        <v>1859</v>
      </c>
      <c r="D118" s="9" t="s">
        <v>1860</v>
      </c>
      <c r="E118" s="7" t="s">
        <v>1861</v>
      </c>
      <c r="F118" s="16"/>
      <c r="G118" s="11">
        <v>117.0</v>
      </c>
      <c r="H118" s="9" t="s">
        <v>1862</v>
      </c>
      <c r="I118" s="11" t="s">
        <v>1863</v>
      </c>
      <c r="J118" s="9" t="s">
        <v>1864</v>
      </c>
      <c r="K118" s="9" t="s">
        <v>1865</v>
      </c>
      <c r="L118" s="16"/>
      <c r="M118" s="16"/>
      <c r="N118" s="16"/>
      <c r="T118" s="16"/>
    </row>
    <row r="119" ht="22.5" customHeight="1">
      <c r="A119" s="9" t="s">
        <v>1866</v>
      </c>
      <c r="B119" s="9" t="s">
        <v>1867</v>
      </c>
      <c r="C119" s="7" t="s">
        <v>1736</v>
      </c>
      <c r="D119" s="9" t="s">
        <v>1423</v>
      </c>
      <c r="E119" s="7" t="s">
        <v>1868</v>
      </c>
      <c r="F119" s="16"/>
      <c r="G119" s="11">
        <v>118.0</v>
      </c>
      <c r="H119" s="9" t="s">
        <v>1869</v>
      </c>
      <c r="I119" s="11" t="s">
        <v>1870</v>
      </c>
      <c r="J119" s="9" t="s">
        <v>1423</v>
      </c>
      <c r="K119" s="9" t="s">
        <v>1871</v>
      </c>
      <c r="L119" s="16"/>
      <c r="M119" s="16"/>
      <c r="N119" s="16"/>
      <c r="T119" s="16"/>
    </row>
    <row r="120" ht="22.5" customHeight="1">
      <c r="A120" s="9" t="s">
        <v>1872</v>
      </c>
      <c r="B120" s="9" t="s">
        <v>1873</v>
      </c>
      <c r="C120" s="7" t="s">
        <v>1874</v>
      </c>
      <c r="D120" s="9" t="s">
        <v>1875</v>
      </c>
      <c r="E120" s="7" t="s">
        <v>1551</v>
      </c>
      <c r="F120" s="16"/>
      <c r="G120" s="11">
        <v>119.0</v>
      </c>
      <c r="H120" s="9" t="s">
        <v>1876</v>
      </c>
      <c r="I120" s="11" t="s">
        <v>1876</v>
      </c>
      <c r="J120" s="9" t="s">
        <v>1877</v>
      </c>
      <c r="K120" s="9" t="s">
        <v>1555</v>
      </c>
      <c r="L120" s="16"/>
      <c r="M120" s="16"/>
      <c r="N120" s="16"/>
      <c r="T120" s="16"/>
    </row>
    <row r="121" ht="22.5" customHeight="1">
      <c r="A121" s="9" t="s">
        <v>1878</v>
      </c>
      <c r="B121" s="9" t="s">
        <v>1879</v>
      </c>
      <c r="C121" s="7" t="s">
        <v>1880</v>
      </c>
      <c r="D121" s="9" t="s">
        <v>1694</v>
      </c>
      <c r="E121" s="7" t="s">
        <v>1881</v>
      </c>
      <c r="F121" s="16"/>
      <c r="G121" s="11">
        <v>120.0</v>
      </c>
      <c r="H121" s="9" t="s">
        <v>1882</v>
      </c>
      <c r="I121" s="11" t="s">
        <v>1883</v>
      </c>
      <c r="J121" s="9" t="s">
        <v>1698</v>
      </c>
      <c r="K121" s="9" t="s">
        <v>1884</v>
      </c>
      <c r="L121" s="16"/>
      <c r="M121" s="16"/>
      <c r="N121" s="16"/>
      <c r="T121" s="16"/>
    </row>
    <row r="122" ht="22.5" customHeight="1">
      <c r="A122" s="9" t="s">
        <v>1885</v>
      </c>
      <c r="B122" s="9" t="s">
        <v>1886</v>
      </c>
      <c r="C122" s="7" t="s">
        <v>1887</v>
      </c>
      <c r="D122" s="9" t="s">
        <v>1888</v>
      </c>
      <c r="E122" s="7" t="s">
        <v>1889</v>
      </c>
      <c r="F122" s="16"/>
      <c r="G122" s="11">
        <v>121.0</v>
      </c>
      <c r="H122" s="9" t="s">
        <v>1890</v>
      </c>
      <c r="I122" s="11" t="s">
        <v>1891</v>
      </c>
      <c r="J122" s="9" t="s">
        <v>1892</v>
      </c>
      <c r="K122" s="9" t="s">
        <v>1893</v>
      </c>
      <c r="L122" s="16"/>
      <c r="M122" s="16"/>
      <c r="N122" s="16"/>
      <c r="T122" s="16"/>
    </row>
    <row r="123" ht="22.5" customHeight="1">
      <c r="A123" s="9" t="s">
        <v>1894</v>
      </c>
      <c r="B123" s="9" t="s">
        <v>1895</v>
      </c>
      <c r="C123" s="7" t="s">
        <v>1896</v>
      </c>
      <c r="D123" s="9" t="s">
        <v>1897</v>
      </c>
      <c r="E123" s="7" t="s">
        <v>1898</v>
      </c>
      <c r="F123" s="16"/>
      <c r="G123" s="11">
        <v>122.0</v>
      </c>
      <c r="H123" s="9" t="s">
        <v>1899</v>
      </c>
      <c r="I123" s="11" t="s">
        <v>1900</v>
      </c>
      <c r="J123" s="9" t="s">
        <v>1901</v>
      </c>
      <c r="K123" s="9" t="s">
        <v>1902</v>
      </c>
      <c r="L123" s="16"/>
      <c r="M123" s="16"/>
      <c r="N123" s="16"/>
      <c r="T123" s="16"/>
    </row>
    <row r="124" ht="22.5" customHeight="1">
      <c r="A124" s="9" t="s">
        <v>1903</v>
      </c>
      <c r="B124" s="9" t="s">
        <v>1904</v>
      </c>
      <c r="C124" s="7" t="s">
        <v>1905</v>
      </c>
      <c r="D124" s="9" t="s">
        <v>1123</v>
      </c>
      <c r="E124" s="7" t="s">
        <v>1906</v>
      </c>
      <c r="F124" s="16"/>
      <c r="G124" s="11">
        <v>123.0</v>
      </c>
      <c r="H124" s="9" t="s">
        <v>1907</v>
      </c>
      <c r="I124" s="11" t="s">
        <v>1908</v>
      </c>
      <c r="J124" s="11">
        <v>32.0</v>
      </c>
      <c r="K124" s="9" t="s">
        <v>1909</v>
      </c>
      <c r="L124" s="16"/>
      <c r="M124" s="16"/>
      <c r="N124" s="16"/>
      <c r="T124" s="16"/>
    </row>
    <row r="125" ht="22.5" customHeight="1">
      <c r="A125" s="9" t="s">
        <v>1910</v>
      </c>
      <c r="B125" s="9" t="s">
        <v>1911</v>
      </c>
      <c r="C125" s="7" t="s">
        <v>1912</v>
      </c>
      <c r="D125" s="9" t="s">
        <v>1694</v>
      </c>
      <c r="E125" s="7" t="s">
        <v>1913</v>
      </c>
      <c r="F125" s="16"/>
      <c r="G125" s="11">
        <v>124.0</v>
      </c>
      <c r="H125" s="9" t="s">
        <v>1914</v>
      </c>
      <c r="I125" s="11" t="s">
        <v>1914</v>
      </c>
      <c r="J125" s="9" t="s">
        <v>1698</v>
      </c>
      <c r="K125" s="9" t="s">
        <v>1915</v>
      </c>
      <c r="L125" s="16"/>
      <c r="M125" s="16"/>
      <c r="N125" s="16"/>
      <c r="T125" s="16"/>
    </row>
    <row r="126" ht="22.5" customHeight="1">
      <c r="A126" s="9" t="s">
        <v>1916</v>
      </c>
      <c r="B126" s="9" t="s">
        <v>1917</v>
      </c>
      <c r="C126" s="7" t="s">
        <v>1918</v>
      </c>
      <c r="D126" s="9" t="s">
        <v>1919</v>
      </c>
      <c r="E126" s="7" t="s">
        <v>1920</v>
      </c>
      <c r="F126" s="16"/>
      <c r="G126" s="11">
        <v>125.0</v>
      </c>
      <c r="H126" s="9" t="s">
        <v>1921</v>
      </c>
      <c r="I126" s="11" t="s">
        <v>1922</v>
      </c>
      <c r="J126" s="9" t="s">
        <v>1923</v>
      </c>
      <c r="K126" s="9" t="s">
        <v>1924</v>
      </c>
      <c r="L126" s="16"/>
      <c r="M126" s="16"/>
      <c r="N126" s="16"/>
      <c r="T126" s="16"/>
    </row>
    <row r="127" ht="22.5" customHeight="1">
      <c r="A127" s="9" t="s">
        <v>1925</v>
      </c>
      <c r="B127" s="9" t="s">
        <v>1926</v>
      </c>
      <c r="C127" s="7" t="s">
        <v>1927</v>
      </c>
      <c r="D127" s="9" t="s">
        <v>1928</v>
      </c>
      <c r="E127" s="7" t="s">
        <v>1929</v>
      </c>
      <c r="F127" s="16"/>
      <c r="G127" s="11">
        <v>126.0</v>
      </c>
      <c r="H127" s="9" t="s">
        <v>1930</v>
      </c>
      <c r="I127" s="11" t="s">
        <v>1931</v>
      </c>
      <c r="J127" s="9" t="s">
        <v>1932</v>
      </c>
      <c r="K127" s="9" t="s">
        <v>1933</v>
      </c>
      <c r="L127" s="16"/>
      <c r="M127" s="16"/>
      <c r="N127" s="16"/>
      <c r="T127" s="16"/>
    </row>
    <row r="128" ht="22.5" customHeight="1">
      <c r="A128" s="9" t="s">
        <v>1934</v>
      </c>
      <c r="B128" s="9" t="s">
        <v>1935</v>
      </c>
      <c r="C128" s="7" t="s">
        <v>1936</v>
      </c>
      <c r="D128" s="9" t="s">
        <v>1036</v>
      </c>
      <c r="E128" s="7" t="s">
        <v>1937</v>
      </c>
      <c r="F128" s="16"/>
      <c r="G128" s="11">
        <v>127.0</v>
      </c>
      <c r="H128" s="9" t="s">
        <v>1938</v>
      </c>
      <c r="I128" s="11" t="s">
        <v>1939</v>
      </c>
      <c r="J128" s="11">
        <v>8.0</v>
      </c>
      <c r="K128" s="9" t="s">
        <v>1940</v>
      </c>
      <c r="L128" s="16"/>
      <c r="M128" s="16"/>
      <c r="N128" s="16"/>
      <c r="T128" s="16"/>
    </row>
    <row r="129" ht="22.5" customHeight="1">
      <c r="A129" s="9" t="s">
        <v>1941</v>
      </c>
      <c r="B129" s="9" t="s">
        <v>1942</v>
      </c>
      <c r="C129" s="7" t="s">
        <v>1943</v>
      </c>
      <c r="D129" s="9" t="s">
        <v>1508</v>
      </c>
      <c r="E129" s="7" t="s">
        <v>1944</v>
      </c>
      <c r="F129" s="16"/>
      <c r="G129" s="11">
        <v>128.0</v>
      </c>
      <c r="H129" s="9" t="s">
        <v>1945</v>
      </c>
      <c r="I129" s="11" t="s">
        <v>1945</v>
      </c>
      <c r="J129" s="9" t="s">
        <v>1512</v>
      </c>
      <c r="K129" s="9" t="s">
        <v>1946</v>
      </c>
      <c r="L129" s="16"/>
      <c r="M129" s="16"/>
      <c r="N129" s="16"/>
      <c r="T129" s="16"/>
    </row>
    <row r="130" ht="22.5" customHeight="1">
      <c r="A130" s="9" t="s">
        <v>1947</v>
      </c>
      <c r="B130" s="9" t="s">
        <v>1948</v>
      </c>
      <c r="C130" s="7" t="s">
        <v>1949</v>
      </c>
      <c r="D130" s="9" t="s">
        <v>1603</v>
      </c>
      <c r="E130" s="7" t="s">
        <v>1950</v>
      </c>
      <c r="F130" s="16"/>
      <c r="G130" s="11">
        <v>129.0</v>
      </c>
      <c r="H130" s="9" t="s">
        <v>1951</v>
      </c>
      <c r="I130" s="11" t="s">
        <v>1951</v>
      </c>
      <c r="J130" s="9" t="s">
        <v>1606</v>
      </c>
      <c r="K130" s="9" t="s">
        <v>1952</v>
      </c>
      <c r="L130" s="16"/>
      <c r="M130" s="16"/>
      <c r="N130" s="16"/>
      <c r="T130" s="16"/>
    </row>
    <row r="131" ht="22.5" customHeight="1">
      <c r="A131" s="9" t="s">
        <v>1953</v>
      </c>
      <c r="B131" s="9" t="s">
        <v>1954</v>
      </c>
      <c r="C131" s="7" t="s">
        <v>1955</v>
      </c>
      <c r="D131" s="9" t="s">
        <v>1956</v>
      </c>
      <c r="E131" s="7" t="s">
        <v>1957</v>
      </c>
      <c r="F131" s="16"/>
      <c r="G131" s="11">
        <v>130.0</v>
      </c>
      <c r="H131" s="9" t="s">
        <v>1958</v>
      </c>
      <c r="I131" s="11" t="s">
        <v>1959</v>
      </c>
      <c r="J131" s="9" t="s">
        <v>1960</v>
      </c>
      <c r="K131" s="9" t="s">
        <v>1961</v>
      </c>
      <c r="L131" s="16"/>
      <c r="M131" s="16"/>
      <c r="N131" s="16"/>
      <c r="T131" s="16"/>
    </row>
    <row r="132" ht="22.5" customHeight="1">
      <c r="A132" s="9" t="s">
        <v>1962</v>
      </c>
      <c r="B132" s="9" t="s">
        <v>1963</v>
      </c>
      <c r="C132" s="7" t="s">
        <v>1964</v>
      </c>
      <c r="D132" s="9" t="s">
        <v>1965</v>
      </c>
      <c r="E132" s="7" t="s">
        <v>1966</v>
      </c>
      <c r="F132" s="16"/>
      <c r="G132" s="11">
        <v>131.0</v>
      </c>
      <c r="H132" s="9" t="s">
        <v>1967</v>
      </c>
      <c r="I132" s="11" t="s">
        <v>1968</v>
      </c>
      <c r="J132" s="9" t="s">
        <v>1969</v>
      </c>
      <c r="K132" s="9" t="s">
        <v>1970</v>
      </c>
      <c r="L132" s="16"/>
      <c r="M132" s="16"/>
      <c r="N132" s="16"/>
      <c r="T132" s="16"/>
    </row>
    <row r="133" ht="22.5" customHeight="1">
      <c r="A133" s="9" t="s">
        <v>1971</v>
      </c>
      <c r="B133" s="9" t="s">
        <v>1873</v>
      </c>
      <c r="C133" s="7" t="s">
        <v>1972</v>
      </c>
      <c r="D133" s="9" t="s">
        <v>1784</v>
      </c>
      <c r="E133" s="7" t="s">
        <v>1973</v>
      </c>
      <c r="F133" s="16"/>
      <c r="G133" s="11">
        <v>132.0</v>
      </c>
      <c r="H133" s="9" t="s">
        <v>1876</v>
      </c>
      <c r="I133" s="11" t="s">
        <v>1876</v>
      </c>
      <c r="J133" s="9" t="s">
        <v>1974</v>
      </c>
      <c r="K133" s="9" t="s">
        <v>1975</v>
      </c>
      <c r="L133" s="16"/>
      <c r="M133" s="16"/>
      <c r="N133" s="16"/>
      <c r="T133" s="16"/>
    </row>
    <row r="134" ht="22.5" customHeight="1">
      <c r="A134" s="9" t="s">
        <v>1976</v>
      </c>
      <c r="B134" s="9" t="s">
        <v>1977</v>
      </c>
      <c r="C134" s="7" t="s">
        <v>1978</v>
      </c>
      <c r="D134" s="9" t="s">
        <v>1508</v>
      </c>
      <c r="E134" s="7" t="s">
        <v>1979</v>
      </c>
      <c r="F134" s="16"/>
      <c r="G134" s="11">
        <v>133.0</v>
      </c>
      <c r="H134" s="9" t="s">
        <v>1980</v>
      </c>
      <c r="I134" s="11" t="s">
        <v>1980</v>
      </c>
      <c r="J134" s="9" t="s">
        <v>1512</v>
      </c>
      <c r="K134" s="9" t="s">
        <v>1981</v>
      </c>
      <c r="L134" s="16"/>
      <c r="M134" s="16"/>
      <c r="N134" s="16"/>
      <c r="T134" s="16"/>
    </row>
    <row r="135" ht="22.5" customHeight="1">
      <c r="A135" s="9" t="s">
        <v>1982</v>
      </c>
      <c r="B135" s="9" t="s">
        <v>1983</v>
      </c>
      <c r="C135" s="7" t="s">
        <v>1984</v>
      </c>
      <c r="D135" s="9" t="s">
        <v>1799</v>
      </c>
      <c r="E135" s="7" t="s">
        <v>1985</v>
      </c>
      <c r="F135" s="16"/>
      <c r="G135" s="11">
        <v>134.0</v>
      </c>
      <c r="H135" s="9" t="s">
        <v>1986</v>
      </c>
      <c r="I135" s="11" t="s">
        <v>1986</v>
      </c>
      <c r="J135" s="9" t="s">
        <v>1800</v>
      </c>
      <c r="K135" s="9" t="s">
        <v>1987</v>
      </c>
      <c r="L135" s="16"/>
      <c r="M135" s="16"/>
      <c r="N135" s="16"/>
      <c r="T135" s="16"/>
    </row>
    <row r="136" ht="22.5" customHeight="1">
      <c r="A136" s="9" t="s">
        <v>1988</v>
      </c>
      <c r="B136" s="9" t="s">
        <v>1989</v>
      </c>
      <c r="C136" s="7" t="s">
        <v>1990</v>
      </c>
      <c r="D136" s="9" t="s">
        <v>1991</v>
      </c>
      <c r="E136" s="7" t="s">
        <v>1992</v>
      </c>
      <c r="F136" s="16"/>
      <c r="G136" s="11">
        <v>135.0</v>
      </c>
      <c r="H136" s="9" t="s">
        <v>1993</v>
      </c>
      <c r="I136" s="11" t="s">
        <v>1994</v>
      </c>
      <c r="J136" s="9" t="s">
        <v>1995</v>
      </c>
      <c r="K136" s="9" t="s">
        <v>1996</v>
      </c>
      <c r="L136" s="16"/>
      <c r="M136" s="16"/>
      <c r="N136" s="16"/>
      <c r="T136" s="16"/>
    </row>
    <row r="137" ht="22.5" customHeight="1">
      <c r="A137" s="9" t="s">
        <v>1997</v>
      </c>
      <c r="B137" s="9" t="s">
        <v>1998</v>
      </c>
      <c r="C137" s="7" t="s">
        <v>1999</v>
      </c>
      <c r="D137" s="9" t="s">
        <v>2000</v>
      </c>
      <c r="E137" s="7" t="s">
        <v>2001</v>
      </c>
      <c r="F137" s="16"/>
      <c r="G137" s="11">
        <v>136.0</v>
      </c>
      <c r="H137" s="9" t="s">
        <v>2002</v>
      </c>
      <c r="I137" s="11" t="s">
        <v>2003</v>
      </c>
      <c r="J137" s="9" t="s">
        <v>2004</v>
      </c>
      <c r="K137" s="9" t="s">
        <v>2005</v>
      </c>
      <c r="L137" s="16"/>
      <c r="M137" s="16"/>
      <c r="N137" s="16"/>
      <c r="T137" s="16"/>
    </row>
    <row r="138" ht="22.5" customHeight="1">
      <c r="A138" s="9" t="s">
        <v>2006</v>
      </c>
      <c r="B138" s="9" t="s">
        <v>2007</v>
      </c>
      <c r="C138" s="7" t="s">
        <v>2008</v>
      </c>
      <c r="D138" s="9" t="s">
        <v>1005</v>
      </c>
      <c r="E138" s="7" t="s">
        <v>2009</v>
      </c>
      <c r="F138" s="16"/>
      <c r="G138" s="11">
        <v>137.0</v>
      </c>
      <c r="H138" s="9" t="s">
        <v>2010</v>
      </c>
      <c r="I138" s="11" t="s">
        <v>2011</v>
      </c>
      <c r="J138" s="11">
        <v>4.0</v>
      </c>
      <c r="K138" s="9" t="s">
        <v>2012</v>
      </c>
      <c r="L138" s="16"/>
      <c r="M138" s="16"/>
      <c r="N138" s="16"/>
      <c r="T138" s="16"/>
    </row>
    <row r="139" ht="22.5" customHeight="1">
      <c r="A139" s="9" t="s">
        <v>2013</v>
      </c>
      <c r="B139" s="9" t="s">
        <v>2014</v>
      </c>
      <c r="C139" s="7" t="s">
        <v>2015</v>
      </c>
      <c r="D139" s="9" t="s">
        <v>2016</v>
      </c>
      <c r="E139" s="7" t="s">
        <v>2017</v>
      </c>
      <c r="F139" s="16"/>
      <c r="G139" s="11">
        <v>138.0</v>
      </c>
      <c r="H139" s="9" t="s">
        <v>2018</v>
      </c>
      <c r="I139" s="11" t="s">
        <v>2019</v>
      </c>
      <c r="J139" s="9" t="s">
        <v>2020</v>
      </c>
      <c r="K139" s="9" t="s">
        <v>2021</v>
      </c>
      <c r="L139" s="16"/>
      <c r="M139" s="16"/>
      <c r="N139" s="16"/>
      <c r="T139" s="16"/>
    </row>
    <row r="140" ht="22.5" customHeight="1">
      <c r="A140" s="9" t="s">
        <v>2022</v>
      </c>
      <c r="B140" s="9" t="s">
        <v>2023</v>
      </c>
      <c r="C140" s="7" t="s">
        <v>2024</v>
      </c>
      <c r="D140" s="9" t="s">
        <v>2025</v>
      </c>
      <c r="E140" s="7" t="s">
        <v>2026</v>
      </c>
      <c r="F140" s="16"/>
      <c r="G140" s="11">
        <v>139.0</v>
      </c>
      <c r="H140" s="9" t="s">
        <v>2027</v>
      </c>
      <c r="I140" s="11" t="s">
        <v>2028</v>
      </c>
      <c r="J140" s="9" t="s">
        <v>2029</v>
      </c>
      <c r="K140" s="9" t="s">
        <v>2030</v>
      </c>
      <c r="L140" s="16"/>
      <c r="M140" s="16"/>
      <c r="N140" s="16"/>
      <c r="T140" s="16"/>
    </row>
    <row r="141" ht="22.5" customHeight="1">
      <c r="A141" s="9" t="s">
        <v>2031</v>
      </c>
      <c r="B141" s="9" t="s">
        <v>2032</v>
      </c>
      <c r="C141" s="7" t="s">
        <v>2033</v>
      </c>
      <c r="D141" s="9" t="s">
        <v>1754</v>
      </c>
      <c r="E141" s="7" t="s">
        <v>2034</v>
      </c>
      <c r="F141" s="16"/>
      <c r="G141" s="11">
        <v>140.0</v>
      </c>
      <c r="H141" s="9" t="s">
        <v>2035</v>
      </c>
      <c r="I141" s="11" t="s">
        <v>2035</v>
      </c>
      <c r="J141" s="9" t="s">
        <v>1758</v>
      </c>
      <c r="K141" s="9" t="s">
        <v>2036</v>
      </c>
      <c r="L141" s="16"/>
      <c r="M141" s="16"/>
      <c r="N141" s="16"/>
      <c r="T141" s="16"/>
    </row>
    <row r="142" ht="22.5" customHeight="1">
      <c r="A142" s="9" t="s">
        <v>2037</v>
      </c>
      <c r="B142" s="9" t="s">
        <v>2038</v>
      </c>
      <c r="C142" s="7" t="s">
        <v>2039</v>
      </c>
      <c r="D142" s="9" t="s">
        <v>1784</v>
      </c>
      <c r="E142" s="7" t="s">
        <v>2040</v>
      </c>
      <c r="F142" s="16"/>
      <c r="G142" s="11">
        <v>141.0</v>
      </c>
      <c r="H142" s="9" t="s">
        <v>2041</v>
      </c>
      <c r="I142" s="11" t="s">
        <v>2041</v>
      </c>
      <c r="J142" s="9" t="s">
        <v>1787</v>
      </c>
      <c r="K142" s="9" t="s">
        <v>2042</v>
      </c>
      <c r="L142" s="16"/>
      <c r="M142" s="16"/>
      <c r="N142" s="16"/>
      <c r="T142" s="16"/>
    </row>
    <row r="143" ht="22.5" customHeight="1">
      <c r="A143" s="9" t="s">
        <v>2043</v>
      </c>
      <c r="B143" s="9" t="s">
        <v>2044</v>
      </c>
      <c r="C143" s="7" t="s">
        <v>2045</v>
      </c>
      <c r="D143" s="9" t="s">
        <v>2046</v>
      </c>
      <c r="E143" s="7" t="s">
        <v>2047</v>
      </c>
      <c r="F143" s="16"/>
      <c r="G143" s="11">
        <v>142.0</v>
      </c>
      <c r="H143" s="9" t="s">
        <v>2048</v>
      </c>
      <c r="I143" s="11" t="s">
        <v>2049</v>
      </c>
      <c r="J143" s="9" t="s">
        <v>2050</v>
      </c>
      <c r="K143" s="9" t="s">
        <v>2051</v>
      </c>
      <c r="L143" s="16"/>
      <c r="M143" s="16"/>
      <c r="N143" s="16"/>
      <c r="T143" s="16"/>
    </row>
    <row r="144" ht="22.5" customHeight="1">
      <c r="A144" s="9" t="s">
        <v>2052</v>
      </c>
      <c r="B144" s="9" t="s">
        <v>2053</v>
      </c>
      <c r="C144" s="7" t="s">
        <v>2054</v>
      </c>
      <c r="D144" s="9" t="s">
        <v>2055</v>
      </c>
      <c r="E144" s="7" t="s">
        <v>2056</v>
      </c>
      <c r="F144" s="16"/>
      <c r="G144" s="11">
        <v>143.0</v>
      </c>
      <c r="H144" s="9" t="s">
        <v>2057</v>
      </c>
      <c r="I144" s="11" t="s">
        <v>2057</v>
      </c>
      <c r="J144" s="9" t="s">
        <v>2058</v>
      </c>
      <c r="K144" s="9" t="s">
        <v>2059</v>
      </c>
      <c r="L144" s="16"/>
      <c r="M144" s="16"/>
      <c r="N144" s="16"/>
      <c r="T144" s="16"/>
    </row>
    <row r="145" ht="22.5" customHeight="1">
      <c r="A145" s="9" t="s">
        <v>2060</v>
      </c>
      <c r="B145" s="9" t="s">
        <v>2061</v>
      </c>
      <c r="C145" s="7" t="s">
        <v>2062</v>
      </c>
      <c r="D145" s="9" t="s">
        <v>2063</v>
      </c>
      <c r="E145" s="7" t="s">
        <v>2064</v>
      </c>
      <c r="F145" s="16"/>
      <c r="G145" s="11">
        <v>144.0</v>
      </c>
      <c r="H145" s="9" t="s">
        <v>2065</v>
      </c>
      <c r="I145" s="11" t="s">
        <v>2065</v>
      </c>
      <c r="J145" s="9" t="s">
        <v>2066</v>
      </c>
      <c r="K145" s="9" t="s">
        <v>2067</v>
      </c>
      <c r="L145" s="16"/>
      <c r="M145" s="16"/>
      <c r="N145" s="16"/>
      <c r="T145" s="16"/>
    </row>
    <row r="146" ht="22.5" customHeight="1">
      <c r="A146" s="9" t="s">
        <v>2068</v>
      </c>
      <c r="B146" s="9" t="s">
        <v>2069</v>
      </c>
      <c r="C146" s="7" t="s">
        <v>2070</v>
      </c>
      <c r="D146" s="9" t="s">
        <v>1784</v>
      </c>
      <c r="E146" s="7" t="s">
        <v>2071</v>
      </c>
      <c r="F146" s="16"/>
      <c r="G146" s="11">
        <v>145.0</v>
      </c>
      <c r="H146" s="9" t="s">
        <v>2072</v>
      </c>
      <c r="I146" s="11" t="s">
        <v>2073</v>
      </c>
      <c r="J146" s="9" t="s">
        <v>1787</v>
      </c>
      <c r="K146" s="9" t="s">
        <v>2074</v>
      </c>
      <c r="L146" s="16"/>
      <c r="M146" s="16"/>
      <c r="N146" s="16"/>
      <c r="T146" s="16"/>
    </row>
    <row r="147" ht="22.5" customHeight="1">
      <c r="A147" s="9" t="s">
        <v>2075</v>
      </c>
      <c r="B147" s="9" t="s">
        <v>2076</v>
      </c>
      <c r="C147" s="7" t="s">
        <v>2077</v>
      </c>
      <c r="D147" s="9" t="s">
        <v>2078</v>
      </c>
      <c r="E147" s="7" t="s">
        <v>2079</v>
      </c>
      <c r="F147" s="16"/>
      <c r="G147" s="11">
        <v>146.0</v>
      </c>
      <c r="H147" s="9" t="s">
        <v>2080</v>
      </c>
      <c r="I147" s="11" t="s">
        <v>2081</v>
      </c>
      <c r="J147" s="9" t="s">
        <v>2082</v>
      </c>
      <c r="K147" s="9" t="s">
        <v>2083</v>
      </c>
      <c r="L147" s="16"/>
      <c r="M147" s="16"/>
      <c r="N147" s="16"/>
      <c r="T147" s="16"/>
    </row>
    <row r="148" ht="22.5" customHeight="1">
      <c r="A148" s="9" t="s">
        <v>2084</v>
      </c>
      <c r="B148" s="9" t="s">
        <v>2085</v>
      </c>
      <c r="C148" s="7" t="s">
        <v>2086</v>
      </c>
      <c r="D148" s="9" t="s">
        <v>2087</v>
      </c>
      <c r="E148" s="7" t="s">
        <v>2088</v>
      </c>
      <c r="F148" s="16"/>
      <c r="G148" s="11">
        <v>147.0</v>
      </c>
      <c r="H148" s="9" t="s">
        <v>2089</v>
      </c>
      <c r="I148" s="11" t="s">
        <v>2090</v>
      </c>
      <c r="J148" s="9" t="s">
        <v>2091</v>
      </c>
      <c r="K148" s="9" t="s">
        <v>2092</v>
      </c>
      <c r="L148" s="16"/>
      <c r="M148" s="16"/>
      <c r="N148" s="16"/>
      <c r="T148" s="16"/>
    </row>
    <row r="149" ht="22.5" customHeight="1">
      <c r="A149" s="9" t="s">
        <v>2093</v>
      </c>
      <c r="B149" s="9" t="s">
        <v>2094</v>
      </c>
      <c r="C149" s="7" t="s">
        <v>2095</v>
      </c>
      <c r="D149" s="9" t="s">
        <v>2096</v>
      </c>
      <c r="E149" s="7" t="s">
        <v>2097</v>
      </c>
      <c r="F149" s="16"/>
      <c r="G149" s="11">
        <v>148.0</v>
      </c>
      <c r="H149" s="9" t="s">
        <v>2098</v>
      </c>
      <c r="I149" s="11" t="s">
        <v>2098</v>
      </c>
      <c r="J149" s="9" t="s">
        <v>2099</v>
      </c>
      <c r="K149" s="9" t="s">
        <v>2100</v>
      </c>
      <c r="L149" s="16"/>
      <c r="M149" s="16"/>
      <c r="N149" s="16"/>
      <c r="T149" s="16"/>
    </row>
    <row r="150" ht="22.5" customHeight="1">
      <c r="A150" s="9" t="s">
        <v>2101</v>
      </c>
      <c r="B150" s="9" t="s">
        <v>2102</v>
      </c>
      <c r="C150" s="7" t="s">
        <v>2103</v>
      </c>
      <c r="D150" s="9" t="s">
        <v>2104</v>
      </c>
      <c r="E150" s="7" t="s">
        <v>2105</v>
      </c>
      <c r="F150" s="16"/>
      <c r="G150" s="11">
        <v>149.0</v>
      </c>
      <c r="H150" s="9" t="s">
        <v>2106</v>
      </c>
      <c r="I150" s="11" t="s">
        <v>2106</v>
      </c>
      <c r="J150" s="9" t="s">
        <v>2107</v>
      </c>
      <c r="K150" s="9" t="s">
        <v>2108</v>
      </c>
      <c r="L150" s="16"/>
      <c r="M150" s="16"/>
      <c r="N150" s="16"/>
      <c r="T150" s="16"/>
    </row>
    <row r="151" ht="22.5" customHeight="1">
      <c r="A151" s="9" t="s">
        <v>2109</v>
      </c>
      <c r="B151" s="9" t="s">
        <v>2110</v>
      </c>
      <c r="C151" s="7" t="s">
        <v>2111</v>
      </c>
      <c r="D151" s="9" t="s">
        <v>1784</v>
      </c>
      <c r="E151" s="7" t="s">
        <v>1973</v>
      </c>
      <c r="F151" s="16"/>
      <c r="G151" s="11">
        <v>150.0</v>
      </c>
      <c r="H151" s="9" t="s">
        <v>2112</v>
      </c>
      <c r="I151" s="11" t="s">
        <v>2113</v>
      </c>
      <c r="J151" s="9" t="s">
        <v>1974</v>
      </c>
      <c r="K151" s="9" t="s">
        <v>1975</v>
      </c>
      <c r="L151" s="16"/>
      <c r="M151" s="16"/>
      <c r="N151" s="16"/>
      <c r="T151" s="16"/>
    </row>
    <row r="152" ht="22.5" customHeight="1">
      <c r="A152" s="9" t="s">
        <v>2114</v>
      </c>
      <c r="B152" s="9" t="s">
        <v>2115</v>
      </c>
      <c r="C152" s="7" t="s">
        <v>2116</v>
      </c>
      <c r="D152" s="9" t="s">
        <v>2117</v>
      </c>
      <c r="E152" s="7" t="s">
        <v>2118</v>
      </c>
      <c r="F152" s="16"/>
      <c r="G152" s="11">
        <v>151.0</v>
      </c>
      <c r="H152" s="9" t="s">
        <v>2119</v>
      </c>
      <c r="I152" s="11" t="s">
        <v>2120</v>
      </c>
      <c r="J152" s="9" t="s">
        <v>2121</v>
      </c>
      <c r="K152" s="9" t="s">
        <v>2122</v>
      </c>
      <c r="L152" s="16"/>
      <c r="M152" s="16"/>
      <c r="N152" s="16"/>
      <c r="T152" s="16"/>
    </row>
    <row r="153" ht="22.5" customHeight="1">
      <c r="A153" s="9" t="s">
        <v>2123</v>
      </c>
      <c r="B153" s="9" t="s">
        <v>2124</v>
      </c>
      <c r="C153" s="7" t="s">
        <v>2125</v>
      </c>
      <c r="D153" s="9" t="s">
        <v>2126</v>
      </c>
      <c r="E153" s="7" t="s">
        <v>2127</v>
      </c>
      <c r="F153" s="16"/>
      <c r="G153" s="11">
        <v>152.0</v>
      </c>
      <c r="H153" s="9" t="s">
        <v>2128</v>
      </c>
      <c r="I153" s="11" t="s">
        <v>2128</v>
      </c>
      <c r="J153" s="9" t="s">
        <v>2129</v>
      </c>
      <c r="K153" s="9" t="s">
        <v>2130</v>
      </c>
      <c r="L153" s="16"/>
      <c r="M153" s="16"/>
      <c r="N153" s="16"/>
      <c r="T153" s="16"/>
    </row>
    <row r="154" ht="22.5" customHeight="1">
      <c r="A154" s="9" t="s">
        <v>2131</v>
      </c>
      <c r="B154" s="9" t="s">
        <v>2132</v>
      </c>
      <c r="C154" s="7" t="s">
        <v>2133</v>
      </c>
      <c r="D154" s="9" t="s">
        <v>2000</v>
      </c>
      <c r="E154" s="7" t="s">
        <v>2001</v>
      </c>
      <c r="F154" s="16"/>
      <c r="G154" s="11">
        <v>153.0</v>
      </c>
      <c r="H154" s="9" t="s">
        <v>2134</v>
      </c>
      <c r="I154" s="11" t="s">
        <v>2135</v>
      </c>
      <c r="J154" s="9" t="s">
        <v>2004</v>
      </c>
      <c r="K154" s="9" t="s">
        <v>2005</v>
      </c>
      <c r="L154" s="16"/>
      <c r="M154" s="16"/>
      <c r="N154" s="16"/>
      <c r="T154" s="16"/>
    </row>
    <row r="155" ht="22.5" customHeight="1">
      <c r="A155" s="9" t="s">
        <v>2136</v>
      </c>
      <c r="B155" s="9" t="s">
        <v>2137</v>
      </c>
      <c r="C155" s="7" t="s">
        <v>2138</v>
      </c>
      <c r="D155" s="9" t="s">
        <v>2139</v>
      </c>
      <c r="E155" s="7" t="s">
        <v>1985</v>
      </c>
      <c r="F155" s="16"/>
      <c r="G155" s="11">
        <v>154.0</v>
      </c>
      <c r="H155" s="9" t="s">
        <v>2140</v>
      </c>
      <c r="I155" s="11" t="s">
        <v>2141</v>
      </c>
      <c r="J155" s="9" t="s">
        <v>2142</v>
      </c>
      <c r="K155" s="9" t="s">
        <v>1987</v>
      </c>
      <c r="L155" s="16"/>
      <c r="M155" s="16"/>
      <c r="N155" s="16"/>
      <c r="T155" s="16"/>
    </row>
    <row r="156" ht="22.5" customHeight="1">
      <c r="A156" s="9" t="s">
        <v>2143</v>
      </c>
      <c r="B156" s="9" t="s">
        <v>2144</v>
      </c>
      <c r="C156" s="7" t="s">
        <v>2145</v>
      </c>
      <c r="D156" s="9" t="s">
        <v>2126</v>
      </c>
      <c r="E156" s="7" t="s">
        <v>2146</v>
      </c>
      <c r="F156" s="16"/>
      <c r="G156" s="11">
        <v>155.0</v>
      </c>
      <c r="H156" s="9" t="s">
        <v>2147</v>
      </c>
      <c r="I156" s="11" t="s">
        <v>2148</v>
      </c>
      <c r="J156" s="9" t="s">
        <v>2129</v>
      </c>
      <c r="K156" s="9" t="s">
        <v>2149</v>
      </c>
      <c r="L156" s="16"/>
      <c r="M156" s="16"/>
      <c r="N156" s="16"/>
      <c r="T156" s="16"/>
    </row>
    <row r="157" ht="22.5" customHeight="1">
      <c r="A157" s="9" t="s">
        <v>2150</v>
      </c>
      <c r="B157" s="9" t="s">
        <v>2151</v>
      </c>
      <c r="C157" s="7" t="s">
        <v>2152</v>
      </c>
      <c r="D157" s="9" t="s">
        <v>2153</v>
      </c>
      <c r="E157" s="7" t="s">
        <v>2154</v>
      </c>
      <c r="F157" s="16"/>
      <c r="G157" s="11">
        <v>156.0</v>
      </c>
      <c r="H157" s="9" t="s">
        <v>2155</v>
      </c>
      <c r="I157" s="11" t="s">
        <v>2156</v>
      </c>
      <c r="J157" s="9" t="s">
        <v>2157</v>
      </c>
      <c r="K157" s="9" t="s">
        <v>2158</v>
      </c>
      <c r="L157" s="16"/>
      <c r="M157" s="16"/>
      <c r="N157" s="16"/>
      <c r="T157" s="16"/>
    </row>
    <row r="158" ht="22.5" customHeight="1">
      <c r="A158" s="9" t="s">
        <v>2159</v>
      </c>
      <c r="B158" s="9" t="s">
        <v>2160</v>
      </c>
      <c r="C158" s="7" t="s">
        <v>2161</v>
      </c>
      <c r="D158" s="9" t="s">
        <v>1965</v>
      </c>
      <c r="E158" s="7" t="s">
        <v>1966</v>
      </c>
      <c r="F158" s="16"/>
      <c r="G158" s="11">
        <v>157.0</v>
      </c>
      <c r="H158" s="9" t="s">
        <v>2162</v>
      </c>
      <c r="I158" s="11" t="s">
        <v>2163</v>
      </c>
      <c r="J158" s="9" t="s">
        <v>1969</v>
      </c>
      <c r="K158" s="9" t="s">
        <v>1970</v>
      </c>
      <c r="L158" s="16"/>
      <c r="M158" s="16"/>
      <c r="N158" s="16"/>
      <c r="T158" s="16"/>
    </row>
    <row r="159" ht="22.5" customHeight="1">
      <c r="A159" s="9" t="s">
        <v>2164</v>
      </c>
      <c r="B159" s="9" t="s">
        <v>2165</v>
      </c>
      <c r="C159" s="7" t="s">
        <v>2166</v>
      </c>
      <c r="D159" s="9" t="s">
        <v>1005</v>
      </c>
      <c r="E159" s="7" t="s">
        <v>2167</v>
      </c>
      <c r="F159" s="16"/>
      <c r="G159" s="11">
        <v>158.0</v>
      </c>
      <c r="H159" s="9" t="s">
        <v>2168</v>
      </c>
      <c r="I159" s="11" t="s">
        <v>2169</v>
      </c>
      <c r="J159" s="11">
        <v>4.0</v>
      </c>
      <c r="K159" s="9" t="s">
        <v>2170</v>
      </c>
      <c r="L159" s="16"/>
      <c r="M159" s="16"/>
      <c r="N159" s="16"/>
      <c r="T159" s="16"/>
    </row>
    <row r="160" ht="22.5" customHeight="1">
      <c r="A160" s="9" t="s">
        <v>2171</v>
      </c>
      <c r="B160" s="9" t="s">
        <v>2172</v>
      </c>
      <c r="C160" s="7" t="s">
        <v>2173</v>
      </c>
      <c r="D160" s="9" t="s">
        <v>1508</v>
      </c>
      <c r="E160" s="7" t="s">
        <v>2174</v>
      </c>
      <c r="F160" s="16"/>
      <c r="G160" s="11">
        <v>159.0</v>
      </c>
      <c r="H160" s="9" t="s">
        <v>2175</v>
      </c>
      <c r="I160" s="11" t="s">
        <v>2176</v>
      </c>
      <c r="J160" s="9" t="s">
        <v>1512</v>
      </c>
      <c r="K160" s="9" t="s">
        <v>2177</v>
      </c>
      <c r="L160" s="16"/>
      <c r="M160" s="16"/>
      <c r="N160" s="16"/>
      <c r="T160" s="16"/>
    </row>
    <row r="161" ht="22.5" customHeight="1">
      <c r="A161" s="9" t="s">
        <v>2178</v>
      </c>
      <c r="B161" s="9" t="s">
        <v>2179</v>
      </c>
      <c r="C161" s="7" t="s">
        <v>2180</v>
      </c>
      <c r="D161" s="9" t="s">
        <v>2181</v>
      </c>
      <c r="E161" s="7" t="s">
        <v>2182</v>
      </c>
      <c r="F161" s="16"/>
      <c r="G161" s="11">
        <v>160.0</v>
      </c>
      <c r="H161" s="9" t="s">
        <v>2183</v>
      </c>
      <c r="I161" s="11" t="s">
        <v>2184</v>
      </c>
      <c r="J161" s="9" t="s">
        <v>2185</v>
      </c>
      <c r="K161" s="9" t="s">
        <v>2186</v>
      </c>
      <c r="L161" s="16"/>
      <c r="M161" s="16"/>
      <c r="N161" s="16"/>
      <c r="T161" s="16"/>
    </row>
    <row r="162" ht="22.5" customHeight="1">
      <c r="A162" s="9" t="s">
        <v>2187</v>
      </c>
      <c r="B162" s="9" t="s">
        <v>2188</v>
      </c>
      <c r="C162" s="7" t="s">
        <v>2189</v>
      </c>
      <c r="D162" s="9" t="s">
        <v>2190</v>
      </c>
      <c r="E162" s="7" t="s">
        <v>2191</v>
      </c>
      <c r="F162" s="16"/>
      <c r="G162" s="11">
        <v>161.0</v>
      </c>
      <c r="H162" s="9" t="s">
        <v>2192</v>
      </c>
      <c r="I162" s="11" t="s">
        <v>2193</v>
      </c>
      <c r="J162" s="9" t="s">
        <v>2194</v>
      </c>
      <c r="K162" s="9" t="s">
        <v>2195</v>
      </c>
      <c r="L162" s="16"/>
      <c r="M162" s="16"/>
      <c r="N162" s="16"/>
      <c r="T162" s="16"/>
    </row>
    <row r="163" ht="22.5" customHeight="1">
      <c r="A163" s="9" t="s">
        <v>2196</v>
      </c>
      <c r="B163" s="9" t="s">
        <v>2197</v>
      </c>
      <c r="C163" s="7" t="s">
        <v>2198</v>
      </c>
      <c r="D163" s="9" t="s">
        <v>2199</v>
      </c>
      <c r="E163" s="7" t="s">
        <v>2200</v>
      </c>
      <c r="F163" s="16"/>
      <c r="G163" s="11">
        <v>162.0</v>
      </c>
      <c r="H163" s="9" t="s">
        <v>2201</v>
      </c>
      <c r="I163" s="11" t="s">
        <v>2202</v>
      </c>
      <c r="J163" s="9" t="s">
        <v>2203</v>
      </c>
      <c r="K163" s="9" t="s">
        <v>2204</v>
      </c>
      <c r="L163" s="16"/>
      <c r="M163" s="16"/>
      <c r="N163" s="16"/>
      <c r="T163" s="16"/>
    </row>
    <row r="164" ht="22.5" customHeight="1">
      <c r="A164" s="9" t="s">
        <v>2205</v>
      </c>
      <c r="B164" s="9" t="s">
        <v>2206</v>
      </c>
      <c r="C164" s="7" t="s">
        <v>2207</v>
      </c>
      <c r="D164" s="9" t="s">
        <v>2208</v>
      </c>
      <c r="E164" s="7" t="s">
        <v>2209</v>
      </c>
      <c r="F164" s="16"/>
      <c r="G164" s="11">
        <v>163.0</v>
      </c>
      <c r="H164" s="9" t="s">
        <v>2210</v>
      </c>
      <c r="I164" s="11" t="s">
        <v>2211</v>
      </c>
      <c r="J164" s="9" t="s">
        <v>2212</v>
      </c>
      <c r="K164" s="9" t="s">
        <v>2213</v>
      </c>
      <c r="L164" s="16"/>
      <c r="M164" s="16"/>
      <c r="N164" s="16"/>
      <c r="T164" s="16"/>
    </row>
    <row r="165" ht="22.5" customHeight="1">
      <c r="A165" s="9" t="s">
        <v>2214</v>
      </c>
      <c r="B165" s="9" t="s">
        <v>2215</v>
      </c>
      <c r="C165" s="7" t="s">
        <v>2216</v>
      </c>
      <c r="D165" s="9" t="s">
        <v>2217</v>
      </c>
      <c r="E165" s="7" t="s">
        <v>2218</v>
      </c>
      <c r="F165" s="16"/>
      <c r="G165" s="11">
        <v>164.0</v>
      </c>
      <c r="H165" s="9" t="s">
        <v>2219</v>
      </c>
      <c r="I165" s="11" t="s">
        <v>2220</v>
      </c>
      <c r="J165" s="9" t="s">
        <v>2221</v>
      </c>
      <c r="K165" s="9" t="s">
        <v>2222</v>
      </c>
      <c r="L165" s="16"/>
      <c r="M165" s="16"/>
      <c r="N165" s="16"/>
      <c r="T165" s="16"/>
    </row>
    <row r="166" ht="22.5" customHeight="1">
      <c r="A166" s="9" t="s">
        <v>2223</v>
      </c>
      <c r="B166" s="9" t="s">
        <v>2224</v>
      </c>
      <c r="C166" s="7" t="s">
        <v>2225</v>
      </c>
      <c r="D166" s="9" t="s">
        <v>2226</v>
      </c>
      <c r="E166" s="7" t="s">
        <v>2227</v>
      </c>
      <c r="F166" s="16"/>
      <c r="G166" s="11">
        <v>165.0</v>
      </c>
      <c r="H166" s="9" t="s">
        <v>2228</v>
      </c>
      <c r="I166" s="11" t="s">
        <v>2228</v>
      </c>
      <c r="J166" s="9" t="s">
        <v>2229</v>
      </c>
      <c r="K166" s="9" t="s">
        <v>2230</v>
      </c>
      <c r="L166" s="16"/>
      <c r="M166" s="16"/>
      <c r="N166" s="16"/>
      <c r="T166" s="16"/>
    </row>
    <row r="167" ht="22.5" customHeight="1">
      <c r="A167" s="17" t="e">
        <v>#VALUE!</v>
      </c>
      <c r="B167" s="17" t="e">
        <v>#VALUE!</v>
      </c>
      <c r="C167" s="7"/>
      <c r="D167" s="17" t="e">
        <v>#VALUE!</v>
      </c>
      <c r="E167" s="7" t="e">
        <v>#VALUE!</v>
      </c>
      <c r="F167" s="16"/>
      <c r="L167" s="16"/>
      <c r="M167" s="16"/>
      <c r="N167" s="16"/>
      <c r="T167" s="16"/>
    </row>
    <row r="168" ht="22.5" customHeight="1">
      <c r="A168" s="17" t="e">
        <v>#VALUE!</v>
      </c>
      <c r="B168" s="17" t="e">
        <v>#VALUE!</v>
      </c>
      <c r="C168" s="7"/>
      <c r="D168" s="17" t="e">
        <v>#VALUE!</v>
      </c>
      <c r="E168" s="7" t="e">
        <v>#VALUE!</v>
      </c>
      <c r="F168" s="16"/>
      <c r="L168" s="16"/>
      <c r="M168" s="16"/>
      <c r="N168" s="16"/>
      <c r="T168" s="16"/>
    </row>
    <row r="169" ht="22.5" customHeight="1">
      <c r="A169" s="17" t="e">
        <v>#VALUE!</v>
      </c>
      <c r="B169" s="17" t="e">
        <v>#VALUE!</v>
      </c>
      <c r="C169" s="7"/>
      <c r="D169" s="17" t="e">
        <v>#VALUE!</v>
      </c>
      <c r="E169" s="7" t="e">
        <v>#VALUE!</v>
      </c>
      <c r="F169" s="16"/>
      <c r="L169" s="16"/>
      <c r="M169" s="16"/>
      <c r="N169" s="16"/>
      <c r="T169" s="16"/>
    </row>
    <row r="170" ht="22.5" customHeight="1">
      <c r="A170" s="17" t="e">
        <v>#VALUE!</v>
      </c>
      <c r="B170" s="17" t="e">
        <v>#VALUE!</v>
      </c>
      <c r="C170" s="7"/>
      <c r="D170" s="17" t="e">
        <v>#VALUE!</v>
      </c>
      <c r="E170" s="7" t="e">
        <v>#VALUE!</v>
      </c>
      <c r="F170" s="16"/>
      <c r="L170" s="16"/>
      <c r="M170" s="16"/>
      <c r="N170" s="16"/>
      <c r="T170" s="16"/>
    </row>
    <row r="171" ht="22.5" customHeight="1">
      <c r="A171" s="17" t="e">
        <v>#VALUE!</v>
      </c>
      <c r="B171" s="17" t="e">
        <v>#VALUE!</v>
      </c>
      <c r="C171" s="7"/>
      <c r="D171" s="17" t="e">
        <v>#VALUE!</v>
      </c>
      <c r="E171" s="7" t="e">
        <v>#VALUE!</v>
      </c>
      <c r="F171" s="16"/>
      <c r="L171" s="16"/>
      <c r="M171" s="16"/>
      <c r="N171" s="16"/>
      <c r="T171" s="16"/>
    </row>
    <row r="172" ht="22.5" customHeight="1">
      <c r="A172" s="17" t="e">
        <v>#VALUE!</v>
      </c>
      <c r="B172" s="17" t="e">
        <v>#VALUE!</v>
      </c>
      <c r="C172" s="7"/>
      <c r="D172" s="17" t="e">
        <v>#VALUE!</v>
      </c>
      <c r="E172" s="7" t="e">
        <v>#VALUE!</v>
      </c>
      <c r="F172" s="16"/>
      <c r="L172" s="16"/>
      <c r="M172" s="16"/>
      <c r="N172" s="16"/>
      <c r="T172" s="16"/>
    </row>
    <row r="173" ht="22.5" customHeight="1">
      <c r="A173" s="17" t="e">
        <v>#VALUE!</v>
      </c>
      <c r="B173" s="17" t="e">
        <v>#VALUE!</v>
      </c>
      <c r="C173" s="7"/>
      <c r="D173" s="17" t="e">
        <v>#VALUE!</v>
      </c>
      <c r="E173" s="7" t="e">
        <v>#VALUE!</v>
      </c>
      <c r="F173" s="16"/>
      <c r="L173" s="16"/>
      <c r="M173" s="16"/>
      <c r="N173" s="16"/>
      <c r="T173" s="16"/>
    </row>
    <row r="174" ht="22.5" customHeight="1">
      <c r="A174" s="17" t="e">
        <v>#VALUE!</v>
      </c>
      <c r="B174" s="17" t="e">
        <v>#VALUE!</v>
      </c>
      <c r="C174" s="7"/>
      <c r="D174" s="17" t="e">
        <v>#VALUE!</v>
      </c>
      <c r="E174" s="7" t="e">
        <v>#VALUE!</v>
      </c>
      <c r="F174" s="16"/>
      <c r="L174" s="16"/>
      <c r="M174" s="16"/>
      <c r="N174" s="16"/>
      <c r="T174" s="16"/>
    </row>
    <row r="175" ht="22.5" customHeight="1">
      <c r="A175" s="17" t="e">
        <v>#VALUE!</v>
      </c>
      <c r="B175" s="17" t="e">
        <v>#VALUE!</v>
      </c>
      <c r="C175" s="7"/>
      <c r="D175" s="17" t="e">
        <v>#VALUE!</v>
      </c>
      <c r="E175" s="7" t="e">
        <v>#VALUE!</v>
      </c>
      <c r="F175" s="16"/>
      <c r="L175" s="16"/>
      <c r="M175" s="16"/>
      <c r="N175" s="16"/>
      <c r="T175" s="16"/>
    </row>
    <row r="176" ht="22.5" customHeight="1">
      <c r="A176" s="17" t="e">
        <v>#VALUE!</v>
      </c>
      <c r="B176" s="17" t="e">
        <v>#VALUE!</v>
      </c>
      <c r="C176" s="7"/>
      <c r="D176" s="17" t="e">
        <v>#VALUE!</v>
      </c>
      <c r="E176" s="7" t="e">
        <v>#VALUE!</v>
      </c>
      <c r="F176" s="16"/>
      <c r="L176" s="16"/>
      <c r="M176" s="16"/>
      <c r="N176" s="16"/>
      <c r="T176" s="16"/>
    </row>
    <row r="177" ht="22.5" customHeight="1">
      <c r="A177" s="17" t="e">
        <v>#VALUE!</v>
      </c>
      <c r="B177" s="17" t="e">
        <v>#VALUE!</v>
      </c>
      <c r="C177" s="7"/>
      <c r="D177" s="17" t="e">
        <v>#VALUE!</v>
      </c>
      <c r="E177" s="7" t="e">
        <v>#VALUE!</v>
      </c>
      <c r="F177" s="16"/>
      <c r="L177" s="16"/>
      <c r="M177" s="16"/>
      <c r="N177" s="16"/>
      <c r="T177" s="16"/>
    </row>
    <row r="178" ht="22.5" customHeight="1">
      <c r="A178" s="17" t="e">
        <v>#VALUE!</v>
      </c>
      <c r="B178" s="17" t="e">
        <v>#VALUE!</v>
      </c>
      <c r="C178" s="7"/>
      <c r="D178" s="17" t="e">
        <v>#VALUE!</v>
      </c>
      <c r="E178" s="7" t="e">
        <v>#VALUE!</v>
      </c>
      <c r="F178" s="16"/>
      <c r="L178" s="16"/>
      <c r="M178" s="16"/>
      <c r="N178" s="16"/>
      <c r="T178" s="16"/>
    </row>
    <row r="179" ht="22.5" customHeight="1">
      <c r="A179" s="17" t="e">
        <v>#VALUE!</v>
      </c>
      <c r="B179" s="17" t="e">
        <v>#VALUE!</v>
      </c>
      <c r="C179" s="7"/>
      <c r="D179" s="17" t="e">
        <v>#VALUE!</v>
      </c>
      <c r="E179" s="7" t="e">
        <v>#VALUE!</v>
      </c>
      <c r="F179" s="16"/>
      <c r="L179" s="16"/>
      <c r="M179" s="16"/>
      <c r="N179" s="16"/>
      <c r="T179" s="16"/>
    </row>
    <row r="180" ht="22.5" customHeight="1">
      <c r="A180" s="17" t="e">
        <v>#VALUE!</v>
      </c>
      <c r="B180" s="17" t="e">
        <v>#VALUE!</v>
      </c>
      <c r="C180" s="7"/>
      <c r="D180" s="17" t="e">
        <v>#VALUE!</v>
      </c>
      <c r="E180" s="7" t="e">
        <v>#VALUE!</v>
      </c>
      <c r="F180" s="16"/>
      <c r="L180" s="16"/>
      <c r="M180" s="16"/>
      <c r="N180" s="16"/>
      <c r="T180" s="16"/>
    </row>
    <row r="181" ht="22.5" customHeight="1">
      <c r="A181" s="17" t="e">
        <v>#VALUE!</v>
      </c>
      <c r="B181" s="17" t="e">
        <v>#VALUE!</v>
      </c>
      <c r="C181" s="7"/>
      <c r="D181" s="17" t="e">
        <v>#VALUE!</v>
      </c>
      <c r="E181" s="7" t="e">
        <v>#VALUE!</v>
      </c>
      <c r="F181" s="16"/>
      <c r="L181" s="16"/>
      <c r="M181" s="16"/>
      <c r="N181" s="16"/>
      <c r="T181" s="16"/>
    </row>
    <row r="182" ht="22.5" customHeight="1">
      <c r="A182" s="17" t="e">
        <v>#VALUE!</v>
      </c>
      <c r="B182" s="17" t="e">
        <v>#VALUE!</v>
      </c>
      <c r="C182" s="7"/>
      <c r="D182" s="17" t="e">
        <v>#VALUE!</v>
      </c>
      <c r="E182" s="7" t="e">
        <v>#VALUE!</v>
      </c>
      <c r="F182" s="16"/>
      <c r="L182" s="16"/>
      <c r="M182" s="16"/>
      <c r="N182" s="16"/>
      <c r="T182" s="16"/>
    </row>
    <row r="183" ht="22.5" customHeight="1">
      <c r="A183" s="17" t="e">
        <v>#VALUE!</v>
      </c>
      <c r="B183" s="17" t="e">
        <v>#VALUE!</v>
      </c>
      <c r="C183" s="7"/>
      <c r="D183" s="17" t="e">
        <v>#VALUE!</v>
      </c>
      <c r="E183" s="7" t="e">
        <v>#VALUE!</v>
      </c>
      <c r="F183" s="16"/>
      <c r="L183" s="16"/>
      <c r="M183" s="16"/>
      <c r="N183" s="16"/>
      <c r="T183" s="16"/>
    </row>
    <row r="184" ht="22.5" customHeight="1">
      <c r="A184" s="17" t="e">
        <v>#VALUE!</v>
      </c>
      <c r="B184" s="17" t="e">
        <v>#VALUE!</v>
      </c>
      <c r="C184" s="7"/>
      <c r="D184" s="17" t="e">
        <v>#VALUE!</v>
      </c>
      <c r="E184" s="7" t="e">
        <v>#VALUE!</v>
      </c>
      <c r="F184" s="16"/>
      <c r="L184" s="16"/>
      <c r="M184" s="16"/>
      <c r="N184" s="16"/>
      <c r="T184" s="16"/>
    </row>
    <row r="185" ht="22.5" customHeight="1">
      <c r="A185" s="17" t="e">
        <v>#VALUE!</v>
      </c>
      <c r="B185" s="17" t="e">
        <v>#VALUE!</v>
      </c>
      <c r="C185" s="7"/>
      <c r="D185" s="17" t="e">
        <v>#VALUE!</v>
      </c>
      <c r="E185" s="7" t="e">
        <v>#VALUE!</v>
      </c>
      <c r="F185" s="16"/>
      <c r="L185" s="16"/>
      <c r="M185" s="16"/>
      <c r="N185" s="16"/>
      <c r="T185" s="16"/>
    </row>
    <row r="186" ht="22.5" customHeight="1">
      <c r="A186" s="17" t="e">
        <v>#VALUE!</v>
      </c>
      <c r="B186" s="17" t="e">
        <v>#VALUE!</v>
      </c>
      <c r="C186" s="7"/>
      <c r="D186" s="17" t="e">
        <v>#VALUE!</v>
      </c>
      <c r="E186" s="7" t="e">
        <v>#VALUE!</v>
      </c>
      <c r="F186" s="16"/>
      <c r="L186" s="16"/>
      <c r="M186" s="16"/>
      <c r="N186" s="16"/>
      <c r="T186" s="16"/>
    </row>
    <row r="187" ht="22.5" customHeight="1">
      <c r="A187" s="17" t="e">
        <v>#VALUE!</v>
      </c>
      <c r="B187" s="17" t="e">
        <v>#VALUE!</v>
      </c>
      <c r="C187" s="7"/>
      <c r="D187" s="17" t="e">
        <v>#VALUE!</v>
      </c>
      <c r="E187" s="7" t="e">
        <v>#VALUE!</v>
      </c>
      <c r="F187" s="16"/>
      <c r="L187" s="16"/>
      <c r="M187" s="16"/>
      <c r="N187" s="16"/>
      <c r="T187" s="16"/>
    </row>
    <row r="188" ht="22.5" customHeight="1">
      <c r="A188" s="17" t="e">
        <v>#VALUE!</v>
      </c>
      <c r="B188" s="17" t="e">
        <v>#VALUE!</v>
      </c>
      <c r="C188" s="7"/>
      <c r="D188" s="17" t="e">
        <v>#VALUE!</v>
      </c>
      <c r="E188" s="7" t="e">
        <v>#VALUE!</v>
      </c>
      <c r="F188" s="16"/>
      <c r="L188" s="16"/>
      <c r="M188" s="16"/>
      <c r="N188" s="16"/>
      <c r="T188" s="16"/>
    </row>
    <row r="189" ht="22.5" customHeight="1">
      <c r="A189" s="17" t="e">
        <v>#VALUE!</v>
      </c>
      <c r="B189" s="17" t="e">
        <v>#VALUE!</v>
      </c>
      <c r="C189" s="7"/>
      <c r="D189" s="17" t="e">
        <v>#VALUE!</v>
      </c>
      <c r="E189" s="7" t="e">
        <v>#VALUE!</v>
      </c>
      <c r="F189" s="16"/>
      <c r="L189" s="16"/>
      <c r="M189" s="16"/>
      <c r="N189" s="16"/>
      <c r="T189" s="16"/>
    </row>
    <row r="190" ht="22.5" customHeight="1">
      <c r="A190" s="17" t="e">
        <v>#VALUE!</v>
      </c>
      <c r="B190" s="17" t="e">
        <v>#VALUE!</v>
      </c>
      <c r="C190" s="7"/>
      <c r="D190" s="17" t="e">
        <v>#VALUE!</v>
      </c>
      <c r="E190" s="7" t="e">
        <v>#VALUE!</v>
      </c>
      <c r="F190" s="16"/>
      <c r="L190" s="16"/>
      <c r="M190" s="16"/>
      <c r="N190" s="16"/>
      <c r="T190" s="16"/>
    </row>
    <row r="191" ht="22.5" customHeight="1">
      <c r="A191" s="17" t="e">
        <v>#VALUE!</v>
      </c>
      <c r="B191" s="17" t="e">
        <v>#VALUE!</v>
      </c>
      <c r="C191" s="7"/>
      <c r="D191" s="17" t="e">
        <v>#VALUE!</v>
      </c>
      <c r="E191" s="7" t="e">
        <v>#VALUE!</v>
      </c>
      <c r="F191" s="16"/>
      <c r="L191" s="16"/>
      <c r="M191" s="16"/>
      <c r="N191" s="16"/>
      <c r="T191" s="16"/>
    </row>
    <row r="192" ht="22.5" customHeight="1">
      <c r="A192" s="17" t="e">
        <v>#VALUE!</v>
      </c>
      <c r="B192" s="17" t="e">
        <v>#VALUE!</v>
      </c>
      <c r="C192" s="7"/>
      <c r="D192" s="17" t="e">
        <v>#VALUE!</v>
      </c>
      <c r="E192" s="7" t="e">
        <v>#VALUE!</v>
      </c>
      <c r="F192" s="16"/>
      <c r="L192" s="16"/>
      <c r="M192" s="16"/>
      <c r="N192" s="16"/>
      <c r="T192" s="16"/>
    </row>
    <row r="193" ht="22.5" customHeight="1">
      <c r="A193" s="17" t="e">
        <v>#VALUE!</v>
      </c>
      <c r="B193" s="17" t="e">
        <v>#VALUE!</v>
      </c>
      <c r="C193" s="7"/>
      <c r="D193" s="17" t="e">
        <v>#VALUE!</v>
      </c>
      <c r="E193" s="7" t="e">
        <v>#VALUE!</v>
      </c>
      <c r="F193" s="16"/>
      <c r="L193" s="16"/>
      <c r="M193" s="16"/>
      <c r="N193" s="16"/>
      <c r="T193" s="16"/>
    </row>
    <row r="194" ht="22.5" customHeight="1">
      <c r="A194" s="17" t="e">
        <v>#VALUE!</v>
      </c>
      <c r="B194" s="17" t="e">
        <v>#VALUE!</v>
      </c>
      <c r="C194" s="7"/>
      <c r="D194" s="17" t="e">
        <v>#VALUE!</v>
      </c>
      <c r="E194" s="7" t="e">
        <v>#VALUE!</v>
      </c>
      <c r="F194" s="16"/>
      <c r="L194" s="16"/>
      <c r="M194" s="16"/>
      <c r="N194" s="16"/>
      <c r="T194" s="16"/>
    </row>
    <row r="195" ht="22.5" customHeight="1">
      <c r="A195" s="17" t="e">
        <v>#VALUE!</v>
      </c>
      <c r="B195" s="17" t="e">
        <v>#VALUE!</v>
      </c>
      <c r="C195" s="7"/>
      <c r="D195" s="17" t="e">
        <v>#VALUE!</v>
      </c>
      <c r="E195" s="7" t="e">
        <v>#VALUE!</v>
      </c>
      <c r="F195" s="16"/>
      <c r="L195" s="16"/>
      <c r="M195" s="16"/>
      <c r="N195" s="16"/>
      <c r="T195" s="16"/>
    </row>
    <row r="196" ht="22.5" customHeight="1">
      <c r="A196" s="17" t="e">
        <v>#VALUE!</v>
      </c>
      <c r="B196" s="17" t="e">
        <v>#VALUE!</v>
      </c>
      <c r="C196" s="7"/>
      <c r="D196" s="17" t="e">
        <v>#VALUE!</v>
      </c>
      <c r="E196" s="7" t="e">
        <v>#VALUE!</v>
      </c>
      <c r="F196" s="16"/>
      <c r="L196" s="16"/>
      <c r="M196" s="16"/>
      <c r="N196" s="16"/>
      <c r="T196" s="16"/>
    </row>
    <row r="197" ht="22.5" customHeight="1">
      <c r="A197" s="17" t="e">
        <v>#VALUE!</v>
      </c>
      <c r="B197" s="17" t="e">
        <v>#VALUE!</v>
      </c>
      <c r="C197" s="7"/>
      <c r="D197" s="17" t="e">
        <v>#VALUE!</v>
      </c>
      <c r="E197" s="7" t="e">
        <v>#VALUE!</v>
      </c>
      <c r="F197" s="16"/>
      <c r="L197" s="16"/>
      <c r="M197" s="16"/>
      <c r="N197" s="16"/>
      <c r="T197" s="16"/>
    </row>
    <row r="198" ht="22.5" customHeight="1">
      <c r="A198" s="17" t="e">
        <v>#VALUE!</v>
      </c>
      <c r="B198" s="17" t="e">
        <v>#VALUE!</v>
      </c>
      <c r="C198" s="7"/>
      <c r="D198" s="17" t="e">
        <v>#VALUE!</v>
      </c>
      <c r="E198" s="7" t="e">
        <v>#VALUE!</v>
      </c>
      <c r="F198" s="16"/>
      <c r="L198" s="16"/>
      <c r="M198" s="16"/>
      <c r="N198" s="16"/>
      <c r="T198" s="16"/>
    </row>
    <row r="199" ht="22.5" customHeight="1">
      <c r="A199" s="17" t="e">
        <v>#VALUE!</v>
      </c>
      <c r="B199" s="17" t="e">
        <v>#VALUE!</v>
      </c>
      <c r="C199" s="7"/>
      <c r="D199" s="17" t="e">
        <v>#VALUE!</v>
      </c>
      <c r="E199" s="7" t="e">
        <v>#VALUE!</v>
      </c>
      <c r="F199" s="16"/>
      <c r="L199" s="16"/>
      <c r="M199" s="16"/>
      <c r="N199" s="16"/>
      <c r="T199" s="16"/>
    </row>
    <row r="200" ht="22.5" customHeight="1">
      <c r="A200" s="17" t="e">
        <v>#VALUE!</v>
      </c>
      <c r="B200" s="17" t="e">
        <v>#VALUE!</v>
      </c>
      <c r="C200" s="7"/>
      <c r="D200" s="17" t="e">
        <v>#VALUE!</v>
      </c>
      <c r="E200" s="7" t="e">
        <v>#VALUE!</v>
      </c>
      <c r="F200" s="16"/>
      <c r="L200" s="16"/>
      <c r="M200" s="16"/>
      <c r="N200" s="16"/>
      <c r="T200" s="16"/>
    </row>
    <row r="201" ht="22.5" customHeight="1">
      <c r="A201" s="17" t="e">
        <v>#VALUE!</v>
      </c>
      <c r="B201" s="17" t="e">
        <v>#VALUE!</v>
      </c>
      <c r="C201" s="7"/>
      <c r="D201" s="17" t="e">
        <v>#VALUE!</v>
      </c>
      <c r="E201" s="7" t="e">
        <v>#VALUE!</v>
      </c>
      <c r="F201" s="16"/>
      <c r="L201" s="16"/>
      <c r="M201" s="16"/>
      <c r="N201" s="16"/>
      <c r="T201" s="16"/>
    </row>
    <row r="202" ht="22.5" customHeight="1">
      <c r="A202" s="17" t="e">
        <v>#VALUE!</v>
      </c>
      <c r="B202" s="17" t="e">
        <v>#VALUE!</v>
      </c>
      <c r="C202" s="7"/>
      <c r="D202" s="17" t="e">
        <v>#VALUE!</v>
      </c>
      <c r="E202" s="7" t="e">
        <v>#VALUE!</v>
      </c>
      <c r="F202" s="16"/>
      <c r="L202" s="16"/>
      <c r="M202" s="16"/>
      <c r="N202" s="16"/>
      <c r="T202" s="16"/>
    </row>
    <row r="203" ht="22.5" customHeight="1">
      <c r="A203" s="17" t="e">
        <v>#VALUE!</v>
      </c>
      <c r="B203" s="17" t="e">
        <v>#VALUE!</v>
      </c>
      <c r="C203" s="7"/>
      <c r="D203" s="17" t="e">
        <v>#VALUE!</v>
      </c>
      <c r="E203" s="7" t="e">
        <v>#VALUE!</v>
      </c>
      <c r="F203" s="16"/>
      <c r="L203" s="16"/>
      <c r="M203" s="16"/>
      <c r="N203" s="16"/>
      <c r="T203" s="16"/>
    </row>
    <row r="204" ht="22.5" customHeight="1">
      <c r="A204" s="17" t="e">
        <v>#VALUE!</v>
      </c>
      <c r="B204" s="17" t="e">
        <v>#VALUE!</v>
      </c>
      <c r="C204" s="7"/>
      <c r="D204" s="17" t="e">
        <v>#VALUE!</v>
      </c>
      <c r="E204" s="7" t="e">
        <v>#VALUE!</v>
      </c>
      <c r="F204" s="16"/>
      <c r="L204" s="16"/>
      <c r="M204" s="16"/>
      <c r="N204" s="16"/>
      <c r="T204" s="16"/>
    </row>
    <row r="205" ht="22.5" customHeight="1">
      <c r="A205" s="17" t="e">
        <v>#VALUE!</v>
      </c>
      <c r="B205" s="17" t="e">
        <v>#VALUE!</v>
      </c>
      <c r="C205" s="7"/>
      <c r="D205" s="17" t="e">
        <v>#VALUE!</v>
      </c>
      <c r="E205" s="7" t="e">
        <v>#VALUE!</v>
      </c>
      <c r="F205" s="16"/>
      <c r="L205" s="16"/>
      <c r="M205" s="16"/>
      <c r="N205" s="16"/>
      <c r="T205" s="16"/>
    </row>
    <row r="206" ht="22.5" customHeight="1">
      <c r="A206" s="17" t="e">
        <v>#VALUE!</v>
      </c>
      <c r="B206" s="17" t="e">
        <v>#VALUE!</v>
      </c>
      <c r="C206" s="7"/>
      <c r="D206" s="17" t="e">
        <v>#VALUE!</v>
      </c>
      <c r="E206" s="7" t="e">
        <v>#VALUE!</v>
      </c>
      <c r="F206" s="16"/>
      <c r="L206" s="16"/>
      <c r="M206" s="16"/>
      <c r="N206" s="16"/>
      <c r="T206" s="16"/>
    </row>
    <row r="207" ht="22.5" customHeight="1">
      <c r="A207" s="17" t="e">
        <v>#VALUE!</v>
      </c>
      <c r="B207" s="17" t="e">
        <v>#VALUE!</v>
      </c>
      <c r="C207" s="7"/>
      <c r="D207" s="17" t="e">
        <v>#VALUE!</v>
      </c>
      <c r="E207" s="7" t="e">
        <v>#VALUE!</v>
      </c>
      <c r="F207" s="16"/>
      <c r="L207" s="16"/>
      <c r="M207" s="16"/>
      <c r="N207" s="16"/>
      <c r="T207" s="16"/>
    </row>
    <row r="208" ht="22.5" customHeight="1">
      <c r="A208" s="17" t="e">
        <v>#VALUE!</v>
      </c>
      <c r="B208" s="17" t="e">
        <v>#VALUE!</v>
      </c>
      <c r="C208" s="7"/>
      <c r="D208" s="17" t="e">
        <v>#VALUE!</v>
      </c>
      <c r="E208" s="7" t="e">
        <v>#VALUE!</v>
      </c>
      <c r="F208" s="16"/>
      <c r="L208" s="16"/>
      <c r="M208" s="16"/>
      <c r="N208" s="16"/>
      <c r="T208" s="16"/>
    </row>
    <row r="209" ht="22.5" customHeight="1">
      <c r="A209" s="17" t="e">
        <v>#VALUE!</v>
      </c>
      <c r="B209" s="17" t="e">
        <v>#VALUE!</v>
      </c>
      <c r="C209" s="7"/>
      <c r="D209" s="17" t="e">
        <v>#VALUE!</v>
      </c>
      <c r="E209" s="7" t="e">
        <v>#VALUE!</v>
      </c>
      <c r="F209" s="16"/>
      <c r="L209" s="16"/>
      <c r="M209" s="16"/>
      <c r="N209" s="16"/>
      <c r="T209" s="16"/>
    </row>
    <row r="210" ht="22.5" customHeight="1">
      <c r="A210" s="17" t="e">
        <v>#VALUE!</v>
      </c>
      <c r="B210" s="17" t="e">
        <v>#VALUE!</v>
      </c>
      <c r="C210" s="7"/>
      <c r="D210" s="17" t="e">
        <v>#VALUE!</v>
      </c>
      <c r="E210" s="7" t="e">
        <v>#VALUE!</v>
      </c>
      <c r="F210" s="16"/>
      <c r="L210" s="16"/>
      <c r="M210" s="16"/>
      <c r="N210" s="16"/>
      <c r="T210" s="16"/>
    </row>
    <row r="211" ht="22.5" customHeight="1">
      <c r="A211" s="17" t="e">
        <v>#VALUE!</v>
      </c>
      <c r="B211" s="17" t="e">
        <v>#VALUE!</v>
      </c>
      <c r="C211" s="7"/>
      <c r="D211" s="17" t="e">
        <v>#VALUE!</v>
      </c>
      <c r="E211" s="7" t="e">
        <v>#VALUE!</v>
      </c>
      <c r="F211" s="16"/>
      <c r="L211" s="16"/>
      <c r="M211" s="16"/>
      <c r="N211" s="16"/>
      <c r="T211" s="16"/>
    </row>
    <row r="212" ht="22.5" customHeight="1">
      <c r="A212" s="17" t="e">
        <v>#VALUE!</v>
      </c>
      <c r="B212" s="17" t="e">
        <v>#VALUE!</v>
      </c>
      <c r="C212" s="7"/>
      <c r="D212" s="17" t="e">
        <v>#VALUE!</v>
      </c>
      <c r="E212" s="7" t="e">
        <v>#VALUE!</v>
      </c>
      <c r="F212" s="16"/>
      <c r="L212" s="16"/>
      <c r="M212" s="16"/>
      <c r="N212" s="16"/>
      <c r="T212" s="16"/>
    </row>
    <row r="213" ht="22.5" customHeight="1">
      <c r="A213" s="17" t="e">
        <v>#VALUE!</v>
      </c>
      <c r="B213" s="17" t="e">
        <v>#VALUE!</v>
      </c>
      <c r="C213" s="7"/>
      <c r="D213" s="17" t="e">
        <v>#VALUE!</v>
      </c>
      <c r="E213" s="7" t="e">
        <v>#VALUE!</v>
      </c>
      <c r="F213" s="16"/>
      <c r="L213" s="16"/>
      <c r="M213" s="16"/>
      <c r="N213" s="16"/>
      <c r="T213" s="16"/>
    </row>
    <row r="214" ht="22.5" customHeight="1">
      <c r="A214" s="17" t="e">
        <v>#VALUE!</v>
      </c>
      <c r="B214" s="17" t="e">
        <v>#VALUE!</v>
      </c>
      <c r="C214" s="7"/>
      <c r="D214" s="17" t="e">
        <v>#VALUE!</v>
      </c>
      <c r="E214" s="7" t="e">
        <v>#VALUE!</v>
      </c>
      <c r="F214" s="16"/>
      <c r="L214" s="16"/>
      <c r="M214" s="16"/>
      <c r="N214" s="16"/>
      <c r="T214" s="16"/>
    </row>
    <row r="215" ht="22.5" customHeight="1">
      <c r="A215" s="17" t="e">
        <v>#VALUE!</v>
      </c>
      <c r="B215" s="17" t="e">
        <v>#VALUE!</v>
      </c>
      <c r="C215" s="7"/>
      <c r="D215" s="17" t="e">
        <v>#VALUE!</v>
      </c>
      <c r="E215" s="7" t="e">
        <v>#VALUE!</v>
      </c>
      <c r="F215" s="16"/>
      <c r="L215" s="16"/>
      <c r="M215" s="16"/>
      <c r="N215" s="16"/>
      <c r="T215" s="16"/>
    </row>
    <row r="216" ht="22.5" customHeight="1">
      <c r="A216" s="17" t="e">
        <v>#VALUE!</v>
      </c>
      <c r="B216" s="17" t="e">
        <v>#VALUE!</v>
      </c>
      <c r="C216" s="7"/>
      <c r="D216" s="17" t="e">
        <v>#VALUE!</v>
      </c>
      <c r="E216" s="7" t="e">
        <v>#VALUE!</v>
      </c>
      <c r="F216" s="16"/>
      <c r="L216" s="16"/>
      <c r="M216" s="16"/>
      <c r="N216" s="16"/>
      <c r="T216" s="16"/>
    </row>
    <row r="217" ht="22.5" customHeight="1">
      <c r="A217" s="17" t="e">
        <v>#VALUE!</v>
      </c>
      <c r="B217" s="17" t="e">
        <v>#VALUE!</v>
      </c>
      <c r="C217" s="7"/>
      <c r="D217" s="17" t="e">
        <v>#VALUE!</v>
      </c>
      <c r="E217" s="7" t="e">
        <v>#VALUE!</v>
      </c>
      <c r="F217" s="16"/>
      <c r="L217" s="16"/>
      <c r="M217" s="16"/>
      <c r="N217" s="16"/>
      <c r="T217" s="16"/>
    </row>
    <row r="218" ht="22.5" customHeight="1">
      <c r="A218" s="17" t="e">
        <v>#VALUE!</v>
      </c>
      <c r="B218" s="17" t="e">
        <v>#VALUE!</v>
      </c>
      <c r="C218" s="7"/>
      <c r="D218" s="17" t="e">
        <v>#VALUE!</v>
      </c>
      <c r="E218" s="7" t="e">
        <v>#VALUE!</v>
      </c>
      <c r="F218" s="16"/>
      <c r="L218" s="16"/>
      <c r="M218" s="16"/>
      <c r="N218" s="16"/>
      <c r="T218" s="16"/>
    </row>
    <row r="219" ht="22.5" customHeight="1">
      <c r="A219" s="17" t="e">
        <v>#VALUE!</v>
      </c>
      <c r="B219" s="17" t="e">
        <v>#VALUE!</v>
      </c>
      <c r="C219" s="7"/>
      <c r="D219" s="17" t="e">
        <v>#VALUE!</v>
      </c>
      <c r="E219" s="7" t="e">
        <v>#VALUE!</v>
      </c>
      <c r="F219" s="16"/>
      <c r="L219" s="16"/>
      <c r="M219" s="16"/>
      <c r="N219" s="16"/>
      <c r="T219" s="16"/>
    </row>
    <row r="220" ht="22.5" customHeight="1">
      <c r="A220" s="17" t="e">
        <v>#VALUE!</v>
      </c>
      <c r="B220" s="17" t="e">
        <v>#VALUE!</v>
      </c>
      <c r="C220" s="7"/>
      <c r="D220" s="17" t="e">
        <v>#VALUE!</v>
      </c>
      <c r="E220" s="7" t="e">
        <v>#VALUE!</v>
      </c>
      <c r="F220" s="16"/>
      <c r="L220" s="16"/>
      <c r="M220" s="16"/>
      <c r="N220" s="16"/>
      <c r="T220" s="16"/>
    </row>
    <row r="221" ht="22.5" customHeight="1">
      <c r="A221" s="17" t="e">
        <v>#VALUE!</v>
      </c>
      <c r="B221" s="17" t="e">
        <v>#VALUE!</v>
      </c>
      <c r="C221" s="7"/>
      <c r="D221" s="17" t="e">
        <v>#VALUE!</v>
      </c>
      <c r="E221" s="7" t="e">
        <v>#VALUE!</v>
      </c>
      <c r="F221" s="16"/>
      <c r="L221" s="16"/>
      <c r="M221" s="16"/>
      <c r="N221" s="16"/>
      <c r="T221" s="16"/>
    </row>
    <row r="222" ht="22.5" customHeight="1">
      <c r="A222" s="17" t="e">
        <v>#VALUE!</v>
      </c>
      <c r="B222" s="17" t="e">
        <v>#VALUE!</v>
      </c>
      <c r="C222" s="7"/>
      <c r="D222" s="17" t="e">
        <v>#VALUE!</v>
      </c>
      <c r="E222" s="7" t="e">
        <v>#VALUE!</v>
      </c>
      <c r="F222" s="16"/>
      <c r="L222" s="16"/>
      <c r="M222" s="16"/>
      <c r="N222" s="16"/>
      <c r="T222" s="16"/>
    </row>
    <row r="223" ht="22.5" customHeight="1">
      <c r="A223" s="17" t="e">
        <v>#VALUE!</v>
      </c>
      <c r="B223" s="17" t="e">
        <v>#VALUE!</v>
      </c>
      <c r="C223" s="7"/>
      <c r="D223" s="17" t="e">
        <v>#VALUE!</v>
      </c>
      <c r="E223" s="7" t="e">
        <v>#VALUE!</v>
      </c>
      <c r="F223" s="16"/>
      <c r="L223" s="16"/>
      <c r="M223" s="16"/>
      <c r="N223" s="16"/>
      <c r="T223" s="16"/>
    </row>
    <row r="224" ht="22.5" customHeight="1">
      <c r="A224" s="17" t="e">
        <v>#VALUE!</v>
      </c>
      <c r="B224" s="17" t="e">
        <v>#VALUE!</v>
      </c>
      <c r="C224" s="7"/>
      <c r="D224" s="17" t="e">
        <v>#VALUE!</v>
      </c>
      <c r="E224" s="7" t="e">
        <v>#VALUE!</v>
      </c>
      <c r="F224" s="16"/>
      <c r="L224" s="16"/>
      <c r="M224" s="16"/>
      <c r="N224" s="16"/>
      <c r="T224" s="16"/>
    </row>
    <row r="225" ht="22.5" customHeight="1">
      <c r="A225" s="17" t="e">
        <v>#VALUE!</v>
      </c>
      <c r="B225" s="17" t="e">
        <v>#VALUE!</v>
      </c>
      <c r="C225" s="7"/>
      <c r="D225" s="17" t="e">
        <v>#VALUE!</v>
      </c>
      <c r="E225" s="7" t="e">
        <v>#VALUE!</v>
      </c>
      <c r="F225" s="16"/>
      <c r="L225" s="16"/>
      <c r="M225" s="16"/>
      <c r="N225" s="16"/>
      <c r="T225" s="16"/>
    </row>
    <row r="226" ht="22.5" customHeight="1">
      <c r="A226" s="17" t="e">
        <v>#VALUE!</v>
      </c>
      <c r="B226" s="17" t="e">
        <v>#VALUE!</v>
      </c>
      <c r="C226" s="7"/>
      <c r="D226" s="17" t="e">
        <v>#VALUE!</v>
      </c>
      <c r="E226" s="7" t="e">
        <v>#VALUE!</v>
      </c>
      <c r="F226" s="16"/>
      <c r="L226" s="16"/>
      <c r="M226" s="16"/>
      <c r="N226" s="16"/>
      <c r="T226" s="16"/>
    </row>
    <row r="227" ht="22.5" customHeight="1">
      <c r="A227" s="17" t="e">
        <v>#VALUE!</v>
      </c>
      <c r="B227" s="17" t="e">
        <v>#VALUE!</v>
      </c>
      <c r="C227" s="7"/>
      <c r="D227" s="17" t="e">
        <v>#VALUE!</v>
      </c>
      <c r="E227" s="7" t="e">
        <v>#VALUE!</v>
      </c>
      <c r="F227" s="16"/>
      <c r="L227" s="16"/>
      <c r="M227" s="16"/>
      <c r="N227" s="16"/>
      <c r="T227" s="16"/>
    </row>
    <row r="228" ht="22.5" customHeight="1">
      <c r="A228" s="17" t="e">
        <v>#VALUE!</v>
      </c>
      <c r="B228" s="17" t="e">
        <v>#VALUE!</v>
      </c>
      <c r="C228" s="7"/>
      <c r="D228" s="17" t="e">
        <v>#VALUE!</v>
      </c>
      <c r="E228" s="7" t="e">
        <v>#VALUE!</v>
      </c>
      <c r="F228" s="16"/>
      <c r="L228" s="16"/>
      <c r="M228" s="16"/>
      <c r="N228" s="16"/>
      <c r="T228" s="16"/>
    </row>
    <row r="229" ht="22.5" customHeight="1">
      <c r="A229" s="17" t="e">
        <v>#VALUE!</v>
      </c>
      <c r="B229" s="17" t="e">
        <v>#VALUE!</v>
      </c>
      <c r="C229" s="7"/>
      <c r="D229" s="17" t="e">
        <v>#VALUE!</v>
      </c>
      <c r="E229" s="7" t="e">
        <v>#VALUE!</v>
      </c>
      <c r="F229" s="16"/>
      <c r="L229" s="16"/>
      <c r="M229" s="16"/>
      <c r="N229" s="16"/>
      <c r="T229" s="16"/>
    </row>
    <row r="230" ht="22.5" customHeight="1">
      <c r="A230" s="17" t="e">
        <v>#VALUE!</v>
      </c>
      <c r="B230" s="17" t="e">
        <v>#VALUE!</v>
      </c>
      <c r="C230" s="7"/>
      <c r="D230" s="17" t="e">
        <v>#VALUE!</v>
      </c>
      <c r="E230" s="7" t="e">
        <v>#VALUE!</v>
      </c>
      <c r="F230" s="16"/>
      <c r="L230" s="16"/>
      <c r="M230" s="16"/>
      <c r="N230" s="16"/>
      <c r="T230" s="16"/>
    </row>
    <row r="231" ht="22.5" customHeight="1">
      <c r="A231" s="17" t="e">
        <v>#VALUE!</v>
      </c>
      <c r="B231" s="17" t="e">
        <v>#VALUE!</v>
      </c>
      <c r="C231" s="7"/>
      <c r="D231" s="17" t="e">
        <v>#VALUE!</v>
      </c>
      <c r="E231" s="7" t="e">
        <v>#VALUE!</v>
      </c>
      <c r="F231" s="16"/>
      <c r="L231" s="16"/>
      <c r="M231" s="16"/>
      <c r="N231" s="16"/>
      <c r="T231" s="16"/>
    </row>
    <row r="232" ht="22.5" customHeight="1">
      <c r="A232" s="17" t="e">
        <v>#VALUE!</v>
      </c>
      <c r="B232" s="17" t="e">
        <v>#VALUE!</v>
      </c>
      <c r="C232" s="7"/>
      <c r="D232" s="17" t="e">
        <v>#VALUE!</v>
      </c>
      <c r="E232" s="7" t="e">
        <v>#VALUE!</v>
      </c>
      <c r="F232" s="16"/>
      <c r="L232" s="16"/>
      <c r="M232" s="16"/>
      <c r="N232" s="16"/>
      <c r="T232" s="16"/>
    </row>
    <row r="233" ht="22.5" customHeight="1">
      <c r="A233" s="17" t="e">
        <v>#VALUE!</v>
      </c>
      <c r="B233" s="17" t="e">
        <v>#VALUE!</v>
      </c>
      <c r="C233" s="7"/>
      <c r="D233" s="17" t="e">
        <v>#VALUE!</v>
      </c>
      <c r="E233" s="7" t="e">
        <v>#VALUE!</v>
      </c>
      <c r="F233" s="16"/>
      <c r="L233" s="16"/>
      <c r="M233" s="16"/>
      <c r="N233" s="16"/>
      <c r="T233" s="16"/>
    </row>
    <row r="234" ht="22.5" customHeight="1">
      <c r="A234" s="17" t="e">
        <v>#VALUE!</v>
      </c>
      <c r="B234" s="17" t="e">
        <v>#VALUE!</v>
      </c>
      <c r="C234" s="7"/>
      <c r="D234" s="17" t="e">
        <v>#VALUE!</v>
      </c>
      <c r="E234" s="7" t="e">
        <v>#VALUE!</v>
      </c>
      <c r="F234" s="16"/>
      <c r="L234" s="16"/>
      <c r="M234" s="16"/>
      <c r="N234" s="16"/>
      <c r="T234" s="16"/>
    </row>
    <row r="235" ht="22.5" customHeight="1">
      <c r="A235" s="17" t="e">
        <v>#VALUE!</v>
      </c>
      <c r="B235" s="17" t="e">
        <v>#VALUE!</v>
      </c>
      <c r="C235" s="7"/>
      <c r="D235" s="17" t="e">
        <v>#VALUE!</v>
      </c>
      <c r="E235" s="7" t="e">
        <v>#VALUE!</v>
      </c>
      <c r="F235" s="16"/>
      <c r="L235" s="16"/>
      <c r="M235" s="16"/>
      <c r="N235" s="16"/>
      <c r="T235" s="16"/>
    </row>
    <row r="236" ht="22.5" customHeight="1">
      <c r="A236" s="17" t="e">
        <v>#VALUE!</v>
      </c>
      <c r="B236" s="17" t="e">
        <v>#VALUE!</v>
      </c>
      <c r="C236" s="7"/>
      <c r="D236" s="17" t="e">
        <v>#VALUE!</v>
      </c>
      <c r="E236" s="7" t="e">
        <v>#VALUE!</v>
      </c>
      <c r="F236" s="16"/>
      <c r="L236" s="16"/>
      <c r="M236" s="16"/>
      <c r="N236" s="16"/>
      <c r="T236" s="16"/>
    </row>
    <row r="237" ht="22.5" customHeight="1">
      <c r="A237" s="17" t="e">
        <v>#VALUE!</v>
      </c>
      <c r="B237" s="17" t="e">
        <v>#VALUE!</v>
      </c>
      <c r="C237" s="7"/>
      <c r="D237" s="17" t="e">
        <v>#VALUE!</v>
      </c>
      <c r="E237" s="7" t="e">
        <v>#VALUE!</v>
      </c>
      <c r="F237" s="16"/>
      <c r="L237" s="16"/>
      <c r="M237" s="16"/>
      <c r="N237" s="16"/>
      <c r="T237" s="16"/>
    </row>
    <row r="238" ht="22.5" customHeight="1">
      <c r="A238" s="17" t="e">
        <v>#VALUE!</v>
      </c>
      <c r="B238" s="17" t="e">
        <v>#VALUE!</v>
      </c>
      <c r="C238" s="7"/>
      <c r="D238" s="17" t="e">
        <v>#VALUE!</v>
      </c>
      <c r="E238" s="7" t="e">
        <v>#VALUE!</v>
      </c>
      <c r="F238" s="16"/>
      <c r="L238" s="16"/>
      <c r="M238" s="16"/>
      <c r="N238" s="16"/>
      <c r="T238" s="16"/>
    </row>
    <row r="239" ht="22.5" customHeight="1">
      <c r="A239" s="17" t="e">
        <v>#VALUE!</v>
      </c>
      <c r="B239" s="17" t="e">
        <v>#VALUE!</v>
      </c>
      <c r="C239" s="7"/>
      <c r="D239" s="17" t="e">
        <v>#VALUE!</v>
      </c>
      <c r="E239" s="7" t="e">
        <v>#VALUE!</v>
      </c>
      <c r="F239" s="16"/>
      <c r="L239" s="16"/>
      <c r="M239" s="16"/>
      <c r="N239" s="16"/>
      <c r="T239" s="16"/>
    </row>
    <row r="240" ht="22.5" customHeight="1">
      <c r="A240" s="17" t="e">
        <v>#VALUE!</v>
      </c>
      <c r="B240" s="17" t="e">
        <v>#VALUE!</v>
      </c>
      <c r="C240" s="7"/>
      <c r="D240" s="17" t="e">
        <v>#VALUE!</v>
      </c>
      <c r="E240" s="7" t="e">
        <v>#VALUE!</v>
      </c>
      <c r="F240" s="16"/>
      <c r="L240" s="16"/>
      <c r="M240" s="16"/>
      <c r="N240" s="16"/>
      <c r="T240" s="16"/>
    </row>
    <row r="241" ht="22.5" customHeight="1">
      <c r="A241" s="17" t="e">
        <v>#VALUE!</v>
      </c>
      <c r="B241" s="17" t="e">
        <v>#VALUE!</v>
      </c>
      <c r="C241" s="7"/>
      <c r="D241" s="17" t="e">
        <v>#VALUE!</v>
      </c>
      <c r="E241" s="7" t="e">
        <v>#VALUE!</v>
      </c>
      <c r="F241" s="16"/>
      <c r="L241" s="16"/>
      <c r="M241" s="16"/>
      <c r="N241" s="16"/>
      <c r="T241" s="16"/>
    </row>
    <row r="242" ht="22.5" customHeight="1">
      <c r="A242" s="17" t="e">
        <v>#VALUE!</v>
      </c>
      <c r="B242" s="17" t="e">
        <v>#VALUE!</v>
      </c>
      <c r="C242" s="7"/>
      <c r="D242" s="17" t="e">
        <v>#VALUE!</v>
      </c>
      <c r="E242" s="7" t="e">
        <v>#VALUE!</v>
      </c>
      <c r="F242" s="16"/>
      <c r="L242" s="16"/>
      <c r="M242" s="16"/>
      <c r="N242" s="16"/>
      <c r="T242" s="16"/>
    </row>
    <row r="243" ht="22.5" customHeight="1">
      <c r="A243" s="17" t="e">
        <v>#VALUE!</v>
      </c>
      <c r="B243" s="17" t="e">
        <v>#VALUE!</v>
      </c>
      <c r="C243" s="7"/>
      <c r="D243" s="17" t="e">
        <v>#VALUE!</v>
      </c>
      <c r="E243" s="7" t="e">
        <v>#VALUE!</v>
      </c>
      <c r="F243" s="16"/>
      <c r="L243" s="16"/>
      <c r="M243" s="16"/>
      <c r="N243" s="16"/>
      <c r="T243" s="16"/>
    </row>
    <row r="244" ht="22.5" customHeight="1">
      <c r="A244" s="17" t="e">
        <v>#VALUE!</v>
      </c>
      <c r="B244" s="17" t="e">
        <v>#VALUE!</v>
      </c>
      <c r="C244" s="7"/>
      <c r="D244" s="17" t="e">
        <v>#VALUE!</v>
      </c>
      <c r="E244" s="7" t="e">
        <v>#VALUE!</v>
      </c>
      <c r="F244" s="16"/>
      <c r="L244" s="16"/>
      <c r="M244" s="16"/>
      <c r="N244" s="16"/>
      <c r="T244" s="16"/>
    </row>
    <row r="245" ht="22.5" customHeight="1">
      <c r="A245" s="17" t="e">
        <v>#VALUE!</v>
      </c>
      <c r="B245" s="17" t="e">
        <v>#VALUE!</v>
      </c>
      <c r="C245" s="7"/>
      <c r="D245" s="17" t="e">
        <v>#VALUE!</v>
      </c>
      <c r="E245" s="7" t="e">
        <v>#VALUE!</v>
      </c>
      <c r="F245" s="16"/>
      <c r="L245" s="16"/>
      <c r="M245" s="16"/>
      <c r="N245" s="16"/>
      <c r="T245" s="16"/>
    </row>
    <row r="246" ht="22.5" customHeight="1">
      <c r="A246" s="17" t="e">
        <v>#VALUE!</v>
      </c>
      <c r="B246" s="17" t="e">
        <v>#VALUE!</v>
      </c>
      <c r="C246" s="7"/>
      <c r="D246" s="17" t="e">
        <v>#VALUE!</v>
      </c>
      <c r="E246" s="7" t="e">
        <v>#VALUE!</v>
      </c>
      <c r="F246" s="16"/>
      <c r="L246" s="16"/>
      <c r="M246" s="16"/>
      <c r="N246" s="16"/>
      <c r="T246" s="16"/>
    </row>
    <row r="247" ht="22.5" customHeight="1">
      <c r="A247" s="17" t="e">
        <v>#VALUE!</v>
      </c>
      <c r="B247" s="17" t="e">
        <v>#VALUE!</v>
      </c>
      <c r="C247" s="7"/>
      <c r="D247" s="17" t="e">
        <v>#VALUE!</v>
      </c>
      <c r="E247" s="7" t="e">
        <v>#VALUE!</v>
      </c>
      <c r="F247" s="16"/>
      <c r="L247" s="16"/>
      <c r="M247" s="16"/>
      <c r="N247" s="16"/>
      <c r="T247" s="16"/>
    </row>
    <row r="248" ht="22.5" customHeight="1">
      <c r="A248" s="17" t="e">
        <v>#VALUE!</v>
      </c>
      <c r="B248" s="17" t="e">
        <v>#VALUE!</v>
      </c>
      <c r="C248" s="7"/>
      <c r="D248" s="17" t="e">
        <v>#VALUE!</v>
      </c>
      <c r="E248" s="7" t="e">
        <v>#VALUE!</v>
      </c>
      <c r="F248" s="16"/>
      <c r="L248" s="16"/>
      <c r="M248" s="16"/>
      <c r="N248" s="16"/>
      <c r="T248" s="16"/>
    </row>
    <row r="249" ht="22.5" customHeight="1">
      <c r="A249" s="17" t="e">
        <v>#VALUE!</v>
      </c>
      <c r="B249" s="17" t="e">
        <v>#VALUE!</v>
      </c>
      <c r="C249" s="7"/>
      <c r="D249" s="17" t="e">
        <v>#VALUE!</v>
      </c>
      <c r="E249" s="7" t="e">
        <v>#VALUE!</v>
      </c>
      <c r="F249" s="16"/>
      <c r="L249" s="16"/>
      <c r="M249" s="16"/>
      <c r="N249" s="16"/>
      <c r="T249" s="16"/>
    </row>
    <row r="250" ht="22.5" customHeight="1">
      <c r="A250" s="17" t="e">
        <v>#VALUE!</v>
      </c>
      <c r="B250" s="17" t="e">
        <v>#VALUE!</v>
      </c>
      <c r="C250" s="7"/>
      <c r="D250" s="17" t="e">
        <v>#VALUE!</v>
      </c>
      <c r="E250" s="7" t="e">
        <v>#VALUE!</v>
      </c>
      <c r="F250" s="16"/>
      <c r="L250" s="16"/>
      <c r="M250" s="16"/>
      <c r="N250" s="16"/>
      <c r="T250" s="16"/>
    </row>
    <row r="251" ht="22.5" customHeight="1">
      <c r="A251" s="17" t="e">
        <v>#VALUE!</v>
      </c>
      <c r="B251" s="17" t="e">
        <v>#VALUE!</v>
      </c>
      <c r="C251" s="7"/>
      <c r="D251" s="17" t="e">
        <v>#VALUE!</v>
      </c>
      <c r="E251" s="7" t="e">
        <v>#VALUE!</v>
      </c>
      <c r="F251" s="16"/>
      <c r="L251" s="16"/>
      <c r="M251" s="16"/>
      <c r="N251" s="16"/>
      <c r="T251" s="16"/>
    </row>
    <row r="252" ht="22.5" customHeight="1">
      <c r="A252" s="17" t="e">
        <v>#VALUE!</v>
      </c>
      <c r="B252" s="17" t="e">
        <v>#VALUE!</v>
      </c>
      <c r="C252" s="7"/>
      <c r="D252" s="17" t="e">
        <v>#VALUE!</v>
      </c>
      <c r="E252" s="7" t="e">
        <v>#VALUE!</v>
      </c>
      <c r="F252" s="16"/>
      <c r="L252" s="16"/>
      <c r="M252" s="16"/>
      <c r="N252" s="16"/>
      <c r="T252" s="16"/>
    </row>
    <row r="253" ht="22.5" customHeight="1">
      <c r="A253" s="17" t="e">
        <v>#VALUE!</v>
      </c>
      <c r="B253" s="17" t="e">
        <v>#VALUE!</v>
      </c>
      <c r="C253" s="7"/>
      <c r="D253" s="17" t="e">
        <v>#VALUE!</v>
      </c>
      <c r="E253" s="7" t="e">
        <v>#VALUE!</v>
      </c>
      <c r="F253" s="16"/>
      <c r="L253" s="16"/>
      <c r="M253" s="16"/>
      <c r="N253" s="16"/>
      <c r="T253" s="16"/>
    </row>
    <row r="254" ht="22.5" customHeight="1">
      <c r="A254" s="17" t="e">
        <v>#VALUE!</v>
      </c>
      <c r="B254" s="17" t="e">
        <v>#VALUE!</v>
      </c>
      <c r="C254" s="7"/>
      <c r="D254" s="17" t="e">
        <v>#VALUE!</v>
      </c>
      <c r="E254" s="7" t="e">
        <v>#VALUE!</v>
      </c>
      <c r="F254" s="16"/>
      <c r="L254" s="16"/>
      <c r="M254" s="16"/>
      <c r="N254" s="16"/>
      <c r="T254" s="16"/>
    </row>
    <row r="255" ht="22.5" customHeight="1">
      <c r="A255" s="17" t="e">
        <v>#VALUE!</v>
      </c>
      <c r="B255" s="17" t="e">
        <v>#VALUE!</v>
      </c>
      <c r="C255" s="7"/>
      <c r="D255" s="17" t="e">
        <v>#VALUE!</v>
      </c>
      <c r="E255" s="7" t="e">
        <v>#VALUE!</v>
      </c>
      <c r="F255" s="16"/>
      <c r="L255" s="16"/>
      <c r="M255" s="16"/>
      <c r="N255" s="16"/>
      <c r="T255" s="16"/>
    </row>
    <row r="256" ht="22.5" customHeight="1">
      <c r="A256" s="17" t="e">
        <v>#VALUE!</v>
      </c>
      <c r="B256" s="17" t="e">
        <v>#VALUE!</v>
      </c>
      <c r="C256" s="7"/>
      <c r="D256" s="17" t="e">
        <v>#VALUE!</v>
      </c>
      <c r="E256" s="7" t="e">
        <v>#VALUE!</v>
      </c>
      <c r="F256" s="16"/>
      <c r="L256" s="16"/>
      <c r="M256" s="16"/>
      <c r="N256" s="16"/>
      <c r="T256" s="16"/>
    </row>
    <row r="257" ht="22.5" customHeight="1">
      <c r="A257" s="17" t="e">
        <v>#VALUE!</v>
      </c>
      <c r="B257" s="17" t="e">
        <v>#VALUE!</v>
      </c>
      <c r="C257" s="7"/>
      <c r="D257" s="17" t="e">
        <v>#VALUE!</v>
      </c>
      <c r="E257" s="7" t="e">
        <v>#VALUE!</v>
      </c>
      <c r="F257" s="16"/>
      <c r="L257" s="16"/>
      <c r="M257" s="16"/>
      <c r="N257" s="16"/>
      <c r="T257" s="16"/>
    </row>
    <row r="258" ht="22.5" customHeight="1">
      <c r="A258" s="17" t="e">
        <v>#VALUE!</v>
      </c>
      <c r="B258" s="17" t="e">
        <v>#VALUE!</v>
      </c>
      <c r="C258" s="7"/>
      <c r="D258" s="17" t="e">
        <v>#VALUE!</v>
      </c>
      <c r="E258" s="7" t="e">
        <v>#VALUE!</v>
      </c>
      <c r="F258" s="16"/>
      <c r="L258" s="16"/>
      <c r="M258" s="16"/>
      <c r="N258" s="16"/>
      <c r="T258" s="16"/>
    </row>
    <row r="259" ht="22.5" customHeight="1">
      <c r="A259" s="17" t="e">
        <v>#VALUE!</v>
      </c>
      <c r="B259" s="17" t="e">
        <v>#VALUE!</v>
      </c>
      <c r="C259" s="7"/>
      <c r="D259" s="17" t="e">
        <v>#VALUE!</v>
      </c>
      <c r="E259" s="7" t="e">
        <v>#VALUE!</v>
      </c>
      <c r="F259" s="16"/>
      <c r="L259" s="16"/>
      <c r="M259" s="16"/>
      <c r="N259" s="16"/>
      <c r="T259" s="16"/>
    </row>
    <row r="260" ht="22.5" customHeight="1">
      <c r="A260" s="17" t="e">
        <v>#VALUE!</v>
      </c>
      <c r="B260" s="17" t="e">
        <v>#VALUE!</v>
      </c>
      <c r="C260" s="7"/>
      <c r="D260" s="17" t="e">
        <v>#VALUE!</v>
      </c>
      <c r="E260" s="7" t="e">
        <v>#VALUE!</v>
      </c>
      <c r="F260" s="16"/>
      <c r="L260" s="16"/>
      <c r="M260" s="16"/>
      <c r="N260" s="16"/>
      <c r="T260" s="16"/>
    </row>
    <row r="261" ht="22.5" customHeight="1">
      <c r="A261" s="17" t="e">
        <v>#VALUE!</v>
      </c>
      <c r="B261" s="17" t="e">
        <v>#VALUE!</v>
      </c>
      <c r="C261" s="7"/>
      <c r="D261" s="17" t="e">
        <v>#VALUE!</v>
      </c>
      <c r="E261" s="7" t="e">
        <v>#VALUE!</v>
      </c>
      <c r="F261" s="16"/>
      <c r="L261" s="16"/>
      <c r="M261" s="16"/>
      <c r="N261" s="16"/>
      <c r="T261" s="16"/>
    </row>
    <row r="262" ht="22.5" customHeight="1">
      <c r="A262" s="17" t="e">
        <v>#VALUE!</v>
      </c>
      <c r="B262" s="17" t="e">
        <v>#VALUE!</v>
      </c>
      <c r="C262" s="7"/>
      <c r="D262" s="17" t="e">
        <v>#VALUE!</v>
      </c>
      <c r="E262" s="7" t="e">
        <v>#VALUE!</v>
      </c>
      <c r="F262" s="16"/>
      <c r="L262" s="16"/>
      <c r="M262" s="16"/>
      <c r="N262" s="16"/>
      <c r="T262" s="16"/>
    </row>
    <row r="263" ht="22.5" customHeight="1">
      <c r="A263" s="17" t="e">
        <v>#VALUE!</v>
      </c>
      <c r="B263" s="17" t="e">
        <v>#VALUE!</v>
      </c>
      <c r="C263" s="7"/>
      <c r="D263" s="17" t="e">
        <v>#VALUE!</v>
      </c>
      <c r="E263" s="7" t="e">
        <v>#VALUE!</v>
      </c>
      <c r="F263" s="16"/>
      <c r="L263" s="16"/>
      <c r="M263" s="16"/>
      <c r="N263" s="16"/>
      <c r="T263" s="16"/>
    </row>
    <row r="264" ht="22.5" customHeight="1">
      <c r="A264" s="17" t="e">
        <v>#VALUE!</v>
      </c>
      <c r="B264" s="17" t="e">
        <v>#VALUE!</v>
      </c>
      <c r="C264" s="7"/>
      <c r="D264" s="17" t="e">
        <v>#VALUE!</v>
      </c>
      <c r="E264" s="7" t="e">
        <v>#VALUE!</v>
      </c>
      <c r="F264" s="16"/>
      <c r="L264" s="16"/>
      <c r="M264" s="16"/>
      <c r="N264" s="16"/>
      <c r="T264" s="16"/>
    </row>
    <row r="265" ht="22.5" customHeight="1">
      <c r="A265" s="17" t="e">
        <v>#VALUE!</v>
      </c>
      <c r="B265" s="17" t="e">
        <v>#VALUE!</v>
      </c>
      <c r="C265" s="7"/>
      <c r="D265" s="17" t="e">
        <v>#VALUE!</v>
      </c>
      <c r="E265" s="7" t="e">
        <v>#VALUE!</v>
      </c>
      <c r="F265" s="16"/>
      <c r="L265" s="16"/>
      <c r="M265" s="16"/>
      <c r="N265" s="16"/>
      <c r="T265" s="16"/>
    </row>
    <row r="266" ht="22.5" customHeight="1">
      <c r="A266" s="17" t="e">
        <v>#VALUE!</v>
      </c>
      <c r="B266" s="17" t="e">
        <v>#VALUE!</v>
      </c>
      <c r="C266" s="7"/>
      <c r="D266" s="17" t="e">
        <v>#VALUE!</v>
      </c>
      <c r="E266" s="7" t="e">
        <v>#VALUE!</v>
      </c>
      <c r="F266" s="16"/>
      <c r="L266" s="16"/>
      <c r="M266" s="16"/>
      <c r="N266" s="16"/>
      <c r="T266" s="16"/>
    </row>
    <row r="267" ht="22.5" customHeight="1">
      <c r="A267" s="17" t="e">
        <v>#VALUE!</v>
      </c>
      <c r="B267" s="17" t="e">
        <v>#VALUE!</v>
      </c>
      <c r="C267" s="7"/>
      <c r="D267" s="17" t="e">
        <v>#VALUE!</v>
      </c>
      <c r="E267" s="7" t="e">
        <v>#VALUE!</v>
      </c>
      <c r="F267" s="16"/>
      <c r="L267" s="16"/>
      <c r="M267" s="16"/>
      <c r="N267" s="16"/>
      <c r="T267" s="16"/>
    </row>
    <row r="268" ht="22.5" customHeight="1">
      <c r="A268" s="17" t="e">
        <v>#VALUE!</v>
      </c>
      <c r="B268" s="17" t="e">
        <v>#VALUE!</v>
      </c>
      <c r="C268" s="7"/>
      <c r="D268" s="17" t="e">
        <v>#VALUE!</v>
      </c>
      <c r="E268" s="7" t="e">
        <v>#VALUE!</v>
      </c>
      <c r="F268" s="16"/>
      <c r="L268" s="16"/>
      <c r="M268" s="16"/>
      <c r="N268" s="16"/>
      <c r="T268" s="16"/>
    </row>
    <row r="269" ht="22.5" customHeight="1">
      <c r="A269" s="17" t="e">
        <v>#VALUE!</v>
      </c>
      <c r="B269" s="17" t="e">
        <v>#VALUE!</v>
      </c>
      <c r="C269" s="7"/>
      <c r="D269" s="17" t="e">
        <v>#VALUE!</v>
      </c>
      <c r="E269" s="7" t="e">
        <v>#VALUE!</v>
      </c>
      <c r="F269" s="16"/>
      <c r="L269" s="16"/>
      <c r="M269" s="16"/>
      <c r="N269" s="16"/>
      <c r="T269" s="16"/>
    </row>
    <row r="270" ht="22.5" customHeight="1">
      <c r="A270" s="17" t="e">
        <v>#VALUE!</v>
      </c>
      <c r="B270" s="17" t="e">
        <v>#VALUE!</v>
      </c>
      <c r="C270" s="7"/>
      <c r="D270" s="17" t="e">
        <v>#VALUE!</v>
      </c>
      <c r="E270" s="7" t="e">
        <v>#VALUE!</v>
      </c>
      <c r="F270" s="16"/>
      <c r="L270" s="16"/>
      <c r="M270" s="16"/>
      <c r="N270" s="16"/>
      <c r="T270" s="16"/>
    </row>
    <row r="271" ht="22.5" customHeight="1">
      <c r="A271" s="17" t="e">
        <v>#VALUE!</v>
      </c>
      <c r="B271" s="17" t="e">
        <v>#VALUE!</v>
      </c>
      <c r="C271" s="7"/>
      <c r="D271" s="17" t="e">
        <v>#VALUE!</v>
      </c>
      <c r="E271" s="7" t="e">
        <v>#VALUE!</v>
      </c>
      <c r="F271" s="16"/>
      <c r="L271" s="16"/>
      <c r="M271" s="16"/>
      <c r="N271" s="16"/>
      <c r="T271" s="16"/>
    </row>
    <row r="272" ht="22.5" customHeight="1">
      <c r="A272" s="17" t="e">
        <v>#VALUE!</v>
      </c>
      <c r="B272" s="17" t="e">
        <v>#VALUE!</v>
      </c>
      <c r="C272" s="7"/>
      <c r="D272" s="17" t="e">
        <v>#VALUE!</v>
      </c>
      <c r="E272" s="7" t="e">
        <v>#VALUE!</v>
      </c>
      <c r="F272" s="16"/>
      <c r="L272" s="16"/>
      <c r="M272" s="16"/>
      <c r="N272" s="16"/>
      <c r="T272" s="16"/>
    </row>
    <row r="273" ht="22.5" customHeight="1">
      <c r="A273" s="17" t="e">
        <v>#VALUE!</v>
      </c>
      <c r="B273" s="17" t="e">
        <v>#VALUE!</v>
      </c>
      <c r="C273" s="7"/>
      <c r="D273" s="17" t="e">
        <v>#VALUE!</v>
      </c>
      <c r="E273" s="7" t="e">
        <v>#VALUE!</v>
      </c>
      <c r="F273" s="16"/>
      <c r="L273" s="16"/>
      <c r="M273" s="16"/>
      <c r="N273" s="16"/>
      <c r="T273" s="16"/>
    </row>
    <row r="274" ht="22.5" customHeight="1">
      <c r="A274" s="17" t="e">
        <v>#VALUE!</v>
      </c>
      <c r="B274" s="17" t="e">
        <v>#VALUE!</v>
      </c>
      <c r="C274" s="7"/>
      <c r="D274" s="17" t="e">
        <v>#VALUE!</v>
      </c>
      <c r="E274" s="7" t="e">
        <v>#VALUE!</v>
      </c>
      <c r="F274" s="16"/>
      <c r="L274" s="16"/>
      <c r="M274" s="16"/>
      <c r="N274" s="16"/>
      <c r="T274" s="16"/>
    </row>
    <row r="275" ht="22.5" customHeight="1">
      <c r="A275" s="17" t="e">
        <v>#VALUE!</v>
      </c>
      <c r="B275" s="17" t="e">
        <v>#VALUE!</v>
      </c>
      <c r="C275" s="7"/>
      <c r="D275" s="17" t="e">
        <v>#VALUE!</v>
      </c>
      <c r="E275" s="7" t="e">
        <v>#VALUE!</v>
      </c>
      <c r="F275" s="16"/>
      <c r="L275" s="16"/>
      <c r="M275" s="16"/>
      <c r="N275" s="16"/>
      <c r="T275" s="16"/>
    </row>
    <row r="276" ht="22.5" customHeight="1">
      <c r="A276" s="17" t="e">
        <v>#VALUE!</v>
      </c>
      <c r="B276" s="17" t="e">
        <v>#VALUE!</v>
      </c>
      <c r="C276" s="7"/>
      <c r="D276" s="17" t="e">
        <v>#VALUE!</v>
      </c>
      <c r="E276" s="7" t="e">
        <v>#VALUE!</v>
      </c>
      <c r="F276" s="16"/>
      <c r="L276" s="16"/>
      <c r="M276" s="16"/>
      <c r="N276" s="16"/>
      <c r="T276" s="16"/>
    </row>
    <row r="277" ht="22.5" customHeight="1">
      <c r="A277" s="17" t="e">
        <v>#VALUE!</v>
      </c>
      <c r="B277" s="17" t="e">
        <v>#VALUE!</v>
      </c>
      <c r="C277" s="7"/>
      <c r="D277" s="17" t="e">
        <v>#VALUE!</v>
      </c>
      <c r="E277" s="7" t="e">
        <v>#VALUE!</v>
      </c>
      <c r="F277" s="16"/>
      <c r="L277" s="16"/>
      <c r="M277" s="16"/>
      <c r="N277" s="16"/>
      <c r="T277" s="16"/>
    </row>
    <row r="278" ht="22.5" customHeight="1">
      <c r="A278" s="17" t="e">
        <v>#VALUE!</v>
      </c>
      <c r="B278" s="17" t="e">
        <v>#VALUE!</v>
      </c>
      <c r="C278" s="7"/>
      <c r="D278" s="17" t="e">
        <v>#VALUE!</v>
      </c>
      <c r="E278" s="7" t="e">
        <v>#VALUE!</v>
      </c>
      <c r="F278" s="16"/>
      <c r="L278" s="16"/>
      <c r="M278" s="16"/>
      <c r="N278" s="16"/>
      <c r="T278" s="16"/>
    </row>
    <row r="279" ht="22.5" customHeight="1">
      <c r="A279" s="17" t="e">
        <v>#VALUE!</v>
      </c>
      <c r="B279" s="17" t="e">
        <v>#VALUE!</v>
      </c>
      <c r="C279" s="7"/>
      <c r="D279" s="17" t="e">
        <v>#VALUE!</v>
      </c>
      <c r="E279" s="7" t="e">
        <v>#VALUE!</v>
      </c>
      <c r="F279" s="16"/>
      <c r="L279" s="16"/>
      <c r="M279" s="16"/>
      <c r="N279" s="16"/>
      <c r="T279" s="16"/>
    </row>
    <row r="280" ht="22.5" customHeight="1">
      <c r="A280" s="17" t="e">
        <v>#VALUE!</v>
      </c>
      <c r="B280" s="17" t="e">
        <v>#VALUE!</v>
      </c>
      <c r="C280" s="7"/>
      <c r="D280" s="17" t="e">
        <v>#VALUE!</v>
      </c>
      <c r="E280" s="7" t="e">
        <v>#VALUE!</v>
      </c>
      <c r="F280" s="16"/>
      <c r="L280" s="16"/>
      <c r="M280" s="16"/>
      <c r="N280" s="16"/>
      <c r="T280" s="16"/>
    </row>
    <row r="281" ht="22.5" customHeight="1">
      <c r="A281" s="17" t="e">
        <v>#VALUE!</v>
      </c>
      <c r="B281" s="17" t="e">
        <v>#VALUE!</v>
      </c>
      <c r="C281" s="7"/>
      <c r="D281" s="17" t="e">
        <v>#VALUE!</v>
      </c>
      <c r="E281" s="7" t="e">
        <v>#VALUE!</v>
      </c>
      <c r="F281" s="16"/>
      <c r="L281" s="16"/>
      <c r="M281" s="16"/>
      <c r="N281" s="16"/>
      <c r="T281" s="16"/>
    </row>
    <row r="282" ht="22.5" customHeight="1">
      <c r="A282" s="17" t="e">
        <v>#VALUE!</v>
      </c>
      <c r="B282" s="17" t="e">
        <v>#VALUE!</v>
      </c>
      <c r="C282" s="7"/>
      <c r="D282" s="17" t="e">
        <v>#VALUE!</v>
      </c>
      <c r="E282" s="7" t="e">
        <v>#VALUE!</v>
      </c>
      <c r="F282" s="16"/>
      <c r="L282" s="16"/>
      <c r="M282" s="16"/>
      <c r="N282" s="16"/>
      <c r="T282" s="16"/>
    </row>
    <row r="283" ht="22.5" customHeight="1">
      <c r="A283" s="17" t="e">
        <v>#VALUE!</v>
      </c>
      <c r="B283" s="17" t="e">
        <v>#VALUE!</v>
      </c>
      <c r="C283" s="7"/>
      <c r="D283" s="17" t="e">
        <v>#VALUE!</v>
      </c>
      <c r="E283" s="7" t="e">
        <v>#VALUE!</v>
      </c>
      <c r="F283" s="16"/>
      <c r="L283" s="16"/>
      <c r="M283" s="16"/>
      <c r="N283" s="16"/>
      <c r="T283" s="16"/>
    </row>
    <row r="284" ht="22.5" customHeight="1">
      <c r="A284" s="17" t="e">
        <v>#VALUE!</v>
      </c>
      <c r="B284" s="17" t="e">
        <v>#VALUE!</v>
      </c>
      <c r="C284" s="7"/>
      <c r="D284" s="17" t="e">
        <v>#VALUE!</v>
      </c>
      <c r="E284" s="7" t="e">
        <v>#VALUE!</v>
      </c>
      <c r="F284" s="16"/>
      <c r="L284" s="16"/>
      <c r="M284" s="16"/>
      <c r="N284" s="16"/>
      <c r="T284" s="16"/>
    </row>
    <row r="285" ht="22.5" customHeight="1">
      <c r="A285" s="17" t="e">
        <v>#VALUE!</v>
      </c>
      <c r="B285" s="17" t="e">
        <v>#VALUE!</v>
      </c>
      <c r="C285" s="7"/>
      <c r="D285" s="17" t="e">
        <v>#VALUE!</v>
      </c>
      <c r="E285" s="7" t="e">
        <v>#VALUE!</v>
      </c>
      <c r="F285" s="16"/>
      <c r="L285" s="16"/>
      <c r="M285" s="16"/>
      <c r="N285" s="16"/>
      <c r="T285" s="16"/>
    </row>
    <row r="286" ht="22.5" customHeight="1">
      <c r="A286" s="17" t="e">
        <v>#VALUE!</v>
      </c>
      <c r="B286" s="17" t="e">
        <v>#VALUE!</v>
      </c>
      <c r="C286" s="7"/>
      <c r="D286" s="17" t="e">
        <v>#VALUE!</v>
      </c>
      <c r="E286" s="7" t="e">
        <v>#VALUE!</v>
      </c>
      <c r="F286" s="16"/>
      <c r="L286" s="16"/>
      <c r="M286" s="16"/>
      <c r="N286" s="16"/>
      <c r="T286" s="16"/>
    </row>
    <row r="287" ht="22.5" customHeight="1">
      <c r="A287" s="17" t="e">
        <v>#VALUE!</v>
      </c>
      <c r="B287" s="17" t="e">
        <v>#VALUE!</v>
      </c>
      <c r="C287" s="7"/>
      <c r="D287" s="17" t="e">
        <v>#VALUE!</v>
      </c>
      <c r="E287" s="7" t="e">
        <v>#VALUE!</v>
      </c>
      <c r="F287" s="16"/>
      <c r="L287" s="16"/>
      <c r="M287" s="16"/>
      <c r="N287" s="16"/>
      <c r="T287" s="16"/>
    </row>
    <row r="288" ht="22.5" customHeight="1">
      <c r="A288" s="17" t="e">
        <v>#VALUE!</v>
      </c>
      <c r="B288" s="17" t="e">
        <v>#VALUE!</v>
      </c>
      <c r="C288" s="7"/>
      <c r="D288" s="17" t="e">
        <v>#VALUE!</v>
      </c>
      <c r="E288" s="7" t="e">
        <v>#VALUE!</v>
      </c>
      <c r="F288" s="16"/>
      <c r="L288" s="16"/>
      <c r="M288" s="16"/>
      <c r="N288" s="16"/>
      <c r="T288" s="16"/>
    </row>
    <row r="289" ht="22.5" customHeight="1">
      <c r="A289" s="17" t="e">
        <v>#VALUE!</v>
      </c>
      <c r="B289" s="17" t="e">
        <v>#VALUE!</v>
      </c>
      <c r="C289" s="7"/>
      <c r="D289" s="17" t="e">
        <v>#VALUE!</v>
      </c>
      <c r="E289" s="7" t="e">
        <v>#VALUE!</v>
      </c>
      <c r="F289" s="16"/>
      <c r="L289" s="16"/>
      <c r="M289" s="16"/>
      <c r="N289" s="16"/>
      <c r="T289" s="16"/>
    </row>
    <row r="290" ht="22.5" customHeight="1">
      <c r="A290" s="17" t="e">
        <v>#VALUE!</v>
      </c>
      <c r="B290" s="17" t="e">
        <v>#VALUE!</v>
      </c>
      <c r="C290" s="7"/>
      <c r="D290" s="17" t="e">
        <v>#VALUE!</v>
      </c>
      <c r="E290" s="7" t="e">
        <v>#VALUE!</v>
      </c>
      <c r="F290" s="16"/>
      <c r="L290" s="16"/>
      <c r="M290" s="16"/>
      <c r="N290" s="16"/>
      <c r="T290" s="16"/>
    </row>
    <row r="291" ht="22.5" customHeight="1">
      <c r="A291" s="17" t="e">
        <v>#VALUE!</v>
      </c>
      <c r="B291" s="17" t="e">
        <v>#VALUE!</v>
      </c>
      <c r="C291" s="7"/>
      <c r="D291" s="17" t="e">
        <v>#VALUE!</v>
      </c>
      <c r="E291" s="7" t="e">
        <v>#VALUE!</v>
      </c>
      <c r="F291" s="16"/>
      <c r="L291" s="16"/>
      <c r="M291" s="16"/>
      <c r="N291" s="16"/>
      <c r="T291" s="16"/>
    </row>
    <row r="292" ht="22.5" customHeight="1">
      <c r="A292" s="17" t="e">
        <v>#VALUE!</v>
      </c>
      <c r="B292" s="17" t="e">
        <v>#VALUE!</v>
      </c>
      <c r="C292" s="7"/>
      <c r="D292" s="17" t="e">
        <v>#VALUE!</v>
      </c>
      <c r="E292" s="7" t="e">
        <v>#VALUE!</v>
      </c>
      <c r="F292" s="16"/>
      <c r="L292" s="16"/>
      <c r="M292" s="16"/>
      <c r="N292" s="16"/>
      <c r="T292" s="16"/>
    </row>
    <row r="293" ht="22.5" customHeight="1">
      <c r="A293" s="17" t="e">
        <v>#VALUE!</v>
      </c>
      <c r="B293" s="17" t="e">
        <v>#VALUE!</v>
      </c>
      <c r="C293" s="7"/>
      <c r="D293" s="17" t="e">
        <v>#VALUE!</v>
      </c>
      <c r="E293" s="7" t="e">
        <v>#VALUE!</v>
      </c>
      <c r="F293" s="16"/>
      <c r="L293" s="16"/>
      <c r="M293" s="16"/>
      <c r="N293" s="16"/>
      <c r="T293" s="16"/>
    </row>
    <row r="294" ht="22.5" customHeight="1">
      <c r="A294" s="17" t="e">
        <v>#VALUE!</v>
      </c>
      <c r="B294" s="17" t="e">
        <v>#VALUE!</v>
      </c>
      <c r="C294" s="7"/>
      <c r="D294" s="17" t="e">
        <v>#VALUE!</v>
      </c>
      <c r="E294" s="7" t="e">
        <v>#VALUE!</v>
      </c>
      <c r="F294" s="16"/>
      <c r="L294" s="16"/>
      <c r="M294" s="16"/>
      <c r="N294" s="16"/>
      <c r="T294" s="16"/>
    </row>
    <row r="295" ht="22.5" customHeight="1">
      <c r="A295" s="17" t="e">
        <v>#VALUE!</v>
      </c>
      <c r="B295" s="17" t="e">
        <v>#VALUE!</v>
      </c>
      <c r="C295" s="7"/>
      <c r="D295" s="17" t="e">
        <v>#VALUE!</v>
      </c>
      <c r="E295" s="7" t="e">
        <v>#VALUE!</v>
      </c>
      <c r="F295" s="16"/>
      <c r="L295" s="16"/>
      <c r="M295" s="16"/>
      <c r="N295" s="16"/>
      <c r="T295" s="16"/>
    </row>
    <row r="296" ht="22.5" customHeight="1">
      <c r="A296" s="17" t="e">
        <v>#VALUE!</v>
      </c>
      <c r="B296" s="17" t="e">
        <v>#VALUE!</v>
      </c>
      <c r="C296" s="7"/>
      <c r="D296" s="17" t="e">
        <v>#VALUE!</v>
      </c>
      <c r="E296" s="7" t="e">
        <v>#VALUE!</v>
      </c>
      <c r="F296" s="16"/>
      <c r="L296" s="16"/>
      <c r="M296" s="16"/>
      <c r="N296" s="16"/>
      <c r="T296" s="16"/>
    </row>
    <row r="297" ht="22.5" customHeight="1">
      <c r="A297" s="17" t="e">
        <v>#VALUE!</v>
      </c>
      <c r="B297" s="17" t="e">
        <v>#VALUE!</v>
      </c>
      <c r="C297" s="7"/>
      <c r="D297" s="17" t="e">
        <v>#VALUE!</v>
      </c>
      <c r="E297" s="7" t="e">
        <v>#VALUE!</v>
      </c>
      <c r="F297" s="16"/>
      <c r="L297" s="16"/>
      <c r="M297" s="16"/>
      <c r="N297" s="16"/>
      <c r="T297" s="16"/>
    </row>
    <row r="298" ht="22.5" customHeight="1">
      <c r="A298" s="17" t="e">
        <v>#VALUE!</v>
      </c>
      <c r="B298" s="17" t="e">
        <v>#VALUE!</v>
      </c>
      <c r="C298" s="7"/>
      <c r="D298" s="17" t="e">
        <v>#VALUE!</v>
      </c>
      <c r="E298" s="7" t="e">
        <v>#VALUE!</v>
      </c>
      <c r="F298" s="16"/>
      <c r="L298" s="16"/>
      <c r="M298" s="16"/>
      <c r="N298" s="16"/>
      <c r="T298" s="16"/>
    </row>
    <row r="299" ht="22.5" customHeight="1">
      <c r="A299" s="17" t="e">
        <v>#VALUE!</v>
      </c>
      <c r="B299" s="17" t="e">
        <v>#VALUE!</v>
      </c>
      <c r="C299" s="7"/>
      <c r="D299" s="17" t="e">
        <v>#VALUE!</v>
      </c>
      <c r="E299" s="7" t="e">
        <v>#VALUE!</v>
      </c>
      <c r="F299" s="16"/>
      <c r="L299" s="16"/>
      <c r="M299" s="16"/>
      <c r="N299" s="16"/>
      <c r="T299" s="16"/>
    </row>
    <row r="300" ht="22.5" customHeight="1">
      <c r="A300" s="17" t="e">
        <v>#VALUE!</v>
      </c>
      <c r="B300" s="17" t="e">
        <v>#VALUE!</v>
      </c>
      <c r="C300" s="7"/>
      <c r="D300" s="17" t="e">
        <v>#VALUE!</v>
      </c>
      <c r="E300" s="7" t="e">
        <v>#VALUE!</v>
      </c>
      <c r="F300" s="16"/>
      <c r="L300" s="16"/>
      <c r="M300" s="16"/>
      <c r="N300" s="16"/>
      <c r="T300" s="16"/>
    </row>
    <row r="301" ht="22.5" customHeight="1">
      <c r="A301" s="17" t="e">
        <v>#VALUE!</v>
      </c>
      <c r="B301" s="17" t="e">
        <v>#VALUE!</v>
      </c>
      <c r="C301" s="7"/>
      <c r="D301" s="17" t="e">
        <v>#VALUE!</v>
      </c>
      <c r="E301" s="7" t="e">
        <v>#VALUE!</v>
      </c>
      <c r="F301" s="16"/>
      <c r="L301" s="16"/>
      <c r="M301" s="16"/>
      <c r="N301" s="16"/>
      <c r="T301" s="16"/>
    </row>
    <row r="302" ht="22.5" customHeight="1">
      <c r="A302" s="17" t="e">
        <v>#VALUE!</v>
      </c>
      <c r="B302" s="17" t="e">
        <v>#VALUE!</v>
      </c>
      <c r="C302" s="7"/>
      <c r="D302" s="17" t="e">
        <v>#VALUE!</v>
      </c>
      <c r="E302" s="7" t="e">
        <v>#VALUE!</v>
      </c>
      <c r="F302" s="16"/>
      <c r="L302" s="16"/>
      <c r="M302" s="16"/>
      <c r="N302" s="16"/>
      <c r="T302" s="16"/>
    </row>
    <row r="303" ht="22.5" customHeight="1">
      <c r="A303" s="17" t="e">
        <v>#VALUE!</v>
      </c>
      <c r="B303" s="17" t="e">
        <v>#VALUE!</v>
      </c>
      <c r="C303" s="7"/>
      <c r="D303" s="17" t="e">
        <v>#VALUE!</v>
      </c>
      <c r="E303" s="7" t="e">
        <v>#VALUE!</v>
      </c>
      <c r="F303" s="16"/>
      <c r="L303" s="16"/>
      <c r="M303" s="16"/>
      <c r="N303" s="16"/>
      <c r="T303" s="16"/>
    </row>
    <row r="304" ht="22.5" customHeight="1">
      <c r="A304" s="17" t="e">
        <v>#VALUE!</v>
      </c>
      <c r="B304" s="17" t="e">
        <v>#VALUE!</v>
      </c>
      <c r="C304" s="7"/>
      <c r="D304" s="17" t="e">
        <v>#VALUE!</v>
      </c>
      <c r="E304" s="7" t="e">
        <v>#VALUE!</v>
      </c>
      <c r="F304" s="16"/>
      <c r="L304" s="16"/>
      <c r="M304" s="16"/>
      <c r="N304" s="16"/>
      <c r="T304" s="16"/>
    </row>
    <row r="305" ht="22.5" customHeight="1">
      <c r="A305" s="17" t="e">
        <v>#VALUE!</v>
      </c>
      <c r="B305" s="17" t="e">
        <v>#VALUE!</v>
      </c>
      <c r="C305" s="7"/>
      <c r="D305" s="17" t="e">
        <v>#VALUE!</v>
      </c>
      <c r="E305" s="7" t="e">
        <v>#VALUE!</v>
      </c>
      <c r="F305" s="16"/>
      <c r="L305" s="16"/>
      <c r="M305" s="16"/>
      <c r="N305" s="16"/>
      <c r="T305" s="16"/>
    </row>
    <row r="306" ht="22.5" customHeight="1">
      <c r="A306" s="17" t="e">
        <v>#VALUE!</v>
      </c>
      <c r="B306" s="17" t="e">
        <v>#VALUE!</v>
      </c>
      <c r="C306" s="7"/>
      <c r="D306" s="17" t="e">
        <v>#VALUE!</v>
      </c>
      <c r="E306" s="7" t="e">
        <v>#VALUE!</v>
      </c>
      <c r="F306" s="16"/>
      <c r="L306" s="16"/>
      <c r="M306" s="16"/>
      <c r="N306" s="16"/>
      <c r="T306" s="16"/>
    </row>
    <row r="307" ht="22.5" customHeight="1">
      <c r="A307" s="17" t="e">
        <v>#VALUE!</v>
      </c>
      <c r="B307" s="17" t="e">
        <v>#VALUE!</v>
      </c>
      <c r="C307" s="7"/>
      <c r="D307" s="17" t="e">
        <v>#VALUE!</v>
      </c>
      <c r="E307" s="7" t="e">
        <v>#VALUE!</v>
      </c>
      <c r="F307" s="16"/>
      <c r="L307" s="16"/>
      <c r="M307" s="16"/>
      <c r="N307" s="16"/>
      <c r="T307" s="16"/>
    </row>
    <row r="308" ht="22.5" customHeight="1">
      <c r="A308" s="17" t="e">
        <v>#VALUE!</v>
      </c>
      <c r="B308" s="17" t="e">
        <v>#VALUE!</v>
      </c>
      <c r="C308" s="7"/>
      <c r="D308" s="17" t="e">
        <v>#VALUE!</v>
      </c>
      <c r="E308" s="7" t="e">
        <v>#VALUE!</v>
      </c>
      <c r="F308" s="16"/>
      <c r="L308" s="16"/>
      <c r="M308" s="16"/>
      <c r="N308" s="16"/>
      <c r="T308" s="16"/>
    </row>
    <row r="309" ht="22.5" customHeight="1">
      <c r="A309" s="17" t="e">
        <v>#VALUE!</v>
      </c>
      <c r="B309" s="17" t="e">
        <v>#VALUE!</v>
      </c>
      <c r="C309" s="7"/>
      <c r="D309" s="17" t="e">
        <v>#VALUE!</v>
      </c>
      <c r="E309" s="7" t="e">
        <v>#VALUE!</v>
      </c>
      <c r="F309" s="16"/>
      <c r="L309" s="16"/>
      <c r="M309" s="16"/>
      <c r="N309" s="16"/>
      <c r="T309" s="16"/>
    </row>
    <row r="310" ht="22.5" customHeight="1">
      <c r="A310" s="17" t="e">
        <v>#VALUE!</v>
      </c>
      <c r="B310" s="17" t="e">
        <v>#VALUE!</v>
      </c>
      <c r="C310" s="7"/>
      <c r="D310" s="17" t="e">
        <v>#VALUE!</v>
      </c>
      <c r="E310" s="7" t="e">
        <v>#VALUE!</v>
      </c>
      <c r="F310" s="16"/>
      <c r="L310" s="16"/>
      <c r="M310" s="16"/>
      <c r="N310" s="16"/>
      <c r="T310" s="16"/>
    </row>
    <row r="311" ht="22.5" customHeight="1">
      <c r="A311" s="17" t="e">
        <v>#VALUE!</v>
      </c>
      <c r="B311" s="17" t="e">
        <v>#VALUE!</v>
      </c>
      <c r="C311" s="7"/>
      <c r="D311" s="17" t="e">
        <v>#VALUE!</v>
      </c>
      <c r="E311" s="7" t="e">
        <v>#VALUE!</v>
      </c>
      <c r="F311" s="16"/>
      <c r="L311" s="16"/>
      <c r="M311" s="16"/>
      <c r="N311" s="16"/>
      <c r="T311" s="16"/>
    </row>
    <row r="312" ht="22.5" customHeight="1">
      <c r="A312" s="17" t="e">
        <v>#VALUE!</v>
      </c>
      <c r="B312" s="17" t="e">
        <v>#VALUE!</v>
      </c>
      <c r="C312" s="7"/>
      <c r="D312" s="17" t="e">
        <v>#VALUE!</v>
      </c>
      <c r="E312" s="7" t="e">
        <v>#VALUE!</v>
      </c>
      <c r="F312" s="16"/>
      <c r="L312" s="16"/>
      <c r="M312" s="16"/>
      <c r="N312" s="16"/>
      <c r="T312" s="16"/>
    </row>
    <row r="313" ht="22.5" customHeight="1">
      <c r="A313" s="17" t="e">
        <v>#VALUE!</v>
      </c>
      <c r="B313" s="17" t="e">
        <v>#VALUE!</v>
      </c>
      <c r="C313" s="7"/>
      <c r="D313" s="17" t="e">
        <v>#VALUE!</v>
      </c>
      <c r="E313" s="7" t="e">
        <v>#VALUE!</v>
      </c>
      <c r="F313" s="16"/>
      <c r="L313" s="16"/>
      <c r="M313" s="16"/>
      <c r="N313" s="16"/>
      <c r="T313" s="16"/>
    </row>
    <row r="314" ht="22.5" customHeight="1">
      <c r="A314" s="17" t="e">
        <v>#VALUE!</v>
      </c>
      <c r="B314" s="17" t="e">
        <v>#VALUE!</v>
      </c>
      <c r="C314" s="7"/>
      <c r="D314" s="17" t="e">
        <v>#VALUE!</v>
      </c>
      <c r="E314" s="7" t="e">
        <v>#VALUE!</v>
      </c>
      <c r="F314" s="16"/>
      <c r="L314" s="16"/>
      <c r="M314" s="16"/>
      <c r="N314" s="16"/>
      <c r="T314" s="16"/>
    </row>
    <row r="315" ht="22.5" customHeight="1">
      <c r="A315" s="17" t="e">
        <v>#VALUE!</v>
      </c>
      <c r="B315" s="17" t="e">
        <v>#VALUE!</v>
      </c>
      <c r="C315" s="7"/>
      <c r="D315" s="17" t="e">
        <v>#VALUE!</v>
      </c>
      <c r="E315" s="7" t="e">
        <v>#VALUE!</v>
      </c>
      <c r="F315" s="16"/>
      <c r="L315" s="16"/>
      <c r="M315" s="16"/>
      <c r="N315" s="16"/>
      <c r="T315" s="16"/>
    </row>
    <row r="316" ht="22.5" customHeight="1">
      <c r="A316" s="17" t="e">
        <v>#VALUE!</v>
      </c>
      <c r="B316" s="17" t="e">
        <v>#VALUE!</v>
      </c>
      <c r="C316" s="7"/>
      <c r="D316" s="17" t="e">
        <v>#VALUE!</v>
      </c>
      <c r="E316" s="7" t="e">
        <v>#VALUE!</v>
      </c>
      <c r="F316" s="16"/>
      <c r="L316" s="16"/>
      <c r="M316" s="16"/>
      <c r="N316" s="16"/>
      <c r="T316" s="16"/>
    </row>
    <row r="317" ht="22.5" customHeight="1">
      <c r="A317" s="17" t="e">
        <v>#VALUE!</v>
      </c>
      <c r="B317" s="17" t="e">
        <v>#VALUE!</v>
      </c>
      <c r="C317" s="7"/>
      <c r="D317" s="17" t="e">
        <v>#VALUE!</v>
      </c>
      <c r="E317" s="7" t="e">
        <v>#VALUE!</v>
      </c>
      <c r="F317" s="16"/>
      <c r="L317" s="16"/>
      <c r="M317" s="16"/>
      <c r="N317" s="16"/>
      <c r="T317" s="16"/>
    </row>
    <row r="318" ht="22.5" customHeight="1">
      <c r="A318" s="17" t="e">
        <v>#VALUE!</v>
      </c>
      <c r="B318" s="17" t="e">
        <v>#VALUE!</v>
      </c>
      <c r="C318" s="7"/>
      <c r="D318" s="17" t="e">
        <v>#VALUE!</v>
      </c>
      <c r="E318" s="7" t="e">
        <v>#VALUE!</v>
      </c>
      <c r="F318" s="16"/>
      <c r="L318" s="16"/>
      <c r="M318" s="16"/>
      <c r="N318" s="16"/>
      <c r="T318" s="16"/>
    </row>
    <row r="319" ht="22.5" customHeight="1">
      <c r="A319" s="17" t="e">
        <v>#VALUE!</v>
      </c>
      <c r="B319" s="17" t="e">
        <v>#VALUE!</v>
      </c>
      <c r="C319" s="7"/>
      <c r="D319" s="17" t="e">
        <v>#VALUE!</v>
      </c>
      <c r="E319" s="7" t="e">
        <v>#VALUE!</v>
      </c>
      <c r="F319" s="16"/>
      <c r="L319" s="16"/>
      <c r="M319" s="16"/>
      <c r="N319" s="16"/>
      <c r="T319" s="16"/>
    </row>
    <row r="320" ht="22.5" customHeight="1">
      <c r="A320" s="17" t="e">
        <v>#VALUE!</v>
      </c>
      <c r="B320" s="17" t="e">
        <v>#VALUE!</v>
      </c>
      <c r="C320" s="7"/>
      <c r="D320" s="17" t="e">
        <v>#VALUE!</v>
      </c>
      <c r="E320" s="7" t="e">
        <v>#VALUE!</v>
      </c>
      <c r="F320" s="16"/>
      <c r="L320" s="16"/>
      <c r="M320" s="16"/>
      <c r="N320" s="16"/>
      <c r="T320" s="16"/>
    </row>
    <row r="321" ht="22.5" customHeight="1">
      <c r="A321" s="17" t="e">
        <v>#VALUE!</v>
      </c>
      <c r="B321" s="17" t="e">
        <v>#VALUE!</v>
      </c>
      <c r="C321" s="7"/>
      <c r="D321" s="17" t="e">
        <v>#VALUE!</v>
      </c>
      <c r="E321" s="7" t="e">
        <v>#VALUE!</v>
      </c>
      <c r="F321" s="16"/>
      <c r="L321" s="16"/>
      <c r="M321" s="16"/>
      <c r="N321" s="16"/>
      <c r="T321" s="16"/>
    </row>
    <row r="322" ht="22.5" customHeight="1">
      <c r="A322" s="17" t="e">
        <v>#VALUE!</v>
      </c>
      <c r="B322" s="17" t="e">
        <v>#VALUE!</v>
      </c>
      <c r="C322" s="7"/>
      <c r="D322" s="17" t="e">
        <v>#VALUE!</v>
      </c>
      <c r="E322" s="7" t="e">
        <v>#VALUE!</v>
      </c>
      <c r="F322" s="16"/>
      <c r="L322" s="16"/>
      <c r="M322" s="16"/>
      <c r="N322" s="16"/>
      <c r="T322" s="16"/>
    </row>
    <row r="323" ht="22.5" customHeight="1">
      <c r="A323" s="17" t="e">
        <v>#VALUE!</v>
      </c>
      <c r="B323" s="17" t="e">
        <v>#VALUE!</v>
      </c>
      <c r="C323" s="7"/>
      <c r="D323" s="17" t="e">
        <v>#VALUE!</v>
      </c>
      <c r="E323" s="7" t="e">
        <v>#VALUE!</v>
      </c>
      <c r="F323" s="16"/>
      <c r="L323" s="16"/>
      <c r="M323" s="16"/>
      <c r="N323" s="16"/>
      <c r="T323" s="16"/>
    </row>
    <row r="324" ht="22.5" customHeight="1">
      <c r="A324" s="17" t="e">
        <v>#VALUE!</v>
      </c>
      <c r="B324" s="17" t="e">
        <v>#VALUE!</v>
      </c>
      <c r="C324" s="7"/>
      <c r="D324" s="17" t="e">
        <v>#VALUE!</v>
      </c>
      <c r="E324" s="7" t="e">
        <v>#VALUE!</v>
      </c>
      <c r="F324" s="16"/>
      <c r="L324" s="16"/>
      <c r="M324" s="16"/>
      <c r="N324" s="16"/>
      <c r="T324" s="16"/>
    </row>
    <row r="325" ht="22.5" customHeight="1">
      <c r="A325" s="17" t="e">
        <v>#VALUE!</v>
      </c>
      <c r="B325" s="17" t="e">
        <v>#VALUE!</v>
      </c>
      <c r="C325" s="7"/>
      <c r="D325" s="17" t="e">
        <v>#VALUE!</v>
      </c>
      <c r="E325" s="7" t="e">
        <v>#VALUE!</v>
      </c>
      <c r="F325" s="16"/>
      <c r="L325" s="16"/>
      <c r="M325" s="16"/>
      <c r="N325" s="16"/>
      <c r="T325" s="16"/>
    </row>
    <row r="326" ht="22.5" customHeight="1">
      <c r="A326" s="17" t="e">
        <v>#VALUE!</v>
      </c>
      <c r="B326" s="17" t="e">
        <v>#VALUE!</v>
      </c>
      <c r="C326" s="7"/>
      <c r="D326" s="17" t="e">
        <v>#VALUE!</v>
      </c>
      <c r="E326" s="7" t="e">
        <v>#VALUE!</v>
      </c>
      <c r="F326" s="16"/>
      <c r="L326" s="16"/>
      <c r="M326" s="16"/>
      <c r="N326" s="16"/>
      <c r="T326" s="16"/>
    </row>
    <row r="327" ht="22.5" customHeight="1">
      <c r="A327" s="17" t="e">
        <v>#VALUE!</v>
      </c>
      <c r="B327" s="17" t="e">
        <v>#VALUE!</v>
      </c>
      <c r="C327" s="7"/>
      <c r="D327" s="17" t="e">
        <v>#VALUE!</v>
      </c>
      <c r="E327" s="7" t="e">
        <v>#VALUE!</v>
      </c>
      <c r="F327" s="16"/>
      <c r="L327" s="16"/>
      <c r="M327" s="16"/>
      <c r="N327" s="16"/>
      <c r="T327" s="16"/>
    </row>
    <row r="328" ht="22.5" customHeight="1">
      <c r="A328" s="17" t="e">
        <v>#VALUE!</v>
      </c>
      <c r="B328" s="17" t="e">
        <v>#VALUE!</v>
      </c>
      <c r="C328" s="7"/>
      <c r="D328" s="17" t="e">
        <v>#VALUE!</v>
      </c>
      <c r="E328" s="7" t="e">
        <v>#VALUE!</v>
      </c>
      <c r="F328" s="16"/>
      <c r="L328" s="16"/>
      <c r="M328" s="16"/>
      <c r="N328" s="16"/>
      <c r="T328" s="16"/>
    </row>
    <row r="329" ht="22.5" customHeight="1">
      <c r="A329" s="17" t="e">
        <v>#VALUE!</v>
      </c>
      <c r="B329" s="17" t="e">
        <v>#VALUE!</v>
      </c>
      <c r="C329" s="7"/>
      <c r="D329" s="17" t="e">
        <v>#VALUE!</v>
      </c>
      <c r="E329" s="7" t="e">
        <v>#VALUE!</v>
      </c>
      <c r="F329" s="16"/>
      <c r="L329" s="16"/>
      <c r="M329" s="16"/>
      <c r="N329" s="16"/>
      <c r="T329" s="16"/>
    </row>
    <row r="330" ht="22.5" customHeight="1">
      <c r="A330" s="17" t="e">
        <v>#VALUE!</v>
      </c>
      <c r="B330" s="17" t="e">
        <v>#VALUE!</v>
      </c>
      <c r="C330" s="7"/>
      <c r="D330" s="17" t="e">
        <v>#VALUE!</v>
      </c>
      <c r="E330" s="7" t="e">
        <v>#VALUE!</v>
      </c>
      <c r="F330" s="16"/>
      <c r="L330" s="16"/>
      <c r="M330" s="16"/>
      <c r="N330" s="16"/>
      <c r="T330" s="16"/>
    </row>
    <row r="331" ht="22.5" customHeight="1">
      <c r="A331" s="17" t="e">
        <v>#VALUE!</v>
      </c>
      <c r="B331" s="17" t="e">
        <v>#VALUE!</v>
      </c>
      <c r="C331" s="7"/>
      <c r="D331" s="17" t="e">
        <v>#VALUE!</v>
      </c>
      <c r="E331" s="7" t="e">
        <v>#VALUE!</v>
      </c>
      <c r="F331" s="16"/>
      <c r="L331" s="16"/>
      <c r="M331" s="16"/>
      <c r="N331" s="16"/>
      <c r="T331" s="16"/>
    </row>
    <row r="332" ht="22.5" customHeight="1">
      <c r="A332" s="17" t="e">
        <v>#VALUE!</v>
      </c>
      <c r="B332" s="17" t="e">
        <v>#VALUE!</v>
      </c>
      <c r="C332" s="7"/>
      <c r="D332" s="17" t="e">
        <v>#VALUE!</v>
      </c>
      <c r="E332" s="7" t="e">
        <v>#VALUE!</v>
      </c>
      <c r="F332" s="16"/>
      <c r="L332" s="16"/>
      <c r="M332" s="16"/>
      <c r="N332" s="16"/>
      <c r="T332" s="16"/>
    </row>
    <row r="333" ht="22.5" customHeight="1">
      <c r="A333" s="17" t="e">
        <v>#VALUE!</v>
      </c>
      <c r="B333" s="17" t="e">
        <v>#VALUE!</v>
      </c>
      <c r="C333" s="7"/>
      <c r="D333" s="17" t="e">
        <v>#VALUE!</v>
      </c>
      <c r="E333" s="7" t="e">
        <v>#VALUE!</v>
      </c>
      <c r="F333" s="16"/>
      <c r="L333" s="16"/>
      <c r="M333" s="16"/>
      <c r="N333" s="16"/>
      <c r="T333" s="16"/>
    </row>
    <row r="334" ht="22.5" customHeight="1">
      <c r="A334" s="17" t="e">
        <v>#VALUE!</v>
      </c>
      <c r="B334" s="17" t="e">
        <v>#VALUE!</v>
      </c>
      <c r="C334" s="7"/>
      <c r="D334" s="17" t="e">
        <v>#VALUE!</v>
      </c>
      <c r="E334" s="7" t="e">
        <v>#VALUE!</v>
      </c>
      <c r="F334" s="16"/>
      <c r="L334" s="16"/>
      <c r="M334" s="16"/>
      <c r="N334" s="16"/>
      <c r="T334" s="16"/>
    </row>
    <row r="335" ht="22.5" customHeight="1">
      <c r="A335" s="17" t="e">
        <v>#VALUE!</v>
      </c>
      <c r="B335" s="17" t="e">
        <v>#VALUE!</v>
      </c>
      <c r="C335" s="7"/>
      <c r="D335" s="17" t="e">
        <v>#VALUE!</v>
      </c>
      <c r="E335" s="7" t="e">
        <v>#VALUE!</v>
      </c>
      <c r="F335" s="16"/>
      <c r="L335" s="16"/>
      <c r="M335" s="16"/>
      <c r="N335" s="16"/>
      <c r="T335" s="16"/>
    </row>
    <row r="336" ht="22.5" customHeight="1">
      <c r="A336" s="17" t="e">
        <v>#VALUE!</v>
      </c>
      <c r="B336" s="17" t="e">
        <v>#VALUE!</v>
      </c>
      <c r="C336" s="7"/>
      <c r="D336" s="17" t="e">
        <v>#VALUE!</v>
      </c>
      <c r="E336" s="7" t="e">
        <v>#VALUE!</v>
      </c>
      <c r="F336" s="16"/>
      <c r="L336" s="16"/>
      <c r="M336" s="16"/>
      <c r="N336" s="16"/>
      <c r="T336" s="16"/>
    </row>
    <row r="337" ht="22.5" customHeight="1">
      <c r="A337" s="17" t="e">
        <v>#VALUE!</v>
      </c>
      <c r="B337" s="17" t="e">
        <v>#VALUE!</v>
      </c>
      <c r="C337" s="7"/>
      <c r="D337" s="17" t="e">
        <v>#VALUE!</v>
      </c>
      <c r="E337" s="7" t="e">
        <v>#VALUE!</v>
      </c>
      <c r="F337" s="16"/>
      <c r="L337" s="16"/>
      <c r="M337" s="16"/>
      <c r="N337" s="16"/>
      <c r="T337" s="16"/>
    </row>
    <row r="338" ht="22.5" customHeight="1">
      <c r="A338" s="17" t="e">
        <v>#VALUE!</v>
      </c>
      <c r="B338" s="17" t="e">
        <v>#VALUE!</v>
      </c>
      <c r="C338" s="7"/>
      <c r="D338" s="17" t="e">
        <v>#VALUE!</v>
      </c>
      <c r="E338" s="7" t="e">
        <v>#VALUE!</v>
      </c>
      <c r="F338" s="16"/>
      <c r="L338" s="16"/>
      <c r="M338" s="16"/>
      <c r="N338" s="16"/>
      <c r="T338" s="16"/>
    </row>
    <row r="339" ht="22.5" customHeight="1">
      <c r="A339" s="17" t="e">
        <v>#VALUE!</v>
      </c>
      <c r="B339" s="17" t="e">
        <v>#VALUE!</v>
      </c>
      <c r="C339" s="7"/>
      <c r="D339" s="17" t="e">
        <v>#VALUE!</v>
      </c>
      <c r="E339" s="7" t="e">
        <v>#VALUE!</v>
      </c>
      <c r="F339" s="16"/>
      <c r="L339" s="16"/>
      <c r="M339" s="16"/>
      <c r="N339" s="16"/>
      <c r="T339" s="16"/>
    </row>
    <row r="340" ht="22.5" customHeight="1">
      <c r="A340" s="17" t="e">
        <v>#VALUE!</v>
      </c>
      <c r="B340" s="17" t="e">
        <v>#VALUE!</v>
      </c>
      <c r="C340" s="7"/>
      <c r="D340" s="17" t="e">
        <v>#VALUE!</v>
      </c>
      <c r="E340" s="7" t="e">
        <v>#VALUE!</v>
      </c>
      <c r="F340" s="16"/>
      <c r="L340" s="16"/>
      <c r="M340" s="16"/>
      <c r="N340" s="16"/>
      <c r="T340" s="16"/>
    </row>
    <row r="341" ht="22.5" customHeight="1">
      <c r="A341" s="17" t="e">
        <v>#VALUE!</v>
      </c>
      <c r="B341" s="17" t="e">
        <v>#VALUE!</v>
      </c>
      <c r="C341" s="7"/>
      <c r="D341" s="17" t="e">
        <v>#VALUE!</v>
      </c>
      <c r="E341" s="7" t="e">
        <v>#VALUE!</v>
      </c>
      <c r="F341" s="16"/>
      <c r="L341" s="16"/>
      <c r="M341" s="16"/>
      <c r="N341" s="16"/>
      <c r="T341" s="16"/>
    </row>
    <row r="342" ht="22.5" customHeight="1">
      <c r="A342" s="17" t="e">
        <v>#VALUE!</v>
      </c>
      <c r="B342" s="17" t="e">
        <v>#VALUE!</v>
      </c>
      <c r="C342" s="7"/>
      <c r="D342" s="17" t="e">
        <v>#VALUE!</v>
      </c>
      <c r="E342" s="7" t="e">
        <v>#VALUE!</v>
      </c>
      <c r="F342" s="16"/>
      <c r="L342" s="16"/>
      <c r="M342" s="16"/>
      <c r="N342" s="16"/>
      <c r="T342" s="16"/>
    </row>
    <row r="343" ht="22.5" customHeight="1">
      <c r="A343" s="17" t="e">
        <v>#VALUE!</v>
      </c>
      <c r="B343" s="17" t="e">
        <v>#VALUE!</v>
      </c>
      <c r="C343" s="7"/>
      <c r="D343" s="17" t="e">
        <v>#VALUE!</v>
      </c>
      <c r="E343" s="7" t="e">
        <v>#VALUE!</v>
      </c>
      <c r="F343" s="16"/>
      <c r="L343" s="16"/>
      <c r="M343" s="16"/>
      <c r="N343" s="16"/>
      <c r="T343" s="16"/>
    </row>
    <row r="344" ht="22.5" customHeight="1">
      <c r="A344" s="17" t="e">
        <v>#VALUE!</v>
      </c>
      <c r="B344" s="17" t="e">
        <v>#VALUE!</v>
      </c>
      <c r="C344" s="7"/>
      <c r="D344" s="17" t="e">
        <v>#VALUE!</v>
      </c>
      <c r="E344" s="7" t="e">
        <v>#VALUE!</v>
      </c>
      <c r="F344" s="16"/>
      <c r="L344" s="16"/>
      <c r="M344" s="16"/>
      <c r="N344" s="16"/>
      <c r="T344" s="16"/>
    </row>
    <row r="345" ht="22.5" customHeight="1">
      <c r="A345" s="17" t="e">
        <v>#VALUE!</v>
      </c>
      <c r="B345" s="17" t="e">
        <v>#VALUE!</v>
      </c>
      <c r="C345" s="7"/>
      <c r="D345" s="17" t="e">
        <v>#VALUE!</v>
      </c>
      <c r="E345" s="7" t="e">
        <v>#VALUE!</v>
      </c>
      <c r="F345" s="16"/>
      <c r="L345" s="16"/>
      <c r="M345" s="16"/>
      <c r="N345" s="16"/>
      <c r="T345" s="16"/>
    </row>
    <row r="346" ht="22.5" customHeight="1">
      <c r="A346" s="17" t="e">
        <v>#VALUE!</v>
      </c>
      <c r="B346" s="17" t="e">
        <v>#VALUE!</v>
      </c>
      <c r="C346" s="7"/>
      <c r="D346" s="17" t="e">
        <v>#VALUE!</v>
      </c>
      <c r="E346" s="7" t="e">
        <v>#VALUE!</v>
      </c>
      <c r="F346" s="16"/>
      <c r="L346" s="16"/>
      <c r="M346" s="16"/>
      <c r="N346" s="16"/>
      <c r="T346" s="16"/>
    </row>
    <row r="347" ht="22.5" customHeight="1">
      <c r="A347" s="17" t="e">
        <v>#VALUE!</v>
      </c>
      <c r="B347" s="17" t="e">
        <v>#VALUE!</v>
      </c>
      <c r="C347" s="7"/>
      <c r="D347" s="17" t="e">
        <v>#VALUE!</v>
      </c>
      <c r="E347" s="7" t="e">
        <v>#VALUE!</v>
      </c>
      <c r="F347" s="16"/>
      <c r="L347" s="16"/>
      <c r="M347" s="16"/>
      <c r="N347" s="16"/>
      <c r="T347" s="16"/>
    </row>
    <row r="348" ht="22.5" customHeight="1">
      <c r="A348" s="17" t="e">
        <v>#VALUE!</v>
      </c>
      <c r="B348" s="17" t="e">
        <v>#VALUE!</v>
      </c>
      <c r="C348" s="7"/>
      <c r="D348" s="17" t="e">
        <v>#VALUE!</v>
      </c>
      <c r="E348" s="7" t="e">
        <v>#VALUE!</v>
      </c>
      <c r="F348" s="16"/>
      <c r="L348" s="16"/>
      <c r="M348" s="16"/>
      <c r="N348" s="16"/>
      <c r="T348" s="16"/>
    </row>
    <row r="349" ht="22.5" customHeight="1">
      <c r="A349" s="17" t="e">
        <v>#VALUE!</v>
      </c>
      <c r="B349" s="17" t="e">
        <v>#VALUE!</v>
      </c>
      <c r="C349" s="7"/>
      <c r="D349" s="17" t="e">
        <v>#VALUE!</v>
      </c>
      <c r="E349" s="7" t="e">
        <v>#VALUE!</v>
      </c>
      <c r="F349" s="16"/>
      <c r="L349" s="16"/>
      <c r="M349" s="16"/>
      <c r="N349" s="16"/>
      <c r="T349" s="16"/>
    </row>
    <row r="350" ht="22.5" customHeight="1">
      <c r="A350" s="17" t="e">
        <v>#VALUE!</v>
      </c>
      <c r="B350" s="17" t="e">
        <v>#VALUE!</v>
      </c>
      <c r="C350" s="7"/>
      <c r="D350" s="17" t="e">
        <v>#VALUE!</v>
      </c>
      <c r="E350" s="7" t="e">
        <v>#VALUE!</v>
      </c>
      <c r="F350" s="16"/>
      <c r="L350" s="16"/>
      <c r="M350" s="16"/>
      <c r="N350" s="16"/>
      <c r="T350" s="16"/>
    </row>
    <row r="351" ht="22.5" customHeight="1">
      <c r="A351" s="17" t="e">
        <v>#VALUE!</v>
      </c>
      <c r="B351" s="17" t="e">
        <v>#VALUE!</v>
      </c>
      <c r="C351" s="7"/>
      <c r="D351" s="17" t="e">
        <v>#VALUE!</v>
      </c>
      <c r="E351" s="7" t="e">
        <v>#VALUE!</v>
      </c>
      <c r="F351" s="16"/>
      <c r="L351" s="16"/>
      <c r="M351" s="16"/>
      <c r="N351" s="16"/>
      <c r="T351" s="16"/>
    </row>
    <row r="352" ht="22.5" customHeight="1">
      <c r="A352" s="17" t="e">
        <v>#VALUE!</v>
      </c>
      <c r="B352" s="17" t="e">
        <v>#VALUE!</v>
      </c>
      <c r="C352" s="7"/>
      <c r="D352" s="17" t="e">
        <v>#VALUE!</v>
      </c>
      <c r="E352" s="7" t="e">
        <v>#VALUE!</v>
      </c>
      <c r="F352" s="16"/>
      <c r="L352" s="16"/>
      <c r="M352" s="16"/>
      <c r="N352" s="16"/>
      <c r="T352" s="16"/>
    </row>
    <row r="353" ht="22.5" customHeight="1">
      <c r="A353" s="17" t="e">
        <v>#VALUE!</v>
      </c>
      <c r="B353" s="17" t="e">
        <v>#VALUE!</v>
      </c>
      <c r="C353" s="7"/>
      <c r="D353" s="17" t="e">
        <v>#VALUE!</v>
      </c>
      <c r="E353" s="7" t="e">
        <v>#VALUE!</v>
      </c>
      <c r="F353" s="16"/>
      <c r="L353" s="16"/>
      <c r="M353" s="16"/>
      <c r="N353" s="16"/>
      <c r="T353" s="16"/>
    </row>
    <row r="354" ht="22.5" customHeight="1">
      <c r="A354" s="17" t="e">
        <v>#VALUE!</v>
      </c>
      <c r="B354" s="17" t="e">
        <v>#VALUE!</v>
      </c>
      <c r="C354" s="7"/>
      <c r="D354" s="17" t="e">
        <v>#VALUE!</v>
      </c>
      <c r="E354" s="7" t="e">
        <v>#VALUE!</v>
      </c>
      <c r="F354" s="16"/>
      <c r="L354" s="16"/>
      <c r="M354" s="16"/>
      <c r="N354" s="16"/>
      <c r="T354" s="16"/>
    </row>
    <row r="355" ht="22.5" customHeight="1">
      <c r="A355" s="17" t="e">
        <v>#VALUE!</v>
      </c>
      <c r="B355" s="17" t="e">
        <v>#VALUE!</v>
      </c>
      <c r="C355" s="7"/>
      <c r="D355" s="17" t="e">
        <v>#VALUE!</v>
      </c>
      <c r="E355" s="7" t="e">
        <v>#VALUE!</v>
      </c>
      <c r="F355" s="16"/>
      <c r="L355" s="16"/>
      <c r="M355" s="16"/>
      <c r="N355" s="16"/>
      <c r="T355" s="16"/>
    </row>
    <row r="356" ht="22.5" customHeight="1">
      <c r="A356" s="17" t="e">
        <v>#VALUE!</v>
      </c>
      <c r="B356" s="17" t="e">
        <v>#VALUE!</v>
      </c>
      <c r="C356" s="7"/>
      <c r="D356" s="17" t="e">
        <v>#VALUE!</v>
      </c>
      <c r="E356" s="7" t="e">
        <v>#VALUE!</v>
      </c>
      <c r="F356" s="16"/>
      <c r="L356" s="16"/>
      <c r="M356" s="16"/>
      <c r="N356" s="16"/>
      <c r="T356" s="16"/>
    </row>
    <row r="357" ht="22.5" customHeight="1">
      <c r="A357" s="17" t="e">
        <v>#VALUE!</v>
      </c>
      <c r="B357" s="17" t="e">
        <v>#VALUE!</v>
      </c>
      <c r="C357" s="7"/>
      <c r="D357" s="17" t="e">
        <v>#VALUE!</v>
      </c>
      <c r="E357" s="7" t="e">
        <v>#VALUE!</v>
      </c>
      <c r="F357" s="16"/>
      <c r="L357" s="16"/>
      <c r="M357" s="16"/>
      <c r="N357" s="16"/>
      <c r="T357" s="16"/>
    </row>
    <row r="358" ht="22.5" customHeight="1">
      <c r="A358" s="17" t="e">
        <v>#VALUE!</v>
      </c>
      <c r="B358" s="17" t="e">
        <v>#VALUE!</v>
      </c>
      <c r="C358" s="7"/>
      <c r="D358" s="17" t="e">
        <v>#VALUE!</v>
      </c>
      <c r="E358" s="7" t="e">
        <v>#VALUE!</v>
      </c>
      <c r="F358" s="16"/>
      <c r="L358" s="16"/>
      <c r="M358" s="16"/>
      <c r="N358" s="16"/>
      <c r="T358" s="16"/>
    </row>
    <row r="359" ht="22.5" customHeight="1">
      <c r="A359" s="17" t="e">
        <v>#VALUE!</v>
      </c>
      <c r="B359" s="17" t="e">
        <v>#VALUE!</v>
      </c>
      <c r="C359" s="7"/>
      <c r="D359" s="17" t="e">
        <v>#VALUE!</v>
      </c>
      <c r="E359" s="7" t="e">
        <v>#VALUE!</v>
      </c>
      <c r="F359" s="16"/>
      <c r="L359" s="16"/>
      <c r="M359" s="16"/>
      <c r="N359" s="16"/>
      <c r="T359" s="16"/>
    </row>
    <row r="360" ht="22.5" customHeight="1">
      <c r="A360" s="17" t="e">
        <v>#VALUE!</v>
      </c>
      <c r="B360" s="17" t="e">
        <v>#VALUE!</v>
      </c>
      <c r="C360" s="7"/>
      <c r="D360" s="17" t="e">
        <v>#VALUE!</v>
      </c>
      <c r="E360" s="7" t="e">
        <v>#VALUE!</v>
      </c>
      <c r="F360" s="16"/>
      <c r="L360" s="16"/>
      <c r="M360" s="16"/>
      <c r="N360" s="16"/>
      <c r="T360" s="16"/>
    </row>
    <row r="361" ht="22.5" customHeight="1">
      <c r="A361" s="17" t="e">
        <v>#VALUE!</v>
      </c>
      <c r="B361" s="17" t="e">
        <v>#VALUE!</v>
      </c>
      <c r="C361" s="7"/>
      <c r="D361" s="17" t="e">
        <v>#VALUE!</v>
      </c>
      <c r="E361" s="7" t="e">
        <v>#VALUE!</v>
      </c>
      <c r="F361" s="16"/>
      <c r="L361" s="16"/>
      <c r="M361" s="16"/>
      <c r="N361" s="16"/>
      <c r="T361" s="16"/>
    </row>
    <row r="362" ht="22.5" customHeight="1">
      <c r="A362" s="17" t="e">
        <v>#VALUE!</v>
      </c>
      <c r="B362" s="17" t="e">
        <v>#VALUE!</v>
      </c>
      <c r="C362" s="7"/>
      <c r="D362" s="17" t="e">
        <v>#VALUE!</v>
      </c>
      <c r="E362" s="7" t="e">
        <v>#VALUE!</v>
      </c>
      <c r="F362" s="16"/>
      <c r="L362" s="16"/>
      <c r="M362" s="16"/>
      <c r="N362" s="16"/>
      <c r="T362" s="16"/>
    </row>
    <row r="363" ht="22.5" customHeight="1">
      <c r="A363" s="17" t="e">
        <v>#VALUE!</v>
      </c>
      <c r="B363" s="17" t="e">
        <v>#VALUE!</v>
      </c>
      <c r="C363" s="7"/>
      <c r="D363" s="17" t="e">
        <v>#VALUE!</v>
      </c>
      <c r="E363" s="7" t="e">
        <v>#VALUE!</v>
      </c>
      <c r="F363" s="16"/>
      <c r="L363" s="16"/>
      <c r="M363" s="16"/>
      <c r="N363" s="16"/>
      <c r="T363" s="16"/>
    </row>
    <row r="364" ht="22.5" customHeight="1">
      <c r="A364" s="17" t="e">
        <v>#VALUE!</v>
      </c>
      <c r="B364" s="17" t="e">
        <v>#VALUE!</v>
      </c>
      <c r="C364" s="7"/>
      <c r="D364" s="17" t="e">
        <v>#VALUE!</v>
      </c>
      <c r="E364" s="7" t="e">
        <v>#VALUE!</v>
      </c>
      <c r="F364" s="16"/>
      <c r="L364" s="16"/>
      <c r="M364" s="16"/>
      <c r="N364" s="16"/>
      <c r="T364" s="16"/>
    </row>
    <row r="365" ht="22.5" customHeight="1">
      <c r="A365" s="17" t="e">
        <v>#VALUE!</v>
      </c>
      <c r="B365" s="17" t="e">
        <v>#VALUE!</v>
      </c>
      <c r="C365" s="7"/>
      <c r="D365" s="17" t="e">
        <v>#VALUE!</v>
      </c>
      <c r="E365" s="7" t="e">
        <v>#VALUE!</v>
      </c>
      <c r="F365" s="16"/>
      <c r="L365" s="16"/>
      <c r="M365" s="16"/>
      <c r="N365" s="16"/>
      <c r="T365" s="16"/>
    </row>
    <row r="366" ht="22.5" customHeight="1">
      <c r="A366" s="17" t="e">
        <v>#VALUE!</v>
      </c>
      <c r="B366" s="17" t="e">
        <v>#VALUE!</v>
      </c>
      <c r="C366" s="7"/>
      <c r="D366" s="17" t="e">
        <v>#VALUE!</v>
      </c>
      <c r="E366" s="7" t="e">
        <v>#VALUE!</v>
      </c>
      <c r="F366" s="16"/>
      <c r="L366" s="16"/>
      <c r="M366" s="16"/>
      <c r="N366" s="16"/>
      <c r="T366" s="16"/>
    </row>
    <row r="367" ht="22.5" customHeight="1">
      <c r="A367" s="17" t="e">
        <v>#VALUE!</v>
      </c>
      <c r="B367" s="17" t="e">
        <v>#VALUE!</v>
      </c>
      <c r="C367" s="7"/>
      <c r="D367" s="17" t="e">
        <v>#VALUE!</v>
      </c>
      <c r="E367" s="7" t="e">
        <v>#VALUE!</v>
      </c>
      <c r="F367" s="16"/>
      <c r="L367" s="16"/>
      <c r="M367" s="16"/>
      <c r="N367" s="16"/>
      <c r="T367" s="16"/>
    </row>
    <row r="368" ht="22.5" customHeight="1">
      <c r="A368" s="17" t="e">
        <v>#VALUE!</v>
      </c>
      <c r="B368" s="17" t="e">
        <v>#VALUE!</v>
      </c>
      <c r="C368" s="7"/>
      <c r="D368" s="17" t="e">
        <v>#VALUE!</v>
      </c>
      <c r="E368" s="7" t="e">
        <v>#VALUE!</v>
      </c>
      <c r="F368" s="16"/>
      <c r="L368" s="16"/>
      <c r="M368" s="16"/>
      <c r="N368" s="16"/>
      <c r="T368" s="16"/>
    </row>
    <row r="369" ht="22.5" customHeight="1">
      <c r="A369" s="17" t="e">
        <v>#VALUE!</v>
      </c>
      <c r="B369" s="17" t="e">
        <v>#VALUE!</v>
      </c>
      <c r="C369" s="7"/>
      <c r="D369" s="17" t="e">
        <v>#VALUE!</v>
      </c>
      <c r="E369" s="7" t="e">
        <v>#VALUE!</v>
      </c>
      <c r="F369" s="16"/>
      <c r="L369" s="16"/>
      <c r="M369" s="16"/>
      <c r="N369" s="16"/>
      <c r="T369" s="16"/>
    </row>
    <row r="370" ht="22.5" customHeight="1">
      <c r="A370" s="17" t="e">
        <v>#VALUE!</v>
      </c>
      <c r="B370" s="17" t="e">
        <v>#VALUE!</v>
      </c>
      <c r="C370" s="7"/>
      <c r="D370" s="17" t="e">
        <v>#VALUE!</v>
      </c>
      <c r="E370" s="7" t="e">
        <v>#VALUE!</v>
      </c>
      <c r="F370" s="16"/>
      <c r="L370" s="16"/>
      <c r="M370" s="16"/>
      <c r="N370" s="16"/>
      <c r="T370" s="16"/>
    </row>
    <row r="371" ht="22.5" customHeight="1">
      <c r="A371" s="17" t="e">
        <v>#VALUE!</v>
      </c>
      <c r="B371" s="17" t="e">
        <v>#VALUE!</v>
      </c>
      <c r="C371" s="7"/>
      <c r="D371" s="17" t="e">
        <v>#VALUE!</v>
      </c>
      <c r="E371" s="7" t="e">
        <v>#VALUE!</v>
      </c>
      <c r="F371" s="16"/>
      <c r="L371" s="16"/>
      <c r="M371" s="16"/>
      <c r="N371" s="16"/>
      <c r="T371" s="16"/>
    </row>
    <row r="372" ht="22.5" customHeight="1">
      <c r="A372" s="17" t="e">
        <v>#VALUE!</v>
      </c>
      <c r="B372" s="17" t="e">
        <v>#VALUE!</v>
      </c>
      <c r="C372" s="7"/>
      <c r="D372" s="17" t="e">
        <v>#VALUE!</v>
      </c>
      <c r="E372" s="7" t="e">
        <v>#VALUE!</v>
      </c>
      <c r="F372" s="16"/>
      <c r="L372" s="16"/>
      <c r="M372" s="16"/>
      <c r="N372" s="16"/>
      <c r="T372" s="16"/>
    </row>
    <row r="373" ht="22.5" customHeight="1">
      <c r="A373" s="17" t="e">
        <v>#VALUE!</v>
      </c>
      <c r="B373" s="17" t="e">
        <v>#VALUE!</v>
      </c>
      <c r="C373" s="7"/>
      <c r="D373" s="17" t="e">
        <v>#VALUE!</v>
      </c>
      <c r="E373" s="7" t="e">
        <v>#VALUE!</v>
      </c>
      <c r="F373" s="16"/>
      <c r="L373" s="16"/>
      <c r="M373" s="16"/>
      <c r="N373" s="16"/>
      <c r="T373" s="16"/>
    </row>
    <row r="374" ht="22.5" customHeight="1">
      <c r="A374" s="17" t="e">
        <v>#VALUE!</v>
      </c>
      <c r="B374" s="17" t="e">
        <v>#VALUE!</v>
      </c>
      <c r="C374" s="7"/>
      <c r="D374" s="17" t="e">
        <v>#VALUE!</v>
      </c>
      <c r="E374" s="7" t="e">
        <v>#VALUE!</v>
      </c>
      <c r="F374" s="16"/>
      <c r="L374" s="16"/>
      <c r="M374" s="16"/>
      <c r="N374" s="16"/>
      <c r="T374" s="16"/>
    </row>
    <row r="375" ht="22.5" customHeight="1">
      <c r="A375" s="17" t="e">
        <v>#VALUE!</v>
      </c>
      <c r="B375" s="17" t="e">
        <v>#VALUE!</v>
      </c>
      <c r="C375" s="7"/>
      <c r="D375" s="17" t="e">
        <v>#VALUE!</v>
      </c>
      <c r="E375" s="7" t="e">
        <v>#VALUE!</v>
      </c>
      <c r="F375" s="16"/>
      <c r="L375" s="16"/>
      <c r="M375" s="16"/>
      <c r="N375" s="16"/>
      <c r="T375" s="16"/>
    </row>
    <row r="376" ht="22.5" customHeight="1">
      <c r="A376" s="17" t="e">
        <v>#VALUE!</v>
      </c>
      <c r="B376" s="17" t="e">
        <v>#VALUE!</v>
      </c>
      <c r="C376" s="7"/>
      <c r="D376" s="17" t="e">
        <v>#VALUE!</v>
      </c>
      <c r="E376" s="7" t="e">
        <v>#VALUE!</v>
      </c>
      <c r="F376" s="16"/>
      <c r="L376" s="16"/>
      <c r="M376" s="16"/>
      <c r="N376" s="16"/>
      <c r="T376" s="16"/>
    </row>
    <row r="377" ht="22.5" customHeight="1">
      <c r="A377" s="17" t="e">
        <v>#VALUE!</v>
      </c>
      <c r="B377" s="17" t="e">
        <v>#VALUE!</v>
      </c>
      <c r="C377" s="7"/>
      <c r="D377" s="17" t="e">
        <v>#VALUE!</v>
      </c>
      <c r="E377" s="7" t="e">
        <v>#VALUE!</v>
      </c>
      <c r="F377" s="16"/>
      <c r="L377" s="16"/>
      <c r="M377" s="16"/>
      <c r="N377" s="16"/>
      <c r="T377" s="16"/>
    </row>
    <row r="378" ht="22.5" customHeight="1">
      <c r="A378" s="17" t="e">
        <v>#VALUE!</v>
      </c>
      <c r="B378" s="17" t="e">
        <v>#VALUE!</v>
      </c>
      <c r="C378" s="7"/>
      <c r="D378" s="17" t="e">
        <v>#VALUE!</v>
      </c>
      <c r="E378" s="7" t="e">
        <v>#VALUE!</v>
      </c>
      <c r="F378" s="16"/>
      <c r="L378" s="16"/>
      <c r="M378" s="16"/>
      <c r="N378" s="16"/>
      <c r="T378" s="16"/>
    </row>
    <row r="379" ht="22.5" customHeight="1">
      <c r="A379" s="17" t="e">
        <v>#VALUE!</v>
      </c>
      <c r="B379" s="17" t="e">
        <v>#VALUE!</v>
      </c>
      <c r="C379" s="7"/>
      <c r="D379" s="17" t="e">
        <v>#VALUE!</v>
      </c>
      <c r="E379" s="7" t="e">
        <v>#VALUE!</v>
      </c>
      <c r="F379" s="16"/>
      <c r="L379" s="16"/>
      <c r="M379" s="16"/>
      <c r="N379" s="16"/>
      <c r="T379" s="16"/>
    </row>
    <row r="380" ht="22.5" customHeight="1">
      <c r="A380" s="17" t="e">
        <v>#VALUE!</v>
      </c>
      <c r="B380" s="17" t="e">
        <v>#VALUE!</v>
      </c>
      <c r="C380" s="7"/>
      <c r="D380" s="17" t="e">
        <v>#VALUE!</v>
      </c>
      <c r="E380" s="7" t="e">
        <v>#VALUE!</v>
      </c>
      <c r="F380" s="16"/>
      <c r="L380" s="16"/>
      <c r="M380" s="16"/>
      <c r="N380" s="16"/>
      <c r="T380" s="16"/>
    </row>
    <row r="381" ht="22.5" customHeight="1">
      <c r="A381" s="17" t="e">
        <v>#VALUE!</v>
      </c>
      <c r="B381" s="17" t="e">
        <v>#VALUE!</v>
      </c>
      <c r="C381" s="7"/>
      <c r="D381" s="17" t="e">
        <v>#VALUE!</v>
      </c>
      <c r="E381" s="7" t="e">
        <v>#VALUE!</v>
      </c>
      <c r="F381" s="16"/>
      <c r="L381" s="16"/>
      <c r="M381" s="16"/>
      <c r="N381" s="16"/>
      <c r="T381" s="16"/>
    </row>
    <row r="382" ht="22.5" customHeight="1">
      <c r="A382" s="17" t="e">
        <v>#VALUE!</v>
      </c>
      <c r="B382" s="17" t="e">
        <v>#VALUE!</v>
      </c>
      <c r="C382" s="7"/>
      <c r="D382" s="17" t="e">
        <v>#VALUE!</v>
      </c>
      <c r="E382" s="7" t="e">
        <v>#VALUE!</v>
      </c>
      <c r="F382" s="16"/>
      <c r="L382" s="16"/>
      <c r="M382" s="16"/>
      <c r="N382" s="16"/>
      <c r="T382" s="16"/>
    </row>
    <row r="383" ht="22.5" customHeight="1">
      <c r="A383" s="17" t="e">
        <v>#VALUE!</v>
      </c>
      <c r="B383" s="17" t="e">
        <v>#VALUE!</v>
      </c>
      <c r="C383" s="7"/>
      <c r="D383" s="17" t="e">
        <v>#VALUE!</v>
      </c>
      <c r="E383" s="7" t="e">
        <v>#VALUE!</v>
      </c>
      <c r="F383" s="16"/>
      <c r="L383" s="16"/>
      <c r="M383" s="16"/>
      <c r="N383" s="16"/>
      <c r="T383" s="16"/>
    </row>
    <row r="384" ht="22.5" customHeight="1">
      <c r="A384" s="17" t="e">
        <v>#VALUE!</v>
      </c>
      <c r="B384" s="17" t="e">
        <v>#VALUE!</v>
      </c>
      <c r="C384" s="7"/>
      <c r="D384" s="17" t="e">
        <v>#VALUE!</v>
      </c>
      <c r="E384" s="7" t="e">
        <v>#VALUE!</v>
      </c>
      <c r="F384" s="16"/>
      <c r="L384" s="16"/>
      <c r="M384" s="16"/>
      <c r="N384" s="16"/>
      <c r="T384" s="16"/>
    </row>
    <row r="385" ht="22.5" customHeight="1">
      <c r="A385" s="17" t="e">
        <v>#VALUE!</v>
      </c>
      <c r="B385" s="17" t="e">
        <v>#VALUE!</v>
      </c>
      <c r="C385" s="7"/>
      <c r="D385" s="17" t="e">
        <v>#VALUE!</v>
      </c>
      <c r="E385" s="7" t="e">
        <v>#VALUE!</v>
      </c>
      <c r="F385" s="16"/>
      <c r="L385" s="16"/>
      <c r="M385" s="16"/>
      <c r="N385" s="16"/>
      <c r="T385" s="16"/>
    </row>
    <row r="386" ht="22.5" customHeight="1">
      <c r="A386" s="17" t="e">
        <v>#VALUE!</v>
      </c>
      <c r="B386" s="17" t="e">
        <v>#VALUE!</v>
      </c>
      <c r="C386" s="7"/>
      <c r="D386" s="17" t="e">
        <v>#VALUE!</v>
      </c>
      <c r="E386" s="7" t="e">
        <v>#VALUE!</v>
      </c>
      <c r="F386" s="16"/>
      <c r="L386" s="16"/>
      <c r="M386" s="16"/>
      <c r="N386" s="16"/>
      <c r="T386" s="16"/>
    </row>
    <row r="387" ht="22.5" customHeight="1">
      <c r="A387" s="17" t="e">
        <v>#VALUE!</v>
      </c>
      <c r="B387" s="17" t="e">
        <v>#VALUE!</v>
      </c>
      <c r="C387" s="7"/>
      <c r="D387" s="17" t="e">
        <v>#VALUE!</v>
      </c>
      <c r="E387" s="7" t="e">
        <v>#VALUE!</v>
      </c>
      <c r="F387" s="16"/>
      <c r="L387" s="16"/>
      <c r="M387" s="16"/>
      <c r="N387" s="16"/>
      <c r="T387" s="16"/>
    </row>
    <row r="388" ht="22.5" customHeight="1">
      <c r="A388" s="17" t="e">
        <v>#VALUE!</v>
      </c>
      <c r="B388" s="17" t="e">
        <v>#VALUE!</v>
      </c>
      <c r="C388" s="7"/>
      <c r="D388" s="17" t="e">
        <v>#VALUE!</v>
      </c>
      <c r="E388" s="7" t="e">
        <v>#VALUE!</v>
      </c>
      <c r="F388" s="16"/>
      <c r="L388" s="16"/>
      <c r="M388" s="16"/>
      <c r="N388" s="16"/>
      <c r="T388" s="16"/>
    </row>
    <row r="389" ht="22.5" customHeight="1">
      <c r="A389" s="17" t="e">
        <v>#VALUE!</v>
      </c>
      <c r="B389" s="17" t="e">
        <v>#VALUE!</v>
      </c>
      <c r="C389" s="7"/>
      <c r="D389" s="17" t="e">
        <v>#VALUE!</v>
      </c>
      <c r="E389" s="7" t="e">
        <v>#VALUE!</v>
      </c>
      <c r="F389" s="16"/>
      <c r="L389" s="16"/>
      <c r="M389" s="16"/>
      <c r="N389" s="16"/>
      <c r="T389" s="16"/>
    </row>
    <row r="390" ht="22.5" customHeight="1">
      <c r="A390" s="17" t="e">
        <v>#VALUE!</v>
      </c>
      <c r="B390" s="17" t="e">
        <v>#VALUE!</v>
      </c>
      <c r="C390" s="7"/>
      <c r="D390" s="17" t="e">
        <v>#VALUE!</v>
      </c>
      <c r="E390" s="7" t="e">
        <v>#VALUE!</v>
      </c>
      <c r="F390" s="16"/>
      <c r="L390" s="16"/>
      <c r="M390" s="16"/>
      <c r="N390" s="16"/>
      <c r="T390" s="16"/>
    </row>
    <row r="391" ht="22.5" customHeight="1">
      <c r="A391" s="17" t="e">
        <v>#VALUE!</v>
      </c>
      <c r="B391" s="17" t="e">
        <v>#VALUE!</v>
      </c>
      <c r="C391" s="7"/>
      <c r="D391" s="17" t="e">
        <v>#VALUE!</v>
      </c>
      <c r="E391" s="7" t="e">
        <v>#VALUE!</v>
      </c>
      <c r="F391" s="16"/>
      <c r="L391" s="16"/>
      <c r="M391" s="16"/>
      <c r="N391" s="16"/>
      <c r="T391" s="16"/>
    </row>
    <row r="392" ht="22.5" customHeight="1">
      <c r="A392" s="17" t="e">
        <v>#VALUE!</v>
      </c>
      <c r="B392" s="17" t="e">
        <v>#VALUE!</v>
      </c>
      <c r="C392" s="7"/>
      <c r="D392" s="17" t="e">
        <v>#VALUE!</v>
      </c>
      <c r="E392" s="7" t="e">
        <v>#VALUE!</v>
      </c>
      <c r="F392" s="16"/>
      <c r="L392" s="16"/>
      <c r="M392" s="16"/>
      <c r="N392" s="16"/>
      <c r="T392" s="16"/>
    </row>
    <row r="393" ht="22.5" customHeight="1">
      <c r="A393" s="17" t="e">
        <v>#VALUE!</v>
      </c>
      <c r="B393" s="17" t="e">
        <v>#VALUE!</v>
      </c>
      <c r="C393" s="7"/>
      <c r="D393" s="17" t="e">
        <v>#VALUE!</v>
      </c>
      <c r="E393" s="7" t="e">
        <v>#VALUE!</v>
      </c>
      <c r="F393" s="16"/>
      <c r="L393" s="16"/>
      <c r="M393" s="16"/>
      <c r="N393" s="16"/>
      <c r="T393" s="16"/>
    </row>
    <row r="394" ht="22.5" customHeight="1">
      <c r="A394" s="17" t="e">
        <v>#VALUE!</v>
      </c>
      <c r="B394" s="17" t="e">
        <v>#VALUE!</v>
      </c>
      <c r="C394" s="7"/>
      <c r="D394" s="17" t="e">
        <v>#VALUE!</v>
      </c>
      <c r="E394" s="7" t="e">
        <v>#VALUE!</v>
      </c>
      <c r="F394" s="16"/>
      <c r="L394" s="16"/>
      <c r="M394" s="16"/>
      <c r="N394" s="16"/>
      <c r="T394" s="16"/>
    </row>
    <row r="395" ht="22.5" customHeight="1">
      <c r="A395" s="17" t="e">
        <v>#VALUE!</v>
      </c>
      <c r="B395" s="17" t="e">
        <v>#VALUE!</v>
      </c>
      <c r="C395" s="7"/>
      <c r="D395" s="17" t="e">
        <v>#VALUE!</v>
      </c>
      <c r="E395" s="7" t="e">
        <v>#VALUE!</v>
      </c>
      <c r="F395" s="16"/>
      <c r="L395" s="16"/>
      <c r="M395" s="16"/>
      <c r="N395" s="16"/>
      <c r="T395" s="16"/>
    </row>
    <row r="396" ht="22.5" customHeight="1">
      <c r="A396" s="17" t="e">
        <v>#VALUE!</v>
      </c>
      <c r="B396" s="17" t="e">
        <v>#VALUE!</v>
      </c>
      <c r="C396" s="7"/>
      <c r="D396" s="17" t="e">
        <v>#VALUE!</v>
      </c>
      <c r="E396" s="7" t="e">
        <v>#VALUE!</v>
      </c>
      <c r="F396" s="16"/>
      <c r="L396" s="16"/>
      <c r="M396" s="16"/>
      <c r="N396" s="16"/>
      <c r="T396" s="16"/>
    </row>
    <row r="397" ht="22.5" customHeight="1">
      <c r="A397" s="17" t="e">
        <v>#VALUE!</v>
      </c>
      <c r="B397" s="17" t="e">
        <v>#VALUE!</v>
      </c>
      <c r="C397" s="7"/>
      <c r="D397" s="17" t="e">
        <v>#VALUE!</v>
      </c>
      <c r="E397" s="7" t="e">
        <v>#VALUE!</v>
      </c>
      <c r="F397" s="16"/>
      <c r="L397" s="16"/>
      <c r="M397" s="16"/>
      <c r="N397" s="16"/>
      <c r="T397" s="16"/>
    </row>
    <row r="398" ht="22.5" customHeight="1">
      <c r="A398" s="17" t="e">
        <v>#VALUE!</v>
      </c>
      <c r="B398" s="17" t="e">
        <v>#VALUE!</v>
      </c>
      <c r="C398" s="7"/>
      <c r="D398" s="17" t="e">
        <v>#VALUE!</v>
      </c>
      <c r="E398" s="7" t="e">
        <v>#VALUE!</v>
      </c>
      <c r="F398" s="16"/>
      <c r="L398" s="16"/>
      <c r="M398" s="16"/>
      <c r="N398" s="16"/>
      <c r="T398" s="16"/>
    </row>
    <row r="399" ht="22.5" customHeight="1">
      <c r="A399" s="17" t="e">
        <v>#VALUE!</v>
      </c>
      <c r="B399" s="17" t="e">
        <v>#VALUE!</v>
      </c>
      <c r="C399" s="7"/>
      <c r="D399" s="17" t="e">
        <v>#VALUE!</v>
      </c>
      <c r="E399" s="7" t="e">
        <v>#VALUE!</v>
      </c>
      <c r="F399" s="16"/>
      <c r="L399" s="16"/>
      <c r="M399" s="16"/>
      <c r="N399" s="16"/>
      <c r="T399" s="16"/>
    </row>
    <row r="400" ht="22.5" customHeight="1">
      <c r="A400" s="17" t="e">
        <v>#VALUE!</v>
      </c>
      <c r="B400" s="17" t="e">
        <v>#VALUE!</v>
      </c>
      <c r="C400" s="7"/>
      <c r="D400" s="17" t="e">
        <v>#VALUE!</v>
      </c>
      <c r="E400" s="7" t="e">
        <v>#VALUE!</v>
      </c>
      <c r="F400" s="16"/>
      <c r="L400" s="16"/>
      <c r="M400" s="16"/>
      <c r="N400" s="16"/>
      <c r="T400" s="16"/>
    </row>
    <row r="401" ht="22.5" customHeight="1">
      <c r="A401" s="17" t="e">
        <v>#VALUE!</v>
      </c>
      <c r="B401" s="17" t="e">
        <v>#VALUE!</v>
      </c>
      <c r="C401" s="7"/>
      <c r="D401" s="17" t="e">
        <v>#VALUE!</v>
      </c>
      <c r="E401" s="7" t="e">
        <v>#VALUE!</v>
      </c>
      <c r="F401" s="16"/>
      <c r="L401" s="16"/>
      <c r="M401" s="16"/>
      <c r="N401" s="16"/>
      <c r="T401" s="16"/>
    </row>
    <row r="402" ht="22.5" customHeight="1">
      <c r="A402" s="17" t="e">
        <v>#VALUE!</v>
      </c>
      <c r="B402" s="17" t="e">
        <v>#VALUE!</v>
      </c>
      <c r="C402" s="7"/>
      <c r="D402" s="17" t="e">
        <v>#VALUE!</v>
      </c>
      <c r="E402" s="7" t="e">
        <v>#VALUE!</v>
      </c>
      <c r="F402" s="16"/>
      <c r="L402" s="16"/>
      <c r="M402" s="16"/>
      <c r="N402" s="16"/>
      <c r="T402" s="16"/>
    </row>
    <row r="403" ht="22.5" customHeight="1">
      <c r="A403" s="17" t="e">
        <v>#VALUE!</v>
      </c>
      <c r="B403" s="17" t="e">
        <v>#VALUE!</v>
      </c>
      <c r="C403" s="7"/>
      <c r="D403" s="17" t="e">
        <v>#VALUE!</v>
      </c>
      <c r="E403" s="7" t="e">
        <v>#VALUE!</v>
      </c>
      <c r="F403" s="16"/>
      <c r="L403" s="16"/>
      <c r="M403" s="16"/>
      <c r="N403" s="16"/>
      <c r="T403" s="16"/>
    </row>
    <row r="404" ht="22.5" customHeight="1">
      <c r="A404" s="17" t="e">
        <v>#VALUE!</v>
      </c>
      <c r="B404" s="17" t="e">
        <v>#VALUE!</v>
      </c>
      <c r="C404" s="7"/>
      <c r="D404" s="17" t="e">
        <v>#VALUE!</v>
      </c>
      <c r="E404" s="7" t="e">
        <v>#VALUE!</v>
      </c>
      <c r="F404" s="16"/>
      <c r="L404" s="16"/>
      <c r="M404" s="16"/>
      <c r="N404" s="16"/>
      <c r="T404" s="16"/>
    </row>
    <row r="405" ht="22.5" customHeight="1">
      <c r="A405" s="17" t="e">
        <v>#VALUE!</v>
      </c>
      <c r="B405" s="17" t="e">
        <v>#VALUE!</v>
      </c>
      <c r="C405" s="7"/>
      <c r="D405" s="17" t="e">
        <v>#VALUE!</v>
      </c>
      <c r="E405" s="7" t="e">
        <v>#VALUE!</v>
      </c>
      <c r="F405" s="16"/>
      <c r="L405" s="16"/>
      <c r="M405" s="16"/>
      <c r="N405" s="16"/>
      <c r="T405" s="16"/>
    </row>
    <row r="406" ht="22.5" customHeight="1">
      <c r="A406" s="17" t="e">
        <v>#VALUE!</v>
      </c>
      <c r="B406" s="17" t="e">
        <v>#VALUE!</v>
      </c>
      <c r="C406" s="7"/>
      <c r="D406" s="17" t="e">
        <v>#VALUE!</v>
      </c>
      <c r="E406" s="7" t="e">
        <v>#VALUE!</v>
      </c>
      <c r="F406" s="16"/>
      <c r="L406" s="16"/>
      <c r="M406" s="16"/>
      <c r="N406" s="16"/>
      <c r="T406" s="16"/>
    </row>
    <row r="407" ht="22.5" customHeight="1">
      <c r="A407" s="17" t="e">
        <v>#VALUE!</v>
      </c>
      <c r="B407" s="17" t="e">
        <v>#VALUE!</v>
      </c>
      <c r="C407" s="7"/>
      <c r="D407" s="17" t="e">
        <v>#VALUE!</v>
      </c>
      <c r="E407" s="7" t="e">
        <v>#VALUE!</v>
      </c>
      <c r="F407" s="16"/>
      <c r="L407" s="16"/>
      <c r="M407" s="16"/>
      <c r="N407" s="16"/>
      <c r="T407" s="16"/>
    </row>
    <row r="408" ht="22.5" customHeight="1">
      <c r="A408" s="17" t="e">
        <v>#VALUE!</v>
      </c>
      <c r="B408" s="17" t="e">
        <v>#VALUE!</v>
      </c>
      <c r="C408" s="7"/>
      <c r="D408" s="17" t="e">
        <v>#VALUE!</v>
      </c>
      <c r="E408" s="7" t="e">
        <v>#VALUE!</v>
      </c>
      <c r="F408" s="16"/>
      <c r="L408" s="16"/>
      <c r="M408" s="16"/>
      <c r="N408" s="16"/>
      <c r="T408" s="16"/>
    </row>
    <row r="409" ht="22.5" customHeight="1">
      <c r="A409" s="17" t="e">
        <v>#VALUE!</v>
      </c>
      <c r="B409" s="17" t="e">
        <v>#VALUE!</v>
      </c>
      <c r="C409" s="7"/>
      <c r="D409" s="17" t="e">
        <v>#VALUE!</v>
      </c>
      <c r="E409" s="7" t="e">
        <v>#VALUE!</v>
      </c>
      <c r="F409" s="16"/>
      <c r="L409" s="16"/>
      <c r="M409" s="16"/>
      <c r="N409" s="16"/>
      <c r="T409" s="16"/>
    </row>
    <row r="410" ht="22.5" customHeight="1">
      <c r="A410" s="17" t="e">
        <v>#VALUE!</v>
      </c>
      <c r="B410" s="17" t="e">
        <v>#VALUE!</v>
      </c>
      <c r="C410" s="7"/>
      <c r="D410" s="17" t="e">
        <v>#VALUE!</v>
      </c>
      <c r="E410" s="7" t="e">
        <v>#VALUE!</v>
      </c>
      <c r="F410" s="16"/>
      <c r="L410" s="16"/>
      <c r="M410" s="16"/>
      <c r="N410" s="16"/>
      <c r="T410" s="16"/>
    </row>
    <row r="411" ht="22.5" customHeight="1">
      <c r="A411" s="17" t="e">
        <v>#VALUE!</v>
      </c>
      <c r="B411" s="17" t="e">
        <v>#VALUE!</v>
      </c>
      <c r="C411" s="7"/>
      <c r="D411" s="17" t="e">
        <v>#VALUE!</v>
      </c>
      <c r="E411" s="7" t="e">
        <v>#VALUE!</v>
      </c>
      <c r="F411" s="16"/>
      <c r="L411" s="16"/>
      <c r="M411" s="16"/>
      <c r="N411" s="16"/>
      <c r="T411" s="16"/>
    </row>
    <row r="412" ht="22.5" customHeight="1">
      <c r="A412" s="17" t="e">
        <v>#VALUE!</v>
      </c>
      <c r="B412" s="17" t="e">
        <v>#VALUE!</v>
      </c>
      <c r="C412" s="7"/>
      <c r="D412" s="17" t="e">
        <v>#VALUE!</v>
      </c>
      <c r="E412" s="7" t="e">
        <v>#VALUE!</v>
      </c>
      <c r="F412" s="16"/>
      <c r="L412" s="16"/>
      <c r="M412" s="16"/>
      <c r="N412" s="16"/>
      <c r="T412" s="16"/>
    </row>
    <row r="413" ht="22.5" customHeight="1">
      <c r="A413" s="17" t="e">
        <v>#VALUE!</v>
      </c>
      <c r="B413" s="17" t="e">
        <v>#VALUE!</v>
      </c>
      <c r="C413" s="7"/>
      <c r="D413" s="17" t="e">
        <v>#VALUE!</v>
      </c>
      <c r="E413" s="7" t="e">
        <v>#VALUE!</v>
      </c>
      <c r="F413" s="16"/>
      <c r="L413" s="16"/>
      <c r="M413" s="16"/>
      <c r="N413" s="16"/>
      <c r="T413" s="16"/>
    </row>
    <row r="414" ht="22.5" customHeight="1">
      <c r="A414" s="17" t="e">
        <v>#VALUE!</v>
      </c>
      <c r="B414" s="17" t="e">
        <v>#VALUE!</v>
      </c>
      <c r="C414" s="7"/>
      <c r="D414" s="17" t="e">
        <v>#VALUE!</v>
      </c>
      <c r="E414" s="7" t="e">
        <v>#VALUE!</v>
      </c>
      <c r="F414" s="16"/>
      <c r="L414" s="16"/>
      <c r="M414" s="16"/>
      <c r="N414" s="16"/>
      <c r="T414" s="16"/>
    </row>
    <row r="415" ht="22.5" customHeight="1">
      <c r="A415" s="17" t="e">
        <v>#VALUE!</v>
      </c>
      <c r="B415" s="17" t="e">
        <v>#VALUE!</v>
      </c>
      <c r="C415" s="7"/>
      <c r="D415" s="17" t="e">
        <v>#VALUE!</v>
      </c>
      <c r="E415" s="7" t="e">
        <v>#VALUE!</v>
      </c>
      <c r="F415" s="16"/>
      <c r="L415" s="16"/>
      <c r="M415" s="16"/>
      <c r="N415" s="16"/>
      <c r="T415" s="16"/>
    </row>
    <row r="416" ht="22.5" customHeight="1">
      <c r="A416" s="17" t="e">
        <v>#VALUE!</v>
      </c>
      <c r="B416" s="17" t="e">
        <v>#VALUE!</v>
      </c>
      <c r="C416" s="7"/>
      <c r="D416" s="17" t="e">
        <v>#VALUE!</v>
      </c>
      <c r="E416" s="7" t="e">
        <v>#VALUE!</v>
      </c>
      <c r="F416" s="16"/>
      <c r="L416" s="16"/>
      <c r="M416" s="16"/>
      <c r="N416" s="16"/>
      <c r="T416" s="16"/>
    </row>
    <row r="417" ht="22.5" customHeight="1">
      <c r="A417" s="17" t="e">
        <v>#VALUE!</v>
      </c>
      <c r="B417" s="17" t="e">
        <v>#VALUE!</v>
      </c>
      <c r="C417" s="7"/>
      <c r="D417" s="17" t="e">
        <v>#VALUE!</v>
      </c>
      <c r="E417" s="7" t="e">
        <v>#VALUE!</v>
      </c>
      <c r="F417" s="16"/>
      <c r="L417" s="16"/>
      <c r="M417" s="16"/>
      <c r="N417" s="16"/>
      <c r="T417" s="16"/>
    </row>
    <row r="418" ht="22.5" customHeight="1">
      <c r="A418" s="17" t="e">
        <v>#VALUE!</v>
      </c>
      <c r="B418" s="17" t="e">
        <v>#VALUE!</v>
      </c>
      <c r="C418" s="7"/>
      <c r="D418" s="17" t="e">
        <v>#VALUE!</v>
      </c>
      <c r="E418" s="7" t="e">
        <v>#VALUE!</v>
      </c>
      <c r="F418" s="16"/>
      <c r="L418" s="16"/>
      <c r="M418" s="16"/>
      <c r="N418" s="16"/>
      <c r="T418" s="16"/>
    </row>
    <row r="419" ht="22.5" customHeight="1">
      <c r="A419" s="17" t="e">
        <v>#VALUE!</v>
      </c>
      <c r="B419" s="17" t="e">
        <v>#VALUE!</v>
      </c>
      <c r="C419" s="7"/>
      <c r="D419" s="17" t="e">
        <v>#VALUE!</v>
      </c>
      <c r="E419" s="7" t="e">
        <v>#VALUE!</v>
      </c>
      <c r="F419" s="16"/>
      <c r="L419" s="16"/>
      <c r="M419" s="16"/>
      <c r="N419" s="16"/>
      <c r="T419" s="16"/>
    </row>
    <row r="420" ht="22.5" customHeight="1">
      <c r="A420" s="17" t="e">
        <v>#VALUE!</v>
      </c>
      <c r="B420" s="17" t="e">
        <v>#VALUE!</v>
      </c>
      <c r="C420" s="7"/>
      <c r="D420" s="17" t="e">
        <v>#VALUE!</v>
      </c>
      <c r="E420" s="7" t="e">
        <v>#VALUE!</v>
      </c>
      <c r="F420" s="16"/>
      <c r="L420" s="16"/>
      <c r="M420" s="16"/>
      <c r="N420" s="16"/>
      <c r="T420" s="16"/>
    </row>
    <row r="421" ht="22.5" customHeight="1">
      <c r="A421" s="17" t="e">
        <v>#VALUE!</v>
      </c>
      <c r="B421" s="17" t="e">
        <v>#VALUE!</v>
      </c>
      <c r="C421" s="7"/>
      <c r="D421" s="17" t="e">
        <v>#VALUE!</v>
      </c>
      <c r="E421" s="7" t="e">
        <v>#VALUE!</v>
      </c>
      <c r="F421" s="16"/>
      <c r="L421" s="16"/>
      <c r="M421" s="16"/>
      <c r="N421" s="16"/>
      <c r="T421" s="16"/>
    </row>
    <row r="422" ht="22.5" customHeight="1">
      <c r="A422" s="17" t="e">
        <v>#VALUE!</v>
      </c>
      <c r="B422" s="17" t="e">
        <v>#VALUE!</v>
      </c>
      <c r="C422" s="7"/>
      <c r="D422" s="17" t="e">
        <v>#VALUE!</v>
      </c>
      <c r="E422" s="7" t="e">
        <v>#VALUE!</v>
      </c>
      <c r="F422" s="16"/>
      <c r="L422" s="16"/>
      <c r="M422" s="16"/>
      <c r="N422" s="16"/>
      <c r="T422" s="16"/>
    </row>
    <row r="423" ht="22.5" customHeight="1">
      <c r="A423" s="17" t="e">
        <v>#VALUE!</v>
      </c>
      <c r="B423" s="17" t="e">
        <v>#VALUE!</v>
      </c>
      <c r="C423" s="7"/>
      <c r="D423" s="17" t="e">
        <v>#VALUE!</v>
      </c>
      <c r="E423" s="7" t="e">
        <v>#VALUE!</v>
      </c>
      <c r="F423" s="16"/>
      <c r="L423" s="16"/>
      <c r="M423" s="16"/>
      <c r="N423" s="16"/>
      <c r="T423" s="16"/>
    </row>
    <row r="424" ht="22.5" customHeight="1">
      <c r="A424" s="17" t="e">
        <v>#VALUE!</v>
      </c>
      <c r="B424" s="17" t="e">
        <v>#VALUE!</v>
      </c>
      <c r="C424" s="7"/>
      <c r="D424" s="17" t="e">
        <v>#VALUE!</v>
      </c>
      <c r="E424" s="7" t="e">
        <v>#VALUE!</v>
      </c>
      <c r="F424" s="16"/>
      <c r="L424" s="16"/>
      <c r="M424" s="16"/>
      <c r="N424" s="16"/>
      <c r="T424" s="16"/>
    </row>
    <row r="425" ht="22.5" customHeight="1">
      <c r="A425" s="17" t="e">
        <v>#VALUE!</v>
      </c>
      <c r="B425" s="17" t="e">
        <v>#VALUE!</v>
      </c>
      <c r="C425" s="7"/>
      <c r="D425" s="17" t="e">
        <v>#VALUE!</v>
      </c>
      <c r="E425" s="7" t="e">
        <v>#VALUE!</v>
      </c>
      <c r="F425" s="16"/>
      <c r="L425" s="16"/>
      <c r="M425" s="16"/>
      <c r="N425" s="16"/>
      <c r="T425" s="16"/>
    </row>
    <row r="426" ht="22.5" customHeight="1">
      <c r="A426" s="17" t="e">
        <v>#VALUE!</v>
      </c>
      <c r="B426" s="17" t="e">
        <v>#VALUE!</v>
      </c>
      <c r="C426" s="7"/>
      <c r="D426" s="17" t="e">
        <v>#VALUE!</v>
      </c>
      <c r="E426" s="7" t="e">
        <v>#VALUE!</v>
      </c>
      <c r="F426" s="16"/>
      <c r="L426" s="16"/>
      <c r="M426" s="16"/>
      <c r="N426" s="16"/>
      <c r="T426" s="16"/>
    </row>
    <row r="427" ht="22.5" customHeight="1">
      <c r="A427" s="17" t="e">
        <v>#VALUE!</v>
      </c>
      <c r="B427" s="17" t="e">
        <v>#VALUE!</v>
      </c>
      <c r="C427" s="7"/>
      <c r="D427" s="17" t="e">
        <v>#VALUE!</v>
      </c>
      <c r="E427" s="7" t="e">
        <v>#VALUE!</v>
      </c>
      <c r="F427" s="16"/>
      <c r="L427" s="16"/>
      <c r="M427" s="16"/>
      <c r="N427" s="16"/>
      <c r="T427" s="16"/>
    </row>
    <row r="428" ht="22.5" customHeight="1">
      <c r="A428" s="17" t="e">
        <v>#VALUE!</v>
      </c>
      <c r="B428" s="17" t="e">
        <v>#VALUE!</v>
      </c>
      <c r="C428" s="7"/>
      <c r="D428" s="17" t="e">
        <v>#VALUE!</v>
      </c>
      <c r="E428" s="7" t="e">
        <v>#VALUE!</v>
      </c>
      <c r="F428" s="16"/>
      <c r="L428" s="16"/>
      <c r="M428" s="16"/>
      <c r="N428" s="16"/>
      <c r="T428" s="16"/>
    </row>
    <row r="429" ht="22.5" customHeight="1">
      <c r="A429" s="17" t="e">
        <v>#VALUE!</v>
      </c>
      <c r="B429" s="17" t="e">
        <v>#VALUE!</v>
      </c>
      <c r="C429" s="7"/>
      <c r="D429" s="17" t="e">
        <v>#VALUE!</v>
      </c>
      <c r="E429" s="7" t="e">
        <v>#VALUE!</v>
      </c>
      <c r="F429" s="16"/>
      <c r="L429" s="16"/>
      <c r="M429" s="16"/>
      <c r="N429" s="16"/>
      <c r="T429" s="16"/>
    </row>
    <row r="430" ht="22.5" customHeight="1">
      <c r="A430" s="17" t="e">
        <v>#VALUE!</v>
      </c>
      <c r="B430" s="17" t="e">
        <v>#VALUE!</v>
      </c>
      <c r="C430" s="7"/>
      <c r="D430" s="17" t="e">
        <v>#VALUE!</v>
      </c>
      <c r="E430" s="7" t="e">
        <v>#VALUE!</v>
      </c>
      <c r="F430" s="16"/>
      <c r="L430" s="16"/>
      <c r="M430" s="16"/>
      <c r="N430" s="16"/>
      <c r="T430" s="16"/>
    </row>
    <row r="431" ht="22.5" customHeight="1">
      <c r="A431" s="17" t="e">
        <v>#VALUE!</v>
      </c>
      <c r="B431" s="17" t="e">
        <v>#VALUE!</v>
      </c>
      <c r="C431" s="7"/>
      <c r="D431" s="17" t="e">
        <v>#VALUE!</v>
      </c>
      <c r="E431" s="7" t="e">
        <v>#VALUE!</v>
      </c>
      <c r="F431" s="16"/>
      <c r="L431" s="16"/>
      <c r="M431" s="16"/>
      <c r="N431" s="16"/>
      <c r="T431" s="16"/>
    </row>
    <row r="432" ht="22.5" customHeight="1">
      <c r="A432" s="17" t="e">
        <v>#VALUE!</v>
      </c>
      <c r="B432" s="17" t="e">
        <v>#VALUE!</v>
      </c>
      <c r="C432" s="7"/>
      <c r="D432" s="17" t="e">
        <v>#VALUE!</v>
      </c>
      <c r="E432" s="7" t="e">
        <v>#VALUE!</v>
      </c>
      <c r="F432" s="16"/>
      <c r="L432" s="16"/>
      <c r="M432" s="16"/>
      <c r="N432" s="16"/>
      <c r="T432" s="16"/>
    </row>
    <row r="433" ht="22.5" customHeight="1">
      <c r="A433" s="17" t="e">
        <v>#VALUE!</v>
      </c>
      <c r="B433" s="17" t="e">
        <v>#VALUE!</v>
      </c>
      <c r="C433" s="7"/>
      <c r="D433" s="17" t="e">
        <v>#VALUE!</v>
      </c>
      <c r="E433" s="7" t="e">
        <v>#VALUE!</v>
      </c>
      <c r="F433" s="16"/>
      <c r="L433" s="16"/>
      <c r="M433" s="16"/>
      <c r="N433" s="16"/>
      <c r="T433" s="16"/>
    </row>
    <row r="434" ht="22.5" customHeight="1">
      <c r="A434" s="17" t="e">
        <v>#VALUE!</v>
      </c>
      <c r="B434" s="17" t="e">
        <v>#VALUE!</v>
      </c>
      <c r="C434" s="7"/>
      <c r="D434" s="17" t="e">
        <v>#VALUE!</v>
      </c>
      <c r="E434" s="7" t="e">
        <v>#VALUE!</v>
      </c>
      <c r="F434" s="16"/>
      <c r="L434" s="16"/>
      <c r="M434" s="16"/>
      <c r="N434" s="16"/>
      <c r="T434" s="16"/>
    </row>
    <row r="435" ht="22.5" customHeight="1">
      <c r="A435" s="17" t="e">
        <v>#VALUE!</v>
      </c>
      <c r="B435" s="17" t="e">
        <v>#VALUE!</v>
      </c>
      <c r="C435" s="7"/>
      <c r="D435" s="17" t="e">
        <v>#VALUE!</v>
      </c>
      <c r="E435" s="7" t="e">
        <v>#VALUE!</v>
      </c>
      <c r="F435" s="16"/>
      <c r="L435" s="16"/>
      <c r="M435" s="16"/>
      <c r="N435" s="16"/>
      <c r="T435" s="16"/>
    </row>
    <row r="436" ht="22.5" customHeight="1">
      <c r="A436" s="17" t="e">
        <v>#VALUE!</v>
      </c>
      <c r="B436" s="17" t="e">
        <v>#VALUE!</v>
      </c>
      <c r="C436" s="7"/>
      <c r="D436" s="17" t="e">
        <v>#VALUE!</v>
      </c>
      <c r="E436" s="7" t="e">
        <v>#VALUE!</v>
      </c>
      <c r="F436" s="16"/>
      <c r="L436" s="16"/>
      <c r="M436" s="16"/>
      <c r="N436" s="16"/>
      <c r="T436" s="16"/>
    </row>
    <row r="437" ht="22.5" customHeight="1">
      <c r="A437" s="17" t="e">
        <v>#VALUE!</v>
      </c>
      <c r="B437" s="17" t="e">
        <v>#VALUE!</v>
      </c>
      <c r="C437" s="7"/>
      <c r="D437" s="17" t="e">
        <v>#VALUE!</v>
      </c>
      <c r="E437" s="7" t="e">
        <v>#VALUE!</v>
      </c>
      <c r="F437" s="16"/>
      <c r="L437" s="16"/>
      <c r="M437" s="16"/>
      <c r="N437" s="16"/>
      <c r="T437" s="16"/>
    </row>
    <row r="438" ht="22.5" customHeight="1">
      <c r="A438" s="17" t="e">
        <v>#VALUE!</v>
      </c>
      <c r="B438" s="17" t="e">
        <v>#VALUE!</v>
      </c>
      <c r="C438" s="7"/>
      <c r="D438" s="17" t="e">
        <v>#VALUE!</v>
      </c>
      <c r="E438" s="7" t="e">
        <v>#VALUE!</v>
      </c>
      <c r="F438" s="16"/>
      <c r="L438" s="16"/>
      <c r="M438" s="16"/>
      <c r="N438" s="16"/>
      <c r="T438" s="16"/>
    </row>
    <row r="439" ht="22.5" customHeight="1">
      <c r="A439" s="17" t="e">
        <v>#VALUE!</v>
      </c>
      <c r="B439" s="17" t="e">
        <v>#VALUE!</v>
      </c>
      <c r="C439" s="7"/>
      <c r="D439" s="17" t="e">
        <v>#VALUE!</v>
      </c>
      <c r="E439" s="7" t="e">
        <v>#VALUE!</v>
      </c>
      <c r="F439" s="16"/>
      <c r="L439" s="16"/>
      <c r="M439" s="16"/>
      <c r="N439" s="16"/>
      <c r="T439" s="16"/>
    </row>
    <row r="440" ht="22.5" customHeight="1">
      <c r="A440" s="17" t="e">
        <v>#VALUE!</v>
      </c>
      <c r="B440" s="17" t="e">
        <v>#VALUE!</v>
      </c>
      <c r="C440" s="7"/>
      <c r="D440" s="17" t="e">
        <v>#VALUE!</v>
      </c>
      <c r="E440" s="7" t="e">
        <v>#VALUE!</v>
      </c>
      <c r="F440" s="16"/>
      <c r="L440" s="16"/>
      <c r="M440" s="16"/>
      <c r="N440" s="16"/>
      <c r="T440" s="16"/>
    </row>
    <row r="441" ht="22.5" customHeight="1">
      <c r="A441" s="17" t="e">
        <v>#VALUE!</v>
      </c>
      <c r="B441" s="17" t="e">
        <v>#VALUE!</v>
      </c>
      <c r="C441" s="7"/>
      <c r="D441" s="17" t="e">
        <v>#VALUE!</v>
      </c>
      <c r="E441" s="7" t="e">
        <v>#VALUE!</v>
      </c>
      <c r="F441" s="16"/>
      <c r="L441" s="16"/>
      <c r="M441" s="16"/>
      <c r="N441" s="16"/>
      <c r="T441" s="16"/>
    </row>
    <row r="442" ht="22.5" customHeight="1">
      <c r="A442" s="17" t="e">
        <v>#VALUE!</v>
      </c>
      <c r="B442" s="17" t="e">
        <v>#VALUE!</v>
      </c>
      <c r="C442" s="7"/>
      <c r="D442" s="17" t="e">
        <v>#VALUE!</v>
      </c>
      <c r="E442" s="7" t="e">
        <v>#VALUE!</v>
      </c>
      <c r="F442" s="16"/>
      <c r="L442" s="16"/>
      <c r="M442" s="16"/>
      <c r="N442" s="16"/>
      <c r="T442" s="16"/>
    </row>
    <row r="443" ht="22.5" customHeight="1">
      <c r="A443" s="17" t="e">
        <v>#VALUE!</v>
      </c>
      <c r="B443" s="17" t="e">
        <v>#VALUE!</v>
      </c>
      <c r="C443" s="7"/>
      <c r="D443" s="17" t="e">
        <v>#VALUE!</v>
      </c>
      <c r="E443" s="7" t="e">
        <v>#VALUE!</v>
      </c>
      <c r="F443" s="16"/>
      <c r="L443" s="16"/>
      <c r="M443" s="16"/>
      <c r="N443" s="16"/>
      <c r="T443" s="16"/>
    </row>
    <row r="444" ht="22.5" customHeight="1">
      <c r="A444" s="17" t="e">
        <v>#VALUE!</v>
      </c>
      <c r="B444" s="17" t="e">
        <v>#VALUE!</v>
      </c>
      <c r="C444" s="7"/>
      <c r="D444" s="17" t="e">
        <v>#VALUE!</v>
      </c>
      <c r="E444" s="7" t="e">
        <v>#VALUE!</v>
      </c>
      <c r="F444" s="16"/>
      <c r="L444" s="16"/>
      <c r="M444" s="16"/>
      <c r="N444" s="16"/>
      <c r="T444" s="16"/>
    </row>
    <row r="445" ht="22.5" customHeight="1">
      <c r="A445" s="17" t="e">
        <v>#VALUE!</v>
      </c>
      <c r="B445" s="17" t="e">
        <v>#VALUE!</v>
      </c>
      <c r="C445" s="7"/>
      <c r="D445" s="17" t="e">
        <v>#VALUE!</v>
      </c>
      <c r="E445" s="7" t="e">
        <v>#VALUE!</v>
      </c>
      <c r="F445" s="16"/>
      <c r="L445" s="16"/>
      <c r="M445" s="16"/>
      <c r="N445" s="16"/>
      <c r="T445" s="16"/>
    </row>
    <row r="446" ht="22.5" customHeight="1">
      <c r="A446" s="17" t="e">
        <v>#VALUE!</v>
      </c>
      <c r="B446" s="17" t="e">
        <v>#VALUE!</v>
      </c>
      <c r="C446" s="7"/>
      <c r="D446" s="17" t="e">
        <v>#VALUE!</v>
      </c>
      <c r="E446" s="7" t="e">
        <v>#VALUE!</v>
      </c>
      <c r="F446" s="16"/>
      <c r="L446" s="16"/>
      <c r="M446" s="16"/>
      <c r="N446" s="16"/>
      <c r="T446" s="16"/>
    </row>
    <row r="447" ht="22.5" customHeight="1">
      <c r="A447" s="17" t="e">
        <v>#VALUE!</v>
      </c>
      <c r="B447" s="17" t="e">
        <v>#VALUE!</v>
      </c>
      <c r="C447" s="7"/>
      <c r="D447" s="17" t="e">
        <v>#VALUE!</v>
      </c>
      <c r="E447" s="7" t="e">
        <v>#VALUE!</v>
      </c>
      <c r="F447" s="16"/>
      <c r="L447" s="16"/>
      <c r="M447" s="16"/>
      <c r="N447" s="16"/>
      <c r="T447" s="16"/>
    </row>
    <row r="448" ht="22.5" customHeight="1">
      <c r="A448" s="17" t="e">
        <v>#VALUE!</v>
      </c>
      <c r="B448" s="17" t="e">
        <v>#VALUE!</v>
      </c>
      <c r="C448" s="7"/>
      <c r="D448" s="17" t="e">
        <v>#VALUE!</v>
      </c>
      <c r="E448" s="7" t="e">
        <v>#VALUE!</v>
      </c>
      <c r="F448" s="16"/>
      <c r="L448" s="16"/>
      <c r="M448" s="16"/>
      <c r="N448" s="16"/>
      <c r="T448" s="16"/>
    </row>
    <row r="449" ht="22.5" customHeight="1">
      <c r="A449" s="17" t="e">
        <v>#VALUE!</v>
      </c>
      <c r="B449" s="17" t="e">
        <v>#VALUE!</v>
      </c>
      <c r="C449" s="7"/>
      <c r="D449" s="17" t="e">
        <v>#VALUE!</v>
      </c>
      <c r="E449" s="7" t="e">
        <v>#VALUE!</v>
      </c>
      <c r="F449" s="16"/>
      <c r="L449" s="16"/>
      <c r="M449" s="16"/>
      <c r="N449" s="16"/>
      <c r="T449" s="16"/>
    </row>
    <row r="450" ht="22.5" customHeight="1">
      <c r="A450" s="17" t="e">
        <v>#VALUE!</v>
      </c>
      <c r="B450" s="17" t="e">
        <v>#VALUE!</v>
      </c>
      <c r="C450" s="7"/>
      <c r="D450" s="17" t="e">
        <v>#VALUE!</v>
      </c>
      <c r="E450" s="7" t="e">
        <v>#VALUE!</v>
      </c>
      <c r="F450" s="16"/>
      <c r="L450" s="16"/>
      <c r="M450" s="16"/>
      <c r="N450" s="16"/>
      <c r="T450" s="16"/>
    </row>
    <row r="451" ht="22.5" customHeight="1">
      <c r="A451" s="17" t="e">
        <v>#VALUE!</v>
      </c>
      <c r="B451" s="17" t="e">
        <v>#VALUE!</v>
      </c>
      <c r="C451" s="7"/>
      <c r="D451" s="17" t="e">
        <v>#VALUE!</v>
      </c>
      <c r="E451" s="7" t="e">
        <v>#VALUE!</v>
      </c>
      <c r="F451" s="16"/>
      <c r="L451" s="16"/>
      <c r="M451" s="16"/>
      <c r="N451" s="16"/>
      <c r="T451" s="16"/>
    </row>
    <row r="452" ht="22.5" customHeight="1">
      <c r="A452" s="17" t="e">
        <v>#VALUE!</v>
      </c>
      <c r="B452" s="17" t="e">
        <v>#VALUE!</v>
      </c>
      <c r="C452" s="7"/>
      <c r="D452" s="17" t="e">
        <v>#VALUE!</v>
      </c>
      <c r="E452" s="7" t="e">
        <v>#VALUE!</v>
      </c>
      <c r="F452" s="16"/>
      <c r="L452" s="16"/>
      <c r="M452" s="16"/>
      <c r="N452" s="16"/>
      <c r="T452" s="16"/>
    </row>
    <row r="453" ht="22.5" customHeight="1">
      <c r="A453" s="17" t="e">
        <v>#VALUE!</v>
      </c>
      <c r="B453" s="17" t="e">
        <v>#VALUE!</v>
      </c>
      <c r="C453" s="7"/>
      <c r="D453" s="17" t="e">
        <v>#VALUE!</v>
      </c>
      <c r="E453" s="7" t="e">
        <v>#VALUE!</v>
      </c>
      <c r="F453" s="16"/>
      <c r="L453" s="16"/>
      <c r="M453" s="16"/>
      <c r="N453" s="16"/>
      <c r="T453" s="16"/>
    </row>
    <row r="454" ht="22.5" customHeight="1">
      <c r="A454" s="17" t="e">
        <v>#VALUE!</v>
      </c>
      <c r="B454" s="17" t="e">
        <v>#VALUE!</v>
      </c>
      <c r="C454" s="7"/>
      <c r="D454" s="17" t="e">
        <v>#VALUE!</v>
      </c>
      <c r="E454" s="7" t="e">
        <v>#VALUE!</v>
      </c>
      <c r="F454" s="16"/>
      <c r="L454" s="16"/>
      <c r="M454" s="16"/>
      <c r="N454" s="16"/>
      <c r="T454" s="16"/>
    </row>
    <row r="455" ht="22.5" customHeight="1">
      <c r="A455" s="17" t="e">
        <v>#VALUE!</v>
      </c>
      <c r="B455" s="17" t="e">
        <v>#VALUE!</v>
      </c>
      <c r="C455" s="7"/>
      <c r="D455" s="17" t="e">
        <v>#VALUE!</v>
      </c>
      <c r="E455" s="7" t="e">
        <v>#VALUE!</v>
      </c>
      <c r="F455" s="16"/>
      <c r="L455" s="16"/>
      <c r="M455" s="16"/>
      <c r="N455" s="16"/>
      <c r="T455" s="16"/>
    </row>
    <row r="456" ht="22.5" customHeight="1">
      <c r="A456" s="17" t="e">
        <v>#VALUE!</v>
      </c>
      <c r="B456" s="17" t="e">
        <v>#VALUE!</v>
      </c>
      <c r="C456" s="7"/>
      <c r="D456" s="17" t="e">
        <v>#VALUE!</v>
      </c>
      <c r="E456" s="7" t="e">
        <v>#VALUE!</v>
      </c>
      <c r="F456" s="16"/>
      <c r="L456" s="16"/>
      <c r="M456" s="16"/>
      <c r="N456" s="16"/>
      <c r="T456" s="16"/>
    </row>
    <row r="457" ht="22.5" customHeight="1">
      <c r="A457" s="17" t="e">
        <v>#VALUE!</v>
      </c>
      <c r="B457" s="17" t="e">
        <v>#VALUE!</v>
      </c>
      <c r="C457" s="7"/>
      <c r="D457" s="17" t="e">
        <v>#VALUE!</v>
      </c>
      <c r="E457" s="7" t="e">
        <v>#VALUE!</v>
      </c>
      <c r="F457" s="16"/>
      <c r="L457" s="16"/>
      <c r="M457" s="16"/>
      <c r="N457" s="16"/>
      <c r="T457" s="16"/>
    </row>
    <row r="458" ht="22.5" customHeight="1">
      <c r="A458" s="17" t="e">
        <v>#VALUE!</v>
      </c>
      <c r="B458" s="17" t="e">
        <v>#VALUE!</v>
      </c>
      <c r="C458" s="7"/>
      <c r="D458" s="17" t="e">
        <v>#VALUE!</v>
      </c>
      <c r="E458" s="7" t="e">
        <v>#VALUE!</v>
      </c>
      <c r="F458" s="16"/>
      <c r="L458" s="16"/>
      <c r="M458" s="16"/>
      <c r="N458" s="16"/>
      <c r="T458" s="16"/>
    </row>
    <row r="459" ht="22.5" customHeight="1">
      <c r="A459" s="17" t="e">
        <v>#VALUE!</v>
      </c>
      <c r="B459" s="17" t="e">
        <v>#VALUE!</v>
      </c>
      <c r="C459" s="7"/>
      <c r="D459" s="17" t="e">
        <v>#VALUE!</v>
      </c>
      <c r="E459" s="7" t="e">
        <v>#VALUE!</v>
      </c>
      <c r="F459" s="16"/>
      <c r="L459" s="16"/>
      <c r="M459" s="16"/>
      <c r="N459" s="16"/>
      <c r="T459" s="16"/>
    </row>
    <row r="460" ht="22.5" customHeight="1">
      <c r="A460" s="17" t="e">
        <v>#VALUE!</v>
      </c>
      <c r="B460" s="17" t="e">
        <v>#VALUE!</v>
      </c>
      <c r="C460" s="7"/>
      <c r="D460" s="17" t="e">
        <v>#VALUE!</v>
      </c>
      <c r="E460" s="7" t="e">
        <v>#VALUE!</v>
      </c>
      <c r="F460" s="16"/>
      <c r="L460" s="16"/>
      <c r="M460" s="16"/>
      <c r="N460" s="16"/>
      <c r="T460" s="16"/>
    </row>
    <row r="461" ht="22.5" customHeight="1">
      <c r="A461" s="17" t="e">
        <v>#VALUE!</v>
      </c>
      <c r="B461" s="17" t="e">
        <v>#VALUE!</v>
      </c>
      <c r="C461" s="7"/>
      <c r="D461" s="17" t="e">
        <v>#VALUE!</v>
      </c>
      <c r="E461" s="7" t="e">
        <v>#VALUE!</v>
      </c>
      <c r="F461" s="16"/>
      <c r="L461" s="16"/>
      <c r="M461" s="16"/>
      <c r="N461" s="16"/>
      <c r="T461" s="16"/>
    </row>
    <row r="462" ht="22.5" customHeight="1">
      <c r="A462" s="17" t="e">
        <v>#VALUE!</v>
      </c>
      <c r="B462" s="17" t="e">
        <v>#VALUE!</v>
      </c>
      <c r="C462" s="7"/>
      <c r="D462" s="17" t="e">
        <v>#VALUE!</v>
      </c>
      <c r="E462" s="7" t="e">
        <v>#VALUE!</v>
      </c>
      <c r="F462" s="16"/>
      <c r="L462" s="16"/>
      <c r="M462" s="16"/>
      <c r="N462" s="16"/>
      <c r="T462" s="16"/>
    </row>
    <row r="463" ht="22.5" customHeight="1">
      <c r="A463" s="17" t="e">
        <v>#VALUE!</v>
      </c>
      <c r="B463" s="17" t="e">
        <v>#VALUE!</v>
      </c>
      <c r="C463" s="7"/>
      <c r="D463" s="17" t="e">
        <v>#VALUE!</v>
      </c>
      <c r="E463" s="7" t="e">
        <v>#VALUE!</v>
      </c>
      <c r="F463" s="16"/>
      <c r="L463" s="16"/>
      <c r="M463" s="16"/>
      <c r="N463" s="16"/>
      <c r="T463" s="16"/>
    </row>
    <row r="464" ht="22.5" customHeight="1">
      <c r="A464" s="17" t="e">
        <v>#VALUE!</v>
      </c>
      <c r="B464" s="17" t="e">
        <v>#VALUE!</v>
      </c>
      <c r="C464" s="7"/>
      <c r="D464" s="17" t="e">
        <v>#VALUE!</v>
      </c>
      <c r="E464" s="7" t="e">
        <v>#VALUE!</v>
      </c>
      <c r="F464" s="16"/>
      <c r="L464" s="16"/>
      <c r="M464" s="16"/>
      <c r="N464" s="16"/>
      <c r="T464" s="16"/>
    </row>
    <row r="465" ht="22.5" customHeight="1">
      <c r="A465" s="17" t="e">
        <v>#VALUE!</v>
      </c>
      <c r="B465" s="17" t="e">
        <v>#VALUE!</v>
      </c>
      <c r="C465" s="7"/>
      <c r="D465" s="17" t="e">
        <v>#VALUE!</v>
      </c>
      <c r="E465" s="7" t="e">
        <v>#VALUE!</v>
      </c>
      <c r="F465" s="16"/>
      <c r="L465" s="16"/>
      <c r="M465" s="16"/>
      <c r="N465" s="16"/>
      <c r="T465" s="16"/>
    </row>
    <row r="466" ht="22.5" customHeight="1">
      <c r="A466" s="17" t="e">
        <v>#VALUE!</v>
      </c>
      <c r="B466" s="17" t="e">
        <v>#VALUE!</v>
      </c>
      <c r="C466" s="7"/>
      <c r="D466" s="17" t="e">
        <v>#VALUE!</v>
      </c>
      <c r="E466" s="7" t="e">
        <v>#VALUE!</v>
      </c>
      <c r="F466" s="16"/>
      <c r="L466" s="16"/>
      <c r="M466" s="16"/>
      <c r="N466" s="16"/>
      <c r="T466" s="16"/>
    </row>
    <row r="467" ht="22.5" customHeight="1">
      <c r="A467" s="17" t="e">
        <v>#VALUE!</v>
      </c>
      <c r="B467" s="17" t="e">
        <v>#VALUE!</v>
      </c>
      <c r="C467" s="7"/>
      <c r="D467" s="17" t="e">
        <v>#VALUE!</v>
      </c>
      <c r="E467" s="7" t="e">
        <v>#VALUE!</v>
      </c>
      <c r="F467" s="16"/>
      <c r="L467" s="16"/>
      <c r="M467" s="16"/>
      <c r="N467" s="16"/>
      <c r="T467" s="16"/>
    </row>
    <row r="468" ht="22.5" customHeight="1">
      <c r="A468" s="17" t="e">
        <v>#VALUE!</v>
      </c>
      <c r="B468" s="17" t="e">
        <v>#VALUE!</v>
      </c>
      <c r="C468" s="7"/>
      <c r="D468" s="17" t="e">
        <v>#VALUE!</v>
      </c>
      <c r="E468" s="7" t="e">
        <v>#VALUE!</v>
      </c>
      <c r="F468" s="16"/>
      <c r="L468" s="16"/>
      <c r="M468" s="16"/>
      <c r="N468" s="16"/>
      <c r="T468" s="16"/>
    </row>
    <row r="469" ht="22.5" customHeight="1">
      <c r="A469" s="17" t="e">
        <v>#VALUE!</v>
      </c>
      <c r="B469" s="17" t="e">
        <v>#VALUE!</v>
      </c>
      <c r="C469" s="7"/>
      <c r="D469" s="17" t="e">
        <v>#VALUE!</v>
      </c>
      <c r="E469" s="7" t="e">
        <v>#VALUE!</v>
      </c>
      <c r="F469" s="16"/>
      <c r="L469" s="16"/>
      <c r="M469" s="16"/>
      <c r="N469" s="16"/>
      <c r="T469" s="16"/>
    </row>
    <row r="470" ht="22.5" customHeight="1">
      <c r="A470" s="17" t="e">
        <v>#VALUE!</v>
      </c>
      <c r="B470" s="17" t="e">
        <v>#VALUE!</v>
      </c>
      <c r="C470" s="7"/>
      <c r="D470" s="17" t="e">
        <v>#VALUE!</v>
      </c>
      <c r="E470" s="7" t="e">
        <v>#VALUE!</v>
      </c>
      <c r="F470" s="16"/>
      <c r="L470" s="16"/>
      <c r="M470" s="16"/>
      <c r="N470" s="16"/>
      <c r="T470" s="16"/>
    </row>
    <row r="471" ht="22.5" customHeight="1">
      <c r="A471" s="17" t="e">
        <v>#VALUE!</v>
      </c>
      <c r="B471" s="17" t="e">
        <v>#VALUE!</v>
      </c>
      <c r="C471" s="7"/>
      <c r="D471" s="17" t="e">
        <v>#VALUE!</v>
      </c>
      <c r="E471" s="7" t="e">
        <v>#VALUE!</v>
      </c>
      <c r="F471" s="16"/>
      <c r="L471" s="16"/>
      <c r="M471" s="16"/>
      <c r="N471" s="16"/>
      <c r="T471" s="16"/>
    </row>
    <row r="472" ht="22.5" customHeight="1">
      <c r="A472" s="17" t="e">
        <v>#VALUE!</v>
      </c>
      <c r="B472" s="17" t="e">
        <v>#VALUE!</v>
      </c>
      <c r="C472" s="7"/>
      <c r="D472" s="17" t="e">
        <v>#VALUE!</v>
      </c>
      <c r="E472" s="7" t="e">
        <v>#VALUE!</v>
      </c>
      <c r="F472" s="16"/>
      <c r="L472" s="16"/>
      <c r="M472" s="16"/>
      <c r="N472" s="16"/>
      <c r="T472" s="16"/>
    </row>
    <row r="473" ht="22.5" customHeight="1">
      <c r="A473" s="17" t="e">
        <v>#VALUE!</v>
      </c>
      <c r="B473" s="17" t="e">
        <v>#VALUE!</v>
      </c>
      <c r="C473" s="7"/>
      <c r="D473" s="17" t="e">
        <v>#VALUE!</v>
      </c>
      <c r="E473" s="7" t="e">
        <v>#VALUE!</v>
      </c>
      <c r="F473" s="16"/>
      <c r="L473" s="16"/>
      <c r="M473" s="16"/>
      <c r="N473" s="16"/>
      <c r="T473" s="16"/>
    </row>
    <row r="474" ht="22.5" customHeight="1">
      <c r="A474" s="17" t="e">
        <v>#VALUE!</v>
      </c>
      <c r="B474" s="17" t="e">
        <v>#VALUE!</v>
      </c>
      <c r="C474" s="7"/>
      <c r="D474" s="17" t="e">
        <v>#VALUE!</v>
      </c>
      <c r="E474" s="7" t="e">
        <v>#VALUE!</v>
      </c>
      <c r="F474" s="16"/>
      <c r="L474" s="16"/>
      <c r="M474" s="16"/>
      <c r="N474" s="16"/>
      <c r="T474" s="16"/>
    </row>
    <row r="475" ht="22.5" customHeight="1">
      <c r="A475" s="17" t="e">
        <v>#VALUE!</v>
      </c>
      <c r="B475" s="17" t="e">
        <v>#VALUE!</v>
      </c>
      <c r="C475" s="7"/>
      <c r="D475" s="17" t="e">
        <v>#VALUE!</v>
      </c>
      <c r="E475" s="7" t="e">
        <v>#VALUE!</v>
      </c>
      <c r="F475" s="16"/>
      <c r="L475" s="16"/>
      <c r="M475" s="16"/>
      <c r="N475" s="16"/>
      <c r="T475" s="16"/>
    </row>
    <row r="476" ht="22.5" customHeight="1">
      <c r="A476" s="17" t="e">
        <v>#VALUE!</v>
      </c>
      <c r="B476" s="17" t="e">
        <v>#VALUE!</v>
      </c>
      <c r="C476" s="7"/>
      <c r="D476" s="17" t="e">
        <v>#VALUE!</v>
      </c>
      <c r="E476" s="7" t="e">
        <v>#VALUE!</v>
      </c>
      <c r="F476" s="16"/>
      <c r="L476" s="16"/>
      <c r="M476" s="16"/>
      <c r="N476" s="16"/>
      <c r="T476" s="16"/>
    </row>
    <row r="477" ht="22.5" customHeight="1">
      <c r="A477" s="17" t="e">
        <v>#VALUE!</v>
      </c>
      <c r="B477" s="17" t="e">
        <v>#VALUE!</v>
      </c>
      <c r="C477" s="7"/>
      <c r="D477" s="17" t="e">
        <v>#VALUE!</v>
      </c>
      <c r="E477" s="7" t="e">
        <v>#VALUE!</v>
      </c>
      <c r="F477" s="16"/>
      <c r="L477" s="16"/>
      <c r="M477" s="16"/>
      <c r="N477" s="16"/>
      <c r="T477" s="16"/>
    </row>
    <row r="478" ht="22.5" customHeight="1">
      <c r="A478" s="17" t="e">
        <v>#VALUE!</v>
      </c>
      <c r="B478" s="17" t="e">
        <v>#VALUE!</v>
      </c>
      <c r="C478" s="7"/>
      <c r="D478" s="17" t="e">
        <v>#VALUE!</v>
      </c>
      <c r="E478" s="7" t="e">
        <v>#VALUE!</v>
      </c>
      <c r="F478" s="16"/>
      <c r="L478" s="16"/>
      <c r="M478" s="16"/>
      <c r="N478" s="16"/>
      <c r="T478" s="16"/>
    </row>
    <row r="479" ht="22.5" customHeight="1">
      <c r="A479" s="17" t="e">
        <v>#VALUE!</v>
      </c>
      <c r="B479" s="17" t="e">
        <v>#VALUE!</v>
      </c>
      <c r="C479" s="7"/>
      <c r="D479" s="17" t="e">
        <v>#VALUE!</v>
      </c>
      <c r="E479" s="7" t="e">
        <v>#VALUE!</v>
      </c>
      <c r="F479" s="16"/>
      <c r="L479" s="16"/>
      <c r="M479" s="16"/>
      <c r="N479" s="16"/>
      <c r="T479" s="16"/>
    </row>
    <row r="480" ht="22.5" customHeight="1">
      <c r="A480" s="17" t="e">
        <v>#VALUE!</v>
      </c>
      <c r="B480" s="17" t="e">
        <v>#VALUE!</v>
      </c>
      <c r="C480" s="7"/>
      <c r="D480" s="17" t="e">
        <v>#VALUE!</v>
      </c>
      <c r="E480" s="7" t="e">
        <v>#VALUE!</v>
      </c>
      <c r="F480" s="16"/>
      <c r="L480" s="16"/>
      <c r="M480" s="16"/>
      <c r="N480" s="16"/>
      <c r="T480" s="16"/>
    </row>
    <row r="481" ht="22.5" customHeight="1">
      <c r="A481" s="17" t="e">
        <v>#VALUE!</v>
      </c>
      <c r="B481" s="17" t="e">
        <v>#VALUE!</v>
      </c>
      <c r="C481" s="7"/>
      <c r="D481" s="17" t="e">
        <v>#VALUE!</v>
      </c>
      <c r="E481" s="7" t="e">
        <v>#VALUE!</v>
      </c>
      <c r="F481" s="16"/>
      <c r="L481" s="16"/>
      <c r="M481" s="16"/>
      <c r="N481" s="16"/>
      <c r="T481" s="16"/>
    </row>
    <row r="482" ht="22.5" customHeight="1">
      <c r="A482" s="17" t="e">
        <v>#VALUE!</v>
      </c>
      <c r="B482" s="17" t="e">
        <v>#VALUE!</v>
      </c>
      <c r="C482" s="7"/>
      <c r="D482" s="17" t="e">
        <v>#VALUE!</v>
      </c>
      <c r="E482" s="7" t="e">
        <v>#VALUE!</v>
      </c>
      <c r="F482" s="16"/>
      <c r="L482" s="16"/>
      <c r="M482" s="16"/>
      <c r="N482" s="16"/>
      <c r="T482" s="16"/>
    </row>
    <row r="483" ht="22.5" customHeight="1">
      <c r="A483" s="17" t="e">
        <v>#VALUE!</v>
      </c>
      <c r="B483" s="17" t="e">
        <v>#VALUE!</v>
      </c>
      <c r="C483" s="7"/>
      <c r="D483" s="17" t="e">
        <v>#VALUE!</v>
      </c>
      <c r="E483" s="7" t="e">
        <v>#VALUE!</v>
      </c>
      <c r="F483" s="16"/>
      <c r="L483" s="16"/>
      <c r="M483" s="16"/>
      <c r="N483" s="16"/>
      <c r="T483" s="16"/>
    </row>
    <row r="484" ht="22.5" customHeight="1">
      <c r="A484" s="17" t="e">
        <v>#VALUE!</v>
      </c>
      <c r="B484" s="17" t="e">
        <v>#VALUE!</v>
      </c>
      <c r="C484" s="7"/>
      <c r="D484" s="17" t="e">
        <v>#VALUE!</v>
      </c>
      <c r="E484" s="7" t="e">
        <v>#VALUE!</v>
      </c>
      <c r="F484" s="16"/>
      <c r="L484" s="16"/>
      <c r="M484" s="16"/>
      <c r="N484" s="16"/>
      <c r="T484" s="16"/>
    </row>
    <row r="485" ht="22.5" customHeight="1">
      <c r="A485" s="17" t="e">
        <v>#VALUE!</v>
      </c>
      <c r="B485" s="17" t="e">
        <v>#VALUE!</v>
      </c>
      <c r="C485" s="7"/>
      <c r="D485" s="17" t="e">
        <v>#VALUE!</v>
      </c>
      <c r="E485" s="7" t="e">
        <v>#VALUE!</v>
      </c>
      <c r="F485" s="16"/>
      <c r="L485" s="16"/>
      <c r="M485" s="16"/>
      <c r="N485" s="16"/>
      <c r="T485" s="16"/>
    </row>
    <row r="486" ht="22.5" customHeight="1">
      <c r="A486" s="17" t="e">
        <v>#VALUE!</v>
      </c>
      <c r="B486" s="17" t="e">
        <v>#VALUE!</v>
      </c>
      <c r="C486" s="7"/>
      <c r="D486" s="17" t="e">
        <v>#VALUE!</v>
      </c>
      <c r="E486" s="7" t="e">
        <v>#VALUE!</v>
      </c>
      <c r="F486" s="16"/>
      <c r="L486" s="16"/>
      <c r="M486" s="16"/>
      <c r="N486" s="16"/>
      <c r="T486" s="16"/>
    </row>
    <row r="487" ht="22.5" customHeight="1">
      <c r="A487" s="17" t="e">
        <v>#VALUE!</v>
      </c>
      <c r="B487" s="17" t="e">
        <v>#VALUE!</v>
      </c>
      <c r="C487" s="7"/>
      <c r="D487" s="17" t="e">
        <v>#VALUE!</v>
      </c>
      <c r="E487" s="7" t="e">
        <v>#VALUE!</v>
      </c>
      <c r="F487" s="16"/>
      <c r="L487" s="16"/>
      <c r="M487" s="16"/>
      <c r="N487" s="16"/>
      <c r="T487" s="16"/>
    </row>
    <row r="488" ht="22.5" customHeight="1">
      <c r="A488" s="17" t="e">
        <v>#VALUE!</v>
      </c>
      <c r="B488" s="17" t="e">
        <v>#VALUE!</v>
      </c>
      <c r="C488" s="7"/>
      <c r="D488" s="17" t="e">
        <v>#VALUE!</v>
      </c>
      <c r="E488" s="7" t="e">
        <v>#VALUE!</v>
      </c>
      <c r="F488" s="16"/>
      <c r="L488" s="16"/>
      <c r="M488" s="16"/>
      <c r="N488" s="16"/>
      <c r="T488" s="16"/>
    </row>
    <row r="489" ht="22.5" customHeight="1">
      <c r="A489" s="17" t="e">
        <v>#VALUE!</v>
      </c>
      <c r="B489" s="17" t="e">
        <v>#VALUE!</v>
      </c>
      <c r="C489" s="7"/>
      <c r="D489" s="17" t="e">
        <v>#VALUE!</v>
      </c>
      <c r="E489" s="7" t="e">
        <v>#VALUE!</v>
      </c>
      <c r="F489" s="16"/>
      <c r="L489" s="16"/>
      <c r="M489" s="16"/>
      <c r="N489" s="16"/>
      <c r="T489" s="16"/>
    </row>
    <row r="490" ht="22.5" customHeight="1">
      <c r="A490" s="17" t="e">
        <v>#VALUE!</v>
      </c>
      <c r="B490" s="17" t="e">
        <v>#VALUE!</v>
      </c>
      <c r="C490" s="7"/>
      <c r="D490" s="17" t="e">
        <v>#VALUE!</v>
      </c>
      <c r="E490" s="7" t="e">
        <v>#VALUE!</v>
      </c>
      <c r="F490" s="16"/>
      <c r="L490" s="16"/>
      <c r="M490" s="16"/>
      <c r="N490" s="16"/>
      <c r="T490" s="16"/>
    </row>
    <row r="491" ht="22.5" customHeight="1">
      <c r="A491" s="17" t="e">
        <v>#VALUE!</v>
      </c>
      <c r="B491" s="17" t="e">
        <v>#VALUE!</v>
      </c>
      <c r="C491" s="7"/>
      <c r="D491" s="17" t="e">
        <v>#VALUE!</v>
      </c>
      <c r="E491" s="7" t="e">
        <v>#VALUE!</v>
      </c>
      <c r="F491" s="16"/>
      <c r="L491" s="16"/>
      <c r="M491" s="16"/>
      <c r="N491" s="16"/>
      <c r="T491" s="16"/>
    </row>
    <row r="492" ht="22.5" customHeight="1">
      <c r="A492" s="17" t="e">
        <v>#VALUE!</v>
      </c>
      <c r="B492" s="17" t="e">
        <v>#VALUE!</v>
      </c>
      <c r="C492" s="7"/>
      <c r="D492" s="17" t="e">
        <v>#VALUE!</v>
      </c>
      <c r="E492" s="7" t="e">
        <v>#VALUE!</v>
      </c>
      <c r="F492" s="16"/>
      <c r="L492" s="16"/>
      <c r="M492" s="16"/>
      <c r="N492" s="16"/>
      <c r="T492" s="16"/>
    </row>
    <row r="493" ht="22.5" customHeight="1">
      <c r="A493" s="17" t="e">
        <v>#VALUE!</v>
      </c>
      <c r="B493" s="17" t="e">
        <v>#VALUE!</v>
      </c>
      <c r="C493" s="7"/>
      <c r="D493" s="17" t="e">
        <v>#VALUE!</v>
      </c>
      <c r="E493" s="7" t="e">
        <v>#VALUE!</v>
      </c>
      <c r="F493" s="16"/>
      <c r="L493" s="16"/>
      <c r="M493" s="16"/>
      <c r="N493" s="16"/>
      <c r="T493" s="16"/>
    </row>
    <row r="494" ht="22.5" customHeight="1">
      <c r="A494" s="17" t="e">
        <v>#VALUE!</v>
      </c>
      <c r="B494" s="17" t="e">
        <v>#VALUE!</v>
      </c>
      <c r="C494" s="7"/>
      <c r="D494" s="17" t="e">
        <v>#VALUE!</v>
      </c>
      <c r="E494" s="7" t="e">
        <v>#VALUE!</v>
      </c>
      <c r="F494" s="16"/>
      <c r="L494" s="16"/>
      <c r="M494" s="16"/>
      <c r="N494" s="16"/>
      <c r="T494" s="16"/>
    </row>
    <row r="495" ht="22.5" customHeight="1">
      <c r="A495" s="17" t="e">
        <v>#VALUE!</v>
      </c>
      <c r="B495" s="17" t="e">
        <v>#VALUE!</v>
      </c>
      <c r="C495" s="7"/>
      <c r="D495" s="17" t="e">
        <v>#VALUE!</v>
      </c>
      <c r="E495" s="7" t="e">
        <v>#VALUE!</v>
      </c>
      <c r="F495" s="16"/>
      <c r="L495" s="16"/>
      <c r="M495" s="16"/>
      <c r="N495" s="16"/>
      <c r="T495" s="16"/>
    </row>
    <row r="496" ht="22.5" customHeight="1">
      <c r="A496" s="17" t="e">
        <v>#VALUE!</v>
      </c>
      <c r="B496" s="17" t="e">
        <v>#VALUE!</v>
      </c>
      <c r="C496" s="7"/>
      <c r="D496" s="17" t="e">
        <v>#VALUE!</v>
      </c>
      <c r="E496" s="7" t="e">
        <v>#VALUE!</v>
      </c>
      <c r="F496" s="16"/>
      <c r="L496" s="16"/>
      <c r="M496" s="16"/>
      <c r="N496" s="16"/>
      <c r="T496" s="16"/>
    </row>
    <row r="497" ht="22.5" customHeight="1">
      <c r="A497" s="17" t="e">
        <v>#VALUE!</v>
      </c>
      <c r="B497" s="17" t="e">
        <v>#VALUE!</v>
      </c>
      <c r="C497" s="7"/>
      <c r="D497" s="17" t="e">
        <v>#VALUE!</v>
      </c>
      <c r="E497" s="7" t="e">
        <v>#VALUE!</v>
      </c>
      <c r="F497" s="16"/>
      <c r="L497" s="16"/>
      <c r="M497" s="16"/>
      <c r="N497" s="16"/>
      <c r="T497" s="16"/>
    </row>
    <row r="498" ht="22.5" customHeight="1">
      <c r="A498" s="17" t="e">
        <v>#VALUE!</v>
      </c>
      <c r="B498" s="17" t="e">
        <v>#VALUE!</v>
      </c>
      <c r="C498" s="7"/>
      <c r="D498" s="17" t="e">
        <v>#VALUE!</v>
      </c>
      <c r="E498" s="7" t="e">
        <v>#VALUE!</v>
      </c>
      <c r="F498" s="16"/>
      <c r="L498" s="16"/>
      <c r="M498" s="16"/>
      <c r="N498" s="16"/>
      <c r="T498" s="16"/>
    </row>
    <row r="499" ht="22.5" customHeight="1">
      <c r="A499" s="17" t="e">
        <v>#VALUE!</v>
      </c>
      <c r="B499" s="17" t="e">
        <v>#VALUE!</v>
      </c>
      <c r="C499" s="7"/>
      <c r="D499" s="17" t="e">
        <v>#VALUE!</v>
      </c>
      <c r="E499" s="7" t="e">
        <v>#VALUE!</v>
      </c>
      <c r="F499" s="16"/>
      <c r="L499" s="16"/>
      <c r="M499" s="16"/>
      <c r="N499" s="16"/>
      <c r="T499" s="16"/>
    </row>
    <row r="500" ht="22.5" customHeight="1">
      <c r="A500" s="17" t="e">
        <v>#VALUE!</v>
      </c>
      <c r="B500" s="17" t="e">
        <v>#VALUE!</v>
      </c>
      <c r="C500" s="7"/>
      <c r="D500" s="17" t="e">
        <v>#VALUE!</v>
      </c>
      <c r="E500" s="7" t="e">
        <v>#VALUE!</v>
      </c>
      <c r="F500" s="16"/>
      <c r="L500" s="16"/>
      <c r="M500" s="16"/>
      <c r="N500" s="16"/>
      <c r="T500" s="16"/>
    </row>
    <row r="501" ht="22.5" customHeight="1">
      <c r="A501" s="17" t="e">
        <v>#VALUE!</v>
      </c>
      <c r="B501" s="17" t="e">
        <v>#VALUE!</v>
      </c>
      <c r="C501" s="7"/>
      <c r="D501" s="17" t="e">
        <v>#VALUE!</v>
      </c>
      <c r="E501" s="7" t="e">
        <v>#VALUE!</v>
      </c>
      <c r="F501" s="16"/>
      <c r="L501" s="16"/>
      <c r="M501" s="16"/>
      <c r="N501" s="16"/>
      <c r="T501" s="16"/>
    </row>
    <row r="502" ht="22.5" customHeight="1">
      <c r="A502" s="17" t="e">
        <v>#VALUE!</v>
      </c>
      <c r="B502" s="17" t="e">
        <v>#VALUE!</v>
      </c>
      <c r="C502" s="7"/>
      <c r="D502" s="17" t="e">
        <v>#VALUE!</v>
      </c>
      <c r="E502" s="7" t="e">
        <v>#VALUE!</v>
      </c>
      <c r="F502" s="16"/>
      <c r="L502" s="16"/>
      <c r="M502" s="16"/>
      <c r="N502" s="16"/>
      <c r="T502" s="16"/>
    </row>
    <row r="503" ht="22.5" customHeight="1">
      <c r="A503" s="17" t="e">
        <v>#VALUE!</v>
      </c>
      <c r="B503" s="17" t="e">
        <v>#VALUE!</v>
      </c>
      <c r="C503" s="7"/>
      <c r="D503" s="17" t="e">
        <v>#VALUE!</v>
      </c>
      <c r="E503" s="7" t="e">
        <v>#VALUE!</v>
      </c>
      <c r="F503" s="16"/>
      <c r="L503" s="16"/>
      <c r="M503" s="16"/>
      <c r="N503" s="16"/>
      <c r="T503" s="16"/>
    </row>
    <row r="504" ht="22.5" customHeight="1">
      <c r="A504" s="17" t="e">
        <v>#VALUE!</v>
      </c>
      <c r="B504" s="17" t="e">
        <v>#VALUE!</v>
      </c>
      <c r="C504" s="7"/>
      <c r="D504" s="17" t="e">
        <v>#VALUE!</v>
      </c>
      <c r="E504" s="7" t="e">
        <v>#VALUE!</v>
      </c>
      <c r="F504" s="16"/>
      <c r="L504" s="16"/>
      <c r="M504" s="16"/>
      <c r="N504" s="16"/>
      <c r="T504" s="16"/>
    </row>
    <row r="505" ht="22.5" customHeight="1">
      <c r="A505" s="17" t="e">
        <v>#VALUE!</v>
      </c>
      <c r="B505" s="17" t="e">
        <v>#VALUE!</v>
      </c>
      <c r="C505" s="7"/>
      <c r="D505" s="17" t="e">
        <v>#VALUE!</v>
      </c>
      <c r="E505" s="7" t="e">
        <v>#VALUE!</v>
      </c>
      <c r="F505" s="16"/>
      <c r="L505" s="16"/>
      <c r="M505" s="16"/>
      <c r="N505" s="16"/>
      <c r="T505" s="16"/>
    </row>
    <row r="506" ht="22.5" customHeight="1">
      <c r="A506" s="17" t="e">
        <v>#VALUE!</v>
      </c>
      <c r="B506" s="17" t="e">
        <v>#VALUE!</v>
      </c>
      <c r="C506" s="7"/>
      <c r="D506" s="17" t="e">
        <v>#VALUE!</v>
      </c>
      <c r="E506" s="7" t="e">
        <v>#VALUE!</v>
      </c>
      <c r="F506" s="16"/>
      <c r="L506" s="16"/>
      <c r="M506" s="16"/>
      <c r="N506" s="16"/>
      <c r="T506" s="16"/>
    </row>
    <row r="507" ht="22.5" customHeight="1">
      <c r="A507" s="17" t="e">
        <v>#VALUE!</v>
      </c>
      <c r="B507" s="17" t="e">
        <v>#VALUE!</v>
      </c>
      <c r="C507" s="7"/>
      <c r="D507" s="17" t="e">
        <v>#VALUE!</v>
      </c>
      <c r="E507" s="7" t="e">
        <v>#VALUE!</v>
      </c>
      <c r="F507" s="16"/>
      <c r="L507" s="16"/>
      <c r="M507" s="16"/>
      <c r="N507" s="16"/>
      <c r="T507" s="16"/>
    </row>
    <row r="508" ht="22.5" customHeight="1">
      <c r="A508" s="17" t="e">
        <v>#VALUE!</v>
      </c>
      <c r="B508" s="17" t="e">
        <v>#VALUE!</v>
      </c>
      <c r="C508" s="7"/>
      <c r="D508" s="17" t="e">
        <v>#VALUE!</v>
      </c>
      <c r="E508" s="7" t="e">
        <v>#VALUE!</v>
      </c>
      <c r="F508" s="16"/>
      <c r="L508" s="16"/>
      <c r="M508" s="16"/>
      <c r="N508" s="16"/>
      <c r="T508" s="16"/>
    </row>
    <row r="509" ht="22.5" customHeight="1">
      <c r="A509" s="17" t="e">
        <v>#VALUE!</v>
      </c>
      <c r="B509" s="17" t="e">
        <v>#VALUE!</v>
      </c>
      <c r="C509" s="7"/>
      <c r="D509" s="17" t="e">
        <v>#VALUE!</v>
      </c>
      <c r="E509" s="7" t="e">
        <v>#VALUE!</v>
      </c>
      <c r="F509" s="16"/>
      <c r="L509" s="16"/>
      <c r="M509" s="16"/>
      <c r="N509" s="16"/>
      <c r="T509" s="16"/>
    </row>
    <row r="510" ht="22.5" customHeight="1">
      <c r="A510" s="17" t="e">
        <v>#VALUE!</v>
      </c>
      <c r="B510" s="17" t="e">
        <v>#VALUE!</v>
      </c>
      <c r="C510" s="7"/>
      <c r="D510" s="17" t="e">
        <v>#VALUE!</v>
      </c>
      <c r="E510" s="7" t="e">
        <v>#VALUE!</v>
      </c>
      <c r="F510" s="16"/>
      <c r="L510" s="16"/>
      <c r="M510" s="16"/>
      <c r="N510" s="16"/>
      <c r="T510" s="16"/>
    </row>
    <row r="511" ht="22.5" customHeight="1">
      <c r="A511" s="17" t="e">
        <v>#VALUE!</v>
      </c>
      <c r="B511" s="17" t="e">
        <v>#VALUE!</v>
      </c>
      <c r="C511" s="7"/>
      <c r="D511" s="17" t="e">
        <v>#VALUE!</v>
      </c>
      <c r="E511" s="7" t="e">
        <v>#VALUE!</v>
      </c>
      <c r="F511" s="16"/>
      <c r="L511" s="16"/>
      <c r="M511" s="16"/>
      <c r="N511" s="16"/>
      <c r="T511" s="16"/>
    </row>
    <row r="512" ht="22.5" customHeight="1">
      <c r="A512" s="17" t="e">
        <v>#VALUE!</v>
      </c>
      <c r="B512" s="17" t="e">
        <v>#VALUE!</v>
      </c>
      <c r="C512" s="7"/>
      <c r="D512" s="17" t="e">
        <v>#VALUE!</v>
      </c>
      <c r="E512" s="7" t="e">
        <v>#VALUE!</v>
      </c>
      <c r="F512" s="16"/>
      <c r="L512" s="16"/>
      <c r="M512" s="16"/>
      <c r="N512" s="16"/>
      <c r="T512" s="16"/>
    </row>
    <row r="513" ht="22.5" customHeight="1">
      <c r="A513" s="17" t="e">
        <v>#VALUE!</v>
      </c>
      <c r="B513" s="17" t="e">
        <v>#VALUE!</v>
      </c>
      <c r="C513" s="7"/>
      <c r="D513" s="17" t="e">
        <v>#VALUE!</v>
      </c>
      <c r="E513" s="7" t="e">
        <v>#VALUE!</v>
      </c>
      <c r="F513" s="16"/>
      <c r="L513" s="16"/>
      <c r="M513" s="16"/>
      <c r="N513" s="16"/>
      <c r="T513" s="16"/>
    </row>
    <row r="514" ht="22.5" customHeight="1">
      <c r="A514" s="17" t="e">
        <v>#VALUE!</v>
      </c>
      <c r="B514" s="17" t="e">
        <v>#VALUE!</v>
      </c>
      <c r="C514" s="7"/>
      <c r="D514" s="17" t="e">
        <v>#VALUE!</v>
      </c>
      <c r="E514" s="7" t="e">
        <v>#VALUE!</v>
      </c>
      <c r="F514" s="16"/>
      <c r="L514" s="16"/>
      <c r="M514" s="16"/>
      <c r="N514" s="16"/>
      <c r="T514" s="16"/>
    </row>
    <row r="515" ht="22.5" customHeight="1">
      <c r="A515" s="17" t="e">
        <v>#VALUE!</v>
      </c>
      <c r="B515" s="17" t="e">
        <v>#VALUE!</v>
      </c>
      <c r="C515" s="7"/>
      <c r="D515" s="17" t="e">
        <v>#VALUE!</v>
      </c>
      <c r="E515" s="7" t="e">
        <v>#VALUE!</v>
      </c>
      <c r="F515" s="16"/>
      <c r="L515" s="16"/>
      <c r="M515" s="16"/>
      <c r="N515" s="16"/>
      <c r="T515" s="16"/>
    </row>
    <row r="516" ht="22.5" customHeight="1">
      <c r="A516" s="17" t="e">
        <v>#VALUE!</v>
      </c>
      <c r="B516" s="17" t="e">
        <v>#VALUE!</v>
      </c>
      <c r="C516" s="7"/>
      <c r="D516" s="17" t="e">
        <v>#VALUE!</v>
      </c>
      <c r="E516" s="7" t="e">
        <v>#VALUE!</v>
      </c>
      <c r="F516" s="16"/>
      <c r="L516" s="16"/>
      <c r="M516" s="16"/>
      <c r="N516" s="16"/>
      <c r="T516" s="16"/>
    </row>
    <row r="517" ht="22.5" customHeight="1">
      <c r="A517" s="17" t="e">
        <v>#VALUE!</v>
      </c>
      <c r="B517" s="17" t="e">
        <v>#VALUE!</v>
      </c>
      <c r="C517" s="7"/>
      <c r="D517" s="17" t="e">
        <v>#VALUE!</v>
      </c>
      <c r="E517" s="7" t="e">
        <v>#VALUE!</v>
      </c>
      <c r="F517" s="16"/>
      <c r="L517" s="16"/>
      <c r="M517" s="16"/>
      <c r="N517" s="16"/>
      <c r="T517" s="16"/>
    </row>
    <row r="518" ht="22.5" customHeight="1">
      <c r="A518" s="17" t="e">
        <v>#VALUE!</v>
      </c>
      <c r="B518" s="17" t="e">
        <v>#VALUE!</v>
      </c>
      <c r="C518" s="7"/>
      <c r="D518" s="17" t="e">
        <v>#VALUE!</v>
      </c>
      <c r="E518" s="7" t="e">
        <v>#VALUE!</v>
      </c>
      <c r="F518" s="16"/>
      <c r="L518" s="16"/>
      <c r="M518" s="16"/>
      <c r="N518" s="16"/>
      <c r="T518" s="16"/>
    </row>
    <row r="519" ht="22.5" customHeight="1">
      <c r="A519" s="17" t="e">
        <v>#VALUE!</v>
      </c>
      <c r="B519" s="17" t="e">
        <v>#VALUE!</v>
      </c>
      <c r="C519" s="7"/>
      <c r="D519" s="17" t="e">
        <v>#VALUE!</v>
      </c>
      <c r="E519" s="7" t="e">
        <v>#VALUE!</v>
      </c>
      <c r="F519" s="16"/>
      <c r="L519" s="16"/>
      <c r="M519" s="16"/>
      <c r="N519" s="16"/>
      <c r="T519" s="16"/>
    </row>
    <row r="520" ht="22.5" customHeight="1">
      <c r="A520" s="17" t="e">
        <v>#VALUE!</v>
      </c>
      <c r="B520" s="17" t="e">
        <v>#VALUE!</v>
      </c>
      <c r="C520" s="7"/>
      <c r="D520" s="17" t="e">
        <v>#VALUE!</v>
      </c>
      <c r="E520" s="7" t="e">
        <v>#VALUE!</v>
      </c>
      <c r="F520" s="16"/>
      <c r="L520" s="16"/>
      <c r="M520" s="16"/>
      <c r="N520" s="16"/>
      <c r="T520" s="16"/>
    </row>
    <row r="521" ht="22.5" customHeight="1">
      <c r="A521" s="17" t="e">
        <v>#VALUE!</v>
      </c>
      <c r="B521" s="17" t="e">
        <v>#VALUE!</v>
      </c>
      <c r="C521" s="7"/>
      <c r="D521" s="17" t="e">
        <v>#VALUE!</v>
      </c>
      <c r="E521" s="7" t="e">
        <v>#VALUE!</v>
      </c>
      <c r="F521" s="16"/>
      <c r="L521" s="16"/>
      <c r="M521" s="16"/>
      <c r="N521" s="16"/>
      <c r="T521" s="16"/>
    </row>
    <row r="522" ht="22.5" customHeight="1">
      <c r="A522" s="17" t="e">
        <v>#VALUE!</v>
      </c>
      <c r="B522" s="17" t="e">
        <v>#VALUE!</v>
      </c>
      <c r="C522" s="7"/>
      <c r="D522" s="17" t="e">
        <v>#VALUE!</v>
      </c>
      <c r="E522" s="7" t="e">
        <v>#VALUE!</v>
      </c>
      <c r="F522" s="16"/>
      <c r="L522" s="16"/>
      <c r="M522" s="16"/>
      <c r="N522" s="16"/>
      <c r="T522" s="16"/>
    </row>
    <row r="523" ht="22.5" customHeight="1">
      <c r="A523" s="17" t="e">
        <v>#VALUE!</v>
      </c>
      <c r="B523" s="17" t="e">
        <v>#VALUE!</v>
      </c>
      <c r="C523" s="7"/>
      <c r="D523" s="17" t="e">
        <v>#VALUE!</v>
      </c>
      <c r="E523" s="7" t="e">
        <v>#VALUE!</v>
      </c>
      <c r="F523" s="16"/>
      <c r="L523" s="16"/>
      <c r="M523" s="16"/>
      <c r="N523" s="16"/>
      <c r="T523" s="16"/>
    </row>
    <row r="524" ht="22.5" customHeight="1">
      <c r="A524" s="17" t="e">
        <v>#VALUE!</v>
      </c>
      <c r="B524" s="17" t="e">
        <v>#VALUE!</v>
      </c>
      <c r="C524" s="7"/>
      <c r="D524" s="17" t="e">
        <v>#VALUE!</v>
      </c>
      <c r="E524" s="7" t="e">
        <v>#VALUE!</v>
      </c>
      <c r="F524" s="16"/>
      <c r="L524" s="16"/>
      <c r="M524" s="16"/>
      <c r="N524" s="16"/>
      <c r="T524" s="16"/>
    </row>
    <row r="525" ht="22.5" customHeight="1">
      <c r="A525" s="17" t="e">
        <v>#VALUE!</v>
      </c>
      <c r="B525" s="17" t="e">
        <v>#VALUE!</v>
      </c>
      <c r="C525" s="7"/>
      <c r="D525" s="17" t="e">
        <v>#VALUE!</v>
      </c>
      <c r="E525" s="7" t="e">
        <v>#VALUE!</v>
      </c>
      <c r="F525" s="16"/>
      <c r="L525" s="16"/>
      <c r="M525" s="16"/>
      <c r="N525" s="16"/>
      <c r="T525" s="16"/>
    </row>
    <row r="526" ht="22.5" customHeight="1">
      <c r="A526" s="17" t="e">
        <v>#VALUE!</v>
      </c>
      <c r="B526" s="17" t="e">
        <v>#VALUE!</v>
      </c>
      <c r="C526" s="7"/>
      <c r="D526" s="17" t="e">
        <v>#VALUE!</v>
      </c>
      <c r="E526" s="7" t="e">
        <v>#VALUE!</v>
      </c>
      <c r="F526" s="16"/>
      <c r="L526" s="16"/>
      <c r="M526" s="16"/>
      <c r="N526" s="16"/>
      <c r="T526" s="16"/>
    </row>
    <row r="527" ht="22.5" customHeight="1">
      <c r="A527" s="17" t="e">
        <v>#VALUE!</v>
      </c>
      <c r="B527" s="17" t="e">
        <v>#VALUE!</v>
      </c>
      <c r="C527" s="7"/>
      <c r="D527" s="17" t="e">
        <v>#VALUE!</v>
      </c>
      <c r="E527" s="7" t="e">
        <v>#VALUE!</v>
      </c>
      <c r="F527" s="16"/>
      <c r="L527" s="16"/>
      <c r="M527" s="16"/>
      <c r="N527" s="16"/>
      <c r="T527" s="16"/>
    </row>
    <row r="528" ht="22.5" customHeight="1">
      <c r="A528" s="17" t="e">
        <v>#VALUE!</v>
      </c>
      <c r="B528" s="17" t="e">
        <v>#VALUE!</v>
      </c>
      <c r="C528" s="7"/>
      <c r="D528" s="17" t="e">
        <v>#VALUE!</v>
      </c>
      <c r="E528" s="7" t="e">
        <v>#VALUE!</v>
      </c>
      <c r="F528" s="16"/>
      <c r="L528" s="16"/>
      <c r="M528" s="16"/>
      <c r="N528" s="16"/>
      <c r="T528" s="16"/>
    </row>
    <row r="529" ht="22.5" customHeight="1">
      <c r="A529" s="17" t="e">
        <v>#VALUE!</v>
      </c>
      <c r="B529" s="17" t="e">
        <v>#VALUE!</v>
      </c>
      <c r="C529" s="7"/>
      <c r="D529" s="17" t="e">
        <v>#VALUE!</v>
      </c>
      <c r="E529" s="7" t="e">
        <v>#VALUE!</v>
      </c>
      <c r="F529" s="16"/>
      <c r="L529" s="16"/>
      <c r="M529" s="16"/>
      <c r="N529" s="16"/>
      <c r="T529" s="16"/>
    </row>
    <row r="530" ht="22.5" customHeight="1">
      <c r="A530" s="17" t="e">
        <v>#VALUE!</v>
      </c>
      <c r="B530" s="17" t="e">
        <v>#VALUE!</v>
      </c>
      <c r="C530" s="7"/>
      <c r="D530" s="17" t="e">
        <v>#VALUE!</v>
      </c>
      <c r="E530" s="7" t="e">
        <v>#VALUE!</v>
      </c>
      <c r="F530" s="16"/>
      <c r="L530" s="16"/>
      <c r="M530" s="16"/>
      <c r="N530" s="16"/>
      <c r="T530" s="16"/>
    </row>
    <row r="531" ht="22.5" customHeight="1">
      <c r="A531" s="17" t="e">
        <v>#VALUE!</v>
      </c>
      <c r="B531" s="17" t="e">
        <v>#VALUE!</v>
      </c>
      <c r="C531" s="7"/>
      <c r="D531" s="17" t="e">
        <v>#VALUE!</v>
      </c>
      <c r="E531" s="7" t="e">
        <v>#VALUE!</v>
      </c>
      <c r="F531" s="16"/>
      <c r="L531" s="16"/>
      <c r="M531" s="16"/>
      <c r="N531" s="16"/>
      <c r="T531" s="16"/>
    </row>
    <row r="532" ht="22.5" customHeight="1">
      <c r="A532" s="17" t="e">
        <v>#VALUE!</v>
      </c>
      <c r="B532" s="17" t="e">
        <v>#VALUE!</v>
      </c>
      <c r="C532" s="7"/>
      <c r="D532" s="17" t="e">
        <v>#VALUE!</v>
      </c>
      <c r="E532" s="7" t="e">
        <v>#VALUE!</v>
      </c>
      <c r="F532" s="16"/>
      <c r="L532" s="16"/>
      <c r="M532" s="16"/>
      <c r="N532" s="16"/>
      <c r="T532" s="16"/>
    </row>
    <row r="533" ht="22.5" customHeight="1">
      <c r="A533" s="17" t="e">
        <v>#VALUE!</v>
      </c>
      <c r="B533" s="17" t="e">
        <v>#VALUE!</v>
      </c>
      <c r="C533" s="7"/>
      <c r="D533" s="17" t="e">
        <v>#VALUE!</v>
      </c>
      <c r="E533" s="7" t="e">
        <v>#VALUE!</v>
      </c>
      <c r="F533" s="16"/>
      <c r="L533" s="16"/>
      <c r="M533" s="16"/>
      <c r="N533" s="16"/>
      <c r="T533" s="16"/>
    </row>
    <row r="534" ht="22.5" customHeight="1">
      <c r="A534" s="17" t="e">
        <v>#VALUE!</v>
      </c>
      <c r="B534" s="17" t="e">
        <v>#VALUE!</v>
      </c>
      <c r="C534" s="7"/>
      <c r="D534" s="17" t="e">
        <v>#VALUE!</v>
      </c>
      <c r="E534" s="7" t="e">
        <v>#VALUE!</v>
      </c>
      <c r="F534" s="16"/>
      <c r="L534" s="16"/>
      <c r="M534" s="16"/>
      <c r="N534" s="16"/>
      <c r="T534" s="16"/>
    </row>
    <row r="535" ht="22.5" customHeight="1">
      <c r="A535" s="17" t="e">
        <v>#VALUE!</v>
      </c>
      <c r="B535" s="17" t="e">
        <v>#VALUE!</v>
      </c>
      <c r="C535" s="7"/>
      <c r="D535" s="17" t="e">
        <v>#VALUE!</v>
      </c>
      <c r="E535" s="7" t="e">
        <v>#VALUE!</v>
      </c>
      <c r="F535" s="16"/>
      <c r="L535" s="16"/>
      <c r="M535" s="16"/>
      <c r="N535" s="16"/>
      <c r="T535" s="16"/>
    </row>
    <row r="536" ht="22.5" customHeight="1">
      <c r="A536" s="17" t="e">
        <v>#VALUE!</v>
      </c>
      <c r="B536" s="17" t="e">
        <v>#VALUE!</v>
      </c>
      <c r="C536" s="7"/>
      <c r="D536" s="17" t="e">
        <v>#VALUE!</v>
      </c>
      <c r="E536" s="7" t="e">
        <v>#VALUE!</v>
      </c>
      <c r="F536" s="16"/>
      <c r="L536" s="16"/>
      <c r="M536" s="16"/>
      <c r="N536" s="16"/>
      <c r="T536" s="16"/>
    </row>
    <row r="537" ht="22.5" customHeight="1">
      <c r="A537" s="17" t="e">
        <v>#VALUE!</v>
      </c>
      <c r="B537" s="17" t="e">
        <v>#VALUE!</v>
      </c>
      <c r="C537" s="7"/>
      <c r="D537" s="17" t="e">
        <v>#VALUE!</v>
      </c>
      <c r="E537" s="7" t="e">
        <v>#VALUE!</v>
      </c>
      <c r="F537" s="16"/>
      <c r="L537" s="16"/>
      <c r="M537" s="16"/>
      <c r="N537" s="16"/>
      <c r="T537" s="16"/>
    </row>
    <row r="538" ht="22.5" customHeight="1">
      <c r="A538" s="17" t="e">
        <v>#VALUE!</v>
      </c>
      <c r="B538" s="17" t="e">
        <v>#VALUE!</v>
      </c>
      <c r="C538" s="7"/>
      <c r="D538" s="17" t="e">
        <v>#VALUE!</v>
      </c>
      <c r="E538" s="7" t="e">
        <v>#VALUE!</v>
      </c>
      <c r="F538" s="16"/>
      <c r="L538" s="16"/>
      <c r="M538" s="16"/>
      <c r="N538" s="16"/>
      <c r="T538" s="16"/>
    </row>
    <row r="539" ht="22.5" customHeight="1">
      <c r="A539" s="17" t="e">
        <v>#VALUE!</v>
      </c>
      <c r="B539" s="17" t="e">
        <v>#VALUE!</v>
      </c>
      <c r="C539" s="7"/>
      <c r="D539" s="17" t="e">
        <v>#VALUE!</v>
      </c>
      <c r="E539" s="7" t="e">
        <v>#VALUE!</v>
      </c>
      <c r="F539" s="16"/>
      <c r="L539" s="16"/>
      <c r="M539" s="16"/>
      <c r="N539" s="16"/>
      <c r="T539" s="16"/>
    </row>
    <row r="540" ht="22.5" customHeight="1">
      <c r="A540" s="17" t="e">
        <v>#VALUE!</v>
      </c>
      <c r="B540" s="17" t="e">
        <v>#VALUE!</v>
      </c>
      <c r="C540" s="7"/>
      <c r="D540" s="17" t="e">
        <v>#VALUE!</v>
      </c>
      <c r="E540" s="7" t="e">
        <v>#VALUE!</v>
      </c>
      <c r="F540" s="16"/>
      <c r="L540" s="16"/>
      <c r="M540" s="16"/>
      <c r="N540" s="16"/>
      <c r="T540" s="16"/>
    </row>
    <row r="541" ht="22.5" customHeight="1">
      <c r="A541" s="17" t="e">
        <v>#VALUE!</v>
      </c>
      <c r="B541" s="17" t="e">
        <v>#VALUE!</v>
      </c>
      <c r="C541" s="7"/>
      <c r="D541" s="17" t="e">
        <v>#VALUE!</v>
      </c>
      <c r="E541" s="7" t="e">
        <v>#VALUE!</v>
      </c>
      <c r="F541" s="16"/>
      <c r="L541" s="16"/>
      <c r="M541" s="16"/>
      <c r="N541" s="16"/>
      <c r="T541" s="16"/>
    </row>
    <row r="542" ht="22.5" customHeight="1">
      <c r="A542" s="17" t="e">
        <v>#VALUE!</v>
      </c>
      <c r="B542" s="17" t="e">
        <v>#VALUE!</v>
      </c>
      <c r="C542" s="7"/>
      <c r="D542" s="17" t="e">
        <v>#VALUE!</v>
      </c>
      <c r="E542" s="7" t="e">
        <v>#VALUE!</v>
      </c>
      <c r="F542" s="16"/>
      <c r="L542" s="16"/>
      <c r="M542" s="16"/>
      <c r="N542" s="16"/>
      <c r="T542" s="16"/>
    </row>
    <row r="543" ht="22.5" customHeight="1">
      <c r="A543" s="17" t="e">
        <v>#VALUE!</v>
      </c>
      <c r="B543" s="17" t="e">
        <v>#VALUE!</v>
      </c>
      <c r="C543" s="7"/>
      <c r="D543" s="17" t="e">
        <v>#VALUE!</v>
      </c>
      <c r="E543" s="7" t="e">
        <v>#VALUE!</v>
      </c>
      <c r="F543" s="16"/>
      <c r="L543" s="16"/>
      <c r="M543" s="16"/>
      <c r="N543" s="16"/>
      <c r="T543" s="16"/>
    </row>
    <row r="544" ht="22.5" customHeight="1">
      <c r="A544" s="17" t="e">
        <v>#VALUE!</v>
      </c>
      <c r="B544" s="17" t="e">
        <v>#VALUE!</v>
      </c>
      <c r="C544" s="7"/>
      <c r="D544" s="17" t="e">
        <v>#VALUE!</v>
      </c>
      <c r="E544" s="7" t="e">
        <v>#VALUE!</v>
      </c>
      <c r="F544" s="16"/>
      <c r="L544" s="16"/>
      <c r="M544" s="16"/>
      <c r="N544" s="16"/>
      <c r="T544" s="16"/>
    </row>
    <row r="545" ht="22.5" customHeight="1">
      <c r="A545" s="17" t="e">
        <v>#VALUE!</v>
      </c>
      <c r="B545" s="17" t="e">
        <v>#VALUE!</v>
      </c>
      <c r="C545" s="7"/>
      <c r="D545" s="17" t="e">
        <v>#VALUE!</v>
      </c>
      <c r="E545" s="7" t="e">
        <v>#VALUE!</v>
      </c>
      <c r="F545" s="16"/>
      <c r="L545" s="16"/>
      <c r="M545" s="16"/>
      <c r="N545" s="16"/>
      <c r="T545" s="16"/>
    </row>
    <row r="546" ht="22.5" customHeight="1">
      <c r="A546" s="17" t="e">
        <v>#VALUE!</v>
      </c>
      <c r="B546" s="17" t="e">
        <v>#VALUE!</v>
      </c>
      <c r="C546" s="7"/>
      <c r="D546" s="17" t="e">
        <v>#VALUE!</v>
      </c>
      <c r="E546" s="7" t="e">
        <v>#VALUE!</v>
      </c>
      <c r="F546" s="16"/>
      <c r="L546" s="16"/>
      <c r="M546" s="16"/>
      <c r="N546" s="16"/>
      <c r="T546" s="16"/>
    </row>
    <row r="547" ht="22.5" customHeight="1">
      <c r="A547" s="17" t="e">
        <v>#VALUE!</v>
      </c>
      <c r="B547" s="17" t="e">
        <v>#VALUE!</v>
      </c>
      <c r="C547" s="7"/>
      <c r="D547" s="17" t="e">
        <v>#VALUE!</v>
      </c>
      <c r="E547" s="7" t="e">
        <v>#VALUE!</v>
      </c>
      <c r="F547" s="16"/>
      <c r="L547" s="16"/>
      <c r="M547" s="16"/>
      <c r="N547" s="16"/>
      <c r="T547" s="16"/>
    </row>
    <row r="548" ht="22.5" customHeight="1">
      <c r="A548" s="17" t="e">
        <v>#VALUE!</v>
      </c>
      <c r="B548" s="17" t="e">
        <v>#VALUE!</v>
      </c>
      <c r="C548" s="7"/>
      <c r="D548" s="17" t="e">
        <v>#VALUE!</v>
      </c>
      <c r="E548" s="7" t="e">
        <v>#VALUE!</v>
      </c>
      <c r="F548" s="16"/>
      <c r="L548" s="16"/>
      <c r="M548" s="16"/>
      <c r="N548" s="16"/>
      <c r="T548" s="16"/>
    </row>
    <row r="549" ht="22.5" customHeight="1">
      <c r="A549" s="17" t="e">
        <v>#VALUE!</v>
      </c>
      <c r="B549" s="17" t="e">
        <v>#VALUE!</v>
      </c>
      <c r="C549" s="7"/>
      <c r="D549" s="17" t="e">
        <v>#VALUE!</v>
      </c>
      <c r="E549" s="7" t="e">
        <v>#VALUE!</v>
      </c>
      <c r="F549" s="16"/>
      <c r="L549" s="16"/>
      <c r="M549" s="16"/>
      <c r="N549" s="16"/>
      <c r="T549" s="16"/>
    </row>
    <row r="550" ht="22.5" customHeight="1">
      <c r="A550" s="17" t="e">
        <v>#VALUE!</v>
      </c>
      <c r="B550" s="17" t="e">
        <v>#VALUE!</v>
      </c>
      <c r="C550" s="7"/>
      <c r="D550" s="17" t="e">
        <v>#VALUE!</v>
      </c>
      <c r="E550" s="7" t="e">
        <v>#VALUE!</v>
      </c>
      <c r="F550" s="16"/>
      <c r="L550" s="16"/>
      <c r="M550" s="16"/>
      <c r="N550" s="16"/>
      <c r="T550" s="16"/>
    </row>
    <row r="551" ht="22.5" customHeight="1">
      <c r="A551" s="17" t="e">
        <v>#VALUE!</v>
      </c>
      <c r="B551" s="17" t="e">
        <v>#VALUE!</v>
      </c>
      <c r="C551" s="7"/>
      <c r="D551" s="17" t="e">
        <v>#VALUE!</v>
      </c>
      <c r="E551" s="7" t="e">
        <v>#VALUE!</v>
      </c>
      <c r="F551" s="16"/>
      <c r="L551" s="16"/>
      <c r="M551" s="16"/>
      <c r="N551" s="16"/>
      <c r="T551" s="16"/>
    </row>
    <row r="552" ht="22.5" customHeight="1">
      <c r="A552" s="17" t="e">
        <v>#VALUE!</v>
      </c>
      <c r="B552" s="17" t="e">
        <v>#VALUE!</v>
      </c>
      <c r="C552" s="7"/>
      <c r="D552" s="17" t="e">
        <v>#VALUE!</v>
      </c>
      <c r="E552" s="7" t="e">
        <v>#VALUE!</v>
      </c>
      <c r="F552" s="16"/>
      <c r="L552" s="16"/>
      <c r="M552" s="16"/>
      <c r="N552" s="16"/>
      <c r="T552" s="16"/>
    </row>
    <row r="553" ht="22.5" customHeight="1">
      <c r="A553" s="17" t="e">
        <v>#VALUE!</v>
      </c>
      <c r="B553" s="17" t="e">
        <v>#VALUE!</v>
      </c>
      <c r="C553" s="7"/>
      <c r="D553" s="17" t="e">
        <v>#VALUE!</v>
      </c>
      <c r="E553" s="7" t="e">
        <v>#VALUE!</v>
      </c>
      <c r="F553" s="16"/>
      <c r="L553" s="16"/>
      <c r="M553" s="16"/>
      <c r="N553" s="16"/>
      <c r="T553" s="16"/>
    </row>
    <row r="554" ht="22.5" customHeight="1">
      <c r="A554" s="17" t="e">
        <v>#VALUE!</v>
      </c>
      <c r="B554" s="17" t="e">
        <v>#VALUE!</v>
      </c>
      <c r="C554" s="7"/>
      <c r="D554" s="17" t="e">
        <v>#VALUE!</v>
      </c>
      <c r="E554" s="7" t="e">
        <v>#VALUE!</v>
      </c>
      <c r="F554" s="16"/>
      <c r="L554" s="16"/>
      <c r="M554" s="16"/>
      <c r="N554" s="16"/>
      <c r="T554" s="16"/>
    </row>
    <row r="555" ht="22.5" customHeight="1">
      <c r="A555" s="17" t="e">
        <v>#VALUE!</v>
      </c>
      <c r="B555" s="17" t="e">
        <v>#VALUE!</v>
      </c>
      <c r="C555" s="7"/>
      <c r="D555" s="17" t="e">
        <v>#VALUE!</v>
      </c>
      <c r="E555" s="7" t="e">
        <v>#VALUE!</v>
      </c>
      <c r="F555" s="16"/>
      <c r="L555" s="16"/>
      <c r="M555" s="16"/>
      <c r="N555" s="16"/>
      <c r="T555" s="16"/>
    </row>
    <row r="556" ht="22.5" customHeight="1">
      <c r="A556" s="17" t="e">
        <v>#VALUE!</v>
      </c>
      <c r="B556" s="17" t="e">
        <v>#VALUE!</v>
      </c>
      <c r="C556" s="7"/>
      <c r="D556" s="17" t="e">
        <v>#VALUE!</v>
      </c>
      <c r="E556" s="7" t="e">
        <v>#VALUE!</v>
      </c>
      <c r="F556" s="16"/>
      <c r="L556" s="16"/>
      <c r="M556" s="16"/>
      <c r="N556" s="16"/>
      <c r="T556" s="16"/>
    </row>
    <row r="557" ht="22.5" customHeight="1">
      <c r="A557" s="17" t="e">
        <v>#VALUE!</v>
      </c>
      <c r="B557" s="17" t="e">
        <v>#VALUE!</v>
      </c>
      <c r="C557" s="7"/>
      <c r="D557" s="17" t="e">
        <v>#VALUE!</v>
      </c>
      <c r="E557" s="7" t="e">
        <v>#VALUE!</v>
      </c>
      <c r="F557" s="16"/>
      <c r="L557" s="16"/>
      <c r="M557" s="16"/>
      <c r="N557" s="16"/>
      <c r="T557" s="16"/>
    </row>
    <row r="558" ht="22.5" customHeight="1">
      <c r="A558" s="17" t="e">
        <v>#VALUE!</v>
      </c>
      <c r="B558" s="17" t="e">
        <v>#VALUE!</v>
      </c>
      <c r="C558" s="7"/>
      <c r="D558" s="17" t="e">
        <v>#VALUE!</v>
      </c>
      <c r="E558" s="7" t="e">
        <v>#VALUE!</v>
      </c>
      <c r="F558" s="16"/>
      <c r="L558" s="16"/>
      <c r="M558" s="16"/>
      <c r="N558" s="16"/>
      <c r="T558" s="16"/>
    </row>
    <row r="559" ht="22.5" customHeight="1">
      <c r="A559" s="17" t="e">
        <v>#VALUE!</v>
      </c>
      <c r="B559" s="17" t="e">
        <v>#VALUE!</v>
      </c>
      <c r="C559" s="7"/>
      <c r="D559" s="17" t="e">
        <v>#VALUE!</v>
      </c>
      <c r="E559" s="7" t="e">
        <v>#VALUE!</v>
      </c>
      <c r="F559" s="16"/>
      <c r="L559" s="16"/>
      <c r="M559" s="16"/>
      <c r="N559" s="16"/>
      <c r="T559" s="16"/>
    </row>
    <row r="560" ht="22.5" customHeight="1">
      <c r="A560" s="17" t="e">
        <v>#VALUE!</v>
      </c>
      <c r="B560" s="17" t="e">
        <v>#VALUE!</v>
      </c>
      <c r="C560" s="7"/>
      <c r="D560" s="17" t="e">
        <v>#VALUE!</v>
      </c>
      <c r="E560" s="7" t="e">
        <v>#VALUE!</v>
      </c>
      <c r="F560" s="16"/>
      <c r="L560" s="16"/>
      <c r="M560" s="16"/>
      <c r="N560" s="16"/>
      <c r="T560" s="16"/>
    </row>
    <row r="561" ht="22.5" customHeight="1">
      <c r="A561" s="17" t="e">
        <v>#VALUE!</v>
      </c>
      <c r="B561" s="17" t="e">
        <v>#VALUE!</v>
      </c>
      <c r="C561" s="7"/>
      <c r="D561" s="17" t="e">
        <v>#VALUE!</v>
      </c>
      <c r="E561" s="7" t="e">
        <v>#VALUE!</v>
      </c>
      <c r="F561" s="16"/>
      <c r="L561" s="16"/>
      <c r="M561" s="16"/>
      <c r="N561" s="16"/>
      <c r="T561" s="16"/>
    </row>
    <row r="562" ht="22.5" customHeight="1">
      <c r="A562" s="17" t="e">
        <v>#VALUE!</v>
      </c>
      <c r="B562" s="17" t="e">
        <v>#VALUE!</v>
      </c>
      <c r="C562" s="7"/>
      <c r="D562" s="17" t="e">
        <v>#VALUE!</v>
      </c>
      <c r="E562" s="7" t="e">
        <v>#VALUE!</v>
      </c>
      <c r="F562" s="16"/>
      <c r="L562" s="16"/>
      <c r="M562" s="16"/>
      <c r="N562" s="16"/>
      <c r="T562" s="16"/>
    </row>
    <row r="563" ht="22.5" customHeight="1">
      <c r="A563" s="17" t="e">
        <v>#VALUE!</v>
      </c>
      <c r="B563" s="17" t="e">
        <v>#VALUE!</v>
      </c>
      <c r="C563" s="7"/>
      <c r="D563" s="17" t="e">
        <v>#VALUE!</v>
      </c>
      <c r="E563" s="7" t="e">
        <v>#VALUE!</v>
      </c>
      <c r="F563" s="16"/>
      <c r="L563" s="16"/>
      <c r="M563" s="16"/>
      <c r="N563" s="16"/>
      <c r="T563" s="16"/>
    </row>
    <row r="564" ht="22.5" customHeight="1">
      <c r="A564" s="17" t="e">
        <v>#VALUE!</v>
      </c>
      <c r="B564" s="17" t="e">
        <v>#VALUE!</v>
      </c>
      <c r="C564" s="7"/>
      <c r="D564" s="17" t="e">
        <v>#VALUE!</v>
      </c>
      <c r="E564" s="7" t="e">
        <v>#VALUE!</v>
      </c>
      <c r="F564" s="16"/>
      <c r="L564" s="16"/>
      <c r="M564" s="16"/>
      <c r="N564" s="16"/>
      <c r="T564" s="16"/>
    </row>
    <row r="565" ht="22.5" customHeight="1">
      <c r="A565" s="17" t="e">
        <v>#VALUE!</v>
      </c>
      <c r="B565" s="17" t="e">
        <v>#VALUE!</v>
      </c>
      <c r="C565" s="7"/>
      <c r="D565" s="17" t="e">
        <v>#VALUE!</v>
      </c>
      <c r="E565" s="7" t="e">
        <v>#VALUE!</v>
      </c>
      <c r="F565" s="16"/>
      <c r="L565" s="16"/>
      <c r="M565" s="16"/>
      <c r="N565" s="16"/>
      <c r="T565" s="16"/>
    </row>
    <row r="566" ht="22.5" customHeight="1">
      <c r="A566" s="17" t="e">
        <v>#VALUE!</v>
      </c>
      <c r="B566" s="17" t="e">
        <v>#VALUE!</v>
      </c>
      <c r="C566" s="7"/>
      <c r="D566" s="17" t="e">
        <v>#VALUE!</v>
      </c>
      <c r="E566" s="7" t="e">
        <v>#VALUE!</v>
      </c>
      <c r="F566" s="16"/>
      <c r="L566" s="16"/>
      <c r="M566" s="16"/>
      <c r="N566" s="16"/>
      <c r="T566" s="16"/>
    </row>
    <row r="567" ht="22.5" customHeight="1">
      <c r="A567" s="17" t="e">
        <v>#VALUE!</v>
      </c>
      <c r="B567" s="17" t="e">
        <v>#VALUE!</v>
      </c>
      <c r="C567" s="7"/>
      <c r="D567" s="17" t="e">
        <v>#VALUE!</v>
      </c>
      <c r="E567" s="7" t="e">
        <v>#VALUE!</v>
      </c>
      <c r="F567" s="16"/>
      <c r="L567" s="16"/>
      <c r="M567" s="16"/>
      <c r="N567" s="16"/>
      <c r="T567" s="16"/>
    </row>
    <row r="568" ht="22.5" customHeight="1">
      <c r="A568" s="17" t="e">
        <v>#VALUE!</v>
      </c>
      <c r="B568" s="17" t="e">
        <v>#VALUE!</v>
      </c>
      <c r="C568" s="7"/>
      <c r="D568" s="17" t="e">
        <v>#VALUE!</v>
      </c>
      <c r="E568" s="7" t="e">
        <v>#VALUE!</v>
      </c>
      <c r="F568" s="16"/>
      <c r="L568" s="16"/>
      <c r="M568" s="16"/>
      <c r="N568" s="16"/>
      <c r="T568" s="16"/>
    </row>
    <row r="569" ht="22.5" customHeight="1">
      <c r="A569" s="17" t="e">
        <v>#VALUE!</v>
      </c>
      <c r="B569" s="17" t="e">
        <v>#VALUE!</v>
      </c>
      <c r="C569" s="7"/>
      <c r="D569" s="17" t="e">
        <v>#VALUE!</v>
      </c>
      <c r="E569" s="7" t="e">
        <v>#VALUE!</v>
      </c>
      <c r="F569" s="16"/>
      <c r="L569" s="16"/>
      <c r="M569" s="16"/>
      <c r="N569" s="16"/>
      <c r="T569" s="16"/>
    </row>
    <row r="570" ht="22.5" customHeight="1">
      <c r="A570" s="17" t="e">
        <v>#VALUE!</v>
      </c>
      <c r="B570" s="17" t="e">
        <v>#VALUE!</v>
      </c>
      <c r="C570" s="7"/>
      <c r="D570" s="17" t="e">
        <v>#VALUE!</v>
      </c>
      <c r="E570" s="7" t="e">
        <v>#VALUE!</v>
      </c>
      <c r="F570" s="16"/>
      <c r="L570" s="16"/>
      <c r="M570" s="16"/>
      <c r="N570" s="16"/>
      <c r="T570" s="16"/>
    </row>
    <row r="571" ht="22.5" customHeight="1">
      <c r="A571" s="17" t="e">
        <v>#VALUE!</v>
      </c>
      <c r="B571" s="17" t="e">
        <v>#VALUE!</v>
      </c>
      <c r="C571" s="7"/>
      <c r="D571" s="17" t="e">
        <v>#VALUE!</v>
      </c>
      <c r="E571" s="7" t="e">
        <v>#VALUE!</v>
      </c>
      <c r="F571" s="16"/>
      <c r="L571" s="16"/>
      <c r="M571" s="16"/>
      <c r="N571" s="16"/>
      <c r="T571" s="16"/>
    </row>
    <row r="572" ht="22.5" customHeight="1">
      <c r="A572" s="17" t="e">
        <v>#VALUE!</v>
      </c>
      <c r="B572" s="17" t="e">
        <v>#VALUE!</v>
      </c>
      <c r="C572" s="7"/>
      <c r="D572" s="17" t="e">
        <v>#VALUE!</v>
      </c>
      <c r="E572" s="7" t="e">
        <v>#VALUE!</v>
      </c>
      <c r="F572" s="16"/>
      <c r="L572" s="16"/>
      <c r="M572" s="16"/>
      <c r="N572" s="16"/>
      <c r="T572" s="16"/>
    </row>
    <row r="573" ht="22.5" customHeight="1">
      <c r="A573" s="17" t="e">
        <v>#VALUE!</v>
      </c>
      <c r="B573" s="17" t="e">
        <v>#VALUE!</v>
      </c>
      <c r="C573" s="7"/>
      <c r="D573" s="17" t="e">
        <v>#VALUE!</v>
      </c>
      <c r="E573" s="7" t="e">
        <v>#VALUE!</v>
      </c>
      <c r="F573" s="16"/>
      <c r="L573" s="16"/>
      <c r="M573" s="16"/>
      <c r="N573" s="16"/>
      <c r="T573" s="16"/>
    </row>
    <row r="574" ht="22.5" customHeight="1">
      <c r="A574" s="17" t="e">
        <v>#VALUE!</v>
      </c>
      <c r="B574" s="17" t="e">
        <v>#VALUE!</v>
      </c>
      <c r="C574" s="7"/>
      <c r="D574" s="17" t="e">
        <v>#VALUE!</v>
      </c>
      <c r="E574" s="7" t="e">
        <v>#VALUE!</v>
      </c>
      <c r="F574" s="16"/>
      <c r="L574" s="16"/>
      <c r="M574" s="16"/>
      <c r="N574" s="16"/>
      <c r="T574" s="16"/>
    </row>
    <row r="575" ht="22.5" customHeight="1">
      <c r="A575" s="17" t="e">
        <v>#VALUE!</v>
      </c>
      <c r="B575" s="17" t="e">
        <v>#VALUE!</v>
      </c>
      <c r="C575" s="7"/>
      <c r="D575" s="17" t="e">
        <v>#VALUE!</v>
      </c>
      <c r="E575" s="7" t="e">
        <v>#VALUE!</v>
      </c>
      <c r="F575" s="16"/>
      <c r="L575" s="16"/>
      <c r="M575" s="16"/>
      <c r="N575" s="16"/>
      <c r="T575" s="16"/>
    </row>
    <row r="576" ht="22.5" customHeight="1">
      <c r="A576" s="17" t="e">
        <v>#VALUE!</v>
      </c>
      <c r="B576" s="17" t="e">
        <v>#VALUE!</v>
      </c>
      <c r="C576" s="7"/>
      <c r="D576" s="17" t="e">
        <v>#VALUE!</v>
      </c>
      <c r="E576" s="7" t="e">
        <v>#VALUE!</v>
      </c>
      <c r="F576" s="16"/>
      <c r="L576" s="16"/>
      <c r="M576" s="16"/>
      <c r="N576" s="16"/>
      <c r="T576" s="16"/>
    </row>
    <row r="577" ht="22.5" customHeight="1">
      <c r="A577" s="17" t="e">
        <v>#VALUE!</v>
      </c>
      <c r="B577" s="17" t="e">
        <v>#VALUE!</v>
      </c>
      <c r="C577" s="7"/>
      <c r="D577" s="17" t="e">
        <v>#VALUE!</v>
      </c>
      <c r="E577" s="7" t="e">
        <v>#VALUE!</v>
      </c>
      <c r="F577" s="16"/>
      <c r="L577" s="16"/>
      <c r="M577" s="16"/>
      <c r="N577" s="16"/>
      <c r="T577" s="16"/>
    </row>
    <row r="578" ht="22.5" customHeight="1">
      <c r="A578" s="17" t="e">
        <v>#VALUE!</v>
      </c>
      <c r="B578" s="17" t="e">
        <v>#VALUE!</v>
      </c>
      <c r="C578" s="7"/>
      <c r="D578" s="17" t="e">
        <v>#VALUE!</v>
      </c>
      <c r="E578" s="7" t="e">
        <v>#VALUE!</v>
      </c>
      <c r="F578" s="16"/>
      <c r="L578" s="16"/>
      <c r="M578" s="16"/>
      <c r="N578" s="16"/>
      <c r="T578" s="16"/>
    </row>
    <row r="579" ht="22.5" customHeight="1">
      <c r="A579" s="17" t="e">
        <v>#VALUE!</v>
      </c>
      <c r="B579" s="17" t="e">
        <v>#VALUE!</v>
      </c>
      <c r="C579" s="7"/>
      <c r="D579" s="17" t="e">
        <v>#VALUE!</v>
      </c>
      <c r="E579" s="7" t="e">
        <v>#VALUE!</v>
      </c>
      <c r="F579" s="16"/>
      <c r="L579" s="16"/>
      <c r="M579" s="16"/>
      <c r="N579" s="16"/>
      <c r="T579" s="16"/>
    </row>
    <row r="580" ht="22.5" customHeight="1">
      <c r="A580" s="17" t="e">
        <v>#VALUE!</v>
      </c>
      <c r="B580" s="17" t="e">
        <v>#VALUE!</v>
      </c>
      <c r="C580" s="7"/>
      <c r="D580" s="17" t="e">
        <v>#VALUE!</v>
      </c>
      <c r="E580" s="7" t="e">
        <v>#VALUE!</v>
      </c>
      <c r="F580" s="16"/>
      <c r="L580" s="16"/>
      <c r="M580" s="16"/>
      <c r="N580" s="16"/>
      <c r="T580" s="16"/>
    </row>
    <row r="581" ht="22.5" customHeight="1">
      <c r="A581" s="17" t="e">
        <v>#VALUE!</v>
      </c>
      <c r="B581" s="17" t="e">
        <v>#VALUE!</v>
      </c>
      <c r="C581" s="7"/>
      <c r="D581" s="17" t="e">
        <v>#VALUE!</v>
      </c>
      <c r="E581" s="7" t="e">
        <v>#VALUE!</v>
      </c>
      <c r="F581" s="16"/>
      <c r="L581" s="16"/>
      <c r="M581" s="16"/>
      <c r="N581" s="16"/>
      <c r="T581" s="16"/>
    </row>
    <row r="582" ht="22.5" customHeight="1">
      <c r="A582" s="17" t="e">
        <v>#VALUE!</v>
      </c>
      <c r="B582" s="17" t="e">
        <v>#VALUE!</v>
      </c>
      <c r="C582" s="7"/>
      <c r="D582" s="17" t="e">
        <v>#VALUE!</v>
      </c>
      <c r="E582" s="7" t="e">
        <v>#VALUE!</v>
      </c>
      <c r="F582" s="16"/>
      <c r="L582" s="16"/>
      <c r="M582" s="16"/>
      <c r="N582" s="16"/>
      <c r="T582" s="16"/>
    </row>
    <row r="583" ht="22.5" customHeight="1">
      <c r="A583" s="17" t="e">
        <v>#VALUE!</v>
      </c>
      <c r="B583" s="17" t="e">
        <v>#VALUE!</v>
      </c>
      <c r="C583" s="7"/>
      <c r="D583" s="17" t="e">
        <v>#VALUE!</v>
      </c>
      <c r="E583" s="7" t="e">
        <v>#VALUE!</v>
      </c>
      <c r="F583" s="16"/>
      <c r="L583" s="16"/>
      <c r="M583" s="16"/>
      <c r="N583" s="16"/>
      <c r="T583" s="16"/>
    </row>
    <row r="584" ht="22.5" customHeight="1">
      <c r="A584" s="17" t="e">
        <v>#VALUE!</v>
      </c>
      <c r="B584" s="17" t="e">
        <v>#VALUE!</v>
      </c>
      <c r="C584" s="7"/>
      <c r="D584" s="17" t="e">
        <v>#VALUE!</v>
      </c>
      <c r="E584" s="7" t="e">
        <v>#VALUE!</v>
      </c>
      <c r="F584" s="16"/>
      <c r="L584" s="16"/>
      <c r="M584" s="16"/>
      <c r="N584" s="16"/>
      <c r="T584" s="16"/>
    </row>
    <row r="585" ht="22.5" customHeight="1">
      <c r="A585" s="17" t="e">
        <v>#VALUE!</v>
      </c>
      <c r="B585" s="17" t="e">
        <v>#VALUE!</v>
      </c>
      <c r="C585" s="7"/>
      <c r="D585" s="17" t="e">
        <v>#VALUE!</v>
      </c>
      <c r="E585" s="7" t="e">
        <v>#VALUE!</v>
      </c>
      <c r="F585" s="16"/>
      <c r="L585" s="16"/>
      <c r="M585" s="16"/>
      <c r="N585" s="16"/>
      <c r="T585" s="16"/>
    </row>
    <row r="586" ht="22.5" customHeight="1">
      <c r="A586" s="17" t="e">
        <v>#VALUE!</v>
      </c>
      <c r="B586" s="17" t="e">
        <v>#VALUE!</v>
      </c>
      <c r="C586" s="7"/>
      <c r="D586" s="17" t="e">
        <v>#VALUE!</v>
      </c>
      <c r="E586" s="7" t="e">
        <v>#VALUE!</v>
      </c>
      <c r="F586" s="16"/>
      <c r="L586" s="16"/>
      <c r="M586" s="16"/>
      <c r="N586" s="16"/>
      <c r="T586" s="16"/>
    </row>
    <row r="587" ht="22.5" customHeight="1">
      <c r="A587" s="17" t="e">
        <v>#VALUE!</v>
      </c>
      <c r="B587" s="17" t="e">
        <v>#VALUE!</v>
      </c>
      <c r="C587" s="7"/>
      <c r="D587" s="17" t="e">
        <v>#VALUE!</v>
      </c>
      <c r="E587" s="7" t="e">
        <v>#VALUE!</v>
      </c>
      <c r="F587" s="16"/>
      <c r="L587" s="16"/>
      <c r="M587" s="16"/>
      <c r="N587" s="16"/>
      <c r="T587" s="16"/>
    </row>
    <row r="588" ht="22.5" customHeight="1">
      <c r="A588" s="17" t="e">
        <v>#VALUE!</v>
      </c>
      <c r="B588" s="17" t="e">
        <v>#VALUE!</v>
      </c>
      <c r="C588" s="7"/>
      <c r="D588" s="17" t="e">
        <v>#VALUE!</v>
      </c>
      <c r="E588" s="7" t="e">
        <v>#VALUE!</v>
      </c>
      <c r="F588" s="16"/>
      <c r="L588" s="16"/>
      <c r="M588" s="16"/>
      <c r="N588" s="16"/>
      <c r="T588" s="16"/>
    </row>
    <row r="589" ht="22.5" customHeight="1">
      <c r="A589" s="17" t="e">
        <v>#VALUE!</v>
      </c>
      <c r="B589" s="17" t="e">
        <v>#VALUE!</v>
      </c>
      <c r="C589" s="7"/>
      <c r="D589" s="17" t="e">
        <v>#VALUE!</v>
      </c>
      <c r="E589" s="7" t="e">
        <v>#VALUE!</v>
      </c>
      <c r="F589" s="16"/>
      <c r="L589" s="16"/>
      <c r="M589" s="16"/>
      <c r="N589" s="16"/>
      <c r="T589" s="16"/>
    </row>
    <row r="590" ht="22.5" customHeight="1">
      <c r="A590" s="17" t="e">
        <v>#VALUE!</v>
      </c>
      <c r="B590" s="17" t="e">
        <v>#VALUE!</v>
      </c>
      <c r="C590" s="7"/>
      <c r="D590" s="17" t="e">
        <v>#VALUE!</v>
      </c>
      <c r="E590" s="7" t="e">
        <v>#VALUE!</v>
      </c>
      <c r="F590" s="16"/>
      <c r="L590" s="16"/>
      <c r="M590" s="16"/>
      <c r="N590" s="16"/>
      <c r="T590" s="16"/>
    </row>
    <row r="591" ht="22.5" customHeight="1">
      <c r="A591" s="17" t="e">
        <v>#VALUE!</v>
      </c>
      <c r="B591" s="17" t="e">
        <v>#VALUE!</v>
      </c>
      <c r="C591" s="7"/>
      <c r="D591" s="17" t="e">
        <v>#VALUE!</v>
      </c>
      <c r="E591" s="7" t="e">
        <v>#VALUE!</v>
      </c>
      <c r="F591" s="16"/>
      <c r="L591" s="16"/>
      <c r="M591" s="16"/>
      <c r="N591" s="16"/>
      <c r="T591" s="16"/>
    </row>
    <row r="592" ht="22.5" customHeight="1">
      <c r="A592" s="17" t="e">
        <v>#VALUE!</v>
      </c>
      <c r="B592" s="17" t="e">
        <v>#VALUE!</v>
      </c>
      <c r="C592" s="7"/>
      <c r="D592" s="17" t="e">
        <v>#VALUE!</v>
      </c>
      <c r="E592" s="7" t="e">
        <v>#VALUE!</v>
      </c>
      <c r="F592" s="16"/>
      <c r="L592" s="16"/>
      <c r="M592" s="16"/>
      <c r="N592" s="16"/>
      <c r="T592" s="16"/>
    </row>
    <row r="593" ht="22.5" customHeight="1">
      <c r="A593" s="17" t="e">
        <v>#VALUE!</v>
      </c>
      <c r="B593" s="17" t="e">
        <v>#VALUE!</v>
      </c>
      <c r="C593" s="7"/>
      <c r="D593" s="17" t="e">
        <v>#VALUE!</v>
      </c>
      <c r="E593" s="7" t="e">
        <v>#VALUE!</v>
      </c>
      <c r="F593" s="16"/>
      <c r="L593" s="16"/>
      <c r="M593" s="16"/>
      <c r="N593" s="16"/>
      <c r="T593" s="16"/>
    </row>
    <row r="594" ht="22.5" customHeight="1">
      <c r="A594" s="17" t="e">
        <v>#VALUE!</v>
      </c>
      <c r="B594" s="17" t="e">
        <v>#VALUE!</v>
      </c>
      <c r="C594" s="7"/>
      <c r="D594" s="17" t="e">
        <v>#VALUE!</v>
      </c>
      <c r="E594" s="7" t="e">
        <v>#VALUE!</v>
      </c>
      <c r="F594" s="16"/>
      <c r="L594" s="16"/>
      <c r="M594" s="16"/>
      <c r="N594" s="16"/>
      <c r="T594" s="16"/>
    </row>
    <row r="595" ht="22.5" customHeight="1">
      <c r="A595" s="17" t="e">
        <v>#VALUE!</v>
      </c>
      <c r="B595" s="17" t="e">
        <v>#VALUE!</v>
      </c>
      <c r="C595" s="7"/>
      <c r="D595" s="17" t="e">
        <v>#VALUE!</v>
      </c>
      <c r="E595" s="7" t="e">
        <v>#VALUE!</v>
      </c>
      <c r="F595" s="16"/>
      <c r="L595" s="16"/>
      <c r="M595" s="16"/>
      <c r="N595" s="16"/>
      <c r="T595" s="16"/>
    </row>
    <row r="596" ht="22.5" customHeight="1">
      <c r="A596" s="17" t="e">
        <v>#VALUE!</v>
      </c>
      <c r="B596" s="17" t="e">
        <v>#VALUE!</v>
      </c>
      <c r="C596" s="7"/>
      <c r="D596" s="17" t="e">
        <v>#VALUE!</v>
      </c>
      <c r="E596" s="7" t="e">
        <v>#VALUE!</v>
      </c>
      <c r="F596" s="16"/>
      <c r="L596" s="16"/>
      <c r="M596" s="16"/>
      <c r="N596" s="16"/>
      <c r="T596" s="16"/>
    </row>
    <row r="597" ht="22.5" customHeight="1">
      <c r="A597" s="17" t="e">
        <v>#VALUE!</v>
      </c>
      <c r="B597" s="17" t="e">
        <v>#VALUE!</v>
      </c>
      <c r="C597" s="7"/>
      <c r="D597" s="17" t="e">
        <v>#VALUE!</v>
      </c>
      <c r="E597" s="7" t="e">
        <v>#VALUE!</v>
      </c>
      <c r="F597" s="16"/>
      <c r="L597" s="16"/>
      <c r="M597" s="16"/>
      <c r="N597" s="16"/>
      <c r="T597" s="16"/>
    </row>
    <row r="598" ht="22.5" customHeight="1">
      <c r="A598" s="17" t="e">
        <v>#VALUE!</v>
      </c>
      <c r="B598" s="17" t="e">
        <v>#VALUE!</v>
      </c>
      <c r="C598" s="7"/>
      <c r="D598" s="17" t="e">
        <v>#VALUE!</v>
      </c>
      <c r="E598" s="7" t="e">
        <v>#VALUE!</v>
      </c>
      <c r="F598" s="16"/>
      <c r="L598" s="16"/>
      <c r="M598" s="16"/>
      <c r="N598" s="16"/>
      <c r="T598" s="16"/>
    </row>
    <row r="599" ht="22.5" customHeight="1">
      <c r="A599" s="17" t="e">
        <v>#VALUE!</v>
      </c>
      <c r="B599" s="17" t="e">
        <v>#VALUE!</v>
      </c>
      <c r="C599" s="7"/>
      <c r="D599" s="17" t="e">
        <v>#VALUE!</v>
      </c>
      <c r="E599" s="7" t="e">
        <v>#VALUE!</v>
      </c>
      <c r="F599" s="16"/>
      <c r="L599" s="16"/>
      <c r="M599" s="16"/>
      <c r="N599" s="16"/>
      <c r="T599" s="16"/>
    </row>
    <row r="600" ht="22.5" customHeight="1">
      <c r="A600" s="17" t="e">
        <v>#VALUE!</v>
      </c>
      <c r="B600" s="17" t="e">
        <v>#VALUE!</v>
      </c>
      <c r="C600" s="7"/>
      <c r="D600" s="17" t="e">
        <v>#VALUE!</v>
      </c>
      <c r="E600" s="7" t="e">
        <v>#VALUE!</v>
      </c>
      <c r="F600" s="16"/>
      <c r="L600" s="16"/>
      <c r="M600" s="16"/>
      <c r="N600" s="16"/>
      <c r="T600" s="16"/>
    </row>
    <row r="601" ht="22.5" customHeight="1">
      <c r="A601" s="17" t="e">
        <v>#VALUE!</v>
      </c>
      <c r="B601" s="17" t="e">
        <v>#VALUE!</v>
      </c>
      <c r="C601" s="7"/>
      <c r="D601" s="17" t="e">
        <v>#VALUE!</v>
      </c>
      <c r="E601" s="7" t="e">
        <v>#VALUE!</v>
      </c>
      <c r="F601" s="16"/>
      <c r="L601" s="16"/>
      <c r="M601" s="16"/>
      <c r="N601" s="16"/>
      <c r="T601" s="16"/>
    </row>
    <row r="602" ht="22.5" customHeight="1">
      <c r="A602" s="17" t="e">
        <v>#VALUE!</v>
      </c>
      <c r="B602" s="17" t="e">
        <v>#VALUE!</v>
      </c>
      <c r="C602" s="7"/>
      <c r="D602" s="17" t="e">
        <v>#VALUE!</v>
      </c>
      <c r="E602" s="7" t="e">
        <v>#VALUE!</v>
      </c>
      <c r="F602" s="16"/>
      <c r="L602" s="16"/>
      <c r="M602" s="16"/>
      <c r="N602" s="16"/>
      <c r="T602" s="16"/>
    </row>
    <row r="603" ht="22.5" customHeight="1">
      <c r="A603" s="17" t="e">
        <v>#VALUE!</v>
      </c>
      <c r="B603" s="17" t="e">
        <v>#VALUE!</v>
      </c>
      <c r="C603" s="7"/>
      <c r="D603" s="17" t="e">
        <v>#VALUE!</v>
      </c>
      <c r="E603" s="7" t="e">
        <v>#VALUE!</v>
      </c>
      <c r="F603" s="16"/>
      <c r="L603" s="16"/>
      <c r="M603" s="16"/>
      <c r="N603" s="16"/>
      <c r="T603" s="16"/>
    </row>
    <row r="604" ht="22.5" customHeight="1">
      <c r="A604" s="17" t="e">
        <v>#VALUE!</v>
      </c>
      <c r="B604" s="17" t="e">
        <v>#VALUE!</v>
      </c>
      <c r="C604" s="7"/>
      <c r="D604" s="17" t="e">
        <v>#VALUE!</v>
      </c>
      <c r="E604" s="7" t="e">
        <v>#VALUE!</v>
      </c>
      <c r="F604" s="16"/>
      <c r="L604" s="16"/>
      <c r="M604" s="16"/>
      <c r="N604" s="16"/>
      <c r="T604" s="16"/>
    </row>
    <row r="605" ht="22.5" customHeight="1">
      <c r="A605" s="17" t="e">
        <v>#VALUE!</v>
      </c>
      <c r="B605" s="17" t="e">
        <v>#VALUE!</v>
      </c>
      <c r="C605" s="7"/>
      <c r="D605" s="17" t="e">
        <v>#VALUE!</v>
      </c>
      <c r="E605" s="7" t="e">
        <v>#VALUE!</v>
      </c>
      <c r="F605" s="16"/>
      <c r="L605" s="16"/>
      <c r="M605" s="16"/>
      <c r="N605" s="16"/>
      <c r="T605" s="16"/>
    </row>
    <row r="606" ht="22.5" customHeight="1">
      <c r="A606" s="17" t="e">
        <v>#VALUE!</v>
      </c>
      <c r="B606" s="17" t="e">
        <v>#VALUE!</v>
      </c>
      <c r="C606" s="7"/>
      <c r="D606" s="17" t="e">
        <v>#VALUE!</v>
      </c>
      <c r="E606" s="7" t="e">
        <v>#VALUE!</v>
      </c>
      <c r="F606" s="16"/>
      <c r="L606" s="16"/>
      <c r="M606" s="16"/>
      <c r="N606" s="16"/>
      <c r="T606" s="16"/>
    </row>
    <row r="607" ht="22.5" customHeight="1">
      <c r="A607" s="17" t="e">
        <v>#VALUE!</v>
      </c>
      <c r="B607" s="17" t="e">
        <v>#VALUE!</v>
      </c>
      <c r="C607" s="7"/>
      <c r="D607" s="17" t="e">
        <v>#VALUE!</v>
      </c>
      <c r="E607" s="7" t="e">
        <v>#VALUE!</v>
      </c>
      <c r="F607" s="16"/>
      <c r="L607" s="16"/>
      <c r="M607" s="16"/>
      <c r="N607" s="16"/>
      <c r="T607" s="16"/>
    </row>
    <row r="608" ht="22.5" customHeight="1">
      <c r="A608" s="17" t="e">
        <v>#VALUE!</v>
      </c>
      <c r="B608" s="17" t="e">
        <v>#VALUE!</v>
      </c>
      <c r="C608" s="7"/>
      <c r="D608" s="17" t="e">
        <v>#VALUE!</v>
      </c>
      <c r="E608" s="7" t="e">
        <v>#VALUE!</v>
      </c>
      <c r="F608" s="16"/>
      <c r="L608" s="16"/>
      <c r="M608" s="16"/>
      <c r="N608" s="16"/>
      <c r="T608" s="16"/>
    </row>
    <row r="609" ht="22.5" customHeight="1">
      <c r="A609" s="17" t="e">
        <v>#VALUE!</v>
      </c>
      <c r="B609" s="17" t="e">
        <v>#VALUE!</v>
      </c>
      <c r="C609" s="7"/>
      <c r="D609" s="17" t="e">
        <v>#VALUE!</v>
      </c>
      <c r="E609" s="7" t="e">
        <v>#VALUE!</v>
      </c>
      <c r="F609" s="16"/>
      <c r="L609" s="16"/>
      <c r="M609" s="16"/>
      <c r="N609" s="16"/>
      <c r="T609" s="16"/>
    </row>
    <row r="610" ht="22.5" customHeight="1">
      <c r="A610" s="17" t="e">
        <v>#VALUE!</v>
      </c>
      <c r="B610" s="17" t="e">
        <v>#VALUE!</v>
      </c>
      <c r="C610" s="7"/>
      <c r="D610" s="17" t="e">
        <v>#VALUE!</v>
      </c>
      <c r="E610" s="7" t="e">
        <v>#VALUE!</v>
      </c>
      <c r="F610" s="16"/>
      <c r="L610" s="16"/>
      <c r="M610" s="16"/>
      <c r="N610" s="16"/>
      <c r="T610" s="16"/>
    </row>
    <row r="611" ht="22.5" customHeight="1">
      <c r="A611" s="17" t="e">
        <v>#VALUE!</v>
      </c>
      <c r="B611" s="17" t="e">
        <v>#VALUE!</v>
      </c>
      <c r="C611" s="7"/>
      <c r="D611" s="17" t="e">
        <v>#VALUE!</v>
      </c>
      <c r="E611" s="7" t="e">
        <v>#VALUE!</v>
      </c>
      <c r="F611" s="16"/>
      <c r="L611" s="16"/>
      <c r="M611" s="16"/>
      <c r="N611" s="16"/>
      <c r="T611" s="16"/>
    </row>
    <row r="612" ht="22.5" customHeight="1">
      <c r="A612" s="17" t="e">
        <v>#VALUE!</v>
      </c>
      <c r="B612" s="17" t="e">
        <v>#VALUE!</v>
      </c>
      <c r="C612" s="7"/>
      <c r="D612" s="17" t="e">
        <v>#VALUE!</v>
      </c>
      <c r="E612" s="7" t="e">
        <v>#VALUE!</v>
      </c>
      <c r="F612" s="16"/>
      <c r="L612" s="16"/>
      <c r="M612" s="16"/>
      <c r="N612" s="16"/>
      <c r="T612" s="16"/>
    </row>
    <row r="613" ht="22.5" customHeight="1">
      <c r="A613" s="17" t="e">
        <v>#VALUE!</v>
      </c>
      <c r="B613" s="17" t="e">
        <v>#VALUE!</v>
      </c>
      <c r="C613" s="7"/>
      <c r="D613" s="17" t="e">
        <v>#VALUE!</v>
      </c>
      <c r="E613" s="7" t="e">
        <v>#VALUE!</v>
      </c>
      <c r="F613" s="16"/>
      <c r="L613" s="16"/>
      <c r="M613" s="16"/>
      <c r="N613" s="16"/>
      <c r="T613" s="16"/>
    </row>
    <row r="614" ht="22.5" customHeight="1">
      <c r="A614" s="17" t="e">
        <v>#VALUE!</v>
      </c>
      <c r="B614" s="17" t="e">
        <v>#VALUE!</v>
      </c>
      <c r="C614" s="7"/>
      <c r="D614" s="17" t="e">
        <v>#VALUE!</v>
      </c>
      <c r="E614" s="7" t="e">
        <v>#VALUE!</v>
      </c>
      <c r="F614" s="16"/>
      <c r="L614" s="16"/>
      <c r="M614" s="16"/>
      <c r="N614" s="16"/>
      <c r="T614" s="16"/>
    </row>
    <row r="615" ht="22.5" customHeight="1">
      <c r="A615" s="17" t="e">
        <v>#VALUE!</v>
      </c>
      <c r="B615" s="17" t="e">
        <v>#VALUE!</v>
      </c>
      <c r="C615" s="7"/>
      <c r="D615" s="17" t="e">
        <v>#VALUE!</v>
      </c>
      <c r="E615" s="7" t="e">
        <v>#VALUE!</v>
      </c>
      <c r="F615" s="16"/>
      <c r="L615" s="16"/>
      <c r="M615" s="16"/>
      <c r="N615" s="16"/>
      <c r="T615" s="16"/>
    </row>
    <row r="616" ht="22.5" customHeight="1">
      <c r="A616" s="17" t="e">
        <v>#VALUE!</v>
      </c>
      <c r="B616" s="17" t="e">
        <v>#VALUE!</v>
      </c>
      <c r="C616" s="7"/>
      <c r="D616" s="17" t="e">
        <v>#VALUE!</v>
      </c>
      <c r="E616" s="7" t="e">
        <v>#VALUE!</v>
      </c>
      <c r="F616" s="16"/>
      <c r="L616" s="16"/>
      <c r="M616" s="16"/>
      <c r="N616" s="16"/>
      <c r="T616" s="16"/>
    </row>
    <row r="617" ht="22.5" customHeight="1">
      <c r="A617" s="17" t="e">
        <v>#VALUE!</v>
      </c>
      <c r="B617" s="17" t="e">
        <v>#VALUE!</v>
      </c>
      <c r="C617" s="7"/>
      <c r="D617" s="17" t="e">
        <v>#VALUE!</v>
      </c>
      <c r="E617" s="7" t="e">
        <v>#VALUE!</v>
      </c>
      <c r="F617" s="16"/>
      <c r="L617" s="16"/>
      <c r="M617" s="16"/>
      <c r="N617" s="16"/>
      <c r="T617" s="16"/>
    </row>
    <row r="618" ht="22.5" customHeight="1">
      <c r="A618" s="17" t="e">
        <v>#VALUE!</v>
      </c>
      <c r="B618" s="17" t="e">
        <v>#VALUE!</v>
      </c>
      <c r="C618" s="7"/>
      <c r="D618" s="17" t="e">
        <v>#VALUE!</v>
      </c>
      <c r="E618" s="7" t="e">
        <v>#VALUE!</v>
      </c>
      <c r="F618" s="16"/>
      <c r="L618" s="16"/>
      <c r="M618" s="16"/>
      <c r="N618" s="16"/>
      <c r="T618" s="16"/>
    </row>
    <row r="619" ht="22.5" customHeight="1">
      <c r="A619" s="17" t="e">
        <v>#VALUE!</v>
      </c>
      <c r="B619" s="17" t="e">
        <v>#VALUE!</v>
      </c>
      <c r="C619" s="7"/>
      <c r="D619" s="17" t="e">
        <v>#VALUE!</v>
      </c>
      <c r="E619" s="7" t="e">
        <v>#VALUE!</v>
      </c>
      <c r="F619" s="16"/>
      <c r="L619" s="16"/>
      <c r="M619" s="16"/>
      <c r="N619" s="16"/>
      <c r="T619" s="16"/>
    </row>
    <row r="620" ht="22.5" customHeight="1">
      <c r="A620" s="17" t="e">
        <v>#VALUE!</v>
      </c>
      <c r="B620" s="17" t="e">
        <v>#VALUE!</v>
      </c>
      <c r="C620" s="7"/>
      <c r="D620" s="17" t="e">
        <v>#VALUE!</v>
      </c>
      <c r="E620" s="7" t="e">
        <v>#VALUE!</v>
      </c>
      <c r="F620" s="16"/>
      <c r="L620" s="16"/>
      <c r="M620" s="16"/>
      <c r="N620" s="16"/>
      <c r="T620" s="16"/>
    </row>
    <row r="621" ht="22.5" customHeight="1">
      <c r="A621" s="17" t="e">
        <v>#VALUE!</v>
      </c>
      <c r="B621" s="17" t="e">
        <v>#VALUE!</v>
      </c>
      <c r="C621" s="7"/>
      <c r="D621" s="17" t="e">
        <v>#VALUE!</v>
      </c>
      <c r="E621" s="7" t="e">
        <v>#VALUE!</v>
      </c>
      <c r="F621" s="16"/>
      <c r="L621" s="16"/>
      <c r="M621" s="16"/>
      <c r="N621" s="16"/>
      <c r="T621" s="16"/>
    </row>
    <row r="622" ht="22.5" customHeight="1">
      <c r="A622" s="17" t="e">
        <v>#VALUE!</v>
      </c>
      <c r="B622" s="17" t="e">
        <v>#VALUE!</v>
      </c>
      <c r="C622" s="7"/>
      <c r="D622" s="17" t="e">
        <v>#VALUE!</v>
      </c>
      <c r="E622" s="7" t="e">
        <v>#VALUE!</v>
      </c>
      <c r="F622" s="16"/>
      <c r="L622" s="16"/>
      <c r="M622" s="16"/>
      <c r="N622" s="16"/>
      <c r="T622" s="16"/>
    </row>
    <row r="623" ht="22.5" customHeight="1">
      <c r="A623" s="17" t="e">
        <v>#VALUE!</v>
      </c>
      <c r="B623" s="17" t="e">
        <v>#VALUE!</v>
      </c>
      <c r="C623" s="7"/>
      <c r="D623" s="17" t="e">
        <v>#VALUE!</v>
      </c>
      <c r="E623" s="7" t="e">
        <v>#VALUE!</v>
      </c>
      <c r="F623" s="16"/>
      <c r="L623" s="16"/>
      <c r="M623" s="16"/>
      <c r="N623" s="16"/>
      <c r="T623" s="16"/>
    </row>
    <row r="624" ht="22.5" customHeight="1">
      <c r="A624" s="17" t="e">
        <v>#VALUE!</v>
      </c>
      <c r="B624" s="17" t="e">
        <v>#VALUE!</v>
      </c>
      <c r="C624" s="7"/>
      <c r="D624" s="17" t="e">
        <v>#VALUE!</v>
      </c>
      <c r="E624" s="7" t="e">
        <v>#VALUE!</v>
      </c>
      <c r="F624" s="16"/>
      <c r="L624" s="16"/>
      <c r="M624" s="16"/>
      <c r="N624" s="16"/>
      <c r="T624" s="16"/>
    </row>
    <row r="625" ht="22.5" customHeight="1">
      <c r="A625" s="17" t="e">
        <v>#VALUE!</v>
      </c>
      <c r="B625" s="17" t="e">
        <v>#VALUE!</v>
      </c>
      <c r="C625" s="7"/>
      <c r="D625" s="17" t="e">
        <v>#VALUE!</v>
      </c>
      <c r="E625" s="7" t="e">
        <v>#VALUE!</v>
      </c>
      <c r="F625" s="16"/>
      <c r="L625" s="16"/>
      <c r="M625" s="16"/>
      <c r="N625" s="16"/>
      <c r="T625" s="16"/>
    </row>
    <row r="626" ht="22.5" customHeight="1">
      <c r="A626" s="17" t="e">
        <v>#VALUE!</v>
      </c>
      <c r="B626" s="17" t="e">
        <v>#VALUE!</v>
      </c>
      <c r="C626" s="7"/>
      <c r="D626" s="17" t="e">
        <v>#VALUE!</v>
      </c>
      <c r="E626" s="7" t="e">
        <v>#VALUE!</v>
      </c>
      <c r="F626" s="16"/>
      <c r="L626" s="16"/>
      <c r="M626" s="16"/>
      <c r="N626" s="16"/>
      <c r="T626" s="16"/>
    </row>
    <row r="627" ht="22.5" customHeight="1">
      <c r="A627" s="17" t="e">
        <v>#VALUE!</v>
      </c>
      <c r="B627" s="17" t="e">
        <v>#VALUE!</v>
      </c>
      <c r="C627" s="7"/>
      <c r="D627" s="17" t="e">
        <v>#VALUE!</v>
      </c>
      <c r="E627" s="7" t="e">
        <v>#VALUE!</v>
      </c>
      <c r="F627" s="16"/>
      <c r="L627" s="16"/>
      <c r="M627" s="16"/>
      <c r="N627" s="16"/>
      <c r="T627" s="16"/>
    </row>
    <row r="628" ht="22.5" customHeight="1">
      <c r="A628" s="17" t="e">
        <v>#VALUE!</v>
      </c>
      <c r="B628" s="17" t="e">
        <v>#VALUE!</v>
      </c>
      <c r="C628" s="7"/>
      <c r="D628" s="17" t="e">
        <v>#VALUE!</v>
      </c>
      <c r="E628" s="7" t="e">
        <v>#VALUE!</v>
      </c>
      <c r="F628" s="16"/>
      <c r="L628" s="16"/>
      <c r="M628" s="16"/>
      <c r="N628" s="16"/>
      <c r="T628" s="16"/>
    </row>
    <row r="629" ht="22.5" customHeight="1">
      <c r="A629" s="17" t="e">
        <v>#VALUE!</v>
      </c>
      <c r="B629" s="17" t="e">
        <v>#VALUE!</v>
      </c>
      <c r="C629" s="7"/>
      <c r="D629" s="17" t="e">
        <v>#VALUE!</v>
      </c>
      <c r="E629" s="7" t="e">
        <v>#VALUE!</v>
      </c>
      <c r="F629" s="16"/>
      <c r="L629" s="16"/>
      <c r="M629" s="16"/>
      <c r="N629" s="16"/>
      <c r="T629" s="16"/>
    </row>
    <row r="630" ht="22.5" customHeight="1">
      <c r="A630" s="17" t="e">
        <v>#VALUE!</v>
      </c>
      <c r="B630" s="17" t="e">
        <v>#VALUE!</v>
      </c>
      <c r="C630" s="7"/>
      <c r="D630" s="17" t="e">
        <v>#VALUE!</v>
      </c>
      <c r="E630" s="7" t="e">
        <v>#VALUE!</v>
      </c>
      <c r="F630" s="16"/>
      <c r="L630" s="16"/>
      <c r="M630" s="16"/>
      <c r="N630" s="16"/>
      <c r="T630" s="16"/>
    </row>
    <row r="631" ht="22.5" customHeight="1">
      <c r="A631" s="17" t="e">
        <v>#VALUE!</v>
      </c>
      <c r="B631" s="17" t="e">
        <v>#VALUE!</v>
      </c>
      <c r="C631" s="7"/>
      <c r="D631" s="17" t="e">
        <v>#VALUE!</v>
      </c>
      <c r="E631" s="7" t="e">
        <v>#VALUE!</v>
      </c>
      <c r="F631" s="16"/>
      <c r="L631" s="16"/>
      <c r="M631" s="16"/>
      <c r="N631" s="16"/>
      <c r="T631" s="16"/>
    </row>
    <row r="632" ht="22.5" customHeight="1">
      <c r="A632" s="17" t="e">
        <v>#VALUE!</v>
      </c>
      <c r="B632" s="17" t="e">
        <v>#VALUE!</v>
      </c>
      <c r="C632" s="7"/>
      <c r="D632" s="17" t="e">
        <v>#VALUE!</v>
      </c>
      <c r="E632" s="7" t="e">
        <v>#VALUE!</v>
      </c>
      <c r="F632" s="16"/>
      <c r="L632" s="16"/>
      <c r="M632" s="16"/>
      <c r="N632" s="16"/>
      <c r="T632" s="16"/>
    </row>
    <row r="633" ht="22.5" customHeight="1">
      <c r="A633" s="17" t="e">
        <v>#VALUE!</v>
      </c>
      <c r="B633" s="17" t="e">
        <v>#VALUE!</v>
      </c>
      <c r="C633" s="7"/>
      <c r="D633" s="17" t="e">
        <v>#VALUE!</v>
      </c>
      <c r="E633" s="7" t="e">
        <v>#VALUE!</v>
      </c>
      <c r="F633" s="16"/>
      <c r="L633" s="16"/>
      <c r="M633" s="16"/>
      <c r="N633" s="16"/>
      <c r="T633" s="16"/>
    </row>
    <row r="634" ht="22.5" customHeight="1">
      <c r="A634" s="17" t="e">
        <v>#VALUE!</v>
      </c>
      <c r="B634" s="17" t="e">
        <v>#VALUE!</v>
      </c>
      <c r="C634" s="7"/>
      <c r="D634" s="17" t="e">
        <v>#VALUE!</v>
      </c>
      <c r="E634" s="7" t="e">
        <v>#VALUE!</v>
      </c>
      <c r="F634" s="16"/>
      <c r="L634" s="16"/>
      <c r="M634" s="16"/>
      <c r="N634" s="16"/>
      <c r="T634" s="16"/>
    </row>
    <row r="635" ht="22.5" customHeight="1">
      <c r="A635" s="17" t="e">
        <v>#VALUE!</v>
      </c>
      <c r="B635" s="17" t="e">
        <v>#VALUE!</v>
      </c>
      <c r="C635" s="7"/>
      <c r="D635" s="17" t="e">
        <v>#VALUE!</v>
      </c>
      <c r="E635" s="7" t="e">
        <v>#VALUE!</v>
      </c>
      <c r="F635" s="16"/>
      <c r="L635" s="16"/>
      <c r="M635" s="16"/>
      <c r="N635" s="16"/>
      <c r="T635" s="16"/>
    </row>
    <row r="636" ht="22.5" customHeight="1">
      <c r="A636" s="17" t="e">
        <v>#VALUE!</v>
      </c>
      <c r="B636" s="17" t="e">
        <v>#VALUE!</v>
      </c>
      <c r="C636" s="7"/>
      <c r="D636" s="17" t="e">
        <v>#VALUE!</v>
      </c>
      <c r="E636" s="7" t="e">
        <v>#VALUE!</v>
      </c>
      <c r="F636" s="16"/>
      <c r="L636" s="16"/>
      <c r="M636" s="16"/>
      <c r="N636" s="16"/>
      <c r="T636" s="16"/>
    </row>
    <row r="637" ht="22.5" customHeight="1">
      <c r="A637" s="17" t="e">
        <v>#VALUE!</v>
      </c>
      <c r="B637" s="17" t="e">
        <v>#VALUE!</v>
      </c>
      <c r="C637" s="7"/>
      <c r="D637" s="17" t="e">
        <v>#VALUE!</v>
      </c>
      <c r="E637" s="7" t="e">
        <v>#VALUE!</v>
      </c>
      <c r="F637" s="16"/>
      <c r="L637" s="16"/>
      <c r="M637" s="16"/>
      <c r="N637" s="16"/>
      <c r="T637" s="16"/>
    </row>
    <row r="638" ht="22.5" customHeight="1">
      <c r="A638" s="17" t="e">
        <v>#VALUE!</v>
      </c>
      <c r="B638" s="17" t="e">
        <v>#VALUE!</v>
      </c>
      <c r="C638" s="7"/>
      <c r="D638" s="17" t="e">
        <v>#VALUE!</v>
      </c>
      <c r="E638" s="7" t="e">
        <v>#VALUE!</v>
      </c>
      <c r="F638" s="16"/>
      <c r="L638" s="16"/>
      <c r="M638" s="16"/>
      <c r="N638" s="16"/>
      <c r="T638" s="16"/>
    </row>
    <row r="639" ht="22.5" customHeight="1">
      <c r="A639" s="17" t="e">
        <v>#VALUE!</v>
      </c>
      <c r="B639" s="17" t="e">
        <v>#VALUE!</v>
      </c>
      <c r="C639" s="7"/>
      <c r="D639" s="17" t="e">
        <v>#VALUE!</v>
      </c>
      <c r="E639" s="7" t="e">
        <v>#VALUE!</v>
      </c>
      <c r="F639" s="16"/>
      <c r="L639" s="16"/>
      <c r="M639" s="16"/>
      <c r="N639" s="16"/>
      <c r="T639" s="16"/>
    </row>
    <row r="640" ht="22.5" customHeight="1">
      <c r="A640" s="17" t="e">
        <v>#VALUE!</v>
      </c>
      <c r="B640" s="17" t="e">
        <v>#VALUE!</v>
      </c>
      <c r="C640" s="7"/>
      <c r="D640" s="17" t="e">
        <v>#VALUE!</v>
      </c>
      <c r="E640" s="7" t="e">
        <v>#VALUE!</v>
      </c>
      <c r="F640" s="16"/>
      <c r="L640" s="16"/>
      <c r="M640" s="16"/>
      <c r="N640" s="16"/>
      <c r="T640" s="16"/>
    </row>
    <row r="641" ht="22.5" customHeight="1">
      <c r="A641" s="17" t="e">
        <v>#VALUE!</v>
      </c>
      <c r="B641" s="17" t="e">
        <v>#VALUE!</v>
      </c>
      <c r="C641" s="7"/>
      <c r="D641" s="17" t="e">
        <v>#VALUE!</v>
      </c>
      <c r="E641" s="7" t="e">
        <v>#VALUE!</v>
      </c>
      <c r="F641" s="16"/>
      <c r="L641" s="16"/>
      <c r="M641" s="16"/>
      <c r="N641" s="16"/>
      <c r="T641" s="16"/>
    </row>
    <row r="642" ht="22.5" customHeight="1">
      <c r="A642" s="17" t="e">
        <v>#VALUE!</v>
      </c>
      <c r="B642" s="17" t="e">
        <v>#VALUE!</v>
      </c>
      <c r="C642" s="7"/>
      <c r="D642" s="17" t="e">
        <v>#VALUE!</v>
      </c>
      <c r="E642" s="7" t="e">
        <v>#VALUE!</v>
      </c>
      <c r="F642" s="16"/>
      <c r="L642" s="16"/>
      <c r="M642" s="16"/>
      <c r="N642" s="16"/>
      <c r="T642" s="16"/>
    </row>
    <row r="643" ht="22.5" customHeight="1">
      <c r="A643" s="17" t="e">
        <v>#VALUE!</v>
      </c>
      <c r="B643" s="17" t="e">
        <v>#VALUE!</v>
      </c>
      <c r="C643" s="7"/>
      <c r="D643" s="17" t="e">
        <v>#VALUE!</v>
      </c>
      <c r="E643" s="7" t="e">
        <v>#VALUE!</v>
      </c>
      <c r="F643" s="16"/>
      <c r="L643" s="16"/>
      <c r="M643" s="16"/>
      <c r="N643" s="16"/>
      <c r="T643" s="16"/>
    </row>
    <row r="644" ht="22.5" customHeight="1">
      <c r="A644" s="17" t="e">
        <v>#VALUE!</v>
      </c>
      <c r="B644" s="17" t="e">
        <v>#VALUE!</v>
      </c>
      <c r="C644" s="7"/>
      <c r="D644" s="17" t="e">
        <v>#VALUE!</v>
      </c>
      <c r="E644" s="7" t="e">
        <v>#VALUE!</v>
      </c>
      <c r="F644" s="16"/>
      <c r="L644" s="16"/>
      <c r="M644" s="16"/>
      <c r="N644" s="16"/>
      <c r="T644" s="16"/>
    </row>
    <row r="645" ht="22.5" customHeight="1">
      <c r="A645" s="17" t="e">
        <v>#VALUE!</v>
      </c>
      <c r="B645" s="17" t="e">
        <v>#VALUE!</v>
      </c>
      <c r="C645" s="7"/>
      <c r="D645" s="17" t="e">
        <v>#VALUE!</v>
      </c>
      <c r="E645" s="7" t="e">
        <v>#VALUE!</v>
      </c>
      <c r="F645" s="16"/>
      <c r="L645" s="16"/>
      <c r="M645" s="16"/>
      <c r="N645" s="16"/>
      <c r="T645" s="16"/>
    </row>
    <row r="646" ht="22.5" customHeight="1">
      <c r="A646" s="17" t="e">
        <v>#VALUE!</v>
      </c>
      <c r="B646" s="17" t="e">
        <v>#VALUE!</v>
      </c>
      <c r="C646" s="7"/>
      <c r="D646" s="17" t="e">
        <v>#VALUE!</v>
      </c>
      <c r="E646" s="7" t="e">
        <v>#VALUE!</v>
      </c>
      <c r="F646" s="16"/>
      <c r="L646" s="16"/>
      <c r="M646" s="16"/>
      <c r="N646" s="16"/>
      <c r="T646" s="16"/>
    </row>
    <row r="647" ht="22.5" customHeight="1">
      <c r="A647" s="17" t="e">
        <v>#VALUE!</v>
      </c>
      <c r="B647" s="17" t="e">
        <v>#VALUE!</v>
      </c>
      <c r="C647" s="7"/>
      <c r="D647" s="17" t="e">
        <v>#VALUE!</v>
      </c>
      <c r="E647" s="7" t="e">
        <v>#VALUE!</v>
      </c>
      <c r="F647" s="16"/>
      <c r="L647" s="16"/>
      <c r="M647" s="16"/>
      <c r="N647" s="16"/>
      <c r="T647" s="16"/>
    </row>
    <row r="648" ht="22.5" customHeight="1">
      <c r="A648" s="17" t="e">
        <v>#VALUE!</v>
      </c>
      <c r="B648" s="17" t="e">
        <v>#VALUE!</v>
      </c>
      <c r="C648" s="7"/>
      <c r="D648" s="17" t="e">
        <v>#VALUE!</v>
      </c>
      <c r="E648" s="7" t="e">
        <v>#VALUE!</v>
      </c>
      <c r="F648" s="16"/>
      <c r="L648" s="16"/>
      <c r="M648" s="16"/>
      <c r="N648" s="16"/>
      <c r="T648" s="16"/>
    </row>
    <row r="649" ht="22.5" customHeight="1">
      <c r="A649" s="17" t="e">
        <v>#VALUE!</v>
      </c>
      <c r="B649" s="17" t="e">
        <v>#VALUE!</v>
      </c>
      <c r="C649" s="7"/>
      <c r="D649" s="17" t="e">
        <v>#VALUE!</v>
      </c>
      <c r="E649" s="7" t="e">
        <v>#VALUE!</v>
      </c>
      <c r="F649" s="16"/>
      <c r="L649" s="16"/>
      <c r="M649" s="16"/>
      <c r="N649" s="16"/>
      <c r="T649" s="16"/>
    </row>
    <row r="650" ht="22.5" customHeight="1">
      <c r="A650" s="17" t="e">
        <v>#VALUE!</v>
      </c>
      <c r="B650" s="17" t="e">
        <v>#VALUE!</v>
      </c>
      <c r="C650" s="7"/>
      <c r="D650" s="17" t="e">
        <v>#VALUE!</v>
      </c>
      <c r="E650" s="7" t="e">
        <v>#VALUE!</v>
      </c>
      <c r="F650" s="16"/>
      <c r="L650" s="16"/>
      <c r="M650" s="16"/>
      <c r="N650" s="16"/>
      <c r="T650" s="16"/>
    </row>
    <row r="651" ht="22.5" customHeight="1">
      <c r="A651" s="17" t="e">
        <v>#VALUE!</v>
      </c>
      <c r="B651" s="17" t="e">
        <v>#VALUE!</v>
      </c>
      <c r="C651" s="7"/>
      <c r="D651" s="17" t="e">
        <v>#VALUE!</v>
      </c>
      <c r="E651" s="7" t="e">
        <v>#VALUE!</v>
      </c>
      <c r="F651" s="16"/>
      <c r="L651" s="16"/>
      <c r="M651" s="16"/>
      <c r="N651" s="16"/>
      <c r="T651" s="16"/>
    </row>
    <row r="652" ht="22.5" customHeight="1">
      <c r="A652" s="17" t="e">
        <v>#VALUE!</v>
      </c>
      <c r="B652" s="17" t="e">
        <v>#VALUE!</v>
      </c>
      <c r="C652" s="7"/>
      <c r="D652" s="17" t="e">
        <v>#VALUE!</v>
      </c>
      <c r="E652" s="7" t="e">
        <v>#VALUE!</v>
      </c>
      <c r="F652" s="16"/>
      <c r="L652" s="16"/>
      <c r="M652" s="16"/>
      <c r="N652" s="16"/>
      <c r="T652" s="16"/>
    </row>
    <row r="653" ht="22.5" customHeight="1">
      <c r="A653" s="17" t="e">
        <v>#VALUE!</v>
      </c>
      <c r="B653" s="17" t="e">
        <v>#VALUE!</v>
      </c>
      <c r="C653" s="7"/>
      <c r="D653" s="17" t="e">
        <v>#VALUE!</v>
      </c>
      <c r="E653" s="7" t="e">
        <v>#VALUE!</v>
      </c>
      <c r="F653" s="16"/>
      <c r="L653" s="16"/>
      <c r="M653" s="16"/>
      <c r="N653" s="16"/>
      <c r="T653" s="16"/>
    </row>
    <row r="654" ht="22.5" customHeight="1">
      <c r="A654" s="17" t="e">
        <v>#VALUE!</v>
      </c>
      <c r="B654" s="17" t="e">
        <v>#VALUE!</v>
      </c>
      <c r="C654" s="7"/>
      <c r="D654" s="17" t="e">
        <v>#VALUE!</v>
      </c>
      <c r="E654" s="7" t="e">
        <v>#VALUE!</v>
      </c>
      <c r="F654" s="16"/>
      <c r="L654" s="16"/>
      <c r="M654" s="16"/>
      <c r="N654" s="16"/>
      <c r="T654" s="16"/>
    </row>
    <row r="655" ht="22.5" customHeight="1">
      <c r="A655" s="17" t="e">
        <v>#VALUE!</v>
      </c>
      <c r="B655" s="17" t="e">
        <v>#VALUE!</v>
      </c>
      <c r="C655" s="7"/>
      <c r="D655" s="17" t="e">
        <v>#VALUE!</v>
      </c>
      <c r="E655" s="7" t="e">
        <v>#VALUE!</v>
      </c>
      <c r="F655" s="16"/>
      <c r="L655" s="16"/>
      <c r="M655" s="16"/>
      <c r="N655" s="16"/>
      <c r="T655" s="16"/>
    </row>
    <row r="656" ht="22.5" customHeight="1">
      <c r="A656" s="17" t="e">
        <v>#VALUE!</v>
      </c>
      <c r="B656" s="17" t="e">
        <v>#VALUE!</v>
      </c>
      <c r="C656" s="7"/>
      <c r="D656" s="17" t="e">
        <v>#VALUE!</v>
      </c>
      <c r="E656" s="7" t="e">
        <v>#VALUE!</v>
      </c>
      <c r="F656" s="16"/>
      <c r="L656" s="16"/>
      <c r="M656" s="16"/>
      <c r="N656" s="16"/>
      <c r="T656" s="16"/>
    </row>
    <row r="657" ht="22.5" customHeight="1">
      <c r="A657" s="17" t="e">
        <v>#VALUE!</v>
      </c>
      <c r="B657" s="17" t="e">
        <v>#VALUE!</v>
      </c>
      <c r="C657" s="7"/>
      <c r="D657" s="17" t="e">
        <v>#VALUE!</v>
      </c>
      <c r="E657" s="7" t="e">
        <v>#VALUE!</v>
      </c>
      <c r="F657" s="16"/>
      <c r="L657" s="16"/>
      <c r="M657" s="16"/>
      <c r="N657" s="16"/>
      <c r="T657" s="16"/>
    </row>
    <row r="658" ht="22.5" customHeight="1">
      <c r="A658" s="17" t="e">
        <v>#VALUE!</v>
      </c>
      <c r="B658" s="17" t="e">
        <v>#VALUE!</v>
      </c>
      <c r="C658" s="7"/>
      <c r="D658" s="17" t="e">
        <v>#VALUE!</v>
      </c>
      <c r="E658" s="7" t="e">
        <v>#VALUE!</v>
      </c>
      <c r="F658" s="16"/>
      <c r="L658" s="16"/>
      <c r="M658" s="16"/>
      <c r="N658" s="16"/>
      <c r="T658" s="16"/>
    </row>
    <row r="659" ht="22.5" customHeight="1">
      <c r="A659" s="17" t="e">
        <v>#VALUE!</v>
      </c>
      <c r="B659" s="17" t="e">
        <v>#VALUE!</v>
      </c>
      <c r="C659" s="7"/>
      <c r="D659" s="17" t="e">
        <v>#VALUE!</v>
      </c>
      <c r="E659" s="7" t="e">
        <v>#VALUE!</v>
      </c>
      <c r="F659" s="16"/>
      <c r="L659" s="16"/>
      <c r="M659" s="16"/>
      <c r="N659" s="16"/>
      <c r="T659" s="16"/>
    </row>
    <row r="660" ht="22.5" customHeight="1">
      <c r="A660" s="17" t="e">
        <v>#VALUE!</v>
      </c>
      <c r="B660" s="17" t="e">
        <v>#VALUE!</v>
      </c>
      <c r="C660" s="7"/>
      <c r="D660" s="17" t="e">
        <v>#VALUE!</v>
      </c>
      <c r="E660" s="7" t="e">
        <v>#VALUE!</v>
      </c>
      <c r="F660" s="16"/>
      <c r="L660" s="16"/>
      <c r="M660" s="16"/>
      <c r="N660" s="16"/>
      <c r="T660" s="16"/>
    </row>
    <row r="661" ht="22.5" customHeight="1">
      <c r="A661" s="17" t="e">
        <v>#VALUE!</v>
      </c>
      <c r="B661" s="17" t="e">
        <v>#VALUE!</v>
      </c>
      <c r="C661" s="7"/>
      <c r="D661" s="17" t="e">
        <v>#VALUE!</v>
      </c>
      <c r="E661" s="7" t="e">
        <v>#VALUE!</v>
      </c>
      <c r="F661" s="16"/>
      <c r="L661" s="16"/>
      <c r="M661" s="16"/>
      <c r="N661" s="16"/>
      <c r="T661" s="16"/>
    </row>
    <row r="662" ht="22.5" customHeight="1">
      <c r="A662" s="17" t="e">
        <v>#VALUE!</v>
      </c>
      <c r="B662" s="17" t="e">
        <v>#VALUE!</v>
      </c>
      <c r="C662" s="7"/>
      <c r="D662" s="17" t="e">
        <v>#VALUE!</v>
      </c>
      <c r="E662" s="7" t="e">
        <v>#VALUE!</v>
      </c>
      <c r="F662" s="16"/>
      <c r="L662" s="16"/>
      <c r="M662" s="16"/>
      <c r="N662" s="16"/>
      <c r="T662" s="16"/>
    </row>
    <row r="663" ht="22.5" customHeight="1">
      <c r="A663" s="17" t="e">
        <v>#VALUE!</v>
      </c>
      <c r="B663" s="17" t="e">
        <v>#VALUE!</v>
      </c>
      <c r="C663" s="7"/>
      <c r="D663" s="17" t="e">
        <v>#VALUE!</v>
      </c>
      <c r="E663" s="7" t="e">
        <v>#VALUE!</v>
      </c>
      <c r="F663" s="16"/>
      <c r="L663" s="16"/>
      <c r="M663" s="16"/>
      <c r="N663" s="16"/>
      <c r="T663" s="16"/>
    </row>
    <row r="664" ht="22.5" customHeight="1">
      <c r="A664" s="17" t="e">
        <v>#VALUE!</v>
      </c>
      <c r="B664" s="17" t="e">
        <v>#VALUE!</v>
      </c>
      <c r="C664" s="7"/>
      <c r="D664" s="17" t="e">
        <v>#VALUE!</v>
      </c>
      <c r="E664" s="7" t="e">
        <v>#VALUE!</v>
      </c>
      <c r="F664" s="16"/>
      <c r="L664" s="16"/>
      <c r="M664" s="16"/>
      <c r="N664" s="16"/>
      <c r="T664" s="16"/>
    </row>
    <row r="665" ht="22.5" customHeight="1">
      <c r="A665" s="17" t="e">
        <v>#VALUE!</v>
      </c>
      <c r="B665" s="17" t="e">
        <v>#VALUE!</v>
      </c>
      <c r="C665" s="7"/>
      <c r="D665" s="17" t="e">
        <v>#VALUE!</v>
      </c>
      <c r="E665" s="7" t="e">
        <v>#VALUE!</v>
      </c>
      <c r="F665" s="16"/>
      <c r="L665" s="16"/>
      <c r="M665" s="16"/>
      <c r="N665" s="16"/>
      <c r="T665" s="16"/>
    </row>
    <row r="666" ht="22.5" customHeight="1">
      <c r="A666" s="17" t="e">
        <v>#VALUE!</v>
      </c>
      <c r="B666" s="17" t="e">
        <v>#VALUE!</v>
      </c>
      <c r="C666" s="7"/>
      <c r="D666" s="17" t="e">
        <v>#VALUE!</v>
      </c>
      <c r="E666" s="7" t="e">
        <v>#VALUE!</v>
      </c>
      <c r="F666" s="16"/>
      <c r="L666" s="16"/>
      <c r="M666" s="16"/>
      <c r="N666" s="16"/>
      <c r="T666" s="16"/>
    </row>
    <row r="667" ht="22.5" customHeight="1">
      <c r="A667" s="17" t="e">
        <v>#VALUE!</v>
      </c>
      <c r="B667" s="17" t="e">
        <v>#VALUE!</v>
      </c>
      <c r="C667" s="7"/>
      <c r="D667" s="17" t="e">
        <v>#VALUE!</v>
      </c>
      <c r="E667" s="7" t="e">
        <v>#VALUE!</v>
      </c>
      <c r="F667" s="16"/>
      <c r="L667" s="16"/>
      <c r="M667" s="16"/>
      <c r="N667" s="16"/>
      <c r="T667" s="16"/>
    </row>
    <row r="668" ht="22.5" customHeight="1">
      <c r="A668" s="17" t="e">
        <v>#VALUE!</v>
      </c>
      <c r="B668" s="17" t="e">
        <v>#VALUE!</v>
      </c>
      <c r="C668" s="7"/>
      <c r="D668" s="17" t="e">
        <v>#VALUE!</v>
      </c>
      <c r="E668" s="7" t="e">
        <v>#VALUE!</v>
      </c>
      <c r="F668" s="16"/>
      <c r="L668" s="16"/>
      <c r="M668" s="16"/>
      <c r="N668" s="16"/>
      <c r="T668" s="16"/>
    </row>
    <row r="669" ht="22.5" customHeight="1">
      <c r="A669" s="17" t="e">
        <v>#VALUE!</v>
      </c>
      <c r="B669" s="17" t="e">
        <v>#VALUE!</v>
      </c>
      <c r="C669" s="7"/>
      <c r="D669" s="17" t="e">
        <v>#VALUE!</v>
      </c>
      <c r="E669" s="7" t="e">
        <v>#VALUE!</v>
      </c>
      <c r="F669" s="16"/>
      <c r="L669" s="16"/>
      <c r="M669" s="16"/>
      <c r="N669" s="16"/>
      <c r="T669" s="16"/>
    </row>
    <row r="670" ht="22.5" customHeight="1">
      <c r="A670" s="17" t="e">
        <v>#VALUE!</v>
      </c>
      <c r="B670" s="17" t="e">
        <v>#VALUE!</v>
      </c>
      <c r="C670" s="7"/>
      <c r="D670" s="17" t="e">
        <v>#VALUE!</v>
      </c>
      <c r="E670" s="7" t="e">
        <v>#VALUE!</v>
      </c>
      <c r="F670" s="16"/>
      <c r="L670" s="16"/>
      <c r="M670" s="16"/>
      <c r="N670" s="16"/>
      <c r="T670" s="16"/>
    </row>
    <row r="671" ht="22.5" customHeight="1">
      <c r="A671" s="17" t="e">
        <v>#VALUE!</v>
      </c>
      <c r="B671" s="17" t="e">
        <v>#VALUE!</v>
      </c>
      <c r="C671" s="7"/>
      <c r="D671" s="17" t="e">
        <v>#VALUE!</v>
      </c>
      <c r="E671" s="7" t="e">
        <v>#VALUE!</v>
      </c>
      <c r="F671" s="16"/>
      <c r="L671" s="16"/>
      <c r="M671" s="16"/>
      <c r="N671" s="16"/>
      <c r="T671" s="16"/>
    </row>
    <row r="672" ht="22.5" customHeight="1">
      <c r="A672" s="17" t="e">
        <v>#VALUE!</v>
      </c>
      <c r="B672" s="17" t="e">
        <v>#VALUE!</v>
      </c>
      <c r="C672" s="7"/>
      <c r="D672" s="17" t="e">
        <v>#VALUE!</v>
      </c>
      <c r="E672" s="7" t="e">
        <v>#VALUE!</v>
      </c>
      <c r="F672" s="16"/>
      <c r="L672" s="16"/>
      <c r="M672" s="16"/>
      <c r="N672" s="16"/>
      <c r="T672" s="16"/>
    </row>
    <row r="673" ht="22.5" customHeight="1">
      <c r="A673" s="17" t="e">
        <v>#VALUE!</v>
      </c>
      <c r="B673" s="17" t="e">
        <v>#VALUE!</v>
      </c>
      <c r="C673" s="7"/>
      <c r="D673" s="17" t="e">
        <v>#VALUE!</v>
      </c>
      <c r="E673" s="7" t="e">
        <v>#VALUE!</v>
      </c>
      <c r="F673" s="16"/>
      <c r="L673" s="16"/>
      <c r="M673" s="16"/>
      <c r="N673" s="16"/>
      <c r="T673" s="16"/>
    </row>
    <row r="674" ht="22.5" customHeight="1">
      <c r="A674" s="17" t="e">
        <v>#VALUE!</v>
      </c>
      <c r="B674" s="17" t="e">
        <v>#VALUE!</v>
      </c>
      <c r="C674" s="7"/>
      <c r="D674" s="17" t="e">
        <v>#VALUE!</v>
      </c>
      <c r="E674" s="7" t="e">
        <v>#VALUE!</v>
      </c>
      <c r="F674" s="16"/>
      <c r="L674" s="16"/>
      <c r="M674" s="16"/>
      <c r="N674" s="16"/>
      <c r="T674" s="16"/>
    </row>
    <row r="675" ht="22.5" customHeight="1">
      <c r="A675" s="17" t="e">
        <v>#VALUE!</v>
      </c>
      <c r="B675" s="17" t="e">
        <v>#VALUE!</v>
      </c>
      <c r="C675" s="7"/>
      <c r="D675" s="17" t="e">
        <v>#VALUE!</v>
      </c>
      <c r="E675" s="7" t="e">
        <v>#VALUE!</v>
      </c>
      <c r="F675" s="16"/>
      <c r="L675" s="16"/>
      <c r="M675" s="16"/>
      <c r="N675" s="16"/>
      <c r="T675" s="16"/>
    </row>
    <row r="676" ht="22.5" customHeight="1">
      <c r="A676" s="17" t="e">
        <v>#VALUE!</v>
      </c>
      <c r="B676" s="17" t="e">
        <v>#VALUE!</v>
      </c>
      <c r="C676" s="7"/>
      <c r="D676" s="17" t="e">
        <v>#VALUE!</v>
      </c>
      <c r="E676" s="7" t="e">
        <v>#VALUE!</v>
      </c>
      <c r="F676" s="16"/>
      <c r="L676" s="16"/>
      <c r="M676" s="16"/>
      <c r="N676" s="16"/>
      <c r="T676" s="16"/>
    </row>
    <row r="677" ht="22.5" customHeight="1">
      <c r="A677" s="17" t="e">
        <v>#VALUE!</v>
      </c>
      <c r="B677" s="17" t="e">
        <v>#VALUE!</v>
      </c>
      <c r="C677" s="7"/>
      <c r="D677" s="17" t="e">
        <v>#VALUE!</v>
      </c>
      <c r="E677" s="7" t="e">
        <v>#VALUE!</v>
      </c>
      <c r="F677" s="16"/>
      <c r="L677" s="16"/>
      <c r="M677" s="16"/>
      <c r="N677" s="16"/>
      <c r="T677" s="16"/>
    </row>
    <row r="678" ht="22.5" customHeight="1">
      <c r="A678" s="17" t="e">
        <v>#VALUE!</v>
      </c>
      <c r="B678" s="17" t="e">
        <v>#VALUE!</v>
      </c>
      <c r="C678" s="7"/>
      <c r="D678" s="17" t="e">
        <v>#VALUE!</v>
      </c>
      <c r="E678" s="7" t="e">
        <v>#VALUE!</v>
      </c>
      <c r="F678" s="16"/>
      <c r="L678" s="16"/>
      <c r="M678" s="16"/>
      <c r="N678" s="16"/>
      <c r="T678" s="16"/>
    </row>
    <row r="679" ht="22.5" customHeight="1">
      <c r="A679" s="17" t="e">
        <v>#VALUE!</v>
      </c>
      <c r="B679" s="17" t="e">
        <v>#VALUE!</v>
      </c>
      <c r="C679" s="7"/>
      <c r="D679" s="17" t="e">
        <v>#VALUE!</v>
      </c>
      <c r="E679" s="7" t="e">
        <v>#VALUE!</v>
      </c>
      <c r="F679" s="16"/>
      <c r="L679" s="16"/>
      <c r="M679" s="16"/>
      <c r="N679" s="16"/>
      <c r="T679" s="16"/>
    </row>
    <row r="680" ht="22.5" customHeight="1">
      <c r="A680" s="17" t="e">
        <v>#VALUE!</v>
      </c>
      <c r="B680" s="17" t="e">
        <v>#VALUE!</v>
      </c>
      <c r="C680" s="7"/>
      <c r="D680" s="17" t="e">
        <v>#VALUE!</v>
      </c>
      <c r="E680" s="7" t="e">
        <v>#VALUE!</v>
      </c>
      <c r="F680" s="16"/>
      <c r="L680" s="16"/>
      <c r="M680" s="16"/>
      <c r="N680" s="16"/>
      <c r="T680" s="16"/>
    </row>
    <row r="681" ht="22.5" customHeight="1">
      <c r="A681" s="17" t="e">
        <v>#VALUE!</v>
      </c>
      <c r="B681" s="17" t="e">
        <v>#VALUE!</v>
      </c>
      <c r="C681" s="7"/>
      <c r="D681" s="17" t="e">
        <v>#VALUE!</v>
      </c>
      <c r="E681" s="7" t="e">
        <v>#VALUE!</v>
      </c>
      <c r="F681" s="16"/>
      <c r="L681" s="16"/>
      <c r="M681" s="16"/>
      <c r="N681" s="16"/>
      <c r="T681" s="16"/>
    </row>
    <row r="682" ht="22.5" customHeight="1">
      <c r="A682" s="17" t="e">
        <v>#VALUE!</v>
      </c>
      <c r="B682" s="17" t="e">
        <v>#VALUE!</v>
      </c>
      <c r="C682" s="7"/>
      <c r="D682" s="17" t="e">
        <v>#VALUE!</v>
      </c>
      <c r="E682" s="7" t="e">
        <v>#VALUE!</v>
      </c>
      <c r="F682" s="16"/>
      <c r="L682" s="16"/>
      <c r="M682" s="16"/>
      <c r="N682" s="16"/>
      <c r="T682" s="16"/>
    </row>
    <row r="683" ht="22.5" customHeight="1">
      <c r="A683" s="17" t="e">
        <v>#VALUE!</v>
      </c>
      <c r="B683" s="17" t="e">
        <v>#VALUE!</v>
      </c>
      <c r="C683" s="7"/>
      <c r="D683" s="17" t="e">
        <v>#VALUE!</v>
      </c>
      <c r="E683" s="7" t="e">
        <v>#VALUE!</v>
      </c>
      <c r="F683" s="16"/>
      <c r="L683" s="16"/>
      <c r="M683" s="16"/>
      <c r="N683" s="16"/>
      <c r="T683" s="16"/>
    </row>
    <row r="684" ht="22.5" customHeight="1">
      <c r="A684" s="17" t="e">
        <v>#VALUE!</v>
      </c>
      <c r="B684" s="17" t="e">
        <v>#VALUE!</v>
      </c>
      <c r="C684" s="7"/>
      <c r="D684" s="17" t="e">
        <v>#VALUE!</v>
      </c>
      <c r="E684" s="7" t="e">
        <v>#VALUE!</v>
      </c>
      <c r="F684" s="16"/>
      <c r="L684" s="16"/>
      <c r="M684" s="16"/>
      <c r="N684" s="16"/>
      <c r="T684" s="16"/>
    </row>
    <row r="685" ht="22.5" customHeight="1">
      <c r="A685" s="17" t="e">
        <v>#VALUE!</v>
      </c>
      <c r="B685" s="17" t="e">
        <v>#VALUE!</v>
      </c>
      <c r="C685" s="7"/>
      <c r="D685" s="17" t="e">
        <v>#VALUE!</v>
      </c>
      <c r="E685" s="7" t="e">
        <v>#VALUE!</v>
      </c>
      <c r="F685" s="16"/>
      <c r="L685" s="16"/>
      <c r="M685" s="16"/>
      <c r="N685" s="16"/>
      <c r="T685" s="16"/>
    </row>
    <row r="686" ht="22.5" customHeight="1">
      <c r="A686" s="17" t="e">
        <v>#VALUE!</v>
      </c>
      <c r="B686" s="17" t="e">
        <v>#VALUE!</v>
      </c>
      <c r="C686" s="7"/>
      <c r="D686" s="17" t="e">
        <v>#VALUE!</v>
      </c>
      <c r="E686" s="7" t="e">
        <v>#VALUE!</v>
      </c>
      <c r="F686" s="16"/>
      <c r="L686" s="16"/>
      <c r="M686" s="16"/>
      <c r="N686" s="16"/>
      <c r="T686" s="16"/>
    </row>
    <row r="687" ht="22.5" customHeight="1">
      <c r="A687" s="17" t="e">
        <v>#VALUE!</v>
      </c>
      <c r="B687" s="17" t="e">
        <v>#VALUE!</v>
      </c>
      <c r="C687" s="7"/>
      <c r="D687" s="17" t="e">
        <v>#VALUE!</v>
      </c>
      <c r="E687" s="7" t="e">
        <v>#VALUE!</v>
      </c>
      <c r="F687" s="16"/>
      <c r="L687" s="16"/>
      <c r="M687" s="16"/>
      <c r="N687" s="16"/>
      <c r="T687" s="16"/>
    </row>
    <row r="688" ht="22.5" customHeight="1">
      <c r="A688" s="17" t="e">
        <v>#VALUE!</v>
      </c>
      <c r="B688" s="17" t="e">
        <v>#VALUE!</v>
      </c>
      <c r="C688" s="7"/>
      <c r="D688" s="17" t="e">
        <v>#VALUE!</v>
      </c>
      <c r="E688" s="7" t="e">
        <v>#VALUE!</v>
      </c>
      <c r="F688" s="16"/>
      <c r="L688" s="16"/>
      <c r="M688" s="16"/>
      <c r="N688" s="16"/>
      <c r="T688" s="16"/>
    </row>
    <row r="689" ht="22.5" customHeight="1">
      <c r="A689" s="17" t="e">
        <v>#VALUE!</v>
      </c>
      <c r="B689" s="17" t="e">
        <v>#VALUE!</v>
      </c>
      <c r="C689" s="7"/>
      <c r="D689" s="17" t="e">
        <v>#VALUE!</v>
      </c>
      <c r="E689" s="7" t="e">
        <v>#VALUE!</v>
      </c>
      <c r="F689" s="16"/>
      <c r="L689" s="16"/>
      <c r="M689" s="16"/>
      <c r="N689" s="16"/>
      <c r="T689" s="16"/>
    </row>
    <row r="690" ht="22.5" customHeight="1">
      <c r="A690" s="17" t="e">
        <v>#VALUE!</v>
      </c>
      <c r="B690" s="17" t="e">
        <v>#VALUE!</v>
      </c>
      <c r="C690" s="7"/>
      <c r="D690" s="17" t="e">
        <v>#VALUE!</v>
      </c>
      <c r="E690" s="7" t="e">
        <v>#VALUE!</v>
      </c>
      <c r="F690" s="16"/>
      <c r="L690" s="16"/>
      <c r="M690" s="16"/>
      <c r="N690" s="16"/>
      <c r="T690" s="16"/>
    </row>
    <row r="691" ht="22.5" customHeight="1">
      <c r="A691" s="17" t="e">
        <v>#VALUE!</v>
      </c>
      <c r="B691" s="17" t="e">
        <v>#VALUE!</v>
      </c>
      <c r="C691" s="7"/>
      <c r="D691" s="17" t="e">
        <v>#VALUE!</v>
      </c>
      <c r="E691" s="7" t="e">
        <v>#VALUE!</v>
      </c>
      <c r="F691" s="16"/>
      <c r="L691" s="16"/>
      <c r="M691" s="16"/>
      <c r="N691" s="16"/>
      <c r="T691" s="16"/>
    </row>
    <row r="692" ht="22.5" customHeight="1">
      <c r="A692" s="17" t="e">
        <v>#VALUE!</v>
      </c>
      <c r="B692" s="17" t="e">
        <v>#VALUE!</v>
      </c>
      <c r="C692" s="7"/>
      <c r="D692" s="17" t="e">
        <v>#VALUE!</v>
      </c>
      <c r="E692" s="7" t="e">
        <v>#VALUE!</v>
      </c>
      <c r="F692" s="16"/>
      <c r="L692" s="16"/>
      <c r="M692" s="16"/>
      <c r="N692" s="16"/>
      <c r="T692" s="16"/>
    </row>
    <row r="693" ht="22.5" customHeight="1">
      <c r="A693" s="17" t="e">
        <v>#VALUE!</v>
      </c>
      <c r="B693" s="17" t="e">
        <v>#VALUE!</v>
      </c>
      <c r="C693" s="7"/>
      <c r="D693" s="17" t="e">
        <v>#VALUE!</v>
      </c>
      <c r="E693" s="7" t="e">
        <v>#VALUE!</v>
      </c>
      <c r="F693" s="16"/>
      <c r="L693" s="16"/>
      <c r="M693" s="16"/>
      <c r="N693" s="16"/>
      <c r="T693" s="16"/>
    </row>
    <row r="694" ht="22.5" customHeight="1">
      <c r="A694" s="17" t="e">
        <v>#VALUE!</v>
      </c>
      <c r="B694" s="17" t="e">
        <v>#VALUE!</v>
      </c>
      <c r="C694" s="7"/>
      <c r="D694" s="17" t="e">
        <v>#VALUE!</v>
      </c>
      <c r="E694" s="7" t="e">
        <v>#VALUE!</v>
      </c>
      <c r="F694" s="16"/>
      <c r="L694" s="16"/>
      <c r="M694" s="16"/>
      <c r="N694" s="16"/>
      <c r="T694" s="16"/>
    </row>
    <row r="695" ht="22.5" customHeight="1">
      <c r="A695" s="17" t="e">
        <v>#VALUE!</v>
      </c>
      <c r="B695" s="17" t="e">
        <v>#VALUE!</v>
      </c>
      <c r="C695" s="7"/>
      <c r="D695" s="17" t="e">
        <v>#VALUE!</v>
      </c>
      <c r="E695" s="7" t="e">
        <v>#VALUE!</v>
      </c>
      <c r="F695" s="16"/>
      <c r="L695" s="16"/>
      <c r="M695" s="16"/>
      <c r="N695" s="16"/>
      <c r="T695" s="16"/>
    </row>
    <row r="696" ht="22.5" customHeight="1">
      <c r="A696" s="17" t="e">
        <v>#VALUE!</v>
      </c>
      <c r="B696" s="17" t="e">
        <v>#VALUE!</v>
      </c>
      <c r="C696" s="7"/>
      <c r="D696" s="17" t="e">
        <v>#VALUE!</v>
      </c>
      <c r="E696" s="7" t="e">
        <v>#VALUE!</v>
      </c>
      <c r="F696" s="16"/>
      <c r="L696" s="16"/>
      <c r="M696" s="16"/>
      <c r="N696" s="16"/>
      <c r="T696" s="16"/>
    </row>
    <row r="697" ht="22.5" customHeight="1">
      <c r="A697" s="17" t="e">
        <v>#VALUE!</v>
      </c>
      <c r="B697" s="17" t="e">
        <v>#VALUE!</v>
      </c>
      <c r="C697" s="7"/>
      <c r="D697" s="17" t="e">
        <v>#VALUE!</v>
      </c>
      <c r="E697" s="7" t="e">
        <v>#VALUE!</v>
      </c>
      <c r="F697" s="16"/>
      <c r="L697" s="16"/>
      <c r="M697" s="16"/>
      <c r="N697" s="16"/>
      <c r="T697" s="16"/>
    </row>
    <row r="698" ht="22.5" customHeight="1">
      <c r="A698" s="17" t="e">
        <v>#VALUE!</v>
      </c>
      <c r="B698" s="17" t="e">
        <v>#VALUE!</v>
      </c>
      <c r="C698" s="7"/>
      <c r="D698" s="17" t="e">
        <v>#VALUE!</v>
      </c>
      <c r="E698" s="7" t="e">
        <v>#VALUE!</v>
      </c>
      <c r="F698" s="16"/>
      <c r="L698" s="16"/>
      <c r="M698" s="16"/>
      <c r="N698" s="16"/>
      <c r="T698" s="16"/>
    </row>
    <row r="699" ht="22.5" customHeight="1">
      <c r="A699" s="17" t="e">
        <v>#VALUE!</v>
      </c>
      <c r="B699" s="17" t="e">
        <v>#VALUE!</v>
      </c>
      <c r="C699" s="7"/>
      <c r="D699" s="17" t="e">
        <v>#VALUE!</v>
      </c>
      <c r="E699" s="7" t="e">
        <v>#VALUE!</v>
      </c>
      <c r="F699" s="16"/>
      <c r="L699" s="16"/>
      <c r="M699" s="16"/>
      <c r="N699" s="16"/>
      <c r="T699" s="16"/>
    </row>
    <row r="700" ht="22.5" customHeight="1">
      <c r="A700" s="17" t="e">
        <v>#VALUE!</v>
      </c>
      <c r="B700" s="17" t="e">
        <v>#VALUE!</v>
      </c>
      <c r="C700" s="7"/>
      <c r="D700" s="17" t="e">
        <v>#VALUE!</v>
      </c>
      <c r="E700" s="7" t="e">
        <v>#VALUE!</v>
      </c>
      <c r="F700" s="16"/>
      <c r="L700" s="16"/>
      <c r="M700" s="16"/>
      <c r="N700" s="16"/>
      <c r="T700" s="16"/>
    </row>
    <row r="701" ht="22.5" customHeight="1">
      <c r="A701" s="17" t="e">
        <v>#VALUE!</v>
      </c>
      <c r="B701" s="17" t="e">
        <v>#VALUE!</v>
      </c>
      <c r="C701" s="7"/>
      <c r="D701" s="17" t="e">
        <v>#VALUE!</v>
      </c>
      <c r="E701" s="7" t="e">
        <v>#VALUE!</v>
      </c>
      <c r="F701" s="16"/>
      <c r="L701" s="16"/>
      <c r="M701" s="16"/>
      <c r="N701" s="16"/>
      <c r="T701" s="16"/>
    </row>
    <row r="702" ht="22.5" customHeight="1">
      <c r="A702" s="17" t="e">
        <v>#VALUE!</v>
      </c>
      <c r="B702" s="17" t="e">
        <v>#VALUE!</v>
      </c>
      <c r="C702" s="7"/>
      <c r="D702" s="17" t="e">
        <v>#VALUE!</v>
      </c>
      <c r="E702" s="7" t="e">
        <v>#VALUE!</v>
      </c>
      <c r="F702" s="16"/>
      <c r="L702" s="16"/>
      <c r="M702" s="16"/>
      <c r="N702" s="16"/>
      <c r="T702" s="16"/>
    </row>
    <row r="703" ht="22.5" customHeight="1">
      <c r="A703" s="17" t="e">
        <v>#VALUE!</v>
      </c>
      <c r="B703" s="17" t="e">
        <v>#VALUE!</v>
      </c>
      <c r="C703" s="7"/>
      <c r="D703" s="17" t="e">
        <v>#VALUE!</v>
      </c>
      <c r="E703" s="7" t="e">
        <v>#VALUE!</v>
      </c>
      <c r="F703" s="16"/>
      <c r="L703" s="16"/>
      <c r="M703" s="16"/>
      <c r="N703" s="16"/>
      <c r="T703" s="16"/>
    </row>
    <row r="704" ht="22.5" customHeight="1">
      <c r="A704" s="17" t="e">
        <v>#VALUE!</v>
      </c>
      <c r="B704" s="17" t="e">
        <v>#VALUE!</v>
      </c>
      <c r="C704" s="7"/>
      <c r="D704" s="17" t="e">
        <v>#VALUE!</v>
      </c>
      <c r="E704" s="7" t="e">
        <v>#VALUE!</v>
      </c>
      <c r="F704" s="16"/>
      <c r="L704" s="16"/>
      <c r="M704" s="16"/>
      <c r="N704" s="16"/>
      <c r="T704" s="16"/>
    </row>
    <row r="705" ht="22.5" customHeight="1">
      <c r="A705" s="17" t="e">
        <v>#VALUE!</v>
      </c>
      <c r="B705" s="17" t="e">
        <v>#VALUE!</v>
      </c>
      <c r="C705" s="7"/>
      <c r="D705" s="17" t="e">
        <v>#VALUE!</v>
      </c>
      <c r="E705" s="7" t="e">
        <v>#VALUE!</v>
      </c>
      <c r="F705" s="16"/>
      <c r="L705" s="16"/>
      <c r="M705" s="16"/>
      <c r="N705" s="16"/>
      <c r="T705" s="16"/>
    </row>
    <row r="706" ht="22.5" customHeight="1">
      <c r="A706" s="17" t="e">
        <v>#VALUE!</v>
      </c>
      <c r="B706" s="17" t="e">
        <v>#VALUE!</v>
      </c>
      <c r="C706" s="7"/>
      <c r="D706" s="17" t="e">
        <v>#VALUE!</v>
      </c>
      <c r="E706" s="7" t="e">
        <v>#VALUE!</v>
      </c>
      <c r="F706" s="16"/>
      <c r="L706" s="16"/>
      <c r="M706" s="16"/>
      <c r="N706" s="16"/>
      <c r="T706" s="16"/>
    </row>
    <row r="707" ht="22.5" customHeight="1">
      <c r="A707" s="17" t="e">
        <v>#VALUE!</v>
      </c>
      <c r="B707" s="17" t="e">
        <v>#VALUE!</v>
      </c>
      <c r="C707" s="7"/>
      <c r="D707" s="17" t="e">
        <v>#VALUE!</v>
      </c>
      <c r="E707" s="7" t="e">
        <v>#VALUE!</v>
      </c>
      <c r="F707" s="16"/>
      <c r="L707" s="16"/>
      <c r="M707" s="16"/>
      <c r="N707" s="16"/>
      <c r="T707" s="16"/>
    </row>
    <row r="708" ht="22.5" customHeight="1">
      <c r="A708" s="17" t="e">
        <v>#VALUE!</v>
      </c>
      <c r="B708" s="17" t="e">
        <v>#VALUE!</v>
      </c>
      <c r="C708" s="7"/>
      <c r="D708" s="17" t="e">
        <v>#VALUE!</v>
      </c>
      <c r="E708" s="7" t="e">
        <v>#VALUE!</v>
      </c>
      <c r="F708" s="16"/>
      <c r="L708" s="16"/>
      <c r="M708" s="16"/>
      <c r="N708" s="16"/>
      <c r="T708" s="16"/>
    </row>
    <row r="709" ht="22.5" customHeight="1">
      <c r="A709" s="17" t="e">
        <v>#VALUE!</v>
      </c>
      <c r="B709" s="17" t="e">
        <v>#VALUE!</v>
      </c>
      <c r="C709" s="7"/>
      <c r="D709" s="17" t="e">
        <v>#VALUE!</v>
      </c>
      <c r="E709" s="7" t="e">
        <v>#VALUE!</v>
      </c>
      <c r="F709" s="16"/>
      <c r="L709" s="16"/>
      <c r="M709" s="16"/>
      <c r="N709" s="16"/>
      <c r="T709" s="16"/>
    </row>
    <row r="710" ht="22.5" customHeight="1">
      <c r="A710" s="17" t="e">
        <v>#VALUE!</v>
      </c>
      <c r="B710" s="17" t="e">
        <v>#VALUE!</v>
      </c>
      <c r="C710" s="7"/>
      <c r="D710" s="17" t="e">
        <v>#VALUE!</v>
      </c>
      <c r="E710" s="7" t="e">
        <v>#VALUE!</v>
      </c>
      <c r="F710" s="16"/>
      <c r="L710" s="16"/>
      <c r="M710" s="16"/>
      <c r="N710" s="16"/>
      <c r="T710" s="16"/>
    </row>
    <row r="711" ht="22.5" customHeight="1">
      <c r="A711" s="17" t="e">
        <v>#VALUE!</v>
      </c>
      <c r="B711" s="17" t="e">
        <v>#VALUE!</v>
      </c>
      <c r="C711" s="7"/>
      <c r="D711" s="17" t="e">
        <v>#VALUE!</v>
      </c>
      <c r="E711" s="7" t="e">
        <v>#VALUE!</v>
      </c>
      <c r="F711" s="16"/>
      <c r="L711" s="16"/>
      <c r="M711" s="16"/>
      <c r="N711" s="16"/>
      <c r="T711" s="16"/>
    </row>
    <row r="712" ht="22.5" customHeight="1">
      <c r="A712" s="17" t="e">
        <v>#VALUE!</v>
      </c>
      <c r="B712" s="17" t="e">
        <v>#VALUE!</v>
      </c>
      <c r="C712" s="7"/>
      <c r="D712" s="17" t="e">
        <v>#VALUE!</v>
      </c>
      <c r="E712" s="7" t="e">
        <v>#VALUE!</v>
      </c>
      <c r="F712" s="16"/>
      <c r="L712" s="16"/>
      <c r="M712" s="16"/>
      <c r="N712" s="16"/>
      <c r="T712" s="16"/>
    </row>
    <row r="713" ht="22.5" customHeight="1">
      <c r="A713" s="17" t="e">
        <v>#VALUE!</v>
      </c>
      <c r="B713" s="17" t="e">
        <v>#VALUE!</v>
      </c>
      <c r="C713" s="7"/>
      <c r="D713" s="17" t="e">
        <v>#VALUE!</v>
      </c>
      <c r="E713" s="7" t="e">
        <v>#VALUE!</v>
      </c>
      <c r="F713" s="16"/>
      <c r="L713" s="16"/>
      <c r="M713" s="16"/>
      <c r="N713" s="16"/>
      <c r="T713" s="16"/>
    </row>
    <row r="714" ht="22.5" customHeight="1">
      <c r="A714" s="17" t="e">
        <v>#VALUE!</v>
      </c>
      <c r="B714" s="17" t="e">
        <v>#VALUE!</v>
      </c>
      <c r="C714" s="7"/>
      <c r="D714" s="17" t="e">
        <v>#VALUE!</v>
      </c>
      <c r="E714" s="7" t="e">
        <v>#VALUE!</v>
      </c>
      <c r="F714" s="16"/>
      <c r="L714" s="16"/>
      <c r="M714" s="16"/>
      <c r="N714" s="16"/>
      <c r="T714" s="16"/>
    </row>
    <row r="715" ht="22.5" customHeight="1">
      <c r="A715" s="17" t="e">
        <v>#VALUE!</v>
      </c>
      <c r="B715" s="17" t="e">
        <v>#VALUE!</v>
      </c>
      <c r="C715" s="7"/>
      <c r="D715" s="17" t="e">
        <v>#VALUE!</v>
      </c>
      <c r="E715" s="7" t="e">
        <v>#VALUE!</v>
      </c>
      <c r="F715" s="16"/>
      <c r="L715" s="16"/>
      <c r="M715" s="16"/>
      <c r="N715" s="16"/>
      <c r="T715" s="16"/>
    </row>
    <row r="716" ht="22.5" customHeight="1">
      <c r="A716" s="17" t="e">
        <v>#VALUE!</v>
      </c>
      <c r="B716" s="17" t="e">
        <v>#VALUE!</v>
      </c>
      <c r="C716" s="7"/>
      <c r="D716" s="17" t="e">
        <v>#VALUE!</v>
      </c>
      <c r="E716" s="7" t="e">
        <v>#VALUE!</v>
      </c>
      <c r="F716" s="16"/>
      <c r="L716" s="16"/>
      <c r="M716" s="16"/>
      <c r="N716" s="16"/>
      <c r="T716" s="16"/>
    </row>
    <row r="717" ht="22.5" customHeight="1">
      <c r="A717" s="17" t="e">
        <v>#VALUE!</v>
      </c>
      <c r="B717" s="17" t="e">
        <v>#VALUE!</v>
      </c>
      <c r="C717" s="7"/>
      <c r="D717" s="17" t="e">
        <v>#VALUE!</v>
      </c>
      <c r="E717" s="7" t="e">
        <v>#VALUE!</v>
      </c>
      <c r="F717" s="16"/>
      <c r="L717" s="16"/>
      <c r="M717" s="16"/>
      <c r="N717" s="16"/>
      <c r="T717" s="16"/>
    </row>
    <row r="718" ht="22.5" customHeight="1">
      <c r="A718" s="17" t="e">
        <v>#VALUE!</v>
      </c>
      <c r="B718" s="17" t="e">
        <v>#VALUE!</v>
      </c>
      <c r="C718" s="7"/>
      <c r="D718" s="17" t="e">
        <v>#VALUE!</v>
      </c>
      <c r="E718" s="7" t="e">
        <v>#VALUE!</v>
      </c>
      <c r="F718" s="16"/>
      <c r="L718" s="16"/>
      <c r="M718" s="16"/>
      <c r="N718" s="16"/>
      <c r="T718" s="16"/>
    </row>
    <row r="719" ht="22.5" customHeight="1">
      <c r="A719" s="17" t="e">
        <v>#VALUE!</v>
      </c>
      <c r="B719" s="17" t="e">
        <v>#VALUE!</v>
      </c>
      <c r="C719" s="7"/>
      <c r="D719" s="17" t="e">
        <v>#VALUE!</v>
      </c>
      <c r="E719" s="7" t="e">
        <v>#VALUE!</v>
      </c>
      <c r="F719" s="16"/>
      <c r="L719" s="16"/>
      <c r="M719" s="16"/>
      <c r="N719" s="16"/>
      <c r="T719" s="16"/>
    </row>
    <row r="720" ht="22.5" customHeight="1">
      <c r="A720" s="17" t="e">
        <v>#VALUE!</v>
      </c>
      <c r="B720" s="17" t="e">
        <v>#VALUE!</v>
      </c>
      <c r="C720" s="7"/>
      <c r="D720" s="17" t="e">
        <v>#VALUE!</v>
      </c>
      <c r="E720" s="7" t="e">
        <v>#VALUE!</v>
      </c>
      <c r="F720" s="16"/>
      <c r="L720" s="16"/>
      <c r="M720" s="16"/>
      <c r="N720" s="16"/>
      <c r="T720" s="16"/>
    </row>
    <row r="721" ht="22.5" customHeight="1">
      <c r="A721" s="17" t="e">
        <v>#VALUE!</v>
      </c>
      <c r="B721" s="17" t="e">
        <v>#VALUE!</v>
      </c>
      <c r="C721" s="7"/>
      <c r="D721" s="17" t="e">
        <v>#VALUE!</v>
      </c>
      <c r="E721" s="7" t="e">
        <v>#VALUE!</v>
      </c>
      <c r="F721" s="16"/>
      <c r="L721" s="16"/>
      <c r="M721" s="16"/>
      <c r="N721" s="16"/>
      <c r="T721" s="16"/>
    </row>
    <row r="722" ht="22.5" customHeight="1">
      <c r="A722" s="17" t="e">
        <v>#VALUE!</v>
      </c>
      <c r="B722" s="17" t="e">
        <v>#VALUE!</v>
      </c>
      <c r="C722" s="7"/>
      <c r="D722" s="17" t="e">
        <v>#VALUE!</v>
      </c>
      <c r="E722" s="7" t="e">
        <v>#VALUE!</v>
      </c>
      <c r="F722" s="16"/>
      <c r="L722" s="16"/>
      <c r="M722" s="16"/>
      <c r="N722" s="16"/>
      <c r="T722" s="16"/>
    </row>
    <row r="723" ht="22.5" customHeight="1">
      <c r="A723" s="17" t="e">
        <v>#VALUE!</v>
      </c>
      <c r="B723" s="17" t="e">
        <v>#VALUE!</v>
      </c>
      <c r="C723" s="7"/>
      <c r="D723" s="17" t="e">
        <v>#VALUE!</v>
      </c>
      <c r="E723" s="7" t="e">
        <v>#VALUE!</v>
      </c>
      <c r="F723" s="16"/>
      <c r="L723" s="16"/>
      <c r="M723" s="16"/>
      <c r="N723" s="16"/>
      <c r="T723" s="16"/>
    </row>
    <row r="724" ht="22.5" customHeight="1">
      <c r="A724" s="17" t="e">
        <v>#VALUE!</v>
      </c>
      <c r="B724" s="17" t="e">
        <v>#VALUE!</v>
      </c>
      <c r="C724" s="7"/>
      <c r="D724" s="17" t="e">
        <v>#VALUE!</v>
      </c>
      <c r="E724" s="7" t="e">
        <v>#VALUE!</v>
      </c>
      <c r="F724" s="16"/>
      <c r="L724" s="16"/>
      <c r="M724" s="16"/>
      <c r="N724" s="16"/>
      <c r="T724" s="16"/>
    </row>
    <row r="725" ht="22.5" customHeight="1">
      <c r="A725" s="17" t="e">
        <v>#VALUE!</v>
      </c>
      <c r="B725" s="17" t="e">
        <v>#VALUE!</v>
      </c>
      <c r="C725" s="7"/>
      <c r="D725" s="17" t="e">
        <v>#VALUE!</v>
      </c>
      <c r="E725" s="7" t="e">
        <v>#VALUE!</v>
      </c>
      <c r="F725" s="16"/>
      <c r="L725" s="16"/>
      <c r="M725" s="16"/>
      <c r="N725" s="16"/>
      <c r="T725" s="16"/>
    </row>
    <row r="726" ht="22.5" customHeight="1">
      <c r="A726" s="17" t="e">
        <v>#VALUE!</v>
      </c>
      <c r="B726" s="17" t="e">
        <v>#VALUE!</v>
      </c>
      <c r="C726" s="7"/>
      <c r="D726" s="17" t="e">
        <v>#VALUE!</v>
      </c>
      <c r="E726" s="7" t="e">
        <v>#VALUE!</v>
      </c>
      <c r="F726" s="16"/>
      <c r="L726" s="16"/>
      <c r="M726" s="16"/>
      <c r="N726" s="16"/>
      <c r="T726" s="16"/>
    </row>
    <row r="727" ht="22.5" customHeight="1">
      <c r="A727" s="17" t="e">
        <v>#VALUE!</v>
      </c>
      <c r="B727" s="17" t="e">
        <v>#VALUE!</v>
      </c>
      <c r="C727" s="7"/>
      <c r="D727" s="17" t="e">
        <v>#VALUE!</v>
      </c>
      <c r="E727" s="7" t="e">
        <v>#VALUE!</v>
      </c>
      <c r="F727" s="16"/>
      <c r="L727" s="16"/>
      <c r="M727" s="16"/>
      <c r="N727" s="16"/>
      <c r="T727" s="16"/>
    </row>
    <row r="728" ht="22.5" customHeight="1">
      <c r="A728" s="17" t="e">
        <v>#VALUE!</v>
      </c>
      <c r="B728" s="17" t="e">
        <v>#VALUE!</v>
      </c>
      <c r="C728" s="7"/>
      <c r="D728" s="17" t="e">
        <v>#VALUE!</v>
      </c>
      <c r="E728" s="7" t="e">
        <v>#VALUE!</v>
      </c>
      <c r="F728" s="16"/>
      <c r="L728" s="16"/>
      <c r="M728" s="16"/>
      <c r="N728" s="16"/>
      <c r="T728" s="16"/>
    </row>
    <row r="729" ht="22.5" customHeight="1">
      <c r="A729" s="17" t="e">
        <v>#VALUE!</v>
      </c>
      <c r="B729" s="17" t="e">
        <v>#VALUE!</v>
      </c>
      <c r="C729" s="7"/>
      <c r="D729" s="17" t="e">
        <v>#VALUE!</v>
      </c>
      <c r="E729" s="7" t="e">
        <v>#VALUE!</v>
      </c>
      <c r="F729" s="16"/>
      <c r="L729" s="16"/>
      <c r="M729" s="16"/>
      <c r="N729" s="16"/>
      <c r="T729" s="16"/>
    </row>
    <row r="730" ht="22.5" customHeight="1">
      <c r="A730" s="17" t="e">
        <v>#VALUE!</v>
      </c>
      <c r="B730" s="17" t="e">
        <v>#VALUE!</v>
      </c>
      <c r="C730" s="7"/>
      <c r="D730" s="17" t="e">
        <v>#VALUE!</v>
      </c>
      <c r="E730" s="7" t="e">
        <v>#VALUE!</v>
      </c>
      <c r="F730" s="16"/>
      <c r="L730" s="16"/>
      <c r="M730" s="16"/>
      <c r="N730" s="16"/>
      <c r="T730" s="16"/>
    </row>
    <row r="731" ht="22.5" customHeight="1">
      <c r="A731" s="17" t="e">
        <v>#VALUE!</v>
      </c>
      <c r="B731" s="17" t="e">
        <v>#VALUE!</v>
      </c>
      <c r="C731" s="7"/>
      <c r="D731" s="17" t="e">
        <v>#VALUE!</v>
      </c>
      <c r="E731" s="7" t="e">
        <v>#VALUE!</v>
      </c>
      <c r="F731" s="16"/>
      <c r="L731" s="16"/>
      <c r="M731" s="16"/>
      <c r="N731" s="16"/>
      <c r="T731" s="16"/>
    </row>
    <row r="732" ht="22.5" customHeight="1">
      <c r="A732" s="17" t="e">
        <v>#VALUE!</v>
      </c>
      <c r="B732" s="17" t="e">
        <v>#VALUE!</v>
      </c>
      <c r="C732" s="7"/>
      <c r="D732" s="17" t="e">
        <v>#VALUE!</v>
      </c>
      <c r="E732" s="7" t="e">
        <v>#VALUE!</v>
      </c>
      <c r="F732" s="16"/>
      <c r="L732" s="16"/>
      <c r="M732" s="16"/>
      <c r="N732" s="16"/>
      <c r="T732" s="16"/>
    </row>
    <row r="733" ht="22.5" customHeight="1">
      <c r="A733" s="17" t="e">
        <v>#VALUE!</v>
      </c>
      <c r="B733" s="17" t="e">
        <v>#VALUE!</v>
      </c>
      <c r="C733" s="7"/>
      <c r="D733" s="17" t="e">
        <v>#VALUE!</v>
      </c>
      <c r="E733" s="7" t="e">
        <v>#VALUE!</v>
      </c>
      <c r="F733" s="16"/>
      <c r="L733" s="16"/>
      <c r="M733" s="16"/>
      <c r="N733" s="16"/>
      <c r="T733" s="16"/>
    </row>
    <row r="734" ht="22.5" customHeight="1">
      <c r="A734" s="17" t="e">
        <v>#VALUE!</v>
      </c>
      <c r="B734" s="17" t="e">
        <v>#VALUE!</v>
      </c>
      <c r="C734" s="7"/>
      <c r="D734" s="17" t="e">
        <v>#VALUE!</v>
      </c>
      <c r="E734" s="7" t="e">
        <v>#VALUE!</v>
      </c>
      <c r="F734" s="16"/>
      <c r="L734" s="16"/>
      <c r="M734" s="16"/>
      <c r="N734" s="16"/>
      <c r="T734" s="16"/>
    </row>
    <row r="735" ht="22.5" customHeight="1">
      <c r="A735" s="17" t="e">
        <v>#VALUE!</v>
      </c>
      <c r="B735" s="17" t="e">
        <v>#VALUE!</v>
      </c>
      <c r="C735" s="7"/>
      <c r="D735" s="17" t="e">
        <v>#VALUE!</v>
      </c>
      <c r="E735" s="7" t="e">
        <v>#VALUE!</v>
      </c>
      <c r="F735" s="16"/>
      <c r="L735" s="16"/>
      <c r="M735" s="16"/>
      <c r="N735" s="16"/>
      <c r="T735" s="16"/>
    </row>
    <row r="736" ht="22.5" customHeight="1">
      <c r="A736" s="17" t="e">
        <v>#VALUE!</v>
      </c>
      <c r="B736" s="17" t="e">
        <v>#VALUE!</v>
      </c>
      <c r="C736" s="7"/>
      <c r="D736" s="17" t="e">
        <v>#VALUE!</v>
      </c>
      <c r="E736" s="7" t="e">
        <v>#VALUE!</v>
      </c>
      <c r="F736" s="16"/>
      <c r="L736" s="16"/>
      <c r="M736" s="16"/>
      <c r="N736" s="16"/>
      <c r="T736" s="16"/>
    </row>
    <row r="737" ht="22.5" customHeight="1">
      <c r="A737" s="17" t="e">
        <v>#VALUE!</v>
      </c>
      <c r="B737" s="17" t="e">
        <v>#VALUE!</v>
      </c>
      <c r="C737" s="7"/>
      <c r="D737" s="17" t="e">
        <v>#VALUE!</v>
      </c>
      <c r="E737" s="7" t="e">
        <v>#VALUE!</v>
      </c>
      <c r="F737" s="16"/>
      <c r="L737" s="16"/>
      <c r="M737" s="16"/>
      <c r="N737" s="16"/>
      <c r="T737" s="16"/>
    </row>
    <row r="738" ht="22.5" customHeight="1">
      <c r="A738" s="17" t="e">
        <v>#VALUE!</v>
      </c>
      <c r="B738" s="17" t="e">
        <v>#VALUE!</v>
      </c>
      <c r="C738" s="7"/>
      <c r="D738" s="17" t="e">
        <v>#VALUE!</v>
      </c>
      <c r="E738" s="7" t="e">
        <v>#VALUE!</v>
      </c>
      <c r="F738" s="16"/>
      <c r="L738" s="16"/>
      <c r="M738" s="16"/>
      <c r="N738" s="16"/>
      <c r="T738" s="16"/>
    </row>
    <row r="739" ht="22.5" customHeight="1">
      <c r="A739" s="17" t="e">
        <v>#VALUE!</v>
      </c>
      <c r="B739" s="17" t="e">
        <v>#VALUE!</v>
      </c>
      <c r="C739" s="7"/>
      <c r="D739" s="17" t="e">
        <v>#VALUE!</v>
      </c>
      <c r="E739" s="7" t="e">
        <v>#VALUE!</v>
      </c>
      <c r="F739" s="16"/>
      <c r="L739" s="16"/>
      <c r="M739" s="16"/>
      <c r="N739" s="16"/>
      <c r="T739" s="16"/>
    </row>
    <row r="740" ht="22.5" customHeight="1">
      <c r="A740" s="17" t="e">
        <v>#VALUE!</v>
      </c>
      <c r="B740" s="17" t="e">
        <v>#VALUE!</v>
      </c>
      <c r="C740" s="7"/>
      <c r="D740" s="17" t="e">
        <v>#VALUE!</v>
      </c>
      <c r="E740" s="7" t="e">
        <v>#VALUE!</v>
      </c>
      <c r="F740" s="16"/>
      <c r="L740" s="16"/>
      <c r="M740" s="16"/>
      <c r="N740" s="16"/>
      <c r="T740" s="16"/>
    </row>
    <row r="741" ht="22.5" customHeight="1">
      <c r="A741" s="17" t="e">
        <v>#VALUE!</v>
      </c>
      <c r="B741" s="17" t="e">
        <v>#VALUE!</v>
      </c>
      <c r="C741" s="7"/>
      <c r="D741" s="17" t="e">
        <v>#VALUE!</v>
      </c>
      <c r="E741" s="7" t="e">
        <v>#VALUE!</v>
      </c>
      <c r="F741" s="16"/>
      <c r="L741" s="16"/>
      <c r="M741" s="16"/>
      <c r="N741" s="16"/>
      <c r="T741" s="16"/>
    </row>
    <row r="742" ht="22.5" customHeight="1">
      <c r="A742" s="17" t="e">
        <v>#VALUE!</v>
      </c>
      <c r="B742" s="17" t="e">
        <v>#VALUE!</v>
      </c>
      <c r="C742" s="7"/>
      <c r="D742" s="17" t="e">
        <v>#VALUE!</v>
      </c>
      <c r="E742" s="7" t="e">
        <v>#VALUE!</v>
      </c>
      <c r="F742" s="16"/>
      <c r="L742" s="16"/>
      <c r="M742" s="16"/>
      <c r="N742" s="16"/>
      <c r="T742" s="16"/>
    </row>
    <row r="743" ht="22.5" customHeight="1">
      <c r="A743" s="17" t="e">
        <v>#VALUE!</v>
      </c>
      <c r="B743" s="17" t="e">
        <v>#VALUE!</v>
      </c>
      <c r="C743" s="7"/>
      <c r="D743" s="17" t="e">
        <v>#VALUE!</v>
      </c>
      <c r="E743" s="7" t="e">
        <v>#VALUE!</v>
      </c>
      <c r="F743" s="16"/>
      <c r="L743" s="16"/>
      <c r="M743" s="16"/>
      <c r="N743" s="16"/>
      <c r="T743" s="16"/>
    </row>
    <row r="744" ht="22.5" customHeight="1">
      <c r="A744" s="17" t="e">
        <v>#VALUE!</v>
      </c>
      <c r="B744" s="17" t="e">
        <v>#VALUE!</v>
      </c>
      <c r="C744" s="7"/>
      <c r="D744" s="17" t="e">
        <v>#VALUE!</v>
      </c>
      <c r="E744" s="7" t="e">
        <v>#VALUE!</v>
      </c>
      <c r="F744" s="16"/>
      <c r="L744" s="16"/>
      <c r="M744" s="16"/>
      <c r="N744" s="16"/>
      <c r="T744" s="16"/>
    </row>
    <row r="745" ht="22.5" customHeight="1">
      <c r="A745" s="17" t="e">
        <v>#VALUE!</v>
      </c>
      <c r="B745" s="17" t="e">
        <v>#VALUE!</v>
      </c>
      <c r="C745" s="7"/>
      <c r="D745" s="17" t="e">
        <v>#VALUE!</v>
      </c>
      <c r="E745" s="7" t="e">
        <v>#VALUE!</v>
      </c>
      <c r="F745" s="16"/>
      <c r="L745" s="16"/>
      <c r="M745" s="16"/>
      <c r="N745" s="16"/>
      <c r="T745" s="16"/>
    </row>
    <row r="746" ht="22.5" customHeight="1">
      <c r="A746" s="17" t="e">
        <v>#VALUE!</v>
      </c>
      <c r="B746" s="17" t="e">
        <v>#VALUE!</v>
      </c>
      <c r="C746" s="7"/>
      <c r="D746" s="17" t="e">
        <v>#VALUE!</v>
      </c>
      <c r="E746" s="7" t="e">
        <v>#VALUE!</v>
      </c>
      <c r="F746" s="16"/>
      <c r="L746" s="16"/>
      <c r="M746" s="16"/>
      <c r="N746" s="16"/>
      <c r="T746" s="16"/>
    </row>
    <row r="747" ht="22.5" customHeight="1">
      <c r="A747" s="17" t="e">
        <v>#VALUE!</v>
      </c>
      <c r="B747" s="17" t="e">
        <v>#VALUE!</v>
      </c>
      <c r="C747" s="7"/>
      <c r="D747" s="17" t="e">
        <v>#VALUE!</v>
      </c>
      <c r="E747" s="7" t="e">
        <v>#VALUE!</v>
      </c>
      <c r="F747" s="16"/>
      <c r="L747" s="16"/>
      <c r="M747" s="16"/>
      <c r="N747" s="16"/>
      <c r="T747" s="16"/>
    </row>
    <row r="748" ht="22.5" customHeight="1">
      <c r="A748" s="17" t="e">
        <v>#VALUE!</v>
      </c>
      <c r="B748" s="17" t="e">
        <v>#VALUE!</v>
      </c>
      <c r="C748" s="7"/>
      <c r="D748" s="17" t="e">
        <v>#VALUE!</v>
      </c>
      <c r="E748" s="7" t="e">
        <v>#VALUE!</v>
      </c>
      <c r="F748" s="16"/>
      <c r="L748" s="16"/>
      <c r="M748" s="16"/>
      <c r="N748" s="16"/>
      <c r="T748" s="16"/>
    </row>
    <row r="749" ht="22.5" customHeight="1">
      <c r="A749" s="17" t="e">
        <v>#VALUE!</v>
      </c>
      <c r="B749" s="17" t="e">
        <v>#VALUE!</v>
      </c>
      <c r="C749" s="7"/>
      <c r="D749" s="17" t="e">
        <v>#VALUE!</v>
      </c>
      <c r="E749" s="7" t="e">
        <v>#VALUE!</v>
      </c>
      <c r="F749" s="16"/>
      <c r="L749" s="16"/>
      <c r="M749" s="16"/>
      <c r="N749" s="16"/>
      <c r="T749" s="16"/>
    </row>
    <row r="750" ht="22.5" customHeight="1">
      <c r="A750" s="17" t="e">
        <v>#VALUE!</v>
      </c>
      <c r="B750" s="17" t="e">
        <v>#VALUE!</v>
      </c>
      <c r="C750" s="7"/>
      <c r="D750" s="17" t="e">
        <v>#VALUE!</v>
      </c>
      <c r="E750" s="7" t="e">
        <v>#VALUE!</v>
      </c>
      <c r="F750" s="16"/>
      <c r="L750" s="16"/>
      <c r="M750" s="16"/>
      <c r="N750" s="16"/>
      <c r="T750" s="16"/>
    </row>
    <row r="751" ht="22.5" customHeight="1">
      <c r="A751" s="17" t="e">
        <v>#VALUE!</v>
      </c>
      <c r="B751" s="17" t="e">
        <v>#VALUE!</v>
      </c>
      <c r="C751" s="7"/>
      <c r="D751" s="17" t="e">
        <v>#VALUE!</v>
      </c>
      <c r="E751" s="7" t="e">
        <v>#VALUE!</v>
      </c>
      <c r="F751" s="16"/>
      <c r="L751" s="16"/>
      <c r="M751" s="16"/>
      <c r="N751" s="16"/>
      <c r="T751" s="16"/>
    </row>
    <row r="752" ht="22.5" customHeight="1">
      <c r="A752" s="17" t="e">
        <v>#VALUE!</v>
      </c>
      <c r="B752" s="17" t="e">
        <v>#VALUE!</v>
      </c>
      <c r="C752" s="7"/>
      <c r="D752" s="17" t="e">
        <v>#VALUE!</v>
      </c>
      <c r="E752" s="7" t="e">
        <v>#VALUE!</v>
      </c>
      <c r="F752" s="16"/>
      <c r="L752" s="16"/>
      <c r="M752" s="16"/>
      <c r="N752" s="16"/>
      <c r="T752" s="16"/>
    </row>
    <row r="753" ht="22.5" customHeight="1">
      <c r="A753" s="17" t="e">
        <v>#VALUE!</v>
      </c>
      <c r="B753" s="17" t="e">
        <v>#VALUE!</v>
      </c>
      <c r="C753" s="7"/>
      <c r="D753" s="17" t="e">
        <v>#VALUE!</v>
      </c>
      <c r="E753" s="7" t="e">
        <v>#VALUE!</v>
      </c>
      <c r="F753" s="16"/>
      <c r="L753" s="16"/>
      <c r="M753" s="16"/>
      <c r="N753" s="16"/>
      <c r="T753" s="16"/>
    </row>
    <row r="754" ht="22.5" customHeight="1">
      <c r="A754" s="17" t="e">
        <v>#VALUE!</v>
      </c>
      <c r="B754" s="17" t="e">
        <v>#VALUE!</v>
      </c>
      <c r="C754" s="7"/>
      <c r="D754" s="17" t="e">
        <v>#VALUE!</v>
      </c>
      <c r="E754" s="7" t="e">
        <v>#VALUE!</v>
      </c>
      <c r="F754" s="16"/>
      <c r="L754" s="16"/>
      <c r="M754" s="16"/>
      <c r="N754" s="16"/>
      <c r="T754" s="16"/>
    </row>
    <row r="755" ht="22.5" customHeight="1">
      <c r="A755" s="17" t="e">
        <v>#VALUE!</v>
      </c>
      <c r="B755" s="17" t="e">
        <v>#VALUE!</v>
      </c>
      <c r="C755" s="7"/>
      <c r="D755" s="17" t="e">
        <v>#VALUE!</v>
      </c>
      <c r="E755" s="7" t="e">
        <v>#VALUE!</v>
      </c>
      <c r="F755" s="16"/>
      <c r="L755" s="16"/>
      <c r="M755" s="16"/>
      <c r="N755" s="16"/>
      <c r="T755" s="16"/>
    </row>
    <row r="756" ht="22.5" customHeight="1">
      <c r="A756" s="17" t="e">
        <v>#VALUE!</v>
      </c>
      <c r="B756" s="17" t="e">
        <v>#VALUE!</v>
      </c>
      <c r="C756" s="7"/>
      <c r="D756" s="17" t="e">
        <v>#VALUE!</v>
      </c>
      <c r="E756" s="7" t="e">
        <v>#VALUE!</v>
      </c>
      <c r="F756" s="16"/>
      <c r="L756" s="16"/>
      <c r="M756" s="16"/>
      <c r="N756" s="16"/>
      <c r="T756" s="16"/>
    </row>
    <row r="757" ht="22.5" customHeight="1">
      <c r="A757" s="17" t="e">
        <v>#VALUE!</v>
      </c>
      <c r="B757" s="17" t="e">
        <v>#VALUE!</v>
      </c>
      <c r="C757" s="7"/>
      <c r="D757" s="17" t="e">
        <v>#VALUE!</v>
      </c>
      <c r="E757" s="7" t="e">
        <v>#VALUE!</v>
      </c>
      <c r="F757" s="16"/>
      <c r="L757" s="16"/>
      <c r="M757" s="16"/>
      <c r="N757" s="16"/>
      <c r="T757" s="16"/>
    </row>
    <row r="758" ht="22.5" customHeight="1">
      <c r="A758" s="17" t="e">
        <v>#VALUE!</v>
      </c>
      <c r="B758" s="17" t="e">
        <v>#VALUE!</v>
      </c>
      <c r="C758" s="7"/>
      <c r="D758" s="17" t="e">
        <v>#VALUE!</v>
      </c>
      <c r="E758" s="7" t="e">
        <v>#VALUE!</v>
      </c>
      <c r="F758" s="16"/>
      <c r="L758" s="16"/>
      <c r="M758" s="16"/>
      <c r="N758" s="16"/>
      <c r="T758" s="16"/>
    </row>
    <row r="759" ht="22.5" customHeight="1">
      <c r="A759" s="17" t="e">
        <v>#VALUE!</v>
      </c>
      <c r="B759" s="17" t="e">
        <v>#VALUE!</v>
      </c>
      <c r="C759" s="7"/>
      <c r="D759" s="17" t="e">
        <v>#VALUE!</v>
      </c>
      <c r="E759" s="7" t="e">
        <v>#VALUE!</v>
      </c>
      <c r="F759" s="16"/>
      <c r="L759" s="16"/>
      <c r="M759" s="16"/>
      <c r="N759" s="16"/>
      <c r="T759" s="16"/>
    </row>
    <row r="760" ht="22.5" customHeight="1">
      <c r="A760" s="17" t="e">
        <v>#VALUE!</v>
      </c>
      <c r="B760" s="17" t="e">
        <v>#VALUE!</v>
      </c>
      <c r="C760" s="7"/>
      <c r="D760" s="17" t="e">
        <v>#VALUE!</v>
      </c>
      <c r="E760" s="7" t="e">
        <v>#VALUE!</v>
      </c>
      <c r="F760" s="16"/>
      <c r="L760" s="16"/>
      <c r="M760" s="16"/>
      <c r="N760" s="16"/>
      <c r="T760" s="16"/>
    </row>
    <row r="761" ht="22.5" customHeight="1">
      <c r="A761" s="17" t="e">
        <v>#VALUE!</v>
      </c>
      <c r="B761" s="17" t="e">
        <v>#VALUE!</v>
      </c>
      <c r="C761" s="7"/>
      <c r="D761" s="17" t="e">
        <v>#VALUE!</v>
      </c>
      <c r="E761" s="7" t="e">
        <v>#VALUE!</v>
      </c>
      <c r="F761" s="16"/>
      <c r="L761" s="16"/>
      <c r="M761" s="16"/>
      <c r="N761" s="16"/>
      <c r="T761" s="16"/>
    </row>
    <row r="762" ht="22.5" customHeight="1">
      <c r="A762" s="17" t="e">
        <v>#VALUE!</v>
      </c>
      <c r="B762" s="17" t="e">
        <v>#VALUE!</v>
      </c>
      <c r="C762" s="7"/>
      <c r="D762" s="17" t="e">
        <v>#VALUE!</v>
      </c>
      <c r="E762" s="7" t="e">
        <v>#VALUE!</v>
      </c>
      <c r="F762" s="16"/>
      <c r="L762" s="16"/>
      <c r="M762" s="16"/>
      <c r="N762" s="16"/>
      <c r="T762" s="16"/>
    </row>
    <row r="763" ht="22.5" customHeight="1">
      <c r="A763" s="17" t="e">
        <v>#VALUE!</v>
      </c>
      <c r="B763" s="17" t="e">
        <v>#VALUE!</v>
      </c>
      <c r="C763" s="7"/>
      <c r="D763" s="17" t="e">
        <v>#VALUE!</v>
      </c>
      <c r="E763" s="7" t="e">
        <v>#VALUE!</v>
      </c>
      <c r="F763" s="16"/>
      <c r="L763" s="16"/>
      <c r="M763" s="16"/>
      <c r="N763" s="16"/>
      <c r="T763" s="16"/>
    </row>
    <row r="764" ht="22.5" customHeight="1">
      <c r="A764" s="17" t="e">
        <v>#VALUE!</v>
      </c>
      <c r="B764" s="17" t="e">
        <v>#VALUE!</v>
      </c>
      <c r="C764" s="7"/>
      <c r="D764" s="17" t="e">
        <v>#VALUE!</v>
      </c>
      <c r="E764" s="7" t="e">
        <v>#VALUE!</v>
      </c>
      <c r="F764" s="16"/>
      <c r="L764" s="16"/>
      <c r="M764" s="16"/>
      <c r="N764" s="16"/>
      <c r="T764" s="16"/>
    </row>
    <row r="765" ht="22.5" customHeight="1">
      <c r="A765" s="17" t="e">
        <v>#VALUE!</v>
      </c>
      <c r="B765" s="17" t="e">
        <v>#VALUE!</v>
      </c>
      <c r="C765" s="7"/>
      <c r="D765" s="17" t="e">
        <v>#VALUE!</v>
      </c>
      <c r="E765" s="7" t="e">
        <v>#VALUE!</v>
      </c>
      <c r="F765" s="16"/>
      <c r="L765" s="16"/>
      <c r="M765" s="16"/>
      <c r="N765" s="16"/>
      <c r="T765" s="16"/>
    </row>
    <row r="766" ht="22.5" customHeight="1">
      <c r="A766" s="17" t="e">
        <v>#VALUE!</v>
      </c>
      <c r="B766" s="17" t="e">
        <v>#VALUE!</v>
      </c>
      <c r="C766" s="7"/>
      <c r="D766" s="17" t="e">
        <v>#VALUE!</v>
      </c>
      <c r="E766" s="7" t="e">
        <v>#VALUE!</v>
      </c>
      <c r="F766" s="16"/>
      <c r="L766" s="16"/>
      <c r="M766" s="16"/>
      <c r="N766" s="16"/>
      <c r="T766" s="16"/>
    </row>
    <row r="767" ht="22.5" customHeight="1">
      <c r="A767" s="17" t="e">
        <v>#VALUE!</v>
      </c>
      <c r="B767" s="17" t="e">
        <v>#VALUE!</v>
      </c>
      <c r="C767" s="7"/>
      <c r="D767" s="17" t="e">
        <v>#VALUE!</v>
      </c>
      <c r="E767" s="7" t="e">
        <v>#VALUE!</v>
      </c>
      <c r="F767" s="16"/>
      <c r="L767" s="16"/>
      <c r="M767" s="16"/>
      <c r="N767" s="16"/>
      <c r="T767" s="16"/>
    </row>
    <row r="768" ht="22.5" customHeight="1">
      <c r="A768" s="17" t="e">
        <v>#VALUE!</v>
      </c>
      <c r="B768" s="17" t="e">
        <v>#VALUE!</v>
      </c>
      <c r="C768" s="7"/>
      <c r="D768" s="17" t="e">
        <v>#VALUE!</v>
      </c>
      <c r="E768" s="7" t="e">
        <v>#VALUE!</v>
      </c>
      <c r="F768" s="16"/>
      <c r="L768" s="16"/>
      <c r="M768" s="16"/>
      <c r="N768" s="16"/>
      <c r="T768" s="16"/>
    </row>
    <row r="769" ht="22.5" customHeight="1">
      <c r="A769" s="17" t="e">
        <v>#VALUE!</v>
      </c>
      <c r="B769" s="17" t="e">
        <v>#VALUE!</v>
      </c>
      <c r="C769" s="7"/>
      <c r="D769" s="17" t="e">
        <v>#VALUE!</v>
      </c>
      <c r="E769" s="7" t="e">
        <v>#VALUE!</v>
      </c>
      <c r="F769" s="16"/>
      <c r="L769" s="16"/>
      <c r="M769" s="16"/>
      <c r="N769" s="16"/>
      <c r="T769" s="16"/>
    </row>
    <row r="770" ht="22.5" customHeight="1">
      <c r="A770" s="17" t="e">
        <v>#VALUE!</v>
      </c>
      <c r="B770" s="17" t="e">
        <v>#VALUE!</v>
      </c>
      <c r="C770" s="7"/>
      <c r="D770" s="17" t="e">
        <v>#VALUE!</v>
      </c>
      <c r="E770" s="7" t="e">
        <v>#VALUE!</v>
      </c>
      <c r="F770" s="16"/>
      <c r="L770" s="16"/>
      <c r="M770" s="16"/>
      <c r="N770" s="16"/>
      <c r="T770" s="16"/>
    </row>
    <row r="771" ht="22.5" customHeight="1">
      <c r="A771" s="17" t="e">
        <v>#VALUE!</v>
      </c>
      <c r="B771" s="17" t="e">
        <v>#VALUE!</v>
      </c>
      <c r="C771" s="7"/>
      <c r="D771" s="17" t="e">
        <v>#VALUE!</v>
      </c>
      <c r="E771" s="7" t="e">
        <v>#VALUE!</v>
      </c>
      <c r="F771" s="16"/>
      <c r="L771" s="16"/>
      <c r="M771" s="16"/>
      <c r="N771" s="16"/>
      <c r="T771" s="16"/>
    </row>
    <row r="772" ht="22.5" customHeight="1">
      <c r="A772" s="17" t="e">
        <v>#VALUE!</v>
      </c>
      <c r="B772" s="17" t="e">
        <v>#VALUE!</v>
      </c>
      <c r="C772" s="7"/>
      <c r="D772" s="17" t="e">
        <v>#VALUE!</v>
      </c>
      <c r="E772" s="7" t="e">
        <v>#VALUE!</v>
      </c>
      <c r="F772" s="16"/>
      <c r="L772" s="16"/>
      <c r="M772" s="16"/>
      <c r="N772" s="16"/>
      <c r="T772" s="16"/>
    </row>
    <row r="773" ht="22.5" customHeight="1">
      <c r="A773" s="17" t="e">
        <v>#VALUE!</v>
      </c>
      <c r="B773" s="17" t="e">
        <v>#VALUE!</v>
      </c>
      <c r="C773" s="7"/>
      <c r="D773" s="17" t="e">
        <v>#VALUE!</v>
      </c>
      <c r="E773" s="7" t="e">
        <v>#VALUE!</v>
      </c>
      <c r="F773" s="16"/>
      <c r="L773" s="16"/>
      <c r="M773" s="16"/>
      <c r="N773" s="16"/>
      <c r="T773" s="16"/>
    </row>
    <row r="774" ht="22.5" customHeight="1">
      <c r="A774" s="17" t="e">
        <v>#VALUE!</v>
      </c>
      <c r="B774" s="17" t="e">
        <v>#VALUE!</v>
      </c>
      <c r="C774" s="7"/>
      <c r="D774" s="17" t="e">
        <v>#VALUE!</v>
      </c>
      <c r="E774" s="7" t="e">
        <v>#VALUE!</v>
      </c>
      <c r="F774" s="16"/>
      <c r="L774" s="16"/>
      <c r="M774" s="16"/>
      <c r="N774" s="16"/>
      <c r="T774" s="16"/>
    </row>
    <row r="775" ht="22.5" customHeight="1">
      <c r="A775" s="17" t="e">
        <v>#VALUE!</v>
      </c>
      <c r="B775" s="17" t="e">
        <v>#VALUE!</v>
      </c>
      <c r="C775" s="7"/>
      <c r="D775" s="17" t="e">
        <v>#VALUE!</v>
      </c>
      <c r="E775" s="7" t="e">
        <v>#VALUE!</v>
      </c>
      <c r="F775" s="16"/>
      <c r="L775" s="16"/>
      <c r="M775" s="16"/>
      <c r="N775" s="16"/>
      <c r="T775" s="16"/>
    </row>
    <row r="776" ht="22.5" customHeight="1">
      <c r="A776" s="17" t="e">
        <v>#VALUE!</v>
      </c>
      <c r="B776" s="17" t="e">
        <v>#VALUE!</v>
      </c>
      <c r="C776" s="7"/>
      <c r="D776" s="17" t="e">
        <v>#VALUE!</v>
      </c>
      <c r="E776" s="7" t="e">
        <v>#VALUE!</v>
      </c>
      <c r="F776" s="16"/>
      <c r="L776" s="16"/>
      <c r="M776" s="16"/>
      <c r="N776" s="16"/>
      <c r="T776" s="16"/>
    </row>
    <row r="777" ht="22.5" customHeight="1">
      <c r="A777" s="17" t="e">
        <v>#VALUE!</v>
      </c>
      <c r="B777" s="17" t="e">
        <v>#VALUE!</v>
      </c>
      <c r="C777" s="7"/>
      <c r="D777" s="17" t="e">
        <v>#VALUE!</v>
      </c>
      <c r="E777" s="7" t="e">
        <v>#VALUE!</v>
      </c>
      <c r="F777" s="16"/>
      <c r="L777" s="16"/>
      <c r="M777" s="16"/>
      <c r="N777" s="16"/>
      <c r="T777" s="16"/>
    </row>
    <row r="778" ht="22.5" customHeight="1">
      <c r="A778" s="17" t="e">
        <v>#VALUE!</v>
      </c>
      <c r="B778" s="17" t="e">
        <v>#VALUE!</v>
      </c>
      <c r="C778" s="7"/>
      <c r="D778" s="17" t="e">
        <v>#VALUE!</v>
      </c>
      <c r="E778" s="7" t="e">
        <v>#VALUE!</v>
      </c>
      <c r="F778" s="16"/>
      <c r="L778" s="16"/>
      <c r="M778" s="16"/>
      <c r="N778" s="16"/>
      <c r="T778" s="16"/>
    </row>
    <row r="779" ht="22.5" customHeight="1">
      <c r="A779" s="17" t="e">
        <v>#VALUE!</v>
      </c>
      <c r="B779" s="17" t="e">
        <v>#VALUE!</v>
      </c>
      <c r="C779" s="7"/>
      <c r="D779" s="17" t="e">
        <v>#VALUE!</v>
      </c>
      <c r="E779" s="7" t="e">
        <v>#VALUE!</v>
      </c>
      <c r="F779" s="16"/>
      <c r="L779" s="16"/>
      <c r="M779" s="16"/>
      <c r="N779" s="16"/>
      <c r="T779" s="16"/>
    </row>
    <row r="780" ht="22.5" customHeight="1">
      <c r="A780" s="17" t="e">
        <v>#VALUE!</v>
      </c>
      <c r="B780" s="17" t="e">
        <v>#VALUE!</v>
      </c>
      <c r="C780" s="7"/>
      <c r="D780" s="17" t="e">
        <v>#VALUE!</v>
      </c>
      <c r="E780" s="7" t="e">
        <v>#VALUE!</v>
      </c>
      <c r="F780" s="16"/>
      <c r="L780" s="16"/>
      <c r="M780" s="16"/>
      <c r="N780" s="16"/>
      <c r="T780" s="16"/>
    </row>
    <row r="781" ht="22.5" customHeight="1">
      <c r="A781" s="17" t="e">
        <v>#VALUE!</v>
      </c>
      <c r="B781" s="17" t="e">
        <v>#VALUE!</v>
      </c>
      <c r="C781" s="7"/>
      <c r="D781" s="17" t="e">
        <v>#VALUE!</v>
      </c>
      <c r="E781" s="7" t="e">
        <v>#VALUE!</v>
      </c>
      <c r="F781" s="16"/>
      <c r="L781" s="16"/>
      <c r="M781" s="16"/>
      <c r="N781" s="16"/>
      <c r="T781" s="16"/>
    </row>
    <row r="782" ht="22.5" customHeight="1">
      <c r="A782" s="17" t="e">
        <v>#VALUE!</v>
      </c>
      <c r="B782" s="17" t="e">
        <v>#VALUE!</v>
      </c>
      <c r="C782" s="7"/>
      <c r="D782" s="17" t="e">
        <v>#VALUE!</v>
      </c>
      <c r="E782" s="7" t="e">
        <v>#VALUE!</v>
      </c>
      <c r="F782" s="16"/>
      <c r="L782" s="16"/>
      <c r="M782" s="16"/>
      <c r="N782" s="16"/>
      <c r="T782" s="16"/>
    </row>
    <row r="783" ht="22.5" customHeight="1">
      <c r="A783" s="17" t="e">
        <v>#VALUE!</v>
      </c>
      <c r="B783" s="17" t="e">
        <v>#VALUE!</v>
      </c>
      <c r="C783" s="7"/>
      <c r="D783" s="17" t="e">
        <v>#VALUE!</v>
      </c>
      <c r="E783" s="7" t="e">
        <v>#VALUE!</v>
      </c>
      <c r="F783" s="16"/>
      <c r="L783" s="16"/>
      <c r="M783" s="16"/>
      <c r="N783" s="16"/>
      <c r="T783" s="16"/>
    </row>
    <row r="784" ht="22.5" customHeight="1">
      <c r="A784" s="17" t="e">
        <v>#VALUE!</v>
      </c>
      <c r="B784" s="17" t="e">
        <v>#VALUE!</v>
      </c>
      <c r="C784" s="7"/>
      <c r="D784" s="17" t="e">
        <v>#VALUE!</v>
      </c>
      <c r="E784" s="7" t="e">
        <v>#VALUE!</v>
      </c>
      <c r="F784" s="16"/>
      <c r="L784" s="16"/>
      <c r="M784" s="16"/>
      <c r="N784" s="16"/>
      <c r="T784" s="16"/>
    </row>
    <row r="785" ht="22.5" customHeight="1">
      <c r="A785" s="17" t="e">
        <v>#VALUE!</v>
      </c>
      <c r="B785" s="17" t="e">
        <v>#VALUE!</v>
      </c>
      <c r="C785" s="7"/>
      <c r="D785" s="17" t="e">
        <v>#VALUE!</v>
      </c>
      <c r="E785" s="7" t="e">
        <v>#VALUE!</v>
      </c>
      <c r="F785" s="16"/>
      <c r="L785" s="16"/>
      <c r="M785" s="16"/>
      <c r="N785" s="16"/>
      <c r="T785" s="16"/>
    </row>
    <row r="786" ht="22.5" customHeight="1">
      <c r="A786" s="17" t="e">
        <v>#VALUE!</v>
      </c>
      <c r="B786" s="17" t="e">
        <v>#VALUE!</v>
      </c>
      <c r="C786" s="7"/>
      <c r="D786" s="17" t="e">
        <v>#VALUE!</v>
      </c>
      <c r="E786" s="7" t="e">
        <v>#VALUE!</v>
      </c>
      <c r="F786" s="16"/>
      <c r="L786" s="16"/>
      <c r="M786" s="16"/>
      <c r="N786" s="16"/>
      <c r="T786" s="16"/>
    </row>
    <row r="787" ht="22.5" customHeight="1">
      <c r="A787" s="17" t="e">
        <v>#VALUE!</v>
      </c>
      <c r="B787" s="17" t="e">
        <v>#VALUE!</v>
      </c>
      <c r="C787" s="7"/>
      <c r="D787" s="17" t="e">
        <v>#VALUE!</v>
      </c>
      <c r="E787" s="7" t="e">
        <v>#VALUE!</v>
      </c>
      <c r="F787" s="16"/>
      <c r="L787" s="16"/>
      <c r="M787" s="16"/>
      <c r="N787" s="16"/>
      <c r="T787" s="16"/>
    </row>
    <row r="788" ht="22.5" customHeight="1">
      <c r="A788" s="17" t="e">
        <v>#VALUE!</v>
      </c>
      <c r="B788" s="17" t="e">
        <v>#VALUE!</v>
      </c>
      <c r="C788" s="7"/>
      <c r="D788" s="17" t="e">
        <v>#VALUE!</v>
      </c>
      <c r="E788" s="7" t="e">
        <v>#VALUE!</v>
      </c>
      <c r="F788" s="16"/>
      <c r="L788" s="16"/>
      <c r="M788" s="16"/>
      <c r="N788" s="16"/>
      <c r="T788" s="16"/>
    </row>
    <row r="789" ht="22.5" customHeight="1">
      <c r="A789" s="17" t="e">
        <v>#VALUE!</v>
      </c>
      <c r="B789" s="17" t="e">
        <v>#VALUE!</v>
      </c>
      <c r="C789" s="7"/>
      <c r="D789" s="17" t="e">
        <v>#VALUE!</v>
      </c>
      <c r="E789" s="7" t="e">
        <v>#VALUE!</v>
      </c>
      <c r="F789" s="16"/>
      <c r="L789" s="16"/>
      <c r="M789" s="16"/>
      <c r="N789" s="16"/>
      <c r="T789" s="16"/>
    </row>
    <row r="790" ht="22.5" customHeight="1">
      <c r="A790" s="17" t="e">
        <v>#VALUE!</v>
      </c>
      <c r="B790" s="17" t="e">
        <v>#VALUE!</v>
      </c>
      <c r="C790" s="7"/>
      <c r="D790" s="17" t="e">
        <v>#VALUE!</v>
      </c>
      <c r="E790" s="7" t="e">
        <v>#VALUE!</v>
      </c>
      <c r="F790" s="16"/>
      <c r="L790" s="16"/>
      <c r="M790" s="16"/>
      <c r="N790" s="16"/>
      <c r="T790" s="16"/>
    </row>
    <row r="791" ht="22.5" customHeight="1">
      <c r="A791" s="17" t="e">
        <v>#VALUE!</v>
      </c>
      <c r="B791" s="17" t="e">
        <v>#VALUE!</v>
      </c>
      <c r="C791" s="7"/>
      <c r="D791" s="17" t="e">
        <v>#VALUE!</v>
      </c>
      <c r="E791" s="7" t="e">
        <v>#VALUE!</v>
      </c>
      <c r="F791" s="16"/>
      <c r="L791" s="16"/>
      <c r="M791" s="16"/>
      <c r="N791" s="16"/>
      <c r="T791" s="16"/>
    </row>
    <row r="792" ht="22.5" customHeight="1">
      <c r="A792" s="17" t="e">
        <v>#VALUE!</v>
      </c>
      <c r="B792" s="17" t="e">
        <v>#VALUE!</v>
      </c>
      <c r="C792" s="7"/>
      <c r="D792" s="17" t="e">
        <v>#VALUE!</v>
      </c>
      <c r="E792" s="7" t="e">
        <v>#VALUE!</v>
      </c>
      <c r="F792" s="16"/>
      <c r="L792" s="16"/>
      <c r="M792" s="16"/>
      <c r="N792" s="16"/>
      <c r="T792" s="16"/>
    </row>
    <row r="793" ht="22.5" customHeight="1">
      <c r="A793" s="17" t="e">
        <v>#VALUE!</v>
      </c>
      <c r="B793" s="17" t="e">
        <v>#VALUE!</v>
      </c>
      <c r="C793" s="7"/>
      <c r="D793" s="17" t="e">
        <v>#VALUE!</v>
      </c>
      <c r="E793" s="7" t="e">
        <v>#VALUE!</v>
      </c>
      <c r="F793" s="16"/>
      <c r="L793" s="16"/>
      <c r="M793" s="16"/>
      <c r="N793" s="16"/>
      <c r="T793" s="16"/>
    </row>
    <row r="794" ht="22.5" customHeight="1">
      <c r="A794" s="17" t="e">
        <v>#VALUE!</v>
      </c>
      <c r="B794" s="17" t="e">
        <v>#VALUE!</v>
      </c>
      <c r="C794" s="7"/>
      <c r="D794" s="17" t="e">
        <v>#VALUE!</v>
      </c>
      <c r="E794" s="7" t="e">
        <v>#VALUE!</v>
      </c>
      <c r="F794" s="16"/>
      <c r="L794" s="16"/>
      <c r="M794" s="16"/>
      <c r="N794" s="16"/>
      <c r="T794" s="16"/>
    </row>
    <row r="795" ht="22.5" customHeight="1">
      <c r="A795" s="17" t="e">
        <v>#VALUE!</v>
      </c>
      <c r="B795" s="17" t="e">
        <v>#VALUE!</v>
      </c>
      <c r="C795" s="7"/>
      <c r="D795" s="17" t="e">
        <v>#VALUE!</v>
      </c>
      <c r="E795" s="7" t="e">
        <v>#VALUE!</v>
      </c>
      <c r="F795" s="16"/>
      <c r="L795" s="16"/>
      <c r="M795" s="16"/>
      <c r="N795" s="16"/>
      <c r="T795" s="16"/>
    </row>
    <row r="796" ht="22.5" customHeight="1">
      <c r="A796" s="17" t="e">
        <v>#VALUE!</v>
      </c>
      <c r="B796" s="17" t="e">
        <v>#VALUE!</v>
      </c>
      <c r="C796" s="7"/>
      <c r="D796" s="17" t="e">
        <v>#VALUE!</v>
      </c>
      <c r="E796" s="7" t="e">
        <v>#VALUE!</v>
      </c>
      <c r="F796" s="16"/>
      <c r="L796" s="16"/>
      <c r="M796" s="16"/>
      <c r="N796" s="16"/>
      <c r="T796" s="16"/>
    </row>
    <row r="797" ht="22.5" customHeight="1">
      <c r="A797" s="17" t="e">
        <v>#VALUE!</v>
      </c>
      <c r="B797" s="17" t="e">
        <v>#VALUE!</v>
      </c>
      <c r="C797" s="7"/>
      <c r="D797" s="17" t="e">
        <v>#VALUE!</v>
      </c>
      <c r="E797" s="7" t="e">
        <v>#VALUE!</v>
      </c>
      <c r="F797" s="16"/>
      <c r="L797" s="16"/>
      <c r="M797" s="16"/>
      <c r="N797" s="16"/>
      <c r="T797" s="16"/>
    </row>
    <row r="798" ht="22.5" customHeight="1">
      <c r="A798" s="17" t="e">
        <v>#VALUE!</v>
      </c>
      <c r="B798" s="17" t="e">
        <v>#VALUE!</v>
      </c>
      <c r="C798" s="7"/>
      <c r="D798" s="17" t="e">
        <v>#VALUE!</v>
      </c>
      <c r="E798" s="7" t="e">
        <v>#VALUE!</v>
      </c>
      <c r="F798" s="16"/>
      <c r="L798" s="16"/>
      <c r="M798" s="16"/>
      <c r="N798" s="16"/>
      <c r="T798" s="16"/>
    </row>
    <row r="799" ht="22.5" customHeight="1">
      <c r="A799" s="17" t="e">
        <v>#VALUE!</v>
      </c>
      <c r="B799" s="17" t="e">
        <v>#VALUE!</v>
      </c>
      <c r="C799" s="7"/>
      <c r="D799" s="17" t="e">
        <v>#VALUE!</v>
      </c>
      <c r="E799" s="7" t="e">
        <v>#VALUE!</v>
      </c>
      <c r="F799" s="16"/>
      <c r="L799" s="16"/>
      <c r="M799" s="16"/>
      <c r="N799" s="16"/>
      <c r="T799" s="16"/>
    </row>
    <row r="800" ht="22.5" customHeight="1">
      <c r="A800" s="17" t="e">
        <v>#VALUE!</v>
      </c>
      <c r="B800" s="17" t="e">
        <v>#VALUE!</v>
      </c>
      <c r="C800" s="7"/>
      <c r="D800" s="17" t="e">
        <v>#VALUE!</v>
      </c>
      <c r="E800" s="7" t="e">
        <v>#VALUE!</v>
      </c>
      <c r="F800" s="16"/>
      <c r="L800" s="16"/>
      <c r="M800" s="16"/>
      <c r="N800" s="16"/>
      <c r="T800" s="16"/>
    </row>
    <row r="801" ht="22.5" customHeight="1">
      <c r="A801" s="17" t="e">
        <v>#VALUE!</v>
      </c>
      <c r="B801" s="17" t="e">
        <v>#VALUE!</v>
      </c>
      <c r="C801" s="7"/>
      <c r="D801" s="17" t="e">
        <v>#VALUE!</v>
      </c>
      <c r="E801" s="7" t="e">
        <v>#VALUE!</v>
      </c>
      <c r="F801" s="16"/>
      <c r="L801" s="16"/>
      <c r="M801" s="16"/>
      <c r="N801" s="16"/>
      <c r="T801" s="16"/>
    </row>
    <row r="802" ht="22.5" customHeight="1">
      <c r="A802" s="17" t="e">
        <v>#VALUE!</v>
      </c>
      <c r="B802" s="17" t="e">
        <v>#VALUE!</v>
      </c>
      <c r="C802" s="7"/>
      <c r="D802" s="17" t="e">
        <v>#VALUE!</v>
      </c>
      <c r="E802" s="7" t="e">
        <v>#VALUE!</v>
      </c>
      <c r="F802" s="16"/>
      <c r="L802" s="16"/>
      <c r="M802" s="16"/>
      <c r="N802" s="16"/>
      <c r="T802" s="16"/>
    </row>
    <row r="803" ht="22.5" customHeight="1">
      <c r="A803" s="17" t="e">
        <v>#VALUE!</v>
      </c>
      <c r="B803" s="17" t="e">
        <v>#VALUE!</v>
      </c>
      <c r="C803" s="7"/>
      <c r="D803" s="17" t="e">
        <v>#VALUE!</v>
      </c>
      <c r="E803" s="7" t="e">
        <v>#VALUE!</v>
      </c>
      <c r="F803" s="16"/>
      <c r="L803" s="16"/>
      <c r="M803" s="16"/>
      <c r="N803" s="16"/>
      <c r="T803" s="16"/>
    </row>
    <row r="804" ht="22.5" customHeight="1">
      <c r="A804" s="17" t="e">
        <v>#VALUE!</v>
      </c>
      <c r="B804" s="17" t="e">
        <v>#VALUE!</v>
      </c>
      <c r="C804" s="7"/>
      <c r="D804" s="17" t="e">
        <v>#VALUE!</v>
      </c>
      <c r="E804" s="7" t="e">
        <v>#VALUE!</v>
      </c>
      <c r="F804" s="16"/>
      <c r="L804" s="16"/>
      <c r="M804" s="16"/>
      <c r="N804" s="16"/>
      <c r="T804" s="16"/>
    </row>
    <row r="805" ht="22.5" customHeight="1">
      <c r="A805" s="17" t="e">
        <v>#VALUE!</v>
      </c>
      <c r="B805" s="17" t="e">
        <v>#VALUE!</v>
      </c>
      <c r="C805" s="7"/>
      <c r="D805" s="17" t="e">
        <v>#VALUE!</v>
      </c>
      <c r="E805" s="7" t="e">
        <v>#VALUE!</v>
      </c>
      <c r="F805" s="16"/>
      <c r="L805" s="16"/>
      <c r="M805" s="16"/>
      <c r="N805" s="16"/>
      <c r="T805" s="16"/>
    </row>
    <row r="806" ht="22.5" customHeight="1">
      <c r="A806" s="17" t="e">
        <v>#VALUE!</v>
      </c>
      <c r="B806" s="17" t="e">
        <v>#VALUE!</v>
      </c>
      <c r="C806" s="7"/>
      <c r="D806" s="17" t="e">
        <v>#VALUE!</v>
      </c>
      <c r="E806" s="7" t="e">
        <v>#VALUE!</v>
      </c>
      <c r="F806" s="16"/>
      <c r="L806" s="16"/>
      <c r="M806" s="16"/>
      <c r="N806" s="16"/>
      <c r="T806" s="16"/>
    </row>
    <row r="807" ht="22.5" customHeight="1">
      <c r="A807" s="17" t="e">
        <v>#VALUE!</v>
      </c>
      <c r="B807" s="17" t="e">
        <v>#VALUE!</v>
      </c>
      <c r="C807" s="7"/>
      <c r="D807" s="17" t="e">
        <v>#VALUE!</v>
      </c>
      <c r="E807" s="7" t="e">
        <v>#VALUE!</v>
      </c>
      <c r="F807" s="16"/>
      <c r="L807" s="16"/>
      <c r="M807" s="16"/>
      <c r="N807" s="16"/>
      <c r="T807" s="16"/>
    </row>
    <row r="808" ht="22.5" customHeight="1">
      <c r="A808" s="17" t="e">
        <v>#VALUE!</v>
      </c>
      <c r="B808" s="17" t="e">
        <v>#VALUE!</v>
      </c>
      <c r="C808" s="7"/>
      <c r="D808" s="17" t="e">
        <v>#VALUE!</v>
      </c>
      <c r="E808" s="7" t="e">
        <v>#VALUE!</v>
      </c>
      <c r="F808" s="16"/>
      <c r="L808" s="16"/>
      <c r="M808" s="16"/>
      <c r="N808" s="16"/>
      <c r="T808" s="16"/>
    </row>
    <row r="809" ht="22.5" customHeight="1">
      <c r="A809" s="17" t="e">
        <v>#VALUE!</v>
      </c>
      <c r="B809" s="17" t="e">
        <v>#VALUE!</v>
      </c>
      <c r="C809" s="7"/>
      <c r="D809" s="17" t="e">
        <v>#VALUE!</v>
      </c>
      <c r="E809" s="7" t="e">
        <v>#VALUE!</v>
      </c>
      <c r="F809" s="16"/>
      <c r="L809" s="16"/>
      <c r="M809" s="16"/>
      <c r="N809" s="16"/>
      <c r="T809" s="16"/>
    </row>
    <row r="810" ht="22.5" customHeight="1">
      <c r="A810" s="17" t="e">
        <v>#VALUE!</v>
      </c>
      <c r="B810" s="17" t="e">
        <v>#VALUE!</v>
      </c>
      <c r="C810" s="7"/>
      <c r="D810" s="17" t="e">
        <v>#VALUE!</v>
      </c>
      <c r="E810" s="7" t="e">
        <v>#VALUE!</v>
      </c>
      <c r="F810" s="16"/>
      <c r="L810" s="16"/>
      <c r="M810" s="16"/>
      <c r="N810" s="16"/>
      <c r="T810" s="16"/>
    </row>
    <row r="811" ht="22.5" customHeight="1">
      <c r="A811" s="17" t="e">
        <v>#VALUE!</v>
      </c>
      <c r="B811" s="17" t="e">
        <v>#VALUE!</v>
      </c>
      <c r="C811" s="7"/>
      <c r="D811" s="17" t="e">
        <v>#VALUE!</v>
      </c>
      <c r="E811" s="7" t="e">
        <v>#VALUE!</v>
      </c>
      <c r="F811" s="16"/>
      <c r="L811" s="16"/>
      <c r="M811" s="16"/>
      <c r="N811" s="16"/>
      <c r="T811" s="16"/>
    </row>
    <row r="812" ht="22.5" customHeight="1">
      <c r="A812" s="17" t="e">
        <v>#VALUE!</v>
      </c>
      <c r="B812" s="17" t="e">
        <v>#VALUE!</v>
      </c>
      <c r="C812" s="7"/>
      <c r="D812" s="17" t="e">
        <v>#VALUE!</v>
      </c>
      <c r="E812" s="7" t="e">
        <v>#VALUE!</v>
      </c>
      <c r="F812" s="16"/>
      <c r="L812" s="16"/>
      <c r="M812" s="16"/>
      <c r="N812" s="16"/>
      <c r="T812" s="16"/>
    </row>
    <row r="813" ht="22.5" customHeight="1">
      <c r="A813" s="17" t="e">
        <v>#VALUE!</v>
      </c>
      <c r="B813" s="17" t="e">
        <v>#VALUE!</v>
      </c>
      <c r="C813" s="7"/>
      <c r="D813" s="17" t="e">
        <v>#VALUE!</v>
      </c>
      <c r="E813" s="7" t="e">
        <v>#VALUE!</v>
      </c>
      <c r="F813" s="16"/>
      <c r="L813" s="16"/>
      <c r="M813" s="16"/>
      <c r="N813" s="16"/>
      <c r="T813" s="16"/>
    </row>
    <row r="814" ht="22.5" customHeight="1">
      <c r="A814" s="17" t="e">
        <v>#VALUE!</v>
      </c>
      <c r="B814" s="17" t="e">
        <v>#VALUE!</v>
      </c>
      <c r="C814" s="7"/>
      <c r="D814" s="17" t="e">
        <v>#VALUE!</v>
      </c>
      <c r="E814" s="7" t="e">
        <v>#VALUE!</v>
      </c>
      <c r="F814" s="16"/>
      <c r="L814" s="16"/>
      <c r="M814" s="16"/>
      <c r="N814" s="16"/>
      <c r="T814" s="16"/>
    </row>
    <row r="815" ht="22.5" customHeight="1">
      <c r="A815" s="17" t="e">
        <v>#VALUE!</v>
      </c>
      <c r="B815" s="17" t="e">
        <v>#VALUE!</v>
      </c>
      <c r="C815" s="7"/>
      <c r="D815" s="17" t="e">
        <v>#VALUE!</v>
      </c>
      <c r="E815" s="7" t="e">
        <v>#VALUE!</v>
      </c>
      <c r="F815" s="16"/>
      <c r="L815" s="16"/>
      <c r="M815" s="16"/>
      <c r="N815" s="16"/>
      <c r="T815" s="16"/>
    </row>
    <row r="816" ht="22.5" customHeight="1">
      <c r="A816" s="17" t="e">
        <v>#VALUE!</v>
      </c>
      <c r="B816" s="17" t="e">
        <v>#VALUE!</v>
      </c>
      <c r="C816" s="7"/>
      <c r="D816" s="17" t="e">
        <v>#VALUE!</v>
      </c>
      <c r="E816" s="7" t="e">
        <v>#VALUE!</v>
      </c>
      <c r="F816" s="16"/>
      <c r="L816" s="16"/>
      <c r="M816" s="16"/>
      <c r="N816" s="16"/>
      <c r="T816" s="16"/>
    </row>
    <row r="817" ht="22.5" customHeight="1">
      <c r="A817" s="17" t="e">
        <v>#VALUE!</v>
      </c>
      <c r="B817" s="17" t="e">
        <v>#VALUE!</v>
      </c>
      <c r="C817" s="7"/>
      <c r="D817" s="17" t="e">
        <v>#VALUE!</v>
      </c>
      <c r="E817" s="7" t="e">
        <v>#VALUE!</v>
      </c>
      <c r="F817" s="16"/>
      <c r="L817" s="16"/>
      <c r="M817" s="16"/>
      <c r="N817" s="16"/>
      <c r="T817" s="16"/>
    </row>
    <row r="818" ht="22.5" customHeight="1">
      <c r="A818" s="17" t="e">
        <v>#VALUE!</v>
      </c>
      <c r="B818" s="17" t="e">
        <v>#VALUE!</v>
      </c>
      <c r="C818" s="7"/>
      <c r="D818" s="17" t="e">
        <v>#VALUE!</v>
      </c>
      <c r="E818" s="7" t="e">
        <v>#VALUE!</v>
      </c>
      <c r="F818" s="16"/>
      <c r="L818" s="16"/>
      <c r="M818" s="16"/>
      <c r="N818" s="16"/>
      <c r="T818" s="16"/>
    </row>
    <row r="819" ht="22.5" customHeight="1">
      <c r="A819" s="17" t="e">
        <v>#VALUE!</v>
      </c>
      <c r="B819" s="17" t="e">
        <v>#VALUE!</v>
      </c>
      <c r="C819" s="7"/>
      <c r="D819" s="17" t="e">
        <v>#VALUE!</v>
      </c>
      <c r="E819" s="7" t="e">
        <v>#VALUE!</v>
      </c>
      <c r="F819" s="16"/>
      <c r="L819" s="16"/>
      <c r="M819" s="16"/>
      <c r="N819" s="16"/>
      <c r="T819" s="16"/>
    </row>
    <row r="820" ht="22.5" customHeight="1">
      <c r="A820" s="17" t="e">
        <v>#VALUE!</v>
      </c>
      <c r="B820" s="17" t="e">
        <v>#VALUE!</v>
      </c>
      <c r="C820" s="7"/>
      <c r="D820" s="17" t="e">
        <v>#VALUE!</v>
      </c>
      <c r="E820" s="7" t="e">
        <v>#VALUE!</v>
      </c>
      <c r="F820" s="16"/>
      <c r="L820" s="16"/>
      <c r="M820" s="16"/>
      <c r="N820" s="16"/>
      <c r="T820" s="16"/>
    </row>
    <row r="821" ht="22.5" customHeight="1">
      <c r="A821" s="17" t="e">
        <v>#VALUE!</v>
      </c>
      <c r="B821" s="17" t="e">
        <v>#VALUE!</v>
      </c>
      <c r="C821" s="7"/>
      <c r="D821" s="17" t="e">
        <v>#VALUE!</v>
      </c>
      <c r="E821" s="7" t="e">
        <v>#VALUE!</v>
      </c>
      <c r="F821" s="16"/>
      <c r="L821" s="16"/>
      <c r="M821" s="16"/>
      <c r="N821" s="16"/>
      <c r="T821" s="16"/>
    </row>
    <row r="822" ht="22.5" customHeight="1">
      <c r="A822" s="17" t="e">
        <v>#VALUE!</v>
      </c>
      <c r="B822" s="17" t="e">
        <v>#VALUE!</v>
      </c>
      <c r="C822" s="7"/>
      <c r="D822" s="17" t="e">
        <v>#VALUE!</v>
      </c>
      <c r="E822" s="7" t="e">
        <v>#VALUE!</v>
      </c>
      <c r="F822" s="16"/>
      <c r="L822" s="16"/>
      <c r="M822" s="16"/>
      <c r="N822" s="16"/>
      <c r="T822" s="16"/>
    </row>
    <row r="823" ht="22.5" customHeight="1">
      <c r="A823" s="17" t="e">
        <v>#VALUE!</v>
      </c>
      <c r="B823" s="17" t="e">
        <v>#VALUE!</v>
      </c>
      <c r="C823" s="7"/>
      <c r="D823" s="17" t="e">
        <v>#VALUE!</v>
      </c>
      <c r="E823" s="7" t="e">
        <v>#VALUE!</v>
      </c>
      <c r="F823" s="16"/>
      <c r="L823" s="16"/>
      <c r="M823" s="16"/>
      <c r="N823" s="16"/>
      <c r="T823" s="16"/>
    </row>
    <row r="824" ht="22.5" customHeight="1">
      <c r="A824" s="17" t="e">
        <v>#VALUE!</v>
      </c>
      <c r="B824" s="17" t="e">
        <v>#VALUE!</v>
      </c>
      <c r="C824" s="7"/>
      <c r="D824" s="17" t="e">
        <v>#VALUE!</v>
      </c>
      <c r="E824" s="7" t="e">
        <v>#VALUE!</v>
      </c>
      <c r="F824" s="16"/>
      <c r="L824" s="16"/>
      <c r="M824" s="16"/>
      <c r="N824" s="16"/>
      <c r="T824" s="16"/>
    </row>
    <row r="825" ht="22.5" customHeight="1">
      <c r="A825" s="17" t="e">
        <v>#VALUE!</v>
      </c>
      <c r="B825" s="17" t="e">
        <v>#VALUE!</v>
      </c>
      <c r="C825" s="7"/>
      <c r="D825" s="17" t="e">
        <v>#VALUE!</v>
      </c>
      <c r="E825" s="7" t="e">
        <v>#VALUE!</v>
      </c>
      <c r="F825" s="16"/>
      <c r="L825" s="16"/>
      <c r="M825" s="16"/>
      <c r="N825" s="16"/>
      <c r="T825" s="16"/>
    </row>
    <row r="826" ht="22.5" customHeight="1">
      <c r="A826" s="17" t="e">
        <v>#VALUE!</v>
      </c>
      <c r="B826" s="17" t="e">
        <v>#VALUE!</v>
      </c>
      <c r="C826" s="7"/>
      <c r="D826" s="17" t="e">
        <v>#VALUE!</v>
      </c>
      <c r="E826" s="7" t="e">
        <v>#VALUE!</v>
      </c>
      <c r="F826" s="16"/>
      <c r="L826" s="16"/>
      <c r="M826" s="16"/>
      <c r="N826" s="16"/>
      <c r="T826" s="16"/>
    </row>
    <row r="827" ht="22.5" customHeight="1">
      <c r="A827" s="17" t="e">
        <v>#VALUE!</v>
      </c>
      <c r="B827" s="17" t="e">
        <v>#VALUE!</v>
      </c>
      <c r="C827" s="7"/>
      <c r="D827" s="17" t="e">
        <v>#VALUE!</v>
      </c>
      <c r="E827" s="7" t="e">
        <v>#VALUE!</v>
      </c>
      <c r="F827" s="16"/>
      <c r="L827" s="16"/>
      <c r="M827" s="16"/>
      <c r="N827" s="16"/>
      <c r="T827" s="16"/>
    </row>
    <row r="828" ht="22.5" customHeight="1">
      <c r="A828" s="17" t="e">
        <v>#VALUE!</v>
      </c>
      <c r="B828" s="17" t="e">
        <v>#VALUE!</v>
      </c>
      <c r="C828" s="7"/>
      <c r="D828" s="17" t="e">
        <v>#VALUE!</v>
      </c>
      <c r="E828" s="7" t="e">
        <v>#VALUE!</v>
      </c>
      <c r="F828" s="16"/>
      <c r="L828" s="16"/>
      <c r="M828" s="16"/>
      <c r="N828" s="16"/>
      <c r="T828" s="16"/>
    </row>
    <row r="829" ht="22.5" customHeight="1">
      <c r="A829" s="17" t="e">
        <v>#VALUE!</v>
      </c>
      <c r="B829" s="17" t="e">
        <v>#VALUE!</v>
      </c>
      <c r="C829" s="7"/>
      <c r="D829" s="17" t="e">
        <v>#VALUE!</v>
      </c>
      <c r="E829" s="7" t="e">
        <v>#VALUE!</v>
      </c>
      <c r="F829" s="16"/>
      <c r="L829" s="16"/>
      <c r="M829" s="16"/>
      <c r="N829" s="16"/>
      <c r="T829" s="16"/>
    </row>
    <row r="830" ht="22.5" customHeight="1">
      <c r="A830" s="17" t="e">
        <v>#VALUE!</v>
      </c>
      <c r="B830" s="17" t="e">
        <v>#VALUE!</v>
      </c>
      <c r="C830" s="7"/>
      <c r="D830" s="17" t="e">
        <v>#VALUE!</v>
      </c>
      <c r="E830" s="7" t="e">
        <v>#VALUE!</v>
      </c>
      <c r="F830" s="16"/>
      <c r="L830" s="16"/>
      <c r="M830" s="16"/>
      <c r="N830" s="16"/>
      <c r="T830" s="16"/>
    </row>
    <row r="831" ht="22.5" customHeight="1">
      <c r="A831" s="17" t="e">
        <v>#VALUE!</v>
      </c>
      <c r="B831" s="17" t="e">
        <v>#VALUE!</v>
      </c>
      <c r="C831" s="7"/>
      <c r="D831" s="17" t="e">
        <v>#VALUE!</v>
      </c>
      <c r="E831" s="7" t="e">
        <v>#VALUE!</v>
      </c>
      <c r="F831" s="16"/>
      <c r="L831" s="16"/>
      <c r="M831" s="16"/>
      <c r="N831" s="16"/>
      <c r="T831" s="16"/>
    </row>
    <row r="832" ht="22.5" customHeight="1">
      <c r="A832" s="17" t="e">
        <v>#VALUE!</v>
      </c>
      <c r="B832" s="17" t="e">
        <v>#VALUE!</v>
      </c>
      <c r="C832" s="7"/>
      <c r="D832" s="17" t="e">
        <v>#VALUE!</v>
      </c>
      <c r="E832" s="7" t="e">
        <v>#VALUE!</v>
      </c>
      <c r="F832" s="16"/>
      <c r="L832" s="16"/>
      <c r="M832" s="16"/>
      <c r="N832" s="16"/>
      <c r="T832" s="16"/>
    </row>
    <row r="833" ht="22.5" customHeight="1">
      <c r="A833" s="17" t="e">
        <v>#VALUE!</v>
      </c>
      <c r="B833" s="17" t="e">
        <v>#VALUE!</v>
      </c>
      <c r="C833" s="7"/>
      <c r="D833" s="17" t="e">
        <v>#VALUE!</v>
      </c>
      <c r="E833" s="7" t="e">
        <v>#VALUE!</v>
      </c>
      <c r="F833" s="16"/>
      <c r="L833" s="16"/>
      <c r="M833" s="16"/>
      <c r="N833" s="16"/>
      <c r="T833" s="16"/>
    </row>
    <row r="834" ht="22.5" customHeight="1">
      <c r="A834" s="17" t="e">
        <v>#VALUE!</v>
      </c>
      <c r="B834" s="17" t="e">
        <v>#VALUE!</v>
      </c>
      <c r="C834" s="7"/>
      <c r="D834" s="17" t="e">
        <v>#VALUE!</v>
      </c>
      <c r="E834" s="7" t="e">
        <v>#VALUE!</v>
      </c>
      <c r="F834" s="16"/>
      <c r="L834" s="16"/>
      <c r="M834" s="16"/>
      <c r="N834" s="16"/>
      <c r="T834" s="16"/>
    </row>
    <row r="835" ht="22.5" customHeight="1">
      <c r="A835" s="17" t="e">
        <v>#VALUE!</v>
      </c>
      <c r="B835" s="17" t="e">
        <v>#VALUE!</v>
      </c>
      <c r="C835" s="7"/>
      <c r="D835" s="17" t="e">
        <v>#VALUE!</v>
      </c>
      <c r="E835" s="7" t="e">
        <v>#VALUE!</v>
      </c>
      <c r="F835" s="16"/>
      <c r="L835" s="16"/>
      <c r="M835" s="16"/>
      <c r="N835" s="16"/>
      <c r="T835" s="16"/>
    </row>
    <row r="836" ht="22.5" customHeight="1">
      <c r="A836" s="17" t="e">
        <v>#VALUE!</v>
      </c>
      <c r="B836" s="17" t="e">
        <v>#VALUE!</v>
      </c>
      <c r="C836" s="7"/>
      <c r="D836" s="17" t="e">
        <v>#VALUE!</v>
      </c>
      <c r="E836" s="7" t="e">
        <v>#VALUE!</v>
      </c>
      <c r="F836" s="16"/>
      <c r="L836" s="16"/>
      <c r="M836" s="16"/>
      <c r="N836" s="16"/>
      <c r="T836" s="16"/>
    </row>
    <row r="837" ht="22.5" customHeight="1">
      <c r="A837" s="17" t="e">
        <v>#VALUE!</v>
      </c>
      <c r="B837" s="17" t="e">
        <v>#VALUE!</v>
      </c>
      <c r="C837" s="7"/>
      <c r="D837" s="17" t="e">
        <v>#VALUE!</v>
      </c>
      <c r="E837" s="7" t="e">
        <v>#VALUE!</v>
      </c>
      <c r="F837" s="16"/>
      <c r="L837" s="16"/>
      <c r="M837" s="16"/>
      <c r="N837" s="16"/>
      <c r="T837" s="16"/>
    </row>
    <row r="838" ht="22.5" customHeight="1">
      <c r="A838" s="17" t="e">
        <v>#VALUE!</v>
      </c>
      <c r="B838" s="17" t="e">
        <v>#VALUE!</v>
      </c>
      <c r="C838" s="7"/>
      <c r="D838" s="17" t="e">
        <v>#VALUE!</v>
      </c>
      <c r="E838" s="7" t="e">
        <v>#VALUE!</v>
      </c>
      <c r="F838" s="16"/>
      <c r="L838" s="16"/>
      <c r="M838" s="16"/>
      <c r="N838" s="16"/>
      <c r="T838" s="16"/>
    </row>
    <row r="839" ht="22.5" customHeight="1">
      <c r="A839" s="17" t="e">
        <v>#VALUE!</v>
      </c>
      <c r="B839" s="17" t="e">
        <v>#VALUE!</v>
      </c>
      <c r="C839" s="7"/>
      <c r="D839" s="17" t="e">
        <v>#VALUE!</v>
      </c>
      <c r="E839" s="7" t="e">
        <v>#VALUE!</v>
      </c>
      <c r="F839" s="16"/>
      <c r="L839" s="16"/>
      <c r="M839" s="16"/>
      <c r="N839" s="16"/>
      <c r="T839" s="16"/>
    </row>
    <row r="840" ht="22.5" customHeight="1">
      <c r="A840" s="17" t="e">
        <v>#VALUE!</v>
      </c>
      <c r="B840" s="17" t="e">
        <v>#VALUE!</v>
      </c>
      <c r="C840" s="7"/>
      <c r="D840" s="17" t="e">
        <v>#VALUE!</v>
      </c>
      <c r="E840" s="7" t="e">
        <v>#VALUE!</v>
      </c>
      <c r="F840" s="16"/>
      <c r="L840" s="16"/>
      <c r="M840" s="16"/>
      <c r="N840" s="16"/>
      <c r="T840" s="16"/>
    </row>
    <row r="841" ht="22.5" customHeight="1">
      <c r="A841" s="17" t="e">
        <v>#VALUE!</v>
      </c>
      <c r="B841" s="17" t="e">
        <v>#VALUE!</v>
      </c>
      <c r="C841" s="7"/>
      <c r="D841" s="17" t="e">
        <v>#VALUE!</v>
      </c>
      <c r="E841" s="7" t="e">
        <v>#VALUE!</v>
      </c>
      <c r="F841" s="16"/>
      <c r="L841" s="16"/>
      <c r="M841" s="16"/>
      <c r="N841" s="16"/>
      <c r="T841" s="16"/>
    </row>
    <row r="842" ht="22.5" customHeight="1">
      <c r="A842" s="17" t="e">
        <v>#VALUE!</v>
      </c>
      <c r="B842" s="17" t="e">
        <v>#VALUE!</v>
      </c>
      <c r="C842" s="7"/>
      <c r="D842" s="17" t="e">
        <v>#VALUE!</v>
      </c>
      <c r="E842" s="7" t="e">
        <v>#VALUE!</v>
      </c>
      <c r="F842" s="16"/>
      <c r="L842" s="16"/>
      <c r="M842" s="16"/>
      <c r="N842" s="16"/>
      <c r="T842" s="16"/>
    </row>
    <row r="843" ht="22.5" customHeight="1">
      <c r="A843" s="17" t="e">
        <v>#VALUE!</v>
      </c>
      <c r="B843" s="17" t="e">
        <v>#VALUE!</v>
      </c>
      <c r="C843" s="7"/>
      <c r="D843" s="17" t="e">
        <v>#VALUE!</v>
      </c>
      <c r="E843" s="7" t="e">
        <v>#VALUE!</v>
      </c>
      <c r="F843" s="16"/>
      <c r="L843" s="16"/>
      <c r="M843" s="16"/>
      <c r="N843" s="16"/>
      <c r="T843" s="16"/>
    </row>
    <row r="844" ht="22.5" customHeight="1">
      <c r="A844" s="17" t="e">
        <v>#VALUE!</v>
      </c>
      <c r="B844" s="17" t="e">
        <v>#VALUE!</v>
      </c>
      <c r="C844" s="7"/>
      <c r="D844" s="17" t="e">
        <v>#VALUE!</v>
      </c>
      <c r="E844" s="7" t="e">
        <v>#VALUE!</v>
      </c>
      <c r="F844" s="16"/>
      <c r="L844" s="16"/>
      <c r="M844" s="16"/>
      <c r="N844" s="16"/>
      <c r="T844" s="16"/>
    </row>
    <row r="845" ht="22.5" customHeight="1">
      <c r="A845" s="17" t="e">
        <v>#VALUE!</v>
      </c>
      <c r="B845" s="17" t="e">
        <v>#VALUE!</v>
      </c>
      <c r="C845" s="7"/>
      <c r="D845" s="17" t="e">
        <v>#VALUE!</v>
      </c>
      <c r="E845" s="7" t="e">
        <v>#VALUE!</v>
      </c>
      <c r="F845" s="16"/>
      <c r="L845" s="16"/>
      <c r="M845" s="16"/>
      <c r="N845" s="16"/>
      <c r="T845" s="16"/>
    </row>
    <row r="846" ht="22.5" customHeight="1">
      <c r="A846" s="17" t="e">
        <v>#VALUE!</v>
      </c>
      <c r="B846" s="17" t="e">
        <v>#VALUE!</v>
      </c>
      <c r="C846" s="7"/>
      <c r="D846" s="17" t="e">
        <v>#VALUE!</v>
      </c>
      <c r="E846" s="7" t="e">
        <v>#VALUE!</v>
      </c>
      <c r="F846" s="16"/>
      <c r="L846" s="16"/>
      <c r="M846" s="16"/>
      <c r="N846" s="16"/>
      <c r="T846" s="16"/>
    </row>
    <row r="847" ht="22.5" customHeight="1">
      <c r="A847" s="17" t="e">
        <v>#VALUE!</v>
      </c>
      <c r="B847" s="17" t="e">
        <v>#VALUE!</v>
      </c>
      <c r="C847" s="7"/>
      <c r="D847" s="17" t="e">
        <v>#VALUE!</v>
      </c>
      <c r="E847" s="7" t="e">
        <v>#VALUE!</v>
      </c>
      <c r="F847" s="16"/>
      <c r="L847" s="16"/>
      <c r="M847" s="16"/>
      <c r="N847" s="16"/>
      <c r="T847" s="16"/>
    </row>
    <row r="848" ht="22.5" customHeight="1">
      <c r="A848" s="17" t="e">
        <v>#VALUE!</v>
      </c>
      <c r="B848" s="17" t="e">
        <v>#VALUE!</v>
      </c>
      <c r="C848" s="7"/>
      <c r="D848" s="17" t="e">
        <v>#VALUE!</v>
      </c>
      <c r="E848" s="7" t="e">
        <v>#VALUE!</v>
      </c>
      <c r="F848" s="16"/>
      <c r="L848" s="16"/>
      <c r="M848" s="16"/>
      <c r="N848" s="16"/>
      <c r="T848" s="16"/>
    </row>
    <row r="849" ht="22.5" customHeight="1">
      <c r="A849" s="17" t="e">
        <v>#VALUE!</v>
      </c>
      <c r="B849" s="17" t="e">
        <v>#VALUE!</v>
      </c>
      <c r="C849" s="7"/>
      <c r="D849" s="17" t="e">
        <v>#VALUE!</v>
      </c>
      <c r="E849" s="7" t="e">
        <v>#VALUE!</v>
      </c>
      <c r="F849" s="16"/>
      <c r="L849" s="16"/>
      <c r="M849" s="16"/>
      <c r="N849" s="16"/>
      <c r="T849" s="16"/>
    </row>
    <row r="850" ht="22.5" customHeight="1">
      <c r="A850" s="17" t="e">
        <v>#VALUE!</v>
      </c>
      <c r="B850" s="17" t="e">
        <v>#VALUE!</v>
      </c>
      <c r="C850" s="7"/>
      <c r="D850" s="17" t="e">
        <v>#VALUE!</v>
      </c>
      <c r="E850" s="7" t="e">
        <v>#VALUE!</v>
      </c>
      <c r="F850" s="16"/>
      <c r="L850" s="16"/>
      <c r="M850" s="16"/>
      <c r="N850" s="16"/>
      <c r="T850" s="16"/>
    </row>
    <row r="851" ht="22.5" customHeight="1">
      <c r="A851" s="17" t="e">
        <v>#VALUE!</v>
      </c>
      <c r="B851" s="17" t="e">
        <v>#VALUE!</v>
      </c>
      <c r="C851" s="7"/>
      <c r="D851" s="17" t="e">
        <v>#VALUE!</v>
      </c>
      <c r="E851" s="7" t="e">
        <v>#VALUE!</v>
      </c>
      <c r="F851" s="16"/>
      <c r="L851" s="16"/>
      <c r="M851" s="16"/>
      <c r="N851" s="16"/>
      <c r="T851" s="16"/>
    </row>
    <row r="852" ht="22.5" customHeight="1">
      <c r="A852" s="17" t="e">
        <v>#VALUE!</v>
      </c>
      <c r="B852" s="17" t="e">
        <v>#VALUE!</v>
      </c>
      <c r="C852" s="7"/>
      <c r="D852" s="17" t="e">
        <v>#VALUE!</v>
      </c>
      <c r="E852" s="7" t="e">
        <v>#VALUE!</v>
      </c>
      <c r="F852" s="16"/>
      <c r="L852" s="16"/>
      <c r="M852" s="16"/>
      <c r="N852" s="16"/>
      <c r="T852" s="16"/>
    </row>
    <row r="853" ht="22.5" customHeight="1">
      <c r="A853" s="17" t="e">
        <v>#VALUE!</v>
      </c>
      <c r="B853" s="17" t="e">
        <v>#VALUE!</v>
      </c>
      <c r="C853" s="7"/>
      <c r="D853" s="17" t="e">
        <v>#VALUE!</v>
      </c>
      <c r="E853" s="7" t="e">
        <v>#VALUE!</v>
      </c>
      <c r="F853" s="16"/>
      <c r="L853" s="16"/>
      <c r="M853" s="16"/>
      <c r="N853" s="16"/>
      <c r="T853" s="16"/>
    </row>
    <row r="854" ht="22.5" customHeight="1">
      <c r="A854" s="17" t="e">
        <v>#VALUE!</v>
      </c>
      <c r="B854" s="17" t="e">
        <v>#VALUE!</v>
      </c>
      <c r="C854" s="7"/>
      <c r="D854" s="17" t="e">
        <v>#VALUE!</v>
      </c>
      <c r="E854" s="7" t="e">
        <v>#VALUE!</v>
      </c>
      <c r="F854" s="16"/>
      <c r="L854" s="16"/>
      <c r="M854" s="16"/>
      <c r="N854" s="16"/>
      <c r="T854" s="16"/>
    </row>
    <row r="855" ht="22.5" customHeight="1">
      <c r="A855" s="17" t="e">
        <v>#VALUE!</v>
      </c>
      <c r="B855" s="17" t="e">
        <v>#VALUE!</v>
      </c>
      <c r="C855" s="7"/>
      <c r="D855" s="17" t="e">
        <v>#VALUE!</v>
      </c>
      <c r="E855" s="7" t="e">
        <v>#VALUE!</v>
      </c>
      <c r="F855" s="16"/>
      <c r="L855" s="16"/>
      <c r="M855" s="16"/>
      <c r="N855" s="16"/>
      <c r="T855" s="16"/>
    </row>
    <row r="856" ht="22.5" customHeight="1">
      <c r="A856" s="17" t="e">
        <v>#VALUE!</v>
      </c>
      <c r="B856" s="17" t="e">
        <v>#VALUE!</v>
      </c>
      <c r="C856" s="7"/>
      <c r="D856" s="17" t="e">
        <v>#VALUE!</v>
      </c>
      <c r="E856" s="7" t="e">
        <v>#VALUE!</v>
      </c>
      <c r="F856" s="16"/>
      <c r="L856" s="16"/>
      <c r="M856" s="16"/>
      <c r="N856" s="16"/>
      <c r="T856" s="16"/>
    </row>
    <row r="857" ht="22.5" customHeight="1">
      <c r="A857" s="17" t="e">
        <v>#VALUE!</v>
      </c>
      <c r="B857" s="17" t="e">
        <v>#VALUE!</v>
      </c>
      <c r="C857" s="7"/>
      <c r="D857" s="17" t="e">
        <v>#VALUE!</v>
      </c>
      <c r="E857" s="7" t="e">
        <v>#VALUE!</v>
      </c>
      <c r="F857" s="16"/>
      <c r="L857" s="16"/>
      <c r="M857" s="16"/>
      <c r="N857" s="16"/>
      <c r="T857" s="16"/>
    </row>
    <row r="858" ht="22.5" customHeight="1">
      <c r="A858" s="17" t="e">
        <v>#VALUE!</v>
      </c>
      <c r="B858" s="17" t="e">
        <v>#VALUE!</v>
      </c>
      <c r="C858" s="7"/>
      <c r="D858" s="17" t="e">
        <v>#VALUE!</v>
      </c>
      <c r="E858" s="7" t="e">
        <v>#VALUE!</v>
      </c>
      <c r="F858" s="16"/>
      <c r="L858" s="16"/>
      <c r="M858" s="16"/>
      <c r="N858" s="16"/>
      <c r="T858" s="16"/>
    </row>
    <row r="859" ht="22.5" customHeight="1">
      <c r="A859" s="17" t="e">
        <v>#VALUE!</v>
      </c>
      <c r="B859" s="17" t="e">
        <v>#VALUE!</v>
      </c>
      <c r="C859" s="7"/>
      <c r="D859" s="17" t="e">
        <v>#VALUE!</v>
      </c>
      <c r="E859" s="7" t="e">
        <v>#VALUE!</v>
      </c>
      <c r="F859" s="16"/>
      <c r="L859" s="16"/>
      <c r="M859" s="16"/>
      <c r="N859" s="16"/>
      <c r="T859" s="16"/>
    </row>
    <row r="860" ht="22.5" customHeight="1">
      <c r="A860" s="17" t="e">
        <v>#VALUE!</v>
      </c>
      <c r="B860" s="17" t="e">
        <v>#VALUE!</v>
      </c>
      <c r="C860" s="7"/>
      <c r="D860" s="17" t="e">
        <v>#VALUE!</v>
      </c>
      <c r="E860" s="7" t="e">
        <v>#VALUE!</v>
      </c>
      <c r="F860" s="16"/>
      <c r="L860" s="16"/>
      <c r="M860" s="16"/>
      <c r="N860" s="16"/>
      <c r="T860" s="16"/>
    </row>
    <row r="861" ht="22.5" customHeight="1">
      <c r="A861" s="17" t="e">
        <v>#VALUE!</v>
      </c>
      <c r="B861" s="17" t="e">
        <v>#VALUE!</v>
      </c>
      <c r="C861" s="7"/>
      <c r="D861" s="17" t="e">
        <v>#VALUE!</v>
      </c>
      <c r="E861" s="7" t="e">
        <v>#VALUE!</v>
      </c>
      <c r="F861" s="16"/>
      <c r="L861" s="16"/>
      <c r="M861" s="16"/>
      <c r="N861" s="16"/>
      <c r="T861" s="16"/>
    </row>
    <row r="862" ht="22.5" customHeight="1">
      <c r="A862" s="17" t="e">
        <v>#VALUE!</v>
      </c>
      <c r="B862" s="17" t="e">
        <v>#VALUE!</v>
      </c>
      <c r="C862" s="7"/>
      <c r="D862" s="17" t="e">
        <v>#VALUE!</v>
      </c>
      <c r="E862" s="7" t="e">
        <v>#VALUE!</v>
      </c>
      <c r="F862" s="16"/>
      <c r="L862" s="16"/>
      <c r="M862" s="16"/>
      <c r="N862" s="16"/>
      <c r="T862" s="16"/>
    </row>
    <row r="863" ht="22.5" customHeight="1">
      <c r="A863" s="17" t="e">
        <v>#VALUE!</v>
      </c>
      <c r="B863" s="17" t="e">
        <v>#VALUE!</v>
      </c>
      <c r="C863" s="7"/>
      <c r="D863" s="17" t="e">
        <v>#VALUE!</v>
      </c>
      <c r="E863" s="7" t="e">
        <v>#VALUE!</v>
      </c>
      <c r="F863" s="16"/>
      <c r="L863" s="16"/>
      <c r="M863" s="16"/>
      <c r="N863" s="16"/>
      <c r="T863" s="16"/>
    </row>
    <row r="864" ht="22.5" customHeight="1">
      <c r="A864" s="17" t="e">
        <v>#VALUE!</v>
      </c>
      <c r="B864" s="17" t="e">
        <v>#VALUE!</v>
      </c>
      <c r="C864" s="7"/>
      <c r="D864" s="17" t="e">
        <v>#VALUE!</v>
      </c>
      <c r="E864" s="7" t="e">
        <v>#VALUE!</v>
      </c>
      <c r="F864" s="16"/>
      <c r="L864" s="16"/>
      <c r="M864" s="16"/>
      <c r="N864" s="16"/>
      <c r="T864" s="16"/>
    </row>
    <row r="865" ht="22.5" customHeight="1">
      <c r="A865" s="17" t="e">
        <v>#VALUE!</v>
      </c>
      <c r="B865" s="17" t="e">
        <v>#VALUE!</v>
      </c>
      <c r="C865" s="7"/>
      <c r="D865" s="17" t="e">
        <v>#VALUE!</v>
      </c>
      <c r="E865" s="7" t="e">
        <v>#VALUE!</v>
      </c>
      <c r="F865" s="16"/>
      <c r="L865" s="16"/>
      <c r="M865" s="16"/>
      <c r="N865" s="16"/>
      <c r="T865" s="16"/>
    </row>
    <row r="866" ht="22.5" customHeight="1">
      <c r="A866" s="17" t="e">
        <v>#VALUE!</v>
      </c>
      <c r="B866" s="17" t="e">
        <v>#VALUE!</v>
      </c>
      <c r="C866" s="7"/>
      <c r="D866" s="17" t="e">
        <v>#VALUE!</v>
      </c>
      <c r="E866" s="7" t="e">
        <v>#VALUE!</v>
      </c>
      <c r="F866" s="16"/>
      <c r="L866" s="16"/>
      <c r="M866" s="16"/>
      <c r="N866" s="16"/>
      <c r="T866" s="16"/>
    </row>
    <row r="867" ht="22.5" customHeight="1">
      <c r="A867" s="17" t="e">
        <v>#VALUE!</v>
      </c>
      <c r="B867" s="17" t="e">
        <v>#VALUE!</v>
      </c>
      <c r="C867" s="7"/>
      <c r="D867" s="17" t="e">
        <v>#VALUE!</v>
      </c>
      <c r="E867" s="7" t="e">
        <v>#VALUE!</v>
      </c>
      <c r="F867" s="16"/>
      <c r="L867" s="16"/>
      <c r="M867" s="16"/>
      <c r="N867" s="16"/>
      <c r="T867" s="16"/>
    </row>
    <row r="868" ht="22.5" customHeight="1">
      <c r="A868" s="17" t="e">
        <v>#VALUE!</v>
      </c>
      <c r="B868" s="17" t="e">
        <v>#VALUE!</v>
      </c>
      <c r="C868" s="7"/>
      <c r="D868" s="17" t="e">
        <v>#VALUE!</v>
      </c>
      <c r="E868" s="7" t="e">
        <v>#VALUE!</v>
      </c>
      <c r="F868" s="16"/>
      <c r="L868" s="16"/>
      <c r="M868" s="16"/>
      <c r="N868" s="16"/>
      <c r="T868" s="16"/>
    </row>
    <row r="869" ht="22.5" customHeight="1">
      <c r="A869" s="17" t="e">
        <v>#VALUE!</v>
      </c>
      <c r="B869" s="17" t="e">
        <v>#VALUE!</v>
      </c>
      <c r="C869" s="7"/>
      <c r="D869" s="17" t="e">
        <v>#VALUE!</v>
      </c>
      <c r="E869" s="7" t="e">
        <v>#VALUE!</v>
      </c>
      <c r="F869" s="16"/>
      <c r="L869" s="16"/>
      <c r="M869" s="16"/>
      <c r="N869" s="16"/>
      <c r="T869" s="16"/>
    </row>
    <row r="870" ht="22.5" customHeight="1">
      <c r="A870" s="17" t="e">
        <v>#VALUE!</v>
      </c>
      <c r="B870" s="17" t="e">
        <v>#VALUE!</v>
      </c>
      <c r="C870" s="7"/>
      <c r="D870" s="17" t="e">
        <v>#VALUE!</v>
      </c>
      <c r="E870" s="7" t="e">
        <v>#VALUE!</v>
      </c>
      <c r="F870" s="16"/>
      <c r="L870" s="16"/>
      <c r="M870" s="16"/>
      <c r="N870" s="16"/>
      <c r="T870" s="16"/>
    </row>
    <row r="871" ht="22.5" customHeight="1">
      <c r="A871" s="17" t="e">
        <v>#VALUE!</v>
      </c>
      <c r="B871" s="17" t="e">
        <v>#VALUE!</v>
      </c>
      <c r="C871" s="7"/>
      <c r="D871" s="17" t="e">
        <v>#VALUE!</v>
      </c>
      <c r="E871" s="7" t="e">
        <v>#VALUE!</v>
      </c>
      <c r="F871" s="16"/>
      <c r="L871" s="16"/>
      <c r="M871" s="16"/>
      <c r="N871" s="16"/>
      <c r="T871" s="16"/>
    </row>
    <row r="872" ht="22.5" customHeight="1">
      <c r="A872" s="17" t="e">
        <v>#VALUE!</v>
      </c>
      <c r="B872" s="17" t="e">
        <v>#VALUE!</v>
      </c>
      <c r="C872" s="7"/>
      <c r="D872" s="17" t="e">
        <v>#VALUE!</v>
      </c>
      <c r="E872" s="7" t="e">
        <v>#VALUE!</v>
      </c>
      <c r="F872" s="16"/>
      <c r="L872" s="16"/>
      <c r="M872" s="16"/>
      <c r="N872" s="16"/>
      <c r="T872" s="16"/>
    </row>
    <row r="873" ht="22.5" customHeight="1">
      <c r="A873" s="17" t="e">
        <v>#VALUE!</v>
      </c>
      <c r="B873" s="17" t="e">
        <v>#VALUE!</v>
      </c>
      <c r="C873" s="7"/>
      <c r="D873" s="17" t="e">
        <v>#VALUE!</v>
      </c>
      <c r="E873" s="7" t="e">
        <v>#VALUE!</v>
      </c>
      <c r="F873" s="16"/>
      <c r="L873" s="16"/>
      <c r="M873" s="16"/>
      <c r="N873" s="16"/>
      <c r="T873" s="16"/>
    </row>
    <row r="874" ht="22.5" customHeight="1">
      <c r="A874" s="17" t="e">
        <v>#VALUE!</v>
      </c>
      <c r="B874" s="17" t="e">
        <v>#VALUE!</v>
      </c>
      <c r="C874" s="7"/>
      <c r="D874" s="17" t="e">
        <v>#VALUE!</v>
      </c>
      <c r="E874" s="7" t="e">
        <v>#VALUE!</v>
      </c>
      <c r="F874" s="16"/>
      <c r="L874" s="16"/>
      <c r="M874" s="16"/>
      <c r="N874" s="16"/>
      <c r="T874" s="16"/>
    </row>
    <row r="875" ht="22.5" customHeight="1">
      <c r="A875" s="17" t="e">
        <v>#VALUE!</v>
      </c>
      <c r="B875" s="17" t="e">
        <v>#VALUE!</v>
      </c>
      <c r="C875" s="7"/>
      <c r="D875" s="17" t="e">
        <v>#VALUE!</v>
      </c>
      <c r="E875" s="7" t="e">
        <v>#VALUE!</v>
      </c>
      <c r="F875" s="16"/>
      <c r="L875" s="16"/>
      <c r="M875" s="16"/>
      <c r="N875" s="16"/>
      <c r="T875" s="16"/>
    </row>
    <row r="876" ht="22.5" customHeight="1">
      <c r="A876" s="17" t="e">
        <v>#VALUE!</v>
      </c>
      <c r="B876" s="17" t="e">
        <v>#VALUE!</v>
      </c>
      <c r="C876" s="7"/>
      <c r="D876" s="17" t="e">
        <v>#VALUE!</v>
      </c>
      <c r="E876" s="7" t="e">
        <v>#VALUE!</v>
      </c>
      <c r="F876" s="16"/>
      <c r="L876" s="16"/>
      <c r="M876" s="16"/>
      <c r="N876" s="16"/>
      <c r="T876" s="16"/>
    </row>
    <row r="877" ht="22.5" customHeight="1">
      <c r="A877" s="17" t="e">
        <v>#VALUE!</v>
      </c>
      <c r="B877" s="17" t="e">
        <v>#VALUE!</v>
      </c>
      <c r="C877" s="7"/>
      <c r="D877" s="17" t="e">
        <v>#VALUE!</v>
      </c>
      <c r="E877" s="7" t="e">
        <v>#VALUE!</v>
      </c>
      <c r="F877" s="16"/>
      <c r="L877" s="16"/>
      <c r="M877" s="16"/>
      <c r="N877" s="16"/>
      <c r="T877" s="16"/>
    </row>
    <row r="878" ht="22.5" customHeight="1">
      <c r="A878" s="17" t="e">
        <v>#VALUE!</v>
      </c>
      <c r="B878" s="17" t="e">
        <v>#VALUE!</v>
      </c>
      <c r="C878" s="7"/>
      <c r="D878" s="17" t="e">
        <v>#VALUE!</v>
      </c>
      <c r="E878" s="7" t="e">
        <v>#VALUE!</v>
      </c>
      <c r="F878" s="16"/>
      <c r="L878" s="16"/>
      <c r="M878" s="16"/>
      <c r="N878" s="16"/>
      <c r="T878" s="16"/>
    </row>
    <row r="879" ht="22.5" customHeight="1">
      <c r="A879" s="17" t="e">
        <v>#VALUE!</v>
      </c>
      <c r="B879" s="17" t="e">
        <v>#VALUE!</v>
      </c>
      <c r="C879" s="7"/>
      <c r="D879" s="17" t="e">
        <v>#VALUE!</v>
      </c>
      <c r="E879" s="7" t="e">
        <v>#VALUE!</v>
      </c>
      <c r="F879" s="16"/>
      <c r="L879" s="16"/>
      <c r="M879" s="16"/>
      <c r="N879" s="16"/>
      <c r="T879" s="16"/>
    </row>
    <row r="880" ht="22.5" customHeight="1">
      <c r="A880" s="17" t="e">
        <v>#VALUE!</v>
      </c>
      <c r="B880" s="17" t="e">
        <v>#VALUE!</v>
      </c>
      <c r="C880" s="7"/>
      <c r="D880" s="17" t="e">
        <v>#VALUE!</v>
      </c>
      <c r="E880" s="7" t="e">
        <v>#VALUE!</v>
      </c>
      <c r="F880" s="16"/>
      <c r="L880" s="16"/>
      <c r="M880" s="16"/>
      <c r="N880" s="16"/>
      <c r="T880" s="16"/>
    </row>
    <row r="881" ht="22.5" customHeight="1">
      <c r="A881" s="17" t="e">
        <v>#VALUE!</v>
      </c>
      <c r="B881" s="17" t="e">
        <v>#VALUE!</v>
      </c>
      <c r="C881" s="7"/>
      <c r="D881" s="17" t="e">
        <v>#VALUE!</v>
      </c>
      <c r="E881" s="7" t="e">
        <v>#VALUE!</v>
      </c>
      <c r="F881" s="16"/>
      <c r="L881" s="16"/>
      <c r="M881" s="16"/>
      <c r="N881" s="16"/>
      <c r="T881" s="16"/>
    </row>
    <row r="882" ht="22.5" customHeight="1">
      <c r="A882" s="17" t="e">
        <v>#VALUE!</v>
      </c>
      <c r="B882" s="17" t="e">
        <v>#VALUE!</v>
      </c>
      <c r="C882" s="7"/>
      <c r="D882" s="17" t="e">
        <v>#VALUE!</v>
      </c>
      <c r="E882" s="7" t="e">
        <v>#VALUE!</v>
      </c>
      <c r="F882" s="16"/>
      <c r="L882" s="16"/>
      <c r="M882" s="16"/>
      <c r="N882" s="16"/>
      <c r="T882" s="16"/>
    </row>
    <row r="883" ht="22.5" customHeight="1">
      <c r="A883" s="17" t="e">
        <v>#VALUE!</v>
      </c>
      <c r="B883" s="17" t="e">
        <v>#VALUE!</v>
      </c>
      <c r="C883" s="7"/>
      <c r="D883" s="17" t="e">
        <v>#VALUE!</v>
      </c>
      <c r="E883" s="7" t="e">
        <v>#VALUE!</v>
      </c>
      <c r="F883" s="16"/>
      <c r="L883" s="16"/>
      <c r="M883" s="16"/>
      <c r="N883" s="16"/>
      <c r="T883" s="16"/>
    </row>
    <row r="884" ht="22.5" customHeight="1">
      <c r="A884" s="17" t="e">
        <v>#VALUE!</v>
      </c>
      <c r="B884" s="17" t="e">
        <v>#VALUE!</v>
      </c>
      <c r="C884" s="7"/>
      <c r="D884" s="17" t="e">
        <v>#VALUE!</v>
      </c>
      <c r="E884" s="7" t="e">
        <v>#VALUE!</v>
      </c>
      <c r="F884" s="16"/>
      <c r="L884" s="16"/>
      <c r="M884" s="16"/>
      <c r="N884" s="16"/>
      <c r="T884" s="16"/>
    </row>
    <row r="885" ht="22.5" customHeight="1">
      <c r="A885" s="17" t="e">
        <v>#VALUE!</v>
      </c>
      <c r="B885" s="17" t="e">
        <v>#VALUE!</v>
      </c>
      <c r="C885" s="7"/>
      <c r="D885" s="17" t="e">
        <v>#VALUE!</v>
      </c>
      <c r="E885" s="7" t="e">
        <v>#VALUE!</v>
      </c>
      <c r="F885" s="16"/>
      <c r="L885" s="16"/>
      <c r="M885" s="16"/>
      <c r="N885" s="16"/>
      <c r="T885" s="16"/>
    </row>
    <row r="886" ht="22.5" customHeight="1">
      <c r="A886" s="17" t="e">
        <v>#VALUE!</v>
      </c>
      <c r="B886" s="17" t="e">
        <v>#VALUE!</v>
      </c>
      <c r="C886" s="7"/>
      <c r="D886" s="17" t="e">
        <v>#VALUE!</v>
      </c>
      <c r="E886" s="7" t="e">
        <v>#VALUE!</v>
      </c>
      <c r="F886" s="16"/>
      <c r="L886" s="16"/>
      <c r="M886" s="16"/>
      <c r="N886" s="16"/>
      <c r="T886" s="16"/>
    </row>
    <row r="887" ht="22.5" customHeight="1">
      <c r="A887" s="17" t="e">
        <v>#VALUE!</v>
      </c>
      <c r="B887" s="17" t="e">
        <v>#VALUE!</v>
      </c>
      <c r="C887" s="7"/>
      <c r="D887" s="17" t="e">
        <v>#VALUE!</v>
      </c>
      <c r="E887" s="7" t="e">
        <v>#VALUE!</v>
      </c>
      <c r="F887" s="16"/>
      <c r="L887" s="16"/>
      <c r="M887" s="16"/>
      <c r="N887" s="16"/>
      <c r="T887" s="16"/>
    </row>
    <row r="888" ht="22.5" customHeight="1">
      <c r="A888" s="17" t="e">
        <v>#VALUE!</v>
      </c>
      <c r="B888" s="17" t="e">
        <v>#VALUE!</v>
      </c>
      <c r="C888" s="7"/>
      <c r="D888" s="17" t="e">
        <v>#VALUE!</v>
      </c>
      <c r="E888" s="7" t="e">
        <v>#VALUE!</v>
      </c>
      <c r="F888" s="16"/>
      <c r="L888" s="16"/>
      <c r="M888" s="16"/>
      <c r="N888" s="16"/>
      <c r="T888" s="16"/>
    </row>
    <row r="889" ht="22.5" customHeight="1">
      <c r="A889" s="17" t="e">
        <v>#VALUE!</v>
      </c>
      <c r="B889" s="17" t="e">
        <v>#VALUE!</v>
      </c>
      <c r="C889" s="7"/>
      <c r="D889" s="17" t="e">
        <v>#VALUE!</v>
      </c>
      <c r="E889" s="7" t="e">
        <v>#VALUE!</v>
      </c>
      <c r="F889" s="16"/>
      <c r="L889" s="16"/>
      <c r="M889" s="16"/>
      <c r="N889" s="16"/>
      <c r="T889" s="16"/>
    </row>
    <row r="890" ht="22.5" customHeight="1">
      <c r="A890" s="17" t="e">
        <v>#VALUE!</v>
      </c>
      <c r="B890" s="17" t="e">
        <v>#VALUE!</v>
      </c>
      <c r="C890" s="7"/>
      <c r="D890" s="17" t="e">
        <v>#VALUE!</v>
      </c>
      <c r="E890" s="7" t="e">
        <v>#VALUE!</v>
      </c>
      <c r="F890" s="16"/>
      <c r="L890" s="16"/>
      <c r="M890" s="16"/>
      <c r="N890" s="16"/>
      <c r="T890" s="16"/>
    </row>
    <row r="891" ht="22.5" customHeight="1">
      <c r="A891" s="17" t="e">
        <v>#VALUE!</v>
      </c>
      <c r="B891" s="17" t="e">
        <v>#VALUE!</v>
      </c>
      <c r="C891" s="7"/>
      <c r="D891" s="17" t="e">
        <v>#VALUE!</v>
      </c>
      <c r="E891" s="7" t="e">
        <v>#VALUE!</v>
      </c>
      <c r="F891" s="16"/>
      <c r="L891" s="16"/>
      <c r="M891" s="16"/>
      <c r="N891" s="16"/>
      <c r="T891" s="16"/>
    </row>
    <row r="892" ht="22.5" customHeight="1">
      <c r="A892" s="17" t="e">
        <v>#VALUE!</v>
      </c>
      <c r="B892" s="17" t="e">
        <v>#VALUE!</v>
      </c>
      <c r="C892" s="7"/>
      <c r="D892" s="17" t="e">
        <v>#VALUE!</v>
      </c>
      <c r="E892" s="7" t="e">
        <v>#VALUE!</v>
      </c>
      <c r="F892" s="16"/>
      <c r="L892" s="16"/>
      <c r="M892" s="16"/>
      <c r="N892" s="16"/>
      <c r="T892" s="16"/>
    </row>
    <row r="893" ht="22.5" customHeight="1">
      <c r="A893" s="17" t="e">
        <v>#VALUE!</v>
      </c>
      <c r="B893" s="17" t="e">
        <v>#VALUE!</v>
      </c>
      <c r="C893" s="7"/>
      <c r="D893" s="17" t="e">
        <v>#VALUE!</v>
      </c>
      <c r="E893" s="7" t="e">
        <v>#VALUE!</v>
      </c>
      <c r="F893" s="16"/>
      <c r="L893" s="16"/>
      <c r="M893" s="16"/>
      <c r="N893" s="16"/>
      <c r="T893" s="16"/>
    </row>
    <row r="894" ht="22.5" customHeight="1">
      <c r="A894" s="17" t="e">
        <v>#VALUE!</v>
      </c>
      <c r="B894" s="17" t="e">
        <v>#VALUE!</v>
      </c>
      <c r="C894" s="7"/>
      <c r="D894" s="17" t="e">
        <v>#VALUE!</v>
      </c>
      <c r="E894" s="7" t="e">
        <v>#VALUE!</v>
      </c>
      <c r="F894" s="16"/>
      <c r="L894" s="16"/>
      <c r="M894" s="16"/>
      <c r="N894" s="16"/>
      <c r="T894" s="16"/>
    </row>
    <row r="895" ht="22.5" customHeight="1">
      <c r="A895" s="17" t="e">
        <v>#VALUE!</v>
      </c>
      <c r="B895" s="17" t="e">
        <v>#VALUE!</v>
      </c>
      <c r="C895" s="7"/>
      <c r="D895" s="17" t="e">
        <v>#VALUE!</v>
      </c>
      <c r="E895" s="7" t="e">
        <v>#VALUE!</v>
      </c>
      <c r="F895" s="16"/>
      <c r="L895" s="16"/>
      <c r="M895" s="16"/>
      <c r="N895" s="16"/>
      <c r="T895" s="16"/>
    </row>
    <row r="896" ht="22.5" customHeight="1">
      <c r="A896" s="17" t="e">
        <v>#VALUE!</v>
      </c>
      <c r="B896" s="17" t="e">
        <v>#VALUE!</v>
      </c>
      <c r="C896" s="7"/>
      <c r="D896" s="17" t="e">
        <v>#VALUE!</v>
      </c>
      <c r="E896" s="7" t="e">
        <v>#VALUE!</v>
      </c>
      <c r="F896" s="16"/>
      <c r="L896" s="16"/>
      <c r="M896" s="16"/>
      <c r="N896" s="16"/>
      <c r="T896" s="16"/>
    </row>
    <row r="897" ht="22.5" customHeight="1">
      <c r="A897" s="17" t="e">
        <v>#VALUE!</v>
      </c>
      <c r="B897" s="17" t="e">
        <v>#VALUE!</v>
      </c>
      <c r="C897" s="7"/>
      <c r="D897" s="17" t="e">
        <v>#VALUE!</v>
      </c>
      <c r="E897" s="7" t="e">
        <v>#VALUE!</v>
      </c>
      <c r="F897" s="16"/>
      <c r="L897" s="16"/>
      <c r="M897" s="16"/>
      <c r="N897" s="16"/>
      <c r="T897" s="16"/>
    </row>
    <row r="898" ht="22.5" customHeight="1">
      <c r="A898" s="17" t="e">
        <v>#VALUE!</v>
      </c>
      <c r="B898" s="17" t="e">
        <v>#VALUE!</v>
      </c>
      <c r="C898" s="7"/>
      <c r="D898" s="17" t="e">
        <v>#VALUE!</v>
      </c>
      <c r="E898" s="7" t="e">
        <v>#VALUE!</v>
      </c>
      <c r="F898" s="16"/>
      <c r="L898" s="16"/>
      <c r="M898" s="16"/>
      <c r="N898" s="16"/>
      <c r="T898" s="16"/>
    </row>
    <row r="899" ht="22.5" customHeight="1">
      <c r="A899" s="17" t="e">
        <v>#VALUE!</v>
      </c>
      <c r="B899" s="17" t="e">
        <v>#VALUE!</v>
      </c>
      <c r="C899" s="7"/>
      <c r="D899" s="17" t="e">
        <v>#VALUE!</v>
      </c>
      <c r="E899" s="7" t="e">
        <v>#VALUE!</v>
      </c>
      <c r="F899" s="16"/>
      <c r="L899" s="16"/>
      <c r="M899" s="16"/>
      <c r="N899" s="16"/>
      <c r="T899" s="16"/>
    </row>
    <row r="900" ht="22.5" customHeight="1">
      <c r="A900" s="17" t="e">
        <v>#VALUE!</v>
      </c>
      <c r="B900" s="17" t="e">
        <v>#VALUE!</v>
      </c>
      <c r="C900" s="7"/>
      <c r="D900" s="17" t="e">
        <v>#VALUE!</v>
      </c>
      <c r="E900" s="7" t="e">
        <v>#VALUE!</v>
      </c>
      <c r="F900" s="16"/>
      <c r="L900" s="16"/>
      <c r="M900" s="16"/>
      <c r="N900" s="16"/>
      <c r="T900" s="16"/>
    </row>
    <row r="901" ht="22.5" customHeight="1">
      <c r="A901" s="17" t="e">
        <v>#VALUE!</v>
      </c>
      <c r="B901" s="17" t="e">
        <v>#VALUE!</v>
      </c>
      <c r="C901" s="7"/>
      <c r="D901" s="17" t="e">
        <v>#VALUE!</v>
      </c>
      <c r="E901" s="7" t="e">
        <v>#VALUE!</v>
      </c>
      <c r="F901" s="16"/>
      <c r="L901" s="16"/>
      <c r="M901" s="16"/>
      <c r="N901" s="16"/>
      <c r="T901" s="16"/>
    </row>
    <row r="902" ht="22.5" customHeight="1">
      <c r="A902" s="17" t="e">
        <v>#VALUE!</v>
      </c>
      <c r="B902" s="17" t="e">
        <v>#VALUE!</v>
      </c>
      <c r="C902" s="7"/>
      <c r="D902" s="17" t="e">
        <v>#VALUE!</v>
      </c>
      <c r="E902" s="7" t="e">
        <v>#VALUE!</v>
      </c>
      <c r="F902" s="16"/>
      <c r="L902" s="16"/>
      <c r="M902" s="16"/>
      <c r="N902" s="16"/>
      <c r="T902" s="16"/>
    </row>
    <row r="903" ht="22.5" customHeight="1">
      <c r="A903" s="17" t="e">
        <v>#VALUE!</v>
      </c>
      <c r="B903" s="17" t="e">
        <v>#VALUE!</v>
      </c>
      <c r="C903" s="7"/>
      <c r="D903" s="17" t="e">
        <v>#VALUE!</v>
      </c>
      <c r="E903" s="7" t="e">
        <v>#VALUE!</v>
      </c>
      <c r="F903" s="16"/>
      <c r="L903" s="16"/>
      <c r="M903" s="16"/>
      <c r="N903" s="16"/>
      <c r="T903" s="16"/>
    </row>
    <row r="904" ht="22.5" customHeight="1">
      <c r="A904" s="17" t="e">
        <v>#VALUE!</v>
      </c>
      <c r="B904" s="17" t="e">
        <v>#VALUE!</v>
      </c>
      <c r="C904" s="7"/>
      <c r="D904" s="17" t="e">
        <v>#VALUE!</v>
      </c>
      <c r="E904" s="7" t="e">
        <v>#VALUE!</v>
      </c>
      <c r="F904" s="16"/>
      <c r="L904" s="16"/>
      <c r="M904" s="16"/>
      <c r="N904" s="16"/>
      <c r="T904" s="16"/>
    </row>
    <row r="905" ht="22.5" customHeight="1">
      <c r="A905" s="17" t="e">
        <v>#VALUE!</v>
      </c>
      <c r="B905" s="17" t="e">
        <v>#VALUE!</v>
      </c>
      <c r="C905" s="7"/>
      <c r="D905" s="17" t="e">
        <v>#VALUE!</v>
      </c>
      <c r="E905" s="7" t="e">
        <v>#VALUE!</v>
      </c>
      <c r="F905" s="16"/>
      <c r="L905" s="16"/>
      <c r="M905" s="16"/>
      <c r="N905" s="16"/>
      <c r="T905" s="16"/>
    </row>
    <row r="906" ht="22.5" customHeight="1">
      <c r="A906" s="17" t="e">
        <v>#VALUE!</v>
      </c>
      <c r="B906" s="17" t="e">
        <v>#VALUE!</v>
      </c>
      <c r="C906" s="7"/>
      <c r="D906" s="17" t="e">
        <v>#VALUE!</v>
      </c>
      <c r="E906" s="7" t="e">
        <v>#VALUE!</v>
      </c>
      <c r="F906" s="16"/>
      <c r="L906" s="16"/>
      <c r="M906" s="16"/>
      <c r="N906" s="16"/>
      <c r="T906" s="16"/>
    </row>
    <row r="907" ht="22.5" customHeight="1">
      <c r="A907" s="17" t="e">
        <v>#VALUE!</v>
      </c>
      <c r="B907" s="17" t="e">
        <v>#VALUE!</v>
      </c>
      <c r="C907" s="7"/>
      <c r="D907" s="17" t="e">
        <v>#VALUE!</v>
      </c>
      <c r="E907" s="7" t="e">
        <v>#VALUE!</v>
      </c>
      <c r="F907" s="16"/>
      <c r="L907" s="16"/>
      <c r="M907" s="16"/>
      <c r="N907" s="16"/>
      <c r="T907" s="16"/>
    </row>
    <row r="908" ht="22.5" customHeight="1">
      <c r="A908" s="17" t="e">
        <v>#VALUE!</v>
      </c>
      <c r="B908" s="17" t="e">
        <v>#VALUE!</v>
      </c>
      <c r="C908" s="7"/>
      <c r="D908" s="17" t="e">
        <v>#VALUE!</v>
      </c>
      <c r="E908" s="7" t="e">
        <v>#VALUE!</v>
      </c>
      <c r="F908" s="16"/>
      <c r="L908" s="16"/>
      <c r="M908" s="16"/>
      <c r="N908" s="16"/>
      <c r="T908" s="16"/>
    </row>
    <row r="909" ht="22.5" customHeight="1">
      <c r="A909" s="17" t="e">
        <v>#VALUE!</v>
      </c>
      <c r="B909" s="17" t="e">
        <v>#VALUE!</v>
      </c>
      <c r="C909" s="7"/>
      <c r="D909" s="17" t="e">
        <v>#VALUE!</v>
      </c>
      <c r="E909" s="7" t="e">
        <v>#VALUE!</v>
      </c>
      <c r="F909" s="16"/>
      <c r="L909" s="16"/>
      <c r="M909" s="16"/>
      <c r="N909" s="16"/>
      <c r="T909" s="16"/>
    </row>
    <row r="910" ht="22.5" customHeight="1">
      <c r="A910" s="17" t="e">
        <v>#VALUE!</v>
      </c>
      <c r="B910" s="17" t="e">
        <v>#VALUE!</v>
      </c>
      <c r="C910" s="7"/>
      <c r="D910" s="17" t="e">
        <v>#VALUE!</v>
      </c>
      <c r="E910" s="7" t="e">
        <v>#VALUE!</v>
      </c>
      <c r="F910" s="16"/>
      <c r="L910" s="16"/>
      <c r="M910" s="16"/>
      <c r="N910" s="16"/>
      <c r="T910" s="16"/>
    </row>
    <row r="911" ht="22.5" customHeight="1">
      <c r="A911" s="17" t="e">
        <v>#VALUE!</v>
      </c>
      <c r="B911" s="17" t="e">
        <v>#VALUE!</v>
      </c>
      <c r="C911" s="7"/>
      <c r="D911" s="17" t="e">
        <v>#VALUE!</v>
      </c>
      <c r="E911" s="7" t="e">
        <v>#VALUE!</v>
      </c>
      <c r="F911" s="16"/>
      <c r="L911" s="16"/>
      <c r="M911" s="16"/>
      <c r="N911" s="16"/>
      <c r="T911" s="16"/>
    </row>
    <row r="912" ht="22.5" customHeight="1">
      <c r="A912" s="17" t="e">
        <v>#VALUE!</v>
      </c>
      <c r="B912" s="17" t="e">
        <v>#VALUE!</v>
      </c>
      <c r="C912" s="7"/>
      <c r="D912" s="17" t="e">
        <v>#VALUE!</v>
      </c>
      <c r="E912" s="7" t="e">
        <v>#VALUE!</v>
      </c>
      <c r="F912" s="16"/>
      <c r="L912" s="16"/>
      <c r="M912" s="16"/>
      <c r="N912" s="16"/>
      <c r="T912" s="16"/>
    </row>
    <row r="913" ht="22.5" customHeight="1">
      <c r="A913" s="17" t="e">
        <v>#VALUE!</v>
      </c>
      <c r="B913" s="17" t="e">
        <v>#VALUE!</v>
      </c>
      <c r="C913" s="7"/>
      <c r="D913" s="17" t="e">
        <v>#VALUE!</v>
      </c>
      <c r="E913" s="7" t="e">
        <v>#VALUE!</v>
      </c>
      <c r="F913" s="16"/>
      <c r="L913" s="16"/>
      <c r="M913" s="16"/>
      <c r="N913" s="16"/>
      <c r="T913" s="16"/>
    </row>
    <row r="914" ht="22.5" customHeight="1">
      <c r="A914" s="17" t="e">
        <v>#VALUE!</v>
      </c>
      <c r="B914" s="17" t="e">
        <v>#VALUE!</v>
      </c>
      <c r="C914" s="7"/>
      <c r="D914" s="17" t="e">
        <v>#VALUE!</v>
      </c>
      <c r="E914" s="7" t="e">
        <v>#VALUE!</v>
      </c>
      <c r="F914" s="16"/>
      <c r="L914" s="16"/>
      <c r="M914" s="16"/>
      <c r="N914" s="16"/>
      <c r="T914" s="16"/>
    </row>
    <row r="915" ht="22.5" customHeight="1">
      <c r="A915" s="17" t="e">
        <v>#VALUE!</v>
      </c>
      <c r="B915" s="17" t="e">
        <v>#VALUE!</v>
      </c>
      <c r="C915" s="7"/>
      <c r="D915" s="17" t="e">
        <v>#VALUE!</v>
      </c>
      <c r="E915" s="7" t="e">
        <v>#VALUE!</v>
      </c>
      <c r="F915" s="16"/>
      <c r="L915" s="16"/>
      <c r="M915" s="16"/>
      <c r="N915" s="16"/>
      <c r="T915" s="16"/>
    </row>
    <row r="916" ht="22.5" customHeight="1">
      <c r="A916" s="17" t="e">
        <v>#VALUE!</v>
      </c>
      <c r="B916" s="17" t="e">
        <v>#VALUE!</v>
      </c>
      <c r="C916" s="7"/>
      <c r="D916" s="17" t="e">
        <v>#VALUE!</v>
      </c>
      <c r="E916" s="7" t="e">
        <v>#VALUE!</v>
      </c>
      <c r="F916" s="16"/>
      <c r="L916" s="16"/>
      <c r="M916" s="16"/>
      <c r="N916" s="16"/>
      <c r="T916" s="16"/>
    </row>
    <row r="917" ht="22.5" customHeight="1">
      <c r="A917" s="17" t="e">
        <v>#VALUE!</v>
      </c>
      <c r="B917" s="17" t="e">
        <v>#VALUE!</v>
      </c>
      <c r="C917" s="7"/>
      <c r="D917" s="17" t="e">
        <v>#VALUE!</v>
      </c>
      <c r="E917" s="7" t="e">
        <v>#VALUE!</v>
      </c>
      <c r="F917" s="16"/>
      <c r="L917" s="16"/>
      <c r="M917" s="16"/>
      <c r="N917" s="16"/>
      <c r="T917" s="16"/>
    </row>
    <row r="918" ht="22.5" customHeight="1">
      <c r="A918" s="17" t="e">
        <v>#VALUE!</v>
      </c>
      <c r="B918" s="17" t="e">
        <v>#VALUE!</v>
      </c>
      <c r="C918" s="7"/>
      <c r="D918" s="17" t="e">
        <v>#VALUE!</v>
      </c>
      <c r="E918" s="7" t="e">
        <v>#VALUE!</v>
      </c>
      <c r="F918" s="16"/>
      <c r="L918" s="16"/>
      <c r="M918" s="16"/>
      <c r="N918" s="16"/>
      <c r="T918" s="16"/>
    </row>
    <row r="919" ht="22.5" customHeight="1">
      <c r="A919" s="17" t="e">
        <v>#VALUE!</v>
      </c>
      <c r="B919" s="17" t="e">
        <v>#VALUE!</v>
      </c>
      <c r="C919" s="7"/>
      <c r="D919" s="17" t="e">
        <v>#VALUE!</v>
      </c>
      <c r="E919" s="7" t="e">
        <v>#VALUE!</v>
      </c>
      <c r="F919" s="16"/>
      <c r="L919" s="16"/>
      <c r="M919" s="16"/>
      <c r="N919" s="16"/>
      <c r="T919" s="16"/>
    </row>
    <row r="920" ht="22.5" customHeight="1">
      <c r="A920" s="17" t="e">
        <v>#VALUE!</v>
      </c>
      <c r="B920" s="17" t="e">
        <v>#VALUE!</v>
      </c>
      <c r="C920" s="7"/>
      <c r="D920" s="17" t="e">
        <v>#VALUE!</v>
      </c>
      <c r="E920" s="7" t="e">
        <v>#VALUE!</v>
      </c>
      <c r="F920" s="16"/>
      <c r="L920" s="16"/>
      <c r="M920" s="16"/>
      <c r="N920" s="16"/>
      <c r="T920" s="16"/>
    </row>
    <row r="921" ht="22.5" customHeight="1">
      <c r="A921" s="17" t="e">
        <v>#VALUE!</v>
      </c>
      <c r="B921" s="17" t="e">
        <v>#VALUE!</v>
      </c>
      <c r="C921" s="7"/>
      <c r="D921" s="17" t="e">
        <v>#VALUE!</v>
      </c>
      <c r="E921" s="7" t="e">
        <v>#VALUE!</v>
      </c>
      <c r="F921" s="16"/>
      <c r="L921" s="16"/>
      <c r="M921" s="16"/>
      <c r="N921" s="16"/>
      <c r="T921" s="16"/>
    </row>
    <row r="922" ht="22.5" customHeight="1">
      <c r="A922" s="17" t="e">
        <v>#VALUE!</v>
      </c>
      <c r="B922" s="17" t="e">
        <v>#VALUE!</v>
      </c>
      <c r="C922" s="7"/>
      <c r="D922" s="17" t="e">
        <v>#VALUE!</v>
      </c>
      <c r="E922" s="7" t="e">
        <v>#VALUE!</v>
      </c>
      <c r="F922" s="16"/>
      <c r="L922" s="16"/>
      <c r="M922" s="16"/>
      <c r="N922" s="16"/>
      <c r="T922" s="16"/>
    </row>
    <row r="923" ht="22.5" customHeight="1">
      <c r="A923" s="17" t="e">
        <v>#VALUE!</v>
      </c>
      <c r="B923" s="17" t="e">
        <v>#VALUE!</v>
      </c>
      <c r="C923" s="7"/>
      <c r="D923" s="17" t="e">
        <v>#VALUE!</v>
      </c>
      <c r="E923" s="7" t="e">
        <v>#VALUE!</v>
      </c>
      <c r="F923" s="16"/>
      <c r="L923" s="16"/>
      <c r="M923" s="16"/>
      <c r="N923" s="16"/>
      <c r="T923" s="16"/>
    </row>
    <row r="924" ht="22.5" customHeight="1">
      <c r="A924" s="17" t="e">
        <v>#VALUE!</v>
      </c>
      <c r="B924" s="17" t="e">
        <v>#VALUE!</v>
      </c>
      <c r="C924" s="7"/>
      <c r="D924" s="17" t="e">
        <v>#VALUE!</v>
      </c>
      <c r="E924" s="7" t="e">
        <v>#VALUE!</v>
      </c>
      <c r="F924" s="16"/>
      <c r="L924" s="16"/>
      <c r="M924" s="16"/>
      <c r="N924" s="16"/>
      <c r="T924" s="16"/>
    </row>
    <row r="925" ht="22.5" customHeight="1">
      <c r="A925" s="17" t="e">
        <v>#VALUE!</v>
      </c>
      <c r="B925" s="17" t="e">
        <v>#VALUE!</v>
      </c>
      <c r="C925" s="7"/>
      <c r="D925" s="17" t="e">
        <v>#VALUE!</v>
      </c>
      <c r="E925" s="7" t="e">
        <v>#VALUE!</v>
      </c>
      <c r="F925" s="16"/>
      <c r="L925" s="16"/>
      <c r="M925" s="16"/>
      <c r="N925" s="16"/>
      <c r="T925" s="16"/>
    </row>
    <row r="926" ht="22.5" customHeight="1">
      <c r="A926" s="17" t="e">
        <v>#VALUE!</v>
      </c>
      <c r="B926" s="17" t="e">
        <v>#VALUE!</v>
      </c>
      <c r="C926" s="7"/>
      <c r="D926" s="17" t="e">
        <v>#VALUE!</v>
      </c>
      <c r="E926" s="7" t="e">
        <v>#VALUE!</v>
      </c>
      <c r="F926" s="16"/>
      <c r="L926" s="16"/>
      <c r="M926" s="16"/>
      <c r="N926" s="16"/>
      <c r="T926" s="16"/>
    </row>
    <row r="927" ht="22.5" customHeight="1">
      <c r="A927" s="17" t="e">
        <v>#VALUE!</v>
      </c>
      <c r="B927" s="17" t="e">
        <v>#VALUE!</v>
      </c>
      <c r="C927" s="7"/>
      <c r="D927" s="17" t="e">
        <v>#VALUE!</v>
      </c>
      <c r="E927" s="7" t="e">
        <v>#VALUE!</v>
      </c>
      <c r="F927" s="16"/>
      <c r="L927" s="16"/>
      <c r="M927" s="16"/>
      <c r="N927" s="16"/>
      <c r="T927" s="16"/>
    </row>
    <row r="928" ht="22.5" customHeight="1">
      <c r="A928" s="17" t="e">
        <v>#VALUE!</v>
      </c>
      <c r="B928" s="17" t="e">
        <v>#VALUE!</v>
      </c>
      <c r="C928" s="7"/>
      <c r="D928" s="17" t="e">
        <v>#VALUE!</v>
      </c>
      <c r="E928" s="7" t="e">
        <v>#VALUE!</v>
      </c>
      <c r="F928" s="16"/>
      <c r="L928" s="16"/>
      <c r="M928" s="16"/>
      <c r="N928" s="16"/>
      <c r="T928" s="16"/>
    </row>
    <row r="929" ht="22.5" customHeight="1">
      <c r="A929" s="17" t="e">
        <v>#VALUE!</v>
      </c>
      <c r="B929" s="17" t="e">
        <v>#VALUE!</v>
      </c>
      <c r="C929" s="7"/>
      <c r="D929" s="17" t="e">
        <v>#VALUE!</v>
      </c>
      <c r="E929" s="7" t="e">
        <v>#VALUE!</v>
      </c>
      <c r="F929" s="16"/>
      <c r="L929" s="16"/>
      <c r="M929" s="16"/>
      <c r="N929" s="16"/>
      <c r="T929" s="16"/>
    </row>
    <row r="930" ht="22.5" customHeight="1">
      <c r="A930" s="17" t="e">
        <v>#VALUE!</v>
      </c>
      <c r="B930" s="17" t="e">
        <v>#VALUE!</v>
      </c>
      <c r="C930" s="7"/>
      <c r="D930" s="17" t="e">
        <v>#VALUE!</v>
      </c>
      <c r="E930" s="7" t="e">
        <v>#VALUE!</v>
      </c>
      <c r="F930" s="16"/>
      <c r="L930" s="16"/>
      <c r="M930" s="16"/>
      <c r="N930" s="16"/>
      <c r="T930" s="16"/>
    </row>
    <row r="931" ht="22.5" customHeight="1">
      <c r="A931" s="17" t="e">
        <v>#VALUE!</v>
      </c>
      <c r="B931" s="17" t="e">
        <v>#VALUE!</v>
      </c>
      <c r="C931" s="7"/>
      <c r="D931" s="17" t="e">
        <v>#VALUE!</v>
      </c>
      <c r="E931" s="7" t="e">
        <v>#VALUE!</v>
      </c>
      <c r="F931" s="16"/>
      <c r="L931" s="16"/>
      <c r="M931" s="16"/>
      <c r="N931" s="16"/>
      <c r="T931" s="16"/>
    </row>
    <row r="932" ht="22.5" customHeight="1">
      <c r="A932" s="17" t="e">
        <v>#VALUE!</v>
      </c>
      <c r="B932" s="17" t="e">
        <v>#VALUE!</v>
      </c>
      <c r="C932" s="7"/>
      <c r="D932" s="17" t="e">
        <v>#VALUE!</v>
      </c>
      <c r="E932" s="7" t="e">
        <v>#VALUE!</v>
      </c>
      <c r="F932" s="16"/>
      <c r="L932" s="16"/>
      <c r="M932" s="16"/>
      <c r="N932" s="16"/>
      <c r="T932" s="16"/>
    </row>
    <row r="933" ht="22.5" customHeight="1">
      <c r="A933" s="17" t="e">
        <v>#VALUE!</v>
      </c>
      <c r="B933" s="17" t="e">
        <v>#VALUE!</v>
      </c>
      <c r="C933" s="7"/>
      <c r="D933" s="17" t="e">
        <v>#VALUE!</v>
      </c>
      <c r="E933" s="7" t="e">
        <v>#VALUE!</v>
      </c>
      <c r="F933" s="16"/>
      <c r="L933" s="16"/>
      <c r="M933" s="16"/>
      <c r="N933" s="16"/>
      <c r="T933" s="16"/>
    </row>
    <row r="934" ht="22.5" customHeight="1">
      <c r="A934" s="17" t="e">
        <v>#VALUE!</v>
      </c>
      <c r="B934" s="17" t="e">
        <v>#VALUE!</v>
      </c>
      <c r="C934" s="7"/>
      <c r="D934" s="17" t="e">
        <v>#VALUE!</v>
      </c>
      <c r="E934" s="7" t="e">
        <v>#VALUE!</v>
      </c>
      <c r="F934" s="16"/>
      <c r="L934" s="16"/>
      <c r="M934" s="16"/>
      <c r="N934" s="16"/>
      <c r="T934" s="16"/>
    </row>
    <row r="935" ht="22.5" customHeight="1">
      <c r="A935" s="17" t="e">
        <v>#VALUE!</v>
      </c>
      <c r="B935" s="17" t="e">
        <v>#VALUE!</v>
      </c>
      <c r="C935" s="7"/>
      <c r="D935" s="17" t="e">
        <v>#VALUE!</v>
      </c>
      <c r="E935" s="7" t="e">
        <v>#VALUE!</v>
      </c>
      <c r="F935" s="16"/>
      <c r="L935" s="16"/>
      <c r="M935" s="16"/>
      <c r="N935" s="16"/>
      <c r="T935" s="16"/>
    </row>
    <row r="936" ht="22.5" customHeight="1">
      <c r="A936" s="17" t="e">
        <v>#VALUE!</v>
      </c>
      <c r="B936" s="17" t="e">
        <v>#VALUE!</v>
      </c>
      <c r="C936" s="7"/>
      <c r="D936" s="17" t="e">
        <v>#VALUE!</v>
      </c>
      <c r="E936" s="7" t="e">
        <v>#VALUE!</v>
      </c>
      <c r="F936" s="16"/>
      <c r="L936" s="16"/>
      <c r="M936" s="16"/>
      <c r="N936" s="16"/>
      <c r="T936" s="16"/>
    </row>
    <row r="937" ht="22.5" customHeight="1">
      <c r="A937" s="17" t="e">
        <v>#VALUE!</v>
      </c>
      <c r="B937" s="17" t="e">
        <v>#VALUE!</v>
      </c>
      <c r="C937" s="7"/>
      <c r="D937" s="17" t="e">
        <v>#VALUE!</v>
      </c>
      <c r="E937" s="7" t="e">
        <v>#VALUE!</v>
      </c>
      <c r="F937" s="16"/>
      <c r="L937" s="16"/>
      <c r="M937" s="16"/>
      <c r="N937" s="16"/>
      <c r="T937" s="16"/>
    </row>
    <row r="938" ht="22.5" customHeight="1">
      <c r="A938" s="17" t="e">
        <v>#VALUE!</v>
      </c>
      <c r="B938" s="17" t="e">
        <v>#VALUE!</v>
      </c>
      <c r="C938" s="7"/>
      <c r="D938" s="17" t="e">
        <v>#VALUE!</v>
      </c>
      <c r="E938" s="7" t="e">
        <v>#VALUE!</v>
      </c>
      <c r="F938" s="16"/>
      <c r="L938" s="16"/>
      <c r="M938" s="16"/>
      <c r="N938" s="16"/>
      <c r="T938" s="16"/>
    </row>
    <row r="939" ht="22.5" customHeight="1">
      <c r="A939" s="17" t="e">
        <v>#VALUE!</v>
      </c>
      <c r="B939" s="17" t="e">
        <v>#VALUE!</v>
      </c>
      <c r="C939" s="7"/>
      <c r="D939" s="17" t="e">
        <v>#VALUE!</v>
      </c>
      <c r="E939" s="7" t="e">
        <v>#VALUE!</v>
      </c>
      <c r="F939" s="16"/>
      <c r="L939" s="16"/>
      <c r="M939" s="16"/>
      <c r="N939" s="16"/>
      <c r="T939" s="16"/>
    </row>
    <row r="940" ht="22.5" customHeight="1">
      <c r="A940" s="17" t="e">
        <v>#VALUE!</v>
      </c>
      <c r="B940" s="17" t="e">
        <v>#VALUE!</v>
      </c>
      <c r="C940" s="7"/>
      <c r="D940" s="17" t="e">
        <v>#VALUE!</v>
      </c>
      <c r="E940" s="7" t="e">
        <v>#VALUE!</v>
      </c>
      <c r="F940" s="16"/>
      <c r="L940" s="16"/>
      <c r="M940" s="16"/>
      <c r="N940" s="16"/>
      <c r="T940" s="16"/>
    </row>
    <row r="941" ht="22.5" customHeight="1">
      <c r="A941" s="17" t="e">
        <v>#VALUE!</v>
      </c>
      <c r="B941" s="17" t="e">
        <v>#VALUE!</v>
      </c>
      <c r="C941" s="7"/>
      <c r="D941" s="17" t="e">
        <v>#VALUE!</v>
      </c>
      <c r="E941" s="7" t="e">
        <v>#VALUE!</v>
      </c>
      <c r="F941" s="16"/>
      <c r="L941" s="16"/>
      <c r="M941" s="16"/>
      <c r="N941" s="16"/>
      <c r="T941" s="16"/>
    </row>
    <row r="942" ht="22.5" customHeight="1">
      <c r="A942" s="17" t="e">
        <v>#VALUE!</v>
      </c>
      <c r="B942" s="17" t="e">
        <v>#VALUE!</v>
      </c>
      <c r="C942" s="7"/>
      <c r="D942" s="17" t="e">
        <v>#VALUE!</v>
      </c>
      <c r="E942" s="7" t="e">
        <v>#VALUE!</v>
      </c>
      <c r="F942" s="16"/>
      <c r="L942" s="16"/>
      <c r="M942" s="16"/>
      <c r="N942" s="16"/>
      <c r="T942" s="16"/>
    </row>
    <row r="943" ht="22.5" customHeight="1">
      <c r="A943" s="17" t="e">
        <v>#VALUE!</v>
      </c>
      <c r="B943" s="17" t="e">
        <v>#VALUE!</v>
      </c>
      <c r="C943" s="7"/>
      <c r="D943" s="17" t="e">
        <v>#VALUE!</v>
      </c>
      <c r="E943" s="7" t="e">
        <v>#VALUE!</v>
      </c>
      <c r="F943" s="16"/>
      <c r="L943" s="16"/>
      <c r="M943" s="16"/>
      <c r="N943" s="16"/>
      <c r="T943" s="16"/>
    </row>
    <row r="944" ht="22.5" customHeight="1">
      <c r="A944" s="17" t="e">
        <v>#VALUE!</v>
      </c>
      <c r="B944" s="17" t="e">
        <v>#VALUE!</v>
      </c>
      <c r="C944" s="7"/>
      <c r="D944" s="17" t="e">
        <v>#VALUE!</v>
      </c>
      <c r="E944" s="7" t="e">
        <v>#VALUE!</v>
      </c>
      <c r="F944" s="16"/>
      <c r="L944" s="16"/>
      <c r="M944" s="16"/>
      <c r="N944" s="16"/>
      <c r="T944" s="16"/>
    </row>
    <row r="945" ht="22.5" customHeight="1">
      <c r="A945" s="17" t="e">
        <v>#VALUE!</v>
      </c>
      <c r="B945" s="17" t="e">
        <v>#VALUE!</v>
      </c>
      <c r="C945" s="7"/>
      <c r="D945" s="17" t="e">
        <v>#VALUE!</v>
      </c>
      <c r="E945" s="7" t="e">
        <v>#VALUE!</v>
      </c>
      <c r="F945" s="16"/>
      <c r="L945" s="16"/>
      <c r="M945" s="16"/>
      <c r="N945" s="16"/>
      <c r="T945" s="16"/>
    </row>
    <row r="946" ht="22.5" customHeight="1">
      <c r="A946" s="17" t="e">
        <v>#VALUE!</v>
      </c>
      <c r="B946" s="17" t="e">
        <v>#VALUE!</v>
      </c>
      <c r="C946" s="7"/>
      <c r="D946" s="17" t="e">
        <v>#VALUE!</v>
      </c>
      <c r="E946" s="7" t="e">
        <v>#VALUE!</v>
      </c>
      <c r="F946" s="16"/>
      <c r="L946" s="16"/>
      <c r="M946" s="16"/>
      <c r="N946" s="16"/>
      <c r="T946" s="16"/>
    </row>
    <row r="947" ht="22.5" customHeight="1">
      <c r="A947" s="17" t="e">
        <v>#VALUE!</v>
      </c>
      <c r="B947" s="17" t="e">
        <v>#VALUE!</v>
      </c>
      <c r="C947" s="7"/>
      <c r="D947" s="17" t="e">
        <v>#VALUE!</v>
      </c>
      <c r="E947" s="7" t="e">
        <v>#VALUE!</v>
      </c>
      <c r="F947" s="16"/>
      <c r="L947" s="16"/>
      <c r="M947" s="16"/>
      <c r="N947" s="16"/>
      <c r="T947" s="16"/>
    </row>
    <row r="948" ht="22.5" customHeight="1">
      <c r="A948" s="17" t="e">
        <v>#VALUE!</v>
      </c>
      <c r="B948" s="17" t="e">
        <v>#VALUE!</v>
      </c>
      <c r="C948" s="7"/>
      <c r="D948" s="17" t="e">
        <v>#VALUE!</v>
      </c>
      <c r="E948" s="7" t="e">
        <v>#VALUE!</v>
      </c>
      <c r="F948" s="16"/>
      <c r="L948" s="16"/>
      <c r="M948" s="16"/>
      <c r="N948" s="16"/>
      <c r="T948" s="16"/>
    </row>
    <row r="949" ht="22.5" customHeight="1">
      <c r="A949" s="17" t="e">
        <v>#VALUE!</v>
      </c>
      <c r="B949" s="17" t="e">
        <v>#VALUE!</v>
      </c>
      <c r="C949" s="7"/>
      <c r="D949" s="17" t="e">
        <v>#VALUE!</v>
      </c>
      <c r="E949" s="7" t="e">
        <v>#VALUE!</v>
      </c>
      <c r="F949" s="16"/>
      <c r="L949" s="16"/>
      <c r="M949" s="16"/>
      <c r="N949" s="16"/>
      <c r="T949" s="16"/>
    </row>
    <row r="950" ht="22.5" customHeight="1">
      <c r="A950" s="17" t="e">
        <v>#VALUE!</v>
      </c>
      <c r="B950" s="17" t="e">
        <v>#VALUE!</v>
      </c>
      <c r="C950" s="7"/>
      <c r="D950" s="17" t="e">
        <v>#VALUE!</v>
      </c>
      <c r="E950" s="7" t="e">
        <v>#VALUE!</v>
      </c>
      <c r="F950" s="16"/>
      <c r="L950" s="16"/>
      <c r="M950" s="16"/>
      <c r="N950" s="16"/>
      <c r="T950" s="16"/>
    </row>
    <row r="951" ht="22.5" customHeight="1">
      <c r="A951" s="17" t="e">
        <v>#VALUE!</v>
      </c>
      <c r="B951" s="17" t="e">
        <v>#VALUE!</v>
      </c>
      <c r="C951" s="7"/>
      <c r="D951" s="17" t="e">
        <v>#VALUE!</v>
      </c>
      <c r="E951" s="7" t="e">
        <v>#VALUE!</v>
      </c>
      <c r="F951" s="16"/>
      <c r="L951" s="16"/>
      <c r="M951" s="16"/>
      <c r="N951" s="16"/>
      <c r="T951" s="16"/>
    </row>
    <row r="952" ht="22.5" customHeight="1">
      <c r="A952" s="17" t="e">
        <v>#VALUE!</v>
      </c>
      <c r="B952" s="17" t="e">
        <v>#VALUE!</v>
      </c>
      <c r="C952" s="7"/>
      <c r="D952" s="17" t="e">
        <v>#VALUE!</v>
      </c>
      <c r="E952" s="7" t="e">
        <v>#VALUE!</v>
      </c>
      <c r="F952" s="16"/>
      <c r="L952" s="16"/>
      <c r="M952" s="16"/>
      <c r="N952" s="16"/>
      <c r="T952" s="16"/>
    </row>
    <row r="953" ht="22.5" customHeight="1">
      <c r="A953" s="17" t="e">
        <v>#VALUE!</v>
      </c>
      <c r="B953" s="17" t="e">
        <v>#VALUE!</v>
      </c>
      <c r="C953" s="7"/>
      <c r="D953" s="17" t="e">
        <v>#VALUE!</v>
      </c>
      <c r="E953" s="7" t="e">
        <v>#VALUE!</v>
      </c>
      <c r="F953" s="16"/>
      <c r="L953" s="16"/>
      <c r="M953" s="16"/>
      <c r="N953" s="16"/>
      <c r="T953" s="16"/>
    </row>
    <row r="954" ht="22.5" customHeight="1">
      <c r="A954" s="17" t="e">
        <v>#VALUE!</v>
      </c>
      <c r="B954" s="17" t="e">
        <v>#VALUE!</v>
      </c>
      <c r="C954" s="7"/>
      <c r="D954" s="17" t="e">
        <v>#VALUE!</v>
      </c>
      <c r="E954" s="7" t="e">
        <v>#VALUE!</v>
      </c>
      <c r="F954" s="16"/>
      <c r="L954" s="16"/>
      <c r="M954" s="16"/>
      <c r="N954" s="16"/>
      <c r="T954" s="16"/>
    </row>
    <row r="955" ht="22.5" customHeight="1">
      <c r="A955" s="17" t="e">
        <v>#VALUE!</v>
      </c>
      <c r="B955" s="17" t="e">
        <v>#VALUE!</v>
      </c>
      <c r="C955" s="7"/>
      <c r="D955" s="17" t="e">
        <v>#VALUE!</v>
      </c>
      <c r="E955" s="7" t="e">
        <v>#VALUE!</v>
      </c>
      <c r="F955" s="16"/>
      <c r="L955" s="16"/>
      <c r="M955" s="16"/>
      <c r="N955" s="16"/>
      <c r="T955" s="16"/>
    </row>
    <row r="956" ht="22.5" customHeight="1">
      <c r="A956" s="17" t="e">
        <v>#VALUE!</v>
      </c>
      <c r="B956" s="17" t="e">
        <v>#VALUE!</v>
      </c>
      <c r="C956" s="7"/>
      <c r="D956" s="17" t="e">
        <v>#VALUE!</v>
      </c>
      <c r="E956" s="7" t="e">
        <v>#VALUE!</v>
      </c>
      <c r="F956" s="16"/>
      <c r="L956" s="16"/>
      <c r="M956" s="16"/>
      <c r="N956" s="16"/>
      <c r="T956" s="16"/>
    </row>
    <row r="957" ht="22.5" customHeight="1">
      <c r="A957" s="17" t="e">
        <v>#VALUE!</v>
      </c>
      <c r="B957" s="17" t="e">
        <v>#VALUE!</v>
      </c>
      <c r="C957" s="7"/>
      <c r="D957" s="17" t="e">
        <v>#VALUE!</v>
      </c>
      <c r="E957" s="7" t="e">
        <v>#VALUE!</v>
      </c>
      <c r="F957" s="16"/>
      <c r="L957" s="16"/>
      <c r="M957" s="16"/>
      <c r="N957" s="16"/>
      <c r="T957" s="16"/>
    </row>
    <row r="958" ht="22.5" customHeight="1">
      <c r="A958" s="17" t="e">
        <v>#VALUE!</v>
      </c>
      <c r="B958" s="17" t="e">
        <v>#VALUE!</v>
      </c>
      <c r="C958" s="7"/>
      <c r="D958" s="17" t="e">
        <v>#VALUE!</v>
      </c>
      <c r="E958" s="7" t="e">
        <v>#VALUE!</v>
      </c>
      <c r="F958" s="16"/>
      <c r="L958" s="16"/>
      <c r="M958" s="16"/>
      <c r="N958" s="16"/>
      <c r="T958" s="16"/>
    </row>
    <row r="959" ht="22.5" customHeight="1">
      <c r="A959" s="17" t="e">
        <v>#VALUE!</v>
      </c>
      <c r="B959" s="17" t="e">
        <v>#VALUE!</v>
      </c>
      <c r="C959" s="7"/>
      <c r="D959" s="17" t="e">
        <v>#VALUE!</v>
      </c>
      <c r="E959" s="7" t="e">
        <v>#VALUE!</v>
      </c>
      <c r="F959" s="16"/>
      <c r="L959" s="16"/>
      <c r="M959" s="16"/>
      <c r="N959" s="16"/>
      <c r="T959" s="16"/>
    </row>
    <row r="960" ht="22.5" customHeight="1">
      <c r="A960" s="17" t="e">
        <v>#VALUE!</v>
      </c>
      <c r="B960" s="17" t="e">
        <v>#VALUE!</v>
      </c>
      <c r="C960" s="7"/>
      <c r="D960" s="17" t="e">
        <v>#VALUE!</v>
      </c>
      <c r="E960" s="7" t="e">
        <v>#VALUE!</v>
      </c>
      <c r="F960" s="16"/>
      <c r="L960" s="16"/>
      <c r="M960" s="16"/>
      <c r="N960" s="16"/>
      <c r="T960" s="16"/>
    </row>
    <row r="961" ht="22.5" customHeight="1">
      <c r="A961" s="17" t="e">
        <v>#VALUE!</v>
      </c>
      <c r="B961" s="17" t="e">
        <v>#VALUE!</v>
      </c>
      <c r="C961" s="7"/>
      <c r="D961" s="17" t="e">
        <v>#VALUE!</v>
      </c>
      <c r="E961" s="7" t="e">
        <v>#VALUE!</v>
      </c>
      <c r="F961" s="16"/>
      <c r="L961" s="16"/>
      <c r="M961" s="16"/>
      <c r="N961" s="16"/>
      <c r="T961" s="16"/>
    </row>
    <row r="962" ht="22.5" customHeight="1">
      <c r="A962" s="17" t="e">
        <v>#VALUE!</v>
      </c>
      <c r="B962" s="17" t="e">
        <v>#VALUE!</v>
      </c>
      <c r="C962" s="7"/>
      <c r="D962" s="17" t="e">
        <v>#VALUE!</v>
      </c>
      <c r="E962" s="7" t="e">
        <v>#VALUE!</v>
      </c>
      <c r="F962" s="16"/>
      <c r="L962" s="16"/>
      <c r="M962" s="16"/>
      <c r="N962" s="16"/>
      <c r="T962" s="16"/>
    </row>
    <row r="963" ht="22.5" customHeight="1">
      <c r="A963" s="17" t="e">
        <v>#VALUE!</v>
      </c>
      <c r="B963" s="17" t="e">
        <v>#VALUE!</v>
      </c>
      <c r="C963" s="7"/>
      <c r="D963" s="17" t="e">
        <v>#VALUE!</v>
      </c>
      <c r="E963" s="7" t="e">
        <v>#VALUE!</v>
      </c>
      <c r="F963" s="16"/>
      <c r="L963" s="16"/>
      <c r="M963" s="16"/>
      <c r="N963" s="16"/>
      <c r="T963" s="16"/>
    </row>
    <row r="964" ht="22.5" customHeight="1">
      <c r="A964" s="17" t="e">
        <v>#VALUE!</v>
      </c>
      <c r="B964" s="17" t="e">
        <v>#VALUE!</v>
      </c>
      <c r="C964" s="7"/>
      <c r="D964" s="17" t="e">
        <v>#VALUE!</v>
      </c>
      <c r="E964" s="7" t="e">
        <v>#VALUE!</v>
      </c>
      <c r="F964" s="16"/>
      <c r="L964" s="16"/>
      <c r="M964" s="16"/>
      <c r="N964" s="16"/>
      <c r="T964" s="16"/>
    </row>
    <row r="965" ht="22.5" customHeight="1">
      <c r="A965" s="17" t="e">
        <v>#VALUE!</v>
      </c>
      <c r="B965" s="17" t="e">
        <v>#VALUE!</v>
      </c>
      <c r="C965" s="7"/>
      <c r="D965" s="17" t="e">
        <v>#VALUE!</v>
      </c>
      <c r="E965" s="7" t="e">
        <v>#VALUE!</v>
      </c>
      <c r="F965" s="16"/>
      <c r="L965" s="16"/>
      <c r="M965" s="16"/>
      <c r="N965" s="16"/>
      <c r="T965" s="16"/>
    </row>
    <row r="966" ht="22.5" customHeight="1">
      <c r="A966" s="17" t="e">
        <v>#VALUE!</v>
      </c>
      <c r="B966" s="17" t="e">
        <v>#VALUE!</v>
      </c>
      <c r="C966" s="7"/>
      <c r="D966" s="17" t="e">
        <v>#VALUE!</v>
      </c>
      <c r="E966" s="7" t="e">
        <v>#VALUE!</v>
      </c>
      <c r="F966" s="16"/>
      <c r="L966" s="16"/>
      <c r="M966" s="16"/>
      <c r="N966" s="16"/>
      <c r="T966" s="16"/>
    </row>
    <row r="967" ht="22.5" customHeight="1">
      <c r="A967" s="17" t="e">
        <v>#VALUE!</v>
      </c>
      <c r="B967" s="17" t="e">
        <v>#VALUE!</v>
      </c>
      <c r="C967" s="7"/>
      <c r="D967" s="17" t="e">
        <v>#VALUE!</v>
      </c>
      <c r="E967" s="7" t="e">
        <v>#VALUE!</v>
      </c>
      <c r="F967" s="16"/>
      <c r="L967" s="16"/>
      <c r="M967" s="16"/>
      <c r="N967" s="16"/>
      <c r="T967" s="16"/>
    </row>
    <row r="968" ht="22.5" customHeight="1">
      <c r="A968" s="17" t="e">
        <v>#VALUE!</v>
      </c>
      <c r="B968" s="17" t="e">
        <v>#VALUE!</v>
      </c>
      <c r="C968" s="7"/>
      <c r="D968" s="17" t="e">
        <v>#VALUE!</v>
      </c>
      <c r="E968" s="7" t="e">
        <v>#VALUE!</v>
      </c>
      <c r="F968" s="16"/>
      <c r="L968" s="16"/>
      <c r="M968" s="16"/>
      <c r="N968" s="16"/>
      <c r="T968" s="16"/>
    </row>
    <row r="969" ht="22.5" customHeight="1">
      <c r="A969" s="17" t="e">
        <v>#VALUE!</v>
      </c>
      <c r="B969" s="17" t="e">
        <v>#VALUE!</v>
      </c>
      <c r="C969" s="7"/>
      <c r="D969" s="17" t="e">
        <v>#VALUE!</v>
      </c>
      <c r="E969" s="7" t="e">
        <v>#VALUE!</v>
      </c>
      <c r="F969" s="16"/>
      <c r="L969" s="16"/>
      <c r="M969" s="16"/>
      <c r="N969" s="16"/>
      <c r="T969" s="16"/>
    </row>
    <row r="970" ht="22.5" customHeight="1">
      <c r="A970" s="17" t="e">
        <v>#VALUE!</v>
      </c>
      <c r="B970" s="17" t="e">
        <v>#VALUE!</v>
      </c>
      <c r="C970" s="7"/>
      <c r="D970" s="17" t="e">
        <v>#VALUE!</v>
      </c>
      <c r="E970" s="7" t="e">
        <v>#VALUE!</v>
      </c>
      <c r="F970" s="16"/>
      <c r="L970" s="16"/>
      <c r="M970" s="16"/>
      <c r="N970" s="16"/>
      <c r="T970" s="16"/>
    </row>
    <row r="971" ht="22.5" customHeight="1">
      <c r="A971" s="17" t="e">
        <v>#VALUE!</v>
      </c>
      <c r="B971" s="17" t="e">
        <v>#VALUE!</v>
      </c>
      <c r="C971" s="7"/>
      <c r="D971" s="17" t="e">
        <v>#VALUE!</v>
      </c>
      <c r="E971" s="7" t="e">
        <v>#VALUE!</v>
      </c>
      <c r="F971" s="16"/>
      <c r="L971" s="16"/>
      <c r="M971" s="16"/>
      <c r="N971" s="16"/>
      <c r="T971" s="16"/>
    </row>
    <row r="972" ht="22.5" customHeight="1">
      <c r="A972" s="17" t="e">
        <v>#VALUE!</v>
      </c>
      <c r="B972" s="17" t="e">
        <v>#VALUE!</v>
      </c>
      <c r="C972" s="7"/>
      <c r="D972" s="17" t="e">
        <v>#VALUE!</v>
      </c>
      <c r="E972" s="7" t="e">
        <v>#VALUE!</v>
      </c>
      <c r="F972" s="16"/>
      <c r="L972" s="16"/>
      <c r="M972" s="16"/>
      <c r="N972" s="16"/>
      <c r="T972" s="16"/>
    </row>
    <row r="973" ht="22.5" customHeight="1">
      <c r="A973" s="17" t="e">
        <v>#VALUE!</v>
      </c>
      <c r="B973" s="17" t="e">
        <v>#VALUE!</v>
      </c>
      <c r="C973" s="7"/>
      <c r="D973" s="17" t="e">
        <v>#VALUE!</v>
      </c>
      <c r="E973" s="7" t="e">
        <v>#VALUE!</v>
      </c>
      <c r="F973" s="16"/>
      <c r="L973" s="16"/>
      <c r="M973" s="16"/>
      <c r="N973" s="16"/>
      <c r="T973" s="16"/>
    </row>
    <row r="974" ht="22.5" customHeight="1">
      <c r="A974" s="17" t="e">
        <v>#VALUE!</v>
      </c>
      <c r="B974" s="17" t="e">
        <v>#VALUE!</v>
      </c>
      <c r="C974" s="7"/>
      <c r="D974" s="17" t="e">
        <v>#VALUE!</v>
      </c>
      <c r="E974" s="7" t="e">
        <v>#VALUE!</v>
      </c>
      <c r="F974" s="16"/>
      <c r="L974" s="16"/>
      <c r="M974" s="16"/>
      <c r="N974" s="16"/>
      <c r="T974" s="16"/>
    </row>
    <row r="975" ht="22.5" customHeight="1">
      <c r="A975" s="17" t="e">
        <v>#VALUE!</v>
      </c>
      <c r="B975" s="17" t="e">
        <v>#VALUE!</v>
      </c>
      <c r="C975" s="7"/>
      <c r="D975" s="17" t="e">
        <v>#VALUE!</v>
      </c>
      <c r="E975" s="7" t="e">
        <v>#VALUE!</v>
      </c>
      <c r="F975" s="16"/>
      <c r="L975" s="16"/>
      <c r="M975" s="16"/>
      <c r="N975" s="16"/>
      <c r="T975" s="16"/>
    </row>
    <row r="976" ht="22.5" customHeight="1">
      <c r="A976" s="17" t="e">
        <v>#VALUE!</v>
      </c>
      <c r="B976" s="17" t="e">
        <v>#VALUE!</v>
      </c>
      <c r="C976" s="7"/>
      <c r="D976" s="17" t="e">
        <v>#VALUE!</v>
      </c>
      <c r="E976" s="7" t="e">
        <v>#VALUE!</v>
      </c>
      <c r="F976" s="16"/>
      <c r="L976" s="16"/>
      <c r="M976" s="16"/>
      <c r="N976" s="16"/>
      <c r="T976" s="16"/>
    </row>
    <row r="977" ht="22.5" customHeight="1">
      <c r="A977" s="17" t="e">
        <v>#VALUE!</v>
      </c>
      <c r="B977" s="17" t="e">
        <v>#VALUE!</v>
      </c>
      <c r="C977" s="7"/>
      <c r="D977" s="17" t="e">
        <v>#VALUE!</v>
      </c>
      <c r="E977" s="7" t="e">
        <v>#VALUE!</v>
      </c>
      <c r="F977" s="16"/>
      <c r="L977" s="16"/>
      <c r="M977" s="16"/>
      <c r="N977" s="16"/>
      <c r="T977" s="16"/>
    </row>
    <row r="978" ht="22.5" customHeight="1">
      <c r="A978" s="17" t="e">
        <v>#VALUE!</v>
      </c>
      <c r="B978" s="17" t="e">
        <v>#VALUE!</v>
      </c>
      <c r="C978" s="7"/>
      <c r="D978" s="17" t="e">
        <v>#VALUE!</v>
      </c>
      <c r="E978" s="7" t="e">
        <v>#VALUE!</v>
      </c>
      <c r="F978" s="16"/>
      <c r="L978" s="16"/>
      <c r="M978" s="16"/>
      <c r="N978" s="16"/>
      <c r="T978" s="16"/>
    </row>
    <row r="979" ht="22.5" customHeight="1">
      <c r="A979" s="17" t="e">
        <v>#VALUE!</v>
      </c>
      <c r="B979" s="17" t="e">
        <v>#VALUE!</v>
      </c>
      <c r="C979" s="7"/>
      <c r="D979" s="17" t="e">
        <v>#VALUE!</v>
      </c>
      <c r="E979" s="7" t="e">
        <v>#VALUE!</v>
      </c>
      <c r="F979" s="16"/>
      <c r="L979" s="16"/>
      <c r="M979" s="16"/>
      <c r="N979" s="16"/>
      <c r="T979" s="16"/>
    </row>
    <row r="980" ht="22.5" customHeight="1">
      <c r="A980" s="17" t="e">
        <v>#VALUE!</v>
      </c>
      <c r="B980" s="17" t="e">
        <v>#VALUE!</v>
      </c>
      <c r="C980" s="7"/>
      <c r="D980" s="17" t="e">
        <v>#VALUE!</v>
      </c>
      <c r="E980" s="7" t="e">
        <v>#VALUE!</v>
      </c>
      <c r="F980" s="16"/>
      <c r="L980" s="16"/>
      <c r="M980" s="16"/>
      <c r="N980" s="16"/>
      <c r="T980" s="16"/>
    </row>
    <row r="981" ht="22.5" customHeight="1">
      <c r="A981" s="17" t="e">
        <v>#VALUE!</v>
      </c>
      <c r="B981" s="17" t="e">
        <v>#VALUE!</v>
      </c>
      <c r="C981" s="7"/>
      <c r="D981" s="17" t="e">
        <v>#VALUE!</v>
      </c>
      <c r="E981" s="7" t="e">
        <v>#VALUE!</v>
      </c>
      <c r="F981" s="16"/>
      <c r="L981" s="16"/>
      <c r="M981" s="16"/>
      <c r="N981" s="16"/>
      <c r="T981" s="16"/>
    </row>
    <row r="982" ht="22.5" customHeight="1">
      <c r="A982" s="17" t="e">
        <v>#VALUE!</v>
      </c>
      <c r="B982" s="17" t="e">
        <v>#VALUE!</v>
      </c>
      <c r="C982" s="7"/>
      <c r="D982" s="17" t="e">
        <v>#VALUE!</v>
      </c>
      <c r="E982" s="7" t="e">
        <v>#VALUE!</v>
      </c>
      <c r="F982" s="16"/>
      <c r="L982" s="16"/>
      <c r="M982" s="16"/>
      <c r="N982" s="16"/>
      <c r="T982" s="16"/>
    </row>
    <row r="983" ht="22.5" customHeight="1">
      <c r="A983" s="17" t="e">
        <v>#VALUE!</v>
      </c>
      <c r="B983" s="17" t="e">
        <v>#VALUE!</v>
      </c>
      <c r="C983" s="7"/>
      <c r="D983" s="17" t="e">
        <v>#VALUE!</v>
      </c>
      <c r="E983" s="7" t="e">
        <v>#VALUE!</v>
      </c>
      <c r="F983" s="16"/>
      <c r="L983" s="16"/>
      <c r="M983" s="16"/>
      <c r="N983" s="16"/>
      <c r="T983" s="16"/>
    </row>
    <row r="984" ht="22.5" customHeight="1">
      <c r="A984" s="17" t="e">
        <v>#VALUE!</v>
      </c>
      <c r="B984" s="17" t="e">
        <v>#VALUE!</v>
      </c>
      <c r="C984" s="7"/>
      <c r="D984" s="17" t="e">
        <v>#VALUE!</v>
      </c>
      <c r="E984" s="7" t="e">
        <v>#VALUE!</v>
      </c>
      <c r="F984" s="16"/>
      <c r="L984" s="16"/>
      <c r="M984" s="16"/>
      <c r="N984" s="16"/>
      <c r="T984" s="16"/>
    </row>
    <row r="985" ht="22.5" customHeight="1">
      <c r="A985" s="17" t="e">
        <v>#VALUE!</v>
      </c>
      <c r="B985" s="17" t="e">
        <v>#VALUE!</v>
      </c>
      <c r="C985" s="7"/>
      <c r="D985" s="17" t="e">
        <v>#VALUE!</v>
      </c>
      <c r="E985" s="7" t="e">
        <v>#VALUE!</v>
      </c>
      <c r="F985" s="16"/>
      <c r="L985" s="16"/>
      <c r="M985" s="16"/>
      <c r="N985" s="16"/>
      <c r="T985" s="16"/>
    </row>
    <row r="986" ht="22.5" customHeight="1">
      <c r="A986" s="17" t="e">
        <v>#VALUE!</v>
      </c>
      <c r="B986" s="17" t="e">
        <v>#VALUE!</v>
      </c>
      <c r="C986" s="7"/>
      <c r="D986" s="17" t="e">
        <v>#VALUE!</v>
      </c>
      <c r="E986" s="7" t="e">
        <v>#VALUE!</v>
      </c>
      <c r="F986" s="16"/>
      <c r="L986" s="16"/>
      <c r="M986" s="16"/>
      <c r="N986" s="16"/>
      <c r="T986" s="16"/>
    </row>
    <row r="987" ht="22.5" customHeight="1">
      <c r="A987" s="17" t="e">
        <v>#VALUE!</v>
      </c>
      <c r="B987" s="17" t="e">
        <v>#VALUE!</v>
      </c>
      <c r="C987" s="7"/>
      <c r="D987" s="17" t="e">
        <v>#VALUE!</v>
      </c>
      <c r="E987" s="7" t="e">
        <v>#VALUE!</v>
      </c>
      <c r="F987" s="16"/>
      <c r="L987" s="16"/>
      <c r="M987" s="16"/>
      <c r="N987" s="16"/>
      <c r="T987" s="16"/>
    </row>
    <row r="988" ht="22.5" customHeight="1">
      <c r="A988" s="17" t="e">
        <v>#VALUE!</v>
      </c>
      <c r="B988" s="17" t="e">
        <v>#VALUE!</v>
      </c>
      <c r="C988" s="7"/>
      <c r="D988" s="17" t="e">
        <v>#VALUE!</v>
      </c>
      <c r="E988" s="7" t="e">
        <v>#VALUE!</v>
      </c>
      <c r="F988" s="16"/>
      <c r="L988" s="16"/>
      <c r="M988" s="16"/>
      <c r="N988" s="16"/>
      <c r="T988" s="16"/>
    </row>
    <row r="989" ht="22.5" customHeight="1">
      <c r="A989" s="17" t="e">
        <v>#VALUE!</v>
      </c>
      <c r="B989" s="17" t="e">
        <v>#VALUE!</v>
      </c>
      <c r="C989" s="7"/>
      <c r="D989" s="17" t="e">
        <v>#VALUE!</v>
      </c>
      <c r="E989" s="7" t="e">
        <v>#VALUE!</v>
      </c>
      <c r="F989" s="16"/>
      <c r="L989" s="16"/>
      <c r="M989" s="16"/>
      <c r="N989" s="16"/>
      <c r="T989" s="16"/>
    </row>
    <row r="990" ht="22.5" customHeight="1">
      <c r="A990" s="17" t="e">
        <v>#VALUE!</v>
      </c>
      <c r="B990" s="17" t="e">
        <v>#VALUE!</v>
      </c>
      <c r="C990" s="7"/>
      <c r="D990" s="17" t="e">
        <v>#VALUE!</v>
      </c>
      <c r="E990" s="7" t="e">
        <v>#VALUE!</v>
      </c>
      <c r="F990" s="16"/>
      <c r="L990" s="16"/>
      <c r="M990" s="16"/>
      <c r="N990" s="16"/>
      <c r="T990" s="16"/>
    </row>
    <row r="991" ht="22.5" customHeight="1">
      <c r="A991" s="17" t="e">
        <v>#VALUE!</v>
      </c>
      <c r="B991" s="17" t="e">
        <v>#VALUE!</v>
      </c>
      <c r="C991" s="7"/>
      <c r="D991" s="17" t="e">
        <v>#VALUE!</v>
      </c>
      <c r="E991" s="7" t="e">
        <v>#VALUE!</v>
      </c>
      <c r="F991" s="16"/>
      <c r="L991" s="16"/>
      <c r="M991" s="16"/>
      <c r="N991" s="16"/>
      <c r="T991" s="16"/>
    </row>
    <row r="992" ht="22.5" customHeight="1">
      <c r="A992" s="17" t="e">
        <v>#VALUE!</v>
      </c>
      <c r="B992" s="17" t="e">
        <v>#VALUE!</v>
      </c>
      <c r="C992" s="7"/>
      <c r="D992" s="17" t="e">
        <v>#VALUE!</v>
      </c>
      <c r="E992" s="7" t="e">
        <v>#VALUE!</v>
      </c>
      <c r="F992" s="16"/>
      <c r="L992" s="16"/>
      <c r="M992" s="16"/>
      <c r="N992" s="16"/>
      <c r="T992" s="16"/>
    </row>
    <row r="993" ht="22.5" customHeight="1">
      <c r="A993" s="17" t="e">
        <v>#VALUE!</v>
      </c>
      <c r="B993" s="17" t="e">
        <v>#VALUE!</v>
      </c>
      <c r="C993" s="7"/>
      <c r="D993" s="17" t="e">
        <v>#VALUE!</v>
      </c>
      <c r="E993" s="7" t="e">
        <v>#VALUE!</v>
      </c>
      <c r="F993" s="16"/>
      <c r="L993" s="16"/>
      <c r="M993" s="16"/>
      <c r="N993" s="16"/>
      <c r="T993" s="16"/>
    </row>
    <row r="994" ht="22.5" customHeight="1">
      <c r="A994" s="17" t="e">
        <v>#VALUE!</v>
      </c>
      <c r="B994" s="17" t="e">
        <v>#VALUE!</v>
      </c>
      <c r="C994" s="7"/>
      <c r="D994" s="17" t="e">
        <v>#VALUE!</v>
      </c>
      <c r="E994" s="7" t="e">
        <v>#VALUE!</v>
      </c>
      <c r="F994" s="16"/>
      <c r="L994" s="16"/>
      <c r="M994" s="16"/>
      <c r="N994" s="16"/>
      <c r="T994" s="16"/>
    </row>
    <row r="995" ht="22.5" customHeight="1">
      <c r="A995" s="17" t="e">
        <v>#VALUE!</v>
      </c>
      <c r="B995" s="17" t="e">
        <v>#VALUE!</v>
      </c>
      <c r="C995" s="7"/>
      <c r="D995" s="17" t="e">
        <v>#VALUE!</v>
      </c>
      <c r="E995" s="7" t="e">
        <v>#VALUE!</v>
      </c>
      <c r="F995" s="16"/>
      <c r="L995" s="16"/>
      <c r="M995" s="16"/>
      <c r="N995" s="16"/>
      <c r="T995" s="16"/>
    </row>
    <row r="996" ht="22.5" customHeight="1">
      <c r="A996" s="17" t="e">
        <v>#VALUE!</v>
      </c>
      <c r="B996" s="17" t="e">
        <v>#VALUE!</v>
      </c>
      <c r="C996" s="7"/>
      <c r="D996" s="17" t="e">
        <v>#VALUE!</v>
      </c>
      <c r="E996" s="7" t="e">
        <v>#VALUE!</v>
      </c>
      <c r="F996" s="16"/>
      <c r="L996" s="16"/>
      <c r="M996" s="16"/>
      <c r="N996" s="16"/>
      <c r="T996" s="16"/>
    </row>
    <row r="997" ht="22.5" customHeight="1">
      <c r="A997" s="17" t="e">
        <v>#VALUE!</v>
      </c>
      <c r="B997" s="17" t="e">
        <v>#VALUE!</v>
      </c>
      <c r="C997" s="7"/>
      <c r="D997" s="17" t="e">
        <v>#VALUE!</v>
      </c>
      <c r="E997" s="7" t="e">
        <v>#VALUE!</v>
      </c>
      <c r="F997" s="16"/>
      <c r="L997" s="16"/>
      <c r="M997" s="16"/>
      <c r="N997" s="16"/>
      <c r="T997" s="16"/>
    </row>
    <row r="998" ht="22.5" customHeight="1">
      <c r="A998" s="17" t="e">
        <v>#VALUE!</v>
      </c>
      <c r="B998" s="17" t="e">
        <v>#VALUE!</v>
      </c>
      <c r="C998" s="7"/>
      <c r="D998" s="17" t="e">
        <v>#VALUE!</v>
      </c>
      <c r="E998" s="7" t="e">
        <v>#VALUE!</v>
      </c>
      <c r="F998" s="16"/>
      <c r="L998" s="16"/>
      <c r="M998" s="16"/>
      <c r="N998" s="16"/>
      <c r="T998" s="16"/>
    </row>
    <row r="999" ht="22.5" customHeight="1">
      <c r="A999" s="17" t="e">
        <v>#VALUE!</v>
      </c>
      <c r="B999" s="17" t="e">
        <v>#VALUE!</v>
      </c>
      <c r="C999" s="7"/>
      <c r="D999" s="17" t="e">
        <v>#VALUE!</v>
      </c>
      <c r="E999" s="7" t="e">
        <v>#VALUE!</v>
      </c>
      <c r="F999" s="16"/>
      <c r="L999" s="16"/>
      <c r="M999" s="16"/>
      <c r="N999" s="16"/>
      <c r="T999" s="16"/>
    </row>
    <row r="1000" ht="22.5" customHeight="1">
      <c r="A1000" s="17" t="e">
        <v>#VALUE!</v>
      </c>
      <c r="B1000" s="17" t="e">
        <v>#VALUE!</v>
      </c>
      <c r="C1000" s="7"/>
      <c r="D1000" s="17" t="e">
        <v>#VALUE!</v>
      </c>
      <c r="E1000" s="7" t="e">
        <v>#VALUE!</v>
      </c>
      <c r="F1000" s="16"/>
      <c r="L1000" s="16"/>
      <c r="M1000" s="16"/>
      <c r="N1000" s="16"/>
      <c r="T1000" s="16"/>
    </row>
    <row r="1001" ht="22.5" customHeight="1">
      <c r="A1001" s="17" t="e">
        <v>#VALUE!</v>
      </c>
      <c r="B1001" s="17" t="e">
        <v>#VALUE!</v>
      </c>
      <c r="C1001" s="7"/>
      <c r="D1001" s="17" t="e">
        <v>#VALUE!</v>
      </c>
      <c r="E1001" s="7" t="e">
        <v>#VALUE!</v>
      </c>
      <c r="F1001" s="16"/>
      <c r="L1001" s="16"/>
      <c r="M1001" s="16"/>
      <c r="N1001" s="16"/>
      <c r="T1001" s="16"/>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3.0"/>
    <col customWidth="1" min="9" max="9" width="22.75"/>
    <col customWidth="1" min="10" max="10" width="13.88"/>
    <col customWidth="1" min="13" max="13" width="37.63"/>
    <col customWidth="1" min="14" max="14" width="30.25"/>
    <col customWidth="1" min="15" max="15" width="31.38"/>
    <col customWidth="1" min="16" max="16" width="37.63"/>
  </cols>
  <sheetData>
    <row r="1" ht="22.5" customHeight="1">
      <c r="A1" s="2" t="s">
        <v>0</v>
      </c>
      <c r="B1" s="1" t="s">
        <v>264</v>
      </c>
      <c r="C1" s="2" t="s">
        <v>2</v>
      </c>
      <c r="D1" s="1" t="s">
        <v>265</v>
      </c>
      <c r="E1" s="1" t="s">
        <v>4</v>
      </c>
      <c r="G1" s="3" t="s">
        <v>0</v>
      </c>
      <c r="H1" s="4" t="s">
        <v>5</v>
      </c>
      <c r="I1" s="4" t="s">
        <v>6</v>
      </c>
      <c r="J1" s="4" t="s">
        <v>7</v>
      </c>
      <c r="K1" s="4" t="s">
        <v>266</v>
      </c>
    </row>
    <row r="2" ht="22.5" customHeight="1">
      <c r="A2" s="18">
        <v>1.0</v>
      </c>
      <c r="B2" s="6" t="str">
        <f>IFERROR(__xludf.DUMMYFUNCTION("GOOGLETRANSLATE(H2, ""de"", ""en"")"),"Which country is considered the birthplace of Klootschießen (a traditional Frisian sport)?")</f>
        <v>Which country is considered the birthplace of Klootschießen (a traditional Frisian sport)?</v>
      </c>
      <c r="C2" s="7" t="s">
        <v>2231</v>
      </c>
      <c r="D2" s="6" t="str">
        <f>IFERROR(__xludf.DUMMYFUNCTION("GOOGLETRANSLATE(J2, ""de"", ""en"")"),"Germany")</f>
        <v>Germany</v>
      </c>
      <c r="E2" s="6" t="str">
        <f>IFERROR(__xludf.DUMMYFUNCTION("GOOGLETRANSLATE(K2, ""de"", ""en"")"),"Klootschießen originated in Germany, particularly in the northwestern regions such as Lower Saxony and East Frisia.")</f>
        <v>Klootschießen originated in Germany, particularly in the northwestern regions such as Lower Saxony and East Frisia.</v>
      </c>
      <c r="G2" s="8">
        <v>1.0</v>
      </c>
      <c r="H2" s="19" t="s">
        <v>2232</v>
      </c>
      <c r="I2" s="9" t="str">
        <f>IFERROR(__xludf.DUMMYFUNCTION(" GOOGLETRANSLATE(C2, ""en"", ""de"")"),"A. Deutschland B. Niederlande C. Dänemark D. Belgien")</f>
        <v>A. Deutschland B. Niederlande C. Dänemark D. Belgien</v>
      </c>
      <c r="J2" s="9" t="s">
        <v>269</v>
      </c>
      <c r="K2" s="9" t="s">
        <v>2233</v>
      </c>
    </row>
    <row r="3" ht="22.5" customHeight="1">
      <c r="A3" s="18">
        <v>2.0</v>
      </c>
      <c r="B3" s="6" t="str">
        <f>IFERROR(__xludf.DUMMYFUNCTION("GOOGLETRANSLATE(H3, ""de"", ""en"")"),"In which century did Klootschießen first become popular?")</f>
        <v>In which century did Klootschießen first become popular?</v>
      </c>
      <c r="C3" s="7" t="s">
        <v>2234</v>
      </c>
      <c r="D3" s="6" t="str">
        <f>IFERROR(__xludf.DUMMYFUNCTION("GOOGLETRANSLATE(J3, ""de"", ""en"")"),"17th century")</f>
        <v>17th century</v>
      </c>
      <c r="E3" s="6" t="str">
        <f>IFERROR(__xludf.DUMMYFUNCTION("GOOGLETRANSLATE(K3, ""de"", ""en"")"),"Klootschießen gained great popularity in the 17th century as a rural pastime in northern Germany.")</f>
        <v>Klootschießen gained great popularity in the 17th century as a rural pastime in northern Germany.</v>
      </c>
      <c r="G3" s="10">
        <v>2.0</v>
      </c>
      <c r="H3" s="9" t="s">
        <v>2235</v>
      </c>
      <c r="I3" s="9" t="str">
        <f>IFERROR(__xludf.DUMMYFUNCTION(" GOOGLETRANSLATE(C3, ""en"", ""de"")"),"A. 15. Jahrhundert B. 16. Jahrhundert C. 17. Jahrhundert D. 18. Jahrhundert")</f>
        <v>A. 15. Jahrhundert B. 16. Jahrhundert C. 17. Jahrhundert D. 18. Jahrhundert</v>
      </c>
      <c r="J3" s="9" t="s">
        <v>432</v>
      </c>
      <c r="K3" s="9" t="s">
        <v>2236</v>
      </c>
    </row>
    <row r="4" ht="22.5" customHeight="1">
      <c r="A4" s="18">
        <v>3.0</v>
      </c>
      <c r="B4" s="6" t="str">
        <f>IFERROR(__xludf.DUMMYFUNCTION("GOOGLETRANSLATE(H4, ""de"", ""en"")"),"What does the term ""Kloot"" mean in the context of Klootschießen (a traditional Frisian sport)?")</f>
        <v>What does the term "Kloot" mean in the context of Klootschießen (a traditional Frisian sport)?</v>
      </c>
      <c r="C4" s="7" t="s">
        <v>2237</v>
      </c>
      <c r="D4" s="6" t="str">
        <f>IFERROR(__xludf.DUMMYFUNCTION("GOOGLETRANSLATE(J4, ""de"", ""en"")"),"ball")</f>
        <v>ball</v>
      </c>
      <c r="E4" s="6" t="str">
        <f>IFERROR(__xludf.DUMMYFUNCTION("GOOGLETRANSLATE(K4, ""de"", ""en"")"),"The term ""Kloot"" means ""ball"" and refers to the small, heavy ball used in the game.")</f>
        <v>The term "Kloot" means "ball" and refers to the small, heavy ball used in the game.</v>
      </c>
      <c r="G4" s="8">
        <v>3.0</v>
      </c>
      <c r="H4" s="9" t="s">
        <v>2238</v>
      </c>
      <c r="I4" s="9" t="str">
        <f>IFERROR(__xludf.DUMMYFUNCTION(" GOOGLETRANSLATE(C4, ""en"", ""de"")"),"A. Ball B. Stein C. Straße D. Werfen")</f>
        <v>A. Ball B. Stein C. Straße D. Werfen</v>
      </c>
      <c r="J4" s="9" t="s">
        <v>2239</v>
      </c>
      <c r="K4" s="9" t="s">
        <v>2240</v>
      </c>
    </row>
    <row r="5" ht="22.5" customHeight="1">
      <c r="A5" s="18">
        <v>4.0</v>
      </c>
      <c r="B5" s="6" t="str">
        <f>IFERROR(__xludf.DUMMYFUNCTION("GOOGLETRANSLATE(H5, ""de"", ""en"")"),"Which region in Germany is most closely associated with Klootschießen (a traditional Frisian sport similar to bowling).")</f>
        <v>Which region in Germany is most closely associated with Klootschießen (a traditional Frisian sport similar to bowling).</v>
      </c>
      <c r="C5" s="7" t="s">
        <v>2241</v>
      </c>
      <c r="D5" s="6" t="str">
        <f>IFERROR(__xludf.DUMMYFUNCTION("GOOGLETRANSLATE(J5, ""de"", ""en"")"),"Lower Saxony")</f>
        <v>Lower Saxony</v>
      </c>
      <c r="E5" s="6" t="str">
        <f>IFERROR(__xludf.DUMMYFUNCTION("GOOGLETRANSLATE(K5, ""de"", ""en"")"),"Lower Saxony and East Frisia are the main regions where Klootschießen has historical roots.")</f>
        <v>Lower Saxony and East Frisia are the main regions where Klootschießen has historical roots.</v>
      </c>
      <c r="G5" s="10">
        <v>4.0</v>
      </c>
      <c r="H5" s="9" t="s">
        <v>2242</v>
      </c>
      <c r="I5" s="9" t="str">
        <f>IFERROR(__xludf.DUMMYFUNCTION(" GOOGLETRANSLATE(C5, ""en"", ""de"")"),"A. Niedersachsen B. Bayern C. Hessen D. Sachsen")</f>
        <v>A. Niedersachsen B. Bayern C. Hessen D. Sachsen</v>
      </c>
      <c r="J5" s="9" t="s">
        <v>273</v>
      </c>
      <c r="K5" s="9" t="s">
        <v>2243</v>
      </c>
    </row>
    <row r="6" ht="22.5" customHeight="1">
      <c r="A6" s="18">
        <v>5.0</v>
      </c>
      <c r="B6" s="6" t="str">
        <f>IFERROR(__xludf.DUMMYFUNCTION("GOOGLETRANSLATE(H6, ""de"", ""en"")"),"What was the original purpose of Klootschießen?")</f>
        <v>What was the original purpose of Klootschießen?</v>
      </c>
      <c r="C6" s="7" t="s">
        <v>2244</v>
      </c>
      <c r="D6" s="6" t="str">
        <f>IFERROR(__xludf.DUMMYFUNCTION("GOOGLETRANSLATE(J6, ""de"", ""en"")"),"Leisure activities in rural areas")</f>
        <v>Leisure activities in rural areas</v>
      </c>
      <c r="E6" s="6" t="str">
        <f>IFERROR(__xludf.DUMMYFUNCTION("GOOGLETRANSLATE(K6, ""de"", ""en"")"),"Klootschießen was originally a leisure activity for rural communities.")</f>
        <v>Klootschießen was originally a leisure activity for rural communities.</v>
      </c>
      <c r="G6" s="8">
        <v>5.0</v>
      </c>
      <c r="H6" s="9" t="s">
        <v>2245</v>
      </c>
      <c r="I6" s="9" t="str">
        <f>IFERROR(__xludf.DUMMYFUNCTION(" GOOGLETRANSLATE(C6, ""en"", ""de"")"),"A. Um im Genauigkeitswettbewerb zu stehen B. Um Soldaten auszubilden C. Freizeitaktivitäten in ländlichen Gebieten D. Um Streitigkeiten beizulegen")</f>
        <v>A. Um im Genauigkeitswettbewerb zu stehen B. Um Soldaten auszubilden C. Freizeitaktivitäten in ländlichen Gebieten D. Um Streitigkeiten beizulegen</v>
      </c>
      <c r="J6" s="9" t="s">
        <v>2246</v>
      </c>
      <c r="K6" s="9" t="s">
        <v>2247</v>
      </c>
    </row>
    <row r="7" ht="22.5" customHeight="1">
      <c r="A7" s="18">
        <v>6.0</v>
      </c>
      <c r="B7" s="6" t="str">
        <f>IFERROR(__xludf.DUMMYFUNCTION("GOOGLETRANSLATE(H7, ""de"", ""en"")"),"What material were the early kloots traditionally made from?")</f>
        <v>What material were the early kloots traditionally made from?</v>
      </c>
      <c r="C7" s="7" t="s">
        <v>2248</v>
      </c>
      <c r="D7" s="6" t="str">
        <f>IFERROR(__xludf.DUMMYFUNCTION("GOOGLETRANSLATE(J7, ""de"", ""en"")"),"Wood")</f>
        <v>Wood</v>
      </c>
      <c r="E7" s="6" t="str">
        <f>IFERROR(__xludf.DUMMYFUNCTION("GOOGLETRANSLATE(K7, ""de"", ""en"")"),"Early kloots were made of wood and were often hand-carved by locals.")</f>
        <v>Early kloots were made of wood and were often hand-carved by locals.</v>
      </c>
      <c r="G7" s="10">
        <v>6.0</v>
      </c>
      <c r="H7" s="9" t="s">
        <v>2249</v>
      </c>
      <c r="I7" s="9" t="str">
        <f>IFERROR(__xludf.DUMMYFUNCTION(" GOOGLETRANSLATE(C7, ""en"", ""de"")"),"A. Holz B. Stein C. Eisen D. Tonne")</f>
        <v>A. Holz B. Stein C. Eisen D. Tonne</v>
      </c>
      <c r="J7" s="9" t="s">
        <v>296</v>
      </c>
      <c r="K7" s="9" t="s">
        <v>2250</v>
      </c>
    </row>
    <row r="8" ht="22.5" customHeight="1">
      <c r="A8" s="18">
        <v>7.0</v>
      </c>
      <c r="B8" s="6" t="str">
        <f>IFERROR(__xludf.DUMMYFUNCTION("GOOGLETRANSLATE(H8, ""de"", ""en"")"),"In which century were organized competitions in Klootschießen (a traditional Frisian sport) first held?")</f>
        <v>In which century were organized competitions in Klootschießen (a traditional Frisian sport) first held?</v>
      </c>
      <c r="C8" s="7" t="s">
        <v>2251</v>
      </c>
      <c r="D8" s="6" t="str">
        <f>IFERROR(__xludf.DUMMYFUNCTION("GOOGLETRANSLATE(J8, ""de"", ""en"")"),"19th century")</f>
        <v>19th century</v>
      </c>
      <c r="E8" s="6" t="str">
        <f>IFERROR(__xludf.DUMMYFUNCTION("GOOGLETRANSLATE(K8, ""de"", ""en"")"),"Organized competitions for Klootschießen (a traditional Frisian sport) began in the 19th century and introduced formalized rules.")</f>
        <v>Organized competitions for Klootschießen (a traditional Frisian sport) began in the 19th century and introduced formalized rules.</v>
      </c>
      <c r="G8" s="8">
        <v>7.0</v>
      </c>
      <c r="H8" s="9" t="s">
        <v>2252</v>
      </c>
      <c r="I8" s="9" t="str">
        <f>IFERROR(__xludf.DUMMYFUNCTION(" GOOGLETRANSLATE(C8, ""en"", ""de"")"),"A. 17. Jahrhundert B. 18. Jahrhundert C. 19. Jahrhundert D. 20. Jahrhundert")</f>
        <v>A. 17. Jahrhundert B. 18. Jahrhundert C. 19. Jahrhundert D. 20. Jahrhundert</v>
      </c>
      <c r="J8" s="9" t="s">
        <v>300</v>
      </c>
      <c r="K8" s="9" t="s">
        <v>2253</v>
      </c>
    </row>
    <row r="9" ht="22.5" customHeight="1">
      <c r="A9" s="18">
        <v>8.0</v>
      </c>
      <c r="B9" s="6" t="str">
        <f>IFERROR(__xludf.DUMMYFUNCTION("GOOGLETRANSLATE(H9, ""de"", ""en"")"),"Which neighboring country has a similar tradition to Klootschießen?")</f>
        <v>Which neighboring country has a similar tradition to Klootschießen?</v>
      </c>
      <c r="C9" s="7" t="s">
        <v>2254</v>
      </c>
      <c r="D9" s="6" t="str">
        <f>IFERROR(__xludf.DUMMYFUNCTION("GOOGLETRANSLATE(J9, ""de"", ""en"")"),"Netherlands")</f>
        <v>Netherlands</v>
      </c>
      <c r="E9" s="6" t="str">
        <f>IFERROR(__xludf.DUMMYFUNCTION("GOOGLETRANSLATE(K9, ""de"", ""en"")"),"The Netherlands has a similar tradition with its own version called ""Klootschieten"".")</f>
        <v>The Netherlands has a similar tradition with its own version called "Klootschieten".</v>
      </c>
      <c r="G9" s="10">
        <v>8.0</v>
      </c>
      <c r="H9" s="9" t="s">
        <v>2255</v>
      </c>
      <c r="I9" s="9" t="str">
        <f>IFERROR(__xludf.DUMMYFUNCTION(" GOOGLETRANSLATE(C9, ""en"", ""de"")"),"A. Niederlande B. Polen C. Dänemark D. Belgien")</f>
        <v>A. Niederlande B. Polen C. Dänemark D. Belgien</v>
      </c>
      <c r="J9" s="9" t="s">
        <v>2256</v>
      </c>
      <c r="K9" s="9" t="s">
        <v>2257</v>
      </c>
    </row>
    <row r="10" ht="22.5" customHeight="1">
      <c r="A10" s="18">
        <v>9.0</v>
      </c>
      <c r="B10" s="6" t="str">
        <f>IFERROR(__xludf.DUMMYFUNCTION("GOOGLETRANSLATE(H10, ""de"", ""en"")"),"In which year did the first international Klootschießen competition take place?")</f>
        <v>In which year did the first international Klootschießen competition take place?</v>
      </c>
      <c r="C10" s="7" t="s">
        <v>2258</v>
      </c>
      <c r="D10" s="6" t="str">
        <f>IFERROR(__xludf.DUMMYFUNCTION("GOOGLETRANSLATE(J10, ""de"", ""en"")"),"1955")</f>
        <v>1955</v>
      </c>
      <c r="E10" s="6" t="str">
        <f>IFERROR(__xludf.DUMMYFUNCTION("GOOGLETRANSLATE(K10, ""de"", ""en"")"),"The first international Klootschießen competition was held in 1955 to make the sport known worldwide.")</f>
        <v>The first international Klootschießen competition was held in 1955 to make the sport known worldwide.</v>
      </c>
      <c r="G10" s="8">
        <v>9.0</v>
      </c>
      <c r="H10" s="9" t="s">
        <v>2259</v>
      </c>
      <c r="I10" s="9" t="str">
        <f>IFERROR(__xludf.DUMMYFUNCTION(" GOOGLETRANSLATE(C10, ""en"", ""de"")"),"A. 1935 B. 1955 C. 1970 D. 1985")</f>
        <v>A. 1935 B. 1955 C. 1970 D. 1985</v>
      </c>
      <c r="J10" s="11">
        <v>1955.0</v>
      </c>
      <c r="K10" s="9" t="s">
        <v>2260</v>
      </c>
    </row>
    <row r="11" ht="22.5" customHeight="1">
      <c r="A11" s="18">
        <v>10.0</v>
      </c>
      <c r="B11" s="6" t="str">
        <f>IFERROR(__xludf.DUMMYFUNCTION("GOOGLETRANSLATE(H11, ""de"", ""en"")"),"What historical event disrupted Klootschießen in the 20th century?")</f>
        <v>What historical event disrupted Klootschießen in the 20th century?</v>
      </c>
      <c r="C11" s="7" t="s">
        <v>2261</v>
      </c>
      <c r="D11" s="6" t="str">
        <f>IFERROR(__xludf.DUMMYFUNCTION("GOOGLETRANSLATE(J11, ""de"", ""en"")"),"Second World War")</f>
        <v>Second World War</v>
      </c>
      <c r="E11" s="6" t="str">
        <f>IFERROR(__xludf.DUMMYFUNCTION("GOOGLETRANSLATE(K11, ""de"", ""en"")"),"World War II disrupted the playing of Klootschießen, as resources were diverted to the war effort.")</f>
        <v>World War II disrupted the playing of Klootschießen, as resources were diverted to the war effort.</v>
      </c>
      <c r="G11" s="10">
        <v>10.0</v>
      </c>
      <c r="H11" s="9" t="s">
        <v>2262</v>
      </c>
      <c r="I11" s="9" t="str">
        <f>IFERROR(__xludf.DUMMYFUNCTION(" GOOGLETRANSLATE(C11, ""en"", ""de"")"),"A. Erster Weltkrieg B. Zweiter Weltkrieg C. Kalter Krieg D. Die globale Wirtschaftskrise")</f>
        <v>A. Erster Weltkrieg B. Zweiter Weltkrieg C. Kalter Krieg D. Die globale Wirtschaftskrise</v>
      </c>
      <c r="J11" s="9" t="s">
        <v>673</v>
      </c>
      <c r="K11" s="9" t="s">
        <v>2263</v>
      </c>
    </row>
    <row r="12" ht="22.5" customHeight="1">
      <c r="A12" s="18">
        <v>11.0</v>
      </c>
      <c r="B12" s="6" t="str">
        <f>IFERROR(__xludf.DUMMYFUNCTION("GOOGLETRANSLATE(H12, ""de"", ""en"")"),"What innovation in the 20th century contributed to the modernization of Klootschießen equipment?")</f>
        <v>What innovation in the 20th century contributed to the modernization of Klootschießen equipment?</v>
      </c>
      <c r="C12" s="7" t="s">
        <v>2264</v>
      </c>
      <c r="D12" s="6" t="str">
        <f>IFERROR(__xludf.DUMMYFUNCTION("GOOGLETRANSLATE(J12, ""de"", ""en"")"),"Synthetic balls")</f>
        <v>Synthetic balls</v>
      </c>
      <c r="E12" s="6" t="str">
        <f>IFERROR(__xludf.DUMMYFUNCTION("GOOGLETRANSLATE(K12, ""de"", ""en"")"),"The introduction of synthetic balls in the 20th century modernized the sport.")</f>
        <v>The introduction of synthetic balls in the 20th century modernized the sport.</v>
      </c>
      <c r="G12" s="8">
        <v>11.0</v>
      </c>
      <c r="H12" s="9" t="s">
        <v>2265</v>
      </c>
      <c r="I12" s="9" t="str">
        <f>IFERROR(__xludf.DUMMYFUNCTION(" GOOGLETRANSLATE(C12, ""en"", ""de"")"),"A. Synthetische Bälle B. Standardisierte Gewichte C. Metallfelgen D. Gummigriffe")</f>
        <v>A. Synthetische Bälle B. Standardisierte Gewichte C. Metallfelgen D. Gummigriffe</v>
      </c>
      <c r="J12" s="9" t="s">
        <v>2266</v>
      </c>
      <c r="K12" s="9" t="s">
        <v>2267</v>
      </c>
    </row>
    <row r="13" ht="22.5" customHeight="1">
      <c r="A13" s="18">
        <v>12.0</v>
      </c>
      <c r="B13" s="6" t="str">
        <f>IFERROR(__xludf.DUMMYFUNCTION("GOOGLETRANSLATE(H13, ""de"", ""en"")"),"What historical significance does Klootschießen have for rural communities?")</f>
        <v>What historical significance does Klootschießen have for rural communities?</v>
      </c>
      <c r="C13" s="7" t="s">
        <v>2268</v>
      </c>
      <c r="D13" s="6" t="str">
        <f>IFERROR(__xludf.DUMMYFUNCTION("GOOGLETRANSLATE(J13, ""de"", ""en"")"),"It brought communities together")</f>
        <v>It brought communities together</v>
      </c>
      <c r="E13" s="6" t="str">
        <f>IFERROR(__xludf.DUMMYFUNCTION("GOOGLETRANSLATE(K13, ""de"", ""en"")"),"Klootschießen played an important role in promoting community spirit in rural areas.")</f>
        <v>Klootschießen played an important role in promoting community spirit in rural areas.</v>
      </c>
      <c r="G13" s="10">
        <v>12.0</v>
      </c>
      <c r="H13" s="9" t="s">
        <v>2269</v>
      </c>
      <c r="I13" s="9" t="str">
        <f>IFERROR(__xludf.DUMMYFUNCTION(" GOOGLETRANSLATE(C13, ""en"", ""de"")"),"A. Es war eine Form der Bewegung. B. Es brachte Gemeinschaften zusammen. C. Es half, Streitigkeiten beizulegen. D. Es war eine Einkommensquelle.")</f>
        <v>A. Es war eine Form der Bewegung. B. Es brachte Gemeinschaften zusammen. C. Es half, Streitigkeiten beizulegen. D. Es war eine Einkommensquelle.</v>
      </c>
      <c r="J13" s="9" t="s">
        <v>2270</v>
      </c>
      <c r="K13" s="9" t="s">
        <v>2271</v>
      </c>
    </row>
    <row r="14" ht="22.5" customHeight="1">
      <c r="A14" s="18">
        <v>13.0</v>
      </c>
      <c r="B14" s="6" t="str">
        <f>IFERROR(__xludf.DUMMYFUNCTION("GOOGLETRANSLATE(H14, ""de"", ""en"")"),"Which German organization is responsible for overseeing Klootschießen (a traditional Frisian sport)?")</f>
        <v>Which German organization is responsible for overseeing Klootschießen (a traditional Frisian sport)?</v>
      </c>
      <c r="C14" s="7" t="s">
        <v>2272</v>
      </c>
      <c r="D14" s="6" t="str">
        <f>IFERROR(__xludf.DUMMYFUNCTION("GOOGLETRANSLATE(J14, ""de"", ""en"")"),"The German Klootschießen Association")</f>
        <v>The German Klootschießen Association</v>
      </c>
      <c r="E14" s="6" t="str">
        <f>IFERROR(__xludf.DUMMYFUNCTION("GOOGLETRANSLATE(K14, ""de"", ""en"")"),"The German Klootschießen Association is responsible for the organization and promotion of the sport.")</f>
        <v>The German Klootschießen Association is responsible for the organization and promotion of the sport.</v>
      </c>
      <c r="G14" s="8">
        <v>13.0</v>
      </c>
      <c r="H14" s="9" t="s">
        <v>2273</v>
      </c>
      <c r="I14" s="9" t="str">
        <f>IFERROR(__xludf.DUMMYFUNCTION(" GOOGLETRANSLATE(C14, ""en"", ""de"")"),"A. Der Deutsche Klootschießen-Verband B. Der Nationale Verband der Ländlichen Spiele C. Der Ostfriesische Sportverband D. Der Niedersächsische Sportverband")</f>
        <v>A. Der Deutsche Klootschießen-Verband B. Der Nationale Verband der Ländlichen Spiele C. Der Ostfriesische Sportverband D. Der Niedersächsische Sportverband</v>
      </c>
      <c r="J14" s="9" t="s">
        <v>2274</v>
      </c>
      <c r="K14" s="9" t="s">
        <v>2275</v>
      </c>
    </row>
    <row r="15" ht="22.5" customHeight="1">
      <c r="A15" s="18">
        <v>14.0</v>
      </c>
      <c r="B15" s="6" t="str">
        <f>IFERROR(__xludf.DUMMYFUNCTION("GOOGLETRANSLATE(H15, ""de"", ""en"")"),"What is the essential difference between Klootschießen (a traditional Frisian sport) in a field and on the street?")</f>
        <v>What is the essential difference between Klootschießen (a traditional Frisian sport) in a field and on the street?</v>
      </c>
      <c r="C15" s="7" t="s">
        <v>2276</v>
      </c>
      <c r="D15" s="6" t="str">
        <f>IFERROR(__xludf.DUMMYFUNCTION("GOOGLETRANSLATE(J15, ""de"", ""en"")"),"The site")</f>
        <v>The site</v>
      </c>
      <c r="E15" s="6" t="str">
        <f>IFERROR(__xludf.DUMMYFUNCTION("GOOGLETRANSLATE(K15, ""de"", ""en"")"),"Field bowling is played on grass or open fields, while street bowling takes place on paved paths.")</f>
        <v>Field bowling is played on grass or open fields, while street bowling takes place on paved paths.</v>
      </c>
      <c r="G15" s="10">
        <v>14.0</v>
      </c>
      <c r="H15" s="9" t="s">
        <v>2277</v>
      </c>
      <c r="I15" s="9" t="str">
        <f>IFERROR(__xludf.DUMMYFUNCTION(" GOOGLETRANSLATE(C15, ""en"", ""de"")"),"A. Das Gewicht des Balls B. Der Spielort C. Die Teamgröße D. Das Punktesystem")</f>
        <v>A. Das Gewicht des Balls B. Der Spielort C. Die Teamgröße D. Das Punktesystem</v>
      </c>
      <c r="J15" s="9" t="s">
        <v>2278</v>
      </c>
      <c r="K15" s="9" t="s">
        <v>2279</v>
      </c>
    </row>
    <row r="16" ht="22.5" customHeight="1">
      <c r="A16" s="18">
        <v>15.0</v>
      </c>
      <c r="B16" s="6" t="str">
        <f>IFERROR(__xludf.DUMMYFUNCTION("GOOGLETRANSLATE(H16, ""de"", ""en"")"),"In which historical period did Klootschießen experience a revival after a period of decline?")</f>
        <v>In which historical period did Klootschießen experience a revival after a period of decline?</v>
      </c>
      <c r="C16" s="7" t="s">
        <v>2280</v>
      </c>
      <c r="D16" s="6" t="str">
        <f>IFERROR(__xludf.DUMMYFUNCTION("GOOGLETRANSLATE(J16, ""de"", ""en"")"),"After the Second World War")</f>
        <v>After the Second World War</v>
      </c>
      <c r="E16" s="6" t="str">
        <f>IFERROR(__xludf.DUMMYFUNCTION("GOOGLETRANSLATE(K16, ""de"", ""en"")"),"Klootschießen experienced a revival after the Second World War, when new clubs were founded to promote the sport.")</f>
        <v>Klootschießen experienced a revival after the Second World War, when new clubs were founded to promote the sport.</v>
      </c>
      <c r="G16" s="8">
        <v>15.0</v>
      </c>
      <c r="H16" s="9" t="s">
        <v>2281</v>
      </c>
      <c r="I16" s="9" t="str">
        <f>IFERROR(__xludf.DUMMYFUNCTION(" GOOGLETRANSLATE(C16, ""en"", ""de"")"),"A. Nach dem Ersten Weltkrieg B. Nach dem Zweiten Weltkrieg C. Die 1960er Jahre D. Die Industrielle Revolution")</f>
        <v>A. Nach dem Ersten Weltkrieg B. Nach dem Zweiten Weltkrieg C. Die 1960er Jahre D. Die Industrielle Revolution</v>
      </c>
      <c r="J16" s="9" t="s">
        <v>2282</v>
      </c>
      <c r="K16" s="9" t="s">
        <v>2283</v>
      </c>
    </row>
    <row r="17" ht="22.5" customHeight="1">
      <c r="A17" s="18">
        <v>16.0</v>
      </c>
      <c r="B17" s="6" t="str">
        <f>IFERROR(__xludf.DUMMYFUNCTION("GOOGLETRANSLATE(H17, ""de"", ""en"")"),"What role did Klootschießen play in agricultural communities?")</f>
        <v>What role did Klootschießen play in agricultural communities?</v>
      </c>
      <c r="C17" s="7" t="s">
        <v>2284</v>
      </c>
      <c r="D17" s="6" t="str">
        <f>IFERROR(__xludf.DUMMYFUNCTION("GOOGLETRANSLATE(J17, ""de"", ""en"")"),"Off-season entertainment")</f>
        <v>Off-season entertainment</v>
      </c>
      <c r="E17" s="6" t="str">
        <f>IFERROR(__xludf.DUMMYFUNCTION("GOOGLETRANSLATE(K17, ""de"", ""en"")"),"Klootschießen provided entertainment during the off-season, when work was less strenuous.")</f>
        <v>Klootschießen provided entertainment during the off-season, when work was less strenuous.</v>
      </c>
      <c r="G17" s="10">
        <v>16.0</v>
      </c>
      <c r="H17" s="9" t="s">
        <v>2285</v>
      </c>
      <c r="I17" s="9" t="str">
        <f>IFERROR(__xludf.DUMMYFUNCTION(" GOOGLETRANSLATE(C17, ""en"", ""de"")"),"A. Unterhaltung außerhalb der Saison B. Mitarbeiterschulungen C. Verbesserung der Koordination D. Stimmungsaufhellung während der Pflanzsaison")</f>
        <v>A. Unterhaltung außerhalb der Saison B. Mitarbeiterschulungen C. Verbesserung der Koordination D. Stimmungsaufhellung während der Pflanzsaison</v>
      </c>
      <c r="J17" s="9" t="s">
        <v>2286</v>
      </c>
      <c r="K17" s="9" t="s">
        <v>2287</v>
      </c>
    </row>
    <row r="18" ht="22.5" customHeight="1">
      <c r="A18" s="18">
        <v>17.0</v>
      </c>
      <c r="B18" s="6" t="str">
        <f>IFERROR(__xludf.DUMMYFUNCTION("GOOGLETRANSLATE(H18, ""de"", ""en"")"),"What primary cultural value was reflected in Klootschießen?")</f>
        <v>What primary cultural value was reflected in Klootschießen?</v>
      </c>
      <c r="C18" s="7" t="s">
        <v>2288</v>
      </c>
      <c r="D18" s="6" t="str">
        <f>IFERROR(__xludf.DUMMYFUNCTION("GOOGLETRANSLATE(J18, ""de"", ""en"")"),"Community bond")</f>
        <v>Community bond</v>
      </c>
      <c r="E18" s="6" t="str">
        <f>IFERROR(__xludf.DUMMYFUNCTION("GOOGLETRANSLATE(K18, ""de"", ""en"")"),"Klootschießen emphasizes community cohesion and is often played in teams.")</f>
        <v>Klootschießen emphasizes community cohesion and is often played in teams.</v>
      </c>
      <c r="G18" s="8">
        <v>17.0</v>
      </c>
      <c r="H18" s="9" t="s">
        <v>2289</v>
      </c>
      <c r="I18" s="9" t="str">
        <f>IFERROR(__xludf.DUMMYFUNCTION(" GOOGLETRANSLATE(C18, ""en"", ""de"")"),"A. Disziplin B. Teamarbeit C. Gemeinschaftssinn D. Individuelle Exzellenz")</f>
        <v>A. Disziplin B. Teamarbeit C. Gemeinschaftssinn D. Individuelle Exzellenz</v>
      </c>
      <c r="J18" s="9" t="s">
        <v>658</v>
      </c>
      <c r="K18" s="9" t="s">
        <v>2290</v>
      </c>
    </row>
    <row r="19" ht="22.5" customHeight="1">
      <c r="A19" s="18">
        <v>18.0</v>
      </c>
      <c r="B19" s="6" t="str">
        <f>IFERROR(__xludf.DUMMYFUNCTION("GOOGLETRANSLATE(H19, ""de"", ""en"")"),"In which year was Klootschießen declared an intangible cultural heritage in Germany?")</f>
        <v>In which year was Klootschießen declared an intangible cultural heritage in Germany?</v>
      </c>
      <c r="C19" s="7" t="s">
        <v>2291</v>
      </c>
      <c r="D19" s="6" t="str">
        <f>IFERROR(__xludf.DUMMYFUNCTION("GOOGLETRANSLATE(J19, ""de"", ""en"")"),"2015")</f>
        <v>2015</v>
      </c>
      <c r="E19" s="6" t="str">
        <f>IFERROR(__xludf.DUMMYFUNCTION("GOOGLETRANSLATE(K19, ""de"", ""en"")"),"Klootschießen was declared an intangible cultural heritage in 2015, thus underlining its cultural significance.")</f>
        <v>Klootschießen was declared an intangible cultural heritage in 2015, thus underlining its cultural significance.</v>
      </c>
      <c r="G19" s="10">
        <v>18.0</v>
      </c>
      <c r="H19" s="9" t="s">
        <v>2292</v>
      </c>
      <c r="I19" s="9" t="str">
        <f>IFERROR(__xludf.DUMMYFUNCTION(" GOOGLETRANSLATE(C19, ""en"", ""de"")"),"A. 1990 B. 2000 C. 2015 D. 2020")</f>
        <v>A. 1990 B. 2000 C. 2015 D. 2020</v>
      </c>
      <c r="J19" s="11">
        <v>2015.0</v>
      </c>
      <c r="K19" s="9" t="s">
        <v>2293</v>
      </c>
    </row>
    <row r="20" ht="22.5" customHeight="1">
      <c r="A20" s="18">
        <v>19.0</v>
      </c>
      <c r="B20" s="6" t="str">
        <f>IFERROR(__xludf.DUMMYFUNCTION("GOOGLETRANSLATE(H20, ""de"", ""en"")"),"Which aspect of Klootschießen has remained unchanged since its inception?")</f>
        <v>Which aspect of Klootschießen has remained unchanged since its inception?</v>
      </c>
      <c r="C20" s="7" t="s">
        <v>2294</v>
      </c>
      <c r="D20" s="6" t="str">
        <f>IFERROR(__xludf.DUMMYFUNCTION("GOOGLETRANSLATE(J20, ""de"", ""en"")"),"The basic concept of distance throwing")</f>
        <v>The basic concept of distance throwing</v>
      </c>
      <c r="E20" s="6" t="str">
        <f>IFERROR(__xludf.DUMMYFUNCTION("GOOGLETRANSLATE(K20, ""de"", ""en"")"),"The core idea of ​​throwing a ball over maximum distance has remained unchanged since its introduction.")</f>
        <v>The core idea of ​​throwing a ball over maximum distance has remained unchanged since its introduction.</v>
      </c>
      <c r="G20" s="8">
        <v>19.0</v>
      </c>
      <c r="H20" s="9" t="s">
        <v>2295</v>
      </c>
      <c r="I20" s="9" t="str">
        <f>IFERROR(__xludf.DUMMYFUNCTION(" GOOGLETRANSLATE(C20, ""en"", ""de"")"),"A. Der Einsatz von Mannschaften B. Die Kunst des Geländes C. Das Grundkonzept des Weitwurfs D. Das Material der Kloots")</f>
        <v>A. Der Einsatz von Mannschaften B. Die Kunst des Geländes C. Das Grundkonzept des Weitwurfs D. Das Material der Kloots</v>
      </c>
      <c r="J20" s="9" t="s">
        <v>2296</v>
      </c>
      <c r="K20" s="9" t="s">
        <v>2297</v>
      </c>
    </row>
    <row r="21" ht="22.5" customHeight="1">
      <c r="A21" s="18">
        <v>20.0</v>
      </c>
      <c r="B21" s="6" t="str">
        <f>IFERROR(__xludf.DUMMYFUNCTION("GOOGLETRANSLATE(H21, ""de"", ""en"")"),"In which year was the first Klootschießen rulebook published?")</f>
        <v>In which year was the first Klootschießen rulebook published?</v>
      </c>
      <c r="C21" s="7" t="s">
        <v>2298</v>
      </c>
      <c r="D21" s="6" t="str">
        <f>IFERROR(__xludf.DUMMYFUNCTION("GOOGLETRANSLATE(J21, ""de"", ""en"")"),"1895")</f>
        <v>1895</v>
      </c>
      <c r="E21" s="6" t="str">
        <f>IFERROR(__xludf.DUMMYFUNCTION("GOOGLETRANSLATE(K21, ""de"", ""en"")"),"The first Klootschießen rulebook was published in 1895 to standardize gameplay and scoring.")</f>
        <v>The first Klootschießen rulebook was published in 1895 to standardize gameplay and scoring.</v>
      </c>
      <c r="G21" s="10">
        <v>20.0</v>
      </c>
      <c r="H21" s="9" t="s">
        <v>2299</v>
      </c>
      <c r="I21" s="9" t="str">
        <f>IFERROR(__xludf.DUMMYFUNCTION(" GOOGLETRANSLATE(C21, ""en"", ""de"")"),"A. 1850 B. 1895 C. 1910 D. 1930")</f>
        <v>A. 1850 B. 1895 C. 1910 D. 1930</v>
      </c>
      <c r="J21" s="11">
        <v>1895.0</v>
      </c>
      <c r="K21" s="9" t="s">
        <v>2300</v>
      </c>
    </row>
    <row r="22" ht="22.5" customHeight="1">
      <c r="A22" s="18">
        <v>21.0</v>
      </c>
      <c r="B22" s="6" t="str">
        <f>IFERROR(__xludf.DUMMYFUNCTION("GOOGLETRANSLATE(H22, ""de"", ""en"")"),"What inspired the creation of Klootschießen (a traditional Frisian sport similar to Klootschießen)?")</f>
        <v>What inspired the creation of Klootschießen (a traditional Frisian sport similar to Klootschießen)?</v>
      </c>
      <c r="C22" s="7" t="s">
        <v>2301</v>
      </c>
      <c r="D22" s="6" t="str">
        <f>IFERROR(__xludf.DUMMYFUNCTION("GOOGLETRANSLATE(J22, ""de"", ""en"")"),"Rural leisure activities")</f>
        <v>Rural leisure activities</v>
      </c>
      <c r="E22" s="6" t="str">
        <f>IFERROR(__xludf.DUMMYFUNCTION("GOOGLETRANSLATE(K22, ""de"", ""en"")"),"Klootschießen was inspired by the need for recreation in rural communities.")</f>
        <v>Klootschießen was inspired by the need for recreation in rural communities.</v>
      </c>
      <c r="G22" s="8">
        <v>21.0</v>
      </c>
      <c r="H22" s="9" t="s">
        <v>2302</v>
      </c>
      <c r="I22" s="9" t="str">
        <f>IFERROR(__xludf.DUMMYFUNCTION(" GOOGLETRANSLATE(C22, ""en"", ""de"")"),"A. Ländliche Freizeitaktivitäten B. Mittelalterliche Militärausbildung C. Religiöse Zeremonien D. Jahreszeitliche Feste")</f>
        <v>A. Ländliche Freizeitaktivitäten B. Mittelalterliche Militärausbildung C. Religiöse Zeremonien D. Jahreszeitliche Feste</v>
      </c>
      <c r="J22" s="9" t="s">
        <v>2303</v>
      </c>
      <c r="K22" s="9" t="s">
        <v>2304</v>
      </c>
    </row>
    <row r="23" ht="22.5" customHeight="1">
      <c r="A23" s="18">
        <v>22.0</v>
      </c>
      <c r="B23" s="6" t="str">
        <f>IFERROR(__xludf.DUMMYFUNCTION("GOOGLETRANSLATE(H23, ""de"", ""en"")"),"How was Klootschießen (a traditional Frisian sport) passed down historically through generations?")</f>
        <v>How was Klootschießen (a traditional Frisian sport) passed down historically through generations?</v>
      </c>
      <c r="C23" s="7" t="s">
        <v>2305</v>
      </c>
      <c r="D23" s="6" t="str">
        <f>IFERROR(__xludf.DUMMYFUNCTION("GOOGLETRANSLATE(J23, ""de"", ""en"")"),"Oral tradition")</f>
        <v>Oral tradition</v>
      </c>
      <c r="E23" s="6" t="str">
        <f>IFERROR(__xludf.DUMMYFUNCTION("GOOGLETRANSLATE(K23, ""de"", ""en"")"),"The knowledge and techniques of Klootschießen were passed down orally within families and communities.")</f>
        <v>The knowledge and techniques of Klootschießen were passed down orally within families and communities.</v>
      </c>
      <c r="G23" s="10">
        <v>22.0</v>
      </c>
      <c r="H23" s="9" t="s">
        <v>2306</v>
      </c>
      <c r="I23" s="9" t="str">
        <f>IFERROR(__xludf.DUMMYFUNCTION(" GOOGLETRANSLATE(C23, ""en"", ""de"")"),"A. Mündliche Überlieferung B. Formale Schulen C. Lokale Manuskripte D. Gemeindefeste")</f>
        <v>A. Mündliche Überlieferung B. Formale Schulen C. Lokale Manuskripte D. Gemeindefeste</v>
      </c>
      <c r="J23" s="9" t="s">
        <v>2307</v>
      </c>
      <c r="K23" s="9" t="s">
        <v>2308</v>
      </c>
    </row>
    <row r="24" ht="22.5" customHeight="1">
      <c r="A24" s="18">
        <v>23.0</v>
      </c>
      <c r="B24" s="6" t="str">
        <f>IFERROR(__xludf.DUMMYFUNCTION("GOOGLETRANSLATE(H24, ""de"", ""en"")"),"Which historical figure is said to have mentioned a game similar to Klootschießen?")</f>
        <v>Which historical figure is said to have mentioned a game similar to Klootschießen?</v>
      </c>
      <c r="C24" s="7" t="s">
        <v>2309</v>
      </c>
      <c r="D24" s="6" t="str">
        <f>IFERROR(__xludf.DUMMYFUNCTION("GOOGLETRANSLATE(J24, ""de"", ""en"")"),"Johann Wolfgang von Goethe")</f>
        <v>Johann Wolfgang von Goethe</v>
      </c>
      <c r="E24" s="6" t="str">
        <f>IFERROR(__xludf.DUMMYFUNCTION("GOOGLETRANSLATE(K24, ""de"", ""en"")"),"It is assumed that Goethe referred in his writings to games similar to Klootschießen (a traditional Frisian sport).")</f>
        <v>It is assumed that Goethe referred in his writings to games similar to Klootschießen (a traditional Frisian sport).</v>
      </c>
      <c r="G24" s="8">
        <v>23.0</v>
      </c>
      <c r="H24" s="9" t="s">
        <v>2310</v>
      </c>
      <c r="I24" s="9" t="str">
        <f>IFERROR(__xludf.DUMMYFUNCTION(" GOOGLETRANSLATE(C24, ""en"", ""de"")"),"A. Johann Wolfgang von Goethe B. Martin Luther C. Albrecht Dürer D. Friedrich der Große")</f>
        <v>A. Johann Wolfgang von Goethe B. Martin Luther C. Albrecht Dürer D. Friedrich der Große</v>
      </c>
      <c r="J24" s="9" t="s">
        <v>2311</v>
      </c>
      <c r="K24" s="9" t="s">
        <v>2312</v>
      </c>
    </row>
    <row r="25" ht="22.5" customHeight="1">
      <c r="A25" s="18">
        <v>24.0</v>
      </c>
      <c r="B25" s="6" t="str">
        <f>IFERROR(__xludf.DUMMYFUNCTION("GOOGLETRANSLATE(H25, ""de"", ""en"")"),"Was war the most important social function of Klootschießen (a traditional Frisian sport similar to bowling) in the Middle Ages?")</f>
        <v>Was war the most important social function of Klootschießen (a traditional Frisian sport similar to bowling) in the Middle Ages?</v>
      </c>
      <c r="C25" s="7" t="s">
        <v>2313</v>
      </c>
      <c r="D25" s="6" t="str">
        <f>IFERROR(__xludf.DUMMYFUNCTION("GOOGLETRANSLATE(J25, ""de"", ""en"")"),"Building camaraderie among the villagers")</f>
        <v>Building camaraderie among the villagers</v>
      </c>
      <c r="E25" s="6" t="str">
        <f>IFERROR(__xludf.DUMMYFUNCTION("GOOGLETRANSLATE(K25, ""de"", ""en"")"),"Klootschießen was a social activity that brought the villagers together for friendly competitions.")</f>
        <v>Klootschießen was a social activity that brought the villagers together for friendly competitions.</v>
      </c>
      <c r="G25" s="10">
        <v>24.0</v>
      </c>
      <c r="H25" s="9" t="s">
        <v>2314</v>
      </c>
      <c r="I25" s="9" t="str">
        <f>IFERROR(__xludf.DUMMYFUNCTION(" GOOGLETRANSLATE(C25, ""en"", ""de"")"),"A. Stärkung des Zusammenhalts unter den Dorfbewohnern B. Training für Schlachten C. Beilegung von Streitigkeiten D. Vorbereitung der Ernte")</f>
        <v>A. Stärkung des Zusammenhalts unter den Dorfbewohnern B. Training für Schlachten C. Beilegung von Streitigkeiten D. Vorbereitung der Ernte</v>
      </c>
      <c r="J25" s="9" t="s">
        <v>2315</v>
      </c>
      <c r="K25" s="9" t="s">
        <v>2316</v>
      </c>
    </row>
    <row r="26" ht="22.5" customHeight="1">
      <c r="A26" s="18">
        <v>25.0</v>
      </c>
      <c r="B26" s="6" t="str">
        <f>IFERROR(__xludf.DUMMYFUNCTION("GOOGLETRANSLATE(H26, ""de"", ""en"")"),"In which historical document was the term ""Kloot"" first mentioned?")</f>
        <v>In which historical document was the term "Kloot" first mentioned?</v>
      </c>
      <c r="C26" s="7" t="s">
        <v>2317</v>
      </c>
      <c r="D26" s="6" t="str">
        <f>IFERROR(__xludf.DUMMYFUNCTION("GOOGLETRANSLATE(J26, ""de"", ""en"")"),"A legal document from the 16th century")</f>
        <v>A legal document from the 16th century</v>
      </c>
      <c r="E26" s="6" t="str">
        <f>IFERROR(__xludf.DUMMYFUNCTION("GOOGLETRANSLATE(K26, ""de"", ""en"")"),"The term ""Kloot"" was first mentioned in a 16th-century legal document relating to village games.")</f>
        <v>The term "Kloot" was first mentioned in a 16th-century legal document relating to village games.</v>
      </c>
      <c r="G26" s="8">
        <v>25.0</v>
      </c>
      <c r="H26" s="9" t="s">
        <v>2318</v>
      </c>
      <c r="I26" s="9" t="str">
        <f>IFERROR(__xludf.DUMMYFUNCTION(" GOOGLETRANSLATE(C26, ""en"", ""de"")"),"A. Ein Rechtsdokument aus dem 16. Jahrhundert. B. Ein Volkslied aus dem 15. Jahrhundert. C. Eine Sportzeitschrift aus dem 17. Jahrhundert. D. Ein Wörterbuch aus dem 18. Jahrhundert.")</f>
        <v>A. Ein Rechtsdokument aus dem 16. Jahrhundert. B. Ein Volkslied aus dem 15. Jahrhundert. C. Eine Sportzeitschrift aus dem 17. Jahrhundert. D. Ein Wörterbuch aus dem 18. Jahrhundert.</v>
      </c>
      <c r="J26" s="9" t="s">
        <v>2319</v>
      </c>
      <c r="K26" s="9" t="s">
        <v>2320</v>
      </c>
    </row>
    <row r="27" ht="22.5" customHeight="1">
      <c r="A27" s="18">
        <v>26.0</v>
      </c>
      <c r="B27" s="6" t="str">
        <f>IFERROR(__xludf.DUMMYFUNCTION("GOOGLETRANSLATE(H27, ""de"", ""en"")"),"What kind of weather has historically influenced Klootschießen games?")</f>
        <v>What kind of weather has historically influenced Klootschießen games?</v>
      </c>
      <c r="C27" s="7" t="s">
        <v>2321</v>
      </c>
      <c r="D27" s="6" t="str">
        <f>IFERROR(__xludf.DUMMYFUNCTION("GOOGLETRANSLATE(J27, ""de"", ""en"")"),"Windy days")</f>
        <v>Windy days</v>
      </c>
      <c r="E27" s="6" t="str">
        <f>IFERROR(__xludf.DUMMYFUNCTION("GOOGLETRANSLATE(K27, ""de"", ""en"")"),"Windy days were ideal for Klootschießen, as the players could use the wind to their advantage.")</f>
        <v>Windy days were ideal for Klootschießen, as the players could use the wind to their advantage.</v>
      </c>
      <c r="G27" s="10">
        <v>26.0</v>
      </c>
      <c r="H27" s="9" t="s">
        <v>2322</v>
      </c>
      <c r="I27" s="9" t="str">
        <f>IFERROR(__xludf.DUMMYFUNCTION(" GOOGLETRANSLATE(C27, ""en"", ""de"")"),"A. Windige Tage B. Schneetage C. Regentage D. Neblige Tage")</f>
        <v>A. Windige Tage B. Schneetage C. Regentage D. Neblige Tage</v>
      </c>
      <c r="J27" s="9" t="s">
        <v>2323</v>
      </c>
      <c r="K27" s="9" t="s">
        <v>2324</v>
      </c>
    </row>
    <row r="28" ht="22.5" customHeight="1">
      <c r="A28" s="18">
        <v>27.0</v>
      </c>
      <c r="B28" s="6" t="str">
        <f>IFERROR(__xludf.DUMMYFUNCTION("GOOGLETRANSLATE(H28, ""de"", ""en"")"),"Which traditional event was often combined with Klootschießen games?")</f>
        <v>Which traditional event was often combined with Klootschießen games?</v>
      </c>
      <c r="C28" s="7" t="s">
        <v>2325</v>
      </c>
      <c r="D28" s="6" t="str">
        <f>IFERROR(__xludf.DUMMYFUNCTION("GOOGLETRANSLATE(J28, ""de"", ""en"")"),"Harvest festivals")</f>
        <v>Harvest festivals</v>
      </c>
      <c r="E28" s="6" t="str">
        <f>IFERROR(__xludf.DUMMYFUNCTION("GOOGLETRANSLATE(K28, ""de"", ""en"")"),"Klootschießen was often played as a form of entertainment at harvest festivals.")</f>
        <v>Klootschießen was often played as a form of entertainment at harvest festivals.</v>
      </c>
      <c r="G28" s="8">
        <v>27.0</v>
      </c>
      <c r="H28" s="9" t="s">
        <v>2326</v>
      </c>
      <c r="I28" s="9" t="str">
        <f>IFERROR(__xludf.DUMMYFUNCTION(" GOOGLETRANSLATE(C28, ""en"", ""de"")"),"A. Erntedankfeste B. Neujahrsfeiern C. Osterfeiern D. Hochzeitsfeiern")</f>
        <v>A. Erntedankfeste B. Neujahrsfeiern C. Osterfeiern D. Hochzeitsfeiern</v>
      </c>
      <c r="J28" s="9" t="s">
        <v>708</v>
      </c>
      <c r="K28" s="9" t="s">
        <v>2327</v>
      </c>
    </row>
    <row r="29" ht="22.5" customHeight="1">
      <c r="A29" s="18">
        <v>28.0</v>
      </c>
      <c r="B29" s="6" t="str">
        <f>IFERROR(__xludf.DUMMYFUNCTION("GOOGLETRANSLATE(H29, ""de"", ""en"")"),"What influence did the industrial revolution have on the popularity of Klootschießen (a traditional Frisian sport)?")</f>
        <v>What influence did the industrial revolution have on the popularity of Klootschießen (a traditional Frisian sport)?</v>
      </c>
      <c r="C29" s="7" t="s">
        <v>2328</v>
      </c>
      <c r="D29" s="6" t="str">
        <f>IFERROR(__xludf.DUMMYFUNCTION("GOOGLETRANSLATE(J29, ""de"", ""en"")"),"It caused an error")</f>
        <v>It caused an error</v>
      </c>
      <c r="E29" s="6" t="str">
        <f>IFERROR(__xludf.DUMMYFUNCTION("GOOGLETRANSLATE(K29, ""de"", ""en"")"),"The industrial revolution led to a decline in Klootschießen, as people moved to the cities and urban life dominated.")</f>
        <v>The industrial revolution led to a decline in Klootschießen, as people moved to the cities and urban life dominated.</v>
      </c>
      <c r="G29" s="10">
        <v>28.0</v>
      </c>
      <c r="H29" s="9" t="s">
        <v>2329</v>
      </c>
      <c r="I29" s="9" t="str">
        <f>IFERROR(__xludf.DUMMYFUNCTION(" GOOGLETRANSLATE(C29, ""en"", ""de"")"),"A. Es verursachte einen Fehler. B. Es führte zur Gründung von Stadtligen. C. Es hatte keine Auswirkung. D. Es steigert das Interesse.")</f>
        <v>A. Es verursachte einen Fehler. B. Es führte zur Gründung von Stadtligen. C. Es hatte keine Auswirkung. D. Es steigert das Interesse.</v>
      </c>
      <c r="J29" s="9" t="s">
        <v>2330</v>
      </c>
      <c r="K29" s="9" t="s">
        <v>2331</v>
      </c>
    </row>
    <row r="30" ht="22.5" customHeight="1">
      <c r="A30" s="18">
        <v>29.0</v>
      </c>
      <c r="B30" s="6" t="str">
        <f>IFERROR(__xludf.DUMMYFUNCTION("GOOGLETRANSLATE(H30, ""de"", ""en"")"),"What was a unique feature of the early Klootschießen competitions?")</f>
        <v>What was a unique feature of the early Klootschießen competitions?</v>
      </c>
      <c r="C30" s="7" t="s">
        <v>2332</v>
      </c>
      <c r="D30" s="6" t="str">
        <f>IFERROR(__xludf.DUMMYFUNCTION("GOOGLETRANSLATE(J30, ""de"", ""en"")"),"Open terrain without borders")</f>
        <v>Open terrain without borders</v>
      </c>
      <c r="E30" s="6" t="str">
        <f>IFERROR(__xludf.DUMMYFUNCTION("GOOGLETRANSLATE(K30, ""de"", ""en"")"),"Early competitions took place in open terrain without strong boundaries, which made them unpredictable.")</f>
        <v>Early competitions took place in open terrain without strong boundaries, which made them unpredictable.</v>
      </c>
      <c r="G30" s="8">
        <v>29.0</v>
      </c>
      <c r="H30" s="9" t="s">
        <v>2333</v>
      </c>
      <c r="I30" s="9" t="str">
        <f>IFERROR(__xludf.DUMMYFUNCTION(" GOOGLETRANSLATE(C30, ""en"", ""de"")"),"A. Offenes Gelände ohne Grenzen B. Ins Wasser geworfen C. Bewertung nach Tonhöhe D. Verwendung von Tierhäuten als Bälle")</f>
        <v>A. Offenes Gelände ohne Grenzen B. Ins Wasser geworfen C. Bewertung nach Tonhöhe D. Verwendung von Tierhäuten als Bälle</v>
      </c>
      <c r="J30" s="9" t="s">
        <v>2334</v>
      </c>
      <c r="K30" s="9" t="s">
        <v>2335</v>
      </c>
    </row>
    <row r="31" ht="22.5" customHeight="1">
      <c r="A31" s="18">
        <v>30.0</v>
      </c>
      <c r="B31" s="6" t="str">
        <f>IFERROR(__xludf.DUMMYFUNCTION("GOOGLETRANSLATE(H31, ""de"", ""en"")"),"What cultural significance did Klootschießen have in the Netherlands?")</f>
        <v>What cultural significance did Klootschießen have in the Netherlands?</v>
      </c>
      <c r="C31" s="7" t="s">
        <v>2336</v>
      </c>
      <c r="D31" s="6" t="str">
        <f>IFERROR(__xludf.DUMMYFUNCTION("GOOGLETRANSLATE(J31, ""de"", ""en"")"),"Part of rural identity")</f>
        <v>Part of rural identity</v>
      </c>
      <c r="E31" s="6" t="str">
        <f>IFERROR(__xludf.DUMMYFUNCTION("GOOGLETRANSLATE(K31, ""de"", ""en"")"),"In the Netherlands, Klootschießen was considered an integral part of rural identity and culture.")</f>
        <v>In the Netherlands, Klootschießen was considered an integral part of rural identity and culture.</v>
      </c>
      <c r="G31" s="10">
        <v>30.0</v>
      </c>
      <c r="H31" s="9" t="s">
        <v>2337</v>
      </c>
      <c r="I31" s="9" t="str">
        <f>IFERROR(__xludf.DUMMYFUNCTION(" GOOGLETRANSLATE(C31, ""en"", ""de"")"),"A. Teil der ländlichen Identität B. Militärische Ausbildung C. Ein königlicher Zeitvertreib D. Eine religiöse Tradition")</f>
        <v>A. Teil der ländlichen Identität B. Militärische Ausbildung C. Ein königlicher Zeitvertreib D. Eine religiöse Tradition</v>
      </c>
      <c r="J31" s="9" t="s">
        <v>2338</v>
      </c>
      <c r="K31" s="9" t="s">
        <v>2339</v>
      </c>
    </row>
    <row r="32" ht="22.5" customHeight="1">
      <c r="A32" s="18">
        <v>31.0</v>
      </c>
      <c r="B32" s="6" t="str">
        <f>IFERROR(__xludf.DUMMYFUNCTION("GOOGLETRANSLATE(H32, ""de"", ""en"")"),"When was the first women's Klootschießen competition recorded?")</f>
        <v>When was the first women's Klootschießen competition recorded?</v>
      </c>
      <c r="C32" s="7" t="s">
        <v>2340</v>
      </c>
      <c r="D32" s="6" t="str">
        <f>IFERROR(__xludf.DUMMYFUNCTION("GOOGLETRANSLATE(J32, ""de"", ""en"")"),"1960")</f>
        <v>1960</v>
      </c>
      <c r="E32" s="6" t="str">
        <f>IFERROR(__xludf.DUMMYFUNCTION("GOOGLETRANSLATE(K32, ""de"", ""en"")"),"The first Klootschießen competition for women was recorded in the 1960s, as the sport expanded its inclusivity.")</f>
        <v>The first Klootschießen competition for women was recorded in the 1960s, as the sport expanded its inclusivity.</v>
      </c>
      <c r="G32" s="8">
        <v>31.0</v>
      </c>
      <c r="H32" s="9" t="s">
        <v>2341</v>
      </c>
      <c r="I32" s="9" t="str">
        <f>IFERROR(__xludf.DUMMYFUNCTION(" GOOGLETRANSLATE(C32, ""en"", ""de"")"),"A. 1920 B. 1940 C. 1960 D. 1980")</f>
        <v>A. 1920 B. 1940 C. 1960 D. 1980</v>
      </c>
      <c r="J32" s="11">
        <v>1960.0</v>
      </c>
      <c r="K32" s="9" t="s">
        <v>2342</v>
      </c>
    </row>
    <row r="33" ht="22.5" customHeight="1">
      <c r="A33" s="18">
        <v>32.0</v>
      </c>
      <c r="B33" s="6" t="str">
        <f>IFERROR(__xludf.DUMMYFUNCTION("GOOGLETRANSLATE(H33, ""de"", ""en"")"),"Which German philosopher mentioned traditional sports similar to Klootschießen (a traditional Frisian sport)?")</f>
        <v>Which German philosopher mentioned traditional sports similar to Klootschießen (a traditional Frisian sport)?</v>
      </c>
      <c r="C33" s="7" t="s">
        <v>2343</v>
      </c>
      <c r="D33" s="6" t="str">
        <f>IFERROR(__xludf.DUMMYFUNCTION("GOOGLETRANSLATE(J33, ""de"", ""en"")"),"Friedrich Nietzsche")</f>
        <v>Friedrich Nietzsche</v>
      </c>
      <c r="E33" s="6" t="str">
        <f>IFERROR(__xludf.DUMMYFUNCTION("GOOGLETRANSLATE(K33, ""de"", ""en"")"),"Friedrich Nietzsche referred to the role of traditional games, including those such as Klootschießen, in rural culture.")</f>
        <v>Friedrich Nietzsche referred to the role of traditional games, including those such as Klootschießen, in rural culture.</v>
      </c>
      <c r="G33" s="10">
        <v>32.0</v>
      </c>
      <c r="H33" s="9" t="s">
        <v>2344</v>
      </c>
      <c r="I33" s="9" t="str">
        <f>IFERROR(__xludf.DUMMYFUNCTION(" GOOGLETRANSLATE(C33, ""en"", ""de"")"),"A. Friedrich Nietzsche B. Immanuel Kant C. Gottfried Leibniz D. Arthur Schopenhauer")</f>
        <v>A. Friedrich Nietzsche B. Immanuel Kant C. Gottfried Leibniz D. Arthur Schopenhauer</v>
      </c>
      <c r="J33" s="9" t="s">
        <v>2345</v>
      </c>
      <c r="K33" s="9" t="s">
        <v>2346</v>
      </c>
    </row>
    <row r="34" ht="22.5" customHeight="1">
      <c r="A34" s="18">
        <v>33.0</v>
      </c>
      <c r="B34" s="6" t="str">
        <f>IFERROR(__xludf.DUMMYFUNCTION("GOOGLETRANSLATE(H34, ""de"", ""en"")"),"What historical factor contributed to the spread of Klootschießen (a traditional Frisian sport similar to bowling) in neighboring countries?")</f>
        <v>What historical factor contributed to the spread of Klootschießen (a traditional Frisian sport similar to bowling) in neighboring countries?</v>
      </c>
      <c r="C34" s="7" t="s">
        <v>2347</v>
      </c>
      <c r="D34" s="6" t="str">
        <f>IFERROR(__xludf.DUMMYFUNCTION("GOOGLETRANSLATE(J34, ""de"", ""en"")"),"trade routes")</f>
        <v>trade routes</v>
      </c>
      <c r="E34" s="6" t="str">
        <f>IFERROR(__xludf.DUMMYFUNCTION("GOOGLETRANSLATE(K34, ""de"", ""en"")"),"Trade routes enabled the game to spread to neighboring regions, including the Netherlands and Denmark.")</f>
        <v>Trade routes enabled the game to spread to neighboring regions, including the Netherlands and Denmark.</v>
      </c>
      <c r="G34" s="8">
        <v>33.0</v>
      </c>
      <c r="H34" s="9" t="s">
        <v>2348</v>
      </c>
      <c r="I34" s="9" t="str">
        <f>IFERROR(__xludf.DUMMYFUNCTION(" GOOGLETRANSLATE(C34, ""en"", ""de"")"),"A. Handelsrouten B. Kolonisierung C. Saisonale Wanderungen D. Diplomatische Bündnisse")</f>
        <v>A. Handelsrouten B. Kolonisierung C. Saisonale Wanderungen D. Diplomatische Bündnisse</v>
      </c>
      <c r="J34" s="9" t="s">
        <v>2349</v>
      </c>
      <c r="K34" s="9" t="s">
        <v>2350</v>
      </c>
    </row>
    <row r="35" ht="22.5" customHeight="1">
      <c r="A35" s="18">
        <v>34.0</v>
      </c>
      <c r="B35" s="6" t="str">
        <f>IFERROR(__xludf.DUMMYFUNCTION("GOOGLETRANSLATE(H35, ""de"", ""en"")"),"Which German poet referred to rural games like Klootschießen in his work?")</f>
        <v>Which German poet referred to rural games like Klootschießen in his work?</v>
      </c>
      <c r="C35" s="7" t="s">
        <v>2351</v>
      </c>
      <c r="D35" s="6" t="str">
        <f>IFERROR(__xludf.DUMMYFUNCTION("GOOGLETRANSLATE(J35, ""de"", ""en"")"),"Johann Wolfgang von Goethe")</f>
        <v>Johann Wolfgang von Goethe</v>
      </c>
      <c r="E35" s="6" t="str">
        <f>IFERROR(__xludf.DUMMYFUNCTION("GOOGLETRANSLATE(K35, ""de"", ""en"")"),"In his literary works, Goethe referred to rural games similar to Klootschießen (a traditional Frisian sport).")</f>
        <v>In his literary works, Goethe referred to rural games similar to Klootschießen (a traditional Frisian sport).</v>
      </c>
      <c r="G35" s="10">
        <v>34.0</v>
      </c>
      <c r="H35" s="9" t="s">
        <v>2352</v>
      </c>
      <c r="I35" s="9" t="str">
        <f>IFERROR(__xludf.DUMMYFUNCTION(" GOOGLETRANSLATE(C35, ""en"", ""de"")"),"A. Johann Wolfgang von Goethe B. Heinrich Heine C. Friedrich Schiller D. Rainer Maria Rilke")</f>
        <v>A. Johann Wolfgang von Goethe B. Heinrich Heine C. Friedrich Schiller D. Rainer Maria Rilke</v>
      </c>
      <c r="J35" s="9" t="s">
        <v>2311</v>
      </c>
      <c r="K35" s="9" t="s">
        <v>2353</v>
      </c>
    </row>
    <row r="36" ht="22.5" customHeight="1">
      <c r="A36" s="18">
        <v>35.0</v>
      </c>
      <c r="B36" s="6" t="str">
        <f>IFERROR(__xludf.DUMMYFUNCTION("GOOGLETRANSLATE(H36, ""de"", ""en"")"),"What is the historical significance of the throwing techniques in Klootschießen (a traditional Frisian sport)?")</f>
        <v>What is the historical significance of the throwing techniques in Klootschießen (a traditional Frisian sport)?</v>
      </c>
      <c r="C36" s="7" t="s">
        <v>2354</v>
      </c>
      <c r="D36" s="6" t="str">
        <f>IFERROR(__xludf.DUMMYFUNCTION("GOOGLETRANSLATE(J36, ""de"", ""en"")"),"They were passed down through generations.")</f>
        <v>They were passed down through generations.</v>
      </c>
      <c r="E36" s="6" t="str">
        <f>IFERROR(__xludf.DUMMYFUNCTION("GOOGLETRANSLATE(K36, ""de"", ""en"")"),"The throwing techniques used in Klootschießen (a traditional Frisian sport) were part of family and regional traditions and were passed down over time.")</f>
        <v>The throwing techniques used in Klootschießen (a traditional Frisian sport) were part of family and regional traditions and were passed down over time.</v>
      </c>
      <c r="G36" s="8">
        <v>35.0</v>
      </c>
      <c r="H36" s="9" t="s">
        <v>2355</v>
      </c>
      <c r="I36" s="9" t="str">
        <f>IFERROR(__xludf.DUMMYFUNCTION(" GOOGLETRANSLATE(C36, ""en"", ""de"")"),"A. Sie wurden über Generationen weitergegeben. B. Sie wurden von Militärübungen inspiriert. C. Sie basieren auf landwirtschaftlichen Methoden. D. Sie wurden von der Jagd beeinflusst.")</f>
        <v>A. Sie wurden über Generationen weitergegeben. B. Sie wurden von Militärübungen inspiriert. C. Sie basieren auf landwirtschaftlichen Methoden. D. Sie wurden von der Jagd beeinflusst.</v>
      </c>
      <c r="J36" s="9" t="s">
        <v>2356</v>
      </c>
      <c r="K36" s="9" t="s">
        <v>2357</v>
      </c>
    </row>
    <row r="37" ht="22.5" customHeight="1">
      <c r="A37" s="18">
        <v>36.0</v>
      </c>
      <c r="B37" s="6" t="str">
        <f>IFERROR(__xludf.DUMMYFUNCTION("GOOGLETRANSLATE(H37, ""de"", ""en"")"),"What innovation in the 20th century increased the popularity of Klootschießen (a traditional Frisian sport)?")</f>
        <v>What innovation in the 20th century increased the popularity of Klootschießen (a traditional Frisian sport)?</v>
      </c>
      <c r="C37" s="7" t="s">
        <v>2358</v>
      </c>
      <c r="D37" s="6" t="str">
        <f>IFERROR(__xludf.DUMMYFUNCTION("GOOGLETRANSLATE(J37, ""de"", ""en"")"),"Games broadcast on television")</f>
        <v>Games broadcast on television</v>
      </c>
      <c r="E37" s="6" t="str">
        <f>IFERROR(__xludf.DUMMYFUNCTION("GOOGLETRANSLATE(K37, ""de"", ""en"")"),"The introduction of television games in the 20th century brought greater attention to sport.")</f>
        <v>The introduction of television games in the 20th century brought greater attention to sport.</v>
      </c>
      <c r="G37" s="10">
        <v>36.0</v>
      </c>
      <c r="H37" s="9" t="s">
        <v>2359</v>
      </c>
      <c r="I37" s="9" t="str">
        <f>IFERROR(__xludf.DUMMYFUNCTION(" GOOGLETRANSLATE(C37, ""en"", ""de"")"),"A. Standardisierte Regeln B. Fernsehübertragungen der Spiele C. Leichtere Bälle D. Mannschaftsturniere")</f>
        <v>A. Standardisierte Regeln B. Fernsehübertragungen der Spiele C. Leichtere Bälle D. Mannschaftsturniere</v>
      </c>
      <c r="J37" s="9" t="s">
        <v>2360</v>
      </c>
      <c r="K37" s="9" t="s">
        <v>2361</v>
      </c>
    </row>
    <row r="38" ht="22.5" customHeight="1">
      <c r="A38" s="18">
        <v>37.0</v>
      </c>
      <c r="B38" s="6" t="str">
        <f>IFERROR(__xludf.DUMMYFUNCTION("GOOGLETRANSLATE(H38, ""de"", ""en"")"),"Which natural landscape played a key role in the early Klootschießen games?")</f>
        <v>Which natural landscape played a key role in the early Klootschießen games?</v>
      </c>
      <c r="C38" s="7" t="s">
        <v>2362</v>
      </c>
      <c r="D38" s="6" t="str">
        <f>IFERROR(__xludf.DUMMYFUNCTION("GOOGLETRANSLATE(J38, ""de"", ""en"")"),"Open fields")</f>
        <v>Open fields</v>
      </c>
      <c r="E38" s="6" t="str">
        <f>IFERROR(__xludf.DUMMYFUNCTION("GOOGLETRANSLATE(K38, ""de"", ""en"")"),"Open fields were frequently used in early Klootschießen games, utilizing expansive rural landscapes.")</f>
        <v>Open fields were frequently used in early Klootschießen games, utilizing expansive rural landscapes.</v>
      </c>
      <c r="G38" s="8">
        <v>37.0</v>
      </c>
      <c r="H38" s="9" t="s">
        <v>2363</v>
      </c>
      <c r="I38" s="9" t="str">
        <f>IFERROR(__xludf.DUMMYFUNCTION(" GOOGLETRANSLATE(C38, ""en"", ""de"")"),"A. Offene Felder B. Küstendünen C. Gebirgstäler D. Wälder")</f>
        <v>A. Offene Felder B. Küstendünen C. Gebirgstäler D. Wälder</v>
      </c>
      <c r="J38" s="9" t="s">
        <v>2364</v>
      </c>
      <c r="K38" s="9" t="s">
        <v>2365</v>
      </c>
    </row>
    <row r="39" ht="22.5" customHeight="1">
      <c r="A39" s="18">
        <v>38.0</v>
      </c>
      <c r="B39" s="6" t="str">
        <f>IFERROR(__xludf.DUMMYFUNCTION("GOOGLETRANSLATE(H39, ""de"", ""en"")"),"How has Klootschießen adapted to times of war?")</f>
        <v>How has Klootschießen adapted to times of war?</v>
      </c>
      <c r="C39" s="7" t="s">
        <v>2366</v>
      </c>
      <c r="D39" s="6" t="str">
        <f>IFERROR(__xludf.DUMMYFUNCTION("GOOGLETRANSLATE(J39, ""de"", ""en"")"),"It became a military exercise")</f>
        <v>It became a military exercise</v>
      </c>
      <c r="E39" s="6" t="str">
        <f>IFERROR(__xludf.DUMMYFUNCTION("GOOGLETRANSLATE(K39, ""de"", ""en"")"),"During wartime, Klootschießen was adapted as a military exercise to improve physical skills.")</f>
        <v>During wartime, Klootschießen was adapted as a military exercise to improve physical skills.</v>
      </c>
      <c r="G39" s="10">
        <v>38.0</v>
      </c>
      <c r="H39" s="9" t="s">
        <v>2367</v>
      </c>
      <c r="I39" s="9" t="str">
        <f>IFERROR(__xludf.DUMMYFUNCTION(" GOOGLETRANSLATE(C39, ""en"", ""de"")"),"A. Es war verboten. B. Es wurde zu einer Militärübung. C. Es diente der Jugenderziehung. D. Es wurde heimlich gespielt.")</f>
        <v>A. Es war verboten. B. Es wurde zu einer Militärübung. C. Es diente der Jugenderziehung. D. Es wurde heimlich gespielt.</v>
      </c>
      <c r="J39" s="9" t="s">
        <v>2368</v>
      </c>
      <c r="K39" s="9" t="s">
        <v>2369</v>
      </c>
    </row>
    <row r="40" ht="22.5" customHeight="1">
      <c r="A40" s="18">
        <v>39.0</v>
      </c>
      <c r="B40" s="6" t="str">
        <f>IFERROR(__xludf.DUMMYFUNCTION("GOOGLETRANSLATE(H40, ""de"", ""en"")"),"What celebrations often included Klootschießen (a traditional Frisian sport similar to bowling)?")</f>
        <v>What celebrations often included Klootschießen (a traditional Frisian sport similar to bowling)?</v>
      </c>
      <c r="C40" s="7" t="s">
        <v>2370</v>
      </c>
      <c r="D40" s="6" t="str">
        <f>IFERROR(__xludf.DUMMYFUNCTION("GOOGLETRANSLATE(J40, ""de"", ""en"")"),"Country weddings")</f>
        <v>Country weddings</v>
      </c>
      <c r="E40" s="6" t="str">
        <f>IFERROR(__xludf.DUMMYFUNCTION("GOOGLETRANSLATE(K40, ""de"", ""en"")"),"At weddings in the countryside, Klootschießen (a traditional Frisian sport) was often a form of communal entertainment.")</f>
        <v>At weddings in the countryside, Klootschießen (a traditional Frisian sport) was often a form of communal entertainment.</v>
      </c>
      <c r="G40" s="8">
        <v>39.0</v>
      </c>
      <c r="H40" s="9" t="s">
        <v>2371</v>
      </c>
      <c r="I40" s="9" t="str">
        <f>IFERROR(__xludf.DUMMYFUNCTION(" GOOGLETRANSLATE(C40, ""en"", ""de"")"),"A. Ländliche Hochzeiten B. Weihnachtsfeiern C. Siegesparaden D. Frühlingsfeste")</f>
        <v>A. Ländliche Hochzeiten B. Weihnachtsfeiern C. Siegesparaden D. Frühlingsfeste</v>
      </c>
      <c r="J40" s="9" t="s">
        <v>2372</v>
      </c>
      <c r="K40" s="9" t="s">
        <v>2373</v>
      </c>
    </row>
    <row r="41" ht="22.5" customHeight="1">
      <c r="A41" s="18">
        <v>40.0</v>
      </c>
      <c r="B41" s="6" t="str">
        <f>IFERROR(__xludf.DUMMYFUNCTION("GOOGLETRANSLATE(H41, ""de"", ""en"")"),"When did the Klootschießen clubs first begin to be founded?")</f>
        <v>When did the Klootschießen clubs first begin to be founded?</v>
      </c>
      <c r="C41" s="7" t="s">
        <v>2374</v>
      </c>
      <c r="D41" s="6" t="str">
        <f>IFERROR(__xludf.DUMMYFUNCTION("GOOGLETRANSLATE(J41, ""de"", ""en"")"),"19th century")</f>
        <v>19th century</v>
      </c>
      <c r="E41" s="6" t="str">
        <f>IFERROR(__xludf.DUMMYFUNCTION("GOOGLETRANSLATE(K41, ""de"", ""en"")"),"In the 19th century, Klootschießen clubs began to be founded in order to organize and standardize the sport.")</f>
        <v>In the 19th century, Klootschießen clubs began to be founded in order to organize and standardize the sport.</v>
      </c>
      <c r="G41" s="10">
        <v>40.0</v>
      </c>
      <c r="H41" s="9" t="s">
        <v>2375</v>
      </c>
      <c r="I41" s="9" t="str">
        <f>IFERROR(__xludf.DUMMYFUNCTION(" GOOGLETRANSLATE(C41, ""en"", ""de"")"),"A. 18. Jahrhundert B. 19. Jahrhundert C. 20. Jahrhundert D. 21. Jahrhundert")</f>
        <v>A. 18. Jahrhundert B. 19. Jahrhundert C. 20. Jahrhundert D. 21. Jahrhundert</v>
      </c>
      <c r="J41" s="9" t="s">
        <v>300</v>
      </c>
      <c r="K41" s="9" t="s">
        <v>2376</v>
      </c>
    </row>
    <row r="42" ht="22.5" customHeight="1">
      <c r="A42" s="18">
        <v>41.0</v>
      </c>
      <c r="B42" s="6" t="str">
        <f>IFERROR(__xludf.DUMMYFUNCTION("GOOGLETRANSLATE(H42, ""de"", ""en"")"),"What historical event led to international Klootschießen competitions?")</f>
        <v>What historical event led to international Klootschießen competitions?</v>
      </c>
      <c r="C42" s="7" t="s">
        <v>2377</v>
      </c>
      <c r="D42" s="6" t="str">
        <f>IFERROR(__xludf.DUMMYFUNCTION("GOOGLETRANSLATE(J42, ""de"", ""en"")"),"Sports exchange after the Second World War")</f>
        <v>Sports exchange after the Second World War</v>
      </c>
      <c r="E42" s="6" t="str">
        <f>IFERROR(__xludf.DUMMYFUNCTION("GOOGLETRANSLATE(K42, ""de"", ""en"")"),"Post-World War II sporting exchanges promoted international Klootschießen competitions as a form of cultural exchange.")</f>
        <v>Post-World War II sporting exchanges promoted international Klootschießen competitions as a form of cultural exchange.</v>
      </c>
      <c r="G42" s="8">
        <v>41.0</v>
      </c>
      <c r="H42" s="9" t="s">
        <v>2378</v>
      </c>
      <c r="I42" s="9" t="str">
        <f>IFERROR(__xludf.DUMMYFUNCTION(" GOOGLETRANSLATE(C42, ""en"", ""de"")"),"A. Weltausstellungen B. Sportaustausch nach dem Zweiten Weltkrieg C. Entstehung der EU D. Einfluss der Olympischen Spiele")</f>
        <v>A. Weltausstellungen B. Sportaustausch nach dem Zweiten Weltkrieg C. Entstehung der EU D. Einfluss der Olympischen Spiele</v>
      </c>
      <c r="J42" s="9" t="s">
        <v>2379</v>
      </c>
      <c r="K42" s="9" t="s">
        <v>2380</v>
      </c>
    </row>
    <row r="43" ht="22.5" customHeight="1">
      <c r="A43" s="18">
        <v>42.0</v>
      </c>
      <c r="B43" s="6" t="str">
        <f>IFERROR(__xludf.DUMMYFUNCTION("GOOGLETRANSLATE(H43, ""de"", ""en"")"),"What historical challenges does Klootschießen face in urban areas?")</f>
        <v>What historical challenges does Klootschießen face in urban areas?</v>
      </c>
      <c r="C43" s="7" t="s">
        <v>2381</v>
      </c>
      <c r="D43" s="6" t="str">
        <f>IFERROR(__xludf.DUMMYFUNCTION("GOOGLETRANSLATE(J43, ""de"", ""en"")"),"Lack of space")</f>
        <v>Lack of space</v>
      </c>
      <c r="E43" s="6" t="str">
        <f>IFERROR(__xludf.DUMMYFUNCTION("GOOGLETRANSLATE(K43, ""de"", ""en"")"),"Urbanization brought challenges such as lack of space, which made it difficult to play Klootschießen in cities.")</f>
        <v>Urbanization brought challenges such as lack of space, which made it difficult to play Klootschießen in cities.</v>
      </c>
      <c r="G43" s="10">
        <v>42.0</v>
      </c>
      <c r="H43" s="9" t="s">
        <v>2382</v>
      </c>
      <c r="I43" s="9" t="str">
        <f>IFERROR(__xludf.DUMMYFUNCTION(" GOOGLETRANSLATE(C43, ""en"", ""de"")"),"A. Platzmangel B. Hohe Ausrüstungskosten C. Verbot durch städtische Behörden D. Belange des Gemeinwohls")</f>
        <v>A. Platzmangel B. Hohe Ausrüstungskosten C. Verbot durch städtische Behörden D. Belange des Gemeinwohls</v>
      </c>
      <c r="J43" s="9" t="s">
        <v>2383</v>
      </c>
      <c r="K43" s="9" t="s">
        <v>2384</v>
      </c>
    </row>
    <row r="44" ht="22.5" customHeight="1">
      <c r="A44" s="18">
        <v>43.0</v>
      </c>
      <c r="B44" s="6" t="str">
        <f>IFERROR(__xludf.DUMMYFUNCTION("GOOGLETRANSLATE(H44, ""de"", ""en"")"),"In which year did the first international Klootschießen championship take place?")</f>
        <v>In which year did the first international Klootschießen championship take place?</v>
      </c>
      <c r="C44" s="7" t="s">
        <v>2385</v>
      </c>
      <c r="D44" s="6" t="str">
        <f>IFERROR(__xludf.DUMMYFUNCTION("GOOGLETRANSLATE(J44, ""de"", ""en"")"),"1965")</f>
        <v>1965</v>
      </c>
      <c r="E44" s="6" t="str">
        <f>IFERROR(__xludf.DUMMYFUNCTION("GOOGLETRANSLATE(K44, ""de"", ""en"")"),"The first international Klootschießen championship took place in 1965, with players from several countries participating.")</f>
        <v>The first international Klootschießen championship took place in 1965, with players from several countries participating.</v>
      </c>
      <c r="G44" s="8">
        <v>43.0</v>
      </c>
      <c r="H44" s="9" t="s">
        <v>2386</v>
      </c>
      <c r="I44" s="9" t="str">
        <f>IFERROR(__xludf.DUMMYFUNCTION(" GOOGLETRANSLATE(C44, ""en"", ""de"")"),"A. 1950 B. 1965 C. 1975 D. 1980")</f>
        <v>A. 1950 B. 1965 C. 1975 D. 1980</v>
      </c>
      <c r="J44" s="11">
        <v>1965.0</v>
      </c>
      <c r="K44" s="9" t="s">
        <v>2387</v>
      </c>
    </row>
    <row r="45" ht="22.5" customHeight="1">
      <c r="A45" s="18">
        <v>44.0</v>
      </c>
      <c r="B45" s="6" t="str">
        <f>IFERROR(__xludf.DUMMYFUNCTION("GOOGLETRANSLATE(H45, ""de"", ""en"")"),"What significant cultural shift in the 20th century supported the growth of Klootschießen?")</f>
        <v>What significant cultural shift in the 20th century supported the growth of Klootschießen?</v>
      </c>
      <c r="C45" s="7" t="s">
        <v>2388</v>
      </c>
      <c r="D45" s="6" t="str">
        <f>IFERROR(__xludf.DUMMYFUNCTION("GOOGLETRANSLATE(J45, ""de"", ""en"")"),"More free time")</f>
        <v>More free time</v>
      </c>
      <c r="E45" s="6" t="str">
        <f>IFERROR(__xludf.DUMMYFUNCTION("GOOGLETRANSLATE(K45, ""de"", ""en"")"),"The increase in leisure time during the 20th century enabled more people to master Klootschießen (a traditional Frisian sport).")</f>
        <v>The increase in leisure time during the 20th century enabled more people to master Klootschießen (a traditional Frisian sport).</v>
      </c>
      <c r="G45" s="10">
        <v>44.0</v>
      </c>
      <c r="H45" s="9" t="s">
        <v>2389</v>
      </c>
      <c r="I45" s="9" t="str">
        <f>IFERROR(__xludf.DUMMYFUNCTION(" GOOGLETRANSLATE(C45, ""en"", ""de"")"),"A. Mehr Freizeit B. Verbesserter Nahverkehr C. Staatliche Förderung des Sports D. Der Aufstieg des Tourismus")</f>
        <v>A. Mehr Freizeit B. Verbesserter Nahverkehr C. Staatliche Förderung des Sports D. Der Aufstieg des Tourismus</v>
      </c>
      <c r="J45" s="9" t="s">
        <v>2390</v>
      </c>
      <c r="K45" s="9" t="s">
        <v>2391</v>
      </c>
    </row>
    <row r="46" ht="22.5" customHeight="1">
      <c r="A46" s="18">
        <v>45.0</v>
      </c>
      <c r="B46" s="6" t="str">
        <f>IFERROR(__xludf.DUMMYFUNCTION("GOOGLETRANSLATE(H46, ""de"", ""en"")"),"What role did local craftsmen historically play in Klootschießen (a traditional Frisian sport)?")</f>
        <v>What role did local craftsmen historically play in Klootschießen (a traditional Frisian sport)?</v>
      </c>
      <c r="C46" s="7" t="s">
        <v>2392</v>
      </c>
      <c r="D46" s="6" t="str">
        <f>IFERROR(__xludf.DUMMYFUNCTION("GOOGLETRANSLATE(J46, ""de"", ""en"")"),"Making balls")</f>
        <v>Making balls</v>
      </c>
      <c r="E46" s="6" t="str">
        <f>IFERROR(__xludf.DUMMYFUNCTION("GOOGLETRANSLATE(K46, ""de"", ""en"")"),"Local craftsmen were often responsible for the production of the balls used in Klootschießen (a traditional Frisian sport).")</f>
        <v>Local craftsmen were often responsible for the production of the balls used in Klootschießen (a traditional Frisian sport).</v>
      </c>
      <c r="G46" s="8">
        <v>45.0</v>
      </c>
      <c r="H46" s="9" t="s">
        <v>2393</v>
      </c>
      <c r="I46" s="9" t="str">
        <f>IFERROR(__xludf.DUMMYFUNCTION(" GOOGLETRANSLATE(C46, ""en"", ""de"")"),"A. Bälle herstellen B. Spiele organisieren C. Spieler trainieren D. Uniformen bereitstellen")</f>
        <v>A. Bälle herstellen B. Spiele organisieren C. Spieler trainieren D. Uniformen bereitstellen</v>
      </c>
      <c r="J46" s="9" t="s">
        <v>2394</v>
      </c>
      <c r="K46" s="9" t="s">
        <v>2395</v>
      </c>
    </row>
    <row r="47" ht="22.5" customHeight="1">
      <c r="A47" s="18">
        <v>46.0</v>
      </c>
      <c r="B47" s="6" t="str">
        <f>IFERROR(__xludf.DUMMYFUNCTION("GOOGLETRANSLATE(H47, ""de"", ""en"")"),"When did Klootschießen (a traditional Frisian sport similar to bowling) begin to gain popularity in Germany?")</f>
        <v>When did Klootschießen (a traditional Frisian sport similar to bowling) begin to gain popularity in Germany?</v>
      </c>
      <c r="C47" s="7" t="s">
        <v>2396</v>
      </c>
      <c r="D47" s="6" t="str">
        <f>IFERROR(__xludf.DUMMYFUNCTION("GOOGLETRANSLATE(J47, ""de"", ""en"")"),"1600s")</f>
        <v>1600s</v>
      </c>
      <c r="E47" s="6" t="str">
        <f>IFERROR(__xludf.DUMMYFUNCTION("GOOGLETRANSLATE(K47, ""de"", ""en"")"),"Klootschießen (a traditional Frisian sport) became increasingly popular in the 16th century, when the sport was already documented in rural Germany.")</f>
        <v>Klootschießen (a traditional Frisian sport) became increasingly popular in the 16th century, when the sport was already documented in rural Germany.</v>
      </c>
      <c r="G47" s="10">
        <v>46.0</v>
      </c>
      <c r="H47" s="9" t="s">
        <v>2397</v>
      </c>
      <c r="I47" s="9" t="str">
        <f>IFERROR(__xludf.DUMMYFUNCTION(" GOOGLETRANSLATE(C47, ""en"", ""de"")"),"A. 1600er Jahre B. 1700er Jahre C. 1800er Jahre D. 1900er Jahre")</f>
        <v>A. 1600er Jahre B. 1700er Jahre C. 1800er Jahre D. 1900er Jahre</v>
      </c>
      <c r="J47" s="9" t="s">
        <v>2398</v>
      </c>
      <c r="K47" s="9" t="s">
        <v>2399</v>
      </c>
    </row>
    <row r="48" ht="22.5" customHeight="1">
      <c r="A48" s="18">
        <v>47.0</v>
      </c>
      <c r="B48" s="6" t="str">
        <f>IFERROR(__xludf.DUMMYFUNCTION("GOOGLETRANSLATE(H48, ""de"", ""en"")"),"What is the main object used in Klootschießen (a traditional Frisian sport)?")</f>
        <v>What is the main object used in Klootschießen (a traditional Frisian sport)?</v>
      </c>
      <c r="C48" s="7" t="s">
        <v>2400</v>
      </c>
      <c r="D48" s="6" t="str">
        <f>IFERROR(__xludf.DUMMYFUNCTION("GOOGLETRANSLATE(J48, ""de"", ""en"")"),"A ball")</f>
        <v>A ball</v>
      </c>
      <c r="E48" s="6" t="str">
        <f>IFERROR(__xludf.DUMMYFUNCTION("GOOGLETRANSLATE(K48, ""de"", ""en"")"),"The main object in Klootschießen is a heavy ball, the so-called Kloot.")</f>
        <v>The main object in Klootschießen is a heavy ball, the so-called Kloot.</v>
      </c>
      <c r="G48" s="8">
        <v>47.0</v>
      </c>
      <c r="H48" s="9" t="s">
        <v>2401</v>
      </c>
      <c r="I48" s="9" t="str">
        <f>IFERROR(__xludf.DUMMYFUNCTION(" GOOGLETRANSLATE(C48, ""en"", ""de"")"),"A. Ein Ball B. Ein Stein C. Eine Holzscheibe D. Ein Metallring")</f>
        <v>A. Ein Ball B. Ein Stein C. Eine Holzscheibe D. Ein Metallring</v>
      </c>
      <c r="J48" s="9" t="s">
        <v>2402</v>
      </c>
      <c r="K48" s="9" t="s">
        <v>2403</v>
      </c>
    </row>
    <row r="49" ht="22.5" customHeight="1">
      <c r="A49" s="18">
        <v>48.0</v>
      </c>
      <c r="B49" s="6" t="str">
        <f>IFERROR(__xludf.DUMMYFUNCTION("GOOGLETRANSLATE(H49, ""de"", ""en"")"),"Which region in Germany is considered the birthplace of Klootschießen (a traditional Frisian sport)?")</f>
        <v>Which region in Germany is considered the birthplace of Klootschießen (a traditional Frisian sport)?</v>
      </c>
      <c r="C49" s="7" t="s">
        <v>2404</v>
      </c>
      <c r="D49" s="6" t="str">
        <f>IFERROR(__xludf.DUMMYFUNCTION("GOOGLETRANSLATE(J49, ""de"", ""en"")"),"Lower Saxony")</f>
        <v>Lower Saxony</v>
      </c>
      <c r="E49" s="6" t="str">
        <f>IFERROR(__xludf.DUMMYFUNCTION("GOOGLETRANSLATE(K49, ""de"", ""en"")"),"Klootschießen originated in Lower Saxony, especially in rural areas.")</f>
        <v>Klootschießen originated in Lower Saxony, especially in rural areas.</v>
      </c>
      <c r="G49" s="10">
        <v>48.0</v>
      </c>
      <c r="H49" s="9" t="s">
        <v>2405</v>
      </c>
      <c r="I49" s="9" t="str">
        <f>IFERROR(__xludf.DUMMYFUNCTION(" GOOGLETRANSLATE(C49, ""en"", ""de"")"),"A. Bayern B. Niedersachsen C. Schleswig-Holstein D. Sachsen")</f>
        <v>A. Bayern B. Niedersachsen C. Schleswig-Holstein D. Sachsen</v>
      </c>
      <c r="J49" s="9" t="s">
        <v>273</v>
      </c>
      <c r="K49" s="9" t="s">
        <v>2406</v>
      </c>
    </row>
    <row r="50" ht="22.5" customHeight="1">
      <c r="A50" s="18">
        <v>49.0</v>
      </c>
      <c r="B50" s="6" t="str">
        <f>IFERROR(__xludf.DUMMYFUNCTION("GOOGLETRANSLATE(H50, ""de"", ""en"")"),"What is the traditional throwing distance in Klootschießen (a traditional Frisian sport)?")</f>
        <v>What is the traditional throwing distance in Klootschießen (a traditional Frisian sport)?</v>
      </c>
      <c r="C50" s="7" t="s">
        <v>2407</v>
      </c>
      <c r="D50" s="6" t="str">
        <f>IFERROR(__xludf.DUMMYFUNCTION("GOOGLETRANSLATE(J50, ""de"", ""en"")"),"150 meters")</f>
        <v>150 meters</v>
      </c>
      <c r="E50" s="6" t="str">
        <f>IFERROR(__xludf.DUMMYFUNCTION("GOOGLETRANSLATE(K50, ""de"", ""en"")"),"The traditional throwing distance in Klootschießen is approximately 150 meters, depending on the terrain.")</f>
        <v>The traditional throwing distance in Klootschießen is approximately 150 meters, depending on the terrain.</v>
      </c>
      <c r="G50" s="8">
        <v>49.0</v>
      </c>
      <c r="H50" s="9" t="s">
        <v>2408</v>
      </c>
      <c r="I50" s="9" t="str">
        <f>IFERROR(__xludf.DUMMYFUNCTION(" GOOGLETRANSLATE(C50, ""en"", ""de"")"),"A. 50 Meter B. 100 Meter C. 150 Meter D. 200 Meter")</f>
        <v>A. 50 Meter B. 100 Meter C. 150 Meter D. 200 Meter</v>
      </c>
      <c r="J50" s="9" t="s">
        <v>2409</v>
      </c>
      <c r="K50" s="9" t="s">
        <v>2410</v>
      </c>
    </row>
    <row r="51" ht="22.5" customHeight="1">
      <c r="A51" s="18">
        <v>50.0</v>
      </c>
      <c r="B51" s="6" t="str">
        <f>IFERROR(__xludf.DUMMYFUNCTION("GOOGLETRANSLATE(H51, ""de"", ""en"")"),"How is the winner determined in Klootschießen (a traditional Frisian sport)?")</f>
        <v>How is the winner determined in Klootschießen (a traditional Frisian sport)?</v>
      </c>
      <c r="C51" s="7" t="s">
        <v>2411</v>
      </c>
      <c r="D51" s="6" t="str">
        <f>IFERROR(__xludf.DUMMYFUNCTION("GOOGLETRANSLATE(J51, ""de"", ""en"")"),"Longest throw")</f>
        <v>Longest throw</v>
      </c>
      <c r="E51" s="6" t="str">
        <f>IFERROR(__xludf.DUMMYFUNCTION("GOOGLETRANSLATE(K51, ""de"", ""en"")"),"The winner of the Klootschießen (a traditional Frisian sport) is determined by the longest throw of the Kloot.")</f>
        <v>The winner of the Klootschießen (a traditional Frisian sport) is determined by the longest throw of the Kloot.</v>
      </c>
      <c r="G51" s="10">
        <v>50.0</v>
      </c>
      <c r="H51" s="9" t="s">
        <v>2412</v>
      </c>
      <c r="I51" s="9" t="str">
        <f>IFERROR(__xludf.DUMMYFUNCTION(" GOOGLETRANSLATE(C51, ""en"", ""de"")"),"A. Durch den schnellsten Wurf B. Durch den präzisesten Wurf C. Durch den weitesten Wurf D. Durch die wenigsten Würfe")</f>
        <v>A. Durch den schnellsten Wurf B. Durch den präzisesten Wurf C. Durch den weitesten Wurf D. Durch die wenigsten Würfe</v>
      </c>
      <c r="J51" s="9" t="s">
        <v>2413</v>
      </c>
      <c r="K51" s="9" t="s">
        <v>2414</v>
      </c>
    </row>
    <row r="52" ht="22.5" customHeight="1">
      <c r="A52" s="18">
        <v>51.0</v>
      </c>
      <c r="B52" s="6" t="str">
        <f>IFERROR(__xludf.DUMMYFUNCTION("GOOGLETRANSLATE(H52, ""de"", ""en"")"),"What was the original purpose of Klootschießen in the 17th century?")</f>
        <v>What was the original purpose of Klootschießen in the 17th century?</v>
      </c>
      <c r="C52" s="7" t="s">
        <v>2415</v>
      </c>
      <c r="D52" s="6" t="str">
        <f>IFERROR(__xludf.DUMMYFUNCTION("GOOGLETRANSLATE(J52, ""de"", ""en"")"),"A military exercise")</f>
        <v>A military exercise</v>
      </c>
      <c r="E52" s="6" t="str">
        <f>IFERROR(__xludf.DUMMYFUNCTION("GOOGLETRANSLATE(K52, ""de"", ""en"")"),"Klootschießen was originally used as a military training exercise to improve the throwing power of soldiers.")</f>
        <v>Klootschießen was originally used as a military training exercise to improve the throwing power of soldiers.</v>
      </c>
      <c r="G52" s="8">
        <v>51.0</v>
      </c>
      <c r="H52" s="9" t="s">
        <v>2416</v>
      </c>
      <c r="I52" s="9" t="str">
        <f>IFERROR(__xludf.DUMMYFUNCTION(" GOOGLETRANSLATE(C52, ""en"", ""de"")"),"A. Eine Militärübung B. Ein Theaterstück bei einem Dorffest C. Eine Jagdmethode D. Eine Möglichkeit zur Verbesserung der Wurfkraft")</f>
        <v>A. Eine Militärübung B. Ein Theaterstück bei einem Dorffest C. Eine Jagdmethode D. Eine Möglichkeit zur Verbesserung der Wurfkraft</v>
      </c>
      <c r="J52" s="9" t="s">
        <v>2417</v>
      </c>
      <c r="K52" s="9" t="s">
        <v>2418</v>
      </c>
    </row>
    <row r="53" ht="22.5" customHeight="1">
      <c r="A53" s="18">
        <v>52.0</v>
      </c>
      <c r="B53" s="6" t="str">
        <f>IFERROR(__xludf.DUMMYFUNCTION("GOOGLETRANSLATE(H53, ""de"", ""en"")"),"How has the sport of Klootschießen evolved over time?")</f>
        <v>How has the sport of Klootschießen evolved over time?</v>
      </c>
      <c r="C53" s="7" t="s">
        <v>2419</v>
      </c>
      <c r="D53" s="6" t="str">
        <f>IFERROR(__xludf.DUMMYFUNCTION("GOOGLETRANSLATE(J53, ""de"", ""en"")"),"It became a competitive sport")</f>
        <v>It became a competitive sport</v>
      </c>
      <c r="E53" s="6" t="str">
        <f>IFERROR(__xludf.DUMMYFUNCTION("GOOGLETRANSLATE(K53, ""de"", ""en"")"),"Klootschießen evolved into a competitive sport with formalized rules and tournaments.")</f>
        <v>Klootschießen evolved into a competitive sport with formalized rules and tournaments.</v>
      </c>
      <c r="G53" s="10">
        <v>52.0</v>
      </c>
      <c r="H53" s="9" t="s">
        <v>2420</v>
      </c>
      <c r="I53" s="9" t="str">
        <f>IFERROR(__xludf.DUMMYFUNCTION(" GOOGLETRANSLATE(C53, ""en"", ""de"")"),"A. Es entwickelte sich zu einem Wettkampfsport. B. Es wurde nach dem Ersten Weltkrieg verboten. C. Es wurde eher zu einer Indoor-Aktivität. D. Heute wird es nur noch in ländlichen Gebieten gespielt.")</f>
        <v>A. Es entwickelte sich zu einem Wettkampfsport. B. Es wurde nach dem Ersten Weltkrieg verboten. C. Es wurde eher zu einer Indoor-Aktivität. D. Heute wird es nur noch in ländlichen Gebieten gespielt.</v>
      </c>
      <c r="J53" s="9" t="s">
        <v>2421</v>
      </c>
      <c r="K53" s="9" t="s">
        <v>2422</v>
      </c>
    </row>
    <row r="54" ht="22.5" customHeight="1">
      <c r="A54" s="18">
        <v>53.0</v>
      </c>
      <c r="B54" s="6" t="str">
        <f>IFERROR(__xludf.DUMMYFUNCTION("GOOGLETRANSLATE(H54, ""de"", ""en"")"),"What is the name of the ball used in Klootschießen (a traditional Frisian sport)?")</f>
        <v>What is the name of the ball used in Klootschießen (a traditional Frisian sport)?</v>
      </c>
      <c r="C54" s="7" t="s">
        <v>2423</v>
      </c>
      <c r="D54" s="6" t="str">
        <f>IFERROR(__xludf.DUMMYFUNCTION("GOOGLETRANSLATE(J54, ""de"", ""en"")"),"Kloot")</f>
        <v>Kloot</v>
      </c>
      <c r="E54" s="6" t="str">
        <f>IFERROR(__xludf.DUMMYFUNCTION("GOOGLETRANSLATE(K54, ""de"", ""en"")"),"The ball used in Klootschießen is called a Kloot and is typically made of wood or metal.")</f>
        <v>The ball used in Klootschießen is called a Kloot and is typically made of wood or metal.</v>
      </c>
      <c r="G54" s="8">
        <v>53.0</v>
      </c>
      <c r="H54" s="9" t="s">
        <v>2424</v>
      </c>
      <c r="I54" s="9" t="str">
        <f>IFERROR(__xludf.DUMMYFUNCTION(" GOOGLETRANSLATE(C54, ""en"", ""de"")"),"A. Kloot B. Ballon C. Bullet D. Diskus")</f>
        <v>A. Kloot B. Ballon C. Bullet D. Diskus</v>
      </c>
      <c r="J54" s="9" t="s">
        <v>2425</v>
      </c>
      <c r="K54" s="9" t="s">
        <v>2426</v>
      </c>
    </row>
    <row r="55" ht="22.5" customHeight="1">
      <c r="A55" s="18">
        <v>54.0</v>
      </c>
      <c r="B55" s="6" t="str">
        <f>IFERROR(__xludf.DUMMYFUNCTION("GOOGLETRANSLATE(H55, ""de"", ""en"")"),"What is the typical team size in Klootschießen competitions?")</f>
        <v>What is the typical team size in Klootschießen competitions?</v>
      </c>
      <c r="C55" s="7" t="s">
        <v>2427</v>
      </c>
      <c r="D55" s="6" t="str">
        <f>IFERROR(__xludf.DUMMYFUNCTION("GOOGLETRANSLATE(J55, ""de"", ""en"")"),"2-4 players")</f>
        <v>2-4 players</v>
      </c>
      <c r="E55" s="6" t="str">
        <f>IFERROR(__xludf.DUMMYFUNCTION("GOOGLETRANSLATE(K55, ""de"", ""en"")"),"Klootschießen competitions are usually held in teams of 2-4 players.")</f>
        <v>Klootschießen competitions are usually held in teams of 2-4 players.</v>
      </c>
      <c r="G55" s="10">
        <v>54.0</v>
      </c>
      <c r="H55" s="9" t="s">
        <v>2428</v>
      </c>
      <c r="I55" s="9" t="str">
        <f>IFERROR(__xludf.DUMMYFUNCTION(" GOOGLETRANSLATE(C55, ""en"", ""de"")"),"A. 1 Spieler B. 2–4 Spieler C. 5–6 Spieler D. 8–10 Spieler")</f>
        <v>A. 1 Spieler B. 2–4 Spieler C. 5–6 Spieler D. 8–10 Spieler</v>
      </c>
      <c r="J55" s="9" t="s">
        <v>2429</v>
      </c>
      <c r="K55" s="9" t="s">
        <v>2430</v>
      </c>
    </row>
    <row r="56" ht="22.5" customHeight="1">
      <c r="A56" s="18">
        <v>55.0</v>
      </c>
      <c r="B56" s="6" t="str">
        <f>IFERROR(__xludf.DUMMYFUNCTION("GOOGLETRANSLATE(H56, ""de"", ""en"")"),"What type of terrain is ideally suited for Klootschießen (a traditional Frisian sport)?")</f>
        <v>What type of terrain is ideally suited for Klootschießen (a traditional Frisian sport)?</v>
      </c>
      <c r="C56" s="7" t="s">
        <v>2431</v>
      </c>
      <c r="D56" s="6" t="str">
        <f>IFERROR(__xludf.DUMMYFUNCTION("GOOGLETRANSLATE(J56, ""de"", ""en"")"),"Flat grassy fields")</f>
        <v>Flat grassy fields</v>
      </c>
      <c r="E56" s="6" t="str">
        <f>IFERROR(__xludf.DUMMYFUNCTION("GOOGLETRANSLATE(K56, ""de"", ""en"")"),"Flat lawns are the ideal terrain for Klootschießen (a traditional Frisian sport) and offer a smooth surface.")</f>
        <v>Flat lawns are the ideal terrain for Klootschießen (a traditional Frisian sport) and offer a smooth surface.</v>
      </c>
      <c r="G56" s="8">
        <v>55.0</v>
      </c>
      <c r="H56" s="9" t="s">
        <v>2432</v>
      </c>
      <c r="I56" s="9" t="str">
        <f>IFERROR(__xludf.DUMMYFUNCTION(" GOOGLETRANSLATE(C56, ""en"", ""de"")"),"A. Flache Grasflächen B. Bergregionen C. Schneebedeckte Straßen D. Kopfsteinpflasterstraßen")</f>
        <v>A. Flache Grasflächen B. Bergregionen C. Schneebedeckte Straßen D. Kopfsteinpflasterstraßen</v>
      </c>
      <c r="J56" s="9" t="s">
        <v>2433</v>
      </c>
      <c r="K56" s="9" t="s">
        <v>2434</v>
      </c>
    </row>
    <row r="57" ht="22.5" customHeight="1">
      <c r="A57" s="18">
        <v>56.0</v>
      </c>
      <c r="B57" s="6" t="str">
        <f>IFERROR(__xludf.DUMMYFUNCTION("GOOGLETRANSLATE(H57, ""de"", ""en"")"),"What major event led to the spread of Klootschießen to other countries?")</f>
        <v>What major event led to the spread of Klootschießen to other countries?</v>
      </c>
      <c r="C57" s="7" t="s">
        <v>2435</v>
      </c>
      <c r="D57" s="6" t="str">
        <f>IFERROR(__xludf.DUMMYFUNCTION("GOOGLETRANSLATE(J57, ""de"", ""en"")"),"The Napoleonic Wars")</f>
        <v>The Napoleonic Wars</v>
      </c>
      <c r="E57" s="6" t="str">
        <f>IFERROR(__xludf.DUMMYFUNCTION("GOOGLETRANSLATE(K57, ""de"", ""en"")"),"During the Napoleonic Wars, soldiers introduced Klootschießen (a traditional Frisian sport) to other parts of Europe.")</f>
        <v>During the Napoleonic Wars, soldiers introduced Klootschießen (a traditional Frisian sport) to other parts of Europe.</v>
      </c>
      <c r="G57" s="10">
        <v>56.0</v>
      </c>
      <c r="H57" s="9" t="s">
        <v>2436</v>
      </c>
      <c r="I57" s="9" t="str">
        <f>IFERROR(__xludf.DUMMYFUNCTION(" GOOGLETRANSLATE(C57, ""en"", ""de"")"),"A. Die Napoleonischen Kriege B. Der Erste Weltkrieg C. Die Industrielle Revolution D. Die Wikingerüberfälle")</f>
        <v>A. Die Napoleonischen Kriege B. Der Erste Weltkrieg C. Die Industrielle Revolution D. Die Wikingerüberfälle</v>
      </c>
      <c r="J57" s="9" t="s">
        <v>2437</v>
      </c>
      <c r="K57" s="9" t="s">
        <v>2438</v>
      </c>
    </row>
    <row r="58" ht="22.5" customHeight="1">
      <c r="A58" s="18">
        <v>57.0</v>
      </c>
      <c r="B58" s="6" t="str">
        <f>IFERROR(__xludf.DUMMYFUNCTION("GOOGLETRANSLATE(H58, ""de"", ""en"")"),"How is Klootschießen traditionally played at festivals?")</f>
        <v>How is Klootschießen traditionally played at festivals?</v>
      </c>
      <c r="C58" s="7" t="s">
        <v>2439</v>
      </c>
      <c r="D58" s="6" t="str">
        <f>IFERROR(__xludf.DUMMYFUNCTION("GOOGLETRANSLATE(J58, ""de"", ""en"")"),"In teams from several villages")</f>
        <v>In teams from several villages</v>
      </c>
      <c r="E58" s="6" t="str">
        <f>IFERROR(__xludf.DUMMYFUNCTION("GOOGLETRANSLATE(K58, ""de"", ""en"")"),"Klootschießen is traditionally played at festivals where teams from different villages compete against each other.")</f>
        <v>Klootschießen is traditionally played at festivals where teams from different villages compete against each other.</v>
      </c>
      <c r="G58" s="8">
        <v>57.0</v>
      </c>
      <c r="H58" s="9" t="s">
        <v>2440</v>
      </c>
      <c r="I58" s="9" t="str">
        <f>IFERROR(__xludf.DUMMYFUNCTION(" GOOGLETRANSLATE(C58, ""en"", ""de"")"),"A. Als Einzelherausforderung B. In Teams aus mehreren Dörfern C. In Profiligen D. In einer Reihe von Hallenturnieren")</f>
        <v>A. Als Einzelherausforderung B. In Teams aus mehreren Dörfern C. In Profiligen D. In einer Reihe von Hallenturnieren</v>
      </c>
      <c r="J58" s="9" t="s">
        <v>2441</v>
      </c>
      <c r="K58" s="9" t="s">
        <v>2442</v>
      </c>
    </row>
    <row r="59" ht="22.5" customHeight="1">
      <c r="A59" s="18">
        <v>58.0</v>
      </c>
      <c r="B59" s="6" t="str">
        <f>IFERROR(__xludf.DUMMYFUNCTION("GOOGLETRANSLATE(H59, ""de"", ""en"")"),"What material were the early Kloot balls made of?")</f>
        <v>What material were the early Kloot balls made of?</v>
      </c>
      <c r="C59" s="7" t="s">
        <v>2443</v>
      </c>
      <c r="D59" s="6" t="str">
        <f>IFERROR(__xludf.DUMMYFUNCTION("GOOGLETRANSLATE(J59, ""de"", ""en"")"),"Wood")</f>
        <v>Wood</v>
      </c>
      <c r="E59" s="6" t="str">
        <f>IFERROR(__xludf.DUMMYFUNCTION("GOOGLETRANSLATE(K59, ""de"", ""en"")"),"Early Kloot balls were made of wood and sometimes wrapped in leather for durability.")</f>
        <v>Early Kloot balls were made of wood and sometimes wrapped in leather for durability.</v>
      </c>
      <c r="G59" s="10">
        <v>58.0</v>
      </c>
      <c r="H59" s="9" t="s">
        <v>2444</v>
      </c>
      <c r="I59" s="9" t="str">
        <f>IFERROR(__xludf.DUMMYFUNCTION(" GOOGLETRANSLATE(C59, ""en"", ""de"")"),"A. Stein B. Holz C. Leder D. Bronze")</f>
        <v>A. Stein B. Holz C. Leder D. Bronze</v>
      </c>
      <c r="J59" s="9" t="s">
        <v>296</v>
      </c>
      <c r="K59" s="9" t="s">
        <v>2445</v>
      </c>
    </row>
    <row r="60" ht="22.5" customHeight="1">
      <c r="A60" s="18">
        <v>59.0</v>
      </c>
      <c r="B60" s="6" t="str">
        <f>IFERROR(__xludf.DUMMYFUNCTION("GOOGLETRANSLATE(H60, ""de"", ""en"")"),"In which century were the rules of Klootschießen formalized?")</f>
        <v>In which century were the rules of Klootschießen formalized?</v>
      </c>
      <c r="C60" s="7" t="s">
        <v>2446</v>
      </c>
      <c r="D60" s="6" t="str">
        <f>IFERROR(__xludf.DUMMYFUNCTION("GOOGLETRANSLATE(J60, ""de"", ""en"")"),"19th century")</f>
        <v>19th century</v>
      </c>
      <c r="E60" s="6" t="str">
        <f>IFERROR(__xludf.DUMMYFUNCTION("GOOGLETRANSLATE(K60, ""de"", ""en"")"),"The formalization of the Klootschießen rules took place in the 19th century.")</f>
        <v>The formalization of the Klootschießen rules took place in the 19th century.</v>
      </c>
      <c r="G60" s="8">
        <v>59.0</v>
      </c>
      <c r="H60" s="9" t="s">
        <v>2447</v>
      </c>
      <c r="I60" s="9" t="str">
        <f>IFERROR(__xludf.DUMMYFUNCTION(" GOOGLETRANSLATE(C60, ""en"", ""de"")"),"A. 16. Jahrhundert B. 17. Jahrhundert C. 18. Jahrhundert D. 19. Jahrhundert")</f>
        <v>A. 16. Jahrhundert B. 17. Jahrhundert C. 18. Jahrhundert D. 19. Jahrhundert</v>
      </c>
      <c r="J60" s="9" t="s">
        <v>300</v>
      </c>
      <c r="K60" s="9" t="s">
        <v>2448</v>
      </c>
    </row>
    <row r="61" ht="22.5" customHeight="1">
      <c r="A61" s="18">
        <v>60.0</v>
      </c>
      <c r="B61" s="6" t="str">
        <f>IFERROR(__xludf.DUMMYFUNCTION("GOOGLETRANSLATE(H61, ""de"", ""en"")"),"What is one of the key skills in Klootschießen (a traditional Frisian sport)?")</f>
        <v>What is one of the key skills in Klootschießen (a traditional Frisian sport)?</v>
      </c>
      <c r="C61" s="7" t="s">
        <v>2449</v>
      </c>
      <c r="D61" s="6" t="str">
        <f>IFERROR(__xludf.DUMMYFUNCTION("GOOGLETRANSLATE(J61, ""de"", ""en"")"),"Throw the ball accurately")</f>
        <v>Throw the ball accurately</v>
      </c>
      <c r="E61" s="6" t="str">
        <f>IFERROR(__xludf.DUMMYFUNCTION("GOOGLETRANSLATE(K61, ""de"", ""en"")"),"The key skill in Klootschießen is to throw the ball with great precision over long distances.")</f>
        <v>The key skill in Klootschießen is to throw the ball with great precision over long distances.</v>
      </c>
      <c r="G61" s="10">
        <v>60.0</v>
      </c>
      <c r="H61" s="9" t="s">
        <v>2450</v>
      </c>
      <c r="I61" s="9" t="str">
        <f>IFERROR(__xludf.DUMMYFUNCTION(" GOOGLETRANSLATE(C61, ""en"", ""de"")"),"A. Den Ball präzise werfen. B. Den Ball in der Luft fangen. C. Mit dem Ball laufen. D. Mit dem Ball jonglieren.")</f>
        <v>A. Den Ball präzise werfen. B. Den Ball in der Luft fangen. C. Mit dem Ball laufen. D. Mit dem Ball jonglieren.</v>
      </c>
      <c r="J61" s="9" t="s">
        <v>2451</v>
      </c>
      <c r="K61" s="9" t="s">
        <v>2452</v>
      </c>
    </row>
    <row r="62" ht="22.5" customHeight="1">
      <c r="A62" s="18">
        <v>61.0</v>
      </c>
      <c r="B62" s="6" t="str">
        <f>IFERROR(__xludf.DUMMYFUNCTION("GOOGLETRANSLATE(H62, ""de"", ""en"")"),"Which country besides Germany is known for having played Klootschießen (a traditional Frisian sport)?")</f>
        <v>Which country besides Germany is known for having played Klootschießen (a traditional Frisian sport)?</v>
      </c>
      <c r="C62" s="7" t="s">
        <v>2453</v>
      </c>
      <c r="D62" s="6" t="str">
        <f>IFERROR(__xludf.DUMMYFUNCTION("GOOGLETRANSLATE(J62, ""de"", ""en"")"),"The Netherlands")</f>
        <v>The Netherlands</v>
      </c>
      <c r="E62" s="6" t="str">
        <f>IFERROR(__xludf.DUMMYFUNCTION("GOOGLETRANSLATE(K62, ""de"", ""en"")"),"There is also a strong tradition of Klootschießen in the Netherlands, especially in rural areas.")</f>
        <v>There is also a strong tradition of Klootschießen in the Netherlands, especially in rural areas.</v>
      </c>
      <c r="G62" s="8">
        <v>61.0</v>
      </c>
      <c r="H62" s="9" t="s">
        <v>2454</v>
      </c>
      <c r="I62" s="9" t="str">
        <f>IFERROR(__xludf.DUMMYFUNCTION(" GOOGLETRANSLATE(C62, ""en"", ""de"")"),"A. Schweiz B. Österreich C. Niederlande D. Dänemark")</f>
        <v>A. Schweiz B. Österreich C. Niederlande D. Dänemark</v>
      </c>
      <c r="J62" s="9" t="s">
        <v>662</v>
      </c>
      <c r="K62" s="9" t="s">
        <v>2455</v>
      </c>
    </row>
    <row r="63" ht="22.5" customHeight="1">
      <c r="A63" s="18">
        <v>62.0</v>
      </c>
      <c r="B63" s="6" t="str">
        <f>IFERROR(__xludf.DUMMYFUNCTION("GOOGLETRANSLATE(H63, ""de"", ""en"")"),"What is the name given to the area where Klootschießen is played?")</f>
        <v>What is the name given to the area where Klootschießen is played?</v>
      </c>
      <c r="C63" s="7" t="s">
        <v>2456</v>
      </c>
      <c r="D63" s="6" t="str">
        <f>IFERROR(__xludf.DUMMYFUNCTION("GOOGLETRANSLATE(J63, ""de"", ""en"")"),"The course")</f>
        <v>The course</v>
      </c>
      <c r="E63" s="6" t="str">
        <f>IFERROR(__xludf.DUMMYFUNCTION("GOOGLETRANSLATE(K63, ""de"", ""en"")"),"The area where Klootschießen is played is called the course.")</f>
        <v>The area where Klootschießen is played is called the course.</v>
      </c>
      <c r="G63" s="10">
        <v>62.0</v>
      </c>
      <c r="H63" s="9" t="s">
        <v>2457</v>
      </c>
      <c r="I63" s="9" t="str">
        <f>IFERROR(__xludf.DUMMYFUNCTION(" GOOGLETRANSLATE(C63, ""en"", ""de"")"),"A. Der Ring B. Die Route C. Die Strecke D. Das Feld")</f>
        <v>A. Der Ring B. Die Route C. Die Strecke D. Das Feld</v>
      </c>
      <c r="J63" s="9" t="s">
        <v>2458</v>
      </c>
      <c r="K63" s="9" t="s">
        <v>2459</v>
      </c>
    </row>
    <row r="64" ht="22.5" customHeight="1">
      <c r="A64" s="18">
        <v>63.0</v>
      </c>
      <c r="B64" s="6" t="str">
        <f>IFERROR(__xludf.DUMMYFUNCTION("GOOGLETRANSLATE(H64, ""de"", ""en"")"),"How is the distance of a Kloot throw measured?")</f>
        <v>How is the distance of a Kloot throw measured?</v>
      </c>
      <c r="C64" s="7" t="s">
        <v>2460</v>
      </c>
      <c r="D64" s="6" t="str">
        <f>IFERROR(__xludf.DUMMYFUNCTION("GOOGLETRANSLATE(J64, ""de"", ""en"")"),"From an official referee")</f>
        <v>From an official referee</v>
      </c>
      <c r="E64" s="6" t="str">
        <f>IFERROR(__xludf.DUMMYFUNCTION("GOOGLETRANSLATE(K64, ""de"", ""en"")"),"In official competitions, the distance of a Kloot throw is measured by an official referee using standard methods.")</f>
        <v>In official competitions, the distance of a Kloot throw is measured by an official referee using standard methods.</v>
      </c>
      <c r="G64" s="8">
        <v>63.0</v>
      </c>
      <c r="H64" s="9" t="s">
        <v>2461</v>
      </c>
      <c r="I64" s="9" t="str">
        <f>IFERROR(__xludf.DUMMYFUNCTION(" GOOGLETRANSLATE(C64, ""en"", ""de"")"),"A. Mithilfe eines Maßbandes B. Von einem offiziellen Schiedsrichter C. Mit deutlichem Abstand D. Mithilfe von GPS-Geräten")</f>
        <v>A. Mithilfe eines Maßbandes B. Von einem offiziellen Schiedsrichter C. Mit deutlichem Abstand D. Mithilfe von GPS-Geräten</v>
      </c>
      <c r="J64" s="9" t="s">
        <v>2462</v>
      </c>
      <c r="K64" s="9" t="s">
        <v>2463</v>
      </c>
    </row>
    <row r="65" ht="22.5" customHeight="1">
      <c r="A65" s="18">
        <v>64.0</v>
      </c>
      <c r="B65" s="6" t="str">
        <f>IFERROR(__xludf.DUMMYFUNCTION("GOOGLETRANSLATE(H65, ""de"", ""en"")"),"What historical significance does Klootschießen have in rural German culture?")</f>
        <v>What historical significance does Klootschießen have in rural German culture?</v>
      </c>
      <c r="C65" s="7" t="s">
        <v>2464</v>
      </c>
      <c r="D65" s="6" t="str">
        <f>IFERROR(__xludf.DUMMYFUNCTION("GOOGLETRANSLATE(J65, ""de"", ""en"")"),"A form of community bonding")</f>
        <v>A form of community bonding</v>
      </c>
      <c r="E65" s="6" t="str">
        <f>IFERROR(__xludf.DUMMYFUNCTION("GOOGLETRANSLATE(K65, ""de"", ""en"")"),"Klootschießen was historically significant as a way for rural communities to unite and come together.")</f>
        <v>Klootschießen was historically significant as a way for rural communities to unite and come together.</v>
      </c>
      <c r="G65" s="10">
        <v>64.0</v>
      </c>
      <c r="H65" s="9" t="s">
        <v>2465</v>
      </c>
      <c r="I65" s="9" t="str">
        <f>IFERROR(__xludf.DUMMYFUNCTION(" GOOGLETRANSLATE(C65, ""en"", ""de"")"),"A. Eine Möglichkeit zur Vorbereitung auf den Militärdienst. B. Ein Ritual für eine gute Ernte. C. Eine Form der Gemeinschaftsbildung. D. Eine religiöse Zeremonie.")</f>
        <v>A. Eine Möglichkeit zur Vorbereitung auf den Militärdienst. B. Ein Ritual für eine gute Ernte. C. Eine Form der Gemeinschaftsbildung. D. Eine religiöse Zeremonie.</v>
      </c>
      <c r="J65" s="9" t="s">
        <v>2466</v>
      </c>
      <c r="K65" s="9" t="s">
        <v>2467</v>
      </c>
    </row>
    <row r="66" ht="22.5" customHeight="1">
      <c r="A66" s="18">
        <v>65.0</v>
      </c>
      <c r="B66" s="6" t="str">
        <f>IFERROR(__xludf.DUMMYFUNCTION("GOOGLETRANSLATE(H66, ""de"", ""en"")"),"What did players traditionally do after a Klootschießen game?")</f>
        <v>What did players traditionally do after a Klootschießen game?</v>
      </c>
      <c r="C66" s="7" t="s">
        <v>2468</v>
      </c>
      <c r="D66" s="6" t="str">
        <f>IFERROR(__xludf.DUMMYFUNCTION("GOOGLETRANSLATE(J66, ""de"", ""en"")"),"Celebrating together")</f>
        <v>Celebrating together</v>
      </c>
      <c r="E66" s="6" t="str">
        <f>IFERROR(__xludf.DUMMYFUNCTION("GOOGLETRANSLATE(K66, ""de"", ""en"")"),"After the games, the players traditionally celebrated together with a party.")</f>
        <v>After the games, the players traditionally celebrated together with a party.</v>
      </c>
      <c r="G66" s="8">
        <v>65.0</v>
      </c>
      <c r="H66" s="9" t="s">
        <v>2469</v>
      </c>
      <c r="I66" s="9" t="str">
        <f>IFERROR(__xludf.DUMMYFUNCTION(" GOOGLETRANSLATE(C66, ""en"", ""de"")"),"A. Gemeinsam feiern B. Den Ball dem Siegerteam überreichen C. Ein Turnier organisieren D. Auf zukünftige Spiele wetten")</f>
        <v>A. Gemeinsam feiern B. Den Ball dem Siegerteam überreichen C. Ein Turnier organisieren D. Auf zukünftige Spiele wetten</v>
      </c>
      <c r="J66" s="9" t="s">
        <v>2470</v>
      </c>
      <c r="K66" s="9" t="s">
        <v>2471</v>
      </c>
    </row>
    <row r="67" ht="22.5" customHeight="1">
      <c r="A67" s="18">
        <v>66.0</v>
      </c>
      <c r="B67" s="6" t="str">
        <f>IFERROR(__xludf.DUMMYFUNCTION("GOOGLETRANSLATE(H67, ""de"", ""en"")"),"In which century was Klootschießen introduced in the Netherlands?")</f>
        <v>In which century was Klootschießen introduced in the Netherlands?</v>
      </c>
      <c r="C67" s="7" t="s">
        <v>2446</v>
      </c>
      <c r="D67" s="6" t="str">
        <f>IFERROR(__xludf.DUMMYFUNCTION("GOOGLETRANSLATE(J67, ""de"", ""en"")"),"17th century")</f>
        <v>17th century</v>
      </c>
      <c r="E67" s="6" t="str">
        <f>IFERROR(__xludf.DUMMYFUNCTION("GOOGLETRANSLATE(K67, ""de"", ""en"")"),"Klootschießen was introduced in the Netherlands in the 17th century.")</f>
        <v>Klootschießen was introduced in the Netherlands in the 17th century.</v>
      </c>
      <c r="G67" s="10">
        <v>66.0</v>
      </c>
      <c r="H67" s="9" t="s">
        <v>2472</v>
      </c>
      <c r="I67" s="9" t="str">
        <f>IFERROR(__xludf.DUMMYFUNCTION(" GOOGLETRANSLATE(C67, ""en"", ""de"")"),"A. 16. Jahrhundert B. 17. Jahrhundert C. 18. Jahrhundert D. 19. Jahrhundert")</f>
        <v>A. 16. Jahrhundert B. 17. Jahrhundert C. 18. Jahrhundert D. 19. Jahrhundert</v>
      </c>
      <c r="J67" s="9" t="s">
        <v>432</v>
      </c>
      <c r="K67" s="9" t="s">
        <v>2473</v>
      </c>
    </row>
    <row r="68" ht="22.5" customHeight="1">
      <c r="A68" s="18">
        <v>67.0</v>
      </c>
      <c r="B68" s="6" t="str">
        <f>IFERROR(__xludf.DUMMYFUNCTION("GOOGLETRANSLATE(H68, ""de"", ""en"")"),"How many rounds are usually played in a Klootschießen competition?")</f>
        <v>How many rounds are usually played in a Klootschießen competition?</v>
      </c>
      <c r="C68" s="7" t="s">
        <v>2474</v>
      </c>
      <c r="D68" s="6" t="str">
        <f>IFERROR(__xludf.DUMMYFUNCTION("GOOGLETRANSLATE(J68, ""de"", ""en"")"),"3-5 rounds")</f>
        <v>3-5 rounds</v>
      </c>
      <c r="E68" s="6" t="str">
        <f>IFERROR(__xludf.DUMMYFUNCTION("GOOGLETRANSLATE(K68, ""de"", ""en"")"),"Most Klootschießen competitions consist of 3 to 5 throwing rounds.")</f>
        <v>Most Klootschießen competitions consist of 3 to 5 throwing rounds.</v>
      </c>
      <c r="G68" s="8">
        <v>67.0</v>
      </c>
      <c r="H68" s="9" t="s">
        <v>2475</v>
      </c>
      <c r="I68" s="9" t="str">
        <f>IFERROR(__xludf.DUMMYFUNCTION(" GOOGLETRANSLATE(C68, ""en"", ""de"")"),"A. 3–5 Runden B. 6–10 Runden C. 10–15 Runden D. 15–20 Runden")</f>
        <v>A. 3–5 Runden B. 6–10 Runden C. 10–15 Runden D. 15–20 Runden</v>
      </c>
      <c r="J68" s="9" t="s">
        <v>2476</v>
      </c>
      <c r="K68" s="9" t="s">
        <v>2477</v>
      </c>
    </row>
    <row r="69" ht="22.5" customHeight="1">
      <c r="A69" s="18">
        <v>68.0</v>
      </c>
      <c r="B69" s="6" t="str">
        <f>IFERROR(__xludf.DUMMYFUNCTION("GOOGLETRANSLATE(H69, ""de"", ""en"")"),"What was one of the original advantages of Klootschießen for farmers?")</f>
        <v>What was one of the original advantages of Klootschießen for farmers?</v>
      </c>
      <c r="C69" s="7" t="s">
        <v>2478</v>
      </c>
      <c r="D69" s="6" t="str">
        <f>IFERROR(__xludf.DUMMYFUNCTION("GOOGLETRANSLATE(J69, ""de"", ""en"")"),"Improved power for work")</f>
        <v>Improved power for work</v>
      </c>
      <c r="E69" s="6" t="str">
        <f>IFERROR(__xludf.DUMMYFUNCTION("GOOGLETRANSLATE(K69, ""de"", ""en"")"),"Klootschießen helped to improve the strength and endurance of farmers in their physical work.")</f>
        <v>Klootschießen helped to improve the strength and endurance of farmers in their physical work.</v>
      </c>
      <c r="G69" s="10">
        <v>68.0</v>
      </c>
      <c r="H69" s="9" t="s">
        <v>2479</v>
      </c>
      <c r="I69" s="9" t="str">
        <f>IFERROR(__xludf.DUMMYFUNCTION(" GOOGLETRANSLATE(C69, ""en"", ""de"")"),"A. Verbesserte Leistungsfähigkeit im Beruf B. Förderung von Teamarbeit C. Mentale Entspannung D. Religiöse Erfüllung")</f>
        <v>A. Verbesserte Leistungsfähigkeit im Beruf B. Förderung von Teamarbeit C. Mentale Entspannung D. Religiöse Erfüllung</v>
      </c>
      <c r="J69" s="9" t="s">
        <v>2480</v>
      </c>
      <c r="K69" s="9" t="s">
        <v>2481</v>
      </c>
    </row>
    <row r="70" ht="22.5" customHeight="1">
      <c r="A70" s="18">
        <v>69.0</v>
      </c>
      <c r="B70" s="6" t="str">
        <f>IFERROR(__xludf.DUMMYFUNCTION("GOOGLETRANSLATE(H70, ""de"", ""en"")"),"What modern-day equivalent is Klootschießen similar to?")</f>
        <v>What modern-day equivalent is Klootschießen similar to?</v>
      </c>
      <c r="C70" s="7" t="s">
        <v>2482</v>
      </c>
      <c r="D70" s="6" t="str">
        <f>IFERROR(__xludf.DUMMYFUNCTION("GOOGLETRANSLATE(J70, ""de"", ""en"")"),"Lawn bowling")</f>
        <v>Lawn bowling</v>
      </c>
      <c r="E70" s="6" t="str">
        <f>IFERROR(__xludf.DUMMYFUNCTION("GOOGLETRANSLATE(K70, ""de"", ""en"")"),"Klootschießen is often compared to lawn bowling due to the use of a ball and target.")</f>
        <v>Klootschießen is often compared to lawn bowling due to the use of a ball and target.</v>
      </c>
      <c r="G70" s="8">
        <v>69.0</v>
      </c>
      <c r="H70" s="9" t="s">
        <v>2483</v>
      </c>
      <c r="I70" s="9" t="str">
        <f>IFERROR(__xludf.DUMMYFUNCTION(" GOOGLETRANSLATE(C70, ""en"", ""de"")"),"A. Fußball B. Golf C. Krocket D. Rasenbowling")</f>
        <v>A. Fußball B. Golf C. Krocket D. Rasenbowling</v>
      </c>
      <c r="J70" s="9" t="s">
        <v>2484</v>
      </c>
      <c r="K70" s="9" t="s">
        <v>2485</v>
      </c>
    </row>
    <row r="71" ht="22.5" customHeight="1">
      <c r="A71" s="18">
        <v>70.0</v>
      </c>
      <c r="B71" s="6" t="str">
        <f>IFERROR(__xludf.DUMMYFUNCTION("GOOGLETRANSLATE(H71, ""de"", ""en"")"),"What is the main characteristic of a Kloot-Ball?")</f>
        <v>What is the main characteristic of a Kloot-Ball?</v>
      </c>
      <c r="C71" s="7" t="s">
        <v>2486</v>
      </c>
      <c r="D71" s="6" t="str">
        <f>IFERROR(__xludf.DUMMYFUNCTION("GOOGLETRANSLATE(J71, ""de"", ""en"")"),"It is heavy and solid")</f>
        <v>It is heavy and solid</v>
      </c>
      <c r="E71" s="6" t="str">
        <f>IFERROR(__xludf.DUMMYFUNCTION("GOOGLETRANSLATE(K71, ""de"", ""en"")"),"Kloot balls are heavy and solid and are usually made of wood or metal to allow throws over long distances.")</f>
        <v>Kloot balls are heavy and solid and are usually made of wood or metal to allow throws over long distances.</v>
      </c>
      <c r="G71" s="10">
        <v>70.0</v>
      </c>
      <c r="H71" s="9" t="s">
        <v>2487</v>
      </c>
      <c r="I71" s="9" t="str">
        <f>IFERROR(__xludf.DUMMYFUNCTION(" GOOGLETRANSLATE(C71, ""en"", ""de"")"),"A. Es ist einfach. B. Es ist aus Gummi. C. Es ist schwer und massiv. D. Es ist hohl.")</f>
        <v>A. Es ist einfach. B. Es ist aus Gummi. C. Es ist schwer und massiv. D. Es ist hohl.</v>
      </c>
      <c r="J71" s="9" t="s">
        <v>2488</v>
      </c>
      <c r="K71" s="9" t="s">
        <v>2489</v>
      </c>
    </row>
    <row r="72" ht="22.5" customHeight="1">
      <c r="A72" s="18">
        <v>71.0</v>
      </c>
      <c r="B72" s="6" t="str">
        <f>IFERROR(__xludf.DUMMYFUNCTION("GOOGLETRANSLATE(H72, ""de"", ""en"")"),"Which other sport is most similar to Klootschießen?")</f>
        <v>Which other sport is most similar to Klootschießen?</v>
      </c>
      <c r="C72" s="7" t="s">
        <v>2490</v>
      </c>
      <c r="D72" s="6" t="str">
        <f>IFERROR(__xludf.DUMMYFUNCTION("GOOGLETRANSLATE(J72, ""de"", ""en"")"),"shot put")</f>
        <v>shot put</v>
      </c>
      <c r="E72" s="6" t="str">
        <f>IFERROR(__xludf.DUMMYFUNCTION("GOOGLETRANSLATE(K72, ""de"", ""en"")"),"Klootschießen is most similar to shot put, as a heavy object is thrown over a long distance.")</f>
        <v>Klootschießen is most similar to shot put, as a heavy object is thrown over a long distance.</v>
      </c>
      <c r="G72" s="8">
        <v>71.0</v>
      </c>
      <c r="H72" s="9" t="s">
        <v>2491</v>
      </c>
      <c r="I72" s="9" t="str">
        <f>IFERROR(__xludf.DUMMYFUNCTION(" GOOGLETRANSLATE(C72, ""en"", ""de"")"),"A. Bowling B. Kugelstoßen C. Speerwerfen D. Diskuswerfen")</f>
        <v>A. Bowling B. Kugelstoßen C. Speerwerfen D. Diskuswerfen</v>
      </c>
      <c r="J72" s="9" t="s">
        <v>2492</v>
      </c>
      <c r="K72" s="9" t="s">
        <v>2493</v>
      </c>
    </row>
    <row r="73" ht="22.5" customHeight="1">
      <c r="A73" s="18">
        <v>72.0</v>
      </c>
      <c r="B73" s="6" t="str">
        <f>IFERROR(__xludf.DUMMYFUNCTION("GOOGLETRANSLATE(H73, ""de"", ""en"")"),"What important cultural tradition is associated with the Klootschießen festivals?")</f>
        <v>What important cultural tradition is associated with the Klootschießen festivals?</v>
      </c>
      <c r="C73" s="7" t="s">
        <v>2494</v>
      </c>
      <c r="D73" s="6" t="str">
        <f>IFERROR(__xludf.DUMMYFUNCTION("GOOGLETRANSLATE(J73, ""de"", ""en"")"),"Parades and dances")</f>
        <v>Parades and dances</v>
      </c>
      <c r="E73" s="6" t="str">
        <f>IFERROR(__xludf.DUMMYFUNCTION("GOOGLETRANSLATE(K73, ""de"", ""en"")"),"Klootschießen festivals are often accompanied by parades and dances to celebrate community spirit.")</f>
        <v>Klootschießen festivals are often accompanied by parades and dances to celebrate community spirit.</v>
      </c>
      <c r="G73" s="10">
        <v>72.0</v>
      </c>
      <c r="H73" s="9" t="s">
        <v>2495</v>
      </c>
      <c r="I73" s="9" t="str">
        <f>IFERROR(__xludf.DUMMYFUNCTION(" GOOGLETRANSLATE(C73, ""en"", ""de"")"),"A. Feuerwerk B. Paraden und Tänze C. Erntedankfeste D. Medaillenverleihung für die Gewinner")</f>
        <v>A. Feuerwerk B. Paraden und Tänze C. Erntedankfeste D. Medaillenverleihung für die Gewinner</v>
      </c>
      <c r="J73" s="9" t="s">
        <v>2496</v>
      </c>
      <c r="K73" s="9" t="s">
        <v>2497</v>
      </c>
    </row>
    <row r="74" ht="22.5" customHeight="1">
      <c r="A74" s="18">
        <v>73.0</v>
      </c>
      <c r="B74" s="6" t="str">
        <f>IFERROR(__xludf.DUMMYFUNCTION("GOOGLETRANSLATE(H74, ""de"", ""en"")"),"Which organization administers Klootschießen competitions?")</f>
        <v>Which organization administers Klootschießen competitions?</v>
      </c>
      <c r="C74" s="7" t="s">
        <v>2498</v>
      </c>
      <c r="D74" s="6" t="str">
        <f>IFERROR(__xludf.DUMMYFUNCTION("GOOGLETRANSLATE(J74, ""de"", ""en"")"),"The German Klootschießen Union")</f>
        <v>The German Klootschießen Union</v>
      </c>
      <c r="E74" s="6" t="str">
        <f>IFERROR(__xludf.DUMMYFUNCTION("GOOGLETRANSLATE(K74, ""de"", ""en"")"),"The German Klootschießen Union is responsible for regulating the competitions and ensuring compliance with the rules.")</f>
        <v>The German Klootschießen Union is responsible for regulating the competitions and ensuring compliance with the rules.</v>
      </c>
      <c r="G74" s="8">
        <v>73.0</v>
      </c>
      <c r="H74" s="9" t="s">
        <v>2499</v>
      </c>
      <c r="I74" s="9" t="str">
        <f>IFERROR(__xludf.DUMMYFUNCTION(" GOOGLETRANSLATE(C74, ""en"", ""de"")"),"A. Der Internationale Klootschießen-Verband B. Der Deutsche Klootschießen-Verband C. Der Deutsche Sport-Bund D. Die Europäische Klootschießen-Liga")</f>
        <v>A. Der Internationale Klootschießen-Verband B. Der Deutsche Klootschießen-Verband C. Der Deutsche Sport-Bund D. Die Europäische Klootschießen-Liga</v>
      </c>
      <c r="J74" s="9" t="s">
        <v>2500</v>
      </c>
      <c r="K74" s="9" t="s">
        <v>2501</v>
      </c>
    </row>
    <row r="75" ht="22.5" customHeight="1">
      <c r="A75" s="18">
        <v>74.0</v>
      </c>
      <c r="B75" s="6" t="str">
        <f>IFERROR(__xludf.DUMMYFUNCTION("GOOGLETRANSLATE(H75, ""de"", ""en"")"),"What was one of the first documented tournaments for Klootschießen (a traditional Frisian sport)?")</f>
        <v>What was one of the first documented tournaments for Klootschießen (a traditional Frisian sport)?</v>
      </c>
      <c r="C75" s="7" t="s">
        <v>2502</v>
      </c>
      <c r="D75" s="6" t="str">
        <f>IFERROR(__xludf.DUMMYFUNCTION("GOOGLETRANSLATE(J75, ""de"", ""en"")"),"The Lower Saxony Cup")</f>
        <v>The Lower Saxony Cup</v>
      </c>
      <c r="E75" s="6" t="str">
        <f>IFERROR(__xludf.DUMMYFUNCTION("GOOGLETRANSLATE(K75, ""de"", ""en"")"),"The Lower Saxony Cup was one of the first documented tournaments for Klootschießen (a traditional Frisian sport).")</f>
        <v>The Lower Saxony Cup was one of the first documented tournaments for Klootschießen (a traditional Frisian sport).</v>
      </c>
      <c r="G75" s="10">
        <v>74.0</v>
      </c>
      <c r="H75" s="9" t="s">
        <v>2503</v>
      </c>
      <c r="I75" s="9" t="str">
        <f>IFERROR(__xludf.DUMMYFUNCTION(" GOOGLETRANSLATE(C75, ""en"", ""de"")"),"A. Der Niedersächsische Pokal B. Die German Open C. Die Weltmeisterschaften D. Die Dorfliga")</f>
        <v>A. Der Niedersächsische Pokal B. Die German Open C. Die Weltmeisterschaften D. Die Dorfliga</v>
      </c>
      <c r="J75" s="9" t="s">
        <v>2504</v>
      </c>
      <c r="K75" s="9" t="s">
        <v>2505</v>
      </c>
    </row>
    <row r="76" ht="22.5" customHeight="1">
      <c r="A76" s="18">
        <v>75.0</v>
      </c>
      <c r="B76" s="6" t="str">
        <f>IFERROR(__xludf.DUMMYFUNCTION("GOOGLETRANSLATE(H76, ""de"", ""en"")"),"Which historical figure is said to have promoted Klootschießen (a traditional Frisian sport similar to bowling).")</f>
        <v>Which historical figure is said to have promoted Klootschießen (a traditional Frisian sport similar to bowling).</v>
      </c>
      <c r="C76" s="7" t="s">
        <v>2506</v>
      </c>
      <c r="D76" s="6" t="str">
        <f>IFERROR(__xludf.DUMMYFUNCTION("GOOGLETRANSLATE(J76, ""de"", ""en"")"),"King Frederick II of Prussia")</f>
        <v>King Frederick II of Prussia</v>
      </c>
      <c r="E76" s="6" t="str">
        <f>IFERROR(__xludf.DUMMYFUNCTION("GOOGLETRANSLATE(K76, ""de"", ""en"")"),"King Frederick II of Prussia is said to have promoted the game during his reign in the 18th century.")</f>
        <v>King Frederick II of Prussia is said to have promoted the game during his reign in the 18th century.</v>
      </c>
      <c r="G76" s="8">
        <v>75.0</v>
      </c>
      <c r="H76" s="9" t="s">
        <v>2507</v>
      </c>
      <c r="I76" s="9" t="str">
        <f>IFERROR(__xludf.DUMMYFUNCTION(" GOOGLETRANSLATE(C76, ""en"", ""de"")"),"A. König Friedrich II. von Preußen B. Admiral Horatio Nelson C. Napoleon Bonaparte D. Kaiser Augustus")</f>
        <v>A. König Friedrich II. von Preußen B. Admiral Horatio Nelson C. Napoleon Bonaparte D. Kaiser Augustus</v>
      </c>
      <c r="J76" s="9" t="s">
        <v>2508</v>
      </c>
      <c r="K76" s="9" t="s">
        <v>2509</v>
      </c>
    </row>
    <row r="77" ht="22.5" customHeight="1">
      <c r="A77" s="18">
        <v>76.0</v>
      </c>
      <c r="B77" s="6" t="str">
        <f>IFERROR(__xludf.DUMMYFUNCTION("GOOGLETRANSLATE(H77, ""de"", ""en"")"),"What was the original throwing method in Klootschießen (a traditional Frisian sport)?")</f>
        <v>What was the original throwing method in Klootschießen (a traditional Frisian sport)?</v>
      </c>
      <c r="C77" s="7" t="s">
        <v>2510</v>
      </c>
      <c r="D77" s="6" t="str">
        <f>IFERROR(__xludf.DUMMYFUNCTION("GOOGLETRANSLATE(J77, ""de"", ""en"")"),"Klootschießen was originally played using an overhead throwing method for greater distances.")</f>
        <v>Klootschießen was originally played using an overhead throwing method for greater distances.</v>
      </c>
      <c r="E77" s="6" t="str">
        <f>IFERROR(__xludf.DUMMYFUNCTION("GOOGLETRANSLATE(K77, ""de"", ""en"")"),"#VALUE!")</f>
        <v>#VALUE!</v>
      </c>
      <c r="G77" s="10">
        <v>76.0</v>
      </c>
      <c r="H77" s="9" t="s">
        <v>2511</v>
      </c>
      <c r="I77" s="9" t="str">
        <f>IFERROR(__xludf.DUMMYFUNCTION(" GOOGLETRANSLATE(C77, ""en"", ""de"")"),"A. Überkopfwurf B. Seitlicher Wurf C. Unterhandwurf D. Überkopfwurf")</f>
        <v>A. Überkopfwurf B. Seitlicher Wurf C. Unterhandwurf D. Überkopfwurf</v>
      </c>
      <c r="J77" s="9" t="s">
        <v>2512</v>
      </c>
      <c r="K77" s="9"/>
    </row>
    <row r="78" ht="22.5" customHeight="1">
      <c r="A78" s="18">
        <v>77.0</v>
      </c>
      <c r="B78" s="6" t="str">
        <f>IFERROR(__xludf.DUMMYFUNCTION("GOOGLETRANSLATE(H78, ""de"", ""en"")"),"In what kind of environment was Klootschießen most frequently played in the past?")</f>
        <v>In what kind of environment was Klootschießen most frequently played in the past?</v>
      </c>
      <c r="C78" s="7" t="s">
        <v>2513</v>
      </c>
      <c r="D78" s="6" t="str">
        <f>IFERROR(__xludf.DUMMYFUNCTION("GOOGLETRANSLATE(J78, ""de"", ""en"")"),"In rural areas")</f>
        <v>In rural areas</v>
      </c>
      <c r="E78" s="6" t="str">
        <f>IFERROR(__xludf.DUMMYFUNCTION("GOOGLETRANSLATE(K78, ""de"", ""en"")"),"Klootschießen was most often played in rural areas, often as part of village festivals.")</f>
        <v>Klootschießen was most often played in rural areas, often as part of village festivals.</v>
      </c>
      <c r="G78" s="8">
        <v>77.0</v>
      </c>
      <c r="H78" s="9" t="s">
        <v>2514</v>
      </c>
      <c r="I78" s="9" t="str">
        <f>IFERROR(__xludf.DUMMYFUNCTION(" GOOGLETRANSLATE(C78, ""en"", ""de"")"),"A. Auf Stadtplätzen B. In militärischen Übungslagern C. In ländlichen Gebieten D. Auf Friedhöfen")</f>
        <v>A. Auf Stadtplätzen B. In militärischen Übungslagern C. In ländlichen Gebieten D. Auf Friedhöfen</v>
      </c>
      <c r="J78" s="9" t="s">
        <v>2515</v>
      </c>
      <c r="K78" s="9" t="s">
        <v>2516</v>
      </c>
    </row>
    <row r="79" ht="22.5" customHeight="1">
      <c r="A79" s="18">
        <v>78.0</v>
      </c>
      <c r="B79" s="6" t="str">
        <f>IFERROR(__xludf.DUMMYFUNCTION("GOOGLETRANSLATE(H79, ""de"", ""en"")"),"Who was one of the first to turn Klootschießen into a sport?")</f>
        <v>Who was one of the first to turn Klootschießen into a sport?</v>
      </c>
      <c r="C79" s="7" t="s">
        <v>2517</v>
      </c>
      <c r="D79" s="6" t="str">
        <f>IFERROR(__xludf.DUMMYFUNCTION("GOOGLETRANSLATE(J79, ""de"", ""en"")"),"German sports clubs")</f>
        <v>German sports clubs</v>
      </c>
      <c r="E79" s="6" t="str">
        <f>IFERROR(__xludf.DUMMYFUNCTION("GOOGLETRANSLATE(K79, ""de"", ""en"")"),"German sports clubs played a key role in making Klootschießen a competitive sport in the 19th century.")</f>
        <v>German sports clubs played a key role in making Klootschießen a competitive sport in the 19th century.</v>
      </c>
      <c r="G79" s="10">
        <v>78.0</v>
      </c>
      <c r="H79" s="9" t="s">
        <v>2518</v>
      </c>
      <c r="I79" s="9" t="str">
        <f>IFERROR(__xludf.DUMMYFUNCTION(" GOOGLETRANSLATE(C79, ""en"", ""de"")"),"A. Deutsche Sportvereine B. Lokale Adelsfamilien C. Bauernverbände D. Das preußische Militär")</f>
        <v>A. Deutsche Sportvereine B. Lokale Adelsfamilien C. Bauernverbände D. Das preußische Militär</v>
      </c>
      <c r="J79" s="9" t="s">
        <v>2519</v>
      </c>
      <c r="K79" s="9" t="s">
        <v>2520</v>
      </c>
    </row>
    <row r="80" ht="22.5" customHeight="1">
      <c r="A80" s="18">
        <v>79.0</v>
      </c>
      <c r="B80" s="6" t="str">
        <f>IFERROR(__xludf.DUMMYFUNCTION("GOOGLETRANSLATE(H80, ""de"", ""en"")"),"Which aspect of Klootschießen contributes to improving the game over time?")</f>
        <v>Which aspect of Klootschießen contributes to improving the game over time?</v>
      </c>
      <c r="C80" s="7" t="s">
        <v>2521</v>
      </c>
      <c r="D80" s="6" t="str">
        <f>IFERROR(__xludf.DUMMYFUNCTION("GOOGLETRANSLATE(J80, ""de"", ""en"")"),"Sophisticated throwing techniques")</f>
        <v>Sophisticated throwing techniques</v>
      </c>
      <c r="E80" s="6" t="str">
        <f>IFERROR(__xludf.DUMMYFUNCTION("GOOGLETRANSLATE(K80, ""de"", ""en"")"),"Over time, players have developed refined throwing techniques to increase the distance of their throws.")</f>
        <v>Over time, players have developed refined throwing techniques to increase the distance of their throws.</v>
      </c>
      <c r="G80" s="8">
        <v>79.0</v>
      </c>
      <c r="H80" s="9" t="s">
        <v>2522</v>
      </c>
      <c r="I80" s="9" t="str">
        <f>IFERROR(__xludf.DUMMYFUNCTION(" GOOGLETRANSLATE(C80, ""en"", ""de"")"),"A. Ausgefeilte Wurftechniken B. Veränderungen im Balldesign C. Neue Spielfelder D. Verstärkter internationaler Wettbewerb")</f>
        <v>A. Ausgefeilte Wurftechniken B. Veränderungen im Balldesign C. Neue Spielfelder D. Verstärkter internationaler Wettbewerb</v>
      </c>
      <c r="J80" s="9" t="s">
        <v>2523</v>
      </c>
      <c r="K80" s="9" t="s">
        <v>2524</v>
      </c>
    </row>
    <row r="81" ht="22.5" customHeight="1">
      <c r="A81" s="18">
        <v>80.0</v>
      </c>
      <c r="B81" s="6" t="str">
        <f>IFERROR(__xludf.DUMMYFUNCTION("GOOGLETRANSLATE(H81, ""de"", ""en"")"),"How has Klootschießen been modernized in recent years?")</f>
        <v>How has Klootschießen been modernized in recent years?</v>
      </c>
      <c r="C81" s="7" t="s">
        <v>2525</v>
      </c>
      <c r="D81" s="6" t="str">
        <f>IFERROR(__xludf.DUMMYFUNCTION("GOOGLETRANSLATE(J81, ""de"", ""en"")"),"International tournaments broadcast on television")</f>
        <v>International tournaments broadcast on television</v>
      </c>
      <c r="E81" s="6" t="str">
        <f>IFERROR(__xludf.DUMMYFUNCTION("GOOGLETRANSLATE(K81, ""de"", ""en"")"),"In recent years, Klootschießen (a traditional Frisian sport) has gained attention through international tournaments broadcast on television.")</f>
        <v>In recent years, Klootschießen (a traditional Frisian sport) has gained attention through international tournaments broadcast on television.</v>
      </c>
      <c r="G81" s="10">
        <v>80.0</v>
      </c>
      <c r="H81" s="9" t="s">
        <v>2526</v>
      </c>
      <c r="I81" s="9" t="str">
        <f>IFERROR(__xludf.DUMMYFUNCTION(" GOOGLETRANSLATE(C81, ""en"", ""de"")"),"A. Einführung von Hightech-Ausrüstung B. Übertragung internationaler Turniere im Fernsehen C. Verwendung von Kunstrasenbällen D. Integration in den Schulunterricht")</f>
        <v>A. Einführung von Hightech-Ausrüstung B. Übertragung internationaler Turniere im Fernsehen C. Verwendung von Kunstrasenbällen D. Integration in den Schulunterricht</v>
      </c>
      <c r="J81" s="9" t="s">
        <v>2527</v>
      </c>
      <c r="K81" s="9" t="s">
        <v>2528</v>
      </c>
    </row>
    <row r="82" ht="22.5" customHeight="1">
      <c r="A82" s="18">
        <v>81.0</v>
      </c>
      <c r="B82" s="6" t="str">
        <f>IFERROR(__xludf.DUMMYFUNCTION("GOOGLETRANSLATE(H82, ""de"", ""en"")"),"How did Klootschießen serve during the Napoleonic Wars?")</f>
        <v>How did Klootschießen serve during the Napoleonic Wars?</v>
      </c>
      <c r="C82" s="7" t="s">
        <v>2529</v>
      </c>
      <c r="D82" s="6" t="str">
        <f>IFERROR(__xludf.DUMMYFUNCTION("GOOGLETRANSLATE(J82, ""de"", ""en"")"),"As a method for training troops in precision")</f>
        <v>As a method for training troops in precision</v>
      </c>
      <c r="E82" s="6" t="str">
        <f>IFERROR(__xludf.DUMMYFUNCTION("GOOGLETRANSLATE(K82, ""de"", ""en"")"),"During the Napoleonic Wars, Klootschießen helped soldiers train in precision throwing.")</f>
        <v>During the Napoleonic Wars, Klootschießen helped soldiers train in precision throwing.</v>
      </c>
      <c r="G82" s="8">
        <v>81.0</v>
      </c>
      <c r="H82" s="9" t="s">
        <v>2530</v>
      </c>
      <c r="I82" s="9" t="str">
        <f>IFERROR(__xludf.DUMMYFUNCTION(" GOOGLETRANSLATE(C82, ""en"", ""de"")"),"A. Als Freizeitbeschäftigung für Soldaten B. Als Methode zur Ausbildung von Truppen in Präzisionsübungen C. Als Ablenkung vom Krieg D. Als Möglichkeit zur Kommunikation über große Entfernungen")</f>
        <v>A. Als Freizeitbeschäftigung für Soldaten B. Als Methode zur Ausbildung von Truppen in Präzisionsübungen C. Als Ablenkung vom Krieg D. Als Möglichkeit zur Kommunikation über große Entfernungen</v>
      </c>
      <c r="J82" s="9" t="s">
        <v>2531</v>
      </c>
      <c r="K82" s="9" t="s">
        <v>2532</v>
      </c>
    </row>
    <row r="83" ht="22.5" customHeight="1">
      <c r="A83" s="18">
        <v>82.0</v>
      </c>
      <c r="B83" s="6" t="str">
        <f>IFERROR(__xludf.DUMMYFUNCTION("GOOGLETRANSLATE(H83, ""de"", ""en"")"),"What is the typical weight of a Klootschießen ball?")</f>
        <v>What is the typical weight of a Klootschießen ball?</v>
      </c>
      <c r="C83" s="7" t="s">
        <v>2533</v>
      </c>
      <c r="D83" s="6" t="str">
        <f>IFERROR(__xludf.DUMMYFUNCTION("GOOGLETRANSLATE(J83, ""de"", ""en"")"),"5-10 kg")</f>
        <v>5-10 kg</v>
      </c>
      <c r="E83" s="6" t="str">
        <f>IFERROR(__xludf.DUMMYFUNCTION("GOOGLETRANSLATE(K83, ""de"", ""en"")"),"Kloot balls typically weigh between 5 and 10 kilograms, which makes them difficult for long throws.")</f>
        <v>Kloot balls typically weigh between 5 and 10 kilograms, which makes them difficult for long throws.</v>
      </c>
      <c r="G83" s="10">
        <v>82.0</v>
      </c>
      <c r="H83" s="9" t="s">
        <v>2534</v>
      </c>
      <c r="I83" s="9" t="str">
        <f>IFERROR(__xludf.DUMMYFUNCTION(" GOOGLETRANSLATE(C83, ""en"", ""de"")"),"A. 3–5 kg B. 5–10 kg C. 10–15 kg D. 15–20 kg")</f>
        <v>A. 3–5 kg B. 5–10 kg C. 10–15 kg D. 15–20 kg</v>
      </c>
      <c r="J83" s="9" t="s">
        <v>2535</v>
      </c>
      <c r="K83" s="9" t="s">
        <v>2536</v>
      </c>
    </row>
    <row r="84" ht="22.5" customHeight="1">
      <c r="A84" s="18">
        <v>83.0</v>
      </c>
      <c r="B84" s="6" t="str">
        <f>IFERROR(__xludf.DUMMYFUNCTION("GOOGLETRANSLATE(H84, ""de"", ""en"")"),"In which century did Klootschießen spread beyond Germany?")</f>
        <v>In which century did Klootschießen spread beyond Germany?</v>
      </c>
      <c r="C84" s="7" t="s">
        <v>2446</v>
      </c>
      <c r="D84" s="6" t="str">
        <f>IFERROR(__xludf.DUMMYFUNCTION("GOOGLETRANSLATE(J84, ""de"", ""en"")"),"19th century")</f>
        <v>19th century</v>
      </c>
      <c r="E84" s="6" t="str">
        <f>IFERROR(__xludf.DUMMYFUNCTION("GOOGLETRANSLATE(K84, ""de"", ""en"")"),"Klootschießen spread beyond Germany in the 19th century, especially to neighboring countries.")</f>
        <v>Klootschießen spread beyond Germany in the 19th century, especially to neighboring countries.</v>
      </c>
      <c r="G84" s="8">
        <v>83.0</v>
      </c>
      <c r="H84" s="9" t="s">
        <v>2537</v>
      </c>
      <c r="I84" s="9" t="str">
        <f>IFERROR(__xludf.DUMMYFUNCTION(" GOOGLETRANSLATE(C84, ""en"", ""de"")"),"A. 16. Jahrhundert B. 17. Jahrhundert C. 18. Jahrhundert D. 19. Jahrhundert")</f>
        <v>A. 16. Jahrhundert B. 17. Jahrhundert C. 18. Jahrhundert D. 19. Jahrhundert</v>
      </c>
      <c r="J84" s="9" t="s">
        <v>300</v>
      </c>
      <c r="K84" s="9" t="s">
        <v>2538</v>
      </c>
    </row>
    <row r="85" ht="22.5" customHeight="1">
      <c r="A85" s="18">
        <v>84.0</v>
      </c>
      <c r="B85" s="6" t="str">
        <f>IFERROR(__xludf.DUMMYFUNCTION("GOOGLETRANSLATE(H85, ""de"", ""en"")"),"Which part of Klootschießen (a traditional Frisian sport) has remained largely unchanged?")</f>
        <v>Which part of Klootschießen (a traditional Frisian sport) has remained largely unchanged?</v>
      </c>
      <c r="C85" s="7" t="s">
        <v>2539</v>
      </c>
      <c r="D85" s="6" t="str">
        <f>IFERROR(__xludf.DUMMYFUNCTION("GOOGLETRANSLATE(J85, ""de"", ""en"")"),"The equipment used")</f>
        <v>The equipment used</v>
      </c>
      <c r="E85" s="6" t="str">
        <f>IFERROR(__xludf.DUMMYFUNCTION("GOOGLETRANSLATE(K85, ""de"", ""en"")"),"The equipment used in Klootschießen, especially the Klootball, has remained largely unchanged.")</f>
        <v>The equipment used in Klootschießen, especially the Klootball, has remained largely unchanged.</v>
      </c>
      <c r="G85" s="10">
        <v>84.0</v>
      </c>
      <c r="H85" s="9" t="s">
        <v>2540</v>
      </c>
      <c r="I85" s="9" t="str">
        <f>IFERROR(__xludf.DUMMYFUNCTION(" GOOGLETRANSLATE(C85, ""en"", ""de"")"),"A. Die verwendete Ausrüstung B. Die Teamstruktur C. Die Wurftechnik D. Die Bewertungsmethode")</f>
        <v>A. Die verwendete Ausrüstung B. Die Teamstruktur C. Die Wurftechnik D. Die Bewertungsmethode</v>
      </c>
      <c r="J85" s="9" t="s">
        <v>2541</v>
      </c>
      <c r="K85" s="9" t="s">
        <v>2542</v>
      </c>
    </row>
    <row r="86" ht="22.5" customHeight="1">
      <c r="A86" s="18">
        <v>85.0</v>
      </c>
      <c r="B86" s="6" t="str">
        <f>IFERROR(__xludf.DUMMYFUNCTION("GOOGLETRANSLATE(H86, ""de"", ""en"")"),"What is a communal celebration after a Klootschießen (a traditional Frisian sport)?")</f>
        <v>What is a communal celebration after a Klootschießen (a traditional Frisian sport)?</v>
      </c>
      <c r="C86" s="7" t="s">
        <v>2543</v>
      </c>
      <c r="D86" s="6" t="str">
        <f>IFERROR(__xludf.DUMMYFUNCTION("GOOGLETRANSLATE(J86, ""de"", ""en"")"),"A feast featuring local food")</f>
        <v>A feast featuring local food</v>
      </c>
      <c r="E86" s="6" t="str">
        <f>IFERROR(__xludf.DUMMYFUNCTION("GOOGLETRANSLATE(K86, ""de"", ""en"")"),"After Klootschießen events, it is customary for the community to celebrate with a feast featuring local food.")</f>
        <v>After Klootschießen events, it is customary for the community to celebrate with a feast featuring local food.</v>
      </c>
      <c r="G86" s="8">
        <v>85.0</v>
      </c>
      <c r="H86" s="9" t="s">
        <v>2544</v>
      </c>
      <c r="I86" s="9" t="str">
        <f>IFERROR(__xludf.DUMMYFUNCTION(" GOOGLETRANSLATE(C86, ""en"", ""de"")"),"A. Ein Umzug mit Musik und Tanz B. Ein Festmahl mit regionalen Spezialitäten C. Ein Feuerwerk D. Eine gemeinsame Auktion")</f>
        <v>A. Ein Umzug mit Musik und Tanz B. Ein Festmahl mit regionalen Spezialitäten C. Ein Feuerwerk D. Eine gemeinsame Auktion</v>
      </c>
      <c r="J86" s="9" t="s">
        <v>2545</v>
      </c>
      <c r="K86" s="9" t="s">
        <v>2546</v>
      </c>
    </row>
    <row r="87" ht="22.5" customHeight="1">
      <c r="A87" s="18">
        <v>86.0</v>
      </c>
      <c r="B87" s="6" t="str">
        <f>IFERROR(__xludf.DUMMYFUNCTION("GOOGLETRANSLATE(H87, ""de"", ""en"")"),"What is the significance of Klootschießen (a traditional German sport similar to bowling) in the context of German rural traditions?")</f>
        <v>What is the significance of Klootschießen (a traditional German sport similar to bowling) in the context of German rural traditions?</v>
      </c>
      <c r="C87" s="7" t="s">
        <v>2547</v>
      </c>
      <c r="D87" s="6" t="str">
        <f>IFERROR(__xludf.DUMMYFUNCTION("GOOGLETRANSLATE(J87, ""de"", ""en"")"),"It is a form of team bonding")</f>
        <v>It is a form of team bonding</v>
      </c>
      <c r="E87" s="6" t="str">
        <f>IFERROR(__xludf.DUMMYFUNCTION("GOOGLETRANSLATE(K87, ""de"", ""en"")"),"Klootschießen was historically significant as a way to promote teamwork and community cohesion in rural areas.")</f>
        <v>Klootschießen was historically significant as a way to promote teamwork and community cohesion in rural areas.</v>
      </c>
      <c r="G87" s="10">
        <v>86.0</v>
      </c>
      <c r="H87" s="9" t="s">
        <v>2548</v>
      </c>
      <c r="I87" s="9" t="str">
        <f>IFERROR(__xludf.DUMMYFUNCTION(" GOOGLETRANSLATE(C87, ""en"", ""de"")"),"A. Es dient der Teambildung. B. Es feiert die Ernte. C. Es war einst ein Ritual für gutes Wetter. D. Es stärkt die körperliche Gesundheit.")</f>
        <v>A. Es dient der Teambildung. B. Es feiert die Ernte. C. Es war einst ein Ritual für gutes Wetter. D. Es stärkt die körperliche Gesundheit.</v>
      </c>
      <c r="J87" s="9" t="s">
        <v>2549</v>
      </c>
      <c r="K87" s="9" t="s">
        <v>2550</v>
      </c>
    </row>
    <row r="88" ht="22.5" customHeight="1">
      <c r="A88" s="18">
        <v>87.0</v>
      </c>
      <c r="B88" s="6" t="str">
        <f>IFERROR(__xludf.DUMMYFUNCTION("GOOGLETRANSLATE(H88, ""de"", ""en"")"),"Which was one of the first countries to introduce Klootschießen (a traditional Frisian sport) outside of Germany?")</f>
        <v>Which was one of the first countries to introduce Klootschießen (a traditional Frisian sport) outside of Germany?</v>
      </c>
      <c r="C88" s="7" t="s">
        <v>2551</v>
      </c>
      <c r="D88" s="6" t="str">
        <f>IFERROR(__xludf.DUMMYFUNCTION("GOOGLETRANSLATE(J88, ""de"", ""en"")"),"The Netherlands")</f>
        <v>The Netherlands</v>
      </c>
      <c r="E88" s="6" t="str">
        <f>IFERROR(__xludf.DUMMYFUNCTION("GOOGLETRANSLATE(K88, ""de"", ""en"")"),"The Netherlands was one of the first countries to introduce Klootschießen, especially in rural areas.")</f>
        <v>The Netherlands was one of the first countries to introduce Klootschießen, especially in rural areas.</v>
      </c>
      <c r="G88" s="8">
        <v>87.0</v>
      </c>
      <c r="H88" s="9" t="s">
        <v>2552</v>
      </c>
      <c r="I88" s="9" t="str">
        <f>IFERROR(__xludf.DUMMYFUNCTION(" GOOGLETRANSLATE(C88, ""en"", ""de"")"),"A. Österreich B. Niederlande C. Dänemark D. Schweiz")</f>
        <v>A. Österreich B. Niederlande C. Dänemark D. Schweiz</v>
      </c>
      <c r="J88" s="9" t="s">
        <v>662</v>
      </c>
      <c r="K88" s="9" t="s">
        <v>2553</v>
      </c>
    </row>
    <row r="89" ht="22.5" customHeight="1">
      <c r="A89" s="18">
        <v>88.0</v>
      </c>
      <c r="B89" s="6" t="str">
        <f>IFERROR(__xludf.DUMMYFUNCTION("GOOGLETRANSLATE(H89, ""de"", ""en"")"),"When was the sport of Klootschießen standardized with formal rules?")</f>
        <v>When was the sport of Klootschießen standardized with formal rules?</v>
      </c>
      <c r="C89" s="7" t="s">
        <v>2374</v>
      </c>
      <c r="D89" s="6" t="str">
        <f>IFERROR(__xludf.DUMMYFUNCTION("GOOGLETRANSLATE(J89, ""de"", ""en"")"),"19th century")</f>
        <v>19th century</v>
      </c>
      <c r="E89" s="6" t="str">
        <f>IFERROR(__xludf.DUMMYFUNCTION("GOOGLETRANSLATE(K89, ""de"", ""en"")"),"Klootschießen was standardized in the 19th century through formal rules.")</f>
        <v>Klootschießen was standardized in the 19th century through formal rules.</v>
      </c>
      <c r="G89" s="10">
        <v>88.0</v>
      </c>
      <c r="H89" s="9" t="s">
        <v>2554</v>
      </c>
      <c r="I89" s="9" t="str">
        <f>IFERROR(__xludf.DUMMYFUNCTION(" GOOGLETRANSLATE(C89, ""en"", ""de"")"),"A. 18. Jahrhundert B. 19. Jahrhundert C. 20. Jahrhundert D. 21. Jahrhundert")</f>
        <v>A. 18. Jahrhundert B. 19. Jahrhundert C. 20. Jahrhundert D. 21. Jahrhundert</v>
      </c>
      <c r="J89" s="9" t="s">
        <v>300</v>
      </c>
      <c r="K89" s="9" t="s">
        <v>2555</v>
      </c>
    </row>
    <row r="90" ht="22.5" customHeight="1">
      <c r="A90" s="18">
        <v>89.0</v>
      </c>
      <c r="B90" s="6" t="str">
        <f>IFERROR(__xludf.DUMMYFUNCTION("GOOGLETRANSLATE(H90, ""de"", ""en"")"),"Which part of Klootschießen is a traditional competition format?")</f>
        <v>Which part of Klootschießen is a traditional competition format?</v>
      </c>
      <c r="C90" s="7" t="s">
        <v>2556</v>
      </c>
      <c r="D90" s="6" t="str">
        <f>IFERROR(__xludf.DUMMYFUNCTION("GOOGLETRANSLATE(J90, ""de"", ""en"")"),"A team event")</f>
        <v>A team event</v>
      </c>
      <c r="E90" s="6" t="str">
        <f>IFERROR(__xludf.DUMMYFUNCTION("GOOGLETRANSLATE(K90, ""de"", ""en"")"),"In Klootschießen, teams traditionally compete against each other.")</f>
        <v>In Klootschießen, teams traditionally compete against each other.</v>
      </c>
      <c r="G90" s="8">
        <v>89.0</v>
      </c>
      <c r="H90" s="9" t="s">
        <v>2557</v>
      </c>
      <c r="I90" s="9" t="str">
        <f>IFERROR(__xludf.DUMMYFUNCTION(" GOOGLETRANSLATE(C90, ""en"", ""de"")"),"A. Ein Staffellauf B. Ein Einzelwurfwettbewerb C. Ein Mannschaftswettbewerb D. Ein Marathon")</f>
        <v>A. Ein Staffellauf B. Ein Einzelwurfwettbewerb C. Ein Mannschaftswettbewerb D. Ein Marathon</v>
      </c>
      <c r="J90" s="9" t="s">
        <v>2558</v>
      </c>
      <c r="K90" s="9" t="s">
        <v>2559</v>
      </c>
    </row>
    <row r="91" ht="22.5" customHeight="1">
      <c r="A91" s="18">
        <v>90.0</v>
      </c>
      <c r="B91" s="6" t="str">
        <f>IFERROR(__xludf.DUMMYFUNCTION("GOOGLETRANSLATE(H91, ""de"", ""en"")"),"What material were the first Kloot balls made of?")</f>
        <v>What material were the first Kloot balls made of?</v>
      </c>
      <c r="C91" s="7" t="s">
        <v>2560</v>
      </c>
      <c r="D91" s="6" t="str">
        <f>IFERROR(__xludf.DUMMYFUNCTION("GOOGLETRANSLATE(J91, ""de"", ""en"")"),"Wood")</f>
        <v>Wood</v>
      </c>
      <c r="E91" s="6" t="str">
        <f>IFERROR(__xludf.DUMMYFUNCTION("GOOGLETRANSLATE(K91, ""de"", ""en"")"),"The first Kloot balls were made of wood and were later replaced by heavier materials such as metal.")</f>
        <v>The first Kloot balls were made of wood and were later replaced by heavier materials such as metal.</v>
      </c>
      <c r="G91" s="10">
        <v>90.0</v>
      </c>
      <c r="H91" s="9" t="s">
        <v>2561</v>
      </c>
      <c r="I91" s="9" t="str">
        <f>IFERROR(__xludf.DUMMYFUNCTION(" GOOGLETRANSLATE(C91, ""en"", ""de"")"),"A. Holz B. Stein C. Ton D. Leder")</f>
        <v>A. Holz B. Stein C. Ton D. Leder</v>
      </c>
      <c r="J91" s="9" t="s">
        <v>296</v>
      </c>
      <c r="K91" s="9" t="s">
        <v>2562</v>
      </c>
    </row>
    <row r="92" ht="22.5" customHeight="1">
      <c r="A92" s="18">
        <v>91.0</v>
      </c>
      <c r="B92" s="6" t="str">
        <f>IFERROR(__xludf.DUMMYFUNCTION("GOOGLETRANSLATE(H92, ""de"", ""en"")"),"In which region of Germany did Klootschießen (a traditional Frisian sport) first develop?")</f>
        <v>In which region of Germany did Klootschießen (a traditional Frisian sport) first develop?</v>
      </c>
      <c r="C92" s="7" t="s">
        <v>2563</v>
      </c>
      <c r="D92" s="6" t="str">
        <f>IFERROR(__xludf.DUMMYFUNCTION("GOOGLETRANSLATE(J92, ""de"", ""en"")"),"Lower Saxony")</f>
        <v>Lower Saxony</v>
      </c>
      <c r="E92" s="6" t="str">
        <f>IFERROR(__xludf.DUMMYFUNCTION("GOOGLETRANSLATE(K92, ""de"", ""en"")"),"Klootschießen was first developed in Lower Saxony, a region in northwestern Germany.")</f>
        <v>Klootschießen was first developed in Lower Saxony, a region in northwestern Germany.</v>
      </c>
      <c r="G92" s="8">
        <v>91.0</v>
      </c>
      <c r="H92" s="9" t="s">
        <v>2564</v>
      </c>
      <c r="I92" s="9" t="str">
        <f>IFERROR(__xludf.DUMMYFUNCTION(" GOOGLETRANSLATE(C92, ""en"", ""de"")"),"A. Bayern B. Niedersachsen C. Thüringen D. Hessen")</f>
        <v>A. Bayern B. Niedersachsen C. Thüringen D. Hessen</v>
      </c>
      <c r="J92" s="9" t="s">
        <v>273</v>
      </c>
      <c r="K92" s="9" t="s">
        <v>2565</v>
      </c>
    </row>
    <row r="93" ht="22.5" customHeight="1">
      <c r="A93" s="18">
        <v>92.0</v>
      </c>
      <c r="B93" s="6" t="str">
        <f>IFERROR(__xludf.DUMMYFUNCTION("GOOGLETRANSLATE(H93, ""de"", ""en"")"),"What do you call a field where Klootschießen is played?")</f>
        <v>What do you call a field where Klootschießen is played?</v>
      </c>
      <c r="C93" s="7" t="s">
        <v>2566</v>
      </c>
      <c r="D93" s="6" t="str">
        <f>IFERROR(__xludf.DUMMYFUNCTION("GOOGLETRANSLATE(J93, ""de"", ""en"")"),"course")</f>
        <v>course</v>
      </c>
      <c r="E93" s="6" t="str">
        <f>IFERROR(__xludf.DUMMYFUNCTION("GOOGLETRANSLATE(K93, ""de"", ""en"")"),"The area where Klootschießen is played is called the ""course"" and is usually a lawn.")</f>
        <v>The area where Klootschießen is played is called the "course" and is usually a lawn.</v>
      </c>
      <c r="G93" s="10">
        <v>92.0</v>
      </c>
      <c r="H93" s="9" t="s">
        <v>2567</v>
      </c>
      <c r="I93" s="9" t="str">
        <f>IFERROR(__xludf.DUMMYFUNCTION(" GOOGLETRANSLATE(C93, ""en"", ""de"")"),"A. Neigung B. Kurs C. Schiene D. Kreis")</f>
        <v>A. Neigung B. Kurs C. Schiene D. Kreis</v>
      </c>
      <c r="J93" s="9" t="s">
        <v>2568</v>
      </c>
      <c r="K93" s="9" t="s">
        <v>2569</v>
      </c>
    </row>
    <row r="94" ht="22.5" customHeight="1">
      <c r="A94" s="18">
        <v>93.0</v>
      </c>
      <c r="B94" s="6" t="str">
        <f>IFERROR(__xludf.DUMMYFUNCTION("GOOGLETRANSLATE(H94, ""de"", ""en"")"),"What is the typical throwing distance in Klootschießen (a traditional Frisian sport)?")</f>
        <v>What is the typical throwing distance in Klootschießen (a traditional Frisian sport)?</v>
      </c>
      <c r="C94" s="7" t="s">
        <v>2570</v>
      </c>
      <c r="D94" s="6" t="str">
        <f>IFERROR(__xludf.DUMMYFUNCTION("GOOGLETRANSLATE(J94, ""de"", ""en"")"),"150 meters")</f>
        <v>150 meters</v>
      </c>
      <c r="E94" s="6" t="str">
        <f>IFERROR(__xludf.DUMMYFUNCTION("GOOGLETRANSLATE(K94, ""de"", ""en"")"),"A typical Klootschießen throw covers a distance of approximately 150 meters.")</f>
        <v>A typical Klootschießen throw covers a distance of approximately 150 meters.</v>
      </c>
      <c r="G94" s="8">
        <v>93.0</v>
      </c>
      <c r="H94" s="9" t="s">
        <v>2571</v>
      </c>
      <c r="I94" s="9" t="str">
        <f>IFERROR(__xludf.DUMMYFUNCTION(" GOOGLETRANSLATE(C94, ""en"", ""de"")"),"A. 100 Meter B. 150 Meter C. 200 Meter D. 250 Meter")</f>
        <v>A. 100 Meter B. 150 Meter C. 200 Meter D. 250 Meter</v>
      </c>
      <c r="J94" s="9" t="s">
        <v>2409</v>
      </c>
      <c r="K94" s="9" t="s">
        <v>2572</v>
      </c>
    </row>
    <row r="95" ht="22.5" customHeight="1">
      <c r="A95" s="18">
        <v>94.0</v>
      </c>
      <c r="B95" s="6" t="str">
        <f>IFERROR(__xludf.DUMMYFUNCTION("GOOGLETRANSLATE(H95, ""de"", ""en"")"),"Which of these was traditionally an essential skill in Klootschießen (a traditional Frisian sport)?")</f>
        <v>Which of these was traditionally an essential skill in Klootschießen (a traditional Frisian sport)?</v>
      </c>
      <c r="C95" s="7" t="s">
        <v>2573</v>
      </c>
      <c r="D95" s="6" t="str">
        <f>IFERROR(__xludf.DUMMYFUNCTION("GOOGLETRANSLATE(J95, ""de"", ""en"")"),"accuracy")</f>
        <v>accuracy</v>
      </c>
      <c r="E95" s="6" t="str">
        <f>IFERROR(__xludf.DUMMYFUNCTION("GOOGLETRANSLATE(K95, ""de"", ""en"")"),"Accuracy is one of the most important skills in Klootschießen, as players aim for long, precise throws.")</f>
        <v>Accuracy is one of the most important skills in Klootschießen, as players aim for long, precise throws.</v>
      </c>
      <c r="G95" s="10">
        <v>94.0</v>
      </c>
      <c r="H95" s="9" t="s">
        <v>2574</v>
      </c>
      <c r="I95" s="9" t="str">
        <f>IFERROR(__xludf.DUMMYFUNCTION(" GOOGLETRANSLATE(C95, ""en"", ""de"")"),"A. Geschwindigkeit B. Kraft C. Genauigkeit D. Gleichgewicht")</f>
        <v>A. Geschwindigkeit B. Kraft C. Genauigkeit D. Gleichgewicht</v>
      </c>
      <c r="J95" s="9" t="s">
        <v>473</v>
      </c>
      <c r="K95" s="9" t="s">
        <v>2575</v>
      </c>
    </row>
    <row r="96" ht="22.5" customHeight="1">
      <c r="A96" s="18">
        <v>95.0</v>
      </c>
      <c r="B96" s="6" t="str">
        <f>IFERROR(__xludf.DUMMYFUNCTION("GOOGLETRANSLATE(H96, ""de"", ""en"")"),"What does the word ""Kloot"" mean in German?")</f>
        <v>What does the word "Kloot" mean in German?</v>
      </c>
      <c r="C96" s="7" t="s">
        <v>2576</v>
      </c>
      <c r="D96" s="6" t="str">
        <f>IFERROR(__xludf.DUMMYFUNCTION("GOOGLETRANSLATE(J96, ""de"", ""en"")"),"ball")</f>
        <v>ball</v>
      </c>
      <c r="E96" s="6" t="str">
        <f>IFERROR(__xludf.DUMMYFUNCTION("GOOGLETRANSLATE(K96, ""de"", ""en"")"),"The word ""Kloot"" refers to the ball used in the game, which is typically a heavy wooden or metal ball.")</f>
        <v>The word "Kloot" refers to the ball used in the game, which is typically a heavy wooden or metal ball.</v>
      </c>
      <c r="G96" s="8">
        <v>95.0</v>
      </c>
      <c r="H96" s="9" t="s">
        <v>2577</v>
      </c>
      <c r="I96" s="9" t="str">
        <f>IFERROR(__xludf.DUMMYFUNCTION(" GOOGLETRANSLATE(C96, ""en"", ""de"")"),"A. Ball B. Stein C. Scheibe D. Holz")</f>
        <v>A. Ball B. Stein C. Scheibe D. Holz</v>
      </c>
      <c r="J96" s="9" t="s">
        <v>2239</v>
      </c>
      <c r="K96" s="9" t="s">
        <v>2578</v>
      </c>
    </row>
    <row r="97" ht="22.5" customHeight="1">
      <c r="A97" s="18">
        <v>96.0</v>
      </c>
      <c r="B97" s="6" t="str">
        <f>IFERROR(__xludf.DUMMYFUNCTION("GOOGLETRANSLATE(H97, ""de"", ""en"")"),"What role did Klootschießen play in German military training?")</f>
        <v>What role did Klootschießen play in German military training?</v>
      </c>
      <c r="C97" s="7" t="s">
        <v>2579</v>
      </c>
      <c r="D97" s="6" t="str">
        <f>IFERROR(__xludf.DUMMYFUNCTION("GOOGLETRANSLATE(J97, ""de"", ""en"")"),"It served to improve throwing accuracy.")</f>
        <v>It served to improve throwing accuracy.</v>
      </c>
      <c r="E97" s="6" t="str">
        <f>IFERROR(__xludf.DUMMYFUNCTION("GOOGLETRANSLATE(K97, ""de"", ""en"")"),"Klootschießen was used to train soldiers in precision throwing and to improve their physical endurance.")</f>
        <v>Klootschießen was used to train soldiers in precision throwing and to improve their physical endurance.</v>
      </c>
      <c r="G97" s="10">
        <v>96.0</v>
      </c>
      <c r="H97" s="9" t="s">
        <v>2580</v>
      </c>
      <c r="I97" s="9" t="str">
        <f>IFERROR(__xludf.DUMMYFUNCTION(" GOOGLETRANSLATE(C97, ""en"", ""de"")"),"A. Es war ein Ausdauertest. B. Es diente der Verbesserung der Wurfgenauigkeit. C. Es wurde für das Nahkampftraining eingesetzt. D. Es war eine Form körperlicher Aktivität.")</f>
        <v>A. Es war ein Ausdauertest. B. Es diente der Verbesserung der Wurfgenauigkeit. C. Es wurde für das Nahkampftraining eingesetzt. D. Es war eine Form körperlicher Aktivität.</v>
      </c>
      <c r="J97" s="9" t="s">
        <v>2581</v>
      </c>
      <c r="K97" s="9" t="s">
        <v>2582</v>
      </c>
    </row>
    <row r="98" ht="22.5" customHeight="1">
      <c r="A98" s="18">
        <v>97.0</v>
      </c>
      <c r="B98" s="6" t="str">
        <f>IFERROR(__xludf.DUMMYFUNCTION("GOOGLETRANSLATE(H98, ""de"", ""en"")"),"Who is traditionally responsible for organizing Klootschießen festivals?")</f>
        <v>Who is traditionally responsible for organizing Klootschießen festivals?</v>
      </c>
      <c r="C98" s="7" t="s">
        <v>2583</v>
      </c>
      <c r="D98" s="6" t="str">
        <f>IFERROR(__xludf.DUMMYFUNCTION("GOOGLETRANSLATE(J98, ""de"", ""en"")"),"Mayor")</f>
        <v>Mayor</v>
      </c>
      <c r="E98" s="6" t="str">
        <f>IFERROR(__xludf.DUMMYFUNCTION("GOOGLETRANSLATE(K98, ""de"", ""en"")"),"Klootschießen festivals are traditionally organized by community leaders, often in rural areas.")</f>
        <v>Klootschießen festivals are traditionally organized by community leaders, often in rural areas.</v>
      </c>
      <c r="G98" s="8">
        <v>97.0</v>
      </c>
      <c r="H98" s="9" t="s">
        <v>2584</v>
      </c>
      <c r="I98" s="9" t="str">
        <f>IFERROR(__xludf.DUMMYFUNCTION(" GOOGLETRANSLATE(C98, ""en"", ""de"")"),"A. Kommunalverwaltungen B. Militäroffiziere C. Bauernverbände D. Bürgermeister")</f>
        <v>A. Kommunalverwaltungen B. Militäroffiziere C. Bauernverbände D. Bürgermeister</v>
      </c>
      <c r="J98" s="9" t="s">
        <v>2585</v>
      </c>
      <c r="K98" s="9" t="s">
        <v>2586</v>
      </c>
    </row>
    <row r="99" ht="22.5" customHeight="1">
      <c r="A99" s="18">
        <v>98.0</v>
      </c>
      <c r="B99" s="6" t="str">
        <f>IFERROR(__xludf.DUMMYFUNCTION("GOOGLETRANSLATE(H99, ""de"", ""en"")"),"When did Klootschießen spread to the United States?")</f>
        <v>When did Klootschießen spread to the United States?</v>
      </c>
      <c r="C99" s="7" t="s">
        <v>2587</v>
      </c>
      <c r="D99" s="6" t="str">
        <f>IFERROR(__xludf.DUMMYFUNCTION("GOOGLETRANSLATE(J99, ""de"", ""en"")"),"End of the 19th century")</f>
        <v>End of the 19th century</v>
      </c>
      <c r="E99" s="6" t="str">
        <f>IFERROR(__xludf.DUMMYFUNCTION("GOOGLETRANSLATE(K99, ""de"", ""en"")"),"Klootschießen spread to the United States in the late 19th century, primarily through German immigrants.")</f>
        <v>Klootschießen spread to the United States in the late 19th century, primarily through German immigrants.</v>
      </c>
      <c r="G99" s="10">
        <v>98.0</v>
      </c>
      <c r="H99" s="9" t="s">
        <v>2588</v>
      </c>
      <c r="I99" s="9" t="str">
        <f>IFERROR(__xludf.DUMMYFUNCTION(" GOOGLETRANSLATE(C99, ""en"", ""de"")"),"A. Ende des 19. Jahrhunderts B. Anfang des 20. Jahrhunderts C. 1940er Jahre D. 1970er Jahre")</f>
        <v>A. Ende des 19. Jahrhunderts B. Anfang des 20. Jahrhunderts C. 1940er Jahre D. 1970er Jahre</v>
      </c>
      <c r="J99" s="9" t="s">
        <v>565</v>
      </c>
      <c r="K99" s="9" t="s">
        <v>2589</v>
      </c>
    </row>
    <row r="100" ht="22.5" customHeight="1">
      <c r="A100" s="18">
        <v>99.0</v>
      </c>
      <c r="B100" s="6" t="str">
        <f>IFERROR(__xludf.DUMMYFUNCTION("GOOGLETRANSLATE(H100, ""de"", ""en"")"),"How was Klootschießen historically connected with harvest time?")</f>
        <v>How was Klootschießen historically connected with harvest time?</v>
      </c>
      <c r="C100" s="7" t="s">
        <v>2590</v>
      </c>
      <c r="D100" s="6" t="str">
        <f>IFERROR(__xludf.DUMMYFUNCTION("GOOGLETRANSLATE(J100, ""de"", ""en"")"),"It was part of the harvest rituals.")</f>
        <v>It was part of the harvest rituals.</v>
      </c>
      <c r="E100" s="6" t="str">
        <f>IFERROR(__xludf.DUMMYFUNCTION("GOOGLETRANSLATE(K100, ""de"", ""en"")"),"Klootschießen was sometimes part of harvest rituals, celebrating successful harvests and bringing communities together.")</f>
        <v>Klootschießen was sometimes part of harvest rituals, celebrating successful harvests and bringing communities together.</v>
      </c>
      <c r="G100" s="8">
        <v>99.0</v>
      </c>
      <c r="H100" s="9" t="s">
        <v>2591</v>
      </c>
      <c r="I100" s="9" t="str">
        <f>IFERROR(__xludf.DUMMYFUNCTION(" GOOGLETRANSLATE(C100, ""en"", ""de"")"),"A. Es war Teil der Ernterituale. B. Es wurde zur Auswahl der Erntehelfer verwendet. C. Nach der Ernte fand ein Fest statt. D. Es wurde als Glücksbringer verwendet.")</f>
        <v>A. Es war Teil der Ernterituale. B. Es wurde zur Auswahl der Erntehelfer verwendet. C. Nach der Ernte fand ein Fest statt. D. Es wurde als Glücksbringer verwendet.</v>
      </c>
      <c r="J100" s="9" t="s">
        <v>2592</v>
      </c>
      <c r="K100" s="9" t="s">
        <v>2593</v>
      </c>
    </row>
    <row r="101" ht="22.5" customHeight="1">
      <c r="A101" s="18">
        <v>100.0</v>
      </c>
      <c r="B101" s="6" t="str">
        <f>IFERROR(__xludf.DUMMYFUNCTION("GOOGLETRANSLATE(H101, ""de"", ""en"")"),"How heavy is a traditional Kloot ball used in competitions?")</f>
        <v>How heavy is a traditional Kloot ball used in competitions?</v>
      </c>
      <c r="C101" s="7" t="s">
        <v>2594</v>
      </c>
      <c r="D101" s="6" t="str">
        <f>IFERROR(__xludf.DUMMYFUNCTION("GOOGLETRANSLATE(J101, ""de"", ""en"")"),"5-7 kg")</f>
        <v>5-7 kg</v>
      </c>
      <c r="E101" s="6" t="str">
        <f>IFERROR(__xludf.DUMMYFUNCTION("GOOGLETRANSLATE(K101, ""de"", ""en"")"),"Traditional Kloot balls weigh between 5 and 7 kilograms, depending on the competition and regional customs.")</f>
        <v>Traditional Kloot balls weigh between 5 and 7 kilograms, depending on the competition and regional customs.</v>
      </c>
      <c r="G101" s="10">
        <v>100.0</v>
      </c>
      <c r="H101" s="9" t="s">
        <v>2595</v>
      </c>
      <c r="I101" s="9" t="str">
        <f>IFERROR(__xludf.DUMMYFUNCTION(" GOOGLETRANSLATE(C101, ""en"", ""de"")"),"A. 5–7 kg B. 7–9 kg C. 9–11 kg D. 11–13 kg")</f>
        <v>A. 5–7 kg B. 7–9 kg C. 9–11 kg D. 11–13 kg</v>
      </c>
      <c r="J101" s="9" t="s">
        <v>2596</v>
      </c>
      <c r="K101" s="9" t="s">
        <v>2597</v>
      </c>
    </row>
    <row r="102" ht="22.5" customHeight="1">
      <c r="A102" s="18">
        <v>101.0</v>
      </c>
      <c r="B102" s="6" t="str">
        <f>IFERROR(__xludf.DUMMYFUNCTION("GOOGLETRANSLATE(H102, ""de"", ""en"")"),"Which European country besides Germany holds annual Klootschießen tournaments?")</f>
        <v>Which European country besides Germany holds annual Klootschießen tournaments?</v>
      </c>
      <c r="C102" s="7" t="s">
        <v>2598</v>
      </c>
      <c r="D102" s="6" t="str">
        <f>IFERROR(__xludf.DUMMYFUNCTION("GOOGLETRANSLATE(J102, ""de"", ""en"")"),"Netherlands")</f>
        <v>Netherlands</v>
      </c>
      <c r="E102" s="6" t="str">
        <f>IFERROR(__xludf.DUMMYFUNCTION("GOOGLETRANSLATE(K102, ""de"", ""en"")"),"Klootschießen tournaments take place every year in the Netherlands, which are part of the rich tradition of this sport.")</f>
        <v>Klootschießen tournaments take place every year in the Netherlands, which are part of the rich tradition of this sport.</v>
      </c>
      <c r="G102" s="8">
        <v>101.0</v>
      </c>
      <c r="H102" s="9" t="s">
        <v>2599</v>
      </c>
      <c r="I102" s="9" t="str">
        <f>IFERROR(__xludf.DUMMYFUNCTION(" GOOGLETRANSLATE(C102, ""en"", ""de"")"),"A. Belgien B. Niederlande C. Frankreich D. Dänemark")</f>
        <v>A. Belgien B. Niederlande C. Frankreich D. Dänemark</v>
      </c>
      <c r="J102" s="9" t="s">
        <v>2256</v>
      </c>
      <c r="K102" s="9" t="s">
        <v>2600</v>
      </c>
    </row>
    <row r="103" ht="22.5" customHeight="1">
      <c r="A103" s="18">
        <v>102.0</v>
      </c>
      <c r="B103" s="6" t="str">
        <f>IFERROR(__xludf.DUMMYFUNCTION("GOOGLETRANSLATE(H103, ""de"", ""en"")"),"In which year did the first Klootschießen World Championship take place?")</f>
        <v>In which year did the first Klootschießen World Championship take place?</v>
      </c>
      <c r="C103" s="7" t="s">
        <v>2601</v>
      </c>
      <c r="D103" s="6" t="str">
        <f>IFERROR(__xludf.DUMMYFUNCTION("GOOGLETRANSLATE(J103, ""de"", ""en"")"),"1970")</f>
        <v>1970</v>
      </c>
      <c r="E103" s="6" t="str">
        <f>IFERROR(__xludf.DUMMYFUNCTION("GOOGLETRANSLATE(K103, ""de"", ""en"")"),"The first Klootschießen World Championship took place in 1970 and attracted international participants.")</f>
        <v>The first Klootschießen World Championship took place in 1970 and attracted international participants.</v>
      </c>
      <c r="G103" s="10">
        <v>102.0</v>
      </c>
      <c r="H103" s="9" t="s">
        <v>2602</v>
      </c>
      <c r="I103" s="9" t="str">
        <f>IFERROR(__xludf.DUMMYFUNCTION(" GOOGLETRANSLATE(C103, ""en"", ""de"")"),"A. 1930 B. 1950 C. 1970 D. 1990")</f>
        <v>A. 1930 B. 1950 C. 1970 D. 1990</v>
      </c>
      <c r="J103" s="11">
        <v>1970.0</v>
      </c>
      <c r="K103" s="9" t="s">
        <v>2603</v>
      </c>
    </row>
    <row r="104" ht="22.5" customHeight="1">
      <c r="A104" s="18">
        <v>103.0</v>
      </c>
      <c r="B104" s="6" t="str">
        <f>IFERROR(__xludf.DUMMYFUNCTION("GOOGLETRANSLATE(H104, ""de"", ""en"")"),"How is Klootschießen recognized in Germany today?")</f>
        <v>How is Klootschießen recognized in Germany today?</v>
      </c>
      <c r="C104" s="7" t="s">
        <v>2604</v>
      </c>
      <c r="D104" s="6" t="str">
        <f>IFERROR(__xludf.DUMMYFUNCTION("GOOGLETRANSLATE(J104, ""de"", ""en"")"),"It is recognized as cultural heritage.")</f>
        <v>It is recognized as cultural heritage.</v>
      </c>
      <c r="E104" s="6" t="str">
        <f>IFERROR(__xludf.DUMMYFUNCTION("GOOGLETRANSLATE(K104, ""de"", ""en"")"),"In modern Germany, Klootschießen is considered a cultural heritage and is celebrated at festivals.")</f>
        <v>In modern Germany, Klootschießen is considered a cultural heritage and is celebrated at festivals.</v>
      </c>
      <c r="G104" s="8">
        <v>103.0</v>
      </c>
      <c r="H104" s="9" t="s">
        <v>2605</v>
      </c>
      <c r="I104" s="9" t="str">
        <f>IFERROR(__xludf.DUMMYFUNCTION(" GOOGLETRANSLATE(C104, ""en"", ""de"")"),"A. Es ist Teil des Schullehrplans. B. Es gilt als Nationalsport. C. Es ist als Kulturerbe anerkannt. D. Es wird nur an Militärakademien gespielt.")</f>
        <v>A. Es ist Teil des Schullehrplans. B. Es gilt als Nationalsport. C. Es ist als Kulturerbe anerkannt. D. Es wird nur an Militärakademien gespielt.</v>
      </c>
      <c r="J104" s="9" t="s">
        <v>2606</v>
      </c>
      <c r="K104" s="9" t="s">
        <v>2607</v>
      </c>
    </row>
    <row r="105" ht="22.5" customHeight="1">
      <c r="A105" s="18">
        <v>104.0</v>
      </c>
      <c r="B105" s="6" t="str">
        <f>IFERROR(__xludf.DUMMYFUNCTION("GOOGLETRANSLATE(H105, ""de"", ""en"")"),"Which sport is closely related to Klootschießen (a traditional Frisian sport) in terms of equipment and gameplay?")</f>
        <v>Which sport is closely related to Klootschießen (a traditional Frisian sport) in terms of equipment and gameplay?</v>
      </c>
      <c r="C105" s="7" t="s">
        <v>2608</v>
      </c>
      <c r="D105" s="6" t="str">
        <f>IFERROR(__xludf.DUMMYFUNCTION("GOOGLETRANSLATE(J105, ""de"", ""en"")"),"Lawn bowling")</f>
        <v>Lawn bowling</v>
      </c>
      <c r="E105" s="6" t="str">
        <f>IFERROR(__xludf.DUMMYFUNCTION("GOOGLETRANSLATE(K105, ""de"", ""en"")"),"Klootschießen is closely related to lawn bowling due to the use of heavy balls and the objective of distance.")</f>
        <v>Klootschießen is closely related to lawn bowling due to the use of heavy balls and the objective of distance.</v>
      </c>
      <c r="G105" s="10">
        <v>104.0</v>
      </c>
      <c r="H105" s="9" t="s">
        <v>2609</v>
      </c>
      <c r="I105" s="9" t="str">
        <f>IFERROR(__xludf.DUMMYFUNCTION(" GOOGLETRANSLATE(C105, ""en"", ""de"")"),"A. Rasenbowling B. Kugelstoßen C. Bogenschießen D. Hammerwerfen")</f>
        <v>A. Rasenbowling B. Kugelstoßen C. Bogenschießen D. Hammerwerfen</v>
      </c>
      <c r="J105" s="9" t="s">
        <v>2484</v>
      </c>
      <c r="K105" s="9" t="s">
        <v>2610</v>
      </c>
    </row>
    <row r="106" ht="22.5" customHeight="1">
      <c r="A106" s="18">
        <v>105.0</v>
      </c>
      <c r="B106" s="6" t="str">
        <f>IFERROR(__xludf.DUMMYFUNCTION("GOOGLETRANSLATE(H106, ""de"", ""en"")"),"At which events is Klootschießen traditionally played today?")</f>
        <v>At which events is Klootschießen traditionally played today?</v>
      </c>
      <c r="C106" s="7" t="s">
        <v>2611</v>
      </c>
      <c r="D106" s="6" t="str">
        <f>IFERROR(__xludf.DUMMYFUNCTION("GOOGLETRANSLATE(J106, ""de"", ""en"")"),"Community celebrations")</f>
        <v>Community celebrations</v>
      </c>
      <c r="E106" s="6" t="str">
        <f>IFERROR(__xludf.DUMMYFUNCTION("GOOGLETRANSLATE(K106, ""de"", ""en"")"),"Klootschießen is most often played at community festivals in rural parts of Germany and the Netherlands.")</f>
        <v>Klootschießen is most often played at community festivals in rural parts of Germany and the Netherlands.</v>
      </c>
      <c r="G106" s="8">
        <v>105.0</v>
      </c>
      <c r="H106" s="9" t="s">
        <v>2612</v>
      </c>
      <c r="I106" s="9" t="str">
        <f>IFERROR(__xludf.DUMMYFUNCTION(" GOOGLETRANSLATE(C106, ""en"", ""de"")"),"A. Profiligen B. Gemeindefesten C. Fernsehübertragungen von Wettbewerben D. Universitätsturnieren")</f>
        <v>A. Profiligen B. Gemeindefesten C. Fernsehübertragungen von Wettbewerben D. Universitätsturnieren</v>
      </c>
      <c r="J106" s="9" t="s">
        <v>825</v>
      </c>
      <c r="K106" s="9" t="s">
        <v>2613</v>
      </c>
    </row>
    <row r="107" ht="22.5" customHeight="1">
      <c r="A107" s="18">
        <v>106.0</v>
      </c>
      <c r="B107" s="6" t="str">
        <f>IFERROR(__xludf.DUMMYFUNCTION("GOOGLETRANSLATE(H107, ""de"", ""en"")"),"What was a key challenge for Klootschießen players in the early competitions?")</f>
        <v>What was a key challenge for Klootschießen players in the early competitions?</v>
      </c>
      <c r="C107" s="7" t="s">
        <v>2614</v>
      </c>
      <c r="D107" s="6" t="str">
        <f>IFERROR(__xludf.DUMMYFUNCTION("GOOGLETRANSLATE(J107, ""de"", ""en"")"),"Limited throwing range")</f>
        <v>Limited throwing range</v>
      </c>
      <c r="E107" s="6" t="str">
        <f>IFERROR(__xludf.DUMMYFUNCTION("GOOGLETRANSLATE(K107, ""de"", ""en"")"),"Early Klootschießen players faced challenges such as limited throwing distances due to equipment and terrain.")</f>
        <v>Early Klootschießen players faced challenges such as limited throwing distances due to equipment and terrain.</v>
      </c>
      <c r="G107" s="10">
        <v>106.0</v>
      </c>
      <c r="H107" s="9" t="s">
        <v>2615</v>
      </c>
      <c r="I107" s="9" t="str">
        <f>IFERROR(__xludf.DUMMYFUNCTION(" GOOGLETRANSLATE(C107, ""en"", ""de"")"),"A. Begrenzte Wurfweite B. Schlechte Wetterbedingungen C. Fehlende Zuschauer D. Wettkampf gegen mehrere Mannschaften")</f>
        <v>A. Begrenzte Wurfweite B. Schlechte Wetterbedingungen C. Fehlende Zuschauer D. Wettkampf gegen mehrere Mannschaften</v>
      </c>
      <c r="J107" s="9" t="s">
        <v>2616</v>
      </c>
      <c r="K107" s="9" t="s">
        <v>2617</v>
      </c>
    </row>
    <row r="108" ht="22.5" customHeight="1">
      <c r="A108" s="18">
        <v>107.0</v>
      </c>
      <c r="B108" s="6" t="str">
        <f>IFERROR(__xludf.DUMMYFUNCTION("GOOGLETRANSLATE(H108, ""de"", ""en"")"),"How is the official winner of a Klootschießen match determined?")</f>
        <v>How is the official winner of a Klootschießen match determined?</v>
      </c>
      <c r="C108" s="7" t="s">
        <v>2618</v>
      </c>
      <c r="D108" s="6" t="str">
        <f>IFERROR(__xludf.DUMMYFUNCTION("GOOGLETRANSLATE(J108, ""de"", ""en"")"),"The longest throw")</f>
        <v>The longest throw</v>
      </c>
      <c r="E108" s="6" t="str">
        <f>IFERROR(__xludf.DUMMYFUNCTION("GOOGLETRANSLATE(K108, ""de"", ""en"")"),"The winner of a Klootschießen match is determined by the longest throw of the Kloot-Ball.")</f>
        <v>The winner of a Klootschießen match is determined by the longest throw of the Kloot-Ball.</v>
      </c>
      <c r="G108" s="8">
        <v>107.0</v>
      </c>
      <c r="H108" s="9" t="s">
        <v>2619</v>
      </c>
      <c r="I108" s="9" t="str">
        <f>IFERROR(__xludf.DUMMYFUNCTION(" GOOGLETRANSLATE(C108, ""en"", ""de"")"),"A. Der weiteste Wurf B. Der präziseste Wurf C. Die kürzeste Zeit D. Die Anzahl der Würfe")</f>
        <v>A. Der weiteste Wurf B. Der präziseste Wurf C. Die kürzeste Zeit D. Die Anzahl der Würfe</v>
      </c>
      <c r="J108" s="9" t="s">
        <v>2620</v>
      </c>
      <c r="K108" s="9" t="s">
        <v>2621</v>
      </c>
    </row>
    <row r="109" ht="22.5" customHeight="1">
      <c r="A109" s="18">
        <v>108.0</v>
      </c>
      <c r="B109" s="6" t="str">
        <f>IFERROR(__xludf.DUMMYFUNCTION("GOOGLETRANSLATE(H109, ""de"", ""en"")"),"What cultural influence does Klootschießen have on its participants?")</f>
        <v>What cultural influence does Klootschießen have on its participants?</v>
      </c>
      <c r="C109" s="7" t="s">
        <v>2622</v>
      </c>
      <c r="D109" s="6" t="str">
        <f>IFERROR(__xludf.DUMMYFUNCTION("GOOGLETRANSLATE(J109, ""de"", ""en"")"),"Promotes physical fitness")</f>
        <v>Promotes physical fitness</v>
      </c>
      <c r="E109" s="6" t="str">
        <f>IFERROR(__xludf.DUMMYFUNCTION("GOOGLETRANSLATE(K109, ""de"", ""en"")"),"Klootschießen promotes physical fitness through long throws and teamwork.")</f>
        <v>Klootschießen promotes physical fitness through long throws and teamwork.</v>
      </c>
      <c r="G109" s="10">
        <v>108.0</v>
      </c>
      <c r="H109" s="9" t="s">
        <v>2623</v>
      </c>
      <c r="I109" s="9" t="str">
        <f>IFERROR(__xludf.DUMMYFUNCTION(" GOOGLETRANSLATE(C109, ""en"", ""de"")"),"A. Es vermittelt Führungsqualitäten. B. Es fördert die körperliche Fitness. C. Es fördert den künstlerischen Ausdruck. D. Es verbessert die Lese- und Schreibfähigkeiten.")</f>
        <v>A. Es vermittelt Führungsqualitäten. B. Es fördert die körperliche Fitness. C. Es fördert den künstlerischen Ausdruck. D. Es verbessert die Lese- und Schreibfähigkeiten.</v>
      </c>
      <c r="J109" s="9" t="s">
        <v>2624</v>
      </c>
      <c r="K109" s="9" t="s">
        <v>2625</v>
      </c>
    </row>
    <row r="110" ht="22.5" customHeight="1">
      <c r="A110" s="18">
        <v>109.0</v>
      </c>
      <c r="B110" s="6" t="str">
        <f>IFERROR(__xludf.DUMMYFUNCTION("GOOGLETRANSLATE(H110, ""de"", ""en"")"),"What aspect distinguishes Klootschießen from similar sports such as shot put?")</f>
        <v>What aspect distinguishes Klootschießen from similar sports such as shot put?</v>
      </c>
      <c r="C110" s="7" t="s">
        <v>2626</v>
      </c>
      <c r="D110" s="6" t="str">
        <f>IFERROR(__xludf.DUMMYFUNCTION("GOOGLETRANSLATE(J110, ""de"", ""en"")"),"The use of a rolling ball")</f>
        <v>The use of a rolling ball</v>
      </c>
      <c r="E110" s="6" t="str">
        <f>IFERROR(__xludf.DUMMYFUNCTION("GOOGLETRANSLATE(K110, ""de"", ""en"")"),"Unlike shot put, in Klootschießen a ball is thrown which rolls over a considerable distance.")</f>
        <v>Unlike shot put, in Klootschießen a ball is thrown which rolls over a considerable distance.</v>
      </c>
      <c r="G110" s="8">
        <v>109.0</v>
      </c>
      <c r="H110" s="9" t="s">
        <v>2627</v>
      </c>
      <c r="I110" s="9" t="str">
        <f>IFERROR(__xludf.DUMMYFUNCTION(" GOOGLETRANSLATE(C110, ""en"", ""de"")"),"A. Die Verwendung einer rollenden Kugel B. Die Verwendung einer Holzkugel C. Das Mannschaftswettbewerbsformat D. Das Punktesystem")</f>
        <v>A. Die Verwendung einer rollenden Kugel B. Die Verwendung einer Holzkugel C. Das Mannschaftswettbewerbsformat D. Das Punktesystem</v>
      </c>
      <c r="J110" s="9" t="s">
        <v>2628</v>
      </c>
      <c r="K110" s="9" t="s">
        <v>2629</v>
      </c>
    </row>
    <row r="111" ht="22.5" customHeight="1">
      <c r="A111" s="18">
        <v>110.0</v>
      </c>
      <c r="B111" s="6" t="str">
        <f>IFERROR(__xludf.DUMMYFUNCTION("GOOGLETRANSLATE(H111, ""de"", ""en"")"),"How does Klootschießen contribute to local tourism in rural Germany?")</f>
        <v>How does Klootschießen contribute to local tourism in rural Germany?</v>
      </c>
      <c r="C111" s="7" t="s">
        <v>2630</v>
      </c>
      <c r="D111" s="6" t="str">
        <f>IFERROR(__xludf.DUMMYFUNCTION("GOOGLETRANSLATE(J111, ""de"", ""en"")"),"Through local festivals and events")</f>
        <v>Through local festivals and events</v>
      </c>
      <c r="E111" s="6" t="str">
        <f>IFERROR(__xludf.DUMMYFUNCTION("GOOGLETRANSLATE(K111, ""de"", ""en"")"),"Klootschießen contributes to local tourism by attracting visitors to festivals and regional competitions.")</f>
        <v>Klootschießen contributes to local tourism by attracting visitors to festivals and regional competitions.</v>
      </c>
      <c r="G111" s="10">
        <v>110.0</v>
      </c>
      <c r="H111" s="9" t="s">
        <v>2631</v>
      </c>
      <c r="I111" s="9" t="str">
        <f>IFERROR(__xludf.DUMMYFUNCTION(" GOOGLETRANSLATE(C111, ""en"", ""de"")"),"A. Durch die Anziehung internationaler Touristen B. Durch die Ausrichtung bedeutender Meisterschaften C. Durch lokale Feste und Veranstaltungen D. Durch die Förderung des Outdoor-Abenteuertourismus")</f>
        <v>A. Durch die Anziehung internationaler Touristen B. Durch die Ausrichtung bedeutender Meisterschaften C. Durch lokale Feste und Veranstaltungen D. Durch die Förderung des Outdoor-Abenteuertourismus</v>
      </c>
      <c r="J111" s="9" t="s">
        <v>2632</v>
      </c>
      <c r="K111" s="9" t="s">
        <v>2633</v>
      </c>
    </row>
    <row r="112" ht="22.5" customHeight="1">
      <c r="A112" s="18">
        <v>111.0</v>
      </c>
      <c r="B112" s="6" t="str">
        <f>IFERROR(__xludf.DUMMYFUNCTION("GOOGLETRANSLATE(H112, ""de"", ""en"")"),"What was one of the original purposes of Klootschießen (a traditional Frisian sport similar to bowling) in rural communities?")</f>
        <v>What was one of the original purposes of Klootschießen (a traditional Frisian sport similar to bowling) in rural communities?</v>
      </c>
      <c r="C112" s="7" t="s">
        <v>2634</v>
      </c>
      <c r="D112" s="6" t="str">
        <f>IFERROR(__xludf.DUMMYFUNCTION("GOOGLETRANSLATE(J112, ""de"", ""en"")"),"To provide entertainment during long winters")</f>
        <v>To provide entertainment during long winters</v>
      </c>
      <c r="E112" s="6" t="str">
        <f>IFERROR(__xludf.DUMMYFUNCTION("GOOGLETRANSLATE(K112, ""de"", ""en"")"),"Originally, Klootschießen served as entertainment and a social gathering during the long winter months in rural communities.")</f>
        <v>Originally, Klootschießen served as entertainment and a social gathering during the long winter months in rural communities.</v>
      </c>
      <c r="G112" s="8">
        <v>111.0</v>
      </c>
      <c r="H112" s="9" t="s">
        <v>2635</v>
      </c>
      <c r="I112" s="9" t="str">
        <f>IFERROR(__xludf.DUMMYFUNCTION(" GOOGLETRANSLATE(C112, ""en"", ""de"")"),"A. Zur Vorbereitung auf den Kampf. B. Zur Stärkung der Arbeitskräfte. C. Zur Unterhaltung während der langen Winter. D. Zum Testen der Genauigkeit landwirtschaftlicher Geräte.")</f>
        <v>A. Zur Vorbereitung auf den Kampf. B. Zur Stärkung der Arbeitskräfte. C. Zur Unterhaltung während der langen Winter. D. Zum Testen der Genauigkeit landwirtschaftlicher Geräte.</v>
      </c>
      <c r="J112" s="9" t="s">
        <v>2636</v>
      </c>
      <c r="K112" s="9" t="s">
        <v>2637</v>
      </c>
    </row>
    <row r="113" ht="22.5" customHeight="1">
      <c r="A113" s="18">
        <v>112.0</v>
      </c>
      <c r="B113" s="6" t="str">
        <f>IFERROR(__xludf.DUMMYFUNCTION("GOOGLETRANSLATE(H113, ""de"", ""en"")"),"Which famous German historical figure is associated with the promotion of physical games similar to Klootschießen?")</f>
        <v>Which famous German historical figure is associated with the promotion of physical games similar to Klootschießen?</v>
      </c>
      <c r="C113" s="7" t="s">
        <v>2638</v>
      </c>
      <c r="D113" s="6" t="str">
        <f>IFERROR(__xludf.DUMMYFUNCTION("GOOGLETRANSLATE(J113, ""de"", ""en"")"),"Frederick the Great")</f>
        <v>Frederick the Great</v>
      </c>
      <c r="E113" s="6" t="str">
        <f>IFERROR(__xludf.DUMMYFUNCTION("GOOGLETRANSLATE(K113, ""de"", ""en"")"),"It is known that Frederick the Great promoted physical games such as Klootschießen (a traditional Frisian sport) to improve military precision.")</f>
        <v>It is known that Frederick the Great promoted physical games such as Klootschießen (a traditional Frisian sport) to improve military precision.</v>
      </c>
      <c r="G113" s="10">
        <v>112.0</v>
      </c>
      <c r="H113" s="9" t="s">
        <v>2639</v>
      </c>
      <c r="I113" s="9" t="str">
        <f>IFERROR(__xludf.DUMMYFUNCTION(" GOOGLETRANSLATE(C113, ""en"", ""de"")"),"A. Adolf Hitler B. Otto von Bismarck C. Friedrich der Große D. Johann Wolfgang von Goethe")</f>
        <v>A. Adolf Hitler B. Otto von Bismarck C. Friedrich der Große D. Johann Wolfgang von Goethe</v>
      </c>
      <c r="J113" s="9" t="s">
        <v>2640</v>
      </c>
      <c r="K113" s="9" t="s">
        <v>2641</v>
      </c>
    </row>
    <row r="114" ht="22.5" customHeight="1">
      <c r="A114" s="18">
        <v>113.0</v>
      </c>
      <c r="B114" s="6" t="str">
        <f>IFERROR(__xludf.DUMMYFUNCTION("GOOGLETRANSLATE(H114, ""de"", ""en"")"),"What influence did the development of Klootschießen have on other European sports?")</f>
        <v>What influence did the development of Klootschießen have on other European sports?</v>
      </c>
      <c r="C114" s="7" t="s">
        <v>2642</v>
      </c>
      <c r="D114" s="6" t="str">
        <f>IFERROR(__xludf.DUMMYFUNCTION("GOOGLETRANSLATE(J114, ""de"", ""en"")"),"By promoting throwing games")</f>
        <v>By promoting throwing games</v>
      </c>
      <c r="E114" s="6" t="str">
        <f>IFERROR(__xludf.DUMMYFUNCTION("GOOGLETRANSLATE(K114, ""de"", ""en"")"),"Klootschießen helped to spread the idea of ​​the throwing sport throughout Europe.")</f>
        <v>Klootschießen helped to spread the idea of ​​the throwing sport throughout Europe.</v>
      </c>
      <c r="G114" s="8">
        <v>113.0</v>
      </c>
      <c r="H114" s="9" t="s">
        <v>2643</v>
      </c>
      <c r="I114" s="9" t="str">
        <f>IFERROR(__xludf.DUMMYFUNCTION(" GOOGLETRANSLATE(C114, ""en"", ""de"")"),"A. Durch die Förderung von Wurfspielen. B. Durch die Einführung von Gewichtsklassen. C. Durch die Schaffung einer formalen Wettkampfstruktur. D. Durch die Betonung der individuellen Kompetenzentwicklung.")</f>
        <v>A. Durch die Förderung von Wurfspielen. B. Durch die Einführung von Gewichtsklassen. C. Durch die Schaffung einer formalen Wettkampfstruktur. D. Durch die Betonung der individuellen Kompetenzentwicklung.</v>
      </c>
      <c r="J114" s="9" t="s">
        <v>2644</v>
      </c>
      <c r="K114" s="9" t="s">
        <v>2645</v>
      </c>
    </row>
    <row r="115" ht="22.5" customHeight="1">
      <c r="A115" s="18">
        <v>114.0</v>
      </c>
      <c r="B115" s="6" t="str">
        <f>IFERROR(__xludf.DUMMYFUNCTION("GOOGLETRANSLATE(H115, ""de"", ""en"")"),"What is the essential difference between Klootschießen and other popular ball throwing sports?")</f>
        <v>What is the essential difference between Klootschießen and other popular ball throwing sports?</v>
      </c>
      <c r="C115" s="7" t="s">
        <v>2646</v>
      </c>
      <c r="D115" s="6" t="str">
        <f>IFERROR(__xludf.DUMMYFUNCTION("GOOGLETRANSLATE(J115, ""de"", ""en"")"),"The competition is team-based.")</f>
        <v>The competition is team-based.</v>
      </c>
      <c r="E115" s="6" t="str">
        <f>IFERROR(__xludf.DUMMYFUNCTION("GOOGLETRANSLATE(K115, ""de"", ""en"")"),"One of the main differences is that Klootschießen, unlike other throwing sports, is traditionally a team competition.")</f>
        <v>One of the main differences is that Klootschießen, unlike other throwing sports, is traditionally a team competition.</v>
      </c>
      <c r="G115" s="10">
        <v>114.0</v>
      </c>
      <c r="H115" s="9" t="s">
        <v>2647</v>
      </c>
      <c r="I115" s="9" t="str">
        <f>IFERROR(__xludf.DUMMYFUNCTION(" GOOGLETRANSLATE(C115, ""en"", ""de"")"),"A. Der Ball wird von Hand geworfen. B. Der Ball wird mithilfe eines Geräts geworfen. C. Der Ball ist größer. D. Der Wettbewerb ist ein Mannschaftswettbewerb.")</f>
        <v>A. Der Ball wird von Hand geworfen. B. Der Ball wird mithilfe eines Geräts geworfen. C. Der Ball ist größer. D. Der Wettbewerb ist ein Mannschaftswettbewerb.</v>
      </c>
      <c r="J115" s="9" t="s">
        <v>2648</v>
      </c>
      <c r="K115" s="9" t="s">
        <v>2649</v>
      </c>
    </row>
    <row r="116" ht="22.5" customHeight="1">
      <c r="A116" s="18">
        <v>115.0</v>
      </c>
      <c r="B116" s="6" t="str">
        <f>IFERROR(__xludf.DUMMYFUNCTION("GOOGLETRANSLATE(H116, ""de"", ""en"")"),"What type of surface is most commonly used for Klootschießen events?")</f>
        <v>What type of surface is most commonly used for Klootschießen events?</v>
      </c>
      <c r="C116" s="7" t="s">
        <v>2650</v>
      </c>
      <c r="D116" s="6" t="str">
        <f>IFERROR(__xludf.DUMMYFUNCTION("GOOGLETRANSLATE(J116, ""de"", ""en"")"),"Grass fields")</f>
        <v>Grass fields</v>
      </c>
      <c r="E116" s="6" t="str">
        <f>IFERROR(__xludf.DUMMYFUNCTION("GOOGLETRANSLATE(K116, ""de"", ""en"")"),"Klootschießen is usually played on lawns, which provide a natural environment for the event.")</f>
        <v>Klootschießen is usually played on lawns, which provide a natural environment for the event.</v>
      </c>
      <c r="G116" s="8">
        <v>115.0</v>
      </c>
      <c r="H116" s="9" t="s">
        <v>2651</v>
      </c>
      <c r="I116" s="9" t="str">
        <f>IFERROR(__xludf.DUMMYFUNCTION(" GOOGLETRANSLATE(C116, ""en"", ""de"")"),"A. Schotterwege B. Rasenplätze C. Betonbahnen D. Indoor-Arenen")</f>
        <v>A. Schotterwege B. Rasenplätze C. Betonbahnen D. Indoor-Arenen</v>
      </c>
      <c r="J116" s="9" t="s">
        <v>2652</v>
      </c>
      <c r="K116" s="9" t="s">
        <v>2653</v>
      </c>
    </row>
    <row r="117" ht="22.5" customHeight="1">
      <c r="A117" s="18">
        <v>116.0</v>
      </c>
      <c r="B117" s="6" t="str">
        <f>IFERROR(__xludf.DUMMYFUNCTION("GOOGLETRANSLATE(H117, ""de"", ""en"")"),"What is a major festival in Germany where Klootschießen (a traditional Frisian sport) is a central event?")</f>
        <v>What is a major festival in Germany where Klootschießen (a traditional Frisian sport) is a central event?</v>
      </c>
      <c r="C117" s="7" t="s">
        <v>2654</v>
      </c>
      <c r="D117" s="6" t="str">
        <f>IFERROR(__xludf.DUMMYFUNCTION("GOOGLETRANSLATE(J117, ""de"", ""en"")"),"Shooting festival")</f>
        <v>Shooting festival</v>
      </c>
      <c r="E117" s="6" t="str">
        <f>IFERROR(__xludf.DUMMYFUNCTION("GOOGLETRANSLATE(K117, ""de"", ""en"")"),"Klootschießen is often a central event during the Schützenfest, a traditional German shooting and sports festival.")</f>
        <v>Klootschießen is often a central event during the Schützenfest, a traditional German shooting and sports festival.</v>
      </c>
      <c r="G117" s="10">
        <v>116.0</v>
      </c>
      <c r="H117" s="9" t="s">
        <v>2655</v>
      </c>
      <c r="I117" s="9" t="str">
        <f>IFERROR(__xludf.DUMMYFUNCTION(" GOOGLETRANSLATE(C117, ""en"", ""de"")"),"A. Oktoberfest B. Karneval C. Schießsportfest D. Weihnachtsmärkte")</f>
        <v>A. Oktoberfest B. Karneval C. Schießsportfest D. Weihnachtsmärkte</v>
      </c>
      <c r="J117" s="9" t="s">
        <v>2656</v>
      </c>
      <c r="K117" s="9" t="s">
        <v>2657</v>
      </c>
    </row>
    <row r="118" ht="22.5" customHeight="1">
      <c r="A118" s="18">
        <v>117.0</v>
      </c>
      <c r="B118" s="6" t="str">
        <f>IFERROR(__xludf.DUMMYFUNCTION("GOOGLETRANSLATE(H118, ""de"", ""en"")"),"What characteristic of the Kloot-Ball ensures a fair competition?")</f>
        <v>What characteristic of the Kloot-Ball ensures a fair competition?</v>
      </c>
      <c r="C118" s="7" t="s">
        <v>2658</v>
      </c>
      <c r="D118" s="6" t="str">
        <f>IFERROR(__xludf.DUMMYFUNCTION("GOOGLETRANSLATE(J118, ""de"", ""en"")"),"His weight and his size")</f>
        <v>His weight and his size</v>
      </c>
      <c r="E118" s="6" t="str">
        <f>IFERROR(__xludf.DUMMYFUNCTION("GOOGLETRANSLATE(K118, ""de"", ""en"")"),"The weight and size of the Kloot ball ensure fairness and consistency during the competition.")</f>
        <v>The weight and size of the Kloot ball ensure fairness and consistency during the competition.</v>
      </c>
      <c r="G118" s="8">
        <v>117.0</v>
      </c>
      <c r="H118" s="9" t="s">
        <v>2659</v>
      </c>
      <c r="I118" s="9" t="str">
        <f>IFERROR(__xludf.DUMMYFUNCTION(" GOOGLETRANSLATE(C118, ""en"", ""de"")"),"A. Sein Gewicht und seine Größe B. Seine Form C. Seine Farbe D. Sein Material")</f>
        <v>A. Sein Gewicht und seine Größe B. Seine Form C. Seine Farbe D. Sein Material</v>
      </c>
      <c r="J118" s="9" t="s">
        <v>2660</v>
      </c>
      <c r="K118" s="9" t="s">
        <v>2661</v>
      </c>
    </row>
    <row r="119" ht="22.5" customHeight="1">
      <c r="A119" s="18">
        <v>118.0</v>
      </c>
      <c r="B119" s="6" t="str">
        <f>IFERROR(__xludf.DUMMYFUNCTION("GOOGLETRANSLATE(H119, ""de"", ""en"")"),"What historical practices are associated with Klootschießen tournaments in the 18th century?")</f>
        <v>What historical practices are associated with Klootschießen tournaments in the 18th century?</v>
      </c>
      <c r="C119" s="7" t="s">
        <v>2662</v>
      </c>
      <c r="D119" s="6" t="str">
        <f>IFERROR(__xludf.DUMMYFUNCTION("GOOGLETRANSLATE(J119, ""de"", ""en"")"),"Feasting and celebrating")</f>
        <v>Feasting and celebrating</v>
      </c>
      <c r="E119" s="6" t="str">
        <f>IFERROR(__xludf.DUMMYFUNCTION("GOOGLETRANSLATE(K119, ""de"", ""en"")"),"Klootschießen tournaments were often associated with large festivals and community celebrations in the 18th century.")</f>
        <v>Klootschießen tournaments were often associated with large festivals and community celebrations in the 18th century.</v>
      </c>
      <c r="G119" s="10">
        <v>118.0</v>
      </c>
      <c r="H119" s="9" t="s">
        <v>2663</v>
      </c>
      <c r="I119" s="9" t="str">
        <f>IFERROR(__xludf.DUMMYFUNCTION(" GOOGLETRANSLATE(C119, ""en"", ""de"")"),"A. Festessen und Feiern B. Kriegerausbildung C. Viehhandel D. Steuereintreibung")</f>
        <v>A. Festessen und Feiern B. Kriegerausbildung C. Viehhandel D. Steuereintreibung</v>
      </c>
      <c r="J119" s="9" t="s">
        <v>2664</v>
      </c>
      <c r="K119" s="9" t="s">
        <v>2665</v>
      </c>
    </row>
    <row r="120" ht="22.5" customHeight="1">
      <c r="A120" s="18">
        <v>119.0</v>
      </c>
      <c r="B120" s="6" t="str">
        <f>IFERROR(__xludf.DUMMYFUNCTION("GOOGLETRANSLATE(H120, ""de"", ""en"")"),"How do participants mark the end of a Klootschießen event?")</f>
        <v>How do participants mark the end of a Klootschießen event?</v>
      </c>
      <c r="C120" s="7" t="s">
        <v>2666</v>
      </c>
      <c r="D120" s="6" t="str">
        <f>IFERROR(__xludf.DUMMYFUNCTION("GOOGLETRANSLATE(J120, ""de"", ""en"")"),"By awarding prizes")</f>
        <v>By awarding prizes</v>
      </c>
      <c r="E120" s="6" t="str">
        <f>IFERROR(__xludf.DUMMYFUNCTION("GOOGLETRANSLATE(K120, ""de"", ""en"")"),"The participants celebrate the conclusion of a Klootschießen event by presenting prizes to the winners.")</f>
        <v>The participants celebrate the conclusion of a Klootschießen event by presenting prizes to the winners.</v>
      </c>
      <c r="G120" s="8">
        <v>119.0</v>
      </c>
      <c r="H120" s="9" t="s">
        <v>2667</v>
      </c>
      <c r="I120" s="9" t="str">
        <f>IFERROR(__xludf.DUMMYFUNCTION(" GOOGLETRANSLATE(C120, ""en"", ""de"")"),"A. Durch das Hissen von Flaggen B. Durch das Singen nationaler Lieder C. Durch die Verleihung von Preisen D. Durch das Entzünden von Lagerfeuern")</f>
        <v>A. Durch das Hissen von Flaggen B. Durch das Singen nationaler Lieder C. Durch die Verleihung von Preisen D. Durch das Entzünden von Lagerfeuern</v>
      </c>
      <c r="J120" s="9" t="s">
        <v>2668</v>
      </c>
      <c r="K120" s="9" t="s">
        <v>2669</v>
      </c>
    </row>
    <row r="121" ht="22.5" customHeight="1">
      <c r="A121" s="18">
        <v>120.0</v>
      </c>
      <c r="B121" s="6" t="str">
        <f>IFERROR(__xludf.DUMMYFUNCTION("GOOGLETRANSLATE(H121, ""de"", ""en"")"),"What role do Klootschießen events play in the social fabric of rural German communities?")</f>
        <v>What role do Klootschießen events play in the social fabric of rural German communities?</v>
      </c>
      <c r="C121" s="7" t="s">
        <v>2670</v>
      </c>
      <c r="D121" s="6" t="str">
        <f>IFERROR(__xludf.DUMMYFUNCTION("GOOGLETRANSLATE(J121, ""de"", ""en"")"),"They promote social cohesion")</f>
        <v>They promote social cohesion</v>
      </c>
      <c r="E121" s="6" t="str">
        <f>IFERROR(__xludf.DUMMYFUNCTION("GOOGLETRANSLATE(K121, ""de"", ""en"")"),"Klootschießen events play a key role in promoting social cohesion by bringing people together in rural communities.")</f>
        <v>Klootschießen events play a key role in promoting social cohesion by bringing people together in rural communities.</v>
      </c>
      <c r="G121" s="10">
        <v>120.0</v>
      </c>
      <c r="H121" s="9" t="s">
        <v>2671</v>
      </c>
      <c r="I121" s="9" t="str">
        <f>IFERROR(__xludf.DUMMYFUNCTION(" GOOGLETRANSLATE(C121, ""en"", ""de"")"),"A. Sie fördern den sozialen Zusammenhalt. B. Sie sammeln Spenden für lokale Schulen. C. Sie entscheiden über lokale politische Kandidaten. D. Sie fördern den Fortschritt in der Landwirtschaft.")</f>
        <v>A. Sie fördern den sozialen Zusammenhalt. B. Sie sammeln Spenden für lokale Schulen. C. Sie entscheiden über lokale politische Kandidaten. D. Sie fördern den Fortschritt in der Landwirtschaft.</v>
      </c>
      <c r="J121" s="9" t="s">
        <v>2672</v>
      </c>
      <c r="K121" s="9" t="s">
        <v>2673</v>
      </c>
    </row>
    <row r="122" ht="22.5" customHeight="1">
      <c r="A122" s="18">
        <v>121.0</v>
      </c>
      <c r="B122" s="6" t="str">
        <f>IFERROR(__xludf.DUMMYFUNCTION("GOOGLETRANSLATE(H122, ""de"", ""en"")"),"In which city did the first international Klootschießen (a traditional Frisian sport) take place?")</f>
        <v>In which city did the first international Klootschießen (a traditional Frisian sport) take place?</v>
      </c>
      <c r="C122" s="7" t="s">
        <v>2674</v>
      </c>
      <c r="D122" s="6" t="str">
        <f>IFERROR(__xludf.DUMMYFUNCTION("GOOGLETRANSLATE(J122, ""de"", ""en"")"),"Berlin")</f>
        <v>Berlin</v>
      </c>
      <c r="E122" s="6" t="str">
        <f>IFERROR(__xludf.DUMMYFUNCTION("GOOGLETRANSLATE(K122, ""de"", ""en"")"),"The first international Klootschießen event took place in Berlin, marking the international expansion of the sport.")</f>
        <v>The first international Klootschießen event took place in Berlin, marking the international expansion of the sport.</v>
      </c>
      <c r="G122" s="8">
        <v>121.0</v>
      </c>
      <c r="H122" s="9" t="s">
        <v>2675</v>
      </c>
      <c r="I122" s="9" t="str">
        <f>IFERROR(__xludf.DUMMYFUNCTION(" GOOGLETRANSLATE(C122, ""en"", ""de"")"),"A. Hamburg B. Berlin C. München D. Stuttgart")</f>
        <v>A. Hamburg B. Berlin C. München D. Stuttgart</v>
      </c>
      <c r="J122" s="9" t="s">
        <v>2676</v>
      </c>
      <c r="K122" s="9" t="s">
        <v>2677</v>
      </c>
    </row>
    <row r="123" ht="22.5" customHeight="1">
      <c r="A123" s="18">
        <v>122.0</v>
      </c>
      <c r="B123" s="6" t="str">
        <f>IFERROR(__xludf.DUMMYFUNCTION("GOOGLETRANSLATE(H123, ""de"", ""en"")"),"What kind of celebrations accompany large Klootschießen tournaments?")</f>
        <v>What kind of celebrations accompany large Klootschießen tournaments?</v>
      </c>
      <c r="C123" s="7" t="s">
        <v>2678</v>
      </c>
      <c r="D123" s="6" t="str">
        <f>IFERROR(__xludf.DUMMYFUNCTION("GOOGLETRANSLATE(J123, ""de"", ""en"")"),"Public processions")</f>
        <v>Public processions</v>
      </c>
      <c r="E123" s="6" t="str">
        <f>IFERROR(__xludf.DUMMYFUNCTION("GOOGLETRANSLATE(K123, ""de"", ""en"")"),"Large Klootschießen tournaments are often accompanied by public parades celebrating the sport and the community.")</f>
        <v>Large Klootschießen tournaments are often accompanied by public parades celebrating the sport and the community.</v>
      </c>
      <c r="G123" s="10">
        <v>122.0</v>
      </c>
      <c r="H123" s="9" t="s">
        <v>2679</v>
      </c>
      <c r="I123" s="9" t="str">
        <f>IFERROR(__xludf.DUMMYFUNCTION(" GOOGLETRANSLATE(C123, ""en"", ""de"")"),"A. Öffentliche Prozessionen B. Militärparaden C. Feuerwerke D. Kunstausstellungen")</f>
        <v>A. Öffentliche Prozessionen B. Militärparaden C. Feuerwerke D. Kunstausstellungen</v>
      </c>
      <c r="J123" s="9" t="s">
        <v>2680</v>
      </c>
      <c r="K123" s="9" t="s">
        <v>2681</v>
      </c>
    </row>
    <row r="124" ht="22.5" customHeight="1">
      <c r="A124" s="18">
        <v>123.0</v>
      </c>
      <c r="B124" s="6" t="str">
        <f>IFERROR(__xludf.DUMMYFUNCTION("GOOGLETRANSLATE(H124, ""de"", ""en"")"),"What kind of community groups traditionally organize Klootschießen (a traditional Frisian sport)?")</f>
        <v>What kind of community groups traditionally organize Klootschießen (a traditional Frisian sport)?</v>
      </c>
      <c r="C124" s="7" t="s">
        <v>2682</v>
      </c>
      <c r="D124" s="6" t="str">
        <f>IFERROR(__xludf.DUMMYFUNCTION("GOOGLETRANSLATE(J124, ""de"", ""en"")"),"Sports clubs")</f>
        <v>Sports clubs</v>
      </c>
      <c r="E124" s="6" t="str">
        <f>IFERROR(__xludf.DUMMYFUNCTION("GOOGLETRANSLATE(K124, ""de"", ""en"")"),"Sports clubs traditionally organize Klootschiebe events and focus on community engagement and sporting traditions.")</f>
        <v>Sports clubs traditionally organize Klootschiebe events and focus on community engagement and sporting traditions.</v>
      </c>
      <c r="G124" s="8">
        <v>123.0</v>
      </c>
      <c r="H124" s="9" t="s">
        <v>2683</v>
      </c>
      <c r="I124" s="9" t="str">
        <f>IFERROR(__xludf.DUMMYFUNCTION(" GOOGLETRANSLATE(C124, ""en"", ""de"")"),"A. Sportvereine B. Religiöse Gruppen C. Militäreinheiten D. Kulturvereine")</f>
        <v>A. Sportvereine B. Religiöse Gruppen C. Militäreinheiten D. Kulturvereine</v>
      </c>
      <c r="J124" s="9" t="s">
        <v>569</v>
      </c>
      <c r="K124" s="9" t="s">
        <v>2684</v>
      </c>
    </row>
    <row r="125" ht="22.5" customHeight="1">
      <c r="A125" s="18">
        <v>124.0</v>
      </c>
      <c r="B125" s="6" t="str">
        <f>IFERROR(__xludf.DUMMYFUNCTION("GOOGLETRANSLATE(H125, ""de"", ""en"")"),"What is a common nickname for Klootschiebe in his local areas?")</f>
        <v>What is a common nickname for Klootschiebe in his local areas?</v>
      </c>
      <c r="C125" s="7" t="s">
        <v>2685</v>
      </c>
      <c r="D125" s="6" t="str">
        <f>IFERROR(__xludf.DUMMYFUNCTION("GOOGLETRANSLATE(J125, ""de"", ""en"")"),"Village sports")</f>
        <v>Village sports</v>
      </c>
      <c r="E125" s="6" t="str">
        <f>IFERROR(__xludf.DUMMYFUNCTION("GOOGLETRANSLATE(K125, ""de"", ""en"")"),"In its local areas, Klootschiebe is often referred to as a ""village sport"" due to its rural roots.")</f>
        <v>In its local areas, Klootschiebe is often referred to as a "village sport" due to its rural roots.</v>
      </c>
      <c r="G125" s="10">
        <v>124.0</v>
      </c>
      <c r="H125" s="9" t="s">
        <v>2686</v>
      </c>
      <c r="I125" s="9" t="str">
        <f>IFERROR(__xludf.DUMMYFUNCTION(" GOOGLETRANSLATE(C125, ""en"", ""de"")"),"A. Der deutsche Wurf B. Dorfspiele C. Der Toughball-Wettbewerb D. Die Landesmeisterschaft")</f>
        <v>A. Der deutsche Wurf B. Dorfspiele C. Der Toughball-Wettbewerb D. Die Landesmeisterschaft</v>
      </c>
      <c r="J125" s="9" t="s">
        <v>2687</v>
      </c>
      <c r="K125" s="9" t="s">
        <v>2688</v>
      </c>
    </row>
    <row r="126" ht="22.5" customHeight="1">
      <c r="A126" s="18">
        <v>125.0</v>
      </c>
      <c r="B126" s="6" t="str">
        <f>IFERROR(__xludf.DUMMYFUNCTION("GOOGLETRANSLATE(H126, ""de"", ""en"")"),"Which natural characteristic is frequently incorporated into Klootschießen (a traditional Frisian sport) courses?")</f>
        <v>Which natural characteristic is frequently incorporated into Klootschießen (a traditional Frisian sport) courses?</v>
      </c>
      <c r="C126" s="7" t="s">
        <v>2689</v>
      </c>
      <c r="D126" s="6" t="str">
        <f>IFERROR(__xludf.DUMMYFUNCTION("GOOGLETRANSLATE(J126, ""de"", ""en"")"),"hill")</f>
        <v>hill</v>
      </c>
      <c r="E126" s="6" t="str">
        <f>IFERROR(__xludf.DUMMYFUNCTION("GOOGLETRANSLATE(K126, ""de"", ""en"")"),"Many Klootschießen courses include natural hills to add difficulty and variety to the competition.")</f>
        <v>Many Klootschießen courses include natural hills to add difficulty and variety to the competition.</v>
      </c>
      <c r="G126" s="8">
        <v>125.0</v>
      </c>
      <c r="H126" s="9" t="s">
        <v>2690</v>
      </c>
      <c r="I126" s="9" t="str">
        <f>IFERROR(__xludf.DUMMYFUNCTION(" GOOGLETRANSLATE(C126, ""en"", ""de"")"),"A. Flüsse B. Berge C. Hügel D. Wälder")</f>
        <v>A. Flüsse B. Berge C. Hügel D. Wälder</v>
      </c>
      <c r="J126" s="9" t="s">
        <v>2691</v>
      </c>
      <c r="K126" s="9" t="s">
        <v>2692</v>
      </c>
    </row>
    <row r="127" ht="22.5" customHeight="1">
      <c r="A127" s="18">
        <v>126.0</v>
      </c>
      <c r="B127" s="6" t="str">
        <f>IFERROR(__xludf.DUMMYFUNCTION("GOOGLETRANSLATE(H127, ""de"", ""en"")"),"Which century is considered the starting point for the development of Klootschiebe?")</f>
        <v>Which century is considered the starting point for the development of Klootschiebe?</v>
      </c>
      <c r="C127" s="7" t="s">
        <v>2234</v>
      </c>
      <c r="D127" s="6" t="str">
        <f>IFERROR(__xludf.DUMMYFUNCTION("GOOGLETRANSLATE(J127, ""de"", ""en"")"),"16th century")</f>
        <v>16th century</v>
      </c>
      <c r="E127" s="6" t="str">
        <f>IFERROR(__xludf.DUMMYFUNCTION("GOOGLETRANSLATE(K127, ""de"", ""en"")"),"Klootschießen began to develop as a game in northern Germany in the 16th century.")</f>
        <v>Klootschießen began to develop as a game in northern Germany in the 16th century.</v>
      </c>
      <c r="G127" s="10">
        <v>126.0</v>
      </c>
      <c r="H127" s="9" t="s">
        <v>2693</v>
      </c>
      <c r="I127" s="9" t="str">
        <f>IFERROR(__xludf.DUMMYFUNCTION(" GOOGLETRANSLATE(C127, ""en"", ""de"")"),"A. 15. Jahrhundert B. 16. Jahrhundert C. 17. Jahrhundert D. 18. Jahrhundert")</f>
        <v>A. 15. Jahrhundert B. 16. Jahrhundert C. 17. Jahrhundert D. 18. Jahrhundert</v>
      </c>
      <c r="J127" s="9" t="s">
        <v>277</v>
      </c>
      <c r="K127" s="9" t="s">
        <v>2694</v>
      </c>
    </row>
    <row r="128" ht="22.5" customHeight="1">
      <c r="A128" s="18">
        <v>127.0</v>
      </c>
      <c r="B128" s="6" t="str">
        <f>IFERROR(__xludf.DUMMYFUNCTION("GOOGLETRANSLATE(H128, ""de"", ""en"")"),"How did Klootschige evolve from earlier forms of sport?")</f>
        <v>How did Klootschige evolve from earlier forms of sport?</v>
      </c>
      <c r="C128" s="7" t="s">
        <v>2695</v>
      </c>
      <c r="D128" s="6" t="str">
        <f>IFERROR(__xludf.DUMMYFUNCTION("GOOGLETRANSLATE(J128, ""de"", ""en"")"),"By incorporating heavy wooden balls")</f>
        <v>By incorporating heavy wooden balls</v>
      </c>
      <c r="E128" s="6" t="str">
        <f>IFERROR(__xludf.DUMMYFUNCTION("GOOGLETRANSLATE(K128, ""de"", ""en"")"),"The sport evolved with the introduction of heavy wooden balls, which differs from earlier forms of stone throwing.")</f>
        <v>The sport evolved with the introduction of heavy wooden balls, which differs from earlier forms of stone throwing.</v>
      </c>
      <c r="G128" s="8">
        <v>127.0</v>
      </c>
      <c r="H128" s="9" t="s">
        <v>2696</v>
      </c>
      <c r="I128" s="9" t="str">
        <f>IFERROR(__xludf.DUMMYFUNCTION(" GOOGLETRANSLATE(C128, ""en"", ""de"")"),"A. Durch die Verwendung schwerer Holzkugeln. B. Durch die Erweiterung des Wettbewerbs um weitere Teams. C. Durch die Einführung präziserer Wurftechniken. D. Durch die Schaffung formalerer Regeln.")</f>
        <v>A. Durch die Verwendung schwerer Holzkugeln. B. Durch die Erweiterung des Wettbewerbs um weitere Teams. C. Durch die Einführung präziserer Wurftechniken. D. Durch die Schaffung formalerer Regeln.</v>
      </c>
      <c r="J128" s="9" t="s">
        <v>2697</v>
      </c>
      <c r="K128" s="9" t="s">
        <v>2698</v>
      </c>
    </row>
    <row r="129" ht="22.5" customHeight="1">
      <c r="A129" s="18">
        <v>128.0</v>
      </c>
      <c r="B129" s="6" t="str">
        <f>IFERROR(__xludf.DUMMYFUNCTION("GOOGLETRANSLATE(H129, ""de"", ""en"")"),"What is the origin of the word 'Kloot' in Klootschiebe?")</f>
        <v>What is the origin of the word 'Kloot' in Klootschiebe?</v>
      </c>
      <c r="C129" s="7" t="s">
        <v>2699</v>
      </c>
      <c r="D129" s="6" t="str">
        <f>IFERROR(__xludf.DUMMYFUNCTION("GOOGLETRANSLATE(J129, ""de"", ""en"")"),"It means ball")</f>
        <v>It means ball</v>
      </c>
      <c r="E129" s="6" t="str">
        <f>IFERROR(__xludf.DUMMYFUNCTION("GOOGLETRANSLATE(K129, ""de"", ""en"")"),"Kloot 'comes from the Low German word for ""ball"" and refers to the object used in the game.")</f>
        <v>Kloot 'comes from the Low German word for "ball" and refers to the object used in the game.</v>
      </c>
      <c r="G129" s="10">
        <v>128.0</v>
      </c>
      <c r="H129" s="9" t="s">
        <v>2700</v>
      </c>
      <c r="I129" s="9" t="str">
        <f>IFERROR(__xludf.DUMMYFUNCTION(" GOOGLETRANSLATE(C129, ""en"", ""de"")"),"A. Es bedeutet Ball. B. Es bedeutet Stein. C. Es bedeutet Gewicht. D. Es bedeutet Tor.")</f>
        <v>A. Es bedeutet Ball. B. Es bedeutet Stein. C. Es bedeutet Gewicht. D. Es bedeutet Tor.</v>
      </c>
      <c r="J129" s="9" t="s">
        <v>2701</v>
      </c>
      <c r="K129" s="9" t="s">
        <v>2702</v>
      </c>
    </row>
    <row r="130" ht="22.5" customHeight="1">
      <c r="A130" s="18">
        <v>129.0</v>
      </c>
      <c r="B130" s="6" t="str">
        <f>IFERROR(__xludf.DUMMYFUNCTION("GOOGLETRANSLATE(H130, ""de"", ""en"")"),"Which part of Germany is known for being the birthplace of Klootschiebe?")</f>
        <v>Which part of Germany is known for being the birthplace of Klootschiebe?</v>
      </c>
      <c r="C130" s="7" t="s">
        <v>2703</v>
      </c>
      <c r="D130" s="6" t="str">
        <f>IFERROR(__xludf.DUMMYFUNCTION("GOOGLETRANSLATE(J130, ""de"", ""en"")"),"Lower Saxony")</f>
        <v>Lower Saxony</v>
      </c>
      <c r="E130" s="6" t="str">
        <f>IFERROR(__xludf.DUMMYFUNCTION("GOOGLETRANSLATE(K130, ""de"", ""en"")"),"Klootschießen originated in Lower Saxony, a region in the northern part of Germany.")</f>
        <v>Klootschießen originated in Lower Saxony, a region in the northern part of Germany.</v>
      </c>
      <c r="G130" s="8">
        <v>129.0</v>
      </c>
      <c r="H130" s="9" t="s">
        <v>2704</v>
      </c>
      <c r="I130" s="9" t="str">
        <f>IFERROR(__xludf.DUMMYFUNCTION(" GOOGLETRANSLATE(C130, ""en"", ""de"")"),"A. Bayern B. Niedersachsen C. Hessen D. Sachsen")</f>
        <v>A. Bayern B. Niedersachsen C. Hessen D. Sachsen</v>
      </c>
      <c r="J130" s="9" t="s">
        <v>273</v>
      </c>
      <c r="K130" s="9" t="s">
        <v>2705</v>
      </c>
    </row>
    <row r="131" ht="22.5" customHeight="1">
      <c r="A131" s="18">
        <v>130.0</v>
      </c>
      <c r="B131" s="6" t="str">
        <f>IFERROR(__xludf.DUMMYFUNCTION("GOOGLETRANSLATE(H131, ""de"", ""en"")"),"What historical event is said to have influenced the spread of Klootschiebe?")</f>
        <v>What historical event is said to have influenced the spread of Klootschiebe?</v>
      </c>
      <c r="C131" s="7" t="s">
        <v>2706</v>
      </c>
      <c r="D131" s="6" t="str">
        <f>IFERROR(__xludf.DUMMYFUNCTION("GOOGLETRANSLATE(J131, ""de"", ""en"")"),"The Napoleonic Wars")</f>
        <v>The Napoleonic Wars</v>
      </c>
      <c r="E131" s="6" t="str">
        <f>IFERROR(__xludf.DUMMYFUNCTION("GOOGLETRANSLATE(K131, ""de"", ""en"")"),"The Napoleonic Wars helped to spread Klootschiebe, as soldiers returning from battle brought it to other parts of Europe.")</f>
        <v>The Napoleonic Wars helped to spread Klootschiebe, as soldiers returning from battle brought it to other parts of Europe.</v>
      </c>
      <c r="G131" s="10">
        <v>130.0</v>
      </c>
      <c r="H131" s="9" t="s">
        <v>2707</v>
      </c>
      <c r="I131" s="9" t="str">
        <f>IFERROR(__xludf.DUMMYFUNCTION(" GOOGLETRANSLATE(C131, ""en"", ""de"")"),"A. Die Napoleonischen Kriege B. Die Industrielle Revolution C. Der Erste Weltkrieg D. Der Aufstieg des preußischen Militarismus")</f>
        <v>A. Die Napoleonischen Kriege B. Die Industrielle Revolution C. Der Erste Weltkrieg D. Der Aufstieg des preußischen Militarismus</v>
      </c>
      <c r="J131" s="9" t="s">
        <v>2708</v>
      </c>
      <c r="K131" s="9" t="s">
        <v>2709</v>
      </c>
    </row>
    <row r="132" ht="22.5" customHeight="1">
      <c r="A132" s="18">
        <v>131.0</v>
      </c>
      <c r="B132" s="6" t="str">
        <f>IFERROR(__xludf.DUMMYFUNCTION("GOOGLETRANSLATE(H132, ""de"", ""en"")"),"In which region of the Netherlands did Klootschiebe spread after her arrival from Germany?")</f>
        <v>In which region of the Netherlands did Klootschiebe spread after her arrival from Germany?</v>
      </c>
      <c r="C132" s="7" t="s">
        <v>2710</v>
      </c>
      <c r="D132" s="6" t="str">
        <f>IFERROR(__xludf.DUMMYFUNCTION("GOOGLETRANSLATE(J132, ""de"", ""en"")"),"Friesland")</f>
        <v>Friesland</v>
      </c>
      <c r="E132" s="6" t="str">
        <f>IFERROR(__xludf.DUMMYFUNCTION("GOOGLETRANSLATE(K132, ""de"", ""en"")"),"Friesland was one of the first Dutch regions to adopt Klootschige after it spread from Germany.")</f>
        <v>Friesland was one of the first Dutch regions to adopt Klootschige after it spread from Germany.</v>
      </c>
      <c r="G132" s="8">
        <v>131.0</v>
      </c>
      <c r="H132" s="9" t="s">
        <v>2711</v>
      </c>
      <c r="I132" s="9" t="str">
        <f>IFERROR(__xludf.DUMMYFUNCTION(" GOOGLETRANSLATE(C132, ""en"", ""de"")"),"A. Friesland B. Groningen C. Drenthe D. Limburg")</f>
        <v>A. Friesland B. Groningen C. Drenthe D. Limburg</v>
      </c>
      <c r="J132" s="9" t="s">
        <v>458</v>
      </c>
      <c r="K132" s="9" t="s">
        <v>2712</v>
      </c>
    </row>
    <row r="133" ht="22.5" customHeight="1">
      <c r="A133" s="18">
        <v>132.0</v>
      </c>
      <c r="B133" s="6" t="str">
        <f>IFERROR(__xludf.DUMMYFUNCTION("GOOGLETRANSLATE(H133, ""de"", ""en"")"),"How far do the longest throws in Klootschiehen competitions usually reach?")</f>
        <v>How far do the longest throws in Klootschiehen competitions usually reach?</v>
      </c>
      <c r="C133" s="7" t="s">
        <v>2570</v>
      </c>
      <c r="D133" s="6" t="str">
        <f>IFERROR(__xludf.DUMMYFUNCTION("GOOGLETRANSLATE(J133, ""de"", ""en"")"),"200 meters")</f>
        <v>200 meters</v>
      </c>
      <c r="E133" s="6" t="str">
        <f>IFERROR(__xludf.DUMMYFUNCTION("GOOGLETRANSLATE(K133, ""de"", ""en"")"),"The longest throws in Klootschießen competitions usually reach distances of up to 200 meters.")</f>
        <v>The longest throws in Klootschießen competitions usually reach distances of up to 200 meters.</v>
      </c>
      <c r="G133" s="10">
        <v>132.0</v>
      </c>
      <c r="H133" s="9" t="s">
        <v>2713</v>
      </c>
      <c r="I133" s="9" t="str">
        <f>IFERROR(__xludf.DUMMYFUNCTION(" GOOGLETRANSLATE(C133, ""en"", ""de"")"),"A. 100 Meter B. 150 Meter C. 200 Meter D. 250 Meter")</f>
        <v>A. 100 Meter B. 150 Meter C. 200 Meter D. 250 Meter</v>
      </c>
      <c r="J133" s="9" t="s">
        <v>2714</v>
      </c>
      <c r="K133" s="9" t="s">
        <v>2715</v>
      </c>
    </row>
    <row r="134" ht="22.5" customHeight="1">
      <c r="A134" s="18">
        <v>133.0</v>
      </c>
      <c r="B134" s="6" t="str">
        <f>IFERROR(__xludf.DUMMYFUNCTION("GOOGLETRANSLATE(H134, ""de"", ""en"")"),"What is the goal for each participant during their turn in Klootschießen?")</f>
        <v>What is the goal for each participant during their turn in Klootschießen?</v>
      </c>
      <c r="C134" s="7" t="s">
        <v>2716</v>
      </c>
      <c r="D134" s="6" t="str">
        <f>IFERROR(__xludf.DUMMYFUNCTION("GOOGLETRANSLATE(J134, ""de"", ""en"")"),"To throw the ball as far as possible")</f>
        <v>To throw the ball as far as possible</v>
      </c>
      <c r="E134" s="6" t="str">
        <f>IFERROR(__xludf.DUMMYFUNCTION("GOOGLETRANSLATE(K134, ""de"", ""en"")"),"The main goal of each participant is to throw the Kloot ball as far as possible.")</f>
        <v>The main goal of each participant is to throw the Kloot ball as far as possible.</v>
      </c>
      <c r="G134" s="8">
        <v>133.0</v>
      </c>
      <c r="H134" s="9" t="s">
        <v>2717</v>
      </c>
      <c r="I134" s="9" t="str">
        <f>IFERROR(__xludf.DUMMYFUNCTION(" GOOGLETRANSLATE(C134, ""en"", ""de"")"),"A. Den Ball so weit wie möglich werfen. B. Ein Ziel treffen. C. Den Ball rollen. D. Den Ball mit der höchsten Geschwindigkeit werfen.")</f>
        <v>A. Den Ball so weit wie möglich werfen. B. Ein Ziel treffen. C. Den Ball rollen. D. Den Ball mit der höchsten Geschwindigkeit werfen.</v>
      </c>
      <c r="J134" s="9" t="s">
        <v>2718</v>
      </c>
      <c r="K134" s="9" t="s">
        <v>2719</v>
      </c>
    </row>
    <row r="135" ht="22.5" customHeight="1">
      <c r="A135" s="18">
        <v>134.0</v>
      </c>
      <c r="B135" s="6" t="str">
        <f>IFERROR(__xludf.DUMMYFUNCTION("GOOGLETRANSLATE(H135, ""de"", ""en"")"),"What was one of the early uses of Klootschiebe in German villages?")</f>
        <v>What was one of the early uses of Klootschiebe in German villages?</v>
      </c>
      <c r="C135" s="7" t="s">
        <v>2720</v>
      </c>
      <c r="D135" s="6" t="str">
        <f>IFERROR(__xludf.DUMMYFUNCTION("GOOGLETRANSLATE(J135, ""de"", ""en"")"),"For military training")</f>
        <v>For military training</v>
      </c>
      <c r="E135" s="6" t="str">
        <f>IFERROR(__xludf.DUMMYFUNCTION("GOOGLETRANSLATE(K135, ""de"", ""en"")"),"Klootschießen was originally used as a training method to improve precision in military exercises.")</f>
        <v>Klootschießen was originally used as a training method to improve precision in military exercises.</v>
      </c>
      <c r="G135" s="10">
        <v>134.0</v>
      </c>
      <c r="H135" s="9" t="s">
        <v>2721</v>
      </c>
      <c r="I135" s="9" t="str">
        <f>IFERROR(__xludf.DUMMYFUNCTION(" GOOGLETRANSLATE(C135, ""en"", ""de"")"),"A. Für die militärische Ausbildung B. Zur Verbesserung landwirtschaftlicher Praktiken C. Als Methode zur Auswahl von Führungskräften D. Für religiöse Zeremonien")</f>
        <v>A. Für die militärische Ausbildung B. Zur Verbesserung landwirtschaftlicher Praktiken C. Als Methode zur Auswahl von Führungskräften D. Für religiöse Zeremonien</v>
      </c>
      <c r="J135" s="9" t="s">
        <v>2722</v>
      </c>
      <c r="K135" s="9" t="s">
        <v>2723</v>
      </c>
    </row>
    <row r="136" ht="22.5" customHeight="1">
      <c r="A136" s="18">
        <v>135.0</v>
      </c>
      <c r="B136" s="6" t="str">
        <f>IFERROR(__xludf.DUMMYFUNCTION("GOOGLETRANSLATE(H136, ""de"", ""en"")"),"What material are modern Kloot balls made of?")</f>
        <v>What material are modern Kloot balls made of?</v>
      </c>
      <c r="C136" s="7" t="s">
        <v>2724</v>
      </c>
      <c r="D136" s="6" t="str">
        <f>IFERROR(__xludf.DUMMYFUNCTION("GOOGLETRANSLATE(J136, ""de"", ""en"")"),"Steel")</f>
        <v>Steel</v>
      </c>
      <c r="E136" s="6" t="str">
        <f>IFERROR(__xludf.DUMMYFUNCTION("GOOGLETRANSLATE(K136, ""de"", ""en"")"),"Modern Kloot balls are usually made of steel or other heavy materials to withstand long throws.")</f>
        <v>Modern Kloot balls are usually made of steel or other heavy materials to withstand long throws.</v>
      </c>
      <c r="G136" s="8">
        <v>135.0</v>
      </c>
      <c r="H136" s="9" t="s">
        <v>2725</v>
      </c>
      <c r="I136" s="9" t="str">
        <f>IFERROR(__xludf.DUMMYFUNCTION(" GOOGLETRANSLATE(C136, ""en"", ""de"")"),"A. Holz B. Stahl C. Kunststoff D. Gummi")</f>
        <v>A. Holz B. Stahl C. Kunststoff D. Gummi</v>
      </c>
      <c r="J136" s="9" t="s">
        <v>2726</v>
      </c>
      <c r="K136" s="9" t="s">
        <v>2727</v>
      </c>
    </row>
    <row r="137" ht="22.5" customHeight="1">
      <c r="A137" s="18">
        <v>136.0</v>
      </c>
      <c r="B137" s="6" t="str">
        <f>IFERROR(__xludf.DUMMYFUNCTION("GOOGLETRANSLATE(H137, ""de"", ""en"")"),"What kind of traditional German festival often offers Klootschiebe events?")</f>
        <v>What kind of traditional German festival often offers Klootschiebe events?</v>
      </c>
      <c r="C137" s="7" t="s">
        <v>2728</v>
      </c>
      <c r="D137" s="6" t="str">
        <f>IFERROR(__xludf.DUMMYFUNCTION("GOOGLETRANSLATE(J137, ""de"", ""en"")"),"Shooting festival")</f>
        <v>Shooting festival</v>
      </c>
      <c r="E137" s="6" t="str">
        <f>IFERROR(__xludf.DUMMYFUNCTION("GOOGLETRANSLATE(K137, ""de"", ""en"")"),"Klootschiebe is a popular event during the Schützenfest, a traditional German shooting festival.")</f>
        <v>Klootschiebe is a popular event during the Schützenfest, a traditional German shooting festival.</v>
      </c>
      <c r="G137" s="10">
        <v>136.0</v>
      </c>
      <c r="H137" s="9" t="s">
        <v>2729</v>
      </c>
      <c r="I137" s="9" t="str">
        <f>IFERROR(__xludf.DUMMYFUNCTION(" GOOGLETRANSLATE(C137, ""en"", ""de"")"),"A. Biergartenfeste B. Oktoberfest C. Schießsportfest D. Weihnachtsmärkte")</f>
        <v>A. Biergartenfeste B. Oktoberfest C. Schießsportfest D. Weihnachtsmärkte</v>
      </c>
      <c r="J137" s="9" t="s">
        <v>2656</v>
      </c>
      <c r="K137" s="9" t="s">
        <v>2730</v>
      </c>
    </row>
    <row r="138" ht="22.5" customHeight="1">
      <c r="A138" s="18">
        <v>137.0</v>
      </c>
      <c r="B138" s="6" t="str">
        <f>IFERROR(__xludf.DUMMYFUNCTION("GOOGLETRANSLATE(H138, ""de"", ""en"")"),"What is a ""Kloot"" in the context of Klootschiebe?")</f>
        <v>What is a "Kloot" in the context of Klootschiebe?</v>
      </c>
      <c r="C138" s="7" t="s">
        <v>2731</v>
      </c>
      <c r="D138" s="6" t="str">
        <f>IFERROR(__xludf.DUMMYFUNCTION("GOOGLETRANSLATE(J138, ""de"", ""en"")"),"A throwing ball")</f>
        <v>A throwing ball</v>
      </c>
      <c r="E138" s="6" t="str">
        <f>IFERROR(__xludf.DUMMYFUNCTION("GOOGLETRANSLATE(K138, ""de"", ""en"")"),"A ""Kloot"" refers to the large throwing ball used in the sport of Klootschiebe.")</f>
        <v>A "Kloot" refers to the large throwing ball used in the sport of Klootschiebe.</v>
      </c>
      <c r="G138" s="8">
        <v>137.0</v>
      </c>
      <c r="H138" s="9" t="s">
        <v>2732</v>
      </c>
      <c r="I138" s="9" t="str">
        <f>IFERROR(__xludf.DUMMYFUNCTION(" GOOGLETRANSLATE(C138, ""en"", ""de"")"),"A. Ein Tor B. Ein Wurfball C. Ein Team D. Ein Entfernungsmarker")</f>
        <v>A. Ein Tor B. Ein Wurfball C. Ein Team D. Ein Entfernungsmarker</v>
      </c>
      <c r="J138" s="9" t="s">
        <v>2733</v>
      </c>
      <c r="K138" s="9" t="s">
        <v>2734</v>
      </c>
    </row>
    <row r="139" ht="22.5" customHeight="1">
      <c r="A139" s="18">
        <v>138.0</v>
      </c>
      <c r="B139" s="6" t="str">
        <f>IFERROR(__xludf.DUMMYFUNCTION("GOOGLETRANSLATE(H139, ""de"", ""en"")"),"What was one of the main reasons why Klootschiebe was played in rural communities?")</f>
        <v>What was one of the main reasons why Klootschiebe was played in rural communities?</v>
      </c>
      <c r="C139" s="7" t="s">
        <v>2735</v>
      </c>
      <c r="D139" s="6" t="str">
        <f>IFERROR(__xludf.DUMMYFUNCTION("GOOGLETRANSLATE(J139, ""de"", ""en"")"),"For recreation and socialization")</f>
        <v>For recreation and socialization</v>
      </c>
      <c r="E139" s="6" t="str">
        <f>IFERROR(__xludf.DUMMYFUNCTION("GOOGLETRANSLATE(K139, ""de"", ""en"")"),"Klootschiebe was played primarily for recreational purposes and as a social activity for rural communities.")</f>
        <v>Klootschiebe was played primarily for recreational purposes and as a social activity for rural communities.</v>
      </c>
      <c r="G139" s="10">
        <v>138.0</v>
      </c>
      <c r="H139" s="9" t="s">
        <v>2736</v>
      </c>
      <c r="I139" s="9" t="str">
        <f>IFERROR(__xludf.DUMMYFUNCTION(" GOOGLETRANSLATE(C139, ""en"", ""de"")"),"A. Für militärische Ausbildung B. Für Freizeit und Geselligkeit C. Zum Testen der körperlichen Stärke D. Zur Auswahl von Anführern für das Dorf")</f>
        <v>A. Für militärische Ausbildung B. Für Freizeit und Geselligkeit C. Zum Testen der körperlichen Stärke D. Zur Auswahl von Anführern für das Dorf</v>
      </c>
      <c r="J139" s="9" t="s">
        <v>2737</v>
      </c>
      <c r="K139" s="9" t="s">
        <v>2738</v>
      </c>
    </row>
    <row r="140" ht="22.5" customHeight="1">
      <c r="A140" s="18">
        <v>139.0</v>
      </c>
      <c r="B140" s="6" t="str">
        <f>IFERROR(__xludf.DUMMYFUNCTION("GOOGLETRANSLATE(H140, ""de"", ""en"")"),"In which year did the first international Klootschiebe competition take place?")</f>
        <v>In which year did the first international Klootschiebe competition take place?</v>
      </c>
      <c r="C140" s="7" t="s">
        <v>2739</v>
      </c>
      <c r="D140" s="6" t="str">
        <f>IFERROR(__xludf.DUMMYFUNCTION("GOOGLETRANSLATE(J140, ""de"", ""en"")"),"1970")</f>
        <v>1970</v>
      </c>
      <c r="E140" s="6" t="str">
        <f>IFERROR(__xludf.DUMMYFUNCTION("GOOGLETRANSLATE(K140, ""de"", ""en"")"),"The first international Klootschießen competition took place in 1970.")</f>
        <v>The first international Klootschießen competition took place in 1970.</v>
      </c>
      <c r="G140" s="8">
        <v>139.0</v>
      </c>
      <c r="H140" s="9" t="s">
        <v>2740</v>
      </c>
      <c r="I140" s="9" t="str">
        <f>IFERROR(__xludf.DUMMYFUNCTION(" GOOGLETRANSLATE(C140, ""en"", ""de"")"),"A. 1865 B. 1900 C. 1930 D. 1970")</f>
        <v>A. 1865 B. 1900 C. 1930 D. 1970</v>
      </c>
      <c r="J140" s="11">
        <v>1970.0</v>
      </c>
      <c r="K140" s="9" t="s">
        <v>2741</v>
      </c>
    </row>
    <row r="141" ht="22.5" customHeight="1">
      <c r="A141" s="18">
        <v>140.0</v>
      </c>
      <c r="B141" s="6" t="str">
        <f>IFERROR(__xludf.DUMMYFUNCTION("GOOGLETRANSLATE(H141, ""de"", ""en"")"),"Which two countries are the main centers for Klootschießen (a traditional Frisian sport) outside of Germany?")</f>
        <v>Which two countries are the main centers for Klootschießen (a traditional Frisian sport) outside of Germany?</v>
      </c>
      <c r="C141" s="7" t="s">
        <v>2742</v>
      </c>
      <c r="D141" s="6" t="str">
        <f>IFERROR(__xludf.DUMMYFUNCTION("GOOGLETRANSLATE(J141, ""de"", ""en"")"),"Netherlands and Denmark")</f>
        <v>Netherlands and Denmark</v>
      </c>
      <c r="E141" s="6" t="str">
        <f>IFERROR(__xludf.DUMMYFUNCTION("GOOGLETRANSLATE(K141, ""de"", ""en"")"),"The Netherlands and Denmark are the main centers of Klootschiebe outside of Germany.")</f>
        <v>The Netherlands and Denmark are the main centers of Klootschiebe outside of Germany.</v>
      </c>
      <c r="G141" s="10">
        <v>140.0</v>
      </c>
      <c r="H141" s="9" t="s">
        <v>2743</v>
      </c>
      <c r="I141" s="9" t="str">
        <f>IFERROR(__xludf.DUMMYFUNCTION(" GOOGLETRANSLATE(C141, ""en"", ""de"")"),"A. Niederlande und Dänemark B. Belgien und Österreich C. Frankreich und Schweiz D. Polen und Großbritannien")</f>
        <v>A. Niederlande und Dänemark B. Belgien und Österreich C. Frankreich und Schweiz D. Polen und Großbritannien</v>
      </c>
      <c r="J141" s="9" t="s">
        <v>2744</v>
      </c>
      <c r="K141" s="9" t="s">
        <v>2745</v>
      </c>
    </row>
    <row r="142" ht="22.5" customHeight="1">
      <c r="A142" s="18">
        <v>141.0</v>
      </c>
      <c r="B142" s="6" t="str">
        <f>IFERROR(__xludf.DUMMYFUNCTION("GOOGLETRANSLATE(H142, ""de"", ""en"")"),"What is the most important characteristic that distinguishes Klootschießen from other ball-based sports?")</f>
        <v>What is the most important characteristic that distinguishes Klootschießen from other ball-based sports?</v>
      </c>
      <c r="C142" s="7" t="s">
        <v>2746</v>
      </c>
      <c r="D142" s="6" t="str">
        <f>IFERROR(__xludf.DUMMYFUNCTION("GOOGLETRANSLATE(J142, ""de"", ""en"")"),"The use of heavy balls")</f>
        <v>The use of heavy balls</v>
      </c>
      <c r="E142" s="6" t="str">
        <f>IFERROR(__xludf.DUMMYFUNCTION("GOOGLETRANSLATE(K142, ""de"", ""en"")"),"Klootschießen is characterized by the use of heavy balls, often made of wood or metal, which are thrown over long distances.")</f>
        <v>Klootschießen is characterized by the use of heavy balls, often made of wood or metal, which are thrown over long distances.</v>
      </c>
      <c r="G142" s="8">
        <v>141.0</v>
      </c>
      <c r="H142" s="9" t="s">
        <v>2747</v>
      </c>
      <c r="I142" s="9" t="str">
        <f>IFERROR(__xludf.DUMMYFUNCTION(" GOOGLETRANSLATE(C142, ""en"", ""de"")"),"A. Die Verwendung schwerer Bälle B. Das Teamformat C. Das Punktesystem D. Die Größe des Balls")</f>
        <v>A. Die Verwendung schwerer Bälle B. Das Teamformat C. Das Punktesystem D. Die Größe des Balls</v>
      </c>
      <c r="J142" s="9" t="s">
        <v>2748</v>
      </c>
      <c r="K142" s="9" t="s">
        <v>2749</v>
      </c>
    </row>
    <row r="143" ht="22.5" customHeight="1">
      <c r="A143" s="18">
        <v>142.0</v>
      </c>
      <c r="B143" s="6" t="str">
        <f>IFERROR(__xludf.DUMMYFUNCTION("GOOGLETRANSLATE(H143, ""de"", ""en"")"),"What was the significance of Klootschiebe in 19th-century Germany?")</f>
        <v>What was the significance of Klootschiebe in 19th-century Germany?</v>
      </c>
      <c r="C143" s="7" t="s">
        <v>2750</v>
      </c>
      <c r="D143" s="6" t="str">
        <f>IFERROR(__xludf.DUMMYFUNCTION("GOOGLETRANSLATE(J143, ""de"", ""en"")"),"It became a national pastime")</f>
        <v>It became a national pastime</v>
      </c>
      <c r="E143" s="6" t="str">
        <f>IFERROR(__xludf.DUMMYFUNCTION("GOOGLETRANSLATE(K143, ""de"", ""en"")"),"In the 19th century, Klootschiebe became a popular national pastime in Germany, especially in rural areas.")</f>
        <v>In the 19th century, Klootschiebe became a popular national pastime in Germany, especially in rural areas.</v>
      </c>
      <c r="G143" s="10">
        <v>142.0</v>
      </c>
      <c r="H143" s="9" t="s">
        <v>2751</v>
      </c>
      <c r="I143" s="9" t="str">
        <f>IFERROR(__xludf.DUMMYFUNCTION(" GOOGLETRANSLATE(C143, ""en"", ""de"")"),"A. Es war eine Methode zur Prüfung der sportlichen Fähigkeiten. B. Es war eine religiöse Praxis. C. Es war eine Form der landwirtschaftlichen Ausbildung. D. Es wurde zu einem nationalen Zeitvertreib.")</f>
        <v>A. Es war eine Methode zur Prüfung der sportlichen Fähigkeiten. B. Es war eine religiöse Praxis. C. Es war eine Form der landwirtschaftlichen Ausbildung. D. Es wurde zu einem nationalen Zeitvertreib.</v>
      </c>
      <c r="J143" s="9" t="s">
        <v>2752</v>
      </c>
      <c r="K143" s="9" t="s">
        <v>2753</v>
      </c>
    </row>
    <row r="144" ht="22.5" customHeight="1">
      <c r="A144" s="18">
        <v>143.0</v>
      </c>
      <c r="B144" s="6" t="str">
        <f>IFERROR(__xludf.DUMMYFUNCTION("GOOGLETRANSLATE(H144, ""de"", ""en"")"),"What other sport is most similar to Klootschießen?")</f>
        <v>What other sport is most similar to Klootschießen?</v>
      </c>
      <c r="C144" s="7" t="s">
        <v>2754</v>
      </c>
      <c r="D144" s="6" t="str">
        <f>IFERROR(__xludf.DUMMYFUNCTION("GOOGLETRANSLATE(J144, ""de"", ""en"")"),"Lawn bowling")</f>
        <v>Lawn bowling</v>
      </c>
      <c r="E144" s="6" t="str">
        <f>IFERROR(__xludf.DUMMYFUNCTION("GOOGLETRANSLATE(K144, ""de"", ""en"")"),"Lawn bowling is similar to klootschießen, as both involve throwing heavy objects for distance.")</f>
        <v>Lawn bowling is similar to klootschießen, as both involve throwing heavy objects for distance.</v>
      </c>
      <c r="G144" s="8">
        <v>143.0</v>
      </c>
      <c r="H144" s="9" t="s">
        <v>2755</v>
      </c>
      <c r="I144" s="9" t="str">
        <f>IFERROR(__xludf.DUMMYFUNCTION(" GOOGLETRANSLATE(C144, ""en"", ""de"")"),"A. Rasenbowling B. Kugelstoßen C. Bogenschießen D. Diskuswurf")</f>
        <v>A. Rasenbowling B. Kugelstoßen C. Bogenschießen D. Diskuswurf</v>
      </c>
      <c r="J144" s="9" t="s">
        <v>2484</v>
      </c>
      <c r="K144" s="9" t="s">
        <v>2756</v>
      </c>
    </row>
    <row r="145" ht="22.5" customHeight="1">
      <c r="A145" s="18">
        <v>144.0</v>
      </c>
      <c r="B145" s="6" t="str">
        <f>IFERROR(__xludf.DUMMYFUNCTION("GOOGLETRANSLATE(H145, ""de"", ""en"")"),"What is the term used to describe the group of people who play Klootschießen?")</f>
        <v>What is the term used to describe the group of people who play Klootschießen?</v>
      </c>
      <c r="C145" s="7" t="s">
        <v>2757</v>
      </c>
      <c r="D145" s="6" t="str">
        <f>IFERROR(__xludf.DUMMYFUNCTION("GOOGLETRANSLATE(J145, ""de"", ""en"")"),"The team")</f>
        <v>The team</v>
      </c>
      <c r="E145" s="6" t="str">
        <f>IFERROR(__xludf.DUMMYFUNCTION("GOOGLETRANSLATE(K145, ""de"", ""en"")"),"In Klootschiebe, the group of people is referred to as a team.")</f>
        <v>In Klootschiebe, the group of people is referred to as a team.</v>
      </c>
      <c r="G145" s="10">
        <v>144.0</v>
      </c>
      <c r="H145" s="9" t="s">
        <v>2758</v>
      </c>
      <c r="I145" s="9" t="str">
        <f>IFERROR(__xludf.DUMMYFUNCTION(" GOOGLETRANSLATE(C145, ""en"", ""de"")"),"A. Die Mannschaft B. Der Kader C. Die Liga D. Die Gewerkschaft")</f>
        <v>A. Die Mannschaft B. Der Kader C. Die Liga D. Die Gewerkschaft</v>
      </c>
      <c r="J145" s="9" t="s">
        <v>2759</v>
      </c>
      <c r="K145" s="9" t="s">
        <v>2760</v>
      </c>
    </row>
    <row r="146" ht="22.5" customHeight="1">
      <c r="A146" s="18">
        <v>145.0</v>
      </c>
      <c r="B146" s="6" t="str">
        <f>IFERROR(__xludf.DUMMYFUNCTION("GOOGLETRANSLATE(H146, ""de"", ""en"")"),"What role does Klootsching play in the cultural identity of Northern Germany?")</f>
        <v>What role does Klootsching play in the cultural identity of Northern Germany?</v>
      </c>
      <c r="C146" s="7" t="s">
        <v>2761</v>
      </c>
      <c r="D146" s="6" t="str">
        <f>IFERROR(__xludf.DUMMYFUNCTION("GOOGLETRANSLATE(J146, ""de"", ""en"")"),"It celebrates local heritage")</f>
        <v>It celebrates local heritage</v>
      </c>
      <c r="E146" s="6" t="str">
        <f>IFERROR(__xludf.DUMMYFUNCTION("GOOGLETRANSLATE(K146, ""de"", ""en"")"),"Klootschießen plays an important role in celebrating the cultural heritage of Northern Germany, especially in rural areas.")</f>
        <v>Klootschießen plays an important role in celebrating the cultural heritage of Northern Germany, especially in rural areas.</v>
      </c>
      <c r="G146" s="8">
        <v>145.0</v>
      </c>
      <c r="H146" s="9" t="s">
        <v>2762</v>
      </c>
      <c r="I146" s="9" t="str">
        <f>IFERROR(__xludf.DUMMYFUNCTION(" GOOGLETRANSLATE(C146, ""en"", ""de"")"),"A. Es ist ein Symbol der deutschen Einheit. B. Es würdigt das lokale Erbe. C. Es spiegelt die Militärkultur der Region wider. D. Es spielt keine bedeutende Rolle.")</f>
        <v>A. Es ist ein Symbol der deutschen Einheit. B. Es würdigt das lokale Erbe. C. Es spiegelt die Militärkultur der Region wider. D. Es spielt keine bedeutende Rolle.</v>
      </c>
      <c r="J146" s="9" t="s">
        <v>2763</v>
      </c>
      <c r="K146" s="9" t="s">
        <v>2764</v>
      </c>
    </row>
    <row r="147" ht="22.5" customHeight="1">
      <c r="A147" s="18">
        <v>146.0</v>
      </c>
      <c r="B147" s="6" t="str">
        <f>IFERROR(__xludf.DUMMYFUNCTION("GOOGLETRANSLATE(H147, ""de"", ""en"")"),"Which Prussian king promoted sports like Klootschiebe for military training?")</f>
        <v>Which Prussian king promoted sports like Klootschiebe for military training?</v>
      </c>
      <c r="C147" s="7" t="s">
        <v>2765</v>
      </c>
      <c r="D147" s="6" t="str">
        <f>IFERROR(__xludf.DUMMYFUNCTION("GOOGLETRANSLATE(J147, ""de"", ""en"")"),"Frederick the Great")</f>
        <v>Frederick the Great</v>
      </c>
      <c r="E147" s="6" t="str">
        <f>IFERROR(__xludf.DUMMYFUNCTION("GOOGLETRANSLATE(K147, ""de"", ""en"")"),"Frederick the Great promoted physical training, including sports such as Klootschießen, for military purposes.")</f>
        <v>Frederick the Great promoted physical training, including sports such as Klootschießen, for military purposes.</v>
      </c>
      <c r="G147" s="10">
        <v>146.0</v>
      </c>
      <c r="H147" s="9" t="s">
        <v>2766</v>
      </c>
      <c r="I147" s="9" t="str">
        <f>IFERROR(__xludf.DUMMYFUNCTION(" GOOGLETRANSLATE(C147, ""en"", ""de"")"),"A. Friedrich der Große B. Friedrich Wilhelm IV. C. König Wilhelm I. D. Otto von Bismarck")</f>
        <v>A. Friedrich der Große B. Friedrich Wilhelm IV. C. König Wilhelm I. D. Otto von Bismarck</v>
      </c>
      <c r="J147" s="9" t="s">
        <v>2640</v>
      </c>
      <c r="K147" s="9" t="s">
        <v>2767</v>
      </c>
    </row>
    <row r="148" ht="22.5" customHeight="1">
      <c r="A148" s="18">
        <v>147.0</v>
      </c>
      <c r="B148" s="6" t="str">
        <f>IFERROR(__xludf.DUMMYFUNCTION("GOOGLETRANSLATE(H148, ""de"", ""en"")"),"What aspect of Klootsching made it useful for military training?")</f>
        <v>What aspect of Klootsching made it useful for military training?</v>
      </c>
      <c r="C148" s="7" t="s">
        <v>2768</v>
      </c>
      <c r="D148" s="6" t="str">
        <f>IFERROR(__xludf.DUMMYFUNCTION("GOOGLETRANSLATE(J148, ""de"", ""en"")"),"develop throwing accuracy")</f>
        <v>develop throwing accuracy</v>
      </c>
      <c r="E148" s="6" t="str">
        <f>IFERROR(__xludf.DUMMYFUNCTION("GOOGLETRANSLATE(K148, ""de"", ""en"")"),"Klootschießen was used to train military personnel to develop accuracy in throwing objects.")</f>
        <v>Klootschießen was used to train military personnel to develop accuracy in throwing objects.</v>
      </c>
      <c r="G148" s="8">
        <v>147.0</v>
      </c>
      <c r="H148" s="9" t="s">
        <v>2769</v>
      </c>
      <c r="I148" s="9" t="str">
        <f>IFERROR(__xludf.DUMMYFUNCTION(" GOOGLETRANSLATE(C148, ""en"", ""de"")"),"A. Wurfgenauigkeit verbessern B. Ausdauer steigern C. Hand-Augen-Koordination testen D. Kraft steigern")</f>
        <v>A. Wurfgenauigkeit verbessern B. Ausdauer steigern C. Hand-Augen-Koordination testen D. Kraft steigern</v>
      </c>
      <c r="J148" s="9" t="s">
        <v>2770</v>
      </c>
      <c r="K148" s="9" t="s">
        <v>2771</v>
      </c>
    </row>
    <row r="149" ht="22.5" customHeight="1">
      <c r="A149" s="18">
        <v>148.0</v>
      </c>
      <c r="B149" s="6" t="str">
        <f>IFERROR(__xludf.DUMMYFUNCTION("GOOGLETRANSLATE(H149, ""de"", ""en"")"),"In which German region are the annual Klootschießen championships still held?")</f>
        <v>In which German region are the annual Klootschießen championships still held?</v>
      </c>
      <c r="C149" s="7" t="s">
        <v>2772</v>
      </c>
      <c r="D149" s="6" t="str">
        <f>IFERROR(__xludf.DUMMYFUNCTION("GOOGLETRANSLATE(J149, ""de"", ""en"")"),"Lower Saxony")</f>
        <v>Lower Saxony</v>
      </c>
      <c r="E149" s="6" t="str">
        <f>IFERROR(__xludf.DUMMYFUNCTION("GOOGLETRANSLATE(K149, ""de"", ""en"")"),"Lower Saxony continues to hold annual Klootschiebe championships and preserves the tradition of the sport.")</f>
        <v>Lower Saxony continues to hold annual Klootschiebe championships and preserves the tradition of the sport.</v>
      </c>
      <c r="G149" s="10">
        <v>148.0</v>
      </c>
      <c r="H149" s="9" t="s">
        <v>2773</v>
      </c>
      <c r="I149" s="9" t="str">
        <f>IFERROR(__xludf.DUMMYFUNCTION(" GOOGLETRANSLATE(C149, ""en"", ""de"")"),"A. Bayern B. Hessen C. Niedersachsen D. Nordrhein-Westfalen")</f>
        <v>A. Bayern B. Hessen C. Niedersachsen D. Nordrhein-Westfalen</v>
      </c>
      <c r="J149" s="9" t="s">
        <v>273</v>
      </c>
      <c r="K149" s="9" t="s">
        <v>2774</v>
      </c>
    </row>
    <row r="150" ht="22.5" customHeight="1">
      <c r="A150" s="18">
        <v>149.0</v>
      </c>
      <c r="B150" s="6" t="str">
        <f>IFERROR(__xludf.DUMMYFUNCTION("GOOGLETRANSLATE(H150, ""de"", ""en"")"),"Which international event showcased Klootschiebe as a cultural display?")</f>
        <v>Which international event showcased Klootschiebe as a cultural display?</v>
      </c>
      <c r="C150" s="7" t="s">
        <v>2775</v>
      </c>
      <c r="D150" s="6" t="str">
        <f>IFERROR(__xludf.DUMMYFUNCTION("GOOGLETRANSLATE(J150, ""de"", ""en"")"),"The World's Fair")</f>
        <v>The World's Fair</v>
      </c>
      <c r="E150" s="6" t="str">
        <f>IFERROR(__xludf.DUMMYFUNCTION("GOOGLETRANSLATE(K150, ""de"", ""en"")"),"Klootschiebe was presented at the World Expo as a cultural exhibition showcasing Germany's traditional sports.")</f>
        <v>Klootschiebe was presented at the World Expo as a cultural exhibition showcasing Germany's traditional sports.</v>
      </c>
      <c r="G150" s="8">
        <v>149.0</v>
      </c>
      <c r="H150" s="9" t="s">
        <v>2776</v>
      </c>
      <c r="I150" s="9" t="str">
        <f>IFERROR(__xludf.DUMMYFUNCTION(" GOOGLETRANSLATE(C150, ""en"", ""de"")"),"A. Die Olympischen Sommerspiele B. Die Weltspiele C. Die Europameisterschaften D. Die Weltausstellung")</f>
        <v>A. Die Olympischen Sommerspiele B. Die Weltspiele C. Die Europameisterschaften D. Die Weltausstellung</v>
      </c>
      <c r="J150" s="9" t="s">
        <v>2777</v>
      </c>
      <c r="K150" s="9" t="s">
        <v>2778</v>
      </c>
    </row>
    <row r="151" ht="22.5" customHeight="1">
      <c r="A151" s="18">
        <v>150.0</v>
      </c>
      <c r="B151" s="6" t="str">
        <f>IFERROR(__xludf.DUMMYFUNCTION("GOOGLETRANSLATE(H151, ""de"", ""en"")"),"How has the industrialization of Germany affected the popularity of Klootschiebe?")</f>
        <v>How has the industrialization of Germany affected the popularity of Klootschiebe?</v>
      </c>
      <c r="C151" s="7" t="s">
        <v>2779</v>
      </c>
      <c r="D151" s="6" t="str">
        <f>IFERROR(__xludf.DUMMYFUNCTION("GOOGLETRANSLATE(J151, ""de"", ""en"")"),"This led to a decline in the sport's popularity.")</f>
        <v>This led to a decline in the sport's popularity.</v>
      </c>
      <c r="E151" s="6" t="str">
        <f>IFERROR(__xludf.DUMMYFUNCTION("GOOGLETRANSLATE(K151, ""de"", ""en"")"),"The industrialization of Germany led to a decline in the popularity of Klootschiebe as people moved to urban areas.")</f>
        <v>The industrialization of Germany led to a decline in the popularity of Klootschiebe as people moved to urban areas.</v>
      </c>
      <c r="G151" s="10">
        <v>150.0</v>
      </c>
      <c r="H151" s="9" t="s">
        <v>2780</v>
      </c>
      <c r="I151" s="9" t="str">
        <f>IFERROR(__xludf.DUMMYFUNCTION(" GOOGLETRANSLATE(C151, ""en"", ""de"")"),"A. Dies führte zu einem Rückgang der Popularität des Sports. B. Es förderte eine breitere Beteiligung. C. Es hatte keine Auswirkungen auf den Sport. D. Es brachte den Sport in städtische Gebiete.")</f>
        <v>A. Dies führte zu einem Rückgang der Popularität des Sports. B. Es förderte eine breitere Beteiligung. C. Es hatte keine Auswirkungen auf den Sport. D. Es brachte den Sport in städtische Gebiete.</v>
      </c>
      <c r="J151" s="9" t="s">
        <v>2781</v>
      </c>
      <c r="K151" s="9" t="s">
        <v>2782</v>
      </c>
    </row>
    <row r="152" ht="22.5" customHeight="1">
      <c r="A152" s="18">
        <v>151.0</v>
      </c>
      <c r="B152" s="6" t="str">
        <f>IFERROR(__xludf.DUMMYFUNCTION("GOOGLETRANSLATE(H152, ""de"", ""en"")"),"What influence did the Napoleonic Wars have on Klootschießen (a traditional Frisian sport)?")</f>
        <v>What influence did the Napoleonic Wars have on Klootschießen (a traditional Frisian sport)?</v>
      </c>
      <c r="C152" s="7" t="s">
        <v>2783</v>
      </c>
      <c r="D152" s="6" t="str">
        <f>IFERROR(__xludf.DUMMYFUNCTION("GOOGLETRANSLATE(J152, ""de"", ""en"")"),"It spread the sport throughout France.")</f>
        <v>It spread the sport throughout France.</v>
      </c>
      <c r="E152" s="6" t="str">
        <f>IFERROR(__xludf.DUMMYFUNCTION("GOOGLETRANSLATE(K152, ""de"", ""en"")"),"The Napoleonic Wars helped to spread Klootschiebe to other parts of Europe, including France.")</f>
        <v>The Napoleonic Wars helped to spread Klootschiebe to other parts of Europe, including France.</v>
      </c>
      <c r="G152" s="8">
        <v>151.0</v>
      </c>
      <c r="H152" s="9" t="s">
        <v>2784</v>
      </c>
      <c r="I152" s="9" t="str">
        <f>IFERROR(__xludf.DUMMYFUNCTION(" GOOGLETRANSLATE(C152, ""en"", ""de"")"),"A. Es verbreitete den Sport in ganz Frankreich. B. Es führte zum Niedergang des Sports. C. Es machte den Sport zu einem nationalen Wettbewerb. D. Neue Regeln wurden eingeführt.")</f>
        <v>A. Es verbreitete den Sport in ganz Frankreich. B. Es führte zum Niedergang des Sports. C. Es machte den Sport zu einem nationalen Wettbewerb. D. Neue Regeln wurden eingeführt.</v>
      </c>
      <c r="J152" s="9" t="s">
        <v>2785</v>
      </c>
      <c r="K152" s="9" t="s">
        <v>2786</v>
      </c>
    </row>
    <row r="153" ht="22.5" customHeight="1">
      <c r="A153" s="18">
        <v>152.0</v>
      </c>
      <c r="B153" s="6" t="str">
        <f>IFERROR(__xludf.DUMMYFUNCTION("GOOGLETRANSLATE(H153, ""de"", ""en"")"),"What part of the Klootschießen competition makes it a team sport?")</f>
        <v>What part of the Klootschießen competition makes it a team sport?</v>
      </c>
      <c r="C153" s="7" t="s">
        <v>2787</v>
      </c>
      <c r="D153" s="6" t="str">
        <f>IFERROR(__xludf.DUMMYFUNCTION("GOOGLETRANSLATE(J153, ""de"", ""en"")"),"Throw the ball together")</f>
        <v>Throw the ball together</v>
      </c>
      <c r="E153" s="6" t="str">
        <f>IFERROR(__xludf.DUMMYFUNCTION("GOOGLETRANSLATE(K153, ""de"", ""en"")"),"Klootschießen is a team sport in which participants throw the ball together to achieve a common distance.")</f>
        <v>Klootschießen is a team sport in which participants throw the ball together to achieve a common distance.</v>
      </c>
      <c r="G153" s="10">
        <v>152.0</v>
      </c>
      <c r="H153" s="9" t="s">
        <v>2788</v>
      </c>
      <c r="I153" s="9" t="str">
        <f>IFERROR(__xludf.DUMMYFUNCTION(" GOOGLETRANSLATE(C153, ""en"", ""de"")"),"A. Gemeinsam den Ball werfen. B. Wettstreit um die größte Wurfweite. C. Ballspiel zwischen Teammitgliedern. D. Rituale vor dem Ereignis durchführen.")</f>
        <v>A. Gemeinsam den Ball werfen. B. Wettstreit um die größte Wurfweite. C. Ballspiel zwischen Teammitgliedern. D. Rituale vor dem Ereignis durchführen.</v>
      </c>
      <c r="J153" s="9" t="s">
        <v>2789</v>
      </c>
      <c r="K153" s="9" t="s">
        <v>2790</v>
      </c>
    </row>
    <row r="154" ht="22.5" customHeight="1">
      <c r="A154" s="18">
        <v>153.0</v>
      </c>
      <c r="B154" s="6" t="str">
        <f>IFERROR(__xludf.DUMMYFUNCTION("GOOGLETRANSLATE(H154, ""de"", ""en"")"),"What influence did Klootschige have on local social events in rural Germany?")</f>
        <v>What influence did Klootschige have on local social events in rural Germany?</v>
      </c>
      <c r="C154" s="7" t="s">
        <v>2791</v>
      </c>
      <c r="D154" s="6" t="str">
        <f>IFERROR(__xludf.DUMMYFUNCTION("GOOGLETRANSLATE(J154, ""de"", ""en"")"),"It was part of the harvest celebrations.")</f>
        <v>It was part of the harvest celebrations.</v>
      </c>
      <c r="E154" s="6" t="str">
        <f>IFERROR(__xludf.DUMMYFUNCTION("GOOGLETRANSLATE(K154, ""de"", ""en"")"),"Klootschiebe was often part of the harvest celebrations and brought rural communities together for a festive event.")</f>
        <v>Klootschiebe was often part of the harvest celebrations and brought rural communities together for a festive event.</v>
      </c>
      <c r="G154" s="8">
        <v>153.0</v>
      </c>
      <c r="H154" s="9" t="s">
        <v>2792</v>
      </c>
      <c r="I154" s="9" t="str">
        <f>IFERROR(__xludf.DUMMYFUNCTION(" GOOGLETRANSLATE(C154, ""en"", ""de"")"),"A. Es war Teil der Erntedankfeste. B. Es stand im Zusammenhang mit Hochzeiten. C. Es ersetzte kirchliche Zeremonien. D. Es förderte den Militärstolz.")</f>
        <v>A. Es war Teil der Erntedankfeste. B. Es stand im Zusammenhang mit Hochzeiten. C. Es ersetzte kirchliche Zeremonien. D. Es förderte den Militärstolz.</v>
      </c>
      <c r="J154" s="9" t="s">
        <v>2793</v>
      </c>
      <c r="K154" s="9" t="s">
        <v>2794</v>
      </c>
    </row>
    <row r="155" ht="22.5" customHeight="1">
      <c r="A155" s="18">
        <v>154.0</v>
      </c>
      <c r="B155" s="6" t="str">
        <f>IFERROR(__xludf.DUMMYFUNCTION("GOOGLETRANSLATE(H155, ""de"", ""en"")"),"Which country is known for hosting the First World Klootschießen Championships?")</f>
        <v>Which country is known for hosting the First World Klootschießen Championships?</v>
      </c>
      <c r="C155" s="7" t="s">
        <v>2795</v>
      </c>
      <c r="D155" s="6" t="str">
        <f>IFERROR(__xludf.DUMMYFUNCTION("GOOGLETRANSLATE(J155, ""de"", ""en"")"),"Germany")</f>
        <v>Germany</v>
      </c>
      <c r="E155" s="6" t="str">
        <f>IFERROR(__xludf.DUMMYFUNCTION("GOOGLETRANSLATE(K155, ""de"", ""en"")"),"The First World Klootschießen Championships were held in Germany, where the sport originated.")</f>
        <v>The First World Klootschießen Championships were held in Germany, where the sport originated.</v>
      </c>
      <c r="G155" s="10">
        <v>154.0</v>
      </c>
      <c r="H155" s="9" t="s">
        <v>2796</v>
      </c>
      <c r="I155" s="9" t="str">
        <f>IFERROR(__xludf.DUMMYFUNCTION(" GOOGLETRANSLATE(C155, ""en"", ""de"")"),"A. Deutschland B. Dänemark C. Niederlande D. Belgien")</f>
        <v>A. Deutschland B. Dänemark C. Niederlande D. Belgien</v>
      </c>
      <c r="J155" s="9" t="s">
        <v>269</v>
      </c>
      <c r="K155" s="9" t="s">
        <v>2797</v>
      </c>
    </row>
    <row r="156" ht="22.5" customHeight="1">
      <c r="A156" s="18">
        <v>155.0</v>
      </c>
      <c r="B156" s="6" t="str">
        <f>IFERROR(__xludf.DUMMYFUNCTION("GOOGLETRANSLATE(H156, ""de"", ""en"")"),"What distinguishes the Kloot ball from other balls used in sports?")</f>
        <v>What distinguishes the Kloot ball from other balls used in sports?</v>
      </c>
      <c r="C156" s="7" t="s">
        <v>2798</v>
      </c>
      <c r="D156" s="6" t="str">
        <f>IFERROR(__xludf.DUMMYFUNCTION("GOOGLETRANSLATE(J156, ""de"", ""en"")"),"Its solid weight and texture")</f>
        <v>Its solid weight and texture</v>
      </c>
      <c r="E156" s="6" t="str">
        <f>IFERROR(__xludf.DUMMYFUNCTION("GOOGLETRANSLATE(K156, ""de"", ""en"")"),"The Kloot ball is characterized by its solid weight and texture, which are designed for long distances.")</f>
        <v>The Kloot ball is characterized by its solid weight and texture, which are designed for long distances.</v>
      </c>
      <c r="G156" s="8">
        <v>155.0</v>
      </c>
      <c r="H156" s="9" t="s">
        <v>2799</v>
      </c>
      <c r="I156" s="9" t="str">
        <f>IFERROR(__xludf.DUMMYFUNCTION(" GOOGLETRANSLATE(C156, ""en"", ""de"")"),"A. Sein Gewicht und seine Textur B. Seine Kugelform C. Seine Farbe D. Seine Oberfläche")</f>
        <v>A. Sein Gewicht und seine Textur B. Seine Kugelform C. Seine Farbe D. Seine Oberfläche</v>
      </c>
      <c r="J156" s="9" t="s">
        <v>2800</v>
      </c>
      <c r="K156" s="9" t="s">
        <v>2801</v>
      </c>
    </row>
    <row r="157" ht="22.5" customHeight="1">
      <c r="A157" s="18">
        <v>156.0</v>
      </c>
      <c r="B157" s="6" t="str">
        <f>IFERROR(__xludf.DUMMYFUNCTION("GOOGLETRANSLATE(H157, ""de"", ""en"")"),"What did Klootschiebe's rural origins mean for its early competitive format?")</f>
        <v>What did Klootschiebe's rural origins mean for its early competitive format?</v>
      </c>
      <c r="C157" s="7" t="s">
        <v>2802</v>
      </c>
      <c r="D157" s="6" t="str">
        <f>IFERROR(__xludf.DUMMYFUNCTION("GOOGLETRANSLATE(J157, ""de"", ""en"")"),"It was simple and informal.")</f>
        <v>It was simple and informal.</v>
      </c>
      <c r="E157" s="6" t="str">
        <f>IFERROR(__xludf.DUMMYFUNCTION("GOOGLETRANSLATE(K157, ""de"", ""en"")"),"Early Klootschiebe competitions were simple and informal, based on local customs and traditions.")</f>
        <v>Early Klootschiebe competitions were simple and informal, based on local customs and traditions.</v>
      </c>
      <c r="G157" s="10">
        <v>156.0</v>
      </c>
      <c r="H157" s="9" t="s">
        <v>2803</v>
      </c>
      <c r="I157" s="9" t="str">
        <f>IFERROR(__xludf.DUMMYFUNCTION(" GOOGLETRANSLATE(C157, ""en"", ""de"")"),"A. Es war sehr gut organisiert. B. Es war einfach und informell. C. Es basierte auf Militärübungen. D. Es war streng reguliert.")</f>
        <v>A. Es war sehr gut organisiert. B. Es war einfach und informell. C. Es basierte auf Militärübungen. D. Es war streng reguliert.</v>
      </c>
      <c r="J157" s="9" t="s">
        <v>2804</v>
      </c>
      <c r="K157" s="9" t="s">
        <v>2805</v>
      </c>
    </row>
    <row r="158" ht="22.5" customHeight="1">
      <c r="A158" s="18">
        <v>157.0</v>
      </c>
      <c r="B158" s="6" t="str">
        <f>IFERROR(__xludf.DUMMYFUNCTION("GOOGLETRANSLATE(H158, ""de"", ""en"")"),"How have the Klootschiebe competitions adapted over time?")</f>
        <v>How have the Klootschiebe competitions adapted over time?</v>
      </c>
      <c r="C158" s="7" t="s">
        <v>2806</v>
      </c>
      <c r="D158" s="6" t="str">
        <f>IFERROR(__xludf.DUMMYFUNCTION("GOOGLETRANSLATE(J158, ""de"", ""en"")"),"By formalizing rules and evaluation")</f>
        <v>By formalizing rules and evaluation</v>
      </c>
      <c r="E158" s="6" t="str">
        <f>IFERROR(__xludf.DUMMYFUNCTION("GOOGLETRANSLATE(K158, ""de"", ""en"")"),"Klootschießen competitions evolved through the formalization of rules and the creation of structured scoring systems.")</f>
        <v>Klootschießen competitions evolved through the formalization of rules and the creation of structured scoring systems.</v>
      </c>
      <c r="G158" s="8">
        <v>157.0</v>
      </c>
      <c r="H158" s="9" t="s">
        <v>2807</v>
      </c>
      <c r="I158" s="9" t="str">
        <f>IFERROR(__xludf.DUMMYFUNCTION(" GOOGLETRANSLATE(C158, ""en"", ""de"")"),"A. Durch die Einführung von Gewichtsklassen. B. Durch die Formalisierung von Regeln und Bewertung. C. Durch die Schaffung von Einzelwettbewerben. D. Durch die Änderung der Wurftechnik.")</f>
        <v>A. Durch die Einführung von Gewichtsklassen. B. Durch die Formalisierung von Regeln und Bewertung. C. Durch die Schaffung von Einzelwettbewerben. D. Durch die Änderung der Wurftechnik.</v>
      </c>
      <c r="J158" s="9" t="s">
        <v>2808</v>
      </c>
      <c r="K158" s="9" t="s">
        <v>2809</v>
      </c>
    </row>
    <row r="159" ht="22.5" customHeight="1">
      <c r="A159" s="18">
        <v>158.0</v>
      </c>
      <c r="B159" s="6" t="str">
        <f>IFERROR(__xludf.DUMMYFUNCTION("GOOGLETRANSLATE(H159, ""de"", ""en"")"),"Which traditional feature of Klootschiebe is still used in modern competitions?")</f>
        <v>Which traditional feature of Klootschiebe is still used in modern competitions?</v>
      </c>
      <c r="C159" s="7" t="s">
        <v>2810</v>
      </c>
      <c r="D159" s="6" t="str">
        <f>IFERROR(__xludf.DUMMYFUNCTION("GOOGLETRANSLATE(J159, ""de"", ""en"")"),"The team format")</f>
        <v>The team format</v>
      </c>
      <c r="E159" s="6" t="str">
        <f>IFERROR(__xludf.DUMMYFUNCTION("GOOGLETRANSLATE(K159, ""de"", ""en"")"),"The team format is still used in modern Klootschießen competitions, thus maintaining the traditional style of the sport.")</f>
        <v>The team format is still used in modern Klootschießen competitions, thus maintaining the traditional style of the sport.</v>
      </c>
      <c r="G159" s="10">
        <v>158.0</v>
      </c>
      <c r="H159" s="9" t="s">
        <v>2811</v>
      </c>
      <c r="I159" s="9" t="str">
        <f>IFERROR(__xludf.DUMMYFUNCTION(" GOOGLETRANSLATE(C159, ""en"", ""de"")"),"A. Die Größe des Kloot-Balls B. Die Wurfweite C. Die festlichen Feierlichkeiten D. Das Teamformat")</f>
        <v>A. Die Größe des Kloot-Balls B. Die Wurfweite C. Die festlichen Feierlichkeiten D. Das Teamformat</v>
      </c>
      <c r="J159" s="9" t="s">
        <v>2812</v>
      </c>
      <c r="K159" s="9" t="s">
        <v>2813</v>
      </c>
    </row>
    <row r="160" ht="22.5" customHeight="1">
      <c r="A160" s="18">
        <v>159.0</v>
      </c>
      <c r="B160" s="6" t="str">
        <f>IFERROR(__xludf.DUMMYFUNCTION("GOOGLETRANSLATE(H160, ""de"", ""en"")"),"What was one of the primary purposes of Klootschiebe in the Middle Ages?")</f>
        <v>What was one of the primary purposes of Klootschiebe in the Middle Ages?</v>
      </c>
      <c r="C160" s="7" t="s">
        <v>2814</v>
      </c>
      <c r="D160" s="6" t="str">
        <f>IFERROR(__xludf.DUMMYFUNCTION("GOOGLETRANSLATE(J160, ""de"", ""en"")"),"To train soldiers")</f>
        <v>To train soldiers</v>
      </c>
      <c r="E160" s="6" t="str">
        <f>IFERROR(__xludf.DUMMYFUNCTION("GOOGLETRANSLATE(K160, ""de"", ""en"")"),"During the Middle Ages, the Klootschiebe was used as a training tool for soldiers to develop precision and strength.")</f>
        <v>During the Middle Ages, the Klootschiebe was used as a training tool for soldiers to develop precision and strength.</v>
      </c>
      <c r="G160" s="8">
        <v>159.0</v>
      </c>
      <c r="H160" s="9" t="s">
        <v>2815</v>
      </c>
      <c r="I160" s="9" t="str">
        <f>IFERROR(__xludf.DUMMYFUNCTION(" GOOGLETRANSLATE(C160, ""en"", ""de"")"),"A. Zur Ausbildung von Soldaten B. Zur Beilegung von Streitigkeiten C. Zur Bewirtung von Adligen D. Zur Vorbereitung der Bevölkerung auf die Landwirtschaft")</f>
        <v>A. Zur Ausbildung von Soldaten B. Zur Beilegung von Streitigkeiten C. Zur Bewirtung von Adligen D. Zur Vorbereitung der Bevölkerung auf die Landwirtschaft</v>
      </c>
      <c r="J160" s="9" t="s">
        <v>2816</v>
      </c>
      <c r="K160" s="9" t="s">
        <v>2817</v>
      </c>
    </row>
    <row r="161" ht="22.5" customHeight="1">
      <c r="A161" s="18">
        <v>160.0</v>
      </c>
      <c r="B161" s="6" t="str">
        <f>IFERROR(__xludf.DUMMYFUNCTION("GOOGLETRANSLATE(H161, ""de"", ""en"")"),"Which of the following countries has not traditionally practiced Klootschie eating?")</f>
        <v>Which of the following countries has not traditionally practiced Klootschie eating?</v>
      </c>
      <c r="C161" s="7" t="s">
        <v>2818</v>
      </c>
      <c r="D161" s="6" t="str">
        <f>IFERROR(__xludf.DUMMYFUNCTION("GOOGLETRANSLATE(J161, ""de"", ""en"")"),"Austria")</f>
        <v>Austria</v>
      </c>
      <c r="E161" s="6" t="str">
        <f>IFERROR(__xludf.DUMMYFUNCTION("GOOGLETRANSLATE(K161, ""de"", ""en"")"),"Austria has not traditionally practiced Klootschiebe, although the sport is popular in neighboring countries such as Germany and the Netherlands.")</f>
        <v>Austria has not traditionally practiced Klootschiebe, although the sport is popular in neighboring countries such as Germany and the Netherlands.</v>
      </c>
      <c r="G161" s="10">
        <v>160.0</v>
      </c>
      <c r="H161" s="9" t="s">
        <v>2819</v>
      </c>
      <c r="I161" s="9" t="str">
        <f>IFERROR(__xludf.DUMMYFUNCTION(" GOOGLETRANSLATE(C161, ""en"", ""de"")"),"A. Deutschland B. Dänemark C. Niederlande D. Österreich")</f>
        <v>A. Deutschland B. Dänemark C. Niederlande D. Österreich</v>
      </c>
      <c r="J161" s="9" t="s">
        <v>481</v>
      </c>
      <c r="K161" s="9" t="s">
        <v>2820</v>
      </c>
    </row>
    <row r="162" ht="22.5" customHeight="1">
      <c r="A162" s="18">
        <v>161.0</v>
      </c>
      <c r="B162" s="6" t="str">
        <f>IFERROR(__xludf.DUMMYFUNCTION("GOOGLETRANSLATE(H162, ""de"", ""en"")"),"What type of terrain is preferred for Klootschiebe competitions?")</f>
        <v>What type of terrain is preferred for Klootschiebe competitions?</v>
      </c>
      <c r="C162" s="7" t="s">
        <v>2821</v>
      </c>
      <c r="D162" s="6" t="str">
        <f>IFERROR(__xludf.DUMMYFUNCTION("GOOGLETRANSLATE(J162, ""de"", ""en"")"),"Flat grassy fields")</f>
        <v>Flat grassy fields</v>
      </c>
      <c r="E162" s="6" t="str">
        <f>IFERROR(__xludf.DUMMYFUNCTION("GOOGLETRANSLATE(K162, ""de"", ""en"")"),"Klootschießen competitions are most often held on flat, grassy fields.")</f>
        <v>Klootschießen competitions are most often held on flat, grassy fields.</v>
      </c>
      <c r="G162" s="8">
        <v>161.0</v>
      </c>
      <c r="H162" s="9" t="s">
        <v>2822</v>
      </c>
      <c r="I162" s="9" t="str">
        <f>IFERROR(__xludf.DUMMYFUNCTION(" GOOGLETRANSLATE(C162, ""en"", ""de"")"),"A. Schotterwege B. Wälder C. Flache Grasflächen D. Gebirgsbahnen")</f>
        <v>A. Schotterwege B. Wälder C. Flache Grasflächen D. Gebirgsbahnen</v>
      </c>
      <c r="J162" s="9" t="s">
        <v>2433</v>
      </c>
      <c r="K162" s="9" t="s">
        <v>2823</v>
      </c>
    </row>
    <row r="163" ht="22.5" customHeight="1">
      <c r="A163" s="18">
        <v>162.0</v>
      </c>
      <c r="B163" s="6" t="str">
        <f>IFERROR(__xludf.DUMMYFUNCTION("GOOGLETRANSLATE(H163, ""de"", ""en"")"),"Which famous Klootschiebe competition takes place annually in Lower Saxony?")</f>
        <v>Which famous Klootschiebe competition takes place annually in Lower Saxony?</v>
      </c>
      <c r="C163" s="7" t="s">
        <v>2824</v>
      </c>
      <c r="D163" s="6" t="str">
        <f>IFERROR(__xludf.DUMMYFUNCTION("GOOGLETRANSLATE(J163, ""de"", ""en"")"),"Lower Saxony open")</f>
        <v>Lower Saxony open</v>
      </c>
      <c r="E163" s="6" t="str">
        <f>IFERROR(__xludf.DUMMYFUNCTION("GOOGLETRANSLATE(K163, ""de"", ""en"")"),"The Lower Saxony Open is a prominent Klootschiebe competition that takes place annually in the region.")</f>
        <v>The Lower Saxony Open is a prominent Klootschiebe competition that takes place annually in the region.</v>
      </c>
      <c r="G163" s="10">
        <v>162.0</v>
      </c>
      <c r="H163" s="9" t="s">
        <v>2825</v>
      </c>
      <c r="I163" s="9" t="str">
        <f>IFERROR(__xludf.DUMMYFUNCTION(" GOOGLETRANSLATE(C163, ""en"", ""de"")"),"A. Die Olympischen Spiele in Kloot B. Eröffnung von Niedersachsen C. Die Kloot-Weltmeisterschaften D. Der Kloot Cup")</f>
        <v>A. Die Olympischen Spiele in Kloot B. Eröffnung von Niedersachsen C. Die Kloot-Weltmeisterschaften D. Der Kloot Cup</v>
      </c>
      <c r="J163" s="9" t="s">
        <v>2826</v>
      </c>
      <c r="K163" s="9" t="s">
        <v>2827</v>
      </c>
    </row>
    <row r="164" ht="22.5" customHeight="1">
      <c r="A164" s="18">
        <v>163.0</v>
      </c>
      <c r="B164" s="6" t="str">
        <f>IFERROR(__xludf.DUMMYFUNCTION("GOOGLETRANSLATE(H164, ""de"", ""en"")"),"What was often used as a target in the early days of Klootschießen (a traditional Frisian sport similar to Klootschießen)?")</f>
        <v>What was often used as a target in the early days of Klootschießen (a traditional Frisian sport similar to Klootschießen)?</v>
      </c>
      <c r="C164" s="7" t="s">
        <v>2828</v>
      </c>
      <c r="D164" s="6" t="str">
        <f>IFERROR(__xludf.DUMMYFUNCTION("GOOGLETRANSLATE(J164, ""de"", ""en"")"),"A distant marker")</f>
        <v>A distant marker</v>
      </c>
      <c r="E164" s="6" t="str">
        <f>IFERROR(__xludf.DUMMYFUNCTION("GOOGLETRANSLATE(K164, ""de"", ""en"")"),"In the early days of Klootschießen, players would aim for a distant marker or target to measure the accuracy of their throws.")</f>
        <v>In the early days of Klootschießen, players would aim for a distant marker or target to measure the accuracy of their throws.</v>
      </c>
      <c r="G164" s="8">
        <v>163.0</v>
      </c>
      <c r="H164" s="9" t="s">
        <v>2829</v>
      </c>
      <c r="I164" s="9" t="str">
        <f>IFERROR(__xludf.DUMMYFUNCTION(" GOOGLETRANSLATE(C164, ""en"", ""de"")"),"A. Ein Steinhaufen B. Ein Holzpfosten C. Ein Baum D. Ein entferntes Markierungszeichen")</f>
        <v>A. Ein Steinhaufen B. Ein Holzpfosten C. Ein Baum D. Ein entferntes Markierungszeichen</v>
      </c>
      <c r="J164" s="9" t="s">
        <v>2830</v>
      </c>
      <c r="K164" s="9" t="s">
        <v>2831</v>
      </c>
    </row>
    <row r="165" ht="22.5" customHeight="1">
      <c r="A165" s="18">
        <v>164.0</v>
      </c>
      <c r="B165" s="6" t="str">
        <f>IFERROR(__xludf.DUMMYFUNCTION("GOOGLETRANSLATE(H165, ""de"", ""en"")"),"What role did Klootschige play in traditional German village life?")</f>
        <v>What role did Klootschige play in traditional German village life?</v>
      </c>
      <c r="C165" s="7" t="s">
        <v>2832</v>
      </c>
      <c r="D165" s="6" t="str">
        <f>IFERROR(__xludf.DUMMYFUNCTION("GOOGLETRANSLATE(J165, ""de"", ""en"")"),"It was part of a celebration of the local harvest")</f>
        <v>It was part of a celebration of the local harvest</v>
      </c>
      <c r="E165" s="6" t="str">
        <f>IFERROR(__xludf.DUMMYFUNCTION("GOOGLETRANSLATE(K165, ""de"", ""en"")"),"Klootschiebe played a role in celebrating local harvests and brought rural villagers together for communal events.")</f>
        <v>Klootschiebe played a role in celebrating local harvests and brought rural villagers together for communal events.</v>
      </c>
      <c r="G165" s="10">
        <v>164.0</v>
      </c>
      <c r="H165" s="9" t="s">
        <v>2833</v>
      </c>
      <c r="I165" s="9" t="str">
        <f>IFERROR(__xludf.DUMMYFUNCTION(" GOOGLETRANSLATE(C165, ""en"", ""de"")"),"A. Es war eine Methode zur Wahl von Dorfvorstehern. B. Es war eine Form religiösen Rituals. C. Es war Teil der Feierlichkeiten zur lokalen Ernte. D. Es war eine militärische Übungsmethode.")</f>
        <v>A. Es war eine Methode zur Wahl von Dorfvorstehern. B. Es war eine Form religiösen Rituals. C. Es war Teil der Feierlichkeiten zur lokalen Ernte. D. Es war eine militärische Übungsmethode.</v>
      </c>
      <c r="J165" s="9" t="s">
        <v>2834</v>
      </c>
      <c r="K165" s="9" t="s">
        <v>2835</v>
      </c>
    </row>
    <row r="166" ht="22.5" customHeight="1">
      <c r="A166" s="18">
        <v>165.0</v>
      </c>
      <c r="B166" s="6" t="str">
        <f>IFERROR(__xludf.DUMMYFUNCTION("GOOGLETRANSLATE(H166, ""de"", ""en"")"),"What characteristic of Klootschinge assen made it suitable for military training in the past?")</f>
        <v>What characteristic of Klootschinge assen made it suitable for military training in the past?</v>
      </c>
      <c r="C166" s="7" t="s">
        <v>2836</v>
      </c>
      <c r="D166" s="6" t="str">
        <f>IFERROR(__xludf.DUMMYFUNCTION("GOOGLETRANSLATE(J166, ""de"", ""en"")"),"To focus on precision")</f>
        <v>To focus on precision</v>
      </c>
      <c r="E166" s="6" t="str">
        <f>IFERROR(__xludf.DUMMYFUNCTION("GOOGLETRANSLATE(K166, ""de"", ""en"")"),"Klootschießen's focus on precision throwing made it a useful tool for military training in the past.")</f>
        <v>Klootschießen's focus on precision throwing made it a useful tool for military training in the past.</v>
      </c>
      <c r="G166" s="13">
        <v>165.0</v>
      </c>
      <c r="H166" s="9" t="s">
        <v>2837</v>
      </c>
      <c r="I166" s="9" t="str">
        <f>IFERROR(__xludf.DUMMYFUNCTION(" GOOGLETRANSLATE(C166, ""en"", ""de"")"),"A. Fokus auf Präzision B. Seine Betonung von Teamarbeit C. Der Einsatz schwerer Geschosse D. Seine Betonung von Ausdauer")</f>
        <v>A. Fokus auf Präzision B. Seine Betonung von Teamarbeit C. Der Einsatz schwerer Geschosse D. Seine Betonung von Ausdauer</v>
      </c>
      <c r="J166" s="9" t="s">
        <v>2838</v>
      </c>
      <c r="K166" s="9" t="s">
        <v>2839</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5</v>
      </c>
      <c r="B1" s="20" t="s">
        <v>2840</v>
      </c>
      <c r="C1" s="20" t="s">
        <v>2841</v>
      </c>
      <c r="D1" s="20" t="s">
        <v>2842</v>
      </c>
      <c r="E1" s="20" t="s">
        <v>2843</v>
      </c>
      <c r="F1" s="20" t="s">
        <v>7</v>
      </c>
      <c r="G1" s="20" t="s">
        <v>266</v>
      </c>
    </row>
    <row r="2">
      <c r="A2" s="16" t="s">
        <v>2844</v>
      </c>
      <c r="B2" s="21">
        <v>1870.0</v>
      </c>
      <c r="C2" s="21">
        <v>1872.0</v>
      </c>
      <c r="D2" s="21">
        <v>1880.0</v>
      </c>
      <c r="E2" s="21">
        <v>1890.0</v>
      </c>
      <c r="F2" s="21">
        <v>1872.0</v>
      </c>
      <c r="G2" s="16" t="s">
        <v>2845</v>
      </c>
    </row>
    <row r="3">
      <c r="A3" s="16" t="s">
        <v>2846</v>
      </c>
      <c r="B3" s="16" t="s">
        <v>2847</v>
      </c>
      <c r="C3" s="16" t="s">
        <v>2848</v>
      </c>
      <c r="D3" s="16" t="s">
        <v>2849</v>
      </c>
      <c r="E3" s="16" t="s">
        <v>1159</v>
      </c>
      <c r="F3" s="16" t="s">
        <v>2848</v>
      </c>
      <c r="G3" s="16" t="s">
        <v>2850</v>
      </c>
    </row>
    <row r="4">
      <c r="A4" s="16" t="s">
        <v>2851</v>
      </c>
      <c r="B4" s="16" t="s">
        <v>2852</v>
      </c>
      <c r="C4" s="16" t="s">
        <v>2853</v>
      </c>
      <c r="D4" s="16" t="s">
        <v>2854</v>
      </c>
      <c r="E4" s="16" t="s">
        <v>2855</v>
      </c>
      <c r="F4" s="16" t="s">
        <v>2852</v>
      </c>
      <c r="G4" s="16" t="s">
        <v>2856</v>
      </c>
    </row>
    <row r="5">
      <c r="A5" s="16" t="s">
        <v>2857</v>
      </c>
      <c r="B5" s="16" t="s">
        <v>269</v>
      </c>
      <c r="C5" s="16" t="s">
        <v>2858</v>
      </c>
      <c r="D5" s="16" t="s">
        <v>1159</v>
      </c>
      <c r="E5" s="16" t="s">
        <v>2849</v>
      </c>
      <c r="F5" s="16" t="s">
        <v>2858</v>
      </c>
      <c r="G5" s="16" t="s">
        <v>2859</v>
      </c>
    </row>
    <row r="6">
      <c r="A6" s="16" t="s">
        <v>2860</v>
      </c>
      <c r="B6" s="21">
        <v>1904.0</v>
      </c>
      <c r="C6" s="21">
        <v>1914.0</v>
      </c>
      <c r="D6" s="21">
        <v>1924.0</v>
      </c>
      <c r="E6" s="21">
        <v>1934.0</v>
      </c>
      <c r="F6" s="21">
        <v>1904.0</v>
      </c>
      <c r="G6" s="16" t="s">
        <v>2861</v>
      </c>
    </row>
    <row r="7">
      <c r="A7" s="16" t="s">
        <v>2862</v>
      </c>
      <c r="B7" s="21">
        <v>1890.0</v>
      </c>
      <c r="C7" s="21">
        <v>1891.0</v>
      </c>
      <c r="D7" s="21">
        <v>1900.0</v>
      </c>
      <c r="E7" s="21">
        <v>1910.0</v>
      </c>
      <c r="F7" s="21">
        <v>1891.0</v>
      </c>
      <c r="G7" s="16" t="s">
        <v>2863</v>
      </c>
    </row>
    <row r="8">
      <c r="A8" s="16" t="s">
        <v>2864</v>
      </c>
      <c r="B8" s="16" t="s">
        <v>2865</v>
      </c>
      <c r="C8" s="16" t="s">
        <v>2816</v>
      </c>
      <c r="D8" s="16" t="s">
        <v>2866</v>
      </c>
      <c r="E8" s="16" t="s">
        <v>2867</v>
      </c>
      <c r="F8" s="16" t="s">
        <v>2865</v>
      </c>
      <c r="G8" s="16" t="s">
        <v>2868</v>
      </c>
    </row>
    <row r="9">
      <c r="A9" s="16" t="s">
        <v>2869</v>
      </c>
      <c r="B9" s="16" t="s">
        <v>2870</v>
      </c>
      <c r="C9" s="16" t="s">
        <v>2871</v>
      </c>
      <c r="D9" s="16" t="s">
        <v>2872</v>
      </c>
      <c r="E9" s="16" t="s">
        <v>2873</v>
      </c>
      <c r="F9" s="16" t="s">
        <v>2872</v>
      </c>
      <c r="G9" s="16" t="s">
        <v>2874</v>
      </c>
    </row>
    <row r="10">
      <c r="A10" s="16" t="s">
        <v>2875</v>
      </c>
      <c r="B10" s="16" t="s">
        <v>2876</v>
      </c>
      <c r="C10" s="16" t="s">
        <v>2877</v>
      </c>
      <c r="D10" s="16" t="s">
        <v>2878</v>
      </c>
      <c r="E10" s="16" t="s">
        <v>2879</v>
      </c>
      <c r="F10" s="16" t="s">
        <v>2876</v>
      </c>
      <c r="G10" s="16" t="s">
        <v>2880</v>
      </c>
    </row>
    <row r="11">
      <c r="A11" s="16" t="s">
        <v>2881</v>
      </c>
      <c r="B11" s="16" t="s">
        <v>2849</v>
      </c>
      <c r="C11" s="16" t="s">
        <v>2847</v>
      </c>
      <c r="D11" s="16" t="s">
        <v>1159</v>
      </c>
      <c r="E11" s="16" t="s">
        <v>2882</v>
      </c>
      <c r="F11" s="16" t="s">
        <v>2882</v>
      </c>
      <c r="G11" s="16" t="s">
        <v>2883</v>
      </c>
    </row>
    <row r="12">
      <c r="A12" s="16" t="s">
        <v>2884</v>
      </c>
      <c r="B12" s="16" t="s">
        <v>2885</v>
      </c>
      <c r="C12" s="16" t="s">
        <v>2886</v>
      </c>
      <c r="D12" s="16" t="s">
        <v>2887</v>
      </c>
      <c r="E12" s="16" t="s">
        <v>2888</v>
      </c>
      <c r="F12" s="16" t="s">
        <v>2886</v>
      </c>
      <c r="G12" s="16" t="s">
        <v>2889</v>
      </c>
    </row>
    <row r="13">
      <c r="A13" s="16" t="s">
        <v>2890</v>
      </c>
      <c r="B13" s="21">
        <v>1938.0</v>
      </c>
      <c r="C13" s="21">
        <v>1954.0</v>
      </c>
      <c r="D13" s="21">
        <v>1966.0</v>
      </c>
      <c r="E13" s="21">
        <v>1970.0</v>
      </c>
      <c r="F13" s="21">
        <v>1954.0</v>
      </c>
      <c r="G13" s="16" t="s">
        <v>2891</v>
      </c>
    </row>
    <row r="14">
      <c r="A14" s="16" t="s">
        <v>2892</v>
      </c>
      <c r="B14" s="16" t="s">
        <v>2893</v>
      </c>
      <c r="C14" s="16" t="s">
        <v>2894</v>
      </c>
      <c r="D14" s="16" t="s">
        <v>2895</v>
      </c>
      <c r="E14" s="16" t="s">
        <v>2896</v>
      </c>
      <c r="F14" s="16" t="s">
        <v>2894</v>
      </c>
      <c r="G14" s="16" t="s">
        <v>2897</v>
      </c>
    </row>
    <row r="15">
      <c r="A15" s="16" t="s">
        <v>2898</v>
      </c>
      <c r="B15" s="21">
        <v>1888.0</v>
      </c>
      <c r="C15" s="21">
        <v>1890.0</v>
      </c>
      <c r="D15" s="21">
        <v>1900.0</v>
      </c>
      <c r="E15" s="21">
        <v>1910.0</v>
      </c>
      <c r="F15" s="21">
        <v>1888.0</v>
      </c>
      <c r="G15" s="16" t="s">
        <v>2899</v>
      </c>
    </row>
    <row r="16">
      <c r="A16" s="16" t="s">
        <v>2900</v>
      </c>
      <c r="B16" s="16" t="s">
        <v>2848</v>
      </c>
      <c r="C16" s="16" t="s">
        <v>2901</v>
      </c>
      <c r="D16" s="16" t="s">
        <v>1159</v>
      </c>
      <c r="E16" s="16" t="s">
        <v>2902</v>
      </c>
      <c r="F16" s="16" t="s">
        <v>2901</v>
      </c>
      <c r="G16" s="16" t="s">
        <v>2903</v>
      </c>
    </row>
    <row r="17">
      <c r="A17" s="16" t="s">
        <v>2904</v>
      </c>
      <c r="B17" s="16" t="s">
        <v>2905</v>
      </c>
      <c r="C17" s="16" t="s">
        <v>2906</v>
      </c>
      <c r="D17" s="16" t="s">
        <v>2907</v>
      </c>
      <c r="E17" s="16" t="s">
        <v>2908</v>
      </c>
      <c r="F17" s="16" t="s">
        <v>2905</v>
      </c>
      <c r="G17" s="16" t="s">
        <v>2909</v>
      </c>
    </row>
    <row r="18">
      <c r="A18" s="16" t="s">
        <v>2910</v>
      </c>
      <c r="B18" s="16" t="s">
        <v>2911</v>
      </c>
      <c r="C18" s="16" t="s">
        <v>2912</v>
      </c>
      <c r="D18" s="16" t="s">
        <v>2913</v>
      </c>
      <c r="E18" s="16" t="s">
        <v>2914</v>
      </c>
      <c r="F18" s="16" t="s">
        <v>2911</v>
      </c>
      <c r="G18" s="16" t="s">
        <v>2915</v>
      </c>
    </row>
    <row r="19">
      <c r="A19" s="16" t="s">
        <v>2916</v>
      </c>
      <c r="B19" s="16" t="s">
        <v>2893</v>
      </c>
      <c r="C19" s="16" t="s">
        <v>2917</v>
      </c>
      <c r="D19" s="16" t="s">
        <v>2918</v>
      </c>
      <c r="E19" s="16" t="s">
        <v>2919</v>
      </c>
      <c r="F19" s="16" t="s">
        <v>2893</v>
      </c>
      <c r="G19" s="16" t="s">
        <v>2920</v>
      </c>
    </row>
    <row r="20">
      <c r="A20" s="16" t="s">
        <v>2921</v>
      </c>
      <c r="B20" s="21">
        <v>2014.0</v>
      </c>
      <c r="C20" s="21">
        <v>2018.0</v>
      </c>
      <c r="D20" s="21">
        <v>2022.0</v>
      </c>
      <c r="E20" s="21">
        <v>2016.0</v>
      </c>
      <c r="F20" s="21">
        <v>2018.0</v>
      </c>
      <c r="G20" s="16" t="s">
        <v>2922</v>
      </c>
    </row>
    <row r="21">
      <c r="A21" s="16" t="s">
        <v>2923</v>
      </c>
      <c r="B21" s="16" t="s">
        <v>269</v>
      </c>
      <c r="C21" s="16" t="s">
        <v>2924</v>
      </c>
      <c r="D21" s="16" t="s">
        <v>2847</v>
      </c>
      <c r="E21" s="16" t="s">
        <v>2849</v>
      </c>
      <c r="F21" s="16" t="s">
        <v>2847</v>
      </c>
      <c r="G21" s="16" t="s">
        <v>2925</v>
      </c>
    </row>
    <row r="22">
      <c r="A22" s="16" t="s">
        <v>2926</v>
      </c>
      <c r="B22" s="21">
        <v>1991.0</v>
      </c>
      <c r="C22" s="21">
        <v>1989.0</v>
      </c>
      <c r="D22" s="21">
        <v>1995.0</v>
      </c>
      <c r="E22" s="21">
        <v>1987.0</v>
      </c>
      <c r="F22" s="21">
        <v>1991.0</v>
      </c>
      <c r="G22" s="16" t="s">
        <v>2927</v>
      </c>
    </row>
    <row r="23">
      <c r="A23" s="16" t="s">
        <v>2928</v>
      </c>
      <c r="B23" s="16" t="s">
        <v>2917</v>
      </c>
      <c r="C23" s="16" t="s">
        <v>2893</v>
      </c>
      <c r="D23" s="16" t="s">
        <v>2929</v>
      </c>
      <c r="E23" s="16" t="s">
        <v>2930</v>
      </c>
      <c r="F23" s="16" t="s">
        <v>2893</v>
      </c>
      <c r="G23" s="16" t="s">
        <v>2931</v>
      </c>
    </row>
    <row r="24">
      <c r="A24" s="16" t="s">
        <v>2932</v>
      </c>
      <c r="B24" s="16" t="s">
        <v>2933</v>
      </c>
      <c r="C24" s="16" t="s">
        <v>2934</v>
      </c>
      <c r="D24" s="16" t="s">
        <v>2935</v>
      </c>
      <c r="E24" s="16" t="s">
        <v>2936</v>
      </c>
      <c r="F24" s="16" t="s">
        <v>2933</v>
      </c>
      <c r="G24" s="16" t="s">
        <v>2937</v>
      </c>
    </row>
    <row r="25">
      <c r="A25" s="16" t="s">
        <v>2938</v>
      </c>
      <c r="B25" s="16" t="s">
        <v>2939</v>
      </c>
      <c r="C25" s="16" t="s">
        <v>2940</v>
      </c>
      <c r="D25" s="16" t="s">
        <v>2941</v>
      </c>
      <c r="E25" s="16" t="s">
        <v>2942</v>
      </c>
      <c r="F25" s="16" t="s">
        <v>2940</v>
      </c>
      <c r="G25" s="16" t="s">
        <v>2943</v>
      </c>
    </row>
    <row r="26">
      <c r="A26" s="16" t="s">
        <v>2944</v>
      </c>
      <c r="B26" s="21">
        <v>1990.0</v>
      </c>
      <c r="C26" s="21">
        <v>1992.0</v>
      </c>
      <c r="D26" s="21">
        <v>1994.0</v>
      </c>
      <c r="E26" s="21">
        <v>1988.0</v>
      </c>
      <c r="F26" s="21">
        <v>1992.0</v>
      </c>
      <c r="G26" s="16" t="s">
        <v>2945</v>
      </c>
    </row>
    <row r="27">
      <c r="A27" s="16" t="s">
        <v>2946</v>
      </c>
      <c r="B27" s="16" t="s">
        <v>2858</v>
      </c>
      <c r="C27" s="16" t="s">
        <v>269</v>
      </c>
      <c r="D27" s="16" t="s">
        <v>2947</v>
      </c>
      <c r="E27" s="16" t="s">
        <v>2948</v>
      </c>
      <c r="F27" s="16" t="s">
        <v>2948</v>
      </c>
      <c r="G27" s="16" t="s">
        <v>2949</v>
      </c>
    </row>
    <row r="28">
      <c r="A28" s="16" t="s">
        <v>2950</v>
      </c>
      <c r="B28" s="16" t="s">
        <v>2951</v>
      </c>
      <c r="C28" s="16" t="s">
        <v>2952</v>
      </c>
      <c r="D28" s="16" t="s">
        <v>2953</v>
      </c>
      <c r="E28" s="16" t="s">
        <v>2954</v>
      </c>
      <c r="F28" s="16" t="s">
        <v>2952</v>
      </c>
      <c r="G28" s="16" t="s">
        <v>2955</v>
      </c>
    </row>
    <row r="29">
      <c r="A29" s="16" t="s">
        <v>2956</v>
      </c>
      <c r="B29" s="16" t="s">
        <v>24</v>
      </c>
      <c r="C29" s="16" t="s">
        <v>269</v>
      </c>
      <c r="D29" s="16" t="s">
        <v>2948</v>
      </c>
      <c r="E29" s="16" t="s">
        <v>2957</v>
      </c>
      <c r="F29" s="16" t="s">
        <v>24</v>
      </c>
      <c r="G29" s="16" t="s">
        <v>2958</v>
      </c>
    </row>
    <row r="30">
      <c r="A30" s="16" t="s">
        <v>2959</v>
      </c>
      <c r="B30" s="16" t="s">
        <v>2960</v>
      </c>
      <c r="C30" s="16" t="s">
        <v>673</v>
      </c>
      <c r="D30" s="16" t="s">
        <v>2961</v>
      </c>
      <c r="E30" s="16" t="s">
        <v>2962</v>
      </c>
      <c r="F30" s="16" t="s">
        <v>673</v>
      </c>
      <c r="G30" s="16" t="s">
        <v>2963</v>
      </c>
    </row>
    <row r="31">
      <c r="A31" s="16" t="s">
        <v>2964</v>
      </c>
      <c r="B31" s="16" t="s">
        <v>269</v>
      </c>
      <c r="C31" s="16" t="s">
        <v>1159</v>
      </c>
      <c r="D31" s="16" t="s">
        <v>2849</v>
      </c>
      <c r="E31" s="16" t="s">
        <v>2924</v>
      </c>
      <c r="F31" s="16" t="s">
        <v>269</v>
      </c>
      <c r="G31" s="16" t="s">
        <v>2965</v>
      </c>
    </row>
    <row r="32">
      <c r="A32" s="16" t="s">
        <v>2966</v>
      </c>
      <c r="B32" s="21">
        <v>1955.0</v>
      </c>
      <c r="C32" s="21">
        <v>1992.0</v>
      </c>
      <c r="D32" s="21">
        <v>1980.0</v>
      </c>
      <c r="E32" s="21">
        <v>1975.0</v>
      </c>
      <c r="F32" s="21">
        <v>1992.0</v>
      </c>
      <c r="G32" s="16" t="s">
        <v>2967</v>
      </c>
    </row>
    <row r="33">
      <c r="A33" s="16" t="s">
        <v>2968</v>
      </c>
      <c r="B33" s="16" t="s">
        <v>2893</v>
      </c>
      <c r="C33" s="16" t="s">
        <v>2969</v>
      </c>
      <c r="D33" s="16" t="s">
        <v>2896</v>
      </c>
      <c r="E33" s="16" t="s">
        <v>2895</v>
      </c>
      <c r="F33" s="16" t="s">
        <v>2893</v>
      </c>
      <c r="G33" s="16" t="s">
        <v>2970</v>
      </c>
    </row>
    <row r="34">
      <c r="A34" s="16" t="s">
        <v>2971</v>
      </c>
      <c r="B34" s="21">
        <v>1896.0</v>
      </c>
      <c r="C34" s="21">
        <v>1900.0</v>
      </c>
      <c r="D34" s="21">
        <v>1924.0</v>
      </c>
      <c r="E34" s="21">
        <v>1912.0</v>
      </c>
      <c r="F34" s="21">
        <v>1900.0</v>
      </c>
      <c r="G34" s="16" t="s">
        <v>2972</v>
      </c>
    </row>
    <row r="35">
      <c r="A35" s="16" t="s">
        <v>2973</v>
      </c>
      <c r="B35" s="16" t="s">
        <v>2974</v>
      </c>
      <c r="C35" s="16" t="s">
        <v>2975</v>
      </c>
      <c r="D35" s="16" t="s">
        <v>2976</v>
      </c>
      <c r="E35" s="16" t="s">
        <v>2977</v>
      </c>
      <c r="F35" s="16" t="s">
        <v>2974</v>
      </c>
      <c r="G35" s="16" t="s">
        <v>2978</v>
      </c>
    </row>
    <row r="36">
      <c r="A36" s="16" t="s">
        <v>2979</v>
      </c>
      <c r="B36" s="21">
        <v>1966.0</v>
      </c>
      <c r="C36" s="21">
        <v>1970.0</v>
      </c>
      <c r="D36" s="21">
        <v>1974.0</v>
      </c>
      <c r="E36" s="21">
        <v>1980.0</v>
      </c>
      <c r="F36" s="21">
        <v>1970.0</v>
      </c>
      <c r="G36" s="16" t="s">
        <v>2980</v>
      </c>
    </row>
    <row r="37">
      <c r="A37" s="16" t="s">
        <v>2981</v>
      </c>
      <c r="B37" s="16" t="s">
        <v>2849</v>
      </c>
      <c r="C37" s="16" t="s">
        <v>2848</v>
      </c>
      <c r="D37" s="16" t="s">
        <v>2847</v>
      </c>
      <c r="E37" s="16" t="s">
        <v>2858</v>
      </c>
      <c r="F37" s="16" t="s">
        <v>2848</v>
      </c>
      <c r="G37" s="16" t="s">
        <v>2982</v>
      </c>
    </row>
    <row r="38">
      <c r="A38" s="16" t="s">
        <v>2983</v>
      </c>
      <c r="B38" s="16" t="s">
        <v>2984</v>
      </c>
      <c r="C38" s="16" t="s">
        <v>2985</v>
      </c>
      <c r="D38" s="16" t="s">
        <v>2986</v>
      </c>
      <c r="E38" s="16" t="s">
        <v>2987</v>
      </c>
      <c r="F38" s="16" t="s">
        <v>2985</v>
      </c>
      <c r="G38" s="16" t="s">
        <v>2988</v>
      </c>
    </row>
    <row r="39">
      <c r="A39" s="16" t="s">
        <v>2989</v>
      </c>
      <c r="B39" s="16" t="s">
        <v>2990</v>
      </c>
      <c r="C39" s="16" t="s">
        <v>2991</v>
      </c>
      <c r="D39" s="16" t="s">
        <v>2992</v>
      </c>
      <c r="E39" s="16" t="s">
        <v>2993</v>
      </c>
      <c r="F39" s="16" t="s">
        <v>2990</v>
      </c>
      <c r="G39" s="16" t="s">
        <v>2994</v>
      </c>
    </row>
    <row r="40">
      <c r="A40" s="16" t="s">
        <v>2995</v>
      </c>
      <c r="B40" s="21">
        <v>1986.0</v>
      </c>
      <c r="C40" s="21">
        <v>1990.0</v>
      </c>
      <c r="D40" s="21">
        <v>1994.0</v>
      </c>
      <c r="E40" s="21">
        <v>1998.0</v>
      </c>
      <c r="F40" s="21">
        <v>1994.0</v>
      </c>
      <c r="G40" s="16" t="s">
        <v>2996</v>
      </c>
    </row>
    <row r="41">
      <c r="A41" s="16" t="s">
        <v>2997</v>
      </c>
      <c r="B41" s="16" t="s">
        <v>2939</v>
      </c>
      <c r="C41" s="16" t="s">
        <v>2998</v>
      </c>
      <c r="D41" s="16" t="s">
        <v>2999</v>
      </c>
      <c r="E41" s="16" t="s">
        <v>3000</v>
      </c>
      <c r="F41" s="16" t="s">
        <v>2999</v>
      </c>
      <c r="G41" s="16" t="s">
        <v>3001</v>
      </c>
    </row>
    <row r="42">
      <c r="A42" s="16" t="s">
        <v>3002</v>
      </c>
      <c r="B42" s="16" t="s">
        <v>269</v>
      </c>
      <c r="C42" s="16" t="s">
        <v>2858</v>
      </c>
      <c r="D42" s="16" t="s">
        <v>1159</v>
      </c>
      <c r="E42" s="16" t="s">
        <v>2849</v>
      </c>
      <c r="F42" s="16" t="s">
        <v>2858</v>
      </c>
      <c r="G42" s="16" t="s">
        <v>3003</v>
      </c>
    </row>
    <row r="43">
      <c r="A43" s="16" t="s">
        <v>3004</v>
      </c>
      <c r="B43" s="21">
        <v>1950.0</v>
      </c>
      <c r="C43" s="21">
        <v>1957.0</v>
      </c>
      <c r="D43" s="21">
        <v>1962.0</v>
      </c>
      <c r="E43" s="21">
        <v>1970.0</v>
      </c>
      <c r="F43" s="21">
        <v>1957.0</v>
      </c>
      <c r="G43" s="16" t="s">
        <v>3005</v>
      </c>
    </row>
    <row r="44">
      <c r="A44" s="16" t="s">
        <v>3006</v>
      </c>
      <c r="B44" s="21">
        <v>8.0</v>
      </c>
      <c r="C44" s="21">
        <v>10.0</v>
      </c>
      <c r="D44" s="21">
        <v>11.0</v>
      </c>
      <c r="E44" s="21">
        <v>12.0</v>
      </c>
      <c r="F44" s="21">
        <v>10.0</v>
      </c>
      <c r="G44" s="16" t="s">
        <v>3007</v>
      </c>
    </row>
    <row r="45">
      <c r="A45" s="16" t="s">
        <v>3008</v>
      </c>
      <c r="B45" s="16" t="s">
        <v>3009</v>
      </c>
      <c r="C45" s="16" t="s">
        <v>3010</v>
      </c>
      <c r="D45" s="16" t="s">
        <v>3011</v>
      </c>
      <c r="E45" s="16" t="s">
        <v>3012</v>
      </c>
      <c r="F45" s="16" t="s">
        <v>3009</v>
      </c>
      <c r="G45" s="16" t="s">
        <v>3013</v>
      </c>
    </row>
    <row r="46">
      <c r="A46" s="16" t="s">
        <v>3014</v>
      </c>
      <c r="B46" s="21">
        <v>1994.0</v>
      </c>
      <c r="C46" s="21">
        <v>1998.0</v>
      </c>
      <c r="D46" s="21">
        <v>2002.0</v>
      </c>
      <c r="E46" s="21">
        <v>2006.0</v>
      </c>
      <c r="F46" s="21">
        <v>1998.0</v>
      </c>
      <c r="G46" s="16" t="s">
        <v>3015</v>
      </c>
    </row>
    <row r="47">
      <c r="A47" s="16" t="s">
        <v>3016</v>
      </c>
      <c r="B47" s="16" t="s">
        <v>2893</v>
      </c>
      <c r="C47" s="16" t="s">
        <v>3017</v>
      </c>
      <c r="D47" s="16" t="s">
        <v>2895</v>
      </c>
      <c r="E47" s="16" t="s">
        <v>3018</v>
      </c>
      <c r="F47" s="16" t="s">
        <v>3017</v>
      </c>
      <c r="G47" s="16" t="s">
        <v>3019</v>
      </c>
    </row>
    <row r="48">
      <c r="A48" s="16" t="s">
        <v>3020</v>
      </c>
      <c r="B48" s="16" t="s">
        <v>2849</v>
      </c>
      <c r="C48" s="16" t="s">
        <v>2848</v>
      </c>
      <c r="D48" s="16" t="s">
        <v>269</v>
      </c>
      <c r="E48" s="16" t="s">
        <v>2924</v>
      </c>
      <c r="F48" s="16" t="s">
        <v>2848</v>
      </c>
      <c r="G48" s="16" t="s">
        <v>3021</v>
      </c>
    </row>
    <row r="49">
      <c r="A49" s="16" t="s">
        <v>3022</v>
      </c>
      <c r="B49" s="16" t="s">
        <v>2940</v>
      </c>
      <c r="C49" s="16" t="s">
        <v>3023</v>
      </c>
      <c r="D49" s="16" t="s">
        <v>2939</v>
      </c>
      <c r="E49" s="16" t="s">
        <v>3024</v>
      </c>
      <c r="F49" s="16" t="s">
        <v>2939</v>
      </c>
      <c r="G49" s="16" t="s">
        <v>3025</v>
      </c>
    </row>
    <row r="50">
      <c r="A50" s="16" t="s">
        <v>3026</v>
      </c>
      <c r="B50" s="21">
        <v>1930.0</v>
      </c>
      <c r="C50" s="21">
        <v>1982.0</v>
      </c>
      <c r="D50" s="21">
        <v>1966.0</v>
      </c>
      <c r="E50" s="21">
        <v>1974.0</v>
      </c>
      <c r="F50" s="21">
        <v>1982.0</v>
      </c>
      <c r="G50" s="16" t="s">
        <v>3027</v>
      </c>
    </row>
    <row r="51">
      <c r="A51" s="16" t="s">
        <v>3028</v>
      </c>
      <c r="B51" s="21">
        <v>1994.0</v>
      </c>
      <c r="C51" s="21">
        <v>1996.0</v>
      </c>
      <c r="D51" s="21">
        <v>1998.0</v>
      </c>
      <c r="E51" s="21">
        <v>2000.0</v>
      </c>
      <c r="F51" s="21">
        <v>1996.0</v>
      </c>
      <c r="G51" s="16" t="s">
        <v>3029</v>
      </c>
    </row>
    <row r="52">
      <c r="A52" s="16" t="s">
        <v>3030</v>
      </c>
      <c r="B52" s="21">
        <v>1870.0</v>
      </c>
      <c r="C52" s="21">
        <v>1880.0</v>
      </c>
      <c r="D52" s="21">
        <v>1863.0</v>
      </c>
      <c r="E52" s="21">
        <v>1900.0</v>
      </c>
      <c r="F52" s="21">
        <v>1863.0</v>
      </c>
      <c r="G52" s="16" t="s">
        <v>3031</v>
      </c>
    </row>
    <row r="53">
      <c r="A53" s="16" t="s">
        <v>3032</v>
      </c>
      <c r="B53" s="16" t="s">
        <v>3033</v>
      </c>
      <c r="C53" s="16" t="s">
        <v>3034</v>
      </c>
      <c r="D53" s="16" t="s">
        <v>3035</v>
      </c>
      <c r="E53" s="16" t="s">
        <v>3036</v>
      </c>
      <c r="F53" s="16" t="s">
        <v>3036</v>
      </c>
      <c r="G53" s="16" t="s">
        <v>3037</v>
      </c>
    </row>
    <row r="54">
      <c r="A54" s="16" t="s">
        <v>3038</v>
      </c>
      <c r="B54" s="16" t="s">
        <v>2924</v>
      </c>
      <c r="C54" s="16" t="s">
        <v>2847</v>
      </c>
      <c r="D54" s="16" t="s">
        <v>2848</v>
      </c>
      <c r="E54" s="16" t="s">
        <v>269</v>
      </c>
      <c r="F54" s="16" t="s">
        <v>2848</v>
      </c>
      <c r="G54" s="16" t="s">
        <v>3039</v>
      </c>
    </row>
    <row r="55">
      <c r="A55" s="16" t="s">
        <v>3040</v>
      </c>
      <c r="B55" s="16" t="s">
        <v>2896</v>
      </c>
      <c r="C55" s="16" t="s">
        <v>3034</v>
      </c>
      <c r="D55" s="16" t="s">
        <v>3041</v>
      </c>
      <c r="E55" s="16" t="s">
        <v>3042</v>
      </c>
      <c r="F55" s="16" t="s">
        <v>3042</v>
      </c>
      <c r="G55" s="16" t="s">
        <v>3043</v>
      </c>
    </row>
    <row r="56">
      <c r="A56" s="16" t="s">
        <v>3044</v>
      </c>
      <c r="B56" s="16" t="s">
        <v>2849</v>
      </c>
      <c r="C56" s="16" t="s">
        <v>2847</v>
      </c>
      <c r="D56" s="16" t="s">
        <v>2848</v>
      </c>
      <c r="E56" s="16" t="s">
        <v>1159</v>
      </c>
      <c r="F56" s="16" t="s">
        <v>2848</v>
      </c>
      <c r="G56" s="16" t="s">
        <v>3045</v>
      </c>
    </row>
    <row r="57">
      <c r="A57" s="16" t="s">
        <v>3046</v>
      </c>
      <c r="B57" s="21">
        <v>1896.0</v>
      </c>
      <c r="C57" s="21">
        <v>1900.0</v>
      </c>
      <c r="D57" s="21">
        <v>1924.0</v>
      </c>
      <c r="E57" s="21">
        <v>1930.0</v>
      </c>
      <c r="F57" s="21">
        <v>1900.0</v>
      </c>
      <c r="G57" s="16" t="s">
        <v>3047</v>
      </c>
    </row>
    <row r="58">
      <c r="A58" s="16" t="s">
        <v>3048</v>
      </c>
      <c r="B58" s="16" t="s">
        <v>2924</v>
      </c>
      <c r="C58" s="16" t="s">
        <v>2847</v>
      </c>
      <c r="D58" s="16" t="s">
        <v>2848</v>
      </c>
      <c r="E58" s="16" t="s">
        <v>269</v>
      </c>
      <c r="F58" s="16" t="s">
        <v>2848</v>
      </c>
      <c r="G58" s="16" t="s">
        <v>3049</v>
      </c>
    </row>
    <row r="59">
      <c r="A59" s="16" t="s">
        <v>3050</v>
      </c>
      <c r="B59" s="16" t="s">
        <v>2847</v>
      </c>
      <c r="C59" s="16" t="s">
        <v>269</v>
      </c>
      <c r="D59" s="16" t="s">
        <v>2849</v>
      </c>
      <c r="E59" s="16" t="s">
        <v>2924</v>
      </c>
      <c r="F59" s="16" t="s">
        <v>2849</v>
      </c>
      <c r="G59" s="16" t="s">
        <v>3051</v>
      </c>
    </row>
    <row r="60">
      <c r="A60" s="16" t="s">
        <v>3052</v>
      </c>
      <c r="B60" s="16" t="s">
        <v>3053</v>
      </c>
      <c r="C60" s="16" t="s">
        <v>3054</v>
      </c>
      <c r="D60" s="16" t="s">
        <v>3055</v>
      </c>
      <c r="E60" s="16" t="s">
        <v>3056</v>
      </c>
      <c r="F60" s="16" t="s">
        <v>3053</v>
      </c>
      <c r="G60" s="16" t="s">
        <v>3057</v>
      </c>
    </row>
    <row r="61">
      <c r="A61" s="16" t="s">
        <v>3058</v>
      </c>
      <c r="B61" s="21">
        <v>1870.0</v>
      </c>
      <c r="C61" s="21">
        <v>1890.0</v>
      </c>
      <c r="D61" s="21">
        <v>1900.0</v>
      </c>
      <c r="E61" s="21">
        <v>1930.0</v>
      </c>
      <c r="F61" s="21">
        <v>1885.0</v>
      </c>
      <c r="G61" s="16" t="s">
        <v>3059</v>
      </c>
    </row>
    <row r="62">
      <c r="A62" s="16" t="s">
        <v>3060</v>
      </c>
      <c r="B62" s="16" t="s">
        <v>3061</v>
      </c>
      <c r="C62" s="16" t="s">
        <v>3062</v>
      </c>
      <c r="D62" s="16" t="s">
        <v>3063</v>
      </c>
      <c r="E62" s="16" t="s">
        <v>3033</v>
      </c>
      <c r="F62" s="16" t="s">
        <v>3062</v>
      </c>
      <c r="G62" s="16" t="s">
        <v>3064</v>
      </c>
    </row>
    <row r="63">
      <c r="A63" s="16" t="s">
        <v>3065</v>
      </c>
      <c r="B63" s="16" t="s">
        <v>3066</v>
      </c>
      <c r="C63" s="16" t="s">
        <v>269</v>
      </c>
      <c r="D63" s="16" t="s">
        <v>2847</v>
      </c>
      <c r="E63" s="16" t="s">
        <v>2948</v>
      </c>
      <c r="F63" s="16" t="s">
        <v>3066</v>
      </c>
      <c r="G63" s="16" t="s">
        <v>3067</v>
      </c>
    </row>
    <row r="64">
      <c r="A64" s="16" t="s">
        <v>3068</v>
      </c>
      <c r="B64" s="16" t="s">
        <v>3069</v>
      </c>
      <c r="C64" s="16" t="s">
        <v>3033</v>
      </c>
      <c r="D64" s="16" t="s">
        <v>2896</v>
      </c>
      <c r="E64" s="16" t="s">
        <v>3070</v>
      </c>
      <c r="F64" s="16" t="s">
        <v>3070</v>
      </c>
      <c r="G64" s="16" t="s">
        <v>3071</v>
      </c>
    </row>
    <row r="65">
      <c r="A65" s="16" t="s">
        <v>3072</v>
      </c>
      <c r="B65" s="21">
        <v>1980.0</v>
      </c>
      <c r="C65" s="21">
        <v>1990.0</v>
      </c>
      <c r="D65" s="21">
        <v>1992.0</v>
      </c>
      <c r="E65" s="21">
        <v>1995.0</v>
      </c>
      <c r="F65" s="21">
        <v>1992.0</v>
      </c>
      <c r="G65" s="16" t="s">
        <v>3073</v>
      </c>
    </row>
    <row r="66">
      <c r="A66" s="16" t="s">
        <v>3074</v>
      </c>
      <c r="B66" s="16" t="s">
        <v>2849</v>
      </c>
      <c r="C66" s="16" t="s">
        <v>269</v>
      </c>
      <c r="D66" s="16" t="s">
        <v>2847</v>
      </c>
      <c r="E66" s="16" t="s">
        <v>2924</v>
      </c>
      <c r="F66" s="16" t="s">
        <v>2847</v>
      </c>
      <c r="G66" s="16" t="s">
        <v>3075</v>
      </c>
    </row>
    <row r="67">
      <c r="A67" s="16" t="s">
        <v>3076</v>
      </c>
      <c r="B67" s="16" t="s">
        <v>3077</v>
      </c>
      <c r="C67" s="16" t="s">
        <v>3078</v>
      </c>
      <c r="D67" s="16" t="s">
        <v>3079</v>
      </c>
      <c r="E67" s="16" t="s">
        <v>3080</v>
      </c>
      <c r="F67" s="16" t="s">
        <v>3077</v>
      </c>
      <c r="G67" s="16" t="s">
        <v>3081</v>
      </c>
    </row>
    <row r="68">
      <c r="A68" s="16" t="s">
        <v>3082</v>
      </c>
      <c r="B68" s="16" t="s">
        <v>2847</v>
      </c>
      <c r="C68" s="16" t="s">
        <v>2848</v>
      </c>
      <c r="D68" s="16" t="s">
        <v>2849</v>
      </c>
      <c r="E68" s="16" t="s">
        <v>2924</v>
      </c>
      <c r="F68" s="16" t="s">
        <v>2847</v>
      </c>
      <c r="G68" s="16" t="s">
        <v>3083</v>
      </c>
    </row>
    <row r="69">
      <c r="A69" s="16" t="s">
        <v>3084</v>
      </c>
      <c r="B69" s="16" t="s">
        <v>2847</v>
      </c>
      <c r="C69" s="16" t="s">
        <v>2858</v>
      </c>
      <c r="D69" s="16" t="s">
        <v>269</v>
      </c>
      <c r="E69" s="16" t="s">
        <v>1159</v>
      </c>
      <c r="F69" s="16" t="s">
        <v>2858</v>
      </c>
      <c r="G69" s="16" t="s">
        <v>3085</v>
      </c>
    </row>
    <row r="70">
      <c r="A70" s="16" t="s">
        <v>3086</v>
      </c>
      <c r="B70" s="16" t="s">
        <v>3011</v>
      </c>
      <c r="C70" s="16" t="s">
        <v>3069</v>
      </c>
      <c r="D70" s="16" t="s">
        <v>3087</v>
      </c>
      <c r="E70" s="16" t="s">
        <v>3033</v>
      </c>
      <c r="F70" s="16" t="s">
        <v>3087</v>
      </c>
      <c r="G70" s="16" t="s">
        <v>3088</v>
      </c>
    </row>
    <row r="71">
      <c r="A71" s="16" t="s">
        <v>3089</v>
      </c>
      <c r="B71" s="16" t="s">
        <v>1159</v>
      </c>
      <c r="C71" s="16" t="s">
        <v>2849</v>
      </c>
      <c r="D71" s="16" t="s">
        <v>2847</v>
      </c>
      <c r="E71" s="16" t="s">
        <v>2858</v>
      </c>
      <c r="F71" s="16" t="s">
        <v>2858</v>
      </c>
      <c r="G71" s="16" t="s">
        <v>3090</v>
      </c>
    </row>
    <row r="72">
      <c r="A72" s="16" t="s">
        <v>3091</v>
      </c>
      <c r="B72" s="16" t="s">
        <v>3033</v>
      </c>
      <c r="C72" s="16" t="s">
        <v>2917</v>
      </c>
      <c r="D72" s="16" t="s">
        <v>3092</v>
      </c>
      <c r="E72" s="16" t="s">
        <v>3034</v>
      </c>
      <c r="F72" s="16" t="s">
        <v>3033</v>
      </c>
      <c r="G72" s="16" t="s">
        <v>3093</v>
      </c>
    </row>
    <row r="73">
      <c r="A73" s="16" t="s">
        <v>3094</v>
      </c>
      <c r="B73" s="21">
        <v>1956.0</v>
      </c>
      <c r="C73" s="21">
        <v>1965.0</v>
      </c>
      <c r="D73" s="21">
        <v>1970.0</v>
      </c>
      <c r="E73" s="21">
        <v>1980.0</v>
      </c>
      <c r="F73" s="21">
        <v>1956.0</v>
      </c>
      <c r="G73" s="16" t="s">
        <v>3095</v>
      </c>
    </row>
    <row r="74">
      <c r="A74" s="16" t="s">
        <v>3096</v>
      </c>
      <c r="B74" s="16" t="s">
        <v>2896</v>
      </c>
      <c r="C74" s="16" t="s">
        <v>3069</v>
      </c>
      <c r="D74" s="16" t="s">
        <v>2919</v>
      </c>
      <c r="E74" s="16" t="s">
        <v>3018</v>
      </c>
      <c r="F74" s="16" t="s">
        <v>2896</v>
      </c>
      <c r="G74" s="16" t="s">
        <v>3097</v>
      </c>
    </row>
    <row r="75">
      <c r="A75" s="16" t="s">
        <v>2983</v>
      </c>
      <c r="B75" s="16" t="s">
        <v>2985</v>
      </c>
      <c r="C75" s="16" t="s">
        <v>2986</v>
      </c>
      <c r="D75" s="16" t="s">
        <v>2987</v>
      </c>
      <c r="E75" s="16" t="s">
        <v>3098</v>
      </c>
      <c r="F75" s="16" t="s">
        <v>2985</v>
      </c>
      <c r="G75" s="16" t="s">
        <v>3099</v>
      </c>
    </row>
    <row r="76">
      <c r="A76" s="16" t="s">
        <v>3100</v>
      </c>
      <c r="B76" s="16" t="s">
        <v>269</v>
      </c>
      <c r="C76" s="16" t="s">
        <v>3101</v>
      </c>
      <c r="D76" s="16" t="s">
        <v>1159</v>
      </c>
      <c r="E76" s="16" t="s">
        <v>3102</v>
      </c>
      <c r="F76" s="16" t="s">
        <v>3101</v>
      </c>
      <c r="G76" s="16" t="s">
        <v>3103</v>
      </c>
    </row>
    <row r="77">
      <c r="A77" s="16" t="s">
        <v>3104</v>
      </c>
      <c r="B77" s="21">
        <v>1986.0</v>
      </c>
      <c r="C77" s="21">
        <v>1994.0</v>
      </c>
      <c r="D77" s="21">
        <v>2002.0</v>
      </c>
      <c r="E77" s="21">
        <v>2010.0</v>
      </c>
      <c r="F77" s="21">
        <v>1994.0</v>
      </c>
      <c r="G77" s="16" t="s">
        <v>3105</v>
      </c>
    </row>
    <row r="78">
      <c r="A78" s="16" t="s">
        <v>3106</v>
      </c>
      <c r="B78" s="16" t="s">
        <v>2847</v>
      </c>
      <c r="C78" s="16" t="s">
        <v>269</v>
      </c>
      <c r="D78" s="16" t="s">
        <v>1159</v>
      </c>
      <c r="E78" s="16" t="s">
        <v>2849</v>
      </c>
      <c r="F78" s="16" t="s">
        <v>2847</v>
      </c>
      <c r="G78" s="16" t="s">
        <v>3107</v>
      </c>
    </row>
    <row r="79">
      <c r="A79" s="16" t="s">
        <v>3108</v>
      </c>
      <c r="B79" s="21">
        <v>1994.0</v>
      </c>
      <c r="C79" s="21">
        <v>1998.0</v>
      </c>
      <c r="D79" s="21">
        <v>2002.0</v>
      </c>
      <c r="E79" s="21">
        <v>2010.0</v>
      </c>
      <c r="F79" s="21">
        <v>1998.0</v>
      </c>
      <c r="G79" s="16" t="s">
        <v>3109</v>
      </c>
    </row>
    <row r="80">
      <c r="A80" s="16" t="s">
        <v>3110</v>
      </c>
      <c r="B80" s="16" t="s">
        <v>3087</v>
      </c>
      <c r="C80" s="16" t="s">
        <v>3069</v>
      </c>
      <c r="D80" s="16" t="s">
        <v>3033</v>
      </c>
      <c r="E80" s="16" t="s">
        <v>2896</v>
      </c>
      <c r="F80" s="16" t="s">
        <v>3087</v>
      </c>
      <c r="G80" s="16" t="s">
        <v>3111</v>
      </c>
    </row>
    <row r="81">
      <c r="A81" s="16" t="s">
        <v>3112</v>
      </c>
      <c r="B81" s="16" t="s">
        <v>2977</v>
      </c>
      <c r="C81" s="16" t="s">
        <v>2847</v>
      </c>
      <c r="D81" s="16" t="s">
        <v>269</v>
      </c>
      <c r="E81" s="16" t="s">
        <v>1159</v>
      </c>
      <c r="F81" s="16" t="s">
        <v>2977</v>
      </c>
      <c r="G81" s="16" t="s">
        <v>3113</v>
      </c>
    </row>
    <row r="82">
      <c r="A82" s="16" t="s">
        <v>3114</v>
      </c>
      <c r="B82" s="16" t="s">
        <v>2953</v>
      </c>
      <c r="C82" s="16" t="s">
        <v>2952</v>
      </c>
      <c r="D82" s="16" t="s">
        <v>3115</v>
      </c>
      <c r="E82" s="16" t="s">
        <v>2998</v>
      </c>
      <c r="F82" s="16" t="s">
        <v>2952</v>
      </c>
      <c r="G82" s="16" t="s">
        <v>3116</v>
      </c>
    </row>
    <row r="83">
      <c r="A83" s="16" t="s">
        <v>3117</v>
      </c>
      <c r="B83" s="16" t="s">
        <v>1159</v>
      </c>
      <c r="C83" s="16" t="s">
        <v>2847</v>
      </c>
      <c r="D83" s="16" t="s">
        <v>269</v>
      </c>
      <c r="E83" s="16" t="s">
        <v>2849</v>
      </c>
      <c r="F83" s="16" t="s">
        <v>1159</v>
      </c>
      <c r="G83" s="16" t="s">
        <v>3118</v>
      </c>
    </row>
    <row r="84">
      <c r="A84" s="16" t="s">
        <v>3119</v>
      </c>
      <c r="B84" s="16" t="s">
        <v>3120</v>
      </c>
      <c r="C84" s="16" t="s">
        <v>3121</v>
      </c>
      <c r="D84" s="16" t="s">
        <v>3122</v>
      </c>
      <c r="E84" s="16" t="s">
        <v>3070</v>
      </c>
      <c r="F84" s="16" t="s">
        <v>3120</v>
      </c>
      <c r="G84" s="16" t="s">
        <v>3123</v>
      </c>
    </row>
    <row r="85">
      <c r="A85" s="16" t="s">
        <v>3124</v>
      </c>
      <c r="B85" s="16" t="s">
        <v>2924</v>
      </c>
      <c r="C85" s="16" t="s">
        <v>269</v>
      </c>
      <c r="D85" s="16" t="s">
        <v>2847</v>
      </c>
      <c r="E85" s="16" t="s">
        <v>3102</v>
      </c>
      <c r="F85" s="16" t="s">
        <v>269</v>
      </c>
      <c r="G85" s="16" t="s">
        <v>3125</v>
      </c>
    </row>
    <row r="86">
      <c r="A86" s="16" t="s">
        <v>3126</v>
      </c>
      <c r="B86" s="21">
        <v>1989.0</v>
      </c>
      <c r="C86" s="21">
        <v>1990.0</v>
      </c>
      <c r="D86" s="21">
        <v>1991.0</v>
      </c>
      <c r="E86" s="21">
        <v>1995.0</v>
      </c>
      <c r="F86" s="21">
        <v>1991.0</v>
      </c>
      <c r="G86" s="16" t="s">
        <v>2927</v>
      </c>
    </row>
    <row r="87">
      <c r="A87" s="16" t="s">
        <v>3127</v>
      </c>
      <c r="B87" s="21">
        <v>1850.0</v>
      </c>
      <c r="C87" s="21">
        <v>1863.0</v>
      </c>
      <c r="D87" s="21">
        <v>1872.0</v>
      </c>
      <c r="E87" s="21">
        <v>1890.0</v>
      </c>
      <c r="F87" s="21">
        <v>1872.0</v>
      </c>
      <c r="G87" s="16" t="s">
        <v>3128</v>
      </c>
    </row>
    <row r="88">
      <c r="A88" s="16" t="s">
        <v>3129</v>
      </c>
      <c r="B88" s="16" t="s">
        <v>24</v>
      </c>
      <c r="C88" s="16" t="s">
        <v>269</v>
      </c>
      <c r="D88" s="16" t="s">
        <v>2847</v>
      </c>
      <c r="E88" s="16" t="s">
        <v>2948</v>
      </c>
      <c r="F88" s="16" t="s">
        <v>24</v>
      </c>
      <c r="G88" s="16" t="s">
        <v>3130</v>
      </c>
    </row>
    <row r="89">
      <c r="A89" s="16" t="s">
        <v>3131</v>
      </c>
      <c r="B89" s="16" t="s">
        <v>3069</v>
      </c>
      <c r="C89" s="16" t="s">
        <v>3033</v>
      </c>
      <c r="D89" s="16" t="s">
        <v>2896</v>
      </c>
      <c r="E89" s="16" t="s">
        <v>3132</v>
      </c>
      <c r="F89" s="16" t="s">
        <v>3069</v>
      </c>
      <c r="G89" s="16" t="s">
        <v>3133</v>
      </c>
    </row>
    <row r="90">
      <c r="A90" s="16" t="s">
        <v>3134</v>
      </c>
      <c r="B90" s="16" t="s">
        <v>3069</v>
      </c>
      <c r="C90" s="16" t="s">
        <v>3041</v>
      </c>
      <c r="D90" s="16" t="s">
        <v>3135</v>
      </c>
      <c r="E90" s="16" t="s">
        <v>3136</v>
      </c>
      <c r="F90" s="16" t="s">
        <v>3069</v>
      </c>
      <c r="G90" s="16" t="s">
        <v>3137</v>
      </c>
    </row>
    <row r="91">
      <c r="A91" s="16" t="s">
        <v>3138</v>
      </c>
      <c r="B91" s="16" t="s">
        <v>2849</v>
      </c>
      <c r="C91" s="16" t="s">
        <v>1159</v>
      </c>
      <c r="D91" s="16" t="s">
        <v>2847</v>
      </c>
      <c r="E91" s="16" t="s">
        <v>269</v>
      </c>
      <c r="F91" s="16" t="s">
        <v>2849</v>
      </c>
      <c r="G91" s="16" t="s">
        <v>3139</v>
      </c>
    </row>
    <row r="92">
      <c r="A92" s="16" t="s">
        <v>3140</v>
      </c>
      <c r="B92" s="16" t="s">
        <v>3033</v>
      </c>
      <c r="C92" s="16" t="s">
        <v>3069</v>
      </c>
      <c r="D92" s="16" t="s">
        <v>2896</v>
      </c>
      <c r="E92" s="16" t="s">
        <v>3092</v>
      </c>
      <c r="F92" s="16" t="s">
        <v>2896</v>
      </c>
      <c r="G92" s="16" t="s">
        <v>3141</v>
      </c>
    </row>
    <row r="93">
      <c r="A93" s="16" t="s">
        <v>3142</v>
      </c>
      <c r="B93" s="21">
        <v>1908.0</v>
      </c>
      <c r="C93" s="21">
        <v>1920.0</v>
      </c>
      <c r="D93" s="21">
        <v>1936.0</v>
      </c>
      <c r="E93" s="21">
        <v>1960.0</v>
      </c>
      <c r="F93" s="21">
        <v>1908.0</v>
      </c>
      <c r="G93" s="16" t="s">
        <v>3143</v>
      </c>
    </row>
    <row r="94">
      <c r="A94" s="16" t="s">
        <v>3144</v>
      </c>
      <c r="B94" s="16" t="s">
        <v>269</v>
      </c>
      <c r="C94" s="16" t="s">
        <v>24</v>
      </c>
      <c r="D94" s="16" t="s">
        <v>2948</v>
      </c>
      <c r="E94" s="16" t="s">
        <v>2957</v>
      </c>
      <c r="F94" s="16" t="s">
        <v>24</v>
      </c>
      <c r="G94" s="16" t="s">
        <v>3145</v>
      </c>
    </row>
    <row r="95">
      <c r="A95" s="16" t="s">
        <v>3146</v>
      </c>
      <c r="B95" s="16" t="s">
        <v>2939</v>
      </c>
      <c r="C95" s="16" t="s">
        <v>2941</v>
      </c>
      <c r="D95" s="16" t="s">
        <v>3147</v>
      </c>
      <c r="E95" s="16" t="s">
        <v>3148</v>
      </c>
      <c r="F95" s="16" t="s">
        <v>3147</v>
      </c>
      <c r="G95" s="16" t="s">
        <v>3149</v>
      </c>
    </row>
    <row r="96">
      <c r="A96" s="16" t="s">
        <v>3150</v>
      </c>
      <c r="B96" s="16" t="s">
        <v>269</v>
      </c>
      <c r="C96" s="16" t="s">
        <v>2849</v>
      </c>
      <c r="D96" s="16" t="s">
        <v>3101</v>
      </c>
      <c r="E96" s="16" t="s">
        <v>1159</v>
      </c>
      <c r="F96" s="16" t="s">
        <v>3101</v>
      </c>
      <c r="G96" s="16" t="s">
        <v>3151</v>
      </c>
    </row>
    <row r="97">
      <c r="A97" s="16" t="s">
        <v>3152</v>
      </c>
      <c r="B97" s="16" t="s">
        <v>2924</v>
      </c>
      <c r="C97" s="16" t="s">
        <v>2847</v>
      </c>
      <c r="D97" s="16" t="s">
        <v>2848</v>
      </c>
      <c r="E97" s="16" t="s">
        <v>3153</v>
      </c>
      <c r="F97" s="16" t="s">
        <v>2848</v>
      </c>
      <c r="G97" s="16" t="s">
        <v>3154</v>
      </c>
    </row>
    <row r="98">
      <c r="A98" s="16" t="s">
        <v>3155</v>
      </c>
      <c r="B98" s="16" t="s">
        <v>3033</v>
      </c>
      <c r="C98" s="16" t="s">
        <v>3069</v>
      </c>
      <c r="D98" s="16" t="s">
        <v>2919</v>
      </c>
      <c r="E98" s="16" t="s">
        <v>3018</v>
      </c>
      <c r="F98" s="16" t="s">
        <v>3033</v>
      </c>
      <c r="G98" s="16" t="s">
        <v>3156</v>
      </c>
    </row>
    <row r="99">
      <c r="A99" s="16" t="s">
        <v>3157</v>
      </c>
      <c r="B99" s="16" t="s">
        <v>2847</v>
      </c>
      <c r="C99" s="16" t="s">
        <v>3158</v>
      </c>
      <c r="D99" s="16" t="s">
        <v>2977</v>
      </c>
      <c r="E99" s="16" t="s">
        <v>269</v>
      </c>
      <c r="F99" s="16" t="s">
        <v>2847</v>
      </c>
      <c r="G99" s="16" t="s">
        <v>3159</v>
      </c>
    </row>
    <row r="100">
      <c r="A100" s="16" t="s">
        <v>3160</v>
      </c>
      <c r="B100" s="16" t="s">
        <v>2896</v>
      </c>
      <c r="C100" s="16" t="s">
        <v>3069</v>
      </c>
      <c r="D100" s="16" t="s">
        <v>3092</v>
      </c>
      <c r="E100" s="16" t="s">
        <v>3161</v>
      </c>
      <c r="F100" s="16" t="s">
        <v>3092</v>
      </c>
      <c r="G100" s="16" t="s">
        <v>3162</v>
      </c>
    </row>
    <row r="101">
      <c r="A101" s="16" t="s">
        <v>3163</v>
      </c>
      <c r="B101" s="21">
        <v>1998.0</v>
      </c>
      <c r="C101" s="21">
        <v>2002.0</v>
      </c>
      <c r="D101" s="21">
        <v>1982.0</v>
      </c>
      <c r="E101" s="21">
        <v>1978.0</v>
      </c>
      <c r="F101" s="21">
        <v>2002.0</v>
      </c>
      <c r="G101" s="16" t="s">
        <v>3164</v>
      </c>
    </row>
    <row r="102">
      <c r="A102" s="16" t="s">
        <v>3165</v>
      </c>
      <c r="B102" s="16" t="s">
        <v>2939</v>
      </c>
      <c r="C102" s="16" t="s">
        <v>2940</v>
      </c>
      <c r="D102" s="16" t="s">
        <v>3166</v>
      </c>
      <c r="E102" s="16" t="s">
        <v>3023</v>
      </c>
      <c r="F102" s="16" t="s">
        <v>2939</v>
      </c>
      <c r="G102" s="16" t="s">
        <v>3167</v>
      </c>
    </row>
    <row r="103">
      <c r="A103" s="16" t="s">
        <v>2983</v>
      </c>
      <c r="B103" s="16" t="s">
        <v>2985</v>
      </c>
      <c r="C103" s="16" t="s">
        <v>2986</v>
      </c>
      <c r="D103" s="16" t="s">
        <v>2987</v>
      </c>
      <c r="E103" s="16" t="s">
        <v>3098</v>
      </c>
      <c r="F103" s="16" t="s">
        <v>2985</v>
      </c>
      <c r="G103" s="16" t="s">
        <v>3168</v>
      </c>
    </row>
    <row r="104">
      <c r="A104" s="16" t="s">
        <v>3169</v>
      </c>
      <c r="B104" s="16" t="s">
        <v>3092</v>
      </c>
      <c r="C104" s="16" t="s">
        <v>3170</v>
      </c>
      <c r="D104" s="16" t="s">
        <v>3033</v>
      </c>
      <c r="E104" s="16" t="s">
        <v>2895</v>
      </c>
      <c r="F104" s="16" t="s">
        <v>3092</v>
      </c>
      <c r="G104" s="16" t="s">
        <v>3171</v>
      </c>
    </row>
    <row r="105">
      <c r="A105" s="16" t="s">
        <v>3038</v>
      </c>
      <c r="B105" s="16" t="s">
        <v>2847</v>
      </c>
      <c r="C105" s="16" t="s">
        <v>269</v>
      </c>
      <c r="D105" s="16" t="s">
        <v>2924</v>
      </c>
      <c r="E105" s="16" t="s">
        <v>2848</v>
      </c>
      <c r="F105" s="16" t="s">
        <v>2848</v>
      </c>
      <c r="G105" s="16" t="s">
        <v>3172</v>
      </c>
    </row>
    <row r="106">
      <c r="A106" s="16" t="s">
        <v>3173</v>
      </c>
      <c r="B106" s="21">
        <v>1990.0</v>
      </c>
      <c r="C106" s="21">
        <v>1994.0</v>
      </c>
      <c r="D106" s="21">
        <v>1998.0</v>
      </c>
      <c r="E106" s="21">
        <v>2002.0</v>
      </c>
      <c r="F106" s="21">
        <v>1994.0</v>
      </c>
      <c r="G106" s="16" t="s">
        <v>3174</v>
      </c>
    </row>
    <row r="107">
      <c r="A107" s="16" t="s">
        <v>3175</v>
      </c>
      <c r="B107" s="16" t="s">
        <v>2847</v>
      </c>
      <c r="C107" s="16" t="s">
        <v>269</v>
      </c>
      <c r="D107" s="16" t="s">
        <v>2858</v>
      </c>
      <c r="E107" s="16" t="s">
        <v>2849</v>
      </c>
      <c r="F107" s="16" t="s">
        <v>2858</v>
      </c>
      <c r="G107" s="16" t="s">
        <v>3176</v>
      </c>
    </row>
    <row r="108">
      <c r="A108" s="16" t="s">
        <v>3177</v>
      </c>
      <c r="B108" s="16" t="s">
        <v>2940</v>
      </c>
      <c r="C108" s="16" t="s">
        <v>3024</v>
      </c>
      <c r="D108" s="16" t="s">
        <v>2939</v>
      </c>
      <c r="E108" s="16" t="s">
        <v>3166</v>
      </c>
      <c r="F108" s="16" t="s">
        <v>2939</v>
      </c>
      <c r="G108" s="16" t="s">
        <v>3178</v>
      </c>
    </row>
    <row r="109">
      <c r="A109" s="16" t="s">
        <v>3179</v>
      </c>
      <c r="B109" s="16" t="s">
        <v>2847</v>
      </c>
      <c r="C109" s="16" t="s">
        <v>2849</v>
      </c>
      <c r="D109" s="16" t="s">
        <v>269</v>
      </c>
      <c r="E109" s="16" t="s">
        <v>2848</v>
      </c>
      <c r="F109" s="16" t="s">
        <v>2848</v>
      </c>
      <c r="G109" s="16" t="s">
        <v>3180</v>
      </c>
    </row>
    <row r="110">
      <c r="A110" s="16" t="s">
        <v>3181</v>
      </c>
      <c r="B110" s="16" t="s">
        <v>3087</v>
      </c>
      <c r="C110" s="16" t="s">
        <v>3069</v>
      </c>
      <c r="D110" s="16" t="s">
        <v>2896</v>
      </c>
      <c r="E110" s="16" t="s">
        <v>3033</v>
      </c>
      <c r="F110" s="16" t="s">
        <v>3087</v>
      </c>
      <c r="G110" s="16" t="s">
        <v>3088</v>
      </c>
    </row>
    <row r="111">
      <c r="A111" s="16" t="s">
        <v>3182</v>
      </c>
      <c r="B111" s="16" t="s">
        <v>2847</v>
      </c>
      <c r="C111" s="16" t="s">
        <v>269</v>
      </c>
      <c r="D111" s="16" t="s">
        <v>3102</v>
      </c>
      <c r="E111" s="16" t="s">
        <v>2256</v>
      </c>
      <c r="F111" s="16" t="s">
        <v>3102</v>
      </c>
      <c r="G111" s="16" t="s">
        <v>3183</v>
      </c>
    </row>
    <row r="112">
      <c r="A112" s="16" t="s">
        <v>3184</v>
      </c>
      <c r="B112" s="16" t="s">
        <v>3166</v>
      </c>
      <c r="C112" s="16" t="s">
        <v>2998</v>
      </c>
      <c r="D112" s="16" t="s">
        <v>3185</v>
      </c>
      <c r="E112" s="16" t="s">
        <v>3186</v>
      </c>
      <c r="F112" s="16" t="s">
        <v>3185</v>
      </c>
      <c r="G112" s="16" t="s">
        <v>3187</v>
      </c>
    </row>
    <row r="113">
      <c r="A113" s="16" t="s">
        <v>3188</v>
      </c>
      <c r="B113" s="16" t="s">
        <v>24</v>
      </c>
      <c r="C113" s="16" t="s">
        <v>269</v>
      </c>
      <c r="D113" s="16" t="s">
        <v>2948</v>
      </c>
      <c r="E113" s="16" t="s">
        <v>2957</v>
      </c>
      <c r="F113" s="16" t="s">
        <v>24</v>
      </c>
      <c r="G113" s="16" t="s">
        <v>3189</v>
      </c>
    </row>
    <row r="114">
      <c r="A114" s="16" t="s">
        <v>3190</v>
      </c>
      <c r="B114" s="16" t="s">
        <v>2847</v>
      </c>
      <c r="C114" s="16" t="s">
        <v>2924</v>
      </c>
      <c r="D114" s="16" t="s">
        <v>2849</v>
      </c>
      <c r="E114" s="16" t="s">
        <v>2848</v>
      </c>
      <c r="F114" s="16" t="s">
        <v>2848</v>
      </c>
      <c r="G114" s="16" t="s">
        <v>3172</v>
      </c>
    </row>
    <row r="115">
      <c r="A115" s="16" t="s">
        <v>3191</v>
      </c>
      <c r="B115" s="16" t="s">
        <v>3166</v>
      </c>
      <c r="C115" s="16" t="s">
        <v>2998</v>
      </c>
      <c r="D115" s="16" t="s">
        <v>3185</v>
      </c>
      <c r="E115" s="16" t="s">
        <v>3186</v>
      </c>
      <c r="F115" s="16" t="s">
        <v>2998</v>
      </c>
      <c r="G115" s="16" t="s">
        <v>3192</v>
      </c>
    </row>
    <row r="116">
      <c r="A116" s="16" t="s">
        <v>3193</v>
      </c>
      <c r="B116" s="21">
        <v>1994.0</v>
      </c>
      <c r="C116" s="21">
        <v>1998.0</v>
      </c>
      <c r="D116" s="21">
        <v>2002.0</v>
      </c>
      <c r="E116" s="21">
        <v>2006.0</v>
      </c>
      <c r="F116" s="21">
        <v>1998.0</v>
      </c>
      <c r="G116" s="16" t="s">
        <v>3194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37.63"/>
    <col customWidth="1" min="3" max="4" width="22.25"/>
    <col customWidth="1" min="5" max="5" width="37.63"/>
    <col customWidth="1" min="8" max="8" width="37.63"/>
    <col customWidth="1" min="10" max="10" width="19.38"/>
    <col customWidth="1" min="11" max="11" width="37.63"/>
  </cols>
  <sheetData>
    <row r="1" ht="22.5" customHeight="1">
      <c r="A1" s="3" t="s">
        <v>0</v>
      </c>
      <c r="B1" s="1" t="s">
        <v>264</v>
      </c>
      <c r="C1" s="2" t="s">
        <v>2</v>
      </c>
      <c r="D1" s="1" t="s">
        <v>265</v>
      </c>
      <c r="E1" s="1" t="s">
        <v>4</v>
      </c>
      <c r="G1" s="3" t="s">
        <v>0</v>
      </c>
      <c r="H1" s="4" t="s">
        <v>5</v>
      </c>
      <c r="I1" s="4" t="s">
        <v>6</v>
      </c>
      <c r="J1" s="4" t="s">
        <v>7</v>
      </c>
      <c r="K1" s="4" t="s">
        <v>266</v>
      </c>
    </row>
    <row r="2" ht="22.5" customHeight="1">
      <c r="A2" s="22">
        <v>1.0</v>
      </c>
      <c r="B2" s="6" t="s">
        <v>3195</v>
      </c>
      <c r="C2" s="7" t="s">
        <v>3196</v>
      </c>
      <c r="D2" s="6" t="s">
        <v>1016</v>
      </c>
      <c r="E2" s="6" t="s">
        <v>3197</v>
      </c>
      <c r="G2" s="23">
        <v>1.0</v>
      </c>
      <c r="H2" s="9" t="s">
        <v>3198</v>
      </c>
      <c r="I2" s="9" t="s">
        <v>3199</v>
      </c>
      <c r="J2" s="9" t="s">
        <v>269</v>
      </c>
      <c r="K2" s="9" t="s">
        <v>3200</v>
      </c>
    </row>
    <row r="3" ht="22.5" customHeight="1">
      <c r="A3" s="24">
        <v>2.0</v>
      </c>
      <c r="B3" s="6" t="s">
        <v>3201</v>
      </c>
      <c r="C3" s="7" t="s">
        <v>3202</v>
      </c>
      <c r="D3" s="6" t="s">
        <v>3203</v>
      </c>
      <c r="E3" s="6" t="s">
        <v>3204</v>
      </c>
      <c r="G3" s="10">
        <v>2.0</v>
      </c>
      <c r="H3" s="9" t="s">
        <v>3205</v>
      </c>
      <c r="I3" s="9" t="s">
        <v>3202</v>
      </c>
      <c r="J3" s="9" t="s">
        <v>3203</v>
      </c>
      <c r="K3" s="9" t="s">
        <v>3206</v>
      </c>
    </row>
    <row r="4" ht="22.5" customHeight="1">
      <c r="A4" s="22">
        <v>3.0</v>
      </c>
      <c r="B4" s="6" t="s">
        <v>3207</v>
      </c>
      <c r="C4" s="7" t="s">
        <v>3208</v>
      </c>
      <c r="D4" s="6" t="s">
        <v>3209</v>
      </c>
      <c r="E4" s="6" t="s">
        <v>3210</v>
      </c>
      <c r="G4" s="23">
        <v>3.0</v>
      </c>
      <c r="H4" s="9" t="s">
        <v>3211</v>
      </c>
      <c r="I4" s="9" t="s">
        <v>3208</v>
      </c>
      <c r="J4" s="11">
        <v>1893.0</v>
      </c>
      <c r="K4" s="9" t="s">
        <v>3212</v>
      </c>
    </row>
    <row r="5" ht="22.5" customHeight="1">
      <c r="A5" s="24">
        <v>4.0</v>
      </c>
      <c r="B5" s="6" t="s">
        <v>3213</v>
      </c>
      <c r="C5" s="7" t="s">
        <v>3214</v>
      </c>
      <c r="D5" s="6" t="s">
        <v>3215</v>
      </c>
      <c r="E5" s="6" t="s">
        <v>3216</v>
      </c>
      <c r="G5" s="10">
        <v>4.0</v>
      </c>
      <c r="H5" s="9" t="s">
        <v>3217</v>
      </c>
      <c r="I5" s="9" t="s">
        <v>3214</v>
      </c>
      <c r="J5" s="9" t="s">
        <v>3215</v>
      </c>
      <c r="K5" s="9" t="s">
        <v>3218</v>
      </c>
    </row>
    <row r="6" ht="22.5" customHeight="1">
      <c r="A6" s="22">
        <v>5.0</v>
      </c>
      <c r="B6" s="6" t="s">
        <v>3219</v>
      </c>
      <c r="C6" s="7" t="s">
        <v>3220</v>
      </c>
      <c r="D6" s="6" t="s">
        <v>3221</v>
      </c>
      <c r="E6" s="6" t="s">
        <v>3222</v>
      </c>
      <c r="G6" s="23">
        <v>5.0</v>
      </c>
      <c r="H6" s="9" t="s">
        <v>3223</v>
      </c>
      <c r="I6" s="9" t="s">
        <v>3220</v>
      </c>
      <c r="J6" s="11">
        <v>1930.0</v>
      </c>
      <c r="K6" s="9" t="s">
        <v>3224</v>
      </c>
    </row>
    <row r="7" ht="22.5" customHeight="1">
      <c r="A7" s="24">
        <v>6.0</v>
      </c>
      <c r="B7" s="6" t="s">
        <v>3225</v>
      </c>
      <c r="C7" s="7" t="s">
        <v>3226</v>
      </c>
      <c r="D7" s="6" t="s">
        <v>1016</v>
      </c>
      <c r="E7" s="6" t="s">
        <v>3227</v>
      </c>
      <c r="G7" s="10">
        <v>6.0</v>
      </c>
      <c r="H7" s="9" t="s">
        <v>3228</v>
      </c>
      <c r="I7" s="9" t="s">
        <v>3229</v>
      </c>
      <c r="J7" s="9" t="s">
        <v>269</v>
      </c>
      <c r="K7" s="9" t="s">
        <v>3230</v>
      </c>
    </row>
    <row r="8" ht="22.5" customHeight="1">
      <c r="A8" s="22">
        <v>7.0</v>
      </c>
      <c r="B8" s="6" t="s">
        <v>3231</v>
      </c>
      <c r="C8" s="7" t="s">
        <v>3232</v>
      </c>
      <c r="D8" s="6" t="s">
        <v>3221</v>
      </c>
      <c r="E8" s="6" t="s">
        <v>3233</v>
      </c>
      <c r="G8" s="23">
        <v>7.0</v>
      </c>
      <c r="H8" s="9" t="s">
        <v>3234</v>
      </c>
      <c r="I8" s="9" t="s">
        <v>3232</v>
      </c>
      <c r="J8" s="11">
        <v>1930.0</v>
      </c>
      <c r="K8" s="9" t="s">
        <v>3235</v>
      </c>
    </row>
    <row r="9" ht="22.5" customHeight="1">
      <c r="A9" s="24">
        <v>8.0</v>
      </c>
      <c r="B9" s="6" t="s">
        <v>3236</v>
      </c>
      <c r="C9" s="7" t="s">
        <v>3237</v>
      </c>
      <c r="D9" s="6" t="s">
        <v>3238</v>
      </c>
      <c r="E9" s="6" t="s">
        <v>3239</v>
      </c>
      <c r="G9" s="10">
        <v>8.0</v>
      </c>
      <c r="H9" s="9" t="s">
        <v>3240</v>
      </c>
      <c r="I9" s="9" t="s">
        <v>3241</v>
      </c>
      <c r="J9" s="9" t="s">
        <v>3242</v>
      </c>
      <c r="K9" s="9" t="s">
        <v>3243</v>
      </c>
    </row>
    <row r="10" ht="22.5" customHeight="1">
      <c r="A10" s="22">
        <v>9.0</v>
      </c>
      <c r="B10" s="6" t="s">
        <v>3244</v>
      </c>
      <c r="C10" s="7" t="s">
        <v>3245</v>
      </c>
      <c r="D10" s="6" t="s">
        <v>3246</v>
      </c>
      <c r="E10" s="6" t="s">
        <v>3247</v>
      </c>
      <c r="G10" s="23">
        <v>9.0</v>
      </c>
      <c r="H10" s="9" t="s">
        <v>3248</v>
      </c>
      <c r="I10" s="9" t="s">
        <v>3249</v>
      </c>
      <c r="J10" s="9" t="s">
        <v>3250</v>
      </c>
      <c r="K10" s="9" t="s">
        <v>3251</v>
      </c>
    </row>
    <row r="11" ht="22.5" customHeight="1">
      <c r="A11" s="24">
        <v>10.0</v>
      </c>
      <c r="B11" s="6" t="s">
        <v>3252</v>
      </c>
      <c r="C11" s="7" t="s">
        <v>3253</v>
      </c>
      <c r="D11" s="6" t="s">
        <v>3254</v>
      </c>
      <c r="E11" s="6" t="s">
        <v>3255</v>
      </c>
      <c r="G11" s="10">
        <v>10.0</v>
      </c>
      <c r="H11" s="9" t="s">
        <v>3256</v>
      </c>
      <c r="I11" s="9" t="s">
        <v>3257</v>
      </c>
      <c r="J11" s="9" t="s">
        <v>2888</v>
      </c>
      <c r="K11" s="9" t="s">
        <v>3258</v>
      </c>
    </row>
    <row r="12" ht="22.5" customHeight="1">
      <c r="A12" s="22">
        <v>11.0</v>
      </c>
      <c r="B12" s="6" t="s">
        <v>3259</v>
      </c>
      <c r="C12" s="7" t="s">
        <v>3260</v>
      </c>
      <c r="D12" s="6" t="s">
        <v>3261</v>
      </c>
      <c r="E12" s="6" t="s">
        <v>3262</v>
      </c>
      <c r="G12" s="23">
        <v>11.0</v>
      </c>
      <c r="H12" s="9" t="s">
        <v>3263</v>
      </c>
      <c r="I12" s="9" t="s">
        <v>3264</v>
      </c>
      <c r="J12" s="9" t="s">
        <v>3265</v>
      </c>
      <c r="K12" s="9" t="s">
        <v>3266</v>
      </c>
    </row>
    <row r="13" ht="22.5" customHeight="1">
      <c r="A13" s="24">
        <v>12.0</v>
      </c>
      <c r="B13" s="6" t="s">
        <v>3267</v>
      </c>
      <c r="C13" s="7" t="s">
        <v>3268</v>
      </c>
      <c r="D13" s="6" t="s">
        <v>1016</v>
      </c>
      <c r="E13" s="6" t="s">
        <v>3269</v>
      </c>
      <c r="G13" s="10">
        <v>12.0</v>
      </c>
      <c r="H13" s="9" t="s">
        <v>3270</v>
      </c>
      <c r="I13" s="9" t="s">
        <v>3271</v>
      </c>
      <c r="J13" s="9" t="s">
        <v>269</v>
      </c>
      <c r="K13" s="9" t="s">
        <v>3272</v>
      </c>
    </row>
    <row r="14" ht="22.5" customHeight="1">
      <c r="A14" s="22">
        <v>13.0</v>
      </c>
      <c r="B14" s="6" t="s">
        <v>3273</v>
      </c>
      <c r="C14" s="7" t="s">
        <v>3274</v>
      </c>
      <c r="D14" s="6" t="s">
        <v>3275</v>
      </c>
      <c r="E14" s="6" t="s">
        <v>3276</v>
      </c>
      <c r="G14" s="23">
        <v>13.0</v>
      </c>
      <c r="H14" s="9" t="s">
        <v>3277</v>
      </c>
      <c r="I14" s="9" t="s">
        <v>3274</v>
      </c>
      <c r="J14" s="11">
        <v>1985.0</v>
      </c>
      <c r="K14" s="9" t="s">
        <v>3278</v>
      </c>
    </row>
    <row r="15" ht="22.5" customHeight="1">
      <c r="A15" s="24">
        <v>14.0</v>
      </c>
      <c r="B15" s="6" t="s">
        <v>3279</v>
      </c>
      <c r="C15" s="7" t="s">
        <v>3280</v>
      </c>
      <c r="D15" s="6" t="s">
        <v>3281</v>
      </c>
      <c r="E15" s="6" t="s">
        <v>3282</v>
      </c>
      <c r="G15" s="10">
        <v>14.0</v>
      </c>
      <c r="H15" s="9" t="s">
        <v>3283</v>
      </c>
      <c r="I15" s="9" t="s">
        <v>3284</v>
      </c>
      <c r="J15" s="9" t="s">
        <v>3285</v>
      </c>
      <c r="K15" s="9" t="s">
        <v>3286</v>
      </c>
    </row>
    <row r="16" ht="22.5" customHeight="1">
      <c r="A16" s="22">
        <v>15.0</v>
      </c>
      <c r="B16" s="6" t="s">
        <v>3287</v>
      </c>
      <c r="C16" s="7" t="s">
        <v>3288</v>
      </c>
      <c r="D16" s="6" t="s">
        <v>3289</v>
      </c>
      <c r="E16" s="6" t="s">
        <v>3290</v>
      </c>
      <c r="G16" s="23">
        <v>15.0</v>
      </c>
      <c r="H16" s="9" t="s">
        <v>3291</v>
      </c>
      <c r="I16" s="9" t="s">
        <v>3292</v>
      </c>
      <c r="J16" s="9" t="s">
        <v>481</v>
      </c>
      <c r="K16" s="9" t="s">
        <v>3293</v>
      </c>
    </row>
    <row r="17" ht="22.5" customHeight="1">
      <c r="A17" s="24">
        <v>16.0</v>
      </c>
      <c r="B17" s="6" t="s">
        <v>3294</v>
      </c>
      <c r="C17" s="7" t="s">
        <v>3295</v>
      </c>
      <c r="D17" s="6" t="s">
        <v>3296</v>
      </c>
      <c r="E17" s="6" t="s">
        <v>3297</v>
      </c>
      <c r="G17" s="10">
        <v>16.0</v>
      </c>
      <c r="H17" s="9" t="s">
        <v>3298</v>
      </c>
      <c r="I17" s="9" t="s">
        <v>3299</v>
      </c>
      <c r="J17" s="9" t="s">
        <v>3300</v>
      </c>
      <c r="K17" s="9" t="s">
        <v>3301</v>
      </c>
    </row>
    <row r="18" ht="22.5" customHeight="1">
      <c r="A18" s="22">
        <v>17.0</v>
      </c>
      <c r="B18" s="6" t="s">
        <v>3302</v>
      </c>
      <c r="C18" s="7" t="s">
        <v>3303</v>
      </c>
      <c r="D18" s="6" t="s">
        <v>3304</v>
      </c>
      <c r="E18" s="6" t="s">
        <v>3305</v>
      </c>
      <c r="G18" s="23">
        <v>17.0</v>
      </c>
      <c r="H18" s="9" t="s">
        <v>3306</v>
      </c>
      <c r="I18" s="9" t="s">
        <v>3303</v>
      </c>
      <c r="J18" s="9" t="s">
        <v>3304</v>
      </c>
      <c r="K18" s="9" t="s">
        <v>3307</v>
      </c>
    </row>
    <row r="19" ht="22.5" customHeight="1">
      <c r="A19" s="24">
        <v>18.0</v>
      </c>
      <c r="B19" s="6" t="s">
        <v>3308</v>
      </c>
      <c r="C19" s="7" t="s">
        <v>3309</v>
      </c>
      <c r="D19" s="6" t="s">
        <v>3310</v>
      </c>
      <c r="E19" s="6" t="s">
        <v>3311</v>
      </c>
      <c r="G19" s="10">
        <v>18.0</v>
      </c>
      <c r="H19" s="9" t="s">
        <v>3312</v>
      </c>
      <c r="I19" s="9" t="s">
        <v>3313</v>
      </c>
      <c r="J19" s="25">
        <v>45422.0</v>
      </c>
      <c r="K19" s="9" t="s">
        <v>3314</v>
      </c>
    </row>
    <row r="20" ht="22.5" customHeight="1">
      <c r="A20" s="22">
        <v>19.0</v>
      </c>
      <c r="B20" s="6" t="s">
        <v>3315</v>
      </c>
      <c r="C20" s="7" t="s">
        <v>3316</v>
      </c>
      <c r="D20" s="6" t="s">
        <v>3317</v>
      </c>
      <c r="E20" s="6" t="s">
        <v>3318</v>
      </c>
      <c r="G20" s="23">
        <v>19.0</v>
      </c>
      <c r="H20" s="9" t="s">
        <v>3319</v>
      </c>
      <c r="I20" s="9" t="s">
        <v>3320</v>
      </c>
      <c r="J20" s="9" t="s">
        <v>3317</v>
      </c>
      <c r="K20" s="9" t="s">
        <v>3321</v>
      </c>
    </row>
    <row r="21" ht="22.5" customHeight="1">
      <c r="A21" s="24">
        <v>20.0</v>
      </c>
      <c r="B21" s="6" t="s">
        <v>3322</v>
      </c>
      <c r="C21" s="7" t="s">
        <v>3323</v>
      </c>
      <c r="D21" s="6" t="s">
        <v>3324</v>
      </c>
      <c r="E21" s="6" t="s">
        <v>3325</v>
      </c>
      <c r="G21" s="10">
        <v>20.0</v>
      </c>
      <c r="H21" s="9" t="s">
        <v>3326</v>
      </c>
      <c r="I21" s="9" t="s">
        <v>3327</v>
      </c>
      <c r="J21" s="9" t="s">
        <v>3328</v>
      </c>
      <c r="K21" s="9" t="s">
        <v>3329</v>
      </c>
    </row>
    <row r="22" ht="22.5" customHeight="1">
      <c r="A22" s="22">
        <v>21.0</v>
      </c>
      <c r="B22" s="6" t="s">
        <v>3330</v>
      </c>
      <c r="C22" s="7" t="s">
        <v>3331</v>
      </c>
      <c r="D22" s="6" t="s">
        <v>3332</v>
      </c>
      <c r="E22" s="6" t="s">
        <v>3333</v>
      </c>
      <c r="G22" s="23">
        <v>21.0</v>
      </c>
      <c r="H22" s="9" t="s">
        <v>3334</v>
      </c>
      <c r="I22" s="9" t="s">
        <v>3335</v>
      </c>
      <c r="J22" s="9" t="s">
        <v>3336</v>
      </c>
      <c r="K22" s="9" t="s">
        <v>3337</v>
      </c>
    </row>
    <row r="23" ht="22.5" customHeight="1">
      <c r="A23" s="24">
        <v>22.0</v>
      </c>
      <c r="B23" s="6" t="s">
        <v>3338</v>
      </c>
      <c r="C23" s="7" t="s">
        <v>3339</v>
      </c>
      <c r="D23" s="6" t="s">
        <v>3340</v>
      </c>
      <c r="E23" s="6" t="s">
        <v>3341</v>
      </c>
      <c r="G23" s="10">
        <v>22.0</v>
      </c>
      <c r="H23" s="9" t="s">
        <v>3342</v>
      </c>
      <c r="I23" s="9" t="s">
        <v>3343</v>
      </c>
      <c r="J23" s="9" t="s">
        <v>3344</v>
      </c>
      <c r="K23" s="9" t="s">
        <v>3345</v>
      </c>
    </row>
    <row r="24" ht="22.5" customHeight="1">
      <c r="A24" s="22">
        <v>23.0</v>
      </c>
      <c r="B24" s="6" t="s">
        <v>3346</v>
      </c>
      <c r="C24" s="7" t="s">
        <v>3347</v>
      </c>
      <c r="D24" s="6" t="s">
        <v>3348</v>
      </c>
      <c r="E24" s="6" t="s">
        <v>3349</v>
      </c>
      <c r="G24" s="23">
        <v>23.0</v>
      </c>
      <c r="H24" s="9" t="s">
        <v>3350</v>
      </c>
      <c r="I24" s="9" t="s">
        <v>3351</v>
      </c>
      <c r="J24" s="9" t="s">
        <v>3352</v>
      </c>
      <c r="K24" s="9" t="s">
        <v>3353</v>
      </c>
    </row>
    <row r="25" ht="22.5" customHeight="1">
      <c r="A25" s="24">
        <v>24.0</v>
      </c>
      <c r="B25" s="6" t="s">
        <v>3354</v>
      </c>
      <c r="C25" s="7" t="s">
        <v>3355</v>
      </c>
      <c r="D25" s="6" t="s">
        <v>1071</v>
      </c>
      <c r="E25" s="6" t="s">
        <v>3356</v>
      </c>
      <c r="G25" s="10">
        <v>24.0</v>
      </c>
      <c r="H25" s="9" t="s">
        <v>3357</v>
      </c>
      <c r="I25" s="9" t="s">
        <v>3355</v>
      </c>
      <c r="J25" s="11">
        <v>1975.0</v>
      </c>
      <c r="K25" s="9" t="s">
        <v>3358</v>
      </c>
    </row>
    <row r="26" ht="22.5" customHeight="1">
      <c r="A26" s="22">
        <v>25.0</v>
      </c>
      <c r="B26" s="6" t="s">
        <v>3359</v>
      </c>
      <c r="C26" s="7" t="s">
        <v>3360</v>
      </c>
      <c r="D26" s="6" t="s">
        <v>3361</v>
      </c>
      <c r="E26" s="6" t="s">
        <v>3362</v>
      </c>
      <c r="G26" s="23">
        <v>25.0</v>
      </c>
      <c r="H26" s="9" t="s">
        <v>3363</v>
      </c>
      <c r="I26" s="9" t="s">
        <v>3364</v>
      </c>
      <c r="J26" s="9" t="s">
        <v>3365</v>
      </c>
      <c r="K26" s="9" t="s">
        <v>3366</v>
      </c>
    </row>
    <row r="27" ht="22.5" customHeight="1">
      <c r="A27" s="24">
        <v>26.0</v>
      </c>
      <c r="B27" s="6" t="s">
        <v>3367</v>
      </c>
      <c r="C27" s="7" t="s">
        <v>3368</v>
      </c>
      <c r="D27" s="6" t="s">
        <v>3369</v>
      </c>
      <c r="E27" s="6" t="s">
        <v>3370</v>
      </c>
      <c r="G27" s="10">
        <v>26.0</v>
      </c>
      <c r="H27" s="9" t="s">
        <v>3371</v>
      </c>
      <c r="I27" s="9" t="s">
        <v>3372</v>
      </c>
      <c r="J27" s="9" t="s">
        <v>3373</v>
      </c>
      <c r="K27" s="9" t="s">
        <v>3374</v>
      </c>
    </row>
    <row r="28" ht="22.5" customHeight="1">
      <c r="A28" s="22">
        <v>27.0</v>
      </c>
      <c r="B28" s="6" t="s">
        <v>3375</v>
      </c>
      <c r="C28" s="7" t="s">
        <v>3376</v>
      </c>
      <c r="D28" s="6" t="s">
        <v>1016</v>
      </c>
      <c r="E28" s="6" t="s">
        <v>3377</v>
      </c>
      <c r="G28" s="23">
        <v>27.0</v>
      </c>
      <c r="H28" s="9" t="s">
        <v>3378</v>
      </c>
      <c r="I28" s="9" t="s">
        <v>3379</v>
      </c>
      <c r="J28" s="9" t="s">
        <v>269</v>
      </c>
      <c r="K28" s="9" t="s">
        <v>3380</v>
      </c>
    </row>
    <row r="29" ht="22.5" customHeight="1">
      <c r="A29" s="24">
        <v>28.0</v>
      </c>
      <c r="B29" s="6" t="s">
        <v>3381</v>
      </c>
      <c r="C29" s="7" t="s">
        <v>3382</v>
      </c>
      <c r="D29" s="6" t="s">
        <v>3221</v>
      </c>
      <c r="E29" s="6" t="s">
        <v>3383</v>
      </c>
      <c r="G29" s="10">
        <v>28.0</v>
      </c>
      <c r="H29" s="9" t="s">
        <v>3384</v>
      </c>
      <c r="I29" s="9" t="s">
        <v>3382</v>
      </c>
      <c r="J29" s="11">
        <v>1930.0</v>
      </c>
      <c r="K29" s="9" t="s">
        <v>3385</v>
      </c>
    </row>
    <row r="30" ht="22.5" customHeight="1">
      <c r="A30" s="22">
        <v>29.0</v>
      </c>
      <c r="B30" s="6" t="s">
        <v>3386</v>
      </c>
      <c r="C30" s="7" t="s">
        <v>3387</v>
      </c>
      <c r="D30" s="6" t="s">
        <v>3388</v>
      </c>
      <c r="E30" s="6" t="s">
        <v>3389</v>
      </c>
      <c r="G30" s="23">
        <v>29.0</v>
      </c>
      <c r="H30" s="9" t="s">
        <v>3390</v>
      </c>
      <c r="I30" s="9" t="s">
        <v>3391</v>
      </c>
      <c r="J30" s="9" t="s">
        <v>3392</v>
      </c>
      <c r="K30" s="9" t="s">
        <v>3393</v>
      </c>
    </row>
    <row r="31" ht="22.5" customHeight="1">
      <c r="A31" s="24">
        <v>30.0</v>
      </c>
      <c r="B31" s="6" t="s">
        <v>3394</v>
      </c>
      <c r="C31" s="7" t="s">
        <v>3395</v>
      </c>
      <c r="D31" s="6" t="s">
        <v>3396</v>
      </c>
      <c r="E31" s="6" t="s">
        <v>3397</v>
      </c>
      <c r="G31" s="10">
        <v>30.0</v>
      </c>
      <c r="H31" s="9" t="s">
        <v>3398</v>
      </c>
      <c r="I31" s="9" t="s">
        <v>3399</v>
      </c>
      <c r="J31" s="9" t="s">
        <v>3400</v>
      </c>
      <c r="K31" s="9" t="s">
        <v>3401</v>
      </c>
    </row>
    <row r="32" ht="22.5" customHeight="1">
      <c r="A32" s="22">
        <v>31.0</v>
      </c>
      <c r="B32" s="6" t="s">
        <v>3402</v>
      </c>
      <c r="C32" s="7" t="s">
        <v>3403</v>
      </c>
      <c r="D32" s="6" t="s">
        <v>3404</v>
      </c>
      <c r="E32" s="6" t="s">
        <v>3405</v>
      </c>
      <c r="G32" s="23">
        <v>31.0</v>
      </c>
      <c r="H32" s="9" t="s">
        <v>3406</v>
      </c>
      <c r="I32" s="9" t="s">
        <v>3407</v>
      </c>
      <c r="J32" s="9" t="s">
        <v>3408</v>
      </c>
      <c r="K32" s="9" t="s">
        <v>3409</v>
      </c>
    </row>
    <row r="33" ht="22.5" customHeight="1">
      <c r="A33" s="24">
        <v>32.0</v>
      </c>
      <c r="B33" s="6" t="s">
        <v>3410</v>
      </c>
      <c r="C33" s="7" t="s">
        <v>3411</v>
      </c>
      <c r="D33" s="6" t="s">
        <v>3412</v>
      </c>
      <c r="E33" s="6" t="s">
        <v>3413</v>
      </c>
      <c r="G33" s="10">
        <v>32.0</v>
      </c>
      <c r="H33" s="9" t="s">
        <v>3414</v>
      </c>
      <c r="I33" s="9" t="s">
        <v>3415</v>
      </c>
      <c r="J33" s="9" t="s">
        <v>3416</v>
      </c>
      <c r="K33" s="9" t="s">
        <v>3417</v>
      </c>
    </row>
    <row r="34" ht="22.5" customHeight="1">
      <c r="A34" s="22">
        <v>33.0</v>
      </c>
      <c r="B34" s="6" t="s">
        <v>3418</v>
      </c>
      <c r="C34" s="7" t="s">
        <v>3419</v>
      </c>
      <c r="D34" s="6" t="s">
        <v>3420</v>
      </c>
      <c r="E34" s="6" t="s">
        <v>3421</v>
      </c>
      <c r="G34" s="23">
        <v>33.0</v>
      </c>
      <c r="H34" s="9" t="s">
        <v>3422</v>
      </c>
      <c r="I34" s="9" t="s">
        <v>3423</v>
      </c>
      <c r="J34" s="9" t="s">
        <v>3424</v>
      </c>
      <c r="K34" s="9" t="s">
        <v>3425</v>
      </c>
    </row>
    <row r="35" ht="22.5" customHeight="1">
      <c r="A35" s="24">
        <v>34.0</v>
      </c>
      <c r="B35" s="6" t="s">
        <v>3426</v>
      </c>
      <c r="C35" s="7" t="s">
        <v>3427</v>
      </c>
      <c r="D35" s="6" t="s">
        <v>3428</v>
      </c>
      <c r="E35" s="6" t="s">
        <v>3429</v>
      </c>
      <c r="G35" s="10">
        <v>34.0</v>
      </c>
      <c r="H35" s="9" t="s">
        <v>3430</v>
      </c>
      <c r="I35" s="9" t="s">
        <v>3431</v>
      </c>
      <c r="J35" s="9" t="s">
        <v>2879</v>
      </c>
      <c r="K35" s="9" t="s">
        <v>3432</v>
      </c>
    </row>
    <row r="36" ht="22.5" customHeight="1">
      <c r="A36" s="22">
        <v>35.0</v>
      </c>
      <c r="B36" s="6" t="s">
        <v>3433</v>
      </c>
      <c r="C36" s="7" t="s">
        <v>3434</v>
      </c>
      <c r="D36" s="6" t="s">
        <v>3435</v>
      </c>
      <c r="E36" s="6" t="s">
        <v>3436</v>
      </c>
      <c r="G36" s="23">
        <v>35.0</v>
      </c>
      <c r="H36" s="9" t="s">
        <v>3437</v>
      </c>
      <c r="I36" s="9" t="s">
        <v>3438</v>
      </c>
      <c r="J36" s="9" t="s">
        <v>3439</v>
      </c>
      <c r="K36" s="9" t="s">
        <v>3440</v>
      </c>
    </row>
    <row r="37" ht="22.5" customHeight="1">
      <c r="A37" s="24">
        <v>36.0</v>
      </c>
      <c r="B37" s="6" t="s">
        <v>3441</v>
      </c>
      <c r="C37" s="7" t="s">
        <v>3442</v>
      </c>
      <c r="D37" s="6" t="s">
        <v>3443</v>
      </c>
      <c r="E37" s="6" t="s">
        <v>3444</v>
      </c>
      <c r="G37" s="10">
        <v>36.0</v>
      </c>
      <c r="H37" s="9" t="s">
        <v>3445</v>
      </c>
      <c r="I37" s="9" t="s">
        <v>3446</v>
      </c>
      <c r="J37" s="9" t="s">
        <v>3443</v>
      </c>
      <c r="K37" s="9" t="s">
        <v>3447</v>
      </c>
    </row>
    <row r="38" ht="22.5" customHeight="1">
      <c r="A38" s="22">
        <v>37.0</v>
      </c>
      <c r="B38" s="6" t="s">
        <v>3448</v>
      </c>
      <c r="C38" s="7" t="s">
        <v>3449</v>
      </c>
      <c r="D38" s="6" t="s">
        <v>3450</v>
      </c>
      <c r="E38" s="6" t="s">
        <v>3451</v>
      </c>
      <c r="G38" s="23">
        <v>37.0</v>
      </c>
      <c r="H38" s="9" t="s">
        <v>3452</v>
      </c>
      <c r="I38" s="9" t="s">
        <v>3453</v>
      </c>
      <c r="J38" s="9" t="s">
        <v>3454</v>
      </c>
      <c r="K38" s="9" t="s">
        <v>3455</v>
      </c>
    </row>
    <row r="39" ht="22.5" customHeight="1">
      <c r="A39" s="24">
        <v>38.0</v>
      </c>
      <c r="B39" s="6" t="s">
        <v>3456</v>
      </c>
      <c r="C39" s="7" t="s">
        <v>3457</v>
      </c>
      <c r="D39" s="6" t="s">
        <v>3458</v>
      </c>
      <c r="E39" s="6" t="s">
        <v>3459</v>
      </c>
      <c r="G39" s="10">
        <v>38.0</v>
      </c>
      <c r="H39" s="9" t="s">
        <v>3460</v>
      </c>
      <c r="I39" s="9" t="s">
        <v>3457</v>
      </c>
      <c r="J39" s="11">
        <v>1950.0</v>
      </c>
      <c r="K39" s="9" t="s">
        <v>3461</v>
      </c>
    </row>
    <row r="40" ht="22.5" customHeight="1">
      <c r="A40" s="22">
        <v>39.0</v>
      </c>
      <c r="B40" s="6" t="s">
        <v>3462</v>
      </c>
      <c r="C40" s="7" t="s">
        <v>3463</v>
      </c>
      <c r="D40" s="6" t="s">
        <v>3464</v>
      </c>
      <c r="E40" s="6" t="s">
        <v>3465</v>
      </c>
      <c r="G40" s="23">
        <v>39.0</v>
      </c>
      <c r="H40" s="9" t="s">
        <v>3466</v>
      </c>
      <c r="I40" s="9" t="s">
        <v>3467</v>
      </c>
      <c r="J40" s="9" t="s">
        <v>3468</v>
      </c>
      <c r="K40" s="9" t="s">
        <v>3469</v>
      </c>
    </row>
    <row r="41" ht="22.5" customHeight="1">
      <c r="A41" s="24">
        <v>40.0</v>
      </c>
      <c r="B41" s="6" t="s">
        <v>3470</v>
      </c>
      <c r="C41" s="7" t="s">
        <v>3471</v>
      </c>
      <c r="D41" s="6" t="s">
        <v>3472</v>
      </c>
      <c r="E41" s="6" t="s">
        <v>3473</v>
      </c>
      <c r="G41" s="10">
        <v>40.0</v>
      </c>
      <c r="H41" s="9" t="s">
        <v>3474</v>
      </c>
      <c r="I41" s="9" t="s">
        <v>3475</v>
      </c>
      <c r="J41" s="9" t="s">
        <v>3476</v>
      </c>
      <c r="K41" s="9" t="s">
        <v>3477</v>
      </c>
    </row>
    <row r="42" ht="22.5" customHeight="1">
      <c r="A42" s="22">
        <v>41.0</v>
      </c>
      <c r="B42" s="6" t="s">
        <v>3478</v>
      </c>
      <c r="C42" s="7" t="s">
        <v>3479</v>
      </c>
      <c r="D42" s="6" t="s">
        <v>3480</v>
      </c>
      <c r="E42" s="6" t="s">
        <v>3481</v>
      </c>
      <c r="G42" s="23">
        <v>41.0</v>
      </c>
      <c r="H42" s="9" t="s">
        <v>3482</v>
      </c>
      <c r="I42" s="9" t="s">
        <v>3483</v>
      </c>
      <c r="J42" s="9" t="s">
        <v>3484</v>
      </c>
      <c r="K42" s="9" t="s">
        <v>3485</v>
      </c>
    </row>
    <row r="43" ht="22.5" customHeight="1">
      <c r="A43" s="24">
        <v>42.0</v>
      </c>
      <c r="B43" s="6" t="s">
        <v>3486</v>
      </c>
      <c r="C43" s="7" t="s">
        <v>1015</v>
      </c>
      <c r="D43" s="6" t="s">
        <v>1016</v>
      </c>
      <c r="E43" s="6" t="s">
        <v>3487</v>
      </c>
      <c r="G43" s="10">
        <v>42.0</v>
      </c>
      <c r="H43" s="9" t="s">
        <v>3488</v>
      </c>
      <c r="I43" s="9" t="s">
        <v>3489</v>
      </c>
      <c r="J43" s="9" t="s">
        <v>269</v>
      </c>
      <c r="K43" s="9" t="s">
        <v>3490</v>
      </c>
    </row>
    <row r="44" ht="22.5" customHeight="1">
      <c r="A44" s="22">
        <v>43.0</v>
      </c>
      <c r="B44" s="6" t="s">
        <v>3491</v>
      </c>
      <c r="C44" s="7" t="s">
        <v>3492</v>
      </c>
      <c r="D44" s="6" t="s">
        <v>1245</v>
      </c>
      <c r="E44" s="6" t="s">
        <v>3493</v>
      </c>
      <c r="G44" s="23">
        <v>43.0</v>
      </c>
      <c r="H44" s="9" t="s">
        <v>3494</v>
      </c>
      <c r="I44" s="9" t="s">
        <v>3492</v>
      </c>
      <c r="J44" s="11">
        <v>1870.0</v>
      </c>
      <c r="K44" s="9" t="s">
        <v>3495</v>
      </c>
    </row>
    <row r="45" ht="22.5" customHeight="1">
      <c r="A45" s="24">
        <v>44.0</v>
      </c>
      <c r="B45" s="6" t="s">
        <v>3496</v>
      </c>
      <c r="C45" s="7" t="s">
        <v>3497</v>
      </c>
      <c r="D45" s="6" t="s">
        <v>3498</v>
      </c>
      <c r="E45" s="6" t="s">
        <v>3499</v>
      </c>
      <c r="G45" s="10">
        <v>44.0</v>
      </c>
      <c r="H45" s="9" t="s">
        <v>3500</v>
      </c>
      <c r="I45" s="9" t="s">
        <v>3497</v>
      </c>
      <c r="J45" s="9" t="s">
        <v>3498</v>
      </c>
      <c r="K45" s="9" t="s">
        <v>3501</v>
      </c>
    </row>
    <row r="46" ht="22.5" customHeight="1">
      <c r="A46" s="22">
        <v>45.0</v>
      </c>
      <c r="B46" s="6" t="s">
        <v>3502</v>
      </c>
      <c r="C46" s="7" t="s">
        <v>3503</v>
      </c>
      <c r="D46" s="6" t="s">
        <v>3504</v>
      </c>
      <c r="E46" s="6" t="s">
        <v>3505</v>
      </c>
      <c r="G46" s="23">
        <v>45.0</v>
      </c>
      <c r="H46" s="9" t="s">
        <v>3506</v>
      </c>
      <c r="I46" s="9" t="s">
        <v>3507</v>
      </c>
      <c r="J46" s="9" t="s">
        <v>3508</v>
      </c>
      <c r="K46" s="9" t="s">
        <v>3509</v>
      </c>
    </row>
    <row r="47" ht="22.5" customHeight="1">
      <c r="A47" s="24">
        <v>46.0</v>
      </c>
      <c r="B47" s="6" t="s">
        <v>3510</v>
      </c>
      <c r="C47" s="7" t="s">
        <v>3511</v>
      </c>
      <c r="D47" s="6" t="s">
        <v>1016</v>
      </c>
      <c r="E47" s="6" t="s">
        <v>3512</v>
      </c>
      <c r="G47" s="10">
        <v>46.0</v>
      </c>
      <c r="H47" s="9" t="s">
        <v>3513</v>
      </c>
      <c r="I47" s="9" t="s">
        <v>3514</v>
      </c>
      <c r="J47" s="9" t="s">
        <v>269</v>
      </c>
      <c r="K47" s="9" t="s">
        <v>3515</v>
      </c>
    </row>
    <row r="48" ht="22.5" customHeight="1">
      <c r="A48" s="22">
        <v>47.0</v>
      </c>
      <c r="B48" s="6" t="s">
        <v>3516</v>
      </c>
      <c r="C48" s="7" t="s">
        <v>3517</v>
      </c>
      <c r="D48" s="6" t="s">
        <v>3518</v>
      </c>
      <c r="E48" s="6" t="s">
        <v>3519</v>
      </c>
      <c r="G48" s="23">
        <v>47.0</v>
      </c>
      <c r="H48" s="9" t="s">
        <v>3520</v>
      </c>
      <c r="I48" s="9" t="s">
        <v>3521</v>
      </c>
      <c r="J48" s="9" t="s">
        <v>3522</v>
      </c>
      <c r="K48" s="9" t="s">
        <v>3523</v>
      </c>
    </row>
    <row r="49" ht="22.5" customHeight="1">
      <c r="A49" s="24">
        <v>48.0</v>
      </c>
      <c r="B49" s="6" t="s">
        <v>3524</v>
      </c>
      <c r="C49" s="7" t="s">
        <v>3525</v>
      </c>
      <c r="D49" s="6" t="s">
        <v>989</v>
      </c>
      <c r="E49" s="6" t="s">
        <v>3526</v>
      </c>
      <c r="G49" s="10">
        <v>48.0</v>
      </c>
      <c r="H49" s="9" t="s">
        <v>3527</v>
      </c>
      <c r="I49" s="9" t="s">
        <v>3525</v>
      </c>
      <c r="J49" s="11">
        <v>2.0</v>
      </c>
      <c r="K49" s="9" t="s">
        <v>3528</v>
      </c>
    </row>
    <row r="50" ht="22.5" customHeight="1">
      <c r="A50" s="22">
        <v>49.0</v>
      </c>
      <c r="B50" s="6" t="s">
        <v>3529</v>
      </c>
      <c r="C50" s="7" t="s">
        <v>3530</v>
      </c>
      <c r="D50" s="6" t="s">
        <v>3531</v>
      </c>
      <c r="E50" s="6" t="s">
        <v>3532</v>
      </c>
      <c r="G50" s="23">
        <v>49.0</v>
      </c>
      <c r="H50" s="9" t="s">
        <v>3533</v>
      </c>
      <c r="I50" s="9" t="s">
        <v>3534</v>
      </c>
      <c r="J50" s="9" t="s">
        <v>3535</v>
      </c>
      <c r="K50" s="9" t="s">
        <v>3536</v>
      </c>
    </row>
    <row r="51" ht="22.5" customHeight="1">
      <c r="A51" s="24">
        <v>50.0</v>
      </c>
      <c r="B51" s="6" t="s">
        <v>3537</v>
      </c>
      <c r="C51" s="7" t="s">
        <v>3538</v>
      </c>
      <c r="D51" s="6" t="s">
        <v>3348</v>
      </c>
      <c r="E51" s="6" t="s">
        <v>3539</v>
      </c>
      <c r="G51" s="10">
        <v>50.0</v>
      </c>
      <c r="H51" s="9" t="s">
        <v>3540</v>
      </c>
      <c r="I51" s="9" t="s">
        <v>3541</v>
      </c>
      <c r="J51" s="9" t="s">
        <v>3352</v>
      </c>
      <c r="K51" s="9" t="s">
        <v>3542</v>
      </c>
    </row>
    <row r="52" ht="22.5" customHeight="1">
      <c r="A52" s="22">
        <v>51.0</v>
      </c>
      <c r="B52" s="6" t="s">
        <v>3543</v>
      </c>
      <c r="C52" s="7" t="s">
        <v>3544</v>
      </c>
      <c r="D52" s="6" t="s">
        <v>3545</v>
      </c>
      <c r="E52" s="6" t="s">
        <v>3546</v>
      </c>
      <c r="G52" s="23">
        <v>51.0</v>
      </c>
      <c r="H52" s="9" t="s">
        <v>3547</v>
      </c>
      <c r="I52" s="9" t="s">
        <v>3548</v>
      </c>
      <c r="J52" s="9" t="s">
        <v>3549</v>
      </c>
      <c r="K52" s="9" t="s">
        <v>3550</v>
      </c>
    </row>
    <row r="53" ht="22.5" customHeight="1">
      <c r="A53" s="24">
        <v>52.0</v>
      </c>
      <c r="B53" s="6" t="s">
        <v>3225</v>
      </c>
      <c r="C53" s="7" t="s">
        <v>3551</v>
      </c>
      <c r="D53" s="6" t="s">
        <v>1016</v>
      </c>
      <c r="E53" s="6" t="s">
        <v>3552</v>
      </c>
      <c r="G53" s="10">
        <v>52.0</v>
      </c>
      <c r="H53" s="9" t="s">
        <v>3228</v>
      </c>
      <c r="I53" s="9" t="s">
        <v>3553</v>
      </c>
      <c r="J53" s="9" t="s">
        <v>269</v>
      </c>
      <c r="K53" s="9" t="s">
        <v>3554</v>
      </c>
    </row>
    <row r="54" ht="22.5" customHeight="1">
      <c r="A54" s="22">
        <v>53.0</v>
      </c>
      <c r="B54" s="6" t="s">
        <v>3555</v>
      </c>
      <c r="C54" s="7" t="s">
        <v>3556</v>
      </c>
      <c r="D54" s="6" t="s">
        <v>3557</v>
      </c>
      <c r="E54" s="6" t="s">
        <v>3558</v>
      </c>
      <c r="G54" s="23">
        <v>53.0</v>
      </c>
      <c r="H54" s="9" t="s">
        <v>3559</v>
      </c>
      <c r="I54" s="9" t="s">
        <v>3556</v>
      </c>
      <c r="J54" s="11">
        <v>1902.0</v>
      </c>
      <c r="K54" s="9" t="s">
        <v>3560</v>
      </c>
    </row>
    <row r="55" ht="22.5" customHeight="1">
      <c r="A55" s="24">
        <v>54.0</v>
      </c>
      <c r="B55" s="6" t="s">
        <v>3561</v>
      </c>
      <c r="C55" s="7" t="s">
        <v>3562</v>
      </c>
      <c r="D55" s="6" t="s">
        <v>3563</v>
      </c>
      <c r="E55" s="6" t="s">
        <v>3564</v>
      </c>
      <c r="G55" s="10">
        <v>54.0</v>
      </c>
      <c r="H55" s="9" t="s">
        <v>3565</v>
      </c>
      <c r="I55" s="9" t="s">
        <v>3566</v>
      </c>
      <c r="J55" s="9" t="s">
        <v>3567</v>
      </c>
      <c r="K55" s="9" t="s">
        <v>3568</v>
      </c>
    </row>
    <row r="56" ht="22.5" customHeight="1">
      <c r="A56" s="22">
        <v>55.0</v>
      </c>
      <c r="B56" s="6" t="s">
        <v>3569</v>
      </c>
      <c r="C56" s="7" t="s">
        <v>3570</v>
      </c>
      <c r="D56" s="6" t="s">
        <v>3571</v>
      </c>
      <c r="E56" s="6" t="s">
        <v>3572</v>
      </c>
      <c r="G56" s="23">
        <v>55.0</v>
      </c>
      <c r="H56" s="9" t="s">
        <v>3573</v>
      </c>
      <c r="I56" s="9" t="s">
        <v>3574</v>
      </c>
      <c r="J56" s="9" t="s">
        <v>3575</v>
      </c>
      <c r="K56" s="9" t="s">
        <v>3576</v>
      </c>
    </row>
    <row r="57" ht="22.5" customHeight="1">
      <c r="A57" s="24">
        <v>56.0</v>
      </c>
      <c r="B57" s="6" t="s">
        <v>3577</v>
      </c>
      <c r="C57" s="7" t="s">
        <v>3578</v>
      </c>
      <c r="D57" s="6" t="s">
        <v>3579</v>
      </c>
      <c r="E57" s="6" t="s">
        <v>3580</v>
      </c>
      <c r="G57" s="10">
        <v>56.0</v>
      </c>
      <c r="H57" s="9" t="s">
        <v>3581</v>
      </c>
      <c r="I57" s="9" t="s">
        <v>3582</v>
      </c>
      <c r="J57" s="9" t="s">
        <v>3583</v>
      </c>
      <c r="K57" s="9" t="s">
        <v>3584</v>
      </c>
    </row>
    <row r="58" ht="22.5" customHeight="1">
      <c r="A58" s="22">
        <v>57.0</v>
      </c>
      <c r="B58" s="6" t="s">
        <v>3585</v>
      </c>
      <c r="C58" s="7" t="s">
        <v>3586</v>
      </c>
      <c r="D58" s="6" t="s">
        <v>3587</v>
      </c>
      <c r="E58" s="6" t="s">
        <v>3588</v>
      </c>
      <c r="G58" s="23">
        <v>57.0</v>
      </c>
      <c r="H58" s="9" t="s">
        <v>3589</v>
      </c>
      <c r="I58" s="9" t="s">
        <v>3586</v>
      </c>
      <c r="J58" s="9" t="s">
        <v>3587</v>
      </c>
      <c r="K58" s="9" t="s">
        <v>3590</v>
      </c>
    </row>
    <row r="59" ht="22.5" customHeight="1">
      <c r="A59" s="24">
        <v>58.0</v>
      </c>
      <c r="B59" s="6" t="s">
        <v>3591</v>
      </c>
      <c r="C59" s="7" t="s">
        <v>3592</v>
      </c>
      <c r="D59" s="6" t="s">
        <v>1016</v>
      </c>
      <c r="E59" s="6" t="s">
        <v>3593</v>
      </c>
      <c r="G59" s="10">
        <v>58.0</v>
      </c>
      <c r="H59" s="9" t="s">
        <v>3594</v>
      </c>
      <c r="I59" s="9" t="s">
        <v>3595</v>
      </c>
      <c r="J59" s="9" t="s">
        <v>269</v>
      </c>
      <c r="K59" s="9" t="s">
        <v>3596</v>
      </c>
    </row>
    <row r="60" ht="22.5" customHeight="1">
      <c r="A60" s="22">
        <v>59.0</v>
      </c>
      <c r="B60" s="6" t="s">
        <v>3597</v>
      </c>
      <c r="C60" s="7" t="s">
        <v>3598</v>
      </c>
      <c r="D60" s="6" t="s">
        <v>3215</v>
      </c>
      <c r="E60" s="6" t="s">
        <v>3599</v>
      </c>
      <c r="G60" s="23">
        <v>59.0</v>
      </c>
      <c r="H60" s="9" t="s">
        <v>3600</v>
      </c>
      <c r="I60" s="9" t="s">
        <v>3601</v>
      </c>
      <c r="J60" s="9" t="s">
        <v>3215</v>
      </c>
      <c r="K60" s="9" t="s">
        <v>3602</v>
      </c>
    </row>
    <row r="61" ht="22.5" customHeight="1">
      <c r="A61" s="24">
        <v>60.0</v>
      </c>
      <c r="B61" s="6" t="s">
        <v>3603</v>
      </c>
      <c r="C61" s="7" t="s">
        <v>3604</v>
      </c>
      <c r="D61" s="6" t="s">
        <v>3605</v>
      </c>
      <c r="E61" s="6" t="s">
        <v>3606</v>
      </c>
      <c r="G61" s="10">
        <v>60.0</v>
      </c>
      <c r="H61" s="9" t="s">
        <v>3607</v>
      </c>
      <c r="I61" s="9" t="s">
        <v>3608</v>
      </c>
      <c r="J61" s="9" t="s">
        <v>3609</v>
      </c>
      <c r="K61" s="9" t="s">
        <v>3610</v>
      </c>
    </row>
    <row r="62" ht="22.5" customHeight="1">
      <c r="A62" s="22">
        <v>61.0</v>
      </c>
      <c r="B62" s="6" t="s">
        <v>3611</v>
      </c>
      <c r="C62" s="7" t="s">
        <v>3612</v>
      </c>
      <c r="D62" s="6" t="s">
        <v>3613</v>
      </c>
      <c r="E62" s="6" t="s">
        <v>3614</v>
      </c>
      <c r="G62" s="23">
        <v>61.0</v>
      </c>
      <c r="H62" s="9" t="s">
        <v>3615</v>
      </c>
      <c r="I62" s="9" t="s">
        <v>3612</v>
      </c>
      <c r="J62" s="11">
        <v>1889.0</v>
      </c>
      <c r="K62" s="9" t="s">
        <v>3616</v>
      </c>
    </row>
    <row r="63" ht="22.5" customHeight="1">
      <c r="A63" s="24">
        <v>62.0</v>
      </c>
      <c r="B63" s="6" t="s">
        <v>3617</v>
      </c>
      <c r="C63" s="7" t="s">
        <v>3618</v>
      </c>
      <c r="D63" s="6" t="s">
        <v>24</v>
      </c>
      <c r="E63" s="6" t="s">
        <v>3619</v>
      </c>
      <c r="G63" s="10">
        <v>62.0</v>
      </c>
      <c r="H63" s="9" t="s">
        <v>3620</v>
      </c>
      <c r="I63" s="9" t="s">
        <v>3621</v>
      </c>
      <c r="J63" s="9" t="s">
        <v>24</v>
      </c>
      <c r="K63" s="9" t="s">
        <v>3622</v>
      </c>
    </row>
    <row r="64" ht="22.5" customHeight="1">
      <c r="A64" s="22">
        <v>63.0</v>
      </c>
      <c r="B64" s="6" t="s">
        <v>3623</v>
      </c>
      <c r="C64" s="7" t="s">
        <v>3624</v>
      </c>
      <c r="D64" s="6" t="s">
        <v>981</v>
      </c>
      <c r="E64" s="6" t="s">
        <v>3625</v>
      </c>
      <c r="G64" s="23">
        <v>63.0</v>
      </c>
      <c r="H64" s="9" t="s">
        <v>3626</v>
      </c>
      <c r="I64" s="9" t="s">
        <v>3624</v>
      </c>
      <c r="J64" s="11">
        <v>1.0</v>
      </c>
      <c r="K64" s="9" t="s">
        <v>3627</v>
      </c>
    </row>
    <row r="65" ht="22.5" customHeight="1">
      <c r="A65" s="24">
        <v>64.0</v>
      </c>
      <c r="B65" s="6" t="s">
        <v>3628</v>
      </c>
      <c r="C65" s="7" t="s">
        <v>3629</v>
      </c>
      <c r="D65" s="6" t="s">
        <v>3630</v>
      </c>
      <c r="E65" s="6" t="s">
        <v>3631</v>
      </c>
      <c r="G65" s="10">
        <v>64.0</v>
      </c>
      <c r="H65" s="9" t="s">
        <v>3632</v>
      </c>
      <c r="I65" s="9" t="s">
        <v>3633</v>
      </c>
      <c r="J65" s="9" t="s">
        <v>3634</v>
      </c>
      <c r="K65" s="9" t="s">
        <v>3635</v>
      </c>
    </row>
    <row r="66" ht="22.5" customHeight="1">
      <c r="A66" s="22">
        <v>65.0</v>
      </c>
      <c r="B66" s="6" t="s">
        <v>3636</v>
      </c>
      <c r="C66" s="7" t="s">
        <v>3637</v>
      </c>
      <c r="D66" s="6" t="s">
        <v>3638</v>
      </c>
      <c r="E66" s="6" t="s">
        <v>3639</v>
      </c>
      <c r="G66" s="23">
        <v>65.0</v>
      </c>
      <c r="H66" s="9" t="s">
        <v>3640</v>
      </c>
      <c r="I66" s="9" t="s">
        <v>3641</v>
      </c>
      <c r="J66" s="9" t="s">
        <v>2885</v>
      </c>
      <c r="K66" s="9" t="s">
        <v>3642</v>
      </c>
    </row>
    <row r="67" ht="22.5" customHeight="1">
      <c r="A67" s="24">
        <v>66.0</v>
      </c>
      <c r="B67" s="6" t="s">
        <v>3643</v>
      </c>
      <c r="C67" s="7" t="s">
        <v>3644</v>
      </c>
      <c r="D67" s="6" t="s">
        <v>3645</v>
      </c>
      <c r="E67" s="6" t="s">
        <v>3646</v>
      </c>
      <c r="G67" s="10">
        <v>66.0</v>
      </c>
      <c r="H67" s="9" t="s">
        <v>3647</v>
      </c>
      <c r="I67" s="9" t="s">
        <v>3648</v>
      </c>
      <c r="J67" s="9" t="s">
        <v>3649</v>
      </c>
      <c r="K67" s="9" t="s">
        <v>3650</v>
      </c>
    </row>
    <row r="68" ht="22.5" customHeight="1">
      <c r="A68" s="22">
        <v>67.0</v>
      </c>
      <c r="B68" s="6" t="s">
        <v>3651</v>
      </c>
      <c r="C68" s="7" t="s">
        <v>3652</v>
      </c>
      <c r="D68" s="6" t="s">
        <v>3653</v>
      </c>
      <c r="E68" s="6" t="s">
        <v>3654</v>
      </c>
      <c r="G68" s="23">
        <v>67.0</v>
      </c>
      <c r="H68" s="9" t="s">
        <v>3655</v>
      </c>
      <c r="I68" s="9" t="s">
        <v>3656</v>
      </c>
      <c r="J68" s="9" t="s">
        <v>3653</v>
      </c>
      <c r="K68" s="9" t="s">
        <v>3657</v>
      </c>
    </row>
    <row r="69" ht="22.5" customHeight="1">
      <c r="A69" s="24">
        <v>68.0</v>
      </c>
      <c r="B69" s="6" t="s">
        <v>3658</v>
      </c>
      <c r="C69" s="7" t="s">
        <v>3659</v>
      </c>
      <c r="D69" s="6" t="s">
        <v>3660</v>
      </c>
      <c r="E69" s="6" t="s">
        <v>3661</v>
      </c>
      <c r="G69" s="10">
        <v>68.0</v>
      </c>
      <c r="H69" s="9" t="s">
        <v>3662</v>
      </c>
      <c r="I69" s="9" t="s">
        <v>3663</v>
      </c>
      <c r="J69" s="9" t="s">
        <v>3664</v>
      </c>
      <c r="K69" s="9" t="s">
        <v>3665</v>
      </c>
    </row>
    <row r="70" ht="22.5" customHeight="1">
      <c r="A70" s="22">
        <v>69.0</v>
      </c>
      <c r="B70" s="6" t="s">
        <v>3666</v>
      </c>
      <c r="C70" s="7" t="s">
        <v>3667</v>
      </c>
      <c r="D70" s="6" t="s">
        <v>3668</v>
      </c>
      <c r="E70" s="6" t="s">
        <v>3669</v>
      </c>
      <c r="G70" s="23">
        <v>69.0</v>
      </c>
      <c r="H70" s="9" t="s">
        <v>3670</v>
      </c>
      <c r="I70" s="9" t="s">
        <v>3671</v>
      </c>
      <c r="J70" s="9" t="s">
        <v>3672</v>
      </c>
      <c r="K70" s="9" t="s">
        <v>3673</v>
      </c>
    </row>
    <row r="71" ht="22.5" customHeight="1">
      <c r="A71" s="24">
        <v>70.0</v>
      </c>
      <c r="B71" s="6" t="s">
        <v>3674</v>
      </c>
      <c r="C71" s="7" t="s">
        <v>3675</v>
      </c>
      <c r="D71" s="6" t="s">
        <v>3676</v>
      </c>
      <c r="E71" s="6" t="s">
        <v>3677</v>
      </c>
      <c r="G71" s="10">
        <v>70.0</v>
      </c>
      <c r="H71" s="9" t="s">
        <v>3678</v>
      </c>
      <c r="I71" s="9" t="s">
        <v>3679</v>
      </c>
      <c r="J71" s="9" t="s">
        <v>3680</v>
      </c>
      <c r="K71" s="9" t="s">
        <v>3681</v>
      </c>
    </row>
    <row r="72" ht="22.5" customHeight="1">
      <c r="A72" s="22">
        <v>71.0</v>
      </c>
      <c r="B72" s="6" t="s">
        <v>3682</v>
      </c>
      <c r="C72" s="7" t="s">
        <v>3683</v>
      </c>
      <c r="D72" s="6" t="s">
        <v>1016</v>
      </c>
      <c r="E72" s="6" t="s">
        <v>3684</v>
      </c>
      <c r="G72" s="23">
        <v>71.0</v>
      </c>
      <c r="H72" s="9" t="s">
        <v>3685</v>
      </c>
      <c r="I72" s="9" t="s">
        <v>3686</v>
      </c>
      <c r="J72" s="9" t="s">
        <v>269</v>
      </c>
      <c r="K72" s="9" t="s">
        <v>3687</v>
      </c>
    </row>
    <row r="73" ht="22.5" customHeight="1">
      <c r="A73" s="24">
        <v>72.0</v>
      </c>
      <c r="B73" s="6" t="s">
        <v>3688</v>
      </c>
      <c r="C73" s="7" t="s">
        <v>3689</v>
      </c>
      <c r="D73" s="6" t="s">
        <v>3587</v>
      </c>
      <c r="E73" s="6" t="s">
        <v>3690</v>
      </c>
      <c r="G73" s="10">
        <v>72.0</v>
      </c>
      <c r="H73" s="9" t="s">
        <v>3691</v>
      </c>
      <c r="I73" s="9" t="s">
        <v>3689</v>
      </c>
      <c r="J73" s="9" t="s">
        <v>3587</v>
      </c>
      <c r="K73" s="9" t="s">
        <v>3692</v>
      </c>
    </row>
    <row r="74" ht="22.5" customHeight="1">
      <c r="A74" s="22">
        <v>73.0</v>
      </c>
      <c r="B74" s="6" t="s">
        <v>3693</v>
      </c>
      <c r="C74" s="7" t="s">
        <v>3694</v>
      </c>
      <c r="D74" s="6" t="s">
        <v>3695</v>
      </c>
      <c r="E74" s="6" t="s">
        <v>3696</v>
      </c>
      <c r="G74" s="23">
        <v>73.0</v>
      </c>
      <c r="H74" s="9" t="s">
        <v>3697</v>
      </c>
      <c r="I74" s="9" t="s">
        <v>3698</v>
      </c>
      <c r="J74" s="9" t="s">
        <v>3695</v>
      </c>
      <c r="K74" s="9" t="s">
        <v>3699</v>
      </c>
    </row>
    <row r="75" ht="22.5" customHeight="1">
      <c r="A75" s="24">
        <v>74.0</v>
      </c>
      <c r="B75" s="6" t="s">
        <v>3700</v>
      </c>
      <c r="C75" s="7" t="s">
        <v>3701</v>
      </c>
      <c r="D75" s="6" t="s">
        <v>3630</v>
      </c>
      <c r="E75" s="6" t="s">
        <v>3702</v>
      </c>
      <c r="G75" s="10">
        <v>74.0</v>
      </c>
      <c r="H75" s="9" t="s">
        <v>3703</v>
      </c>
      <c r="I75" s="9" t="s">
        <v>3704</v>
      </c>
      <c r="J75" s="9" t="s">
        <v>3634</v>
      </c>
      <c r="K75" s="9" t="s">
        <v>3705</v>
      </c>
    </row>
    <row r="76" ht="22.5" customHeight="1">
      <c r="A76" s="22">
        <v>75.0</v>
      </c>
      <c r="B76" s="6" t="s">
        <v>3706</v>
      </c>
      <c r="C76" s="7" t="s">
        <v>3707</v>
      </c>
      <c r="D76" s="6" t="s">
        <v>3708</v>
      </c>
      <c r="E76" s="6" t="s">
        <v>3709</v>
      </c>
      <c r="G76" s="23">
        <v>75.0</v>
      </c>
      <c r="H76" s="9" t="s">
        <v>3710</v>
      </c>
      <c r="I76" s="9" t="s">
        <v>3711</v>
      </c>
      <c r="J76" s="9" t="s">
        <v>3712</v>
      </c>
      <c r="K76" s="9" t="s">
        <v>3713</v>
      </c>
    </row>
    <row r="77" ht="22.5" customHeight="1">
      <c r="A77" s="24">
        <v>76.0</v>
      </c>
      <c r="B77" s="6" t="s">
        <v>3714</v>
      </c>
      <c r="C77" s="7" t="s">
        <v>3715</v>
      </c>
      <c r="D77" s="6" t="s">
        <v>3716</v>
      </c>
      <c r="E77" s="6" t="s">
        <v>3717</v>
      </c>
      <c r="G77" s="10">
        <v>76.0</v>
      </c>
      <c r="H77" s="9" t="s">
        <v>3718</v>
      </c>
      <c r="I77" s="9" t="s">
        <v>3719</v>
      </c>
      <c r="J77" s="9" t="s">
        <v>3716</v>
      </c>
      <c r="K77" s="9" t="s">
        <v>3720</v>
      </c>
    </row>
    <row r="78" ht="22.5" customHeight="1">
      <c r="A78" s="22">
        <v>77.0</v>
      </c>
      <c r="B78" s="6" t="s">
        <v>3721</v>
      </c>
      <c r="C78" s="7" t="s">
        <v>3722</v>
      </c>
      <c r="D78" s="6" t="s">
        <v>3723</v>
      </c>
      <c r="E78" s="6" t="s">
        <v>3724</v>
      </c>
      <c r="G78" s="23">
        <v>77.0</v>
      </c>
      <c r="H78" s="9" t="s">
        <v>3725</v>
      </c>
      <c r="I78" s="9" t="s">
        <v>3726</v>
      </c>
      <c r="J78" s="9" t="s">
        <v>3727</v>
      </c>
      <c r="K78" s="9" t="s">
        <v>3728</v>
      </c>
    </row>
    <row r="79" ht="22.5" customHeight="1">
      <c r="A79" s="24">
        <v>78.0</v>
      </c>
      <c r="B79" s="6" t="s">
        <v>3729</v>
      </c>
      <c r="C79" s="7" t="s">
        <v>3592</v>
      </c>
      <c r="D79" s="6" t="s">
        <v>1016</v>
      </c>
      <c r="E79" s="6" t="s">
        <v>3730</v>
      </c>
      <c r="G79" s="10">
        <v>78.0</v>
      </c>
      <c r="H79" s="9" t="s">
        <v>3731</v>
      </c>
      <c r="I79" s="9" t="s">
        <v>3595</v>
      </c>
      <c r="J79" s="9" t="s">
        <v>269</v>
      </c>
      <c r="K79" s="9" t="s">
        <v>3732</v>
      </c>
    </row>
    <row r="80" ht="22.5" customHeight="1">
      <c r="A80" s="22">
        <v>79.0</v>
      </c>
      <c r="B80" s="6" t="s">
        <v>3733</v>
      </c>
      <c r="C80" s="7" t="s">
        <v>1015</v>
      </c>
      <c r="D80" s="6" t="s">
        <v>1016</v>
      </c>
      <c r="E80" s="6" t="s">
        <v>3734</v>
      </c>
      <c r="G80" s="23">
        <v>79.0</v>
      </c>
      <c r="H80" s="9" t="s">
        <v>3735</v>
      </c>
      <c r="I80" s="9" t="s">
        <v>3489</v>
      </c>
      <c r="J80" s="9" t="s">
        <v>269</v>
      </c>
      <c r="K80" s="9" t="s">
        <v>3736</v>
      </c>
    </row>
    <row r="81" ht="22.5" customHeight="1">
      <c r="A81" s="24">
        <v>80.0</v>
      </c>
      <c r="B81" s="6" t="s">
        <v>3737</v>
      </c>
      <c r="C81" s="7" t="s">
        <v>3738</v>
      </c>
      <c r="D81" s="6" t="s">
        <v>3739</v>
      </c>
      <c r="E81" s="6" t="s">
        <v>3740</v>
      </c>
      <c r="G81" s="10">
        <v>80.0</v>
      </c>
      <c r="H81" s="9" t="s">
        <v>3741</v>
      </c>
      <c r="I81" s="9" t="s">
        <v>3738</v>
      </c>
      <c r="J81" s="11">
        <v>1924.0</v>
      </c>
      <c r="K81" s="9" t="s">
        <v>3742</v>
      </c>
    </row>
    <row r="82" ht="22.5" customHeight="1">
      <c r="A82" s="22">
        <v>81.0</v>
      </c>
      <c r="B82" s="6" t="s">
        <v>3743</v>
      </c>
      <c r="C82" s="7" t="s">
        <v>3744</v>
      </c>
      <c r="D82" s="6" t="s">
        <v>3745</v>
      </c>
      <c r="E82" s="6" t="s">
        <v>3746</v>
      </c>
      <c r="G82" s="23">
        <v>81.0</v>
      </c>
      <c r="H82" s="9" t="s">
        <v>3747</v>
      </c>
      <c r="I82" s="9" t="s">
        <v>3748</v>
      </c>
      <c r="J82" s="9" t="s">
        <v>3749</v>
      </c>
      <c r="K82" s="9" t="s">
        <v>3750</v>
      </c>
    </row>
    <row r="83" ht="22.5" customHeight="1">
      <c r="A83" s="24">
        <v>82.0</v>
      </c>
      <c r="B83" s="6" t="s">
        <v>3751</v>
      </c>
      <c r="C83" s="7" t="s">
        <v>3752</v>
      </c>
      <c r="D83" s="6" t="s">
        <v>1016</v>
      </c>
      <c r="E83" s="6" t="s">
        <v>3753</v>
      </c>
      <c r="G83" s="10">
        <v>82.0</v>
      </c>
      <c r="H83" s="9" t="s">
        <v>3754</v>
      </c>
      <c r="I83" s="9" t="s">
        <v>3755</v>
      </c>
      <c r="J83" s="9" t="s">
        <v>269</v>
      </c>
      <c r="K83" s="9" t="s">
        <v>3756</v>
      </c>
    </row>
    <row r="84" ht="22.5" customHeight="1">
      <c r="A84" s="22">
        <v>83.0</v>
      </c>
      <c r="B84" s="6" t="s">
        <v>3757</v>
      </c>
      <c r="C84" s="7" t="s">
        <v>3758</v>
      </c>
      <c r="D84" s="6" t="s">
        <v>3348</v>
      </c>
      <c r="E84" s="6" t="s">
        <v>3759</v>
      </c>
      <c r="G84" s="23">
        <v>83.0</v>
      </c>
      <c r="H84" s="9" t="s">
        <v>3760</v>
      </c>
      <c r="I84" s="9" t="s">
        <v>3761</v>
      </c>
      <c r="J84" s="9" t="s">
        <v>3352</v>
      </c>
      <c r="K84" s="9" t="s">
        <v>3762</v>
      </c>
    </row>
    <row r="85" ht="22.5" customHeight="1">
      <c r="A85" s="24">
        <v>84.0</v>
      </c>
      <c r="B85" s="6" t="s">
        <v>3763</v>
      </c>
      <c r="C85" s="7" t="s">
        <v>3764</v>
      </c>
      <c r="D85" s="6" t="s">
        <v>3324</v>
      </c>
      <c r="E85" s="6" t="s">
        <v>3765</v>
      </c>
      <c r="G85" s="10">
        <v>84.0</v>
      </c>
      <c r="H85" s="9" t="s">
        <v>3766</v>
      </c>
      <c r="I85" s="9" t="s">
        <v>3767</v>
      </c>
      <c r="J85" s="9" t="s">
        <v>3328</v>
      </c>
      <c r="K85" s="9" t="s">
        <v>3768</v>
      </c>
    </row>
    <row r="86" ht="22.5" customHeight="1">
      <c r="A86" s="22">
        <v>85.0</v>
      </c>
      <c r="B86" s="6" t="s">
        <v>3769</v>
      </c>
      <c r="C86" s="7" t="s">
        <v>3770</v>
      </c>
      <c r="D86" s="6" t="s">
        <v>3771</v>
      </c>
      <c r="E86" s="6" t="s">
        <v>3772</v>
      </c>
      <c r="G86" s="23">
        <v>85.0</v>
      </c>
      <c r="H86" s="9" t="s">
        <v>3773</v>
      </c>
      <c r="I86" s="9" t="s">
        <v>3774</v>
      </c>
      <c r="J86" s="9" t="s">
        <v>3775</v>
      </c>
      <c r="K86" s="9" t="s">
        <v>3776</v>
      </c>
    </row>
    <row r="87" ht="22.5" customHeight="1">
      <c r="A87" s="24">
        <v>86.0</v>
      </c>
      <c r="B87" s="6" t="s">
        <v>3777</v>
      </c>
      <c r="C87" s="7" t="s">
        <v>3778</v>
      </c>
      <c r="D87" s="6" t="s">
        <v>3779</v>
      </c>
      <c r="E87" s="6" t="s">
        <v>3780</v>
      </c>
      <c r="G87" s="10">
        <v>86.0</v>
      </c>
      <c r="H87" s="9" t="s">
        <v>3781</v>
      </c>
      <c r="I87" s="9" t="s">
        <v>3778</v>
      </c>
      <c r="J87" s="9" t="s">
        <v>3779</v>
      </c>
      <c r="K87" s="9" t="s">
        <v>3782</v>
      </c>
    </row>
    <row r="88" ht="22.5" customHeight="1">
      <c r="A88" s="22">
        <v>87.0</v>
      </c>
      <c r="B88" s="6" t="s">
        <v>3783</v>
      </c>
      <c r="C88" s="7" t="s">
        <v>3784</v>
      </c>
      <c r="D88" s="6" t="s">
        <v>3785</v>
      </c>
      <c r="E88" s="6" t="s">
        <v>3786</v>
      </c>
      <c r="G88" s="23">
        <v>87.0</v>
      </c>
      <c r="H88" s="9" t="s">
        <v>3787</v>
      </c>
      <c r="I88" s="9" t="s">
        <v>3788</v>
      </c>
      <c r="J88" s="9" t="s">
        <v>2726</v>
      </c>
      <c r="K88" s="9" t="s">
        <v>3789</v>
      </c>
    </row>
    <row r="89" ht="22.5" customHeight="1">
      <c r="A89" s="24">
        <v>88.0</v>
      </c>
      <c r="B89" s="6" t="s">
        <v>3790</v>
      </c>
      <c r="C89" s="7" t="s">
        <v>3791</v>
      </c>
      <c r="D89" s="6" t="s">
        <v>3739</v>
      </c>
      <c r="E89" s="6" t="s">
        <v>3792</v>
      </c>
      <c r="G89" s="10">
        <v>88.0</v>
      </c>
      <c r="H89" s="9" t="s">
        <v>3793</v>
      </c>
      <c r="I89" s="9" t="s">
        <v>3791</v>
      </c>
      <c r="J89" s="11">
        <v>1924.0</v>
      </c>
      <c r="K89" s="9" t="s">
        <v>3794</v>
      </c>
    </row>
    <row r="90" ht="22.5" customHeight="1">
      <c r="A90" s="22">
        <v>89.0</v>
      </c>
      <c r="B90" s="6" t="s">
        <v>3795</v>
      </c>
      <c r="C90" s="7" t="s">
        <v>3796</v>
      </c>
      <c r="D90" s="6" t="s">
        <v>1016</v>
      </c>
      <c r="E90" s="6" t="s">
        <v>3797</v>
      </c>
      <c r="G90" s="23">
        <v>89.0</v>
      </c>
      <c r="H90" s="9" t="s">
        <v>3798</v>
      </c>
      <c r="I90" s="9" t="s">
        <v>3799</v>
      </c>
      <c r="J90" s="9" t="s">
        <v>269</v>
      </c>
      <c r="K90" s="9" t="s">
        <v>3800</v>
      </c>
    </row>
    <row r="91" ht="22.5" customHeight="1">
      <c r="A91" s="24">
        <v>90.0</v>
      </c>
      <c r="B91" s="6" t="s">
        <v>3801</v>
      </c>
      <c r="C91" s="7" t="s">
        <v>1015</v>
      </c>
      <c r="D91" s="6" t="s">
        <v>1016</v>
      </c>
      <c r="E91" s="6" t="s">
        <v>3802</v>
      </c>
      <c r="G91" s="10">
        <v>90.0</v>
      </c>
      <c r="H91" s="9" t="s">
        <v>3803</v>
      </c>
      <c r="I91" s="9" t="s">
        <v>3489</v>
      </c>
      <c r="J91" s="9" t="s">
        <v>269</v>
      </c>
      <c r="K91" s="9" t="s">
        <v>3804</v>
      </c>
    </row>
    <row r="92" ht="22.5" customHeight="1">
      <c r="A92" s="22">
        <v>91.0</v>
      </c>
      <c r="B92" s="6" t="s">
        <v>3805</v>
      </c>
      <c r="C92" s="7" t="s">
        <v>3806</v>
      </c>
      <c r="D92" s="6" t="s">
        <v>3807</v>
      </c>
      <c r="E92" s="6" t="s">
        <v>3808</v>
      </c>
      <c r="G92" s="23">
        <v>91.0</v>
      </c>
      <c r="H92" s="9" t="s">
        <v>3809</v>
      </c>
      <c r="I92" s="9" t="s">
        <v>3810</v>
      </c>
      <c r="J92" s="9" t="s">
        <v>3811</v>
      </c>
      <c r="K92" s="9" t="s">
        <v>3812</v>
      </c>
    </row>
    <row r="93" ht="22.5" customHeight="1">
      <c r="A93" s="24">
        <v>92.0</v>
      </c>
      <c r="B93" s="6" t="s">
        <v>3813</v>
      </c>
      <c r="C93" s="7" t="s">
        <v>3683</v>
      </c>
      <c r="D93" s="6" t="s">
        <v>3814</v>
      </c>
      <c r="E93" s="6" t="s">
        <v>3815</v>
      </c>
      <c r="G93" s="10">
        <v>92.0</v>
      </c>
      <c r="H93" s="9" t="s">
        <v>3816</v>
      </c>
      <c r="I93" s="9" t="s">
        <v>3686</v>
      </c>
      <c r="J93" s="9" t="s">
        <v>3817</v>
      </c>
      <c r="K93" s="9" t="s">
        <v>3818</v>
      </c>
    </row>
    <row r="94" ht="22.5" customHeight="1">
      <c r="A94" s="22">
        <v>93.0</v>
      </c>
      <c r="B94" s="6" t="s">
        <v>3819</v>
      </c>
      <c r="C94" s="7" t="s">
        <v>3820</v>
      </c>
      <c r="D94" s="6" t="s">
        <v>3821</v>
      </c>
      <c r="E94" s="6" t="s">
        <v>3822</v>
      </c>
      <c r="G94" s="23">
        <v>93.0</v>
      </c>
      <c r="H94" s="9" t="s">
        <v>3823</v>
      </c>
      <c r="I94" s="9" t="s">
        <v>3824</v>
      </c>
      <c r="J94" s="9" t="s">
        <v>3825</v>
      </c>
      <c r="K94" s="9" t="s">
        <v>3826</v>
      </c>
    </row>
    <row r="95" ht="22.5" customHeight="1">
      <c r="A95" s="24">
        <v>94.0</v>
      </c>
      <c r="B95" s="6" t="s">
        <v>3543</v>
      </c>
      <c r="C95" s="7" t="s">
        <v>3827</v>
      </c>
      <c r="D95" s="6" t="s">
        <v>3545</v>
      </c>
      <c r="E95" s="6" t="s">
        <v>3546</v>
      </c>
      <c r="G95" s="10">
        <v>94.0</v>
      </c>
      <c r="H95" s="9" t="s">
        <v>3547</v>
      </c>
      <c r="I95" s="9" t="s">
        <v>3828</v>
      </c>
      <c r="J95" s="9" t="s">
        <v>3549</v>
      </c>
      <c r="K95" s="9" t="s">
        <v>3550</v>
      </c>
    </row>
    <row r="96" ht="22.5" customHeight="1">
      <c r="A96" s="22">
        <v>95.0</v>
      </c>
      <c r="B96" s="6" t="s">
        <v>3829</v>
      </c>
      <c r="C96" s="7" t="s">
        <v>3830</v>
      </c>
      <c r="D96" s="6" t="s">
        <v>3831</v>
      </c>
      <c r="E96" s="6" t="s">
        <v>3832</v>
      </c>
      <c r="G96" s="23">
        <v>95.0</v>
      </c>
      <c r="H96" s="9" t="s">
        <v>3833</v>
      </c>
      <c r="I96" s="9" t="s">
        <v>3834</v>
      </c>
      <c r="J96" s="9" t="s">
        <v>3835</v>
      </c>
      <c r="K96" s="9" t="s">
        <v>3836</v>
      </c>
    </row>
    <row r="97" ht="22.5" customHeight="1">
      <c r="A97" s="24">
        <v>96.0</v>
      </c>
      <c r="B97" s="6" t="s">
        <v>3837</v>
      </c>
      <c r="C97" s="7" t="s">
        <v>3838</v>
      </c>
      <c r="D97" s="6" t="s">
        <v>3839</v>
      </c>
      <c r="E97" s="6" t="s">
        <v>3840</v>
      </c>
      <c r="G97" s="10">
        <v>96.0</v>
      </c>
      <c r="H97" s="9" t="s">
        <v>3841</v>
      </c>
      <c r="I97" s="9" t="s">
        <v>3842</v>
      </c>
      <c r="J97" s="9" t="s">
        <v>3843</v>
      </c>
      <c r="K97" s="9" t="s">
        <v>3844</v>
      </c>
    </row>
    <row r="98" ht="22.5" customHeight="1">
      <c r="A98" s="22">
        <v>97.0</v>
      </c>
      <c r="B98" s="6" t="s">
        <v>3845</v>
      </c>
      <c r="C98" s="7" t="s">
        <v>3846</v>
      </c>
      <c r="D98" s="6" t="s">
        <v>1016</v>
      </c>
      <c r="E98" s="6" t="s">
        <v>3847</v>
      </c>
      <c r="G98" s="23">
        <v>97.0</v>
      </c>
      <c r="H98" s="9" t="s">
        <v>3848</v>
      </c>
      <c r="I98" s="9" t="s">
        <v>3849</v>
      </c>
      <c r="J98" s="9" t="s">
        <v>269</v>
      </c>
      <c r="K98" s="9" t="s">
        <v>3850</v>
      </c>
    </row>
    <row r="99" ht="22.5" customHeight="1">
      <c r="A99" s="24">
        <v>98.0</v>
      </c>
      <c r="B99" s="6" t="s">
        <v>3851</v>
      </c>
      <c r="C99" s="7" t="s">
        <v>3852</v>
      </c>
      <c r="D99" s="6" t="s">
        <v>3853</v>
      </c>
      <c r="E99" s="6" t="s">
        <v>3854</v>
      </c>
      <c r="G99" s="10">
        <v>98.0</v>
      </c>
      <c r="H99" s="9" t="s">
        <v>3855</v>
      </c>
      <c r="I99" s="9" t="s">
        <v>3856</v>
      </c>
      <c r="J99" s="9" t="s">
        <v>3857</v>
      </c>
      <c r="K99" s="9" t="s">
        <v>3858</v>
      </c>
    </row>
    <row r="100" ht="22.5" customHeight="1">
      <c r="A100" s="22">
        <v>99.0</v>
      </c>
      <c r="B100" s="6" t="s">
        <v>3859</v>
      </c>
      <c r="C100" s="7" t="s">
        <v>3860</v>
      </c>
      <c r="D100" s="6" t="s">
        <v>3861</v>
      </c>
      <c r="E100" s="6" t="s">
        <v>3862</v>
      </c>
      <c r="G100" s="23">
        <v>99.0</v>
      </c>
      <c r="H100" s="9" t="s">
        <v>3863</v>
      </c>
      <c r="I100" s="9" t="s">
        <v>3864</v>
      </c>
      <c r="J100" s="9" t="s">
        <v>3865</v>
      </c>
      <c r="K100" s="9" t="s">
        <v>3866</v>
      </c>
    </row>
    <row r="101" ht="22.5" customHeight="1">
      <c r="A101" s="24">
        <v>100.0</v>
      </c>
      <c r="B101" s="6" t="s">
        <v>3867</v>
      </c>
      <c r="C101" s="7" t="s">
        <v>3868</v>
      </c>
      <c r="D101" s="6" t="s">
        <v>989</v>
      </c>
      <c r="E101" s="6" t="s">
        <v>3869</v>
      </c>
      <c r="G101" s="10">
        <v>100.0</v>
      </c>
      <c r="H101" s="9" t="s">
        <v>3870</v>
      </c>
      <c r="I101" s="9" t="s">
        <v>3868</v>
      </c>
      <c r="J101" s="11">
        <v>2.0</v>
      </c>
      <c r="K101" s="9" t="s">
        <v>3871</v>
      </c>
    </row>
    <row r="102" ht="22.5" customHeight="1">
      <c r="A102" s="22">
        <v>101.0</v>
      </c>
      <c r="B102" s="6" t="s">
        <v>3872</v>
      </c>
      <c r="C102" s="7" t="s">
        <v>3873</v>
      </c>
      <c r="D102" s="6" t="s">
        <v>3874</v>
      </c>
      <c r="E102" s="6" t="s">
        <v>3875</v>
      </c>
      <c r="G102" s="23">
        <v>101.0</v>
      </c>
      <c r="H102" s="9" t="s">
        <v>3876</v>
      </c>
      <c r="I102" s="9" t="s">
        <v>3877</v>
      </c>
      <c r="J102" s="9" t="s">
        <v>3874</v>
      </c>
      <c r="K102" s="9" t="s">
        <v>3878</v>
      </c>
    </row>
    <row r="103" ht="22.5" customHeight="1">
      <c r="A103" s="24">
        <v>102.0</v>
      </c>
      <c r="B103" s="6" t="s">
        <v>3879</v>
      </c>
      <c r="C103" s="7" t="s">
        <v>3880</v>
      </c>
      <c r="D103" s="6" t="s">
        <v>3881</v>
      </c>
      <c r="E103" s="6" t="s">
        <v>3882</v>
      </c>
      <c r="G103" s="10">
        <v>102.0</v>
      </c>
      <c r="H103" s="9" t="s">
        <v>3883</v>
      </c>
      <c r="I103" s="9" t="s">
        <v>3884</v>
      </c>
      <c r="J103" s="9" t="s">
        <v>3885</v>
      </c>
      <c r="K103" s="9" t="s">
        <v>3886</v>
      </c>
    </row>
    <row r="104" ht="22.5" customHeight="1">
      <c r="A104" s="22">
        <v>103.0</v>
      </c>
      <c r="B104" s="6" t="s">
        <v>3887</v>
      </c>
      <c r="C104" s="7" t="s">
        <v>3888</v>
      </c>
      <c r="D104" s="6" t="s">
        <v>3739</v>
      </c>
      <c r="E104" s="6" t="s">
        <v>3889</v>
      </c>
      <c r="G104" s="23">
        <v>103.0</v>
      </c>
      <c r="H104" s="9" t="s">
        <v>3890</v>
      </c>
      <c r="I104" s="9" t="s">
        <v>3888</v>
      </c>
      <c r="J104" s="11">
        <v>1924.0</v>
      </c>
      <c r="K104" s="9" t="s">
        <v>3891</v>
      </c>
    </row>
    <row r="105" ht="22.5" customHeight="1">
      <c r="A105" s="24">
        <v>104.0</v>
      </c>
      <c r="B105" s="6" t="s">
        <v>3892</v>
      </c>
      <c r="C105" s="7" t="s">
        <v>3551</v>
      </c>
      <c r="D105" s="6" t="s">
        <v>1016</v>
      </c>
      <c r="E105" s="6" t="s">
        <v>3893</v>
      </c>
      <c r="G105" s="10">
        <v>104.0</v>
      </c>
      <c r="H105" s="9" t="s">
        <v>3894</v>
      </c>
      <c r="I105" s="9" t="s">
        <v>3553</v>
      </c>
      <c r="J105" s="9" t="s">
        <v>269</v>
      </c>
      <c r="K105" s="9" t="s">
        <v>3895</v>
      </c>
    </row>
    <row r="106" ht="22.5" customHeight="1">
      <c r="A106" s="22">
        <v>105.0</v>
      </c>
      <c r="B106" s="6" t="s">
        <v>3896</v>
      </c>
      <c r="C106" s="7" t="s">
        <v>3752</v>
      </c>
      <c r="D106" s="6" t="s">
        <v>1016</v>
      </c>
      <c r="E106" s="6" t="s">
        <v>3897</v>
      </c>
      <c r="G106" s="23">
        <v>105.0</v>
      </c>
      <c r="H106" s="9" t="s">
        <v>3898</v>
      </c>
      <c r="I106" s="9" t="s">
        <v>3755</v>
      </c>
      <c r="J106" s="9" t="s">
        <v>269</v>
      </c>
      <c r="K106" s="9" t="s">
        <v>3899</v>
      </c>
    </row>
    <row r="107" ht="22.5" customHeight="1">
      <c r="A107" s="24">
        <v>106.0</v>
      </c>
      <c r="B107" s="6" t="s">
        <v>3231</v>
      </c>
      <c r="C107" s="7" t="s">
        <v>3900</v>
      </c>
      <c r="D107" s="6" t="s">
        <v>3739</v>
      </c>
      <c r="E107" s="6" t="s">
        <v>3889</v>
      </c>
      <c r="G107" s="10">
        <v>106.0</v>
      </c>
      <c r="H107" s="9" t="s">
        <v>3234</v>
      </c>
      <c r="I107" s="9" t="s">
        <v>3900</v>
      </c>
      <c r="J107" s="11">
        <v>1924.0</v>
      </c>
      <c r="K107" s="9" t="s">
        <v>3891</v>
      </c>
    </row>
    <row r="108" ht="22.5" customHeight="1">
      <c r="A108" s="22">
        <v>107.0</v>
      </c>
      <c r="B108" s="6" t="s">
        <v>3901</v>
      </c>
      <c r="C108" s="7" t="s">
        <v>3624</v>
      </c>
      <c r="D108" s="6" t="s">
        <v>989</v>
      </c>
      <c r="E108" s="6" t="s">
        <v>3902</v>
      </c>
      <c r="G108" s="23">
        <v>107.0</v>
      </c>
      <c r="H108" s="9" t="s">
        <v>3903</v>
      </c>
      <c r="I108" s="9" t="s">
        <v>3624</v>
      </c>
      <c r="J108" s="11">
        <v>2.0</v>
      </c>
      <c r="K108" s="9" t="s">
        <v>3904</v>
      </c>
    </row>
    <row r="109" ht="22.5" customHeight="1">
      <c r="A109" s="24">
        <v>108.0</v>
      </c>
      <c r="B109" s="6" t="s">
        <v>3905</v>
      </c>
      <c r="C109" s="7" t="s">
        <v>3906</v>
      </c>
      <c r="D109" s="6" t="s">
        <v>1016</v>
      </c>
      <c r="E109" s="6" t="s">
        <v>3907</v>
      </c>
      <c r="G109" s="10">
        <v>108.0</v>
      </c>
      <c r="H109" s="9" t="s">
        <v>3908</v>
      </c>
      <c r="I109" s="9" t="s">
        <v>3909</v>
      </c>
      <c r="J109" s="9" t="s">
        <v>269</v>
      </c>
      <c r="K109" s="9" t="s">
        <v>3910</v>
      </c>
    </row>
    <row r="110" ht="22.5" customHeight="1">
      <c r="A110" s="22">
        <v>109.0</v>
      </c>
      <c r="B110" s="6" t="s">
        <v>3911</v>
      </c>
      <c r="C110" s="7" t="s">
        <v>3592</v>
      </c>
      <c r="D110" s="6" t="s">
        <v>3814</v>
      </c>
      <c r="E110" s="6" t="s">
        <v>3912</v>
      </c>
      <c r="G110" s="23">
        <v>109.0</v>
      </c>
      <c r="H110" s="9" t="s">
        <v>3913</v>
      </c>
      <c r="I110" s="9" t="s">
        <v>3595</v>
      </c>
      <c r="J110" s="9" t="s">
        <v>3817</v>
      </c>
      <c r="K110" s="9" t="s">
        <v>3914</v>
      </c>
    </row>
    <row r="111" ht="22.5" customHeight="1">
      <c r="A111" s="24">
        <v>110.0</v>
      </c>
      <c r="B111" s="6" t="s">
        <v>3915</v>
      </c>
      <c r="C111" s="7" t="s">
        <v>3916</v>
      </c>
      <c r="D111" s="6" t="s">
        <v>3348</v>
      </c>
      <c r="E111" s="6" t="s">
        <v>3539</v>
      </c>
      <c r="G111" s="10">
        <v>110.0</v>
      </c>
      <c r="H111" s="9" t="s">
        <v>3917</v>
      </c>
      <c r="I111" s="9" t="s">
        <v>3918</v>
      </c>
      <c r="J111" s="9" t="s">
        <v>3352</v>
      </c>
      <c r="K111" s="9" t="s">
        <v>3542</v>
      </c>
    </row>
    <row r="112" ht="22.5" customHeight="1">
      <c r="A112" s="22">
        <v>111.0</v>
      </c>
      <c r="B112" s="6" t="s">
        <v>3919</v>
      </c>
      <c r="C112" s="7" t="s">
        <v>3920</v>
      </c>
      <c r="D112" s="6" t="s">
        <v>3921</v>
      </c>
      <c r="E112" s="6" t="s">
        <v>3922</v>
      </c>
      <c r="G112" s="23">
        <v>111.0</v>
      </c>
      <c r="H112" s="9" t="s">
        <v>3923</v>
      </c>
      <c r="I112" s="9" t="s">
        <v>3924</v>
      </c>
      <c r="J112" s="9" t="s">
        <v>3925</v>
      </c>
      <c r="K112" s="9" t="s">
        <v>3926</v>
      </c>
    </row>
    <row r="113" ht="22.5" customHeight="1">
      <c r="A113" s="24">
        <v>112.0</v>
      </c>
      <c r="B113" s="6" t="s">
        <v>3543</v>
      </c>
      <c r="C113" s="7" t="s">
        <v>3927</v>
      </c>
      <c r="D113" s="6" t="s">
        <v>3928</v>
      </c>
      <c r="E113" s="6" t="s">
        <v>3929</v>
      </c>
      <c r="G113" s="10">
        <v>112.0</v>
      </c>
      <c r="H113" s="9" t="s">
        <v>3547</v>
      </c>
      <c r="I113" s="9" t="s">
        <v>3930</v>
      </c>
      <c r="J113" s="9" t="s">
        <v>3931</v>
      </c>
      <c r="K113" s="9" t="s">
        <v>3932</v>
      </c>
    </row>
    <row r="114" ht="22.5" customHeight="1">
      <c r="A114" s="22">
        <v>113.0</v>
      </c>
      <c r="B114" s="6" t="s">
        <v>3933</v>
      </c>
      <c r="C114" s="7" t="s">
        <v>1015</v>
      </c>
      <c r="D114" s="6" t="s">
        <v>1016</v>
      </c>
      <c r="E114" s="6" t="s">
        <v>3934</v>
      </c>
      <c r="G114" s="23">
        <v>113.0</v>
      </c>
      <c r="H114" s="9" t="s">
        <v>3935</v>
      </c>
      <c r="I114" s="9" t="s">
        <v>3489</v>
      </c>
      <c r="J114" s="9" t="s">
        <v>269</v>
      </c>
      <c r="K114" s="9" t="s">
        <v>3936</v>
      </c>
    </row>
    <row r="115" ht="22.5" customHeight="1">
      <c r="A115" s="24">
        <v>114.0</v>
      </c>
      <c r="B115" s="6" t="s">
        <v>3937</v>
      </c>
      <c r="C115" s="7" t="s">
        <v>3938</v>
      </c>
      <c r="D115" s="6" t="s">
        <v>3785</v>
      </c>
      <c r="E115" s="6" t="s">
        <v>3939</v>
      </c>
      <c r="G115" s="10">
        <v>114.0</v>
      </c>
      <c r="H115" s="9" t="s">
        <v>3940</v>
      </c>
      <c r="I115" s="9" t="s">
        <v>3941</v>
      </c>
      <c r="J115" s="9" t="s">
        <v>2726</v>
      </c>
      <c r="K115" s="9" t="s">
        <v>3942</v>
      </c>
    </row>
    <row r="116" ht="22.5" customHeight="1">
      <c r="A116" s="22">
        <v>115.0</v>
      </c>
      <c r="B116" s="6" t="s">
        <v>3879</v>
      </c>
      <c r="C116" s="7" t="s">
        <v>3943</v>
      </c>
      <c r="D116" s="6" t="s">
        <v>3881</v>
      </c>
      <c r="E116" s="6" t="s">
        <v>3882</v>
      </c>
      <c r="G116" s="23">
        <v>115.0</v>
      </c>
      <c r="H116" s="9" t="s">
        <v>3883</v>
      </c>
      <c r="I116" s="9" t="s">
        <v>3944</v>
      </c>
      <c r="J116" s="9" t="s">
        <v>3885</v>
      </c>
      <c r="K116" s="9" t="s">
        <v>3886</v>
      </c>
    </row>
    <row r="117" ht="22.5" customHeight="1">
      <c r="A117" s="24">
        <v>116.0</v>
      </c>
      <c r="B117" s="6" t="s">
        <v>3945</v>
      </c>
      <c r="C117" s="7" t="s">
        <v>3946</v>
      </c>
      <c r="D117" s="6" t="s">
        <v>3739</v>
      </c>
      <c r="E117" s="6" t="s">
        <v>3740</v>
      </c>
      <c r="G117" s="10">
        <v>116.0</v>
      </c>
      <c r="H117" s="9" t="s">
        <v>3947</v>
      </c>
      <c r="I117" s="9" t="s">
        <v>3946</v>
      </c>
      <c r="J117" s="11">
        <v>1924.0</v>
      </c>
      <c r="K117" s="9" t="s">
        <v>3742</v>
      </c>
    </row>
    <row r="118" ht="22.5" customHeight="1">
      <c r="A118" s="22">
        <v>117.0</v>
      </c>
      <c r="B118" s="6" t="s">
        <v>3948</v>
      </c>
      <c r="C118" s="7" t="s">
        <v>3752</v>
      </c>
      <c r="D118" s="6" t="s">
        <v>1016</v>
      </c>
      <c r="E118" s="6" t="s">
        <v>3949</v>
      </c>
      <c r="G118" s="23">
        <v>117.0</v>
      </c>
      <c r="H118" s="9" t="s">
        <v>3950</v>
      </c>
      <c r="I118" s="9" t="s">
        <v>3755</v>
      </c>
      <c r="J118" s="9" t="s">
        <v>269</v>
      </c>
      <c r="K118" s="9" t="s">
        <v>3951</v>
      </c>
    </row>
    <row r="119" ht="22.5" customHeight="1">
      <c r="A119" s="24">
        <v>118.0</v>
      </c>
      <c r="B119" s="6" t="s">
        <v>3952</v>
      </c>
      <c r="C119" s="7" t="s">
        <v>1015</v>
      </c>
      <c r="D119" s="6" t="s">
        <v>1016</v>
      </c>
      <c r="E119" s="6" t="s">
        <v>3953</v>
      </c>
      <c r="G119" s="10">
        <v>118.0</v>
      </c>
      <c r="H119" s="9" t="s">
        <v>3954</v>
      </c>
      <c r="I119" s="9" t="s">
        <v>3489</v>
      </c>
      <c r="J119" s="9" t="s">
        <v>269</v>
      </c>
      <c r="K119" s="9" t="s">
        <v>3955</v>
      </c>
    </row>
    <row r="120" ht="22.5" customHeight="1">
      <c r="A120" s="22">
        <v>119.0</v>
      </c>
      <c r="B120" s="6" t="s">
        <v>3577</v>
      </c>
      <c r="C120" s="7" t="s">
        <v>3956</v>
      </c>
      <c r="D120" s="6" t="s">
        <v>3957</v>
      </c>
      <c r="E120" s="6" t="s">
        <v>3958</v>
      </c>
      <c r="G120" s="23">
        <v>119.0</v>
      </c>
      <c r="H120" s="9" t="s">
        <v>3581</v>
      </c>
      <c r="I120" s="9" t="s">
        <v>3959</v>
      </c>
      <c r="J120" s="9" t="s">
        <v>3960</v>
      </c>
      <c r="K120" s="9" t="s">
        <v>3961</v>
      </c>
    </row>
    <row r="121" ht="22.5" customHeight="1">
      <c r="A121" s="24">
        <v>120.0</v>
      </c>
      <c r="B121" s="6" t="s">
        <v>3628</v>
      </c>
      <c r="C121" s="7" t="s">
        <v>3962</v>
      </c>
      <c r="D121" s="6" t="s">
        <v>3630</v>
      </c>
      <c r="E121" s="6" t="s">
        <v>3631</v>
      </c>
      <c r="G121" s="10">
        <v>120.0</v>
      </c>
      <c r="H121" s="9" t="s">
        <v>3632</v>
      </c>
      <c r="I121" s="9" t="s">
        <v>3963</v>
      </c>
      <c r="J121" s="9" t="s">
        <v>3634</v>
      </c>
      <c r="K121" s="9" t="s">
        <v>3635</v>
      </c>
    </row>
    <row r="122" ht="22.5" customHeight="1">
      <c r="A122" s="22">
        <v>121.0</v>
      </c>
      <c r="B122" s="6" t="s">
        <v>3964</v>
      </c>
      <c r="C122" s="7" t="s">
        <v>3906</v>
      </c>
      <c r="D122" s="6" t="s">
        <v>1016</v>
      </c>
      <c r="E122" s="6" t="s">
        <v>3965</v>
      </c>
      <c r="G122" s="23">
        <v>121.0</v>
      </c>
      <c r="H122" s="9" t="s">
        <v>3966</v>
      </c>
      <c r="I122" s="9" t="s">
        <v>3909</v>
      </c>
      <c r="J122" s="9" t="s">
        <v>269</v>
      </c>
      <c r="K122" s="9" t="s">
        <v>3967</v>
      </c>
    </row>
    <row r="123" ht="22.5" customHeight="1">
      <c r="A123" s="24">
        <v>122.0</v>
      </c>
      <c r="B123" s="6" t="s">
        <v>3968</v>
      </c>
      <c r="C123" s="7" t="s">
        <v>3551</v>
      </c>
      <c r="D123" s="6" t="s">
        <v>1016</v>
      </c>
      <c r="E123" s="6" t="s">
        <v>3969</v>
      </c>
      <c r="G123" s="10">
        <v>122.0</v>
      </c>
      <c r="H123" s="9" t="s">
        <v>3970</v>
      </c>
      <c r="I123" s="9" t="s">
        <v>3553</v>
      </c>
      <c r="J123" s="9" t="s">
        <v>269</v>
      </c>
      <c r="K123" s="9" t="s">
        <v>3971</v>
      </c>
    </row>
    <row r="124" ht="22.5" customHeight="1">
      <c r="A124" s="22">
        <v>123.0</v>
      </c>
      <c r="B124" s="6" t="s">
        <v>3972</v>
      </c>
      <c r="C124" s="7" t="s">
        <v>1015</v>
      </c>
      <c r="D124" s="6" t="s">
        <v>1016</v>
      </c>
      <c r="E124" s="6" t="s">
        <v>3973</v>
      </c>
      <c r="G124" s="23">
        <v>123.0</v>
      </c>
      <c r="H124" s="9" t="s">
        <v>3974</v>
      </c>
      <c r="I124" s="9" t="s">
        <v>3489</v>
      </c>
      <c r="J124" s="9" t="s">
        <v>269</v>
      </c>
      <c r="K124" s="9" t="s">
        <v>3975</v>
      </c>
    </row>
    <row r="125" ht="22.5" customHeight="1">
      <c r="A125" s="24">
        <v>124.0</v>
      </c>
      <c r="B125" s="6" t="s">
        <v>3976</v>
      </c>
      <c r="C125" s="7" t="s">
        <v>3977</v>
      </c>
      <c r="D125" s="6" t="s">
        <v>3978</v>
      </c>
      <c r="E125" s="6" t="s">
        <v>3233</v>
      </c>
      <c r="G125" s="10">
        <v>124.0</v>
      </c>
      <c r="H125" s="9" t="s">
        <v>3979</v>
      </c>
      <c r="I125" s="9" t="s">
        <v>3980</v>
      </c>
      <c r="J125" s="9" t="s">
        <v>3981</v>
      </c>
      <c r="K125" s="9" t="s">
        <v>3235</v>
      </c>
    </row>
    <row r="126" ht="22.5" customHeight="1">
      <c r="A126" s="22">
        <v>125.0</v>
      </c>
      <c r="B126" s="6" t="s">
        <v>3982</v>
      </c>
      <c r="C126" s="7" t="s">
        <v>3983</v>
      </c>
      <c r="D126" s="6" t="s">
        <v>989</v>
      </c>
      <c r="E126" s="6" t="s">
        <v>3984</v>
      </c>
      <c r="G126" s="23">
        <v>125.0</v>
      </c>
      <c r="H126" s="9" t="s">
        <v>3985</v>
      </c>
      <c r="I126" s="9" t="s">
        <v>3983</v>
      </c>
      <c r="J126" s="11">
        <v>2.0</v>
      </c>
      <c r="K126" s="9" t="s">
        <v>3986</v>
      </c>
    </row>
    <row r="127" ht="22.5" customHeight="1">
      <c r="A127" s="24">
        <v>126.0</v>
      </c>
      <c r="B127" s="6" t="s">
        <v>3987</v>
      </c>
      <c r="C127" s="7" t="s">
        <v>3988</v>
      </c>
      <c r="D127" s="6" t="s">
        <v>3348</v>
      </c>
      <c r="E127" s="6" t="s">
        <v>3989</v>
      </c>
      <c r="G127" s="10">
        <v>126.0</v>
      </c>
      <c r="H127" s="9" t="s">
        <v>3990</v>
      </c>
      <c r="I127" s="9" t="s">
        <v>3991</v>
      </c>
      <c r="J127" s="9" t="s">
        <v>3352</v>
      </c>
      <c r="K127" s="9" t="s">
        <v>3992</v>
      </c>
    </row>
    <row r="128" ht="22.5" customHeight="1">
      <c r="A128" s="22">
        <v>127.0</v>
      </c>
      <c r="B128" s="6" t="s">
        <v>3993</v>
      </c>
      <c r="C128" s="7" t="s">
        <v>3994</v>
      </c>
      <c r="D128" s="6" t="s">
        <v>1016</v>
      </c>
      <c r="E128" s="6" t="s">
        <v>3995</v>
      </c>
      <c r="G128" s="23">
        <v>127.0</v>
      </c>
      <c r="H128" s="9" t="s">
        <v>3996</v>
      </c>
      <c r="I128" s="9" t="s">
        <v>3997</v>
      </c>
      <c r="J128" s="9" t="s">
        <v>269</v>
      </c>
      <c r="K128" s="9" t="s">
        <v>3998</v>
      </c>
    </row>
    <row r="129" ht="22.5" customHeight="1">
      <c r="A129" s="24">
        <v>128.0</v>
      </c>
      <c r="B129" s="6" t="s">
        <v>3999</v>
      </c>
      <c r="C129" s="7" t="s">
        <v>4000</v>
      </c>
      <c r="D129" s="6" t="s">
        <v>4001</v>
      </c>
      <c r="E129" s="6" t="s">
        <v>4002</v>
      </c>
      <c r="G129" s="10">
        <v>128.0</v>
      </c>
      <c r="H129" s="9" t="s">
        <v>4003</v>
      </c>
      <c r="I129" s="9" t="s">
        <v>4004</v>
      </c>
      <c r="J129" s="9" t="s">
        <v>4005</v>
      </c>
      <c r="K129" s="9" t="s">
        <v>4006</v>
      </c>
    </row>
    <row r="130" ht="22.5" customHeight="1">
      <c r="A130" s="22">
        <v>129.0</v>
      </c>
      <c r="B130" s="6" t="s">
        <v>3693</v>
      </c>
      <c r="C130" s="7" t="s">
        <v>4007</v>
      </c>
      <c r="D130" s="6" t="s">
        <v>3215</v>
      </c>
      <c r="E130" s="6" t="s">
        <v>4008</v>
      </c>
      <c r="G130" s="23">
        <v>129.0</v>
      </c>
      <c r="H130" s="9" t="s">
        <v>3697</v>
      </c>
      <c r="I130" s="9" t="s">
        <v>4007</v>
      </c>
      <c r="J130" s="9" t="s">
        <v>3215</v>
      </c>
      <c r="K130" s="9" t="s">
        <v>4009</v>
      </c>
    </row>
    <row r="131" ht="22.5" customHeight="1">
      <c r="A131" s="24">
        <v>130.0</v>
      </c>
      <c r="B131" s="6" t="s">
        <v>4010</v>
      </c>
      <c r="C131" s="7" t="s">
        <v>4011</v>
      </c>
      <c r="D131" s="6" t="s">
        <v>1016</v>
      </c>
      <c r="E131" s="6" t="s">
        <v>4012</v>
      </c>
      <c r="G131" s="10">
        <v>130.0</v>
      </c>
      <c r="H131" s="9" t="s">
        <v>4013</v>
      </c>
      <c r="I131" s="9" t="s">
        <v>4014</v>
      </c>
      <c r="J131" s="9" t="s">
        <v>269</v>
      </c>
      <c r="K131" s="9" t="s">
        <v>4015</v>
      </c>
    </row>
    <row r="132" ht="22.5" customHeight="1">
      <c r="A132" s="22">
        <v>131.0</v>
      </c>
      <c r="B132" s="6" t="s">
        <v>4016</v>
      </c>
      <c r="C132" s="7" t="s">
        <v>4017</v>
      </c>
      <c r="D132" s="6" t="s">
        <v>4018</v>
      </c>
      <c r="E132" s="6" t="s">
        <v>4019</v>
      </c>
      <c r="G132" s="23">
        <v>131.0</v>
      </c>
      <c r="H132" s="9" t="s">
        <v>4020</v>
      </c>
      <c r="I132" s="9" t="s">
        <v>4021</v>
      </c>
      <c r="J132" s="9" t="s">
        <v>4022</v>
      </c>
      <c r="K132" s="9" t="s">
        <v>4023</v>
      </c>
    </row>
    <row r="133" ht="22.5" customHeight="1">
      <c r="A133" s="24">
        <v>132.0</v>
      </c>
      <c r="B133" s="6" t="s">
        <v>4024</v>
      </c>
      <c r="C133" s="7" t="s">
        <v>4025</v>
      </c>
      <c r="D133" s="6" t="s">
        <v>3739</v>
      </c>
      <c r="E133" s="6" t="s">
        <v>4026</v>
      </c>
      <c r="G133" s="10">
        <v>132.0</v>
      </c>
      <c r="H133" s="9" t="s">
        <v>4027</v>
      </c>
      <c r="I133" s="9" t="s">
        <v>4025</v>
      </c>
      <c r="J133" s="11">
        <v>1924.0</v>
      </c>
      <c r="K133" s="9" t="s">
        <v>4028</v>
      </c>
    </row>
    <row r="134" ht="22.5" customHeight="1">
      <c r="A134" s="22">
        <v>133.0</v>
      </c>
      <c r="B134" s="6" t="s">
        <v>4029</v>
      </c>
      <c r="C134" s="7" t="s">
        <v>3592</v>
      </c>
      <c r="D134" s="6" t="s">
        <v>1016</v>
      </c>
      <c r="E134" s="6" t="s">
        <v>4030</v>
      </c>
      <c r="G134" s="23">
        <v>133.0</v>
      </c>
      <c r="H134" s="9" t="s">
        <v>4031</v>
      </c>
      <c r="I134" s="9" t="s">
        <v>3595</v>
      </c>
      <c r="J134" s="9" t="s">
        <v>269</v>
      </c>
      <c r="K134" s="9" t="s">
        <v>4032</v>
      </c>
    </row>
    <row r="135" ht="22.5" customHeight="1">
      <c r="A135" s="24">
        <v>134.0</v>
      </c>
      <c r="B135" s="6" t="s">
        <v>4033</v>
      </c>
      <c r="C135" s="7" t="s">
        <v>3906</v>
      </c>
      <c r="D135" s="6" t="s">
        <v>1016</v>
      </c>
      <c r="E135" s="6" t="s">
        <v>4034</v>
      </c>
      <c r="G135" s="10">
        <v>134.0</v>
      </c>
      <c r="H135" s="9" t="s">
        <v>4035</v>
      </c>
      <c r="I135" s="9" t="s">
        <v>3909</v>
      </c>
      <c r="J135" s="9" t="s">
        <v>269</v>
      </c>
      <c r="K135" s="9" t="s">
        <v>4036</v>
      </c>
    </row>
    <row r="136" ht="22.5" customHeight="1">
      <c r="A136" s="22">
        <v>135.0</v>
      </c>
      <c r="B136" s="6" t="s">
        <v>4037</v>
      </c>
      <c r="C136" s="7" t="s">
        <v>4038</v>
      </c>
      <c r="D136" s="6" t="s">
        <v>3215</v>
      </c>
      <c r="E136" s="6" t="s">
        <v>4039</v>
      </c>
      <c r="G136" s="23">
        <v>135.0</v>
      </c>
      <c r="H136" s="9" t="s">
        <v>4040</v>
      </c>
      <c r="I136" s="9" t="s">
        <v>4041</v>
      </c>
      <c r="J136" s="9" t="s">
        <v>3215</v>
      </c>
      <c r="K136" s="9" t="s">
        <v>4042</v>
      </c>
    </row>
    <row r="137" ht="22.5" customHeight="1">
      <c r="A137" s="24">
        <v>136.0</v>
      </c>
      <c r="B137" s="6" t="s">
        <v>4043</v>
      </c>
      <c r="C137" s="7" t="s">
        <v>3906</v>
      </c>
      <c r="D137" s="6" t="s">
        <v>1016</v>
      </c>
      <c r="E137" s="6" t="s">
        <v>4044</v>
      </c>
      <c r="G137" s="10">
        <v>136.0</v>
      </c>
      <c r="H137" s="9" t="s">
        <v>4045</v>
      </c>
      <c r="I137" s="9" t="s">
        <v>3909</v>
      </c>
      <c r="J137" s="9" t="s">
        <v>269</v>
      </c>
      <c r="K137" s="9" t="s">
        <v>4046</v>
      </c>
    </row>
    <row r="138" ht="22.5" customHeight="1">
      <c r="A138" s="22">
        <v>137.0</v>
      </c>
      <c r="B138" s="6" t="s">
        <v>4047</v>
      </c>
      <c r="C138" s="7" t="s">
        <v>3752</v>
      </c>
      <c r="D138" s="6" t="s">
        <v>1016</v>
      </c>
      <c r="E138" s="6" t="s">
        <v>4048</v>
      </c>
      <c r="G138" s="23">
        <v>137.0</v>
      </c>
      <c r="H138" s="9" t="s">
        <v>4049</v>
      </c>
      <c r="I138" s="9" t="s">
        <v>3755</v>
      </c>
      <c r="J138" s="9" t="s">
        <v>269</v>
      </c>
      <c r="K138" s="9" t="s">
        <v>4050</v>
      </c>
    </row>
    <row r="139" ht="22.5" customHeight="1">
      <c r="A139" s="24">
        <v>138.0</v>
      </c>
      <c r="B139" s="6" t="s">
        <v>4051</v>
      </c>
      <c r="C139" s="7" t="s">
        <v>3796</v>
      </c>
      <c r="D139" s="6" t="s">
        <v>1016</v>
      </c>
      <c r="E139" s="6" t="s">
        <v>4052</v>
      </c>
      <c r="G139" s="10">
        <v>138.0</v>
      </c>
      <c r="H139" s="9" t="s">
        <v>4053</v>
      </c>
      <c r="I139" s="9" t="s">
        <v>3799</v>
      </c>
      <c r="J139" s="9" t="s">
        <v>269</v>
      </c>
      <c r="K139" s="9" t="s">
        <v>4054</v>
      </c>
    </row>
    <row r="140" ht="22.5" customHeight="1">
      <c r="A140" s="22">
        <v>139.0</v>
      </c>
      <c r="B140" s="6" t="s">
        <v>4055</v>
      </c>
      <c r="C140" s="7" t="s">
        <v>3551</v>
      </c>
      <c r="D140" s="6" t="s">
        <v>1016</v>
      </c>
      <c r="E140" s="6" t="s">
        <v>4056</v>
      </c>
      <c r="G140" s="23">
        <v>139.0</v>
      </c>
      <c r="H140" s="9" t="s">
        <v>4057</v>
      </c>
      <c r="I140" s="9" t="s">
        <v>3553</v>
      </c>
      <c r="J140" s="9" t="s">
        <v>269</v>
      </c>
      <c r="K140" s="9" t="s">
        <v>4058</v>
      </c>
    </row>
    <row r="141" ht="22.5" customHeight="1">
      <c r="A141" s="24">
        <v>140.0</v>
      </c>
      <c r="B141" s="6" t="s">
        <v>4059</v>
      </c>
      <c r="C141" s="7" t="s">
        <v>4060</v>
      </c>
      <c r="D141" s="6" t="s">
        <v>3814</v>
      </c>
      <c r="E141" s="6" t="s">
        <v>4061</v>
      </c>
      <c r="G141" s="10">
        <v>140.0</v>
      </c>
      <c r="H141" s="9" t="s">
        <v>4062</v>
      </c>
      <c r="I141" s="9" t="s">
        <v>4063</v>
      </c>
      <c r="J141" s="9" t="s">
        <v>3817</v>
      </c>
      <c r="K141" s="9" t="s">
        <v>4064</v>
      </c>
    </row>
    <row r="142" ht="22.5" customHeight="1">
      <c r="A142" s="22">
        <v>141.0</v>
      </c>
      <c r="B142" s="6" t="s">
        <v>4065</v>
      </c>
      <c r="C142" s="7" t="s">
        <v>4066</v>
      </c>
      <c r="D142" s="6" t="s">
        <v>4067</v>
      </c>
      <c r="E142" s="6" t="s">
        <v>4068</v>
      </c>
      <c r="G142" s="23">
        <v>141.0</v>
      </c>
      <c r="H142" s="9" t="s">
        <v>4069</v>
      </c>
      <c r="I142" s="9" t="s">
        <v>4070</v>
      </c>
      <c r="J142" s="9" t="s">
        <v>4067</v>
      </c>
      <c r="K142" s="9" t="s">
        <v>4071</v>
      </c>
    </row>
    <row r="143" ht="22.5" customHeight="1">
      <c r="A143" s="24">
        <v>142.0</v>
      </c>
      <c r="B143" s="6" t="s">
        <v>4072</v>
      </c>
      <c r="C143" s="7" t="s">
        <v>4073</v>
      </c>
      <c r="D143" s="6" t="s">
        <v>4074</v>
      </c>
      <c r="E143" s="6" t="s">
        <v>4075</v>
      </c>
      <c r="G143" s="10">
        <v>142.0</v>
      </c>
      <c r="H143" s="9" t="s">
        <v>4076</v>
      </c>
      <c r="I143" s="9" t="s">
        <v>4073</v>
      </c>
      <c r="J143" s="11">
        <v>1974.0</v>
      </c>
      <c r="K143" s="9" t="s">
        <v>4077</v>
      </c>
    </row>
    <row r="144" ht="22.5" customHeight="1">
      <c r="A144" s="22">
        <v>143.0</v>
      </c>
      <c r="B144" s="6" t="s">
        <v>4078</v>
      </c>
      <c r="C144" s="7" t="s">
        <v>4079</v>
      </c>
      <c r="D144" s="6" t="s">
        <v>3739</v>
      </c>
      <c r="E144" s="6" t="s">
        <v>4080</v>
      </c>
      <c r="G144" s="23">
        <v>143.0</v>
      </c>
      <c r="H144" s="9" t="s">
        <v>4081</v>
      </c>
      <c r="I144" s="9" t="s">
        <v>4079</v>
      </c>
      <c r="J144" s="11">
        <v>1924.0</v>
      </c>
      <c r="K144" s="9" t="s">
        <v>4082</v>
      </c>
    </row>
    <row r="145" ht="22.5" customHeight="1">
      <c r="A145" s="24">
        <v>144.0</v>
      </c>
      <c r="B145" s="6" t="s">
        <v>4083</v>
      </c>
      <c r="C145" s="7" t="s">
        <v>4084</v>
      </c>
      <c r="D145" s="6" t="s">
        <v>1016</v>
      </c>
      <c r="E145" s="6" t="s">
        <v>4085</v>
      </c>
      <c r="G145" s="10">
        <v>144.0</v>
      </c>
      <c r="H145" s="9" t="s">
        <v>4086</v>
      </c>
      <c r="I145" s="9" t="s">
        <v>4087</v>
      </c>
      <c r="J145" s="9" t="s">
        <v>269</v>
      </c>
      <c r="K145" s="9" t="s">
        <v>4088</v>
      </c>
    </row>
    <row r="146" ht="22.5" customHeight="1">
      <c r="A146" s="22">
        <v>145.0</v>
      </c>
      <c r="B146" s="6" t="s">
        <v>4089</v>
      </c>
      <c r="C146" s="7" t="s">
        <v>4090</v>
      </c>
      <c r="D146" s="6" t="s">
        <v>1005</v>
      </c>
      <c r="E146" s="6" t="s">
        <v>4091</v>
      </c>
      <c r="G146" s="23">
        <v>145.0</v>
      </c>
      <c r="H146" s="9" t="s">
        <v>4092</v>
      </c>
      <c r="I146" s="9" t="s">
        <v>4090</v>
      </c>
      <c r="J146" s="11">
        <v>4.0</v>
      </c>
      <c r="K146" s="9" t="s">
        <v>4093</v>
      </c>
    </row>
    <row r="147" ht="22.5" customHeight="1">
      <c r="A147" s="24">
        <v>146.0</v>
      </c>
      <c r="B147" s="6" t="s">
        <v>3628</v>
      </c>
      <c r="C147" s="7" t="s">
        <v>4094</v>
      </c>
      <c r="D147" s="6" t="s">
        <v>3630</v>
      </c>
      <c r="E147" s="6" t="s">
        <v>3631</v>
      </c>
      <c r="G147" s="10">
        <v>146.0</v>
      </c>
      <c r="H147" s="9" t="s">
        <v>3632</v>
      </c>
      <c r="I147" s="9" t="s">
        <v>4095</v>
      </c>
      <c r="J147" s="9" t="s">
        <v>3634</v>
      </c>
      <c r="K147" s="9" t="s">
        <v>3635</v>
      </c>
    </row>
    <row r="148" ht="22.5" customHeight="1">
      <c r="A148" s="22">
        <v>147.0</v>
      </c>
      <c r="B148" s="6" t="s">
        <v>4096</v>
      </c>
      <c r="C148" s="7" t="s">
        <v>3683</v>
      </c>
      <c r="D148" s="6" t="s">
        <v>3814</v>
      </c>
      <c r="E148" s="6" t="s">
        <v>4097</v>
      </c>
      <c r="G148" s="23">
        <v>147.0</v>
      </c>
      <c r="H148" s="9" t="s">
        <v>4098</v>
      </c>
      <c r="I148" s="9" t="s">
        <v>3686</v>
      </c>
      <c r="J148" s="9" t="s">
        <v>3817</v>
      </c>
      <c r="K148" s="9" t="s">
        <v>4099</v>
      </c>
    </row>
    <row r="149" ht="22.5" customHeight="1">
      <c r="A149" s="24">
        <v>148.0</v>
      </c>
      <c r="B149" s="6" t="s">
        <v>4100</v>
      </c>
      <c r="C149" s="7" t="s">
        <v>4101</v>
      </c>
      <c r="D149" s="6" t="s">
        <v>3348</v>
      </c>
      <c r="E149" s="6" t="s">
        <v>3989</v>
      </c>
      <c r="G149" s="10">
        <v>148.0</v>
      </c>
      <c r="H149" s="9" t="s">
        <v>4102</v>
      </c>
      <c r="I149" s="9" t="s">
        <v>4103</v>
      </c>
      <c r="J149" s="9" t="s">
        <v>3352</v>
      </c>
      <c r="K149" s="9" t="s">
        <v>3992</v>
      </c>
    </row>
    <row r="150" ht="22.5" customHeight="1">
      <c r="A150" s="22">
        <v>149.0</v>
      </c>
      <c r="B150" s="6" t="s">
        <v>4104</v>
      </c>
      <c r="C150" s="7" t="s">
        <v>3906</v>
      </c>
      <c r="D150" s="6" t="s">
        <v>1016</v>
      </c>
      <c r="E150" s="6" t="s">
        <v>4105</v>
      </c>
      <c r="G150" s="23">
        <v>149.0</v>
      </c>
      <c r="H150" s="9" t="s">
        <v>4106</v>
      </c>
      <c r="I150" s="9" t="s">
        <v>3909</v>
      </c>
      <c r="J150" s="9" t="s">
        <v>269</v>
      </c>
      <c r="K150" s="9" t="s">
        <v>4107</v>
      </c>
    </row>
    <row r="151" ht="22.5" customHeight="1">
      <c r="A151" s="24">
        <v>150.0</v>
      </c>
      <c r="B151" s="6" t="s">
        <v>4108</v>
      </c>
      <c r="C151" s="7" t="s">
        <v>3906</v>
      </c>
      <c r="D151" s="6" t="s">
        <v>1016</v>
      </c>
      <c r="E151" s="6" t="s">
        <v>4109</v>
      </c>
      <c r="G151" s="10">
        <v>150.0</v>
      </c>
      <c r="H151" s="9" t="s">
        <v>4110</v>
      </c>
      <c r="I151" s="9" t="s">
        <v>3909</v>
      </c>
      <c r="J151" s="9" t="s">
        <v>269</v>
      </c>
      <c r="K151" s="9" t="s">
        <v>4111</v>
      </c>
    </row>
    <row r="152" ht="22.5" customHeight="1">
      <c r="A152" s="22">
        <v>151.0</v>
      </c>
      <c r="B152" s="6" t="s">
        <v>3267</v>
      </c>
      <c r="C152" s="7" t="s">
        <v>3551</v>
      </c>
      <c r="D152" s="6" t="s">
        <v>1016</v>
      </c>
      <c r="E152" s="6" t="s">
        <v>4112</v>
      </c>
      <c r="G152" s="23">
        <v>151.0</v>
      </c>
      <c r="H152" s="9" t="s">
        <v>3270</v>
      </c>
      <c r="I152" s="9" t="s">
        <v>3553</v>
      </c>
      <c r="J152" s="9" t="s">
        <v>269</v>
      </c>
      <c r="K152" s="9" t="s">
        <v>4113</v>
      </c>
    </row>
    <row r="153" ht="22.5" customHeight="1">
      <c r="A153" s="24">
        <v>152.0</v>
      </c>
      <c r="B153" s="6" t="s">
        <v>4114</v>
      </c>
      <c r="C153" s="7" t="s">
        <v>3683</v>
      </c>
      <c r="D153" s="6" t="s">
        <v>1016</v>
      </c>
      <c r="E153" s="6" t="s">
        <v>4115</v>
      </c>
      <c r="G153" s="10">
        <v>152.0</v>
      </c>
      <c r="H153" s="9" t="s">
        <v>4116</v>
      </c>
      <c r="I153" s="9" t="s">
        <v>3686</v>
      </c>
      <c r="J153" s="9" t="s">
        <v>269</v>
      </c>
      <c r="K153" s="9" t="s">
        <v>4117</v>
      </c>
    </row>
    <row r="154" ht="22.5" customHeight="1">
      <c r="A154" s="22">
        <v>153.0</v>
      </c>
      <c r="B154" s="6" t="s">
        <v>4118</v>
      </c>
      <c r="C154" s="7" t="s">
        <v>4119</v>
      </c>
      <c r="D154" s="6" t="s">
        <v>4120</v>
      </c>
      <c r="E154" s="6" t="s">
        <v>4121</v>
      </c>
      <c r="G154" s="23">
        <v>153.0</v>
      </c>
      <c r="H154" s="9" t="s">
        <v>4122</v>
      </c>
      <c r="I154" s="9" t="s">
        <v>4123</v>
      </c>
      <c r="J154" s="9" t="s">
        <v>2876</v>
      </c>
      <c r="K154" s="9" t="s">
        <v>4124</v>
      </c>
    </row>
    <row r="155" ht="22.5" customHeight="1">
      <c r="A155" s="24">
        <v>154.0</v>
      </c>
      <c r="B155" s="6" t="s">
        <v>4125</v>
      </c>
      <c r="C155" s="7" t="s">
        <v>4126</v>
      </c>
      <c r="D155" s="6" t="s">
        <v>1016</v>
      </c>
      <c r="E155" s="6" t="s">
        <v>4127</v>
      </c>
      <c r="G155" s="10">
        <v>154.0</v>
      </c>
      <c r="H155" s="9" t="s">
        <v>4128</v>
      </c>
      <c r="I155" s="9" t="s">
        <v>4129</v>
      </c>
      <c r="J155" s="9" t="s">
        <v>269</v>
      </c>
      <c r="K155" s="9" t="s">
        <v>4130</v>
      </c>
    </row>
    <row r="156" ht="22.5" customHeight="1">
      <c r="A156" s="22">
        <v>155.0</v>
      </c>
      <c r="B156" s="6" t="s">
        <v>4131</v>
      </c>
      <c r="C156" s="7" t="s">
        <v>3752</v>
      </c>
      <c r="D156" s="6" t="s">
        <v>1016</v>
      </c>
      <c r="E156" s="6" t="s">
        <v>4132</v>
      </c>
      <c r="G156" s="23">
        <v>155.0</v>
      </c>
      <c r="H156" s="9" t="s">
        <v>4133</v>
      </c>
      <c r="I156" s="9" t="s">
        <v>3755</v>
      </c>
      <c r="J156" s="9" t="s">
        <v>269</v>
      </c>
      <c r="K156" s="9" t="s">
        <v>4134</v>
      </c>
    </row>
    <row r="157" ht="22.5" customHeight="1">
      <c r="A157" s="24">
        <v>156.0</v>
      </c>
      <c r="B157" s="6" t="s">
        <v>4135</v>
      </c>
      <c r="C157" s="7" t="s">
        <v>4079</v>
      </c>
      <c r="D157" s="6" t="s">
        <v>3739</v>
      </c>
      <c r="E157" s="6" t="s">
        <v>4136</v>
      </c>
      <c r="G157" s="10">
        <v>156.0</v>
      </c>
      <c r="H157" s="9" t="s">
        <v>4137</v>
      </c>
      <c r="I157" s="9" t="s">
        <v>4079</v>
      </c>
      <c r="J157" s="11">
        <v>1924.0</v>
      </c>
      <c r="K157" s="9" t="s">
        <v>4138</v>
      </c>
    </row>
    <row r="158" ht="22.5" customHeight="1">
      <c r="A158" s="22">
        <v>157.0</v>
      </c>
      <c r="B158" s="6" t="s">
        <v>4139</v>
      </c>
      <c r="C158" s="7" t="s">
        <v>3551</v>
      </c>
      <c r="D158" s="6" t="s">
        <v>1016</v>
      </c>
      <c r="E158" s="6" t="s">
        <v>4140</v>
      </c>
      <c r="G158" s="23">
        <v>157.0</v>
      </c>
      <c r="H158" s="9" t="s">
        <v>4141</v>
      </c>
      <c r="I158" s="9" t="s">
        <v>3553</v>
      </c>
      <c r="J158" s="9" t="s">
        <v>269</v>
      </c>
      <c r="K158" s="9" t="s">
        <v>4142</v>
      </c>
    </row>
    <row r="159" ht="22.5" customHeight="1">
      <c r="A159" s="24">
        <v>158.0</v>
      </c>
      <c r="B159" s="6" t="s">
        <v>4143</v>
      </c>
      <c r="C159" s="7" t="s">
        <v>4144</v>
      </c>
      <c r="D159" s="6" t="s">
        <v>4145</v>
      </c>
      <c r="E159" s="6" t="s">
        <v>4146</v>
      </c>
      <c r="G159" s="10">
        <v>158.0</v>
      </c>
      <c r="H159" s="9" t="s">
        <v>4147</v>
      </c>
      <c r="I159" s="9" t="s">
        <v>4148</v>
      </c>
      <c r="J159" s="9" t="s">
        <v>4145</v>
      </c>
      <c r="K159" s="9" t="s">
        <v>4149</v>
      </c>
    </row>
    <row r="160" ht="22.5" customHeight="1">
      <c r="A160" s="22">
        <v>159.0</v>
      </c>
      <c r="B160" s="6" t="s">
        <v>4150</v>
      </c>
      <c r="C160" s="7" t="s">
        <v>3752</v>
      </c>
      <c r="D160" s="6" t="s">
        <v>1016</v>
      </c>
      <c r="E160" s="6" t="s">
        <v>4151</v>
      </c>
      <c r="G160" s="23">
        <v>159.0</v>
      </c>
      <c r="H160" s="9" t="s">
        <v>4152</v>
      </c>
      <c r="I160" s="9" t="s">
        <v>3755</v>
      </c>
      <c r="J160" s="9" t="s">
        <v>269</v>
      </c>
      <c r="K160" s="9" t="s">
        <v>4153</v>
      </c>
    </row>
    <row r="161" ht="22.5" customHeight="1">
      <c r="A161" s="24">
        <v>160.0</v>
      </c>
      <c r="B161" s="6" t="s">
        <v>4154</v>
      </c>
      <c r="C161" s="7" t="s">
        <v>4011</v>
      </c>
      <c r="D161" s="6" t="s">
        <v>1016</v>
      </c>
      <c r="E161" s="6" t="s">
        <v>4155</v>
      </c>
      <c r="G161" s="10">
        <v>160.0</v>
      </c>
      <c r="H161" s="9" t="s">
        <v>4156</v>
      </c>
      <c r="I161" s="9" t="s">
        <v>4014</v>
      </c>
      <c r="J161" s="9" t="s">
        <v>269</v>
      </c>
      <c r="K161" s="9" t="s">
        <v>4157</v>
      </c>
    </row>
    <row r="162" ht="22.5" customHeight="1">
      <c r="A162" s="22">
        <v>161.0</v>
      </c>
      <c r="B162" s="6" t="s">
        <v>4158</v>
      </c>
      <c r="C162" s="7" t="s">
        <v>3683</v>
      </c>
      <c r="D162" s="6" t="s">
        <v>1016</v>
      </c>
      <c r="E162" s="6" t="s">
        <v>4159</v>
      </c>
      <c r="G162" s="23">
        <v>161.0</v>
      </c>
      <c r="H162" s="9" t="s">
        <v>4160</v>
      </c>
      <c r="I162" s="9" t="s">
        <v>3686</v>
      </c>
      <c r="J162" s="9" t="s">
        <v>269</v>
      </c>
      <c r="K162" s="9" t="s">
        <v>4161</v>
      </c>
    </row>
    <row r="163" ht="22.5" customHeight="1">
      <c r="A163" s="24">
        <v>162.0</v>
      </c>
      <c r="B163" s="6" t="s">
        <v>4162</v>
      </c>
      <c r="C163" s="7" t="s">
        <v>4163</v>
      </c>
      <c r="D163" s="6" t="s">
        <v>3221</v>
      </c>
      <c r="E163" s="6" t="s">
        <v>4164</v>
      </c>
      <c r="G163" s="10">
        <v>162.0</v>
      </c>
      <c r="H163" s="9" t="s">
        <v>4165</v>
      </c>
      <c r="I163" s="9" t="s">
        <v>4163</v>
      </c>
      <c r="J163" s="11">
        <v>1930.0</v>
      </c>
      <c r="K163" s="9" t="s">
        <v>4166</v>
      </c>
    </row>
    <row r="164" ht="22.5" customHeight="1">
      <c r="A164" s="22">
        <v>163.0</v>
      </c>
      <c r="B164" s="6" t="s">
        <v>4167</v>
      </c>
      <c r="C164" s="7" t="s">
        <v>4168</v>
      </c>
      <c r="D164" s="6" t="s">
        <v>4169</v>
      </c>
      <c r="E164" s="6" t="s">
        <v>4170</v>
      </c>
      <c r="G164" s="23">
        <v>163.0</v>
      </c>
      <c r="H164" s="9" t="s">
        <v>4171</v>
      </c>
      <c r="I164" s="9" t="s">
        <v>4172</v>
      </c>
      <c r="J164" s="9" t="s">
        <v>4173</v>
      </c>
      <c r="K164" s="9" t="s">
        <v>4174</v>
      </c>
    </row>
    <row r="165" ht="22.5" customHeight="1">
      <c r="A165" s="24">
        <v>164.0</v>
      </c>
      <c r="B165" s="6" t="s">
        <v>4175</v>
      </c>
      <c r="C165" s="7" t="s">
        <v>4176</v>
      </c>
      <c r="D165" s="6" t="s">
        <v>4177</v>
      </c>
      <c r="E165" s="6" t="s">
        <v>4178</v>
      </c>
      <c r="G165" s="10">
        <v>164.0</v>
      </c>
      <c r="H165" s="9" t="s">
        <v>4179</v>
      </c>
      <c r="I165" s="9" t="s">
        <v>4180</v>
      </c>
      <c r="J165" s="9" t="s">
        <v>63</v>
      </c>
      <c r="K165" s="9" t="s">
        <v>4181</v>
      </c>
    </row>
    <row r="166" ht="22.5" customHeight="1">
      <c r="A166" s="26">
        <v>165.0</v>
      </c>
      <c r="B166" s="6" t="s">
        <v>4182</v>
      </c>
      <c r="C166" s="7" t="s">
        <v>4183</v>
      </c>
      <c r="D166" s="6" t="s">
        <v>3348</v>
      </c>
      <c r="E166" s="6" t="s">
        <v>4184</v>
      </c>
      <c r="G166" s="13">
        <v>165.0</v>
      </c>
      <c r="H166" s="9" t="s">
        <v>4185</v>
      </c>
      <c r="I166" s="9" t="s">
        <v>4186</v>
      </c>
      <c r="J166" s="9" t="s">
        <v>3352</v>
      </c>
      <c r="K166" s="9" t="s">
        <v>4187</v>
      </c>
    </row>
    <row r="167" ht="22.5" customHeight="1">
      <c r="A167" s="18">
        <v>166.0</v>
      </c>
      <c r="B167" s="6" t="s">
        <v>4188</v>
      </c>
      <c r="C167" s="7" t="s">
        <v>3906</v>
      </c>
      <c r="D167" s="6" t="s">
        <v>1016</v>
      </c>
      <c r="E167" s="6" t="s">
        <v>4189</v>
      </c>
      <c r="G167" s="10">
        <v>166.0</v>
      </c>
      <c r="H167" s="9" t="s">
        <v>4190</v>
      </c>
      <c r="I167" s="9" t="s">
        <v>3909</v>
      </c>
      <c r="J167" s="9" t="s">
        <v>269</v>
      </c>
      <c r="K167" s="9" t="s">
        <v>4191</v>
      </c>
    </row>
    <row r="168" ht="22.5" customHeight="1">
      <c r="A168" s="18">
        <v>166.0</v>
      </c>
      <c r="B168" s="6" t="s">
        <v>4192</v>
      </c>
      <c r="C168" s="7" t="s">
        <v>4193</v>
      </c>
      <c r="D168" s="6" t="s">
        <v>4194</v>
      </c>
      <c r="E168" s="6" t="s">
        <v>4195</v>
      </c>
      <c r="G168" s="8">
        <v>166.0</v>
      </c>
      <c r="H168" s="9" t="s">
        <v>4196</v>
      </c>
      <c r="I168" s="9" t="s">
        <v>4197</v>
      </c>
      <c r="J168" s="9" t="s">
        <v>4198</v>
      </c>
      <c r="K168" s="9" t="s">
        <v>4199</v>
      </c>
    </row>
    <row r="169" ht="22.5" customHeight="1">
      <c r="A169" s="18">
        <v>166.0</v>
      </c>
      <c r="B169" s="6" t="s">
        <v>4200</v>
      </c>
      <c r="C169" s="7" t="s">
        <v>4201</v>
      </c>
      <c r="D169" s="6" t="s">
        <v>3369</v>
      </c>
      <c r="E169" s="6" t="s">
        <v>4202</v>
      </c>
      <c r="G169" s="10">
        <v>166.0</v>
      </c>
      <c r="H169" s="9" t="s">
        <v>4203</v>
      </c>
      <c r="I169" s="9" t="s">
        <v>4204</v>
      </c>
      <c r="J169" s="9" t="s">
        <v>3373</v>
      </c>
      <c r="K169" s="9" t="s">
        <v>4205</v>
      </c>
    </row>
    <row r="170" ht="22.5" customHeight="1">
      <c r="A170" s="18">
        <v>166.0</v>
      </c>
      <c r="B170" s="6" t="s">
        <v>4206</v>
      </c>
      <c r="C170" s="7" t="s">
        <v>4207</v>
      </c>
      <c r="D170" s="6" t="s">
        <v>4208</v>
      </c>
      <c r="E170" s="6" t="s">
        <v>4209</v>
      </c>
      <c r="G170" s="8">
        <v>166.0</v>
      </c>
      <c r="H170" s="9" t="s">
        <v>4210</v>
      </c>
      <c r="I170" s="9" t="s">
        <v>4211</v>
      </c>
      <c r="J170" s="9" t="s">
        <v>4212</v>
      </c>
      <c r="K170" s="9" t="s">
        <v>4213</v>
      </c>
    </row>
    <row r="171" ht="22.5" customHeight="1">
      <c r="A171" s="18">
        <v>166.0</v>
      </c>
      <c r="B171" s="6" t="s">
        <v>4214</v>
      </c>
      <c r="C171" s="7" t="s">
        <v>3683</v>
      </c>
      <c r="D171" s="6" t="s">
        <v>1016</v>
      </c>
      <c r="E171" s="6" t="s">
        <v>4215</v>
      </c>
      <c r="G171" s="10">
        <v>166.0</v>
      </c>
      <c r="H171" s="9" t="s">
        <v>4216</v>
      </c>
      <c r="I171" s="9" t="s">
        <v>3686</v>
      </c>
      <c r="J171" s="9" t="s">
        <v>269</v>
      </c>
      <c r="K171" s="9" t="s">
        <v>4217</v>
      </c>
    </row>
    <row r="172" ht="22.5" customHeight="1">
      <c r="A172" s="18">
        <v>166.0</v>
      </c>
      <c r="B172" s="6" t="s">
        <v>4218</v>
      </c>
      <c r="C172" s="7" t="s">
        <v>4219</v>
      </c>
      <c r="D172" s="6" t="s">
        <v>4220</v>
      </c>
      <c r="E172" s="6" t="s">
        <v>4221</v>
      </c>
      <c r="G172" s="8">
        <v>166.0</v>
      </c>
      <c r="H172" s="9" t="s">
        <v>4222</v>
      </c>
      <c r="I172" s="9" t="s">
        <v>4219</v>
      </c>
      <c r="J172" s="9" t="s">
        <v>4223</v>
      </c>
      <c r="K172" s="9" t="s">
        <v>4224</v>
      </c>
    </row>
    <row r="173" ht="22.5" customHeight="1">
      <c r="A173" s="18">
        <v>166.0</v>
      </c>
      <c r="B173" s="6" t="s">
        <v>3795</v>
      </c>
      <c r="C173" s="7" t="s">
        <v>3796</v>
      </c>
      <c r="D173" s="6" t="s">
        <v>1016</v>
      </c>
      <c r="E173" s="6" t="s">
        <v>3797</v>
      </c>
      <c r="G173" s="27">
        <v>166.0</v>
      </c>
      <c r="H173" s="9" t="s">
        <v>3798</v>
      </c>
      <c r="I173" s="9" t="s">
        <v>3799</v>
      </c>
      <c r="J173" s="9" t="s">
        <v>269</v>
      </c>
      <c r="K173" s="9" t="s">
        <v>3800</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37.63"/>
    <col customWidth="1" min="3" max="4" width="35.0"/>
    <col customWidth="1" min="5" max="5" width="37.63"/>
    <col customWidth="1" min="7" max="8" width="13.0"/>
    <col customWidth="1" min="10" max="10" width="27.0"/>
    <col customWidth="1" min="11" max="11" width="37.63"/>
  </cols>
  <sheetData>
    <row r="1" ht="22.5" customHeight="1">
      <c r="A1" s="3" t="s">
        <v>0</v>
      </c>
      <c r="B1" s="1" t="s">
        <v>264</v>
      </c>
      <c r="C1" s="2" t="s">
        <v>2</v>
      </c>
      <c r="D1" s="1" t="s">
        <v>265</v>
      </c>
      <c r="E1" s="1" t="s">
        <v>4</v>
      </c>
      <c r="G1" s="3" t="s">
        <v>0</v>
      </c>
      <c r="H1" s="4" t="s">
        <v>5</v>
      </c>
      <c r="I1" s="4" t="s">
        <v>6</v>
      </c>
      <c r="J1" s="4" t="s">
        <v>7</v>
      </c>
      <c r="K1" s="4" t="s">
        <v>266</v>
      </c>
    </row>
    <row r="2" ht="22.5" customHeight="1">
      <c r="A2" s="22">
        <v>1.0</v>
      </c>
      <c r="B2" s="6" t="str">
        <f>IFERROR(__xludf.DUMMYFUNCTION("GOOGLETRANSLATE(H2, ""de"",""en"")"),"When did the first official Quoits competition take place?")</f>
        <v>When did the first official Quoits competition take place?</v>
      </c>
      <c r="C2" s="7" t="s">
        <v>4225</v>
      </c>
      <c r="D2" s="6" t="str">
        <f>IFERROR(__xludf.DUMMYFUNCTION("GOOGLETRANSLATE(J2, ""de"",""en"")"),"In 1880")</f>
        <v>In 1880</v>
      </c>
      <c r="E2" s="6" t="str">
        <f>IFERROR(__xludf.DUMMYFUNCTION("GOOGLETRANSLATE(K2, ""de"",""en"")"),"The first formal quoits competition probably took place in 1880.")</f>
        <v>The first formal quoits competition probably took place in 1880.</v>
      </c>
      <c r="G2" s="23">
        <v>1.0</v>
      </c>
      <c r="H2" s="9" t="s">
        <v>4226</v>
      </c>
      <c r="I2" s="9" t="s">
        <v>4227</v>
      </c>
      <c r="J2" s="9" t="s">
        <v>4228</v>
      </c>
      <c r="K2" s="9" t="s">
        <v>4229</v>
      </c>
    </row>
    <row r="3" ht="22.5" customHeight="1">
      <c r="A3" s="24">
        <v>2.0</v>
      </c>
      <c r="B3" s="6" t="str">
        <f>IFERROR(__xludf.DUMMYFUNCTION("GOOGLETRANSLATE(H3, ""de"",""en"")"),"Which country is credited with inventing quoits?")</f>
        <v>Which country is credited with inventing quoits?</v>
      </c>
      <c r="C3" s="7" t="s">
        <v>4230</v>
      </c>
      <c r="D3" s="6" t="str">
        <f>IFERROR(__xludf.DUMMYFUNCTION("GOOGLETRANSLATE(J3, ""de"",""en"")"),"England")</f>
        <v>England</v>
      </c>
      <c r="E3" s="6" t="str">
        <f>IFERROR(__xludf.DUMMYFUNCTION("GOOGLETRANSLATE(K3, ""de"",""en"")"),"Quoits originated in England, where it was popular as a traditional outdoor game.")</f>
        <v>Quoits originated in England, where it was popular as a traditional outdoor game.</v>
      </c>
      <c r="G3" s="10">
        <v>2.0</v>
      </c>
      <c r="H3" s="9" t="s">
        <v>4231</v>
      </c>
      <c r="I3" s="9" t="s">
        <v>4232</v>
      </c>
      <c r="J3" s="9" t="s">
        <v>2858</v>
      </c>
      <c r="K3" s="9" t="s">
        <v>4233</v>
      </c>
    </row>
    <row r="4" ht="22.5" customHeight="1">
      <c r="A4" s="22">
        <v>3.0</v>
      </c>
      <c r="B4" s="6" t="str">
        <f>IFERROR(__xludf.DUMMYFUNCTION("GOOGLETRANSLATE(H4, ""de"",""en"")"),"What material was primarily used for the rings in the early Quoits games?")</f>
        <v>What material was primarily used for the rings in the early Quoits games?</v>
      </c>
      <c r="C4" s="7" t="s">
        <v>4234</v>
      </c>
      <c r="D4" s="6" t="str">
        <f>IFERROR(__xludf.DUMMYFUNCTION("GOOGLETRANSLATE(J4, ""de"",""en"")"),"iron")</f>
        <v>iron</v>
      </c>
      <c r="E4" s="6" t="str">
        <f>IFERROR(__xludf.DUMMYFUNCTION("GOOGLETRANSLATE(K4, ""de"",""en"")"),"Early quoits were made of iron, which was often heated to glowing temperatures before being thrown.")</f>
        <v>Early quoits were made of iron, which was often heated to glowing temperatures before being thrown.</v>
      </c>
      <c r="G4" s="23">
        <v>3.0</v>
      </c>
      <c r="H4" s="9" t="s">
        <v>4235</v>
      </c>
      <c r="I4" s="9" t="s">
        <v>4236</v>
      </c>
      <c r="J4" s="9" t="s">
        <v>4237</v>
      </c>
      <c r="K4" s="9" t="s">
        <v>4238</v>
      </c>
    </row>
    <row r="5" ht="22.5" customHeight="1">
      <c r="A5" s="24">
        <v>4.0</v>
      </c>
      <c r="B5" s="6" t="str">
        <f>IFERROR(__xludf.DUMMYFUNCTION("GOOGLETRANSLATE(H5, ""de"",""en"")"),"In which year did Quoits become part of the Olympic Games?")</f>
        <v>In which year did Quoits become part of the Olympic Games?</v>
      </c>
      <c r="C5" s="7" t="s">
        <v>4239</v>
      </c>
      <c r="D5" s="6" t="str">
        <f>IFERROR(__xludf.DUMMYFUNCTION("GOOGLETRANSLATE(J5, ""de"",""en"")"),"It was never an Olympic sport.")</f>
        <v>It was never an Olympic sport.</v>
      </c>
      <c r="E5" s="6" t="str">
        <f>IFERROR(__xludf.DUMMYFUNCTION("GOOGLETRANSLATE(K5, ""de"",""en"")"),"Quoits was never an official Olympic event, but was considered for inclusion in the event at the beginning of the 20th century.")</f>
        <v>Quoits was never an official Olympic event, but was considered for inclusion in the event at the beginning of the 20th century.</v>
      </c>
      <c r="G5" s="10">
        <v>4.0</v>
      </c>
      <c r="H5" s="9" t="s">
        <v>4240</v>
      </c>
      <c r="I5" s="9" t="s">
        <v>4241</v>
      </c>
      <c r="J5" s="9" t="s">
        <v>4242</v>
      </c>
      <c r="K5" s="9" t="s">
        <v>4243</v>
      </c>
    </row>
    <row r="6" ht="22.5" customHeight="1">
      <c r="A6" s="22">
        <v>5.0</v>
      </c>
      <c r="B6" s="6" t="str">
        <f>IFERROR(__xludf.DUMMYFUNCTION("GOOGLETRANSLATE(H6, ""de"",""en"")"),"Was this the original form of the quoits played in ancient Greece?")</f>
        <v>Was this the original form of the quoits played in ancient Greece?</v>
      </c>
      <c r="C6" s="7" t="s">
        <v>4244</v>
      </c>
      <c r="D6" s="6" t="str">
        <f>IFERROR(__xludf.DUMMYFUNCTION("GOOGLETRANSLATE(J6, ""de"",""en"")"),"A form of discus throwing")</f>
        <v>A form of discus throwing</v>
      </c>
      <c r="E6" s="6" t="str">
        <f>IFERROR(__xludf.DUMMYFUNCTION("GOOGLETRANSLATE(K6, ""de"",""en"")"),"The ancient Greek game of quoits resembled discus throwing, in which metal discs were thrown from a distance.")</f>
        <v>The ancient Greek game of quoits resembled discus throwing, in which metal discs were thrown from a distance.</v>
      </c>
      <c r="G6" s="23">
        <v>5.0</v>
      </c>
      <c r="H6" s="9" t="s">
        <v>4245</v>
      </c>
      <c r="I6" s="9" t="s">
        <v>4246</v>
      </c>
      <c r="J6" s="9" t="s">
        <v>4247</v>
      </c>
      <c r="K6" s="9" t="s">
        <v>4248</v>
      </c>
    </row>
    <row r="7" ht="22.5" customHeight="1">
      <c r="A7" s="24">
        <v>6.0</v>
      </c>
      <c r="B7" s="6" t="str">
        <f>IFERROR(__xludf.DUMMYFUNCTION("GOOGLETRANSLATE(H7, ""de"",""en"")"),"Which famous English monarch is often associated with the promotion of quoits in the early 17th century?")</f>
        <v>Which famous English monarch is often associated with the promotion of quoits in the early 17th century?</v>
      </c>
      <c r="C7" s="7" t="s">
        <v>4249</v>
      </c>
      <c r="D7" s="6" t="str">
        <f>IFERROR(__xludf.DUMMYFUNCTION("GOOGLETRANSLATE(J7, ""de"",""en"")"),"King Charles II")</f>
        <v>King Charles II</v>
      </c>
      <c r="E7" s="6" t="str">
        <f>IFERROR(__xludf.DUMMYFUNCTION("GOOGLETRANSLATE(K7, ""de"",""en"")"),"King Charles II was a great enthusiast of sport and contributed to its spread during his reign in the 17th century.")</f>
        <v>King Charles II was a great enthusiast of sport and contributed to its spread during his reign in the 17th century.</v>
      </c>
      <c r="G7" s="10">
        <v>6.0</v>
      </c>
      <c r="H7" s="9" t="s">
        <v>4250</v>
      </c>
      <c r="I7" s="9" t="s">
        <v>4251</v>
      </c>
      <c r="J7" s="9" t="s">
        <v>4252</v>
      </c>
      <c r="K7" s="9" t="s">
        <v>4253</v>
      </c>
    </row>
    <row r="8" ht="22.5" customHeight="1">
      <c r="A8" s="22">
        <v>7.0</v>
      </c>
      <c r="B8" s="6" t="str">
        <f>IFERROR(__xludf.DUMMYFUNCTION("GOOGLETRANSLATE(H8, ""de"",""en"")"),"What was a significant rule change in quoits during the Victorian era?")</f>
        <v>What was a significant rule change in quoits during the Victorian era?</v>
      </c>
      <c r="C8" s="7" t="s">
        <v>4254</v>
      </c>
      <c r="D8" s="6" t="str">
        <f>IFERROR(__xludf.DUMMYFUNCTION("GOOGLETRANSLATE(J8, ""de"",""en"")"),"Introduction of a standardized ring size")</f>
        <v>Introduction of a standardized ring size</v>
      </c>
      <c r="E8" s="6" t="str">
        <f>IFERROR(__xludf.DUMMYFUNCTION("GOOGLETRANSLATE(K8, ""de"",""en"")"),"During the Victorian era, the size of the quoits rings was standardized to make the competitions uniform.")</f>
        <v>During the Victorian era, the size of the quoits rings was standardized to make the competitions uniform.</v>
      </c>
      <c r="G8" s="23">
        <v>7.0</v>
      </c>
      <c r="H8" s="9" t="s">
        <v>4255</v>
      </c>
      <c r="I8" s="9" t="s">
        <v>4256</v>
      </c>
      <c r="J8" s="9" t="s">
        <v>4257</v>
      </c>
      <c r="K8" s="9" t="s">
        <v>4258</v>
      </c>
    </row>
    <row r="9" ht="22.5" customHeight="1">
      <c r="A9" s="24">
        <v>8.0</v>
      </c>
      <c r="B9" s="6" t="str">
        <f>IFERROR(__xludf.DUMMYFUNCTION("GOOGLETRANSLATE(H9, ""de"",""en"")"),"What was the most important social environment for quotits in 19th-century England?")</f>
        <v>What was the most important social environment for quotits in 19th-century England?</v>
      </c>
      <c r="C9" s="7" t="s">
        <v>4259</v>
      </c>
      <c r="D9" s="6" t="str">
        <f>IFERROR(__xludf.DUMMYFUNCTION("GOOGLETRANSLATE(J9, ""de"",""en"")"),"pub gardens")</f>
        <v>pub gardens</v>
      </c>
      <c r="E9" s="6" t="str">
        <f>IFERROR(__xludf.DUMMYFUNCTION("GOOGLETRANSLATE(K9, ""de"",""en"")"),"In 19th-century England, quotations were often played in pub gardens, where it became a popular social pastime.")</f>
        <v>In 19th-century England, quotations were often played in pub gardens, where it became a popular social pastime.</v>
      </c>
      <c r="G9" s="10">
        <v>8.0</v>
      </c>
      <c r="H9" s="9" t="s">
        <v>4260</v>
      </c>
      <c r="I9" s="9" t="s">
        <v>4261</v>
      </c>
      <c r="J9" s="9" t="s">
        <v>4262</v>
      </c>
      <c r="K9" s="9" t="s">
        <v>4263</v>
      </c>
    </row>
    <row r="10" ht="22.5" customHeight="1">
      <c r="A10" s="22">
        <v>9.0</v>
      </c>
      <c r="B10" s="6" t="str">
        <f>IFERROR(__xludf.DUMMYFUNCTION("GOOGLETRANSLATE(H10, ""de"",""en"")"),"Which American state is known for its early association with quoits?")</f>
        <v>Which American state is known for its early association with quoits?</v>
      </c>
      <c r="C10" s="7" t="s">
        <v>4264</v>
      </c>
      <c r="D10" s="6" t="str">
        <f>IFERROR(__xludf.DUMMYFUNCTION("GOOGLETRANSLATE(J10, ""de"",""en"")"),"Pennsylvania")</f>
        <v>Pennsylvania</v>
      </c>
      <c r="E10" s="6" t="str">
        <f>IFERROR(__xludf.DUMMYFUNCTION("GOOGLETRANSLATE(K10, ""de"",""en"")"),"Pennsylvania was known in the 19th century for its numerous quoits leagues and tournaments.")</f>
        <v>Pennsylvania was known in the 19th century for its numerous quoits leagues and tournaments.</v>
      </c>
      <c r="G10" s="23">
        <v>9.0</v>
      </c>
      <c r="H10" s="9" t="s">
        <v>4265</v>
      </c>
      <c r="I10" s="9" t="s">
        <v>4266</v>
      </c>
      <c r="J10" s="9" t="s">
        <v>4267</v>
      </c>
      <c r="K10" s="9" t="s">
        <v>4268</v>
      </c>
    </row>
    <row r="11" ht="22.5" customHeight="1">
      <c r="A11" s="24">
        <v>10.0</v>
      </c>
      <c r="B11" s="6" t="str">
        <f>IFERROR(__xludf.DUMMYFUNCTION("GOOGLETRANSLATE(H11, ""de"",""en"")"),"What is the name of the professional association for quoits in the United Kingdom?")</f>
        <v>What is the name of the professional association for quoits in the United Kingdom?</v>
      </c>
      <c r="C11" s="7" t="s">
        <v>4269</v>
      </c>
      <c r="D11" s="6" t="str">
        <f>IFERROR(__xludf.DUMMYFUNCTION("GOOGLETRANSLATE(J11, ""de"",""en"")"),"National Quoits Association")</f>
        <v>National Quoits Association</v>
      </c>
      <c r="E11" s="6" t="str">
        <f>IFERROR(__xludf.DUMMYFUNCTION("GOOGLETRANSLATE(K11, ""de"",""en"")"),"The National Quoits Association regulates the rules and organized competitions in the United Kingdom.")</f>
        <v>The National Quoits Association regulates the rules and organized competitions in the United Kingdom.</v>
      </c>
      <c r="G11" s="10">
        <v>10.0</v>
      </c>
      <c r="H11" s="9" t="s">
        <v>4270</v>
      </c>
      <c r="I11" s="9" t="s">
        <v>4271</v>
      </c>
      <c r="J11" s="9" t="s">
        <v>4272</v>
      </c>
      <c r="K11" s="9" t="s">
        <v>4273</v>
      </c>
    </row>
    <row r="12" ht="22.5" customHeight="1">
      <c r="A12" s="22">
        <v>11.0</v>
      </c>
      <c r="B12" s="6" t="str">
        <f>IFERROR(__xludf.DUMMYFUNCTION("GOOGLETRANSLATE(H12, ""de"",""en"")"),"What type of quotient became the standard for competition in the 20th century?")</f>
        <v>What type of quotient became the standard for competition in the 20th century?</v>
      </c>
      <c r="C12" s="7" t="s">
        <v>4274</v>
      </c>
      <c r="D12" s="6" t="str">
        <f>IFERROR(__xludf.DUMMYFUNCTION("GOOGLETRANSLATE(J12, ""de"",""en"")"),"Steel")</f>
        <v>Steel</v>
      </c>
      <c r="E12" s="6" t="str">
        <f>IFERROR(__xludf.DUMMYFUNCTION("GOOGLETRANSLATE(K12, ""de"",""en"")"),"Steel quoits became the standard for competitive games in the 20th century due to their durability and resilience.")</f>
        <v>Steel quoits became the standard for competitive games in the 20th century due to their durability and resilience.</v>
      </c>
      <c r="G12" s="23">
        <v>11.0</v>
      </c>
      <c r="H12" s="9" t="s">
        <v>4275</v>
      </c>
      <c r="I12" s="9" t="s">
        <v>4276</v>
      </c>
      <c r="J12" s="9" t="s">
        <v>2726</v>
      </c>
      <c r="K12" s="9" t="s">
        <v>4277</v>
      </c>
    </row>
    <row r="13" ht="22.5" customHeight="1">
      <c r="A13" s="24">
        <v>12.0</v>
      </c>
      <c r="B13" s="6" t="str">
        <f>IFERROR(__xludf.DUMMYFUNCTION("GOOGLETRANSLATE(H13, ""de"",""en"")"),"Where did quoits gain widespread popularity outside of England in the early 20th century?")</f>
        <v>Where did quoits gain widespread popularity outside of England in the early 20th century?</v>
      </c>
      <c r="C13" s="7" t="s">
        <v>4278</v>
      </c>
      <c r="D13" s="6" t="str">
        <f>IFERROR(__xludf.DUMMYFUNCTION("GOOGLETRANSLATE(J13, ""de"",""en"")"),"United States")</f>
        <v>United States</v>
      </c>
      <c r="E13" s="6" t="str">
        <f>IFERROR(__xludf.DUMMYFUNCTION("GOOGLETRANSLATE(K13, ""de"",""en"")"),"Quoits enjoyed great popularity in the United States, especially in Pennsylvania, where many quoits clubs were established.")</f>
        <v>Quoits enjoyed great popularity in the United States, especially in Pennsylvania, where many quoits clubs were established.</v>
      </c>
      <c r="G13" s="10">
        <v>12.0</v>
      </c>
      <c r="H13" s="9" t="s">
        <v>4279</v>
      </c>
      <c r="I13" s="9" t="s">
        <v>4280</v>
      </c>
      <c r="J13" s="9" t="s">
        <v>3066</v>
      </c>
      <c r="K13" s="9" t="s">
        <v>4281</v>
      </c>
    </row>
    <row r="14" ht="22.5" customHeight="1">
      <c r="A14" s="22">
        <v>13.0</v>
      </c>
      <c r="B14" s="6" t="str">
        <f>IFERROR(__xludf.DUMMYFUNCTION("GOOGLETRANSLATE(H14, ""de"",""en"")"),"Which aspect of Quoits was modified in the 19th century to create the modern version of the game?")</f>
        <v>Which aspect of Quoits was modified in the 19th century to create the modern version of the game?</v>
      </c>
      <c r="C14" s="7" t="s">
        <v>4282</v>
      </c>
      <c r="D14" s="6" t="str">
        <f>IFERROR(__xludf.DUMMYFUNCTION("GOOGLETRANSLATE(J14, ""de"",""en"")"),"The target area")</f>
        <v>The target area</v>
      </c>
      <c r="E14" s="6" t="str">
        <f>IFERROR(__xludf.DUMMYFUNCTION("GOOGLETRANSLATE(K14, ""de"",""en"")"),"In the 19th century, the target area was changed and a smaller target was introduced to make the game more competitive.")</f>
        <v>In the 19th century, the target area was changed and a smaller target was introduced to make the game more competitive.</v>
      </c>
      <c r="G14" s="23">
        <v>13.0</v>
      </c>
      <c r="H14" s="9" t="s">
        <v>4283</v>
      </c>
      <c r="I14" s="9" t="s">
        <v>4284</v>
      </c>
      <c r="J14" s="9" t="s">
        <v>4285</v>
      </c>
      <c r="K14" s="9" t="s">
        <v>4286</v>
      </c>
    </row>
    <row r="15" ht="22.5" customHeight="1">
      <c r="A15" s="24">
        <v>14.0</v>
      </c>
      <c r="B15" s="6" t="str">
        <f>IFERROR(__xludf.DUMMYFUNCTION("GOOGLETRANSLATE(H15, ""de"",""en"")"),"What type of ring was traditionally used in quoits competitions of the early 20th century?")</f>
        <v>What type of ring was traditionally used in quoits competitions of the early 20th century?</v>
      </c>
      <c r="C15" s="7" t="s">
        <v>4287</v>
      </c>
      <c r="D15" s="6" t="str">
        <f>IFERROR(__xludf.DUMMYFUNCTION("GOOGLETRANSLATE(J15, ""de"",""en"")"),"Flat iron rings")</f>
        <v>Flat iron rings</v>
      </c>
      <c r="E15" s="6" t="str">
        <f>IFERROR(__xludf.DUMMYFUNCTION("GOOGLETRANSLATE(K15, ""de"",""en"")"),"Traditionally, flat iron rings were used in competitions during the 20th century to ensure a uniform shape and weight.")</f>
        <v>Traditionally, flat iron rings were used in competitions during the 20th century to ensure a uniform shape and weight.</v>
      </c>
      <c r="G15" s="10">
        <v>14.0</v>
      </c>
      <c r="H15" s="9" t="s">
        <v>4288</v>
      </c>
      <c r="I15" s="9" t="s">
        <v>4289</v>
      </c>
      <c r="J15" s="9" t="s">
        <v>4290</v>
      </c>
      <c r="K15" s="9" t="s">
        <v>4291</v>
      </c>
    </row>
    <row r="16" ht="22.5" customHeight="1">
      <c r="A16" s="22">
        <v>15.0</v>
      </c>
      <c r="B16" s="6" t="str">
        <f>IFERROR(__xludf.DUMMYFUNCTION("GOOGLETRANSLATE(H16, ""de"",""en"")"),"Who introduced the concept of standardizing quotient competitions?")</f>
        <v>Who introduced the concept of standardizing quotient competitions?</v>
      </c>
      <c r="C16" s="7" t="s">
        <v>4292</v>
      </c>
      <c r="D16" s="6" t="str">
        <f>IFERROR(__xludf.DUMMYFUNCTION("GOOGLETRANSLATE(J16, ""de"",""en"")"),"Sir Thomas Smythe")</f>
        <v>Sir Thomas Smythe</v>
      </c>
      <c r="E16" s="6" t="str">
        <f>IFERROR(__xludf.DUMMYFUNCTION("GOOGLETRANSLATE(K16, ""de"",""en"")"),"Sir Thomas Smythe played a key role in the standardization of quoits competitions in the late 19th century.")</f>
        <v>Sir Thomas Smythe played a key role in the standardization of quoits competitions in the late 19th century.</v>
      </c>
      <c r="G16" s="23">
        <v>15.0</v>
      </c>
      <c r="H16" s="9" t="s">
        <v>4293</v>
      </c>
      <c r="I16" s="9" t="s">
        <v>4294</v>
      </c>
      <c r="J16" s="9" t="s">
        <v>4295</v>
      </c>
      <c r="K16" s="9" t="s">
        <v>4296</v>
      </c>
    </row>
    <row r="17" ht="22.5" customHeight="1">
      <c r="A17" s="24">
        <v>16.0</v>
      </c>
      <c r="B17" s="6" t="str">
        <f>IFERROR(__xludf.DUMMYFUNCTION("GOOGLETRANSLATE(H17, ""de"",""en"")"),"In which decade did quoits begin to lose popularity in favor of other sports such as darts?")</f>
        <v>In which decade did quoits begin to lose popularity in favor of other sports such as darts?</v>
      </c>
      <c r="C17" s="7" t="s">
        <v>4297</v>
      </c>
      <c r="D17" s="6" t="str">
        <f>IFERROR(__xludf.DUMMYFUNCTION("GOOGLETRANSLATE(J17, ""de"",""en"")"),"1930s")</f>
        <v>1930s</v>
      </c>
      <c r="E17" s="6" t="str">
        <f>IFERROR(__xludf.DUMMYFUNCTION("GOOGLETRANSLATE(K17, ""de"",""en"")"),"In the 1930s, the popularity of quoits declined as other pub games such as darts became more popular.")</f>
        <v>In the 1930s, the popularity of quoits declined as other pub games such as darts became more popular.</v>
      </c>
      <c r="G17" s="10">
        <v>16.0</v>
      </c>
      <c r="H17" s="9" t="s">
        <v>4298</v>
      </c>
      <c r="I17" s="9" t="s">
        <v>4299</v>
      </c>
      <c r="J17" s="9" t="s">
        <v>2877</v>
      </c>
      <c r="K17" s="9" t="s">
        <v>4300</v>
      </c>
    </row>
    <row r="18" ht="22.5" customHeight="1">
      <c r="A18" s="22">
        <v>17.0</v>
      </c>
      <c r="B18" s="6" t="str">
        <f>IFERROR(__xludf.DUMMYFUNCTION("GOOGLETRANSLATE(H18, ""de"",""en"")"),"Which part of quoits was used for betting at the beginning of the 20th century?")</f>
        <v>Which part of quoits was used for betting at the beginning of the 20th century?</v>
      </c>
      <c r="C18" s="7" t="s">
        <v>4301</v>
      </c>
      <c r="D18" s="6" t="str">
        <f>IFERROR(__xludf.DUMMYFUNCTION("GOOGLETRANSLATE(J18, ""de"",""en"")"),"The Rings")</f>
        <v>The Rings</v>
      </c>
      <c r="E18" s="6" t="str">
        <f>IFERROR(__xludf.DUMMYFUNCTION("GOOGLETRANSLATE(K18, ""de"",""en"")"),"At the beginning of the 20th century, bets were often based on the number of successful ring tosses.")</f>
        <v>At the beginning of the 20th century, bets were often based on the number of successful ring tosses.</v>
      </c>
      <c r="G18" s="23">
        <v>17.0</v>
      </c>
      <c r="H18" s="9" t="s">
        <v>4302</v>
      </c>
      <c r="I18" s="9" t="s">
        <v>4303</v>
      </c>
      <c r="J18" s="9" t="s">
        <v>4304</v>
      </c>
      <c r="K18" s="9" t="s">
        <v>4305</v>
      </c>
    </row>
    <row r="19" ht="22.5" customHeight="1">
      <c r="A19" s="24">
        <v>18.0</v>
      </c>
      <c r="B19" s="6" t="str">
        <f>IFERROR(__xludf.DUMMYFUNCTION("GOOGLETRANSLATE(H19, ""de"",""en"")"),"Which US president was known to play Quoits in his free time?")</f>
        <v>Which US president was known to play Quoits in his free time?</v>
      </c>
      <c r="C19" s="7" t="s">
        <v>4306</v>
      </c>
      <c r="D19" s="6" t="str">
        <f>IFERROR(__xludf.DUMMYFUNCTION("GOOGLETRANSLATE(J19, ""de"",""en"")"),"Theodore Roosevelt")</f>
        <v>Theodore Roosevelt</v>
      </c>
      <c r="E19" s="6" t="str">
        <f>IFERROR(__xludf.DUMMYFUNCTION("GOOGLETRANSLATE(K19, ""de"",""en"")"),"Theodore Roosevelt was known for his enjoyment of quoits and other outdoor games during his presidency.")</f>
        <v>Theodore Roosevelt was known for his enjoyment of quoits and other outdoor games during his presidency.</v>
      </c>
      <c r="G19" s="10">
        <v>18.0</v>
      </c>
      <c r="H19" s="9" t="s">
        <v>4307</v>
      </c>
      <c r="I19" s="9" t="s">
        <v>4306</v>
      </c>
      <c r="J19" s="9" t="s">
        <v>4308</v>
      </c>
      <c r="K19" s="9" t="s">
        <v>4309</v>
      </c>
    </row>
    <row r="20" ht="22.5" customHeight="1">
      <c r="A20" s="22">
        <v>19.0</v>
      </c>
      <c r="B20" s="6" t="str">
        <f>IFERROR(__xludf.DUMMYFUNCTION("GOOGLETRANSLATE(H20, ""de"",""en"")"),"What was the original name of Quoits when it was played in ancient times?")</f>
        <v>What was the original name of Quoits when it was played in ancient times?</v>
      </c>
      <c r="C20" s="7" t="s">
        <v>4310</v>
      </c>
      <c r="D20" s="6" t="str">
        <f>IFERROR(__xludf.DUMMYFUNCTION("GOOGLETRANSLATE(J20, ""de"",""en"")"),"discus throwing")</f>
        <v>discus throwing</v>
      </c>
      <c r="E20" s="6" t="str">
        <f>IFERROR(__xludf.DUMMYFUNCTION("GOOGLETRANSLATE(K20, ""de"",""en"")"),"In ancient times, the game was called discus throwing, as the rings were often large discs of stone or metal.")</f>
        <v>In ancient times, the game was called discus throwing, as the rings were often large discs of stone or metal.</v>
      </c>
      <c r="G20" s="23">
        <v>19.0</v>
      </c>
      <c r="H20" s="9" t="s">
        <v>4311</v>
      </c>
      <c r="I20" s="9" t="s">
        <v>4312</v>
      </c>
      <c r="J20" s="9" t="s">
        <v>4313</v>
      </c>
      <c r="K20" s="9" t="s">
        <v>4314</v>
      </c>
    </row>
    <row r="21" ht="22.5" customHeight="1">
      <c r="A21" s="24">
        <v>20.0</v>
      </c>
      <c r="B21" s="6" t="str">
        <f>IFERROR(__xludf.DUMMYFUNCTION("GOOGLETRANSLATE(H21, ""de"",""en"")"),"Which professional organization holds national quotits competitions in the United Kingdom?")</f>
        <v>Which professional organization holds national quotits competitions in the United Kingdom?</v>
      </c>
      <c r="C21" s="7" t="s">
        <v>4315</v>
      </c>
      <c r="D21" s="6" t="str">
        <f>IFERROR(__xludf.DUMMYFUNCTION("GOOGLETRANSLATE(J21, ""de"",""en"")"),"The Quoits Association")</f>
        <v>The Quoits Association</v>
      </c>
      <c r="E21" s="6" t="str">
        <f>IFERROR(__xludf.DUMMYFUNCTION("GOOGLETRANSLATE(K21, ""de"",""en"")"),"The Quoits Association is the main umbrella organization for competitive quoits in the United Kingdom.")</f>
        <v>The Quoits Association is the main umbrella organization for competitive quoits in the United Kingdom.</v>
      </c>
      <c r="G21" s="10">
        <v>20.0</v>
      </c>
      <c r="H21" s="9" t="s">
        <v>4316</v>
      </c>
      <c r="I21" s="9" t="s">
        <v>4317</v>
      </c>
      <c r="J21" s="9" t="s">
        <v>4318</v>
      </c>
      <c r="K21" s="9" t="s">
        <v>4319</v>
      </c>
    </row>
    <row r="22" ht="22.5" customHeight="1">
      <c r="A22" s="22">
        <v>21.0</v>
      </c>
      <c r="B22" s="6" t="str">
        <f>IFERROR(__xludf.DUMMYFUNCTION("GOOGLETRANSLATE(H22, ""de"",""en"")"),"Which early quoits champion from Great Britain was known as the ""King of Quoits""?")</f>
        <v>Which early quoits champion from Great Britain was known as the "King of Quoits"?</v>
      </c>
      <c r="C22" s="7" t="s">
        <v>4320</v>
      </c>
      <c r="D22" s="6" t="str">
        <f>IFERROR(__xludf.DUMMYFUNCTION("GOOGLETRANSLATE(J22, ""de"",""en"")"),"John Taylor")</f>
        <v>John Taylor</v>
      </c>
      <c r="E22" s="6" t="str">
        <f>IFERROR(__xludf.DUMMYFUNCTION("GOOGLETRANSLATE(K22, ""de"",""en"")"),"John Taylor was known as the ""King of Quoits"" due to his dominance in the sport in the late 19th century.")</f>
        <v>John Taylor was known as the "King of Quoits" due to his dominance in the sport in the late 19th century.</v>
      </c>
      <c r="G22" s="23">
        <v>21.0</v>
      </c>
      <c r="H22" s="9" t="s">
        <v>4321</v>
      </c>
      <c r="I22" s="9" t="s">
        <v>4320</v>
      </c>
      <c r="J22" s="9" t="s">
        <v>4322</v>
      </c>
      <c r="K22" s="9" t="s">
        <v>4323</v>
      </c>
    </row>
    <row r="23" ht="22.5" customHeight="1">
      <c r="A23" s="24">
        <v>22.0</v>
      </c>
      <c r="B23" s="6" t="str">
        <f>IFERROR(__xludf.DUMMYFUNCTION("GOOGLETRANSLATE(H23, ""de"",""en"")"),"What was the most common throwing technique in early quoits competitions?")</f>
        <v>What was the most common throwing technique in early quoits competitions?</v>
      </c>
      <c r="C23" s="7" t="s">
        <v>4324</v>
      </c>
      <c r="D23" s="6" t="str">
        <f>IFERROR(__xludf.DUMMYFUNCTION("GOOGLETRANSLATE(J23, ""de"",""en"")"),"Overhand throw")</f>
        <v>Overhand throw</v>
      </c>
      <c r="E23" s="6" t="str">
        <f>IFERROR(__xludf.DUMMYFUNCTION("GOOGLETRANSLATE(K23, ""de"",""en"")"),"The overhand throw was the most common technique in early quoits competitions, although there were variations.")</f>
        <v>The overhand throw was the most common technique in early quoits competitions, although there were variations.</v>
      </c>
      <c r="G23" s="10">
        <v>22.0</v>
      </c>
      <c r="H23" s="9" t="s">
        <v>4325</v>
      </c>
      <c r="I23" s="9" t="s">
        <v>4326</v>
      </c>
      <c r="J23" s="9" t="s">
        <v>4327</v>
      </c>
      <c r="K23" s="9" t="s">
        <v>4328</v>
      </c>
    </row>
    <row r="24" ht="22.5" customHeight="1">
      <c r="A24" s="22">
        <v>23.0</v>
      </c>
      <c r="B24" s="6" t="str">
        <f>IFERROR(__xludf.DUMMYFUNCTION("GOOGLETRANSLATE(H24, ""de"",""en"")"),"Was the war in the early 1900s the usual distance for quoits tournaments?")</f>
        <v>Was the war in the early 1900s the usual distance for quoits tournaments?</v>
      </c>
      <c r="C24" s="7" t="s">
        <v>4329</v>
      </c>
      <c r="D24" s="6" t="str">
        <f>IFERROR(__xludf.DUMMYFUNCTION("GOOGLETRANSLATE(J24, ""de"",""en"")"),"30 feet")</f>
        <v>30 feet</v>
      </c>
      <c r="E24" s="6" t="str">
        <f>IFERROR(__xludf.DUMMYFUNCTION("GOOGLETRANSLATE(K24, ""de"",""en"")"),"In tournaments at the beginning of the 20th century, the distance from the throwing line to the target was often 30 feet.")</f>
        <v>In tournaments at the beginning of the 20th century, the distance from the throwing line to the target was often 30 feet.</v>
      </c>
      <c r="G24" s="23">
        <v>23.0</v>
      </c>
      <c r="H24" s="9" t="s">
        <v>4330</v>
      </c>
      <c r="I24" s="9" t="s">
        <v>4331</v>
      </c>
      <c r="J24" s="9" t="s">
        <v>4332</v>
      </c>
      <c r="K24" s="9" t="s">
        <v>4333</v>
      </c>
    </row>
    <row r="25" ht="22.5" customHeight="1">
      <c r="A25" s="24">
        <v>24.0</v>
      </c>
      <c r="B25" s="6" t="str">
        <f>IFERROR(__xludf.DUMMYFUNCTION("GOOGLETRANSLATE(H25, ""de"",""en"")"),"Which organization was founded in 1890 to regulate quotations in the United Kingdom?")</f>
        <v>Which organization was founded in 1890 to regulate quotations in the United Kingdom?</v>
      </c>
      <c r="C25" s="7" t="s">
        <v>4334</v>
      </c>
      <c r="D25" s="6" t="str">
        <f>IFERROR(__xludf.DUMMYFUNCTION("GOOGLETRANSLATE(J25, ""de"",""en"")"),"The National Quoits Association")</f>
        <v>The National Quoits Association</v>
      </c>
      <c r="E25" s="6" t="str">
        <f>IFERROR(__xludf.DUMMYFUNCTION("GOOGLETRANSLATE(K25, ""de"",""en"")"),"The National Quoits Association was founded in 1890 to regulate and standardize the rules of the sport in the United Kingdom.")</f>
        <v>The National Quoits Association was founded in 1890 to regulate and standardize the rules of the sport in the United Kingdom.</v>
      </c>
      <c r="G25" s="10">
        <v>24.0</v>
      </c>
      <c r="H25" s="9" t="s">
        <v>4335</v>
      </c>
      <c r="I25" s="9" t="s">
        <v>4336</v>
      </c>
      <c r="J25" s="9" t="s">
        <v>4337</v>
      </c>
      <c r="K25" s="9" t="s">
        <v>4338</v>
      </c>
    </row>
    <row r="26" ht="22.5" customHeight="1">
      <c r="A26" s="22">
        <v>25.0</v>
      </c>
      <c r="B26" s="6" t="str">
        <f>IFERROR(__xludf.DUMMYFUNCTION("GOOGLETRANSLATE(H26, ""de"",""en"")"),"Who was the first American to win a major quoits competition?")</f>
        <v>Who was the first American to win a major quoits competition?</v>
      </c>
      <c r="C26" s="7" t="s">
        <v>4339</v>
      </c>
      <c r="D26" s="6" t="str">
        <f>IFERROR(__xludf.DUMMYFUNCTION("GOOGLETRANSLATE(J26, ""de"",""en"")"),"James Johnson")</f>
        <v>James Johnson</v>
      </c>
      <c r="E26" s="6" t="str">
        <f>IFERROR(__xludf.DUMMYFUNCTION("GOOGLETRANSLATE(K26, ""de"",""en"")"),"James Johnson was the first American to win a major quoits competition at the end of the 19th century.")</f>
        <v>James Johnson was the first American to win a major quoits competition at the end of the 19th century.</v>
      </c>
      <c r="G26" s="23">
        <v>25.0</v>
      </c>
      <c r="H26" s="9" t="s">
        <v>4340</v>
      </c>
      <c r="I26" s="9" t="s">
        <v>4339</v>
      </c>
      <c r="J26" s="9" t="s">
        <v>4341</v>
      </c>
      <c r="K26" s="9" t="s">
        <v>4342</v>
      </c>
    </row>
    <row r="27" ht="22.5" customHeight="1">
      <c r="A27" s="24">
        <v>26.0</v>
      </c>
      <c r="B27" s="6" t="str">
        <f>IFERROR(__xludf.DUMMYFUNCTION("GOOGLETRANSLATE(H27, ""de"",""en"")"),"In what year did Quoits become more widely known in the United States?")</f>
        <v>In what year did Quoits become more widely known in the United States?</v>
      </c>
      <c r="C27" s="7" t="s">
        <v>4343</v>
      </c>
      <c r="D27" s="6" t="str">
        <f>IFERROR(__xludf.DUMMYFUNCTION("GOOGLETRANSLATE(J27, ""de"",""en"")"),"1870s")</f>
        <v>1870s</v>
      </c>
      <c r="E27" s="6" t="str">
        <f>IFERROR(__xludf.DUMMYFUNCTION("GOOGLETRANSLATE(K27, ""de"",""en"")"),"Quoits began to gain popularity in the United States in the 1870s, and many regional tournaments were established.")</f>
        <v>Quoits began to gain popularity in the United States in the 1870s, and many regional tournaments were established.</v>
      </c>
      <c r="G27" s="10">
        <v>26.0</v>
      </c>
      <c r="H27" s="9" t="s">
        <v>4344</v>
      </c>
      <c r="I27" s="9" t="s">
        <v>4345</v>
      </c>
      <c r="J27" s="9" t="s">
        <v>4346</v>
      </c>
      <c r="K27" s="9" t="s">
        <v>4347</v>
      </c>
    </row>
    <row r="28" ht="22.5" customHeight="1">
      <c r="A28" s="22">
        <v>27.0</v>
      </c>
      <c r="B28" s="6" t="str">
        <f>IFERROR(__xludf.DUMMYFUNCTION("GOOGLETRANSLATE(H28, ""de"",""en"")"),"At which international event was Quoits first presented as a competitive sport?")</f>
        <v>At which international event was Quoits first presented as a competitive sport?</v>
      </c>
      <c r="C28" s="7" t="s">
        <v>4348</v>
      </c>
      <c r="D28" s="6" t="str">
        <f>IFERROR(__xludf.DUMMYFUNCTION("GOOGLETRANSLATE(J28, ""de"",""en"")"),"The World's Fair in Chicago")</f>
        <v>The World's Fair in Chicago</v>
      </c>
      <c r="E28" s="6" t="str">
        <f>IFERROR(__xludf.DUMMYFUNCTION("GOOGLETRANSLATE(K28, ""de"",""en"")"),"Quoits was first presented as a competitive sport at the 1893 World's Columbian Exposition in Chicago.")</f>
        <v>Quoits was first presented as a competitive sport at the 1893 World's Columbian Exposition in Chicago.</v>
      </c>
      <c r="G28" s="23">
        <v>27.0</v>
      </c>
      <c r="H28" s="9" t="s">
        <v>4349</v>
      </c>
      <c r="I28" s="9" t="s">
        <v>4350</v>
      </c>
      <c r="J28" s="9" t="s">
        <v>4351</v>
      </c>
      <c r="K28" s="9" t="s">
        <v>4352</v>
      </c>
    </row>
    <row r="29" ht="22.5" customHeight="1">
      <c r="A29" s="24">
        <v>28.0</v>
      </c>
      <c r="B29" s="6" t="str">
        <f>IFERROR(__xludf.DUMMYFUNCTION("GOOGLETRANSLATE(H29, ""de"",""en"")"),"In which year did Quoits experience a significant surge in popularity in the United States?")</f>
        <v>In which year did Quoits experience a significant surge in popularity in the United States?</v>
      </c>
      <c r="C29" s="7" t="s">
        <v>4353</v>
      </c>
      <c r="D29" s="6" t="str">
        <f>IFERROR(__xludf.DUMMYFUNCTION("GOOGLETRANSLATE(J29, ""de"",""en"")"),"1884")</f>
        <v>1884</v>
      </c>
      <c r="E29" s="6" t="str">
        <f>IFERROR(__xludf.DUMMYFUNCTION("GOOGLETRANSLATE(K29, ""de"",""en"")"),"In 1884, quoits experienced a surge in popularity in the United States due to the emergence of social clubs.")</f>
        <v>In 1884, quoits experienced a surge in popularity in the United States due to the emergence of social clubs.</v>
      </c>
      <c r="G29" s="10">
        <v>28.0</v>
      </c>
      <c r="H29" s="9" t="s">
        <v>4354</v>
      </c>
      <c r="I29" s="9" t="s">
        <v>4353</v>
      </c>
      <c r="J29" s="11">
        <v>1884.0</v>
      </c>
      <c r="K29" s="9" t="s">
        <v>4355</v>
      </c>
    </row>
    <row r="30" ht="22.5" customHeight="1">
      <c r="A30" s="22">
        <v>29.0</v>
      </c>
      <c r="B30" s="6" t="str">
        <f>IFERROR(__xludf.DUMMYFUNCTION("GOOGLETRANSLATE(H30, ""de"",""en"")"),"What material were traditional quoits made of in the early days of the sport?")</f>
        <v>What material were traditional quoits made of in the early days of the sport?</v>
      </c>
      <c r="C30" s="7" t="s">
        <v>4356</v>
      </c>
      <c r="D30" s="6" t="str">
        <f>IFERROR(__xludf.DUMMYFUNCTION("GOOGLETRANSLATE(J30, ""de"",""en"")"),"wrought iron")</f>
        <v>wrought iron</v>
      </c>
      <c r="E30" s="6" t="str">
        <f>IFERROR(__xludf.DUMMYFUNCTION("GOOGLETRANSLATE(K30, ""de"",""en"")"),"Traditional quoits were made from wrought iron, which was durable and easy to forge.")</f>
        <v>Traditional quoits were made from wrought iron, which was durable and easy to forge.</v>
      </c>
      <c r="G30" s="23">
        <v>29.0</v>
      </c>
      <c r="H30" s="9" t="s">
        <v>4357</v>
      </c>
      <c r="I30" s="9" t="s">
        <v>4358</v>
      </c>
      <c r="J30" s="9" t="s">
        <v>4359</v>
      </c>
      <c r="K30" s="9" t="s">
        <v>4360</v>
      </c>
    </row>
    <row r="31" ht="22.5" customHeight="1">
      <c r="A31" s="24">
        <v>30.0</v>
      </c>
      <c r="B31" s="6" t="str">
        <f>IFERROR(__xludf.DUMMYFUNCTION("GOOGLETRANSLATE(H31, ""de"",""en"")"),"Who was the first modern-day Quoits World Champion?")</f>
        <v>Who was the first modern-day Quoits World Champion?</v>
      </c>
      <c r="C31" s="7" t="s">
        <v>4361</v>
      </c>
      <c r="D31" s="6" t="str">
        <f>IFERROR(__xludf.DUMMYFUNCTION("GOOGLETRANSLATE(J31, ""de"",""en"")"),"Fred Brown")</f>
        <v>Fred Brown</v>
      </c>
      <c r="E31" s="6" t="str">
        <f>IFERROR(__xludf.DUMMYFUNCTION("GOOGLETRANSLATE(K31, ""de"",""en"")"),"Fred Brown is often regarded as the first Quoits World Champion of the modern era, around 1905.")</f>
        <v>Fred Brown is often regarded as the first Quoits World Champion of the modern era, around 1905.</v>
      </c>
      <c r="G31" s="10">
        <v>30.0</v>
      </c>
      <c r="H31" s="9" t="s">
        <v>4362</v>
      </c>
      <c r="I31" s="9" t="s">
        <v>4361</v>
      </c>
      <c r="J31" s="9" t="s">
        <v>4363</v>
      </c>
      <c r="K31" s="9" t="s">
        <v>4364</v>
      </c>
    </row>
    <row r="32" ht="22.5" customHeight="1">
      <c r="A32" s="22">
        <v>31.0</v>
      </c>
      <c r="B32" s="6" t="str">
        <f>IFERROR(__xludf.DUMMYFUNCTION("GOOGLETRANSLATE(H32, ""de"",""en"")"),"What role did quoits play in 19th-century British pub culture?")</f>
        <v>What role did quoits play in 19th-century British pub culture?</v>
      </c>
      <c r="C32" s="7" t="s">
        <v>4365</v>
      </c>
      <c r="D32" s="6" t="str">
        <f>IFERROR(__xludf.DUMMYFUNCTION("GOOGLETRANSLATE(J32, ""de"",""en"")"),"A social pastime")</f>
        <v>A social pastime</v>
      </c>
      <c r="E32" s="6" t="str">
        <f>IFERROR(__xludf.DUMMYFUNCTION("GOOGLETRANSLATE(K32, ""de"",""en"")"),"Quoits were a popular social pastime in British pubs during the 19th century, often played after work or at gatherings.")</f>
        <v>Quoits were a popular social pastime in British pubs during the 19th century, often played after work or at gatherings.</v>
      </c>
      <c r="G32" s="23">
        <v>31.0</v>
      </c>
      <c r="H32" s="9" t="s">
        <v>4366</v>
      </c>
      <c r="I32" s="9" t="s">
        <v>4367</v>
      </c>
      <c r="J32" s="9" t="s">
        <v>4368</v>
      </c>
      <c r="K32" s="9" t="s">
        <v>4369</v>
      </c>
    </row>
    <row r="33" ht="22.5" customHeight="1">
      <c r="A33" s="24">
        <v>32.0</v>
      </c>
      <c r="B33" s="6" t="str">
        <f>IFERROR(__xludf.DUMMYFUNCTION("GOOGLETRANSLATE(H33, ""de"",""en"")"),"What is the name of the competition that the United States holds for quoits?")</f>
        <v>What is the name of the competition that the United States holds for quoits?</v>
      </c>
      <c r="C33" s="7" t="s">
        <v>4370</v>
      </c>
      <c r="D33" s="6" t="str">
        <f>IFERROR(__xludf.DUMMYFUNCTION("GOOGLETRANSLATE(J33, ""de"",""en"")"),"The National Quoits Championship")</f>
        <v>The National Quoits Championship</v>
      </c>
      <c r="E33" s="6" t="str">
        <f>IFERROR(__xludf.DUMMYFUNCTION("GOOGLETRANSLATE(K33, ""de"",""en"")"),"The United States hosts the National Quoits Championship every year, with participants from all over the country.")</f>
        <v>The United States hosts the National Quoits Championship every year, with participants from all over the country.</v>
      </c>
      <c r="G33" s="10">
        <v>32.0</v>
      </c>
      <c r="H33" s="9" t="s">
        <v>4371</v>
      </c>
      <c r="I33" s="9" t="s">
        <v>4372</v>
      </c>
      <c r="J33" s="9" t="s">
        <v>4373</v>
      </c>
      <c r="K33" s="9" t="s">
        <v>4374</v>
      </c>
    </row>
    <row r="34" ht="22.5" customHeight="1">
      <c r="A34" s="22">
        <v>33.0</v>
      </c>
      <c r="B34" s="6" t="str">
        <f>IFERROR(__xludf.DUMMYFUNCTION("GOOGLETRANSLATE(H34, ""de"",""en"")"),"Which famous English place is associated with quoits and the history of the sport?")</f>
        <v>Which famous English place is associated with quoits and the history of the sport?</v>
      </c>
      <c r="C34" s="7" t="s">
        <v>4375</v>
      </c>
      <c r="D34" s="6" t="str">
        <f>IFERROR(__xludf.DUMMYFUNCTION("GOOGLETRANSLATE(J34, ""de"",""en"")"),"The Royal Oak Pub")</f>
        <v>The Royal Oak Pub</v>
      </c>
      <c r="E34" s="6" t="str">
        <f>IFERROR(__xludf.DUMMYFUNCTION("GOOGLETRANSLATE(K34, ""de"",""en"")"),"The Royal Oak Pub in England has a historical association with Quoits, as it was a popular venue for the game.")</f>
        <v>The Royal Oak Pub in England has a historical association with Quoits, as it was a popular venue for the game.</v>
      </c>
      <c r="G34" s="23">
        <v>33.0</v>
      </c>
      <c r="H34" s="9" t="s">
        <v>4376</v>
      </c>
      <c r="I34" s="9" t="s">
        <v>4377</v>
      </c>
      <c r="J34" s="9" t="s">
        <v>4378</v>
      </c>
      <c r="K34" s="9" t="s">
        <v>4379</v>
      </c>
    </row>
    <row r="35" ht="22.5" customHeight="1">
      <c r="A35" s="24">
        <v>34.0</v>
      </c>
      <c r="B35" s="6" t="str">
        <f>IFERROR(__xludf.DUMMYFUNCTION("GOOGLETRANSLATE(H35, ""de"",""en"")"),"In which decade was the first major quoits league founded in the United Kingdom?")</f>
        <v>In which decade was the first major quoits league founded in the United Kingdom?</v>
      </c>
      <c r="C35" s="7" t="s">
        <v>4380</v>
      </c>
      <c r="D35" s="6" t="str">
        <f>IFERROR(__xludf.DUMMYFUNCTION("GOOGLETRANSLATE(J35, ""de"",""en"")"),"1890s")</f>
        <v>1890s</v>
      </c>
      <c r="E35" s="6" t="str">
        <f>IFERROR(__xludf.DUMMYFUNCTION("GOOGLETRANSLATE(K35, ""de"",""en"")"),"The first major quoits league in the United Kingdom was founded in the 1890s and contributed to the formalization of the sport.")</f>
        <v>The first major quoits league in the United Kingdom was founded in the 1890s and contributed to the formalization of the sport.</v>
      </c>
      <c r="G35" s="10">
        <v>34.0</v>
      </c>
      <c r="H35" s="9" t="s">
        <v>4381</v>
      </c>
      <c r="I35" s="9" t="s">
        <v>4382</v>
      </c>
      <c r="J35" s="9" t="s">
        <v>4383</v>
      </c>
      <c r="K35" s="9" t="s">
        <v>4384</v>
      </c>
    </row>
    <row r="36" ht="22.5" customHeight="1">
      <c r="A36" s="22">
        <v>35.0</v>
      </c>
      <c r="B36" s="6" t="str">
        <f>IFERROR(__xludf.DUMMYFUNCTION("GOOGLETRANSLATE(H36, ""de"",""en"")"),"Which historical figure is credited with having contributed to the standardization of quoits rules in the United Kingdom?")</f>
        <v>Which historical figure is credited with having contributed to the standardization of quoits rules in the United Kingdom?</v>
      </c>
      <c r="C36" s="7" t="s">
        <v>4385</v>
      </c>
      <c r="D36" s="6" t="str">
        <f>IFERROR(__xludf.DUMMYFUNCTION("GOOGLETRANSLATE(J36, ""de"",""en"")"),"Henry Stephens")</f>
        <v>Henry Stephens</v>
      </c>
      <c r="E36" s="6" t="str">
        <f>IFERROR(__xludf.DUMMYFUNCTION("GOOGLETRANSLATE(K36, ""de"",""en"")"),"Henry Stephens played a key role in the standardization of quoits rules in the United Kingdom in the late 19th century.")</f>
        <v>Henry Stephens played a key role in the standardization of quoits rules in the United Kingdom in the late 19th century.</v>
      </c>
      <c r="G36" s="23">
        <v>35.0</v>
      </c>
      <c r="H36" s="9" t="s">
        <v>4386</v>
      </c>
      <c r="I36" s="9" t="s">
        <v>4385</v>
      </c>
      <c r="J36" s="9" t="s">
        <v>4387</v>
      </c>
      <c r="K36" s="9" t="s">
        <v>4388</v>
      </c>
    </row>
    <row r="37" ht="22.5" customHeight="1">
      <c r="A37" s="24">
        <v>36.0</v>
      </c>
      <c r="B37" s="6" t="str">
        <f>IFERROR(__xludf.DUMMYFUNCTION("GOOGLETRANSLATE(H37, ""de"",""en"")"),"In which public places were quoits frequently played in the 20th century?")</f>
        <v>In which public places were quoits frequently played in the 20th century?</v>
      </c>
      <c r="C37" s="7" t="s">
        <v>4389</v>
      </c>
      <c r="D37" s="6" t="str">
        <f>IFERROR(__xludf.DUMMYFUNCTION("GOOGLETRANSLATE(J37, ""de"",""en"")"),"Parks")</f>
        <v>Parks</v>
      </c>
      <c r="E37" s="6" t="str">
        <f>IFERROR(__xludf.DUMMYFUNCTION("GOOGLETRANSLATE(K37, ""de"",""en"")"),"In the 20th century, Quoits was frequently played in public parks, especially at community events.")</f>
        <v>In the 20th century, Quoits was frequently played in public parks, especially at community events.</v>
      </c>
      <c r="G37" s="10">
        <v>36.0</v>
      </c>
      <c r="H37" s="9" t="s">
        <v>4390</v>
      </c>
      <c r="I37" s="9" t="s">
        <v>4391</v>
      </c>
      <c r="J37" s="9" t="s">
        <v>4392</v>
      </c>
      <c r="K37" s="9" t="s">
        <v>4393</v>
      </c>
    </row>
    <row r="38" ht="22.5" customHeight="1">
      <c r="A38" s="22">
        <v>37.0</v>
      </c>
      <c r="B38" s="6" t="str">
        <f>IFERROR(__xludf.DUMMYFUNCTION("GOOGLETRANSLATE(H38, ""de"",""en"")"),"Which country introduced a version of quoits with a larger, softer ring?")</f>
        <v>Which country introduced a version of quoits with a larger, softer ring?</v>
      </c>
      <c r="C38" s="7" t="s">
        <v>4394</v>
      </c>
      <c r="D38" s="6" t="str">
        <f>IFERROR(__xludf.DUMMYFUNCTION("GOOGLETRANSLATE(J38, ""de"",""en"")"),"Australia")</f>
        <v>Australia</v>
      </c>
      <c r="E38" s="6" t="str">
        <f>IFERROR(__xludf.DUMMYFUNCTION("GOOGLETRANSLATE(K38, ""de"",""en"")"),"Australia introduced a version of Quoits with a larger, softer ring that was better suited to outdoor conditions.")</f>
        <v>Australia introduced a version of Quoits with a larger, softer ring that was better suited to outdoor conditions.</v>
      </c>
      <c r="G38" s="23">
        <v>37.0</v>
      </c>
      <c r="H38" s="9" t="s">
        <v>4395</v>
      </c>
      <c r="I38" s="9" t="s">
        <v>4396</v>
      </c>
      <c r="J38" s="9" t="s">
        <v>4397</v>
      </c>
      <c r="K38" s="9" t="s">
        <v>4398</v>
      </c>
    </row>
    <row r="39" ht="22.5" customHeight="1">
      <c r="A39" s="24">
        <v>38.0</v>
      </c>
      <c r="B39" s="6" t="str">
        <f>IFERROR(__xludf.DUMMYFUNCTION("GOOGLETRANSLATE(H39, ""de"",""en"")"),"Which sport was closely associated with Quoits in the early days of its competition?")</f>
        <v>Which sport was closely associated with Quoits in the early days of its competition?</v>
      </c>
      <c r="C39" s="7" t="s">
        <v>4399</v>
      </c>
      <c r="D39" s="6" t="str">
        <f>IFERROR(__xludf.DUMMYFUNCTION("GOOGLETRANSLATE(J39, ""de"",""en"")"),"Cricket")</f>
        <v>Cricket</v>
      </c>
      <c r="E39" s="6" t="str">
        <f>IFERROR(__xludf.DUMMYFUNCTION("GOOGLETRANSLATE(K39, ""de"",""en"")"),"Quoits were often played alongside cricket in the 19th century, particularly in sports clubs.")</f>
        <v>Quoits were often played alongside cricket in the 19th century, particularly in sports clubs.</v>
      </c>
      <c r="G39" s="10">
        <v>38.0</v>
      </c>
      <c r="H39" s="9" t="s">
        <v>4400</v>
      </c>
      <c r="I39" s="9" t="s">
        <v>4401</v>
      </c>
      <c r="J39" s="9" t="s">
        <v>4402</v>
      </c>
      <c r="K39" s="9" t="s">
        <v>4403</v>
      </c>
    </row>
    <row r="40" ht="22.5" customHeight="1">
      <c r="A40" s="22">
        <v>39.0</v>
      </c>
      <c r="B40" s="6" t="str">
        <f>IFERROR(__xludf.DUMMYFUNCTION("GOOGLETRANSLATE(H40, ""de"",""en"")"),"When did the first recorded Quoits World Championship take place?")</f>
        <v>When did the first recorded Quoits World Championship take place?</v>
      </c>
      <c r="C40" s="7" t="s">
        <v>4404</v>
      </c>
      <c r="D40" s="6" t="str">
        <f>IFERROR(__xludf.DUMMYFUNCTION("GOOGLETRANSLATE(J40, ""de"",""en"")"),"1901")</f>
        <v>1901</v>
      </c>
      <c r="E40" s="6" t="str">
        <f>IFERROR(__xludf.DUMMYFUNCTION("GOOGLETRANSLATE(K40, ""de"",""en"")"),"The first recorded Quoits World Championship took place in 1901 and was an official international competition.")</f>
        <v>The first recorded Quoits World Championship took place in 1901 and was an official international competition.</v>
      </c>
      <c r="G40" s="23">
        <v>39.0</v>
      </c>
      <c r="H40" s="9" t="s">
        <v>4405</v>
      </c>
      <c r="I40" s="9" t="s">
        <v>4404</v>
      </c>
      <c r="J40" s="11">
        <v>1901.0</v>
      </c>
      <c r="K40" s="9" t="s">
        <v>4406</v>
      </c>
    </row>
    <row r="41" ht="22.5" customHeight="1">
      <c r="A41" s="24">
        <v>40.0</v>
      </c>
      <c r="B41" s="6" t="str">
        <f>IFERROR(__xludf.DUMMYFUNCTION("GOOGLETRANSLATE(H41, ""de"",""en"")"),"What was one of the biggest challenges for Quoits players in the early competitions?")</f>
        <v>What was one of the biggest challenges for Quoits players in the early competitions?</v>
      </c>
      <c r="C41" s="7" t="s">
        <v>4407</v>
      </c>
      <c r="D41" s="6" t="str">
        <f>IFERROR(__xludf.DUMMYFUNCTION("GOOGLETRANSLATE(J41, ""de"",""en"")"),"Find a level surface")</f>
        <v>Find a level surface</v>
      </c>
      <c r="E41" s="6" t="str">
        <f>IFERROR(__xludf.DUMMYFUNCTION("GOOGLETRANSLATE(K41, ""de"",""en"")"),"Early quoits players had difficulty finding a suitable flat surface to throw on, as uneven ground could affect the outcome of the game.")</f>
        <v>Early quoits players had difficulty finding a suitable flat surface to throw on, as uneven ground could affect the outcome of the game.</v>
      </c>
      <c r="G41" s="10">
        <v>40.0</v>
      </c>
      <c r="H41" s="9" t="s">
        <v>4408</v>
      </c>
      <c r="I41" s="9" t="s">
        <v>4409</v>
      </c>
      <c r="J41" s="9" t="s">
        <v>4410</v>
      </c>
      <c r="K41" s="9" t="s">
        <v>4411</v>
      </c>
    </row>
    <row r="42" ht="22.5" customHeight="1">
      <c r="A42" s="22">
        <v>41.0</v>
      </c>
      <c r="B42" s="6" t="str">
        <f>IFERROR(__xludf.DUMMYFUNCTION("GOOGLETRANSLATE(H42, ""de"",""en"")"),"In which city in Great Britain did the first national Quoits competition take place?")</f>
        <v>In which city in Great Britain did the first national Quoits competition take place?</v>
      </c>
      <c r="C42" s="7" t="s">
        <v>4412</v>
      </c>
      <c r="D42" s="6" t="str">
        <f>IFERROR(__xludf.DUMMYFUNCTION("GOOGLETRANSLATE(J42, ""de"",""en"")"),"Sheffield")</f>
        <v>Sheffield</v>
      </c>
      <c r="E42" s="6" t="str">
        <f>IFERROR(__xludf.DUMMYFUNCTION("GOOGLETRANSLATE(K42, ""de"",""en"")"),"Sheffield was the first British city to hold a national quoits competition at the end of the 19th century.")</f>
        <v>Sheffield was the first British city to hold a national quoits competition at the end of the 19th century.</v>
      </c>
      <c r="G42" s="23">
        <v>41.0</v>
      </c>
      <c r="H42" s="9" t="s">
        <v>4413</v>
      </c>
      <c r="I42" s="9" t="s">
        <v>4412</v>
      </c>
      <c r="J42" s="9" t="s">
        <v>4414</v>
      </c>
      <c r="K42" s="9" t="s">
        <v>4415</v>
      </c>
    </row>
    <row r="43" ht="22.5" customHeight="1">
      <c r="A43" s="24">
        <v>42.0</v>
      </c>
      <c r="B43" s="6" t="str">
        <f>IFERROR(__xludf.DUMMYFUNCTION("GOOGLETRANSLATE(H43, ""de"",""en"")"),"Who was considered the most famous Quoits player in the United States?")</f>
        <v>Who was considered the most famous Quoits player in the United States?</v>
      </c>
      <c r="C43" s="7" t="s">
        <v>4416</v>
      </c>
      <c r="D43" s="6" t="str">
        <f>IFERROR(__xludf.DUMMYFUNCTION("GOOGLETRANSLATE(J43, ""de"",""en"")"),"James Taylor")</f>
        <v>James Taylor</v>
      </c>
      <c r="E43" s="6" t="str">
        <f>IFERROR(__xludf.DUMMYFUNCTION("GOOGLETRANSLATE(K43, ""de"",""en"")"),"James Taylor is considered the most famous quoits player in the United States and dominated the sport in the early 20th century.")</f>
        <v>James Taylor is considered the most famous quoits player in the United States and dominated the sport in the early 20th century.</v>
      </c>
      <c r="G43" s="10">
        <v>42.0</v>
      </c>
      <c r="H43" s="9" t="s">
        <v>4417</v>
      </c>
      <c r="I43" s="9" t="s">
        <v>4416</v>
      </c>
      <c r="J43" s="9" t="s">
        <v>4418</v>
      </c>
      <c r="K43" s="9" t="s">
        <v>4419</v>
      </c>
    </row>
    <row r="44" ht="22.5" customHeight="1">
      <c r="A44" s="22">
        <v>43.0</v>
      </c>
      <c r="B44" s="6" t="str">
        <f>IFERROR(__xludf.DUMMYFUNCTION("GOOGLETRANSLATE(H44, ""de"",""en"")"),"Where did the Quoits game originate?")</f>
        <v>Where did the Quoits game originate?</v>
      </c>
      <c r="C44" s="7" t="s">
        <v>4420</v>
      </c>
      <c r="D44" s="6" t="str">
        <f>IFERROR(__xludf.DUMMYFUNCTION("GOOGLETRANSLATE(J44, ""de"",""en"")"),"Ancient Greece")</f>
        <v>Ancient Greece</v>
      </c>
      <c r="E44" s="6" t="str">
        <f>IFERROR(__xludf.DUMMYFUNCTION("GOOGLETRANSLATE(K44, ""de"",""en"")"),"Quoits are believed to have originated in ancient Greece.")</f>
        <v>Quoits are believed to have originated in ancient Greece.</v>
      </c>
      <c r="G44" s="23">
        <v>43.0</v>
      </c>
      <c r="H44" s="9" t="s">
        <v>4421</v>
      </c>
      <c r="I44" s="9" t="s">
        <v>4422</v>
      </c>
      <c r="J44" s="9" t="s">
        <v>4423</v>
      </c>
      <c r="K44" s="9" t="s">
        <v>4424</v>
      </c>
    </row>
    <row r="45" ht="22.5" customHeight="1">
      <c r="A45" s="24">
        <v>44.0</v>
      </c>
      <c r="B45" s="6" t="str">
        <f>IFERROR(__xludf.DUMMYFUNCTION("GOOGLETRANSLATE(H45, ""de"",""en"")"),"What material was originally used for quoits?")</f>
        <v>What material was originally used for quoits?</v>
      </c>
      <c r="C45" s="7" t="s">
        <v>4425</v>
      </c>
      <c r="D45" s="6" t="str">
        <f>IFERROR(__xludf.DUMMYFUNCTION("GOOGLETRANSLATE(J45, ""de"",""en"")"),"Stone")</f>
        <v>Stone</v>
      </c>
      <c r="E45" s="6" t="str">
        <f>IFERROR(__xludf.DUMMYFUNCTION("GOOGLETRANSLATE(K45, ""de"",""en"")"),"Quoits were originally made of stone.")</f>
        <v>Quoits were originally made of stone.</v>
      </c>
      <c r="G45" s="10">
        <v>44.0</v>
      </c>
      <c r="H45" s="9" t="s">
        <v>4426</v>
      </c>
      <c r="I45" s="9" t="s">
        <v>4427</v>
      </c>
      <c r="J45" s="9" t="s">
        <v>821</v>
      </c>
      <c r="K45" s="9" t="s">
        <v>4428</v>
      </c>
    </row>
    <row r="46" ht="22.5" customHeight="1">
      <c r="A46" s="22">
        <v>45.0</v>
      </c>
      <c r="B46" s="6" t="str">
        <f>IFERROR(__xludf.DUMMYFUNCTION("GOOGLETRANSLATE(H46, ""de"",""en"")"),"When was Quoits first mentioned in written records?")</f>
        <v>When was Quoits first mentioned in written records?</v>
      </c>
      <c r="C46" s="7" t="s">
        <v>4429</v>
      </c>
      <c r="D46" s="6" t="str">
        <f>IFERROR(__xludf.DUMMYFUNCTION("GOOGLETRANSLATE(J46, ""de"",""en"")"),"12th century")</f>
        <v>12th century</v>
      </c>
      <c r="E46" s="6" t="str">
        <f>IFERROR(__xludf.DUMMYFUNCTION("GOOGLETRANSLATE(K46, ""de"",""en"")"),"Quoits was first mentioned in writing in the 12th century.")</f>
        <v>Quoits was first mentioned in writing in the 12th century.</v>
      </c>
      <c r="G46" s="23">
        <v>45.0</v>
      </c>
      <c r="H46" s="9" t="s">
        <v>4430</v>
      </c>
      <c r="I46" s="9" t="s">
        <v>4431</v>
      </c>
      <c r="J46" s="9" t="s">
        <v>4432</v>
      </c>
      <c r="K46" s="9" t="s">
        <v>4433</v>
      </c>
    </row>
    <row r="47" ht="22.5" customHeight="1">
      <c r="A47" s="24">
        <v>46.0</v>
      </c>
      <c r="B47" s="6" t="str">
        <f>IFERROR(__xludf.DUMMYFUNCTION("GOOGLETRANSLATE(H47, ""de"",""en"")"),"Which country is most closely associated with the modern version of Quoits?")</f>
        <v>Which country is most closely associated with the modern version of Quoits?</v>
      </c>
      <c r="C47" s="7" t="s">
        <v>4434</v>
      </c>
      <c r="D47" s="6" t="str">
        <f>IFERROR(__xludf.DUMMYFUNCTION("GOOGLETRANSLATE(J47, ""de"",""en"")"),"England")</f>
        <v>England</v>
      </c>
      <c r="E47" s="6" t="str">
        <f>IFERROR(__xludf.DUMMYFUNCTION("GOOGLETRANSLATE(K47, ""de"",""en"")"),"England is the birthplace of the modern version of quotits.")</f>
        <v>England is the birthplace of the modern version of quotits.</v>
      </c>
      <c r="G47" s="10">
        <v>46.0</v>
      </c>
      <c r="H47" s="9" t="s">
        <v>4435</v>
      </c>
      <c r="I47" s="9" t="s">
        <v>4436</v>
      </c>
      <c r="J47" s="9" t="s">
        <v>2858</v>
      </c>
      <c r="K47" s="9" t="s">
        <v>4437</v>
      </c>
    </row>
    <row r="48" ht="22.5" customHeight="1">
      <c r="A48" s="22">
        <v>47.0</v>
      </c>
      <c r="B48" s="6" t="str">
        <f>IFERROR(__xludf.DUMMYFUNCTION("GOOGLETRANSLATE(H48, ""de"",""en"")"),"Which was the first city to host the World Quoits Championship?")</f>
        <v>Which was the first city to host the World Quoits Championship?</v>
      </c>
      <c r="C48" s="7" t="s">
        <v>4438</v>
      </c>
      <c r="D48" s="6" t="str">
        <f>IFERROR(__xludf.DUMMYFUNCTION("GOOGLETRANSLATE(J48, ""de"",""en"")"),"Manchester")</f>
        <v>Manchester</v>
      </c>
      <c r="E48" s="6" t="str">
        <f>IFERROR(__xludf.DUMMYFUNCTION("GOOGLETRANSLATE(K48, ""de"",""en"")"),"Manchester hosted the first World Quoits Championship.")</f>
        <v>Manchester hosted the first World Quoits Championship.</v>
      </c>
      <c r="G48" s="23">
        <v>47.0</v>
      </c>
      <c r="H48" s="9" t="s">
        <v>4439</v>
      </c>
      <c r="I48" s="9" t="s">
        <v>4438</v>
      </c>
      <c r="J48" s="9" t="s">
        <v>4440</v>
      </c>
      <c r="K48" s="9" t="s">
        <v>4441</v>
      </c>
    </row>
    <row r="49" ht="22.5" customHeight="1">
      <c r="A49" s="24">
        <v>48.0</v>
      </c>
      <c r="B49" s="6" t="str">
        <f>IFERROR(__xludf.DUMMYFUNCTION("GOOGLETRANSLATE(H49, ""de"",""en"")"),"In which year was the World Quoits Championship first held?")</f>
        <v>In which year was the World Quoits Championship first held?</v>
      </c>
      <c r="C49" s="7" t="s">
        <v>4442</v>
      </c>
      <c r="D49" s="6" t="str">
        <f>IFERROR(__xludf.DUMMYFUNCTION("GOOGLETRANSLATE(J49, ""de"",""en"")"),"1870")</f>
        <v>1870</v>
      </c>
      <c r="E49" s="6" t="str">
        <f>IFERROR(__xludf.DUMMYFUNCTION("GOOGLETRANSLATE(K49, ""de"",""en"")"),"The first Quoits World Championship took place in 1870.")</f>
        <v>The first Quoits World Championship took place in 1870.</v>
      </c>
      <c r="G49" s="10">
        <v>48.0</v>
      </c>
      <c r="H49" s="9" t="s">
        <v>4443</v>
      </c>
      <c r="I49" s="9" t="s">
        <v>4442</v>
      </c>
      <c r="J49" s="11">
        <v>1870.0</v>
      </c>
      <c r="K49" s="9" t="s">
        <v>4444</v>
      </c>
    </row>
    <row r="50" ht="22.5" customHeight="1">
      <c r="A50" s="22">
        <v>49.0</v>
      </c>
      <c r="B50" s="6" t="str">
        <f>IFERROR(__xludf.DUMMYFUNCTION("GOOGLETRANSLATE(H50, ""de"",""en"")"),"What is the standard weight of a quoit used in competitive play?")</f>
        <v>What is the standard weight of a quoit used in competitive play?</v>
      </c>
      <c r="C50" s="7" t="s">
        <v>4445</v>
      </c>
      <c r="D50" s="6" t="str">
        <f>IFERROR(__xludf.DUMMYFUNCTION("GOOGLETRANSLATE(J50, ""de"",""en"")"),"4 pounds")</f>
        <v>4 pounds</v>
      </c>
      <c r="E50" s="6" t="str">
        <f>IFERROR(__xludf.DUMMYFUNCTION("GOOGLETRANSLATE(K50, ""de"",""en"")"),"A standard quoit weighs 4 pounds in competitive play.")</f>
        <v>A standard quoit weighs 4 pounds in competitive play.</v>
      </c>
      <c r="G50" s="23">
        <v>49.0</v>
      </c>
      <c r="H50" s="9" t="s">
        <v>4446</v>
      </c>
      <c r="I50" s="9" t="s">
        <v>4447</v>
      </c>
      <c r="J50" s="9" t="s">
        <v>4448</v>
      </c>
      <c r="K50" s="9" t="s">
        <v>4449</v>
      </c>
    </row>
    <row r="51" ht="22.5" customHeight="1">
      <c r="A51" s="24">
        <v>50.0</v>
      </c>
      <c r="B51" s="6" t="str">
        <f>IFERROR(__xludf.DUMMYFUNCTION("GOOGLETRANSLATE(H51, ""de"",""en"")"),"Which country developed a version of Quoits played with horseshoes?")</f>
        <v>Which country developed a version of Quoits played with horseshoes?</v>
      </c>
      <c r="C51" s="7" t="s">
        <v>4450</v>
      </c>
      <c r="D51" s="6" t="str">
        <f>IFERROR(__xludf.DUMMYFUNCTION("GOOGLETRANSLATE(J51, ""de"",""en"")"),"United States")</f>
        <v>United States</v>
      </c>
      <c r="E51" s="6" t="str">
        <f>IFERROR(__xludf.DUMMYFUNCTION("GOOGLETRANSLATE(K51, ""de"",""en"")"),"The United States developed a version of Quoits using horseshoes.")</f>
        <v>The United States developed a version of Quoits using horseshoes.</v>
      </c>
      <c r="G51" s="10">
        <v>50.0</v>
      </c>
      <c r="H51" s="9" t="s">
        <v>4451</v>
      </c>
      <c r="I51" s="9" t="s">
        <v>4452</v>
      </c>
      <c r="J51" s="9" t="s">
        <v>3066</v>
      </c>
      <c r="K51" s="9" t="s">
        <v>4453</v>
      </c>
    </row>
    <row r="52" ht="22.5" customHeight="1">
      <c r="A52" s="22">
        <v>51.0</v>
      </c>
      <c r="B52" s="6" t="str">
        <f>IFERROR(__xludf.DUMMYFUNCTION("GOOGLETRANSLATE(H52, ""de"",""en"")"),"What is the common name for a ring that comes closest to the top in quoits?")</f>
        <v>What is the common name for a ring that comes closest to the top in quoits?</v>
      </c>
      <c r="C52" s="7" t="s">
        <v>4454</v>
      </c>
      <c r="D52" s="6" t="str">
        <f>IFERROR(__xludf.DUMMYFUNCTION("GOOGLETRANSLATE(J52, ""de"",""en"")"),"Point")</f>
        <v>Point</v>
      </c>
      <c r="E52" s="6" t="str">
        <f>IFERROR(__xludf.DUMMYFUNCTION("GOOGLETRANSLATE(K52, ""de"",""en"")"),"The ring closest to the tip is called the ""point"".")</f>
        <v>The ring closest to the tip is called the "point".</v>
      </c>
      <c r="G52" s="23">
        <v>51.0</v>
      </c>
      <c r="H52" s="9" t="s">
        <v>4455</v>
      </c>
      <c r="I52" s="9" t="s">
        <v>4456</v>
      </c>
      <c r="J52" s="9" t="s">
        <v>4457</v>
      </c>
      <c r="K52" s="9" t="s">
        <v>4458</v>
      </c>
    </row>
    <row r="53" ht="22.5" customHeight="1">
      <c r="A53" s="24">
        <v>52.0</v>
      </c>
      <c r="B53" s="6" t="str">
        <f>IFERROR(__xludf.DUMMYFUNCTION("GOOGLETRANSLATE(H53, ""de"",""en"")"),"In which year did quoits become an official sport at the Olympic Games?")</f>
        <v>In which year did quoits become an official sport at the Olympic Games?</v>
      </c>
      <c r="C53" s="7" t="s">
        <v>4459</v>
      </c>
      <c r="D53" s="6" t="str">
        <f>IFERROR(__xludf.DUMMYFUNCTION("GOOGLETRANSLATE(J53, ""de"",""en"")"),"Not included in the scope of delivery")</f>
        <v>Not included in the scope of delivery</v>
      </c>
      <c r="E53" s="6" t="str">
        <f>IFERROR(__xludf.DUMMYFUNCTION("GOOGLETRANSLATE(K53, ""de"",""en"")"),"Quoits was never included in the Olympic Games.")</f>
        <v>Quoits was never included in the Olympic Games.</v>
      </c>
      <c r="G53" s="10">
        <v>52.0</v>
      </c>
      <c r="H53" s="9" t="s">
        <v>4460</v>
      </c>
      <c r="I53" s="9" t="s">
        <v>4461</v>
      </c>
      <c r="J53" s="9" t="s">
        <v>4223</v>
      </c>
      <c r="K53" s="9" t="s">
        <v>4462</v>
      </c>
    </row>
    <row r="54" ht="22.5" customHeight="1">
      <c r="A54" s="22">
        <v>53.0</v>
      </c>
      <c r="B54" s="6" t="str">
        <f>IFERROR(__xludf.DUMMYFUNCTION("GOOGLETRANSLATE(H54, ""de"",""en"")"),"What was the name of the first Quoits organization founded in the United Kingdom?")</f>
        <v>What was the name of the first Quoits organization founded in the United Kingdom?</v>
      </c>
      <c r="C54" s="7" t="s">
        <v>4463</v>
      </c>
      <c r="D54" s="6" t="str">
        <f>IFERROR(__xludf.DUMMYFUNCTION("GOOGLETRANSLATE(J54, ""de"",""en"")"),"The British Quoits Association")</f>
        <v>The British Quoits Association</v>
      </c>
      <c r="E54" s="6" t="str">
        <f>IFERROR(__xludf.DUMMYFUNCTION("GOOGLETRANSLATE(K54, ""de"",""en"")"),"The British Quoits Association was the first quoits organization to be founded.")</f>
        <v>The British Quoits Association was the first quoits organization to be founded.</v>
      </c>
      <c r="G54" s="23">
        <v>53.0</v>
      </c>
      <c r="H54" s="9" t="s">
        <v>4464</v>
      </c>
      <c r="I54" s="9" t="s">
        <v>4465</v>
      </c>
      <c r="J54" s="9" t="s">
        <v>4466</v>
      </c>
      <c r="K54" s="9" t="s">
        <v>4467</v>
      </c>
    </row>
    <row r="55" ht="22.5" customHeight="1">
      <c r="A55" s="24">
        <v>54.0</v>
      </c>
      <c r="B55" s="6" t="str">
        <f>IFERROR(__xludf.DUMMYFUNCTION("GOOGLETRANSLATE(H55, ""de"",""en"")"),"Which of the following types of quoits is most commonly played today?")</f>
        <v>Which of the following types of quoits is most commonly played today?</v>
      </c>
      <c r="C55" s="7" t="s">
        <v>4468</v>
      </c>
      <c r="D55" s="6" t="str">
        <f>IFERROR(__xludf.DUMMYFUNCTION("GOOGLETRANSLATE(J55, ""de"",""en"")"),"Steel quotas")</f>
        <v>Steel quotas</v>
      </c>
      <c r="E55" s="6" t="str">
        <f>IFERROR(__xludf.DUMMYFUNCTION("GOOGLETRANSLATE(K55, ""de"",""en"")"),"Steel Quoits is the most popular version played today.")</f>
        <v>Steel Quoits is the most popular version played today.</v>
      </c>
      <c r="G55" s="10">
        <v>54.0</v>
      </c>
      <c r="H55" s="9" t="s">
        <v>4469</v>
      </c>
      <c r="I55" s="9" t="s">
        <v>4468</v>
      </c>
      <c r="J55" s="9" t="s">
        <v>4470</v>
      </c>
      <c r="K55" s="9" t="s">
        <v>4471</v>
      </c>
    </row>
    <row r="56" ht="22.5" customHeight="1">
      <c r="A56" s="22">
        <v>55.0</v>
      </c>
      <c r="B56" s="6" t="str">
        <f>IFERROR(__xludf.DUMMYFUNCTION("GOOGLETRANSLATE(H56, ""de"",""en"")"),"Where did the first American Quoits Championship take place?")</f>
        <v>Where did the first American Quoits Championship take place?</v>
      </c>
      <c r="C56" s="7" t="s">
        <v>4472</v>
      </c>
      <c r="D56" s="6" t="str">
        <f>IFERROR(__xludf.DUMMYFUNCTION("GOOGLETRANSLATE(J56, ""de"",""en"")"),"Philadelphia")</f>
        <v>Philadelphia</v>
      </c>
      <c r="E56" s="6" t="str">
        <f>IFERROR(__xludf.DUMMYFUNCTION("GOOGLETRANSLATE(K56, ""de"",""en"")"),"The first American Quoits Championship took place in Philadelphia.")</f>
        <v>The first American Quoits Championship took place in Philadelphia.</v>
      </c>
      <c r="G56" s="23">
        <v>55.0</v>
      </c>
      <c r="H56" s="9" t="s">
        <v>4473</v>
      </c>
      <c r="I56" s="9" t="s">
        <v>4472</v>
      </c>
      <c r="J56" s="9" t="s">
        <v>4474</v>
      </c>
      <c r="K56" s="9" t="s">
        <v>4475</v>
      </c>
    </row>
    <row r="57" ht="22.5" customHeight="1">
      <c r="A57" s="24">
        <v>56.0</v>
      </c>
      <c r="B57" s="6" t="str">
        <f>IFERROR(__xludf.DUMMYFUNCTION("GOOGLETRANSLATE(H57, ""de"",""en"")"),"During which period in history did quotits become more organized and competitive?")</f>
        <v>During which period in history did quotits become more organized and competitive?</v>
      </c>
      <c r="C57" s="7" t="s">
        <v>4476</v>
      </c>
      <c r="D57" s="6" t="str">
        <f>IFERROR(__xludf.DUMMYFUNCTION("GOOGLETRANSLATE(J57, ""de"",""en"")"),"Victorian era")</f>
        <v>Victorian era</v>
      </c>
      <c r="E57" s="6" t="str">
        <f>IFERROR(__xludf.DUMMYFUNCTION("GOOGLETRANSLATE(K57, ""de"",""en"")"),"During the Victorian era, quoits became more organized and competitive.")</f>
        <v>During the Victorian era, quoits became more organized and competitive.</v>
      </c>
      <c r="G57" s="10">
        <v>56.0</v>
      </c>
      <c r="H57" s="9" t="s">
        <v>4477</v>
      </c>
      <c r="I57" s="9" t="s">
        <v>4478</v>
      </c>
      <c r="J57" s="9" t="s">
        <v>4479</v>
      </c>
      <c r="K57" s="9" t="s">
        <v>4480</v>
      </c>
    </row>
    <row r="58" ht="22.5" customHeight="1">
      <c r="A58" s="22">
        <v>57.0</v>
      </c>
      <c r="B58" s="6" t="str">
        <f>IFERROR(__xludf.DUMMYFUNCTION("GOOGLETRANSLATE(H58, ""de"",""en"")"),"Which of these games is closely related to Quoits?")</f>
        <v>Which of these games is closely related to Quoits?</v>
      </c>
      <c r="C58" s="7" t="s">
        <v>4481</v>
      </c>
      <c r="D58" s="6" t="str">
        <f>IFERROR(__xludf.DUMMYFUNCTION("GOOGLETRANSLATE(J58, ""de"",""en"")"),"Horseshoe throwing")</f>
        <v>Horseshoe throwing</v>
      </c>
      <c r="E58" s="6" t="str">
        <f>IFERROR(__xludf.DUMMYFUNCTION("GOOGLETRANSLATE(K58, ""de"",""en"")"),"Horseshoe throwing is closely related to quoits.")</f>
        <v>Horseshoe throwing is closely related to quoits.</v>
      </c>
      <c r="G58" s="23">
        <v>57.0</v>
      </c>
      <c r="H58" s="9" t="s">
        <v>4482</v>
      </c>
      <c r="I58" s="9" t="s">
        <v>4483</v>
      </c>
      <c r="J58" s="9" t="s">
        <v>4484</v>
      </c>
      <c r="K58" s="9" t="s">
        <v>4485</v>
      </c>
    </row>
    <row r="59" ht="22.5" customHeight="1">
      <c r="A59" s="24">
        <v>58.0</v>
      </c>
      <c r="B59" s="6" t="str">
        <f>IFERROR(__xludf.DUMMYFUNCTION("GOOGLETRANSLATE(H59, ""de"",""en"")"),"How is the quotient thrown in modern quotients?")</f>
        <v>How is the quotient thrown in modern quotients?</v>
      </c>
      <c r="C59" s="7" t="s">
        <v>4486</v>
      </c>
      <c r="D59" s="6" t="str">
        <f>IFERROR(__xludf.DUMMYFUNCTION("GOOGLETRANSLATE(J59, ""de"",""en"")"),"The quoit is usually thrown under the hand.")</f>
        <v>The quoit is usually thrown under the hand.</v>
      </c>
      <c r="E59" s="6" t="str">
        <f>IFERROR(__xludf.DUMMYFUNCTION("GOOGLETRANSLATE(K59, ""de"",""en"")"),"#VALUE!")</f>
        <v>#VALUE!</v>
      </c>
      <c r="G59" s="10">
        <v>58.0</v>
      </c>
      <c r="H59" s="9" t="s">
        <v>4487</v>
      </c>
      <c r="I59" s="9" t="s">
        <v>4488</v>
      </c>
      <c r="J59" s="9" t="s">
        <v>4489</v>
      </c>
      <c r="K59" s="9"/>
    </row>
    <row r="60" ht="22.5" customHeight="1">
      <c r="A60" s="22">
        <v>59.0</v>
      </c>
      <c r="B60" s="6" t="str">
        <f>IFERROR(__xludf.DUMMYFUNCTION("GOOGLETRANSLATE(H60, ""de"",""en"")"),"In what year was the International Quoits Federation founded?")</f>
        <v>In what year was the International Quoits Federation founded?</v>
      </c>
      <c r="C60" s="7" t="s">
        <v>1221</v>
      </c>
      <c r="D60" s="6" t="str">
        <f>IFERROR(__xludf.DUMMYFUNCTION("GOOGLETRANSLATE(J60, ""de"",""en"")"),"1985")</f>
        <v>1985</v>
      </c>
      <c r="E60" s="6" t="str">
        <f>IFERROR(__xludf.DUMMYFUNCTION("GOOGLETRANSLATE(K60, ""de"",""en"")"),"The International Quoits Federation was founded in 1985.")</f>
        <v>The International Quoits Federation was founded in 1985.</v>
      </c>
      <c r="G60" s="23">
        <v>59.0</v>
      </c>
      <c r="H60" s="9" t="s">
        <v>4490</v>
      </c>
      <c r="I60" s="9" t="s">
        <v>1221</v>
      </c>
      <c r="J60" s="11">
        <v>1985.0</v>
      </c>
      <c r="K60" s="9" t="s">
        <v>4491</v>
      </c>
    </row>
    <row r="61" ht="22.5" customHeight="1">
      <c r="A61" s="24">
        <v>60.0</v>
      </c>
      <c r="B61" s="6" t="str">
        <f>IFERROR(__xludf.DUMMYFUNCTION("GOOGLETRANSLATE(H61, ""de"",""en"")"),"Which event in Quoits is the most prestigious?")</f>
        <v>Which event in Quoits is the most prestigious?</v>
      </c>
      <c r="C61" s="7" t="s">
        <v>4492</v>
      </c>
      <c r="D61" s="6" t="str">
        <f>IFERROR(__xludf.DUMMYFUNCTION("GOOGLETRANSLATE(J61, ""de"",""en"")"),"Quoits World Championship")</f>
        <v>Quoits World Championship</v>
      </c>
      <c r="E61" s="6" t="str">
        <f>IFERROR(__xludf.DUMMYFUNCTION("GOOGLETRANSLATE(K61, ""de"",""en"")"),"The World Quoits Championship is the most prestigious event.")</f>
        <v>The World Quoits Championship is the most prestigious event.</v>
      </c>
      <c r="G61" s="10">
        <v>60.0</v>
      </c>
      <c r="H61" s="9" t="s">
        <v>4493</v>
      </c>
      <c r="I61" s="9" t="s">
        <v>4494</v>
      </c>
      <c r="J61" s="9" t="s">
        <v>4495</v>
      </c>
      <c r="K61" s="9" t="s">
        <v>4496</v>
      </c>
    </row>
    <row r="62" ht="22.5" customHeight="1">
      <c r="A62" s="22">
        <v>61.0</v>
      </c>
      <c r="B62" s="6" t="str">
        <f>IFERROR(__xludf.DUMMYFUNCTION("GOOGLETRANSLATE(H62, ""de"",""en"")"),"What was the original purpose of quoits in ancient Rome?")</f>
        <v>What was the original purpose of quoits in ancient Rome?</v>
      </c>
      <c r="C62" s="7" t="s">
        <v>4497</v>
      </c>
      <c r="D62" s="6" t="str">
        <f>IFERROR(__xludf.DUMMYFUNCTION("GOOGLETRANSLATE(J62, ""de"",""en"")"),"Military training")</f>
        <v>Military training</v>
      </c>
      <c r="E62" s="6" t="str">
        <f>IFERROR(__xludf.DUMMYFUNCTION("GOOGLETRANSLATE(K62, ""de"",""en"")"),"Quoits were originally used for military training in ancient Rome.")</f>
        <v>Quoits were originally used for military training in ancient Rome.</v>
      </c>
      <c r="G62" s="23">
        <v>61.0</v>
      </c>
      <c r="H62" s="9" t="s">
        <v>4498</v>
      </c>
      <c r="I62" s="9" t="s">
        <v>4499</v>
      </c>
      <c r="J62" s="9" t="s">
        <v>4500</v>
      </c>
      <c r="K62" s="9" t="s">
        <v>4501</v>
      </c>
    </row>
    <row r="63" ht="22.5" customHeight="1">
      <c r="A63" s="24">
        <v>62.0</v>
      </c>
      <c r="B63" s="6" t="str">
        <f>IFERROR(__xludf.DUMMYFUNCTION("GOOGLETRANSLATE(H63, ""de"",""en"")"),"Which famous sport is most similar to Quoits when it comes to throwing rings at a target?")</f>
        <v>Which famous sport is most similar to Quoits when it comes to throwing rings at a target?</v>
      </c>
      <c r="C63" s="7" t="s">
        <v>4502</v>
      </c>
      <c r="D63" s="6" t="str">
        <f>IFERROR(__xludf.DUMMYFUNCTION("GOOGLETRANSLATE(J63, ""de"",""en"")"),"Ring toss")</f>
        <v>Ring toss</v>
      </c>
      <c r="E63" s="6" t="str">
        <f>IFERROR(__xludf.DUMMYFUNCTION("GOOGLETRANSLATE(K63, ""de"",""en"")"),"Quoits is most similar to the ring toss game.")</f>
        <v>Quoits is most similar to the ring toss game.</v>
      </c>
      <c r="G63" s="10">
        <v>62.0</v>
      </c>
      <c r="H63" s="9" t="s">
        <v>4503</v>
      </c>
      <c r="I63" s="9" t="s">
        <v>4504</v>
      </c>
      <c r="J63" s="9" t="s">
        <v>4505</v>
      </c>
      <c r="K63" s="9" t="s">
        <v>4506</v>
      </c>
    </row>
    <row r="64" ht="22.5" customHeight="1">
      <c r="A64" s="22">
        <v>63.0</v>
      </c>
      <c r="B64" s="6" t="str">
        <f>IFERROR(__xludf.DUMMYFUNCTION("GOOGLETRANSLATE(H64, ""de"",""en"")"),"In which country is Quoits still a popular pub game?")</f>
        <v>In which country is Quoits still a popular pub game?</v>
      </c>
      <c r="C64" s="7" t="s">
        <v>4507</v>
      </c>
      <c r="D64" s="6" t="str">
        <f>IFERROR(__xludf.DUMMYFUNCTION("GOOGLETRANSLATE(J64, ""de"",""en"")"),"United Kingdom")</f>
        <v>United Kingdom</v>
      </c>
      <c r="E64" s="6" t="str">
        <f>IFERROR(__xludf.DUMMYFUNCTION("GOOGLETRANSLATE(K64, ""de"",""en"")"),"Quoits remains a popular pub game in the United Kingdom.")</f>
        <v>Quoits remains a popular pub game in the United Kingdom.</v>
      </c>
      <c r="G64" s="23">
        <v>63.0</v>
      </c>
      <c r="H64" s="9" t="s">
        <v>4508</v>
      </c>
      <c r="I64" s="9" t="s">
        <v>4509</v>
      </c>
      <c r="J64" s="9" t="s">
        <v>4510</v>
      </c>
      <c r="K64" s="9" t="s">
        <v>4511</v>
      </c>
    </row>
    <row r="65" ht="22.5" customHeight="1">
      <c r="A65" s="24">
        <v>64.0</v>
      </c>
      <c r="B65" s="6" t="str">
        <f>IFERROR(__xludf.DUMMYFUNCTION("GOOGLETRANSLATE(H65, ""de"",""en"")"),"How many players are typically involved in a Quoits game?")</f>
        <v>How many players are typically involved in a Quoits game?</v>
      </c>
      <c r="C65" s="7" t="s">
        <v>4512</v>
      </c>
      <c r="D65" s="6" t="str">
        <f>IFERROR(__xludf.DUMMYFUNCTION("GOOGLETRANSLATE(J65, ""de"",""en"")"),"2")</f>
        <v>2</v>
      </c>
      <c r="E65" s="6" t="str">
        <f>IFERROR(__xludf.DUMMYFUNCTION("GOOGLETRANSLATE(K65, ""de"",""en"")"),"Quoits is usually played by two players or teams of two.")</f>
        <v>Quoits is usually played by two players or teams of two.</v>
      </c>
      <c r="G65" s="10">
        <v>64.0</v>
      </c>
      <c r="H65" s="9" t="s">
        <v>4513</v>
      </c>
      <c r="I65" s="9" t="s">
        <v>4512</v>
      </c>
      <c r="J65" s="11">
        <v>2.0</v>
      </c>
      <c r="K65" s="9" t="s">
        <v>4514</v>
      </c>
    </row>
    <row r="66" ht="22.5" customHeight="1">
      <c r="A66" s="22">
        <v>65.0</v>
      </c>
      <c r="B66" s="6" t="str">
        <f>IFERROR(__xludf.DUMMYFUNCTION("GOOGLETRANSLATE(H66, ""de"",""en"")"),"What is the standard size of the quoits ring used in official competitions?")</f>
        <v>What is the standard size of the quoits ring used in official competitions?</v>
      </c>
      <c r="C66" s="7" t="s">
        <v>4515</v>
      </c>
      <c r="D66" s="6" t="str">
        <f>IFERROR(__xludf.DUMMYFUNCTION("GOOGLETRANSLATE(J66, ""de"",""en"")"),"10 inches")</f>
        <v>10 inches</v>
      </c>
      <c r="E66" s="6" t="str">
        <f>IFERROR(__xludf.DUMMYFUNCTION("GOOGLETRANSLATE(K66, ""de"",""en"")"),"Official competition scores usually have a diameter of 10 inches.")</f>
        <v>Official competition scores usually have a diameter of 10 inches.</v>
      </c>
      <c r="G66" s="23">
        <v>65.0</v>
      </c>
      <c r="H66" s="9" t="s">
        <v>4516</v>
      </c>
      <c r="I66" s="9" t="s">
        <v>4517</v>
      </c>
      <c r="J66" s="9" t="s">
        <v>4518</v>
      </c>
      <c r="K66" s="9" t="s">
        <v>4519</v>
      </c>
    </row>
    <row r="67" ht="22.5" customHeight="1">
      <c r="A67" s="24">
        <v>66.0</v>
      </c>
      <c r="B67" s="6" t="str">
        <f>IFERROR(__xludf.DUMMYFUNCTION("GOOGLETRANSLATE(H67, ""de"",""en"")"),"In which century did quoits become a well-known sport in England?")</f>
        <v>In which century did quoits become a well-known sport in England?</v>
      </c>
      <c r="C67" s="7" t="s">
        <v>4520</v>
      </c>
      <c r="D67" s="6" t="str">
        <f>IFERROR(__xludf.DUMMYFUNCTION("GOOGLETRANSLATE(J67, ""de"",""en"")"),"19th century")</f>
        <v>19th century</v>
      </c>
      <c r="E67" s="6" t="str">
        <f>IFERROR(__xludf.DUMMYFUNCTION("GOOGLETRANSLATE(K67, ""de"",""en"")"),"Quoits became a popular sport in England during the 19th century.")</f>
        <v>Quoits became a popular sport in England during the 19th century.</v>
      </c>
      <c r="G67" s="10">
        <v>66.0</v>
      </c>
      <c r="H67" s="9" t="s">
        <v>4521</v>
      </c>
      <c r="I67" s="9" t="s">
        <v>4522</v>
      </c>
      <c r="J67" s="9" t="s">
        <v>300</v>
      </c>
      <c r="K67" s="9" t="s">
        <v>4523</v>
      </c>
    </row>
    <row r="68" ht="22.5" customHeight="1">
      <c r="A68" s="22">
        <v>67.0</v>
      </c>
      <c r="B68" s="6" t="str">
        <f>IFERROR(__xludf.DUMMYFUNCTION("GOOGLETRANSLATE(H68, ""de"",""en"")"),"How is the area in which quotits are thrown used?")</f>
        <v>How is the area in which quotits are thrown used?</v>
      </c>
      <c r="C68" s="7" t="s">
        <v>4524</v>
      </c>
      <c r="D68" s="6" t="str">
        <f>IFERROR(__xludf.DUMMYFUNCTION("GOOGLETRANSLATE(J68, ""de"",""en"")"),"pit")</f>
        <v>pit</v>
      </c>
      <c r="E68" s="6" t="str">
        <f>IFERROR(__xludf.DUMMYFUNCTION("GOOGLETRANSLATE(K68, ""de"",""en"")"),"The area where quoits are thrown is called the ""pit"".")</f>
        <v>The area where quoits are thrown is called the "pit".</v>
      </c>
      <c r="G68" s="23">
        <v>67.0</v>
      </c>
      <c r="H68" s="9" t="s">
        <v>4525</v>
      </c>
      <c r="I68" s="9" t="s">
        <v>4526</v>
      </c>
      <c r="J68" s="9" t="s">
        <v>4527</v>
      </c>
      <c r="K68" s="9" t="s">
        <v>4528</v>
      </c>
    </row>
    <row r="69" ht="22.5" customHeight="1">
      <c r="A69" s="24">
        <v>68.0</v>
      </c>
      <c r="B69" s="6" t="str">
        <f>IFERROR(__xludf.DUMMYFUNCTION("GOOGLETRANSLATE(H69, ""de"",""en"")"),"Which European country is known for the tradition of quoits tournaments?")</f>
        <v>Which European country is known for the tradition of quoits tournaments?</v>
      </c>
      <c r="C69" s="7" t="s">
        <v>4529</v>
      </c>
      <c r="D69" s="6" t="str">
        <f>IFERROR(__xludf.DUMMYFUNCTION("GOOGLETRANSLATE(J69, ""de"",""en"")"),"Germany")</f>
        <v>Germany</v>
      </c>
      <c r="E69" s="6" t="str">
        <f>IFERROR(__xludf.DUMMYFUNCTION("GOOGLETRANSLATE(K69, ""de"",""en"")"),"Germany is known for its long tradition of quoits tournaments.")</f>
        <v>Germany is known for its long tradition of quoits tournaments.</v>
      </c>
      <c r="G69" s="10">
        <v>68.0</v>
      </c>
      <c r="H69" s="9" t="s">
        <v>4530</v>
      </c>
      <c r="I69" s="9" t="s">
        <v>4531</v>
      </c>
      <c r="J69" s="9" t="s">
        <v>269</v>
      </c>
      <c r="K69" s="9" t="s">
        <v>4532</v>
      </c>
    </row>
    <row r="70" ht="22.5" customHeight="1">
      <c r="A70" s="22">
        <v>69.0</v>
      </c>
      <c r="B70" s="6" t="str">
        <f>IFERROR(__xludf.DUMMYFUNCTION("GOOGLETRANSLATE(H70, ""de"",""en"")"),"What is the name given to the spike or needle in the center of the quoits pit?")</f>
        <v>What is the name given to the spike or needle in the center of the quoits pit?</v>
      </c>
      <c r="C70" s="7" t="s">
        <v>4533</v>
      </c>
      <c r="D70" s="6" t="str">
        <f>IFERROR(__xludf.DUMMYFUNCTION("GOOGLETRANSLATE(J70, ""de"",""en"")"),"stake")</f>
        <v>stake</v>
      </c>
      <c r="E70" s="6" t="str">
        <f>IFERROR(__xludf.DUMMYFUNCTION("GOOGLETRANSLATE(K70, ""de"",""en"")"),"The spike in the middle of the quoits pit is called the ""peg"".")</f>
        <v>The spike in the middle of the quoits pit is called the "peg".</v>
      </c>
      <c r="G70" s="23">
        <v>69.0</v>
      </c>
      <c r="H70" s="9" t="s">
        <v>4534</v>
      </c>
      <c r="I70" s="9" t="s">
        <v>4535</v>
      </c>
      <c r="J70" s="9" t="s">
        <v>4536</v>
      </c>
      <c r="K70" s="9" t="s">
        <v>4537</v>
      </c>
    </row>
    <row r="71" ht="22.5" customHeight="1">
      <c r="A71" s="24">
        <v>70.0</v>
      </c>
      <c r="B71" s="6" t="str">
        <f>IFERROR(__xludf.DUMMYFUNCTION("GOOGLETRANSLATE(H71, ""de"",""en"")"),"What is the main objective in a Quoits game?")</f>
        <v>What is the main objective in a Quoits game?</v>
      </c>
      <c r="C71" s="7" t="s">
        <v>4538</v>
      </c>
      <c r="D71" s="6" t="str">
        <f>IFERROR(__xludf.DUMMYFUNCTION("GOOGLETRANSLATE(J71, ""de"",""en"")"),"Land the quotient on the stake")</f>
        <v>Land the quotient on the stake</v>
      </c>
      <c r="E71" s="6" t="str">
        <f>IFERROR(__xludf.DUMMYFUNCTION("GOOGLETRANSLATE(K71, ""de"",""en"")"),"The main objective is to land the quoit on the stake.")</f>
        <v>The main objective is to land the quoit on the stake.</v>
      </c>
      <c r="G71" s="10">
        <v>70.0</v>
      </c>
      <c r="H71" s="9" t="s">
        <v>4539</v>
      </c>
      <c r="I71" s="9" t="s">
        <v>4540</v>
      </c>
      <c r="J71" s="9" t="s">
        <v>4541</v>
      </c>
      <c r="K71" s="9" t="s">
        <v>4542</v>
      </c>
    </row>
    <row r="72" ht="22.5" customHeight="1">
      <c r="A72" s="22">
        <v>71.0</v>
      </c>
      <c r="B72" s="6" t="str">
        <f>IFERROR(__xludf.DUMMYFUNCTION("GOOGLETRANSLATE(H72, ""de"",""en"")"),"What is the typical distance between the throwing surface and the stake in competitive quoits?")</f>
        <v>What is the typical distance between the throwing surface and the stake in competitive quoits?</v>
      </c>
      <c r="C72" s="7" t="s">
        <v>4543</v>
      </c>
      <c r="D72" s="6" t="str">
        <f>IFERROR(__xludf.DUMMYFUNCTION("GOOGLETRANSLATE(J72, ""de"",""en"")"),"7 feet")</f>
        <v>7 feet</v>
      </c>
      <c r="E72" s="6" t="str">
        <f>IFERROR(__xludf.DUMMYFUNCTION("GOOGLETRANSLATE(K72, ""de"",""en"")"),"The typical distance is 7 feet in competition quoits.")</f>
        <v>The typical distance is 7 feet in competition quoits.</v>
      </c>
      <c r="G72" s="23">
        <v>71.0</v>
      </c>
      <c r="H72" s="9" t="s">
        <v>4544</v>
      </c>
      <c r="I72" s="9" t="s">
        <v>4545</v>
      </c>
      <c r="J72" s="9" t="s">
        <v>4546</v>
      </c>
      <c r="K72" s="9" t="s">
        <v>4547</v>
      </c>
    </row>
    <row r="73" ht="22.5" customHeight="1">
      <c r="A73" s="24">
        <v>72.0</v>
      </c>
      <c r="B73" s="6" t="str">
        <f>IFERROR(__xludf.DUMMYFUNCTION("GOOGLETRANSLATE(H73, ""de"",""en"")"),"Which country is the current (as of 2024) Quoits World Champion?")</f>
        <v>Which country is the current (as of 2024) Quoits World Champion?</v>
      </c>
      <c r="C73" s="7" t="s">
        <v>4548</v>
      </c>
      <c r="D73" s="6" t="str">
        <f>IFERROR(__xludf.DUMMYFUNCTION("GOOGLETRANSLATE(J73, ""de"",""en"")"),"United States")</f>
        <v>United States</v>
      </c>
      <c r="E73" s="6" t="str">
        <f>IFERROR(__xludf.DUMMYFUNCTION("GOOGLETRANSLATE(K73, ""de"",""en"")"),"The United States are the current Quoits World Champion.")</f>
        <v>The United States are the current Quoits World Champion.</v>
      </c>
      <c r="G73" s="10">
        <v>72.0</v>
      </c>
      <c r="H73" s="9" t="s">
        <v>4549</v>
      </c>
      <c r="I73" s="9" t="s">
        <v>4550</v>
      </c>
      <c r="J73" s="9" t="s">
        <v>3066</v>
      </c>
      <c r="K73" s="9" t="s">
        <v>4551</v>
      </c>
    </row>
    <row r="74" ht="22.5" customHeight="1">
      <c r="A74" s="22">
        <v>73.0</v>
      </c>
      <c r="B74" s="6" t="str">
        <f>IFERROR(__xludf.DUMMYFUNCTION("GOOGLETRANSLATE(H74, ""de"",""en"")"),"Who was the first recorded Quoits champion?")</f>
        <v>Who was the first recorded Quoits champion?</v>
      </c>
      <c r="C74" s="7" t="s">
        <v>4552</v>
      </c>
      <c r="D74" s="6" t="str">
        <f>IFERROR(__xludf.DUMMYFUNCTION("GOOGLETRANSLATE(J74, ""de"",""en"")"),"Harry Jones")</f>
        <v>Harry Jones</v>
      </c>
      <c r="E74" s="6" t="str">
        <f>IFERROR(__xludf.DUMMYFUNCTION("GOOGLETRANSLATE(K74, ""de"",""en"")"),"Harry Jones was the first recorded Quoits champion.")</f>
        <v>Harry Jones was the first recorded Quoits champion.</v>
      </c>
      <c r="G74" s="23">
        <v>73.0</v>
      </c>
      <c r="H74" s="9" t="s">
        <v>4553</v>
      </c>
      <c r="I74" s="9" t="s">
        <v>4552</v>
      </c>
      <c r="J74" s="9" t="s">
        <v>4554</v>
      </c>
      <c r="K74" s="9" t="s">
        <v>4555</v>
      </c>
    </row>
    <row r="75" ht="22.5" customHeight="1">
      <c r="A75" s="24">
        <v>74.0</v>
      </c>
      <c r="B75" s="6" t="str">
        <f>IFERROR(__xludf.DUMMYFUNCTION("GOOGLETRANSLATE(H75, ""de"",""en"")"),"Which US state has a tradition of quoits tournaments?")</f>
        <v>Which US state has a tradition of quoits tournaments?</v>
      </c>
      <c r="C75" s="7" t="s">
        <v>4556</v>
      </c>
      <c r="D75" s="6" t="str">
        <f>IFERROR(__xludf.DUMMYFUNCTION("GOOGLETRANSLATE(J75, ""de"",""en"")"),"Pennsylvania")</f>
        <v>Pennsylvania</v>
      </c>
      <c r="E75" s="6" t="str">
        <f>IFERROR(__xludf.DUMMYFUNCTION("GOOGLETRANSLATE(K75, ""de"",""en"")"),"Pennsylvania has a long tradition of quoits tournaments.")</f>
        <v>Pennsylvania has a long tradition of quoits tournaments.</v>
      </c>
      <c r="G75" s="10">
        <v>74.0</v>
      </c>
      <c r="H75" s="9" t="s">
        <v>4557</v>
      </c>
      <c r="I75" s="9" t="s">
        <v>4558</v>
      </c>
      <c r="J75" s="9" t="s">
        <v>4267</v>
      </c>
      <c r="K75" s="9" t="s">
        <v>4559</v>
      </c>
    </row>
    <row r="76" ht="22.5" customHeight="1">
      <c r="A76" s="22">
        <v>75.0</v>
      </c>
      <c r="B76" s="6" t="str">
        <f>IFERROR(__xludf.DUMMYFUNCTION("GOOGLETRANSLATE(H76, ""de"",""en"")"),"What do you call the landing of a quoit on the stake?")</f>
        <v>What do you call the landing of a quoit on the stake?</v>
      </c>
      <c r="C76" s="7" t="s">
        <v>4560</v>
      </c>
      <c r="D76" s="6" t="str">
        <f>IFERROR(__xludf.DUMMYFUNCTION("GOOGLETRANSLATE(J76, ""de"",""en"")"),"ring")</f>
        <v>ring</v>
      </c>
      <c r="E76" s="6" t="str">
        <f>IFERROR(__xludf.DUMMYFUNCTION("GOOGLETRANSLATE(K76, ""de"",""en"")"),"Landing a quoit on the stake is called a ""ring"".")</f>
        <v>Landing a quoit on the stake is called a "ring".</v>
      </c>
      <c r="G76" s="23">
        <v>75.0</v>
      </c>
      <c r="H76" s="9" t="s">
        <v>4561</v>
      </c>
      <c r="I76" s="9" t="s">
        <v>4562</v>
      </c>
      <c r="J76" s="9" t="s">
        <v>4563</v>
      </c>
      <c r="K76" s="9" t="s">
        <v>4564</v>
      </c>
    </row>
    <row r="77" ht="22.5" customHeight="1">
      <c r="A77" s="24">
        <v>76.0</v>
      </c>
      <c r="B77" s="6" t="str">
        <f>IFERROR(__xludf.DUMMYFUNCTION("GOOGLETRANSLATE(H77, ""de"",""en"")"),"What modern material is used to produce quotas in official competitions?")</f>
        <v>What modern material is used to produce quotas in official competitions?</v>
      </c>
      <c r="C77" s="7" t="s">
        <v>4565</v>
      </c>
      <c r="D77" s="6" t="str">
        <f>IFERROR(__xludf.DUMMYFUNCTION("GOOGLETRANSLATE(J77, ""de"",""en"")"),"Steel")</f>
        <v>Steel</v>
      </c>
      <c r="E77" s="6" t="str">
        <f>IFERROR(__xludf.DUMMYFUNCTION("GOOGLETRANSLATE(K77, ""de"",""en"")"),"Modern quoits are typically made of steel.")</f>
        <v>Modern quoits are typically made of steel.</v>
      </c>
      <c r="G77" s="10">
        <v>76.0</v>
      </c>
      <c r="H77" s="9" t="s">
        <v>4566</v>
      </c>
      <c r="I77" s="9" t="s">
        <v>4567</v>
      </c>
      <c r="J77" s="9" t="s">
        <v>2726</v>
      </c>
      <c r="K77" s="9" t="s">
        <v>4568</v>
      </c>
    </row>
    <row r="78" ht="22.5" customHeight="1">
      <c r="A78" s="22">
        <v>77.0</v>
      </c>
      <c r="B78" s="6" t="str">
        <f>IFERROR(__xludf.DUMMYFUNCTION("GOOGLETRANSLATE(H78, ""de"",""en"")"),"Who was the famous quoits player from the early 20th century, known for his skill?")</f>
        <v>Who was the famous quoits player from the early 20th century, known for his skill?</v>
      </c>
      <c r="C78" s="7" t="s">
        <v>4569</v>
      </c>
      <c r="D78" s="6" t="str">
        <f>IFERROR(__xludf.DUMMYFUNCTION("GOOGLETRANSLATE(J78, ""de"",""en"")"),"George Hardy")</f>
        <v>George Hardy</v>
      </c>
      <c r="E78" s="6" t="str">
        <f>IFERROR(__xludf.DUMMYFUNCTION("GOOGLETRANSLATE(K78, ""de"",""en"")"),"George Hardy was a famous Quoits player from the early 20th century.")</f>
        <v>George Hardy was a famous Quoits player from the early 20th century.</v>
      </c>
      <c r="G78" s="23">
        <v>77.0</v>
      </c>
      <c r="H78" s="9" t="s">
        <v>4570</v>
      </c>
      <c r="I78" s="9" t="s">
        <v>4569</v>
      </c>
      <c r="J78" s="9" t="s">
        <v>4571</v>
      </c>
      <c r="K78" s="9" t="s">
        <v>4572</v>
      </c>
    </row>
    <row r="79" ht="22.5" customHeight="1">
      <c r="A79" s="24">
        <v>78.0</v>
      </c>
      <c r="B79" s="6" t="str">
        <f>IFERROR(__xludf.DUMMYFUNCTION("GOOGLETRANSLATE(H79, ""de"",""en"")"),"What is the name of the European Quoits competition?")</f>
        <v>What is the name of the European Quoits competition?</v>
      </c>
      <c r="C79" s="7" t="s">
        <v>4573</v>
      </c>
      <c r="D79" s="6" t="str">
        <f>IFERROR(__xludf.DUMMYFUNCTION("GOOGLETRANSLATE(J79, ""de"",""en"")"),"The Quoits European Championship")</f>
        <v>The Quoits European Championship</v>
      </c>
      <c r="E79" s="6" t="str">
        <f>IFERROR(__xludf.DUMMYFUNCTION("GOOGLETRANSLATE(K79, ""de"",""en"")"),"The European Quoits Championship is the most important competition.")</f>
        <v>The European Quoits Championship is the most important competition.</v>
      </c>
      <c r="G79" s="10">
        <v>78.0</v>
      </c>
      <c r="H79" s="9" t="s">
        <v>4574</v>
      </c>
      <c r="I79" s="9" t="s">
        <v>4575</v>
      </c>
      <c r="J79" s="9" t="s">
        <v>4576</v>
      </c>
      <c r="K79" s="9" t="s">
        <v>4577</v>
      </c>
    </row>
    <row r="80" ht="22.5" customHeight="1">
      <c r="A80" s="22">
        <v>79.0</v>
      </c>
      <c r="B80" s="6" t="str">
        <f>IFERROR(__xludf.DUMMYFUNCTION("GOOGLETRANSLATE(H80, ""de"",""en"")"),"Which two countries usually dominate quoits competitions?")</f>
        <v>Which two countries usually dominate quoits competitions?</v>
      </c>
      <c r="C80" s="7" t="s">
        <v>4578</v>
      </c>
      <c r="D80" s="6" t="str">
        <f>IFERROR(__xludf.DUMMYFUNCTION("GOOGLETRANSLATE(J80, ""de"",""en"")"),"Germany and the United States")</f>
        <v>Germany and the United States</v>
      </c>
      <c r="E80" s="6" t="str">
        <f>IFERROR(__xludf.DUMMYFUNCTION("GOOGLETRANSLATE(K80, ""de"",""en"")"),"Germany and the United States are the dominant countries in quotits competitions.")</f>
        <v>Germany and the United States are the dominant countries in quotits competitions.</v>
      </c>
      <c r="G80" s="23">
        <v>79.0</v>
      </c>
      <c r="H80" s="9" t="s">
        <v>4579</v>
      </c>
      <c r="I80" s="9" t="s">
        <v>4580</v>
      </c>
      <c r="J80" s="9" t="s">
        <v>4581</v>
      </c>
      <c r="K80" s="9" t="s">
        <v>4582</v>
      </c>
    </row>
    <row r="81" ht="22.5" customHeight="1">
      <c r="A81" s="24">
        <v>80.0</v>
      </c>
      <c r="B81" s="6" t="str">
        <f>IFERROR(__xludf.DUMMYFUNCTION("GOOGLETRANSLATE(H81, ""de"",""en"")"),"Which sport influenced the development of Quoits?")</f>
        <v>Which sport influenced the development of Quoits?</v>
      </c>
      <c r="C81" s="7" t="s">
        <v>4583</v>
      </c>
      <c r="D81" s="6" t="str">
        <f>IFERROR(__xludf.DUMMYFUNCTION("GOOGLETRANSLATE(J81, ""de"",""en"")"),"Horseshoe throwing")</f>
        <v>Horseshoe throwing</v>
      </c>
      <c r="E81" s="6" t="str">
        <f>IFERROR(__xludf.DUMMYFUNCTION("GOOGLETRANSLATE(K81, ""de"",""en"")"),"Quoits was influenced by horseshoe pitching.")</f>
        <v>Quoits was influenced by horseshoe pitching.</v>
      </c>
      <c r="G81" s="10">
        <v>80.0</v>
      </c>
      <c r="H81" s="9" t="s">
        <v>4584</v>
      </c>
      <c r="I81" s="9" t="s">
        <v>4585</v>
      </c>
      <c r="J81" s="9" t="s">
        <v>4484</v>
      </c>
      <c r="K81" s="9" t="s">
        <v>4586</v>
      </c>
    </row>
    <row r="82" ht="22.5" customHeight="1">
      <c r="A82" s="22">
        <v>81.0</v>
      </c>
      <c r="B82" s="6" t="str">
        <f>IFERROR(__xludf.DUMMYFUNCTION("GOOGLETRANSLATE(H82, ""de"",""en"")"),"What is the nickname for a perfect score in quotits?")</f>
        <v>What is the nickname for a perfect score in quotits?</v>
      </c>
      <c r="C82" s="7" t="s">
        <v>4587</v>
      </c>
      <c r="D82" s="6" t="str">
        <f>IFERROR(__xludf.DUMMYFUNCTION("GOOGLETRANSLATE(J82, ""de"",""en"")"),"Perfect ring")</f>
        <v>Perfect ring</v>
      </c>
      <c r="E82" s="6" t="str">
        <f>IFERROR(__xludf.DUMMYFUNCTION("GOOGLETRANSLATE(K82, ""de"",""en"")"),"A perfect score is referred to as a ""Perfect Ring"" in quotits.")</f>
        <v>A perfect score is referred to as a "Perfect Ring" in quotits.</v>
      </c>
      <c r="G82" s="23">
        <v>81.0</v>
      </c>
      <c r="H82" s="9" t="s">
        <v>4588</v>
      </c>
      <c r="I82" s="9" t="s">
        <v>4589</v>
      </c>
      <c r="J82" s="9" t="s">
        <v>4590</v>
      </c>
      <c r="K82" s="9" t="s">
        <v>4591</v>
      </c>
    </row>
    <row r="83" ht="22.5" customHeight="1">
      <c r="A83" s="24">
        <v>82.0</v>
      </c>
      <c r="B83" s="6" t="str">
        <f>IFERROR(__xludf.DUMMYFUNCTION("GOOGLETRANSLATE(H83, ""de"",""en"")"),"What form does a quotit take?")</f>
        <v>What form does a quotit take?</v>
      </c>
      <c r="C83" s="7" t="s">
        <v>4592</v>
      </c>
      <c r="D83" s="6" t="str">
        <f>IFERROR(__xludf.DUMMYFUNCTION("GOOGLETRANSLATE(J83, ""de"",""en"")"),"Circle")</f>
        <v>Circle</v>
      </c>
      <c r="E83" s="6" t="str">
        <f>IFERROR(__xludf.DUMMYFUNCTION("GOOGLETRANSLATE(K83, ""de"",""en"")"),"A quoit has a circular shape.")</f>
        <v>A quoit has a circular shape.</v>
      </c>
      <c r="G83" s="10">
        <v>82.0</v>
      </c>
      <c r="H83" s="9" t="s">
        <v>4593</v>
      </c>
      <c r="I83" s="9" t="s">
        <v>4594</v>
      </c>
      <c r="J83" s="9" t="s">
        <v>4595</v>
      </c>
      <c r="K83" s="9" t="s">
        <v>4596</v>
      </c>
    </row>
    <row r="84" ht="22.5" customHeight="1">
      <c r="A84" s="22">
        <v>83.0</v>
      </c>
      <c r="B84" s="6" t="str">
        <f>IFERROR(__xludf.DUMMYFUNCTION("GOOGLETRANSLATE(H84, ""de"",""en"")"),"How many rings are typically thrown during a game of Quoits?")</f>
        <v>How many rings are typically thrown during a game of Quoits?</v>
      </c>
      <c r="C84" s="7" t="s">
        <v>4597</v>
      </c>
      <c r="D84" s="6" t="str">
        <f>IFERROR(__xludf.DUMMYFUNCTION("GOOGLETRANSLATE(J84, ""de"",""en"")"),"8")</f>
        <v>8</v>
      </c>
      <c r="E84" s="6" t="str">
        <f>IFERROR(__xludf.DUMMYFUNCTION("GOOGLETRANSLATE(K84, ""de"",""en"")"),"In a typical quoits match, eight rings are thrown.")</f>
        <v>In a typical quoits match, eight rings are thrown.</v>
      </c>
      <c r="G84" s="23">
        <v>83.0</v>
      </c>
      <c r="H84" s="9" t="s">
        <v>4598</v>
      </c>
      <c r="I84" s="9" t="s">
        <v>4597</v>
      </c>
      <c r="J84" s="11">
        <v>8.0</v>
      </c>
      <c r="K84" s="9" t="s">
        <v>4599</v>
      </c>
    </row>
    <row r="85" ht="22.5" customHeight="1">
      <c r="A85" s="24">
        <v>84.0</v>
      </c>
      <c r="B85" s="6" t="str">
        <f>IFERROR(__xludf.DUMMYFUNCTION("GOOGLETRANSLATE(H85, ""de"",""en"")"),"Which country hosted the first Quoits European Championship?")</f>
        <v>Which country hosted the first Quoits European Championship?</v>
      </c>
      <c r="C85" s="7" t="s">
        <v>4600</v>
      </c>
      <c r="D85" s="6" t="str">
        <f>IFERROR(__xludf.DUMMYFUNCTION("GOOGLETRANSLATE(J85, ""de"",""en"")"),"Germany")</f>
        <v>Germany</v>
      </c>
      <c r="E85" s="6" t="str">
        <f>IFERROR(__xludf.DUMMYFUNCTION("GOOGLETRANSLATE(K85, ""de"",""en"")"),"Germany hosted the first Quoits European Championship.")</f>
        <v>Germany hosted the first Quoits European Championship.</v>
      </c>
      <c r="G85" s="10">
        <v>84.0</v>
      </c>
      <c r="H85" s="9" t="s">
        <v>4601</v>
      </c>
      <c r="I85" s="9" t="s">
        <v>4602</v>
      </c>
      <c r="J85" s="9" t="s">
        <v>269</v>
      </c>
      <c r="K85" s="9" t="s">
        <v>4603</v>
      </c>
    </row>
  </sheetData>
  <drawing r:id="rId1"/>
  <tableParts count="2">
    <tablePart r:id="rId4"/>
    <tablePart r:id="rId5"/>
  </tableParts>
</worksheet>
</file>
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wing(Rudern)" sheetId="1" r:id="rId4"/>
    <sheet state="visible" name="Skat" sheetId="2" r:id="rId5"/>
    <sheet state="visible" name="Bosseln" sheetId="3" r:id="rId6"/>
    <sheet state="visible" name="Klootschießen" sheetId="4" r:id="rId7"/>
    <sheet state="visible" name="Radball (Cycle Ball)" sheetId="5" r:id="rId8"/>
    <sheet state="visible" name="Quoits (Ringspiel)" sheetId="6" r:id="rId9"/>
    <sheet state="visible" name="Eisstockschießen (Ice Stock Spo" sheetId="7" r:id="rId10"/>
  </sheets>
  <definedNames/>
  <calcPr/>
</workbook>
</file>

<file path=xl/sharedStrings.xml><?xml version="1.0" encoding="utf-8"?>
<sst xmlns="http://schemas.openxmlformats.org/spreadsheetml/2006/main" count="7322" uniqueCount="5642">
  <si>
    <t>Question number</t>
  </si>
  <si>
    <t>Question</t>
  </si>
  <si>
    <t>Options</t>
  </si>
  <si>
    <t>Correct answer</t>
  </si>
  <si>
    <t>Description</t>
  </si>
  <si>
    <t>Fragenummer</t>
  </si>
  <si>
    <t>Fragen</t>
  </si>
  <si>
    <t>Options2</t>
  </si>
  <si>
    <t>Richtige Antwort</t>
  </si>
  <si>
    <t>Beschreibung</t>
  </si>
  <si>
    <t>A. The race will be restarted. B. The team is disqualified. C. The team receives a time penalty. D. The race continues</t>
  </si>
  <si>
    <t>Was passiert, wenn ein Teammitglied den Start verpasst?</t>
  </si>
  <si>
    <t>A. Das Rennen wird neu gestartet. B. Das Team wird disqualifiziert. C. Das Team erhält eine Zeitstrafe. D. Das Rennen wird fortgesetzt.</t>
  </si>
  <si>
    <t>Das Team wird disqualifiziert</t>
  </si>
  <si>
    <t>Das Team verliert das Rennen aufgrund eines Regelverstoßes.</t>
  </si>
  <si>
    <t>A. Time penalty B. disqualification C. Race restart D. Loss of a point</t>
  </si>
  <si>
    <t>Wie hoch ist die Strafe für einen Frühstart beim Rudern?</t>
  </si>
  <si>
    <t>A. Zeitstrafe B. Disqualifikation C. Neustart des Rennens D. Punktabzug</t>
  </si>
  <si>
    <t>Zeitstrafe</t>
  </si>
  <si>
    <t>Das Team muss eine festgelegte Zeitstrafe verbüßen, bevor es weiter rudern kann.</t>
  </si>
  <si>
    <t>A. Eight rowers B. Six rowers C. Four rowers D. Two rowers</t>
  </si>
  <si>
    <t>Was ist die Mindestanzahl an Ruderern in einem Achterboot?</t>
  </si>
  <si>
    <t>A. Acht Ruderer B. Sechs Ruderer C. Vier Ruderer D. Zwei Ruderer</t>
  </si>
  <si>
    <t>Acht Ruderer</t>
  </si>
  <si>
    <t>Eine Acht besteht aus acht Ruderern, die gleichzeitig rudern.</t>
  </si>
  <si>
    <t>A. To steer the boat B. To increase the speed C. Accelerate the boat D. To block the opponents</t>
  </si>
  <si>
    <t>Welchen Zweck hat der Steuermann bei einem Rennen?</t>
  </si>
  <si>
    <t>A. Das Boot steuern B. Die Geschwindigkeit erhöhen C. Das Boot beschleunigen D. Die Gegner blockieren</t>
  </si>
  <si>
    <t>Um das Boot zu steuern</t>
  </si>
  <si>
    <t>Der Steuermann steuert das Boot und gibt Richtungsbefehle</t>
  </si>
  <si>
    <t>A. Parallel to the starting line B. Perpendicular to the starting line C. in the middle of the river D. Behind the starting line</t>
  </si>
  <si>
    <t>Wie sollte das Boot vor dem Start des Rennens positioniert werden?</t>
  </si>
  <si>
    <t>A. Parallel zur Startlinie B. Senkrecht zur Startlinie C. In der Mitte des Flusses D. Hinter der Startlinie</t>
  </si>
  <si>
    <t>Parallel zur Startlinie</t>
  </si>
  <si>
    <t>Das Boot muss sich beim Start parallel zur Startlinie positionieren.</t>
  </si>
  <si>
    <t>A. The boat is disqualified. B. The race is cancelled. C. A time penalty will be imposed. D. The boat is warned.</t>
  </si>
  <si>
    <t>Was passiert, wenn ein Boot den Weg eines anderen kreuzt?</t>
  </si>
  <si>
    <t>A. Das Boot wird disqualifiziert. B. Das Rennen wird abgebrochen. C. Es wird eine Zeitstrafe verhängt. D. Das Boot wird verwarnt.</t>
  </si>
  <si>
    <t>Das Boot wird disqualifiziert</t>
  </si>
  <si>
    <t>Aufgrund eines schwerwiegenden Verstoßes wird das Boot vom Rennen ausgeschlossen.</t>
  </si>
  <si>
    <t>A. 30 to 40 strokes B. 20 to 30 strokes C. 50 to 60 strokes D. 10 to 20 strokes</t>
  </si>
  <si>
    <t>Wie viele Schläge pro Minute sind bei einem Wettkampfrennen üblich?</t>
  </si>
  <si>
    <t>A. 30 bis 40 Schläge B. 20 bis 30 Schläge C. 50 bis 60 Schläge D. 10 bis 20 Schläge</t>
  </si>
  <si>
    <t>30 bis 40 Schläge</t>
  </si>
  <si>
    <t>Dies ist die durchschnittliche Anzahl der Schläge pro Minute bei einem Ruderrennen.</t>
  </si>
  <si>
    <t>A. disqualification B. Time penalty C. Race restart D. A warning</t>
  </si>
  <si>
    <t>Welche Strafe erhält ein Boot, wenn es einen Gegner absichtlich behindert?</t>
  </si>
  <si>
    <t>A. Disqualifikation B. Zeitstrafe C. Neustart des Rennens D. Verwarnung</t>
  </si>
  <si>
    <t>Disqualifikation</t>
  </si>
  <si>
    <t>Ein Team wird ausgeschlossen, wenn es gegen die Regeln verstößt</t>
  </si>
  <si>
    <t>A. Set the rhythm B. Steer the boat C. Increase the speed D. The oars count</t>
  </si>
  <si>
    <t>Was ist die Hauptaufgabe des Bugmanns auf dem Boot?</t>
  </si>
  <si>
    <t>A. Den Rhythmus vorgeben. B. Das Boot steuern. C. Die Geschwindigkeit erhöhen. D. Die Ruder zählen.</t>
  </si>
  <si>
    <t>Legen Sie den Rhythmus fest</t>
  </si>
  <si>
    <t>Der Schlagmann gibt den Ruderrhythmus und das Tempo für das Team vor.</t>
  </si>
  <si>
    <t>A. The team is allowed to continue the race. B. The team is disqualified. C. The race is stopped for the team. D. The team is getting a fresh start.</t>
  </si>
  <si>
    <t>Welche Regel gilt, wenn ein Ruder kaputt geht?</t>
  </si>
  <si>
    <t>A. Das Team darf das Rennen fortsetzen. B. Das Team wird disqualifiziert. C. Das Rennen wird für das Team abgebrochen. D. Das Team erhält einen Neustart.</t>
  </si>
  <si>
    <t>Das Team darf das Rennen fortsetzen</t>
  </si>
  <si>
    <t>Das Team darf das Rennen nach einer Strafe oder Unterbrechung fortsetzen.</t>
  </si>
  <si>
    <t>A. 8.2 meters B. 6.0 meters C. 10.4 meters D. 7.5 meters</t>
  </si>
  <si>
    <t>Was ist die maximale Länge eines Skiffs?</t>
  </si>
  <si>
    <t>A. 8,2 Meter B. 6,0 Meter C. 10,4 Meter D. 7,5 Meter</t>
  </si>
  <si>
    <t>8,2 Meter</t>
  </si>
  <si>
    <t>Dies ist die typische Länge eines Ruderschiffs in der Acht.</t>
  </si>
  <si>
    <t>A. A life jacket B. A helmet C. A pipe D. Uniform clothing</t>
  </si>
  <si>
    <t>Was muss der Steuermann während des Rennens immer tragen?</t>
  </si>
  <si>
    <t>A. Eine Rettungsweste B. Ein Helm C. Ein Rohr D. Uniformkleidung</t>
  </si>
  <si>
    <t>Eine Schwimmweste</t>
  </si>
  <si>
    <t>Eine Schwimmweste ist eine Sicherheitsvorkehrung für den Fall, dass ein Ruderer ins Wasser fällt.</t>
  </si>
  <si>
    <t>A. The race will be scored. B. The boat is disqualified. C. The race is cancelled. D. The boat receives a time penalty.</t>
  </si>
  <si>
    <t>Was passiert, wenn ein Boot das Ziel trifft?</t>
  </si>
  <si>
    <t>A. Das Rennen wird gewertet. B. Das Boot wird disqualifiziert. C. Das Rennen wird abgebrochen. D. Das Boot erhält eine Zeitstrafe.</t>
  </si>
  <si>
    <t>Das Rennen wird gewertet</t>
  </si>
  <si>
    <t>Das Rennen wird nach den Regeln gewertet und die Platzierungen gewertet.</t>
  </si>
  <si>
    <t>A. By lottery B. Due to the starting position C. Due to the speed in the race D. From the race management</t>
  </si>
  <si>
    <t>Wie wird entschieden, welches Boot in einer Kurve die Innenbahn erhält?</t>
  </si>
  <si>
    <t>A. Durch Losverfahren B. Aufgrund der Startposition C. Aufgrund der Renngeschwindigkeit D. Durch die Rennleitung</t>
  </si>
  <si>
    <t>Aufgrund der Platzierung am Start</t>
  </si>
  <si>
    <t>Die Position des Bootes beim Start kann den Ausgang des Rennens beeinflussen.</t>
  </si>
  <si>
    <t>A. Deliberately hitting the water B. Optimized rudders C. Steep rowing effort D. Adjusting the hit rate</t>
  </si>
  <si>
    <t>Was ist verboten, um die Geschwindigkeit des Bootes zu erhöhen?</t>
  </si>
  <si>
    <t>A. Bewusstes Auftreffen auf das Wasser B. Optimierte Ruder C. Hoher Ruderdruck D. Anpassung der Auftreffrate</t>
  </si>
  <si>
    <t>Absichtlich aufs Wasser schlagen</t>
  </si>
  <si>
    <t>Das absichtliche Auftreffen auf das Wasser kann als Verstoß gegen die Regeln gewertet werden.</t>
  </si>
  <si>
    <t>A. 8.2 meters B. 7.5 meters C. 10 meters D. 6 meters</t>
  </si>
  <si>
    <t>Wie lang ist ein Standard-Einzelruderboot?</t>
  </si>
  <si>
    <t>A. 8,2 Meter B. 7,5 Meter C. 10 Meter D. 6 Meter</t>
  </si>
  <si>
    <t>Ein Standard-Einzelruderboot ist normalerweise 8,2 Meter lang.</t>
  </si>
  <si>
    <t>A. Eight B. Six C. Four D. Ten</t>
  </si>
  <si>
    <t>Wie viele Ruderer sind in einer Acht?</t>
  </si>
  <si>
    <t>A. Acht B. Sechs C. Vier D. Zehn</t>
  </si>
  <si>
    <t>Acht</t>
  </si>
  <si>
    <t>Eine Acht hat acht Ruderer.</t>
  </si>
  <si>
    <t>A. The starter B. The finish judge C. The linesman D. The boat judge</t>
  </si>
  <si>
    <t>Welcher Schiedsrichter gibt den Startschuss?</t>
  </si>
  <si>
    <t>A. Der Starter B. Der Zielrichter C. Der Linienrichter D. Der Bootsrichter</t>
  </si>
  <si>
    <t>Der Anlasser</t>
  </si>
  <si>
    <t>Der Starter gibt das Startsignal.</t>
  </si>
  <si>
    <t>A. batsman B. Cox C. Boatswain D. rower</t>
  </si>
  <si>
    <t>Wie nennt man den Schlagmann in der Acht?</t>
  </si>
  <si>
    <t>A. Schlagmann B. Steuermann C. Bootsmann D. Ruderer</t>
  </si>
  <si>
    <t>Schlagmann</t>
  </si>
  <si>
    <t>Der Schlagmann gibt das Tempo für die Mannschaft vor.</t>
  </si>
  <si>
    <t>A. disqualification B. Time penalty C. New starting point D. Point deduction</t>
  </si>
  <si>
    <t>Welche Strafe erhält ein Team für einen frühen Start?</t>
  </si>
  <si>
    <t>A. Disqualifikation B. Zeitstrafe C. Neuer Startpunkt D. Punktabzug</t>
  </si>
  <si>
    <t>Ein vorzeitiger Start wird mit einer Zeitstrafe geahndet.</t>
  </si>
  <si>
    <t>A. Six B. Eight C. Four D. Ten</t>
  </si>
  <si>
    <t>Wie viele Boote nehmen normalerweise an einem Rennen teil?</t>
  </si>
  <si>
    <t>A. Sechs B. Acht C. Vier D. Zehn</t>
  </si>
  <si>
    <t>Sechs</t>
  </si>
  <si>
    <t>Normalerweise starten sechs Boote in einem Rennen.</t>
  </si>
  <si>
    <t>A. 2000 meters B. 1500 meters C. 1000 meters D. 2500 meters</t>
  </si>
  <si>
    <t>Wie lang ist die Distanz bei einem normalen Ruderrennen?</t>
  </si>
  <si>
    <t>A. 2000 Meter B. 1500 Meter C. 1000 Meter D. 2500 Meter</t>
  </si>
  <si>
    <t>2000 Meter</t>
  </si>
  <si>
    <t>Ein Standard-Ruderrennen ist 2000 Meter lang.</t>
  </si>
  <si>
    <t>A. Helmsman B. batsman C. Helmsman D. starter</t>
  </si>
  <si>
    <t>Wie heißt der kleinste Mann an Bord eines Achterbootes?</t>
  </si>
  <si>
    <t>A. Steuermann B. Schlagmann C. Steuermann D. Starter</t>
  </si>
  <si>
    <t>Steuermann</t>
  </si>
  <si>
    <t>Der Steuermann ist der kleinste Mann an Bord und steuert das Boot.</t>
  </si>
  <si>
    <t>A. Dollbord B. footrest C. Rigger seat D. Impact trigger</t>
  </si>
  <si>
    <t>Welcher Teil des Bootes hält das Ruderblatt im Wasser?</t>
  </si>
  <si>
    <t>A. Dollboard B. Fußstütze C. Riggersitz D. Auslöser</t>
  </si>
  <si>
    <t>Dollbord</t>
  </si>
  <si>
    <t>Das Dollbord sorgt dafür, dass das Ruderblatt im Wasser gehalten wird.</t>
  </si>
  <si>
    <t>A. In strong winds B. In the event of a damaged boat C. In the event of a collision D. All of the above</t>
  </si>
  <si>
    <t>Wann wird ein Rennen abgebrochen?</t>
  </si>
  <si>
    <t>A. Bei starkem Wind B. Im Falle eines beschädigten Bootes C. Im Falle einer Kollision D. Alle oben genannten Punkte</t>
  </si>
  <si>
    <t>Alle oben genannten</t>
  </si>
  <si>
    <t>Ein Rennen kann aus jedem der genannten Gründe abgesagt werden.</t>
  </si>
  <si>
    <t>A. 2000 meters B. 1500 meters C. 2500 meters D. 1000 meters</t>
  </si>
  <si>
    <t>Was ist die Standarddistanz eines olympischen Ruderwettbewerbs?</t>
  </si>
  <si>
    <t>A. 2000 Meter B. 1500 Meter C. 2500 Meter D. 1000 Meter</t>
  </si>
  <si>
    <t>Die Standardentfernung beträgt 2000 Meter.</t>
  </si>
  <si>
    <t>A. Four B. Two C. Eight D. Six</t>
  </si>
  <si>
    <t>Wie viele Ruderer nehmen an einem Doppelzweier teil?</t>
  </si>
  <si>
    <t>A. Vier B. Zwei C. Acht D. Sechs</t>
  </si>
  <si>
    <t>Vier</t>
  </si>
  <si>
    <t>Ein Doppelzweier hat vier Ruderer.</t>
  </si>
  <si>
    <t>A. The helmsman B. The batsman C. The coach D. The replacement</t>
  </si>
  <si>
    <t>Wer steuert das Boot im Heck?</t>
  </si>
  <si>
    <t>A. Der Steuermann B. Der Schlagmann C. Der Trainer D. Der Ersatzspieler</t>
  </si>
  <si>
    <t>Der Steuermann</t>
  </si>
  <si>
    <t>Der Steuermann steuert das Boot im Heck.</t>
  </si>
  <si>
    <t>A. hit B. throw C. drift D. momentum</t>
  </si>
  <si>
    <t>Wie nennt man die Bewegung des Ruders im Wasser?</t>
  </si>
  <si>
    <t>A. treffen B. werfen C. abdriften D. Impuls</t>
  </si>
  <si>
    <t>Schlag</t>
  </si>
  <si>
    <t>Die Bewegung des Ruders im Wasser wird als Schlag bezeichnet.</t>
  </si>
  <si>
    <t>A. The race is cancelled. B. Time penalty C. disqualification D. Point deduction</t>
  </si>
  <si>
    <t>Was passiert, wenn ein anderes Boot blockiert wird?</t>
  </si>
  <si>
    <t>A. Das Rennen wird abgesagt. B. Zeitstrafe. C. Disqualifikation. D. Punktabzug.</t>
  </si>
  <si>
    <t>Eine Behinderung führt zur Disqualifikation.</t>
  </si>
  <si>
    <t>A. Two B. Four C. One D. Eight</t>
  </si>
  <si>
    <t>Wie viele Sitze hat ein Doppelzweier?</t>
  </si>
  <si>
    <t>A. Zwei B. Vier C. Eins D. Acht</t>
  </si>
  <si>
    <t>Zwei</t>
  </si>
  <si>
    <t>Ein Doppelzweier hat zwei Sitze.</t>
  </si>
  <si>
    <t>A. Hands shoulder-width apart B. Hands one on top of the other C. Hands wide apart D. hands directly next to each other</t>
  </si>
  <si>
    <t>Welche Handhaltung ist beim Rudern richtig?</t>
  </si>
  <si>
    <t>A. Hände schulterbreit auseinander B. Hände übereinander C. Hände weit auseinander D. Hände direkt nebeneinander</t>
  </si>
  <si>
    <t>Hände schulterbreit auseinander</t>
  </si>
  <si>
    <t>Die Hände sollten schulterbreit auseinander sein.</t>
  </si>
  <si>
    <t>A. Stabilize the rudder B. Steer the boat C. Measure the speed D. Clean the boat</t>
  </si>
  <si>
    <t>Wozu dient der Rigger?</t>
  </si>
  <si>
    <t>A. Ruder stabilisieren B. Boot steuern C. Geschwindigkeit messen D. Boot reinigen</t>
  </si>
  <si>
    <t>Stabilisieren Sie das Ruder</t>
  </si>
  <si>
    <t>Der Rigger stabilisiert das Ruder auf dem Boot.</t>
  </si>
  <si>
    <t>A. When it's upside down in the water B. When it slows down C. If it takes a different course D. When a rower gets out</t>
  </si>
  <si>
    <t>Wann gilt ein Boot als gekentert?</t>
  </si>
  <si>
    <t>A. Wenn es im Wasser kopfüber ist. B. Wenn es langsamer wird. C. Wenn es einen anderen Kurs nimmt. D. Wenn ein Ruderer aussteigt.</t>
  </si>
  <si>
    <t>Wenn es kopfüber im Wasser liegt</t>
  </si>
  <si>
    <t>Ein Boot ist gekentert, wenn es kopfüber im Wasser liegt.</t>
  </si>
  <si>
    <t>A. Six B. Four C. Eight D. Ten</t>
  </si>
  <si>
    <t>Wie viele Boote starten normalerweise bei einem Rennen?</t>
  </si>
  <si>
    <t>A. Sechs B. Vier C. Acht D. Zehn</t>
  </si>
  <si>
    <t>A. Number of beats per minute B. Number of races per day C. Number of rowers in the boat D. Length of a stroke</t>
  </si>
  <si>
    <t>Was ist eine Schwebungsfrequenz?</t>
  </si>
  <si>
    <t>A. Anzahl der Schläge pro Minute B. Anzahl der Rennen pro Tag C. Anzahl der Ruderer im Boot D. Länge eines Ruderschlags</t>
  </si>
  <si>
    <t>Anzahl der Schläge pro Minute</t>
  </si>
  <si>
    <t>Die Schlagfrequenz ist die Anzahl der Schläge pro Minute.</t>
  </si>
  <si>
    <t>A. A piece B. Swimming trunks C. Jogging suit D. life jacket</t>
  </si>
  <si>
    <t>Welche Kleidung tragen Ruderer während eines Rennens?</t>
  </si>
  <si>
    <t>A. Ein Stück B. Badehose C. Jogginganzug D. Schwimmweste</t>
  </si>
  <si>
    <t>Ein Stück</t>
  </si>
  <si>
    <t>Ruderer tragen einen Einteiler für maximale Bewegungsfreiheit.</t>
  </si>
  <si>
    <t>A. With acoustic signal B. With hand signals C. By screaming D. With a red flag</t>
  </si>
  <si>
    <t>Wie wird ein Rennen gestartet?</t>
  </si>
  <si>
    <t>A. Mit akustischem Signal B. Mit Handzeichen C. Durch Schreien D. Mit einer roten Flagge</t>
  </si>
  <si>
    <t>Mit akustischem Signal</t>
  </si>
  <si>
    <t>Ein Rennen beginnt mit einem akustischen Signal.</t>
  </si>
  <si>
    <t>A. Steer the boat B. Measure the speed C. Set the shot D. Repair the boat</t>
  </si>
  <si>
    <t>Was ist der Zweck des Steuermanns?</t>
  </si>
  <si>
    <t>A. Das Boot steuern. B. Die Geschwindigkeit messen. C. Den Schuss vorbereiten. D. Das Boot reparieren.</t>
  </si>
  <si>
    <t>Steuern Sie das Boot</t>
  </si>
  <si>
    <t>Der Steuermann steuert das Boot und koordiniert das Team.</t>
  </si>
  <si>
    <t>A. Time penalty B. disqualification C. Point deduction D. New starting point</t>
  </si>
  <si>
    <t>Wie hoch ist die Strafe für einen Frühstart?</t>
  </si>
  <si>
    <t>A. Zeitstrafe B. Disqualifikation C. Punktabzug D. Neuer Startpunkt</t>
  </si>
  <si>
    <t>A. 8.2 meters B. 7.5 meters C. 9 meters D. 10 meters</t>
  </si>
  <si>
    <t>Wie lang ist ein normales einsitziges Rennruderboot?</t>
  </si>
  <si>
    <t>A. 8,2 Meter B. 7,5 Meter C. 9 Meter D. 10 Meter</t>
  </si>
  <si>
    <t>Ein Standardmodell ist 8,2 Meter lang.</t>
  </si>
  <si>
    <t>A. Four B. Five C. Six D. Three</t>
  </si>
  <si>
    <t>Wie viele Ruderer sind in einem Vierer ohne Steuermann?</t>
  </si>
  <si>
    <t>A. Vier B. Fünf C. Sechs D. Drei</t>
  </si>
  <si>
    <t>Ein Vierer ohne Steuermann hat vier Ruderer.</t>
  </si>
  <si>
    <t>A. disqualification B. Time penalty C. warning D. Point deduction</t>
  </si>
  <si>
    <t>Was passiert, wenn ein Boot über die Markierungsbojen fährt?</t>
  </si>
  <si>
    <t>A. Disqualifikation B. Zeitstrafe C. Verwarnung D. Punktabzug</t>
  </si>
  <si>
    <t>Das Überfahren der Markierungsbojen führt zur Disqualifikation.</t>
  </si>
  <si>
    <t>A. Rowing with two oars B. Rowing with one oar C. Rowing with one coxswain D. Rowing in shallow water</t>
  </si>
  <si>
    <t>Was nennt man „Sculling“?</t>
  </si>
  <si>
    <t>A. Rudern mit zwei Rudern B. Rudern mit einem Ruder C. Rudern mit einem Steuermann D. Rudern im Flachwasser</t>
  </si>
  <si>
    <t>Rudern mit zwei Rudern</t>
  </si>
  <si>
    <t>Beim Rudern verwendet der Ruderer zwei Ruder.</t>
  </si>
  <si>
    <t>A. Wheelchairs B. Exhibition grounds C. Floating seats D. Tilting seats</t>
  </si>
  <si>
    <t>Wie nennt man die Sitze in einem Ruderboot?</t>
  </si>
  <si>
    <t>A. Rollstühle B. Ausstellungsgelände C. Schwebende Sitze D. Kippsitze</t>
  </si>
  <si>
    <t>Rollsitze</t>
  </si>
  <si>
    <t>Die Sitze im Ruderboot sind Rollsitze, die sich bewegen lassen.</t>
  </si>
  <si>
    <t>A. The fastest boat wins. B. Most points decide C. The slowest boat wins. D. The helmsman decides</t>
  </si>
  <si>
    <t>Was bedeutet es, wenn ein Rennen „nach der Zeit“ entschieden wird?</t>
  </si>
  <si>
    <t>A. Das schnellste Boot gewinnt. B. Die meisten Punkte entscheiden. C. Das langsamste Boot gewinnt. D. Der Steuermann entscheidet.</t>
  </si>
  <si>
    <t>Das schnellste Boot gewinnt</t>
  </si>
  <si>
    <t>Bei einem Zeitrennen gewinnt das schnellste Boot.</t>
  </si>
  <si>
    <t>A. A B. Two C. Three D. None</t>
  </si>
  <si>
    <t>Wie viele Ruder hat ein Ruderer ohne ein Paar?</t>
  </si>
  <si>
    <t>A. A B. Zwei C. Drei D. Keine</t>
  </si>
  <si>
    <t>A</t>
  </si>
  <si>
    <t>Bei einem Paar ohne hat jeder Ruderer nur ein Ruder.</t>
  </si>
  <si>
    <t>A. The weight of the rowers B. The weight of the boat C. The length of the straps D. The number of rowers</t>
  </si>
  <si>
    <t>Was wird bei einer Kontrollwaage geprüft?</t>
  </si>
  <si>
    <t>A. Das Gewicht der Ruderer B. Das Gewicht des Bootes C. Die Länge der Gurte D. Die Anzahl der Ruderer</t>
  </si>
  <si>
    <t>Das Gewicht der Ruderer</t>
  </si>
  <si>
    <t>An der Kontrollwaage wird das Gewicht der Ruderer kontrolliert.</t>
  </si>
  <si>
    <t>A. carbon fiber B. Wood C. Steel D. aluminum</t>
  </si>
  <si>
    <t>Welches Material wird heutzutage häufig für Rennruderboote verwendet?</t>
  </si>
  <si>
    <t>A. Kohlenstofffaser B. Holz C. Stahl D. Aluminium</t>
  </si>
  <si>
    <t>Kohlefaser</t>
  </si>
  <si>
    <t>Rennruderboote bestehen in der Regel aus Kohlefaser.</t>
  </si>
  <si>
    <t>A. Set the pace B. Steer the boat C. Plan the course D. Watch the buoys</t>
  </si>
  <si>
    <t>Was ist die Aufgabe des Schlagmanns?</t>
  </si>
  <si>
    <t>A. Das Tempo vorgeben B. Das Boot steuern C. Den Kurs planen D. Die Bojen beobachten</t>
  </si>
  <si>
    <t>Geben Sie das Tempo vor</t>
  </si>
  <si>
    <t>A. Nine B. Eight C. Ten D. Eleven</t>
  </si>
  <si>
    <t>Wie viele Personen sitzen in einer Acht?</t>
  </si>
  <si>
    <t>A. Neun B. Acht C. Zehn D. Elf</t>
  </si>
  <si>
    <t>Neun</t>
  </si>
  <si>
    <t>Eine Acht hat acht Ruderer und einen Steuermann.</t>
  </si>
  <si>
    <t>A. Time penalty B. disqualification C. New beginning D. Point deduction</t>
  </si>
  <si>
    <t>Was passiert, wenn Sie früh beginnen?</t>
  </si>
  <si>
    <t>A. Zeitstrafe B. Disqualifikation C. Neustart D. Punktabzug</t>
  </si>
  <si>
    <t>A. The moment the rudder enters the water B. The moment the boat stops C. The moment the race ends D. The moment the boat starts</t>
  </si>
  <si>
    <t>Was ist ein „Haken“ beim Rudern?</t>
  </si>
  <si>
    <t>A. Sobald das Ruder ins Wasser eintaucht. B. Sobald das Boot zum Stehen kommt. C. Sobald das Rennen endet. D. Sobald das Boot startet.</t>
  </si>
  <si>
    <t>Der Moment, in dem das Ruder ins Wasser geht</t>
  </si>
  <si>
    <t>Der Fang ist der Moment, in dem das Ruder ins Wasser geht.</t>
  </si>
  <si>
    <t>Auf welcher Distanz wird bei internationalen Wettkämpfen üblicherweise gerudert?</t>
  </si>
  <si>
    <t>Answer</t>
  </si>
  <si>
    <t>1</t>
  </si>
  <si>
    <t>What is the goal of the game Skat?</t>
  </si>
  <si>
    <t>A. The goal is to score more points than your opponent. B. The goal is to collect the most cards. C. The goal is to win the game of Skat. D. The goal is to finish the game.</t>
  </si>
  <si>
    <t>The goal is to score more points than your opponent.</t>
  </si>
  <si>
    <t>In Skat, the aim is to outdo the opponent by collecting points.</t>
  </si>
  <si>
    <t>Was ist das Ziel des Spiels Skat?</t>
  </si>
  <si>
    <t>Das Ziel ist es, mehr Punkte als Ihr Gegner zu erzielen.</t>
  </si>
  <si>
    <t>Beim Skat geht es darum, den Gegner durch das Sammeln von Punkten zu übertrumpfen.</t>
  </si>
  <si>
    <t>2</t>
  </si>
  <si>
    <t>How many cards does each player receive at the start of the game?</t>
  </si>
  <si>
    <t>A. 10 cards B. 8 cards C. 12 cards D. 15 cards</t>
  </si>
  <si>
    <t>10 cards</t>
  </si>
  <si>
    <t>Each player receives 10 cards at the start.</t>
  </si>
  <si>
    <t>Wie viele Karten erhält jeder Spieler zu Beginn des Spiels?</t>
  </si>
  <si>
    <t>10 Karten</t>
  </si>
  <si>
    <t>Jeder Spieler erhält zu Beginn 10 Karten.</t>
  </si>
  <si>
    <t>3</t>
  </si>
  <si>
    <t>What is Skat?</t>
  </si>
  <si>
    <t>A. An additional stack of cards B. A special card that always wins C. A joker D. The deck of cards that each player sees after it has been dealt.</t>
  </si>
  <si>
    <t>An additional stack of cards</t>
  </si>
  <si>
    <t>The Skat deck consists of two cards, which are placed face down on the table after being dealt.</t>
  </si>
  <si>
    <t>Was ist der Skat?</t>
  </si>
  <si>
    <t>Ein zusätzlicher Kartenstapel</t>
  </si>
  <si>
    <t>Der Skat besteht aus zwei Karten, die nach dem Austeilen verdeckt auf den Tisch gelegt werden.</t>
  </si>
  <si>
    <t>4</t>
  </si>
  <si>
    <t>Which player makes the first bid in Skat?</t>
  </si>
  <si>
    <t>A. The player to the left of the dealer B. The giver himself C. The player to the right of the dealer D. The player with the most points</t>
  </si>
  <si>
    <t>The giver himself</t>
  </si>
  <si>
    <t>The dealer is the player who makes the first bid.</t>
  </si>
  <si>
    <t>Welcher Spieler gibt beim Skat das erste Gebot ab?</t>
  </si>
  <si>
    <t>Der Geber selbst</t>
  </si>
  <si>
    <t>Der Dealer ist der Spieler, der das erste Gebot abgibt.</t>
  </si>
  <si>
    <t>5</t>
  </si>
  <si>
    <t>What is the name of the rule in Skat according to which a player wins all trump cards?</t>
  </si>
  <si>
    <t>A. Great B. Stimulate C. Zero D. Garbage</t>
  </si>
  <si>
    <t>Great</t>
  </si>
  <si>
    <t>Grand is a game where the player must win all trump cards.</t>
  </si>
  <si>
    <t>Wie heißt die Regel, nach der ein Spieler beim Skat alle Trumpfkarten gewinnt?</t>
  </si>
  <si>
    <t>Großartig</t>
  </si>
  <si>
    <t>Grand ist ein Spiel, bei dem der Spieler alle Trumpfkarten gewinnen muss.</t>
  </si>
  <si>
    <t>6</t>
  </si>
  <si>
    <t>When is the game of Skat won?</t>
  </si>
  <si>
    <t>A. If the player has at least 60 points B. When the player reaches 100 points C. When the player has discarded all cards D. If the player wins the most tricks</t>
  </si>
  <si>
    <t>If the player has at least 60 points</t>
  </si>
  <si>
    <t>The game is won when the player has at least 60 points.</t>
  </si>
  <si>
    <t>Wann ist das Skatspiel gewonnen?</t>
  </si>
  <si>
    <t>Wenn der Spieler mindestens 60 Punkte hat</t>
  </si>
  <si>
    <t>Das Spiel ist gewonnen, wenn der Spieler mindestens 60 Punkte hat.</t>
  </si>
  <si>
    <t>7</t>
  </si>
  <si>
    <t>What does the term "trick" mean in Skat?</t>
  </si>
  <si>
    <t>A. Offer trump cards B. Estimating the opponent's points C. Bidding on the game type D. Registering a Skat game</t>
  </si>
  <si>
    <t>Bidding on the game type</t>
  </si>
  <si>
    <t>Bidding is the bid by which the player determines the type and level of play.</t>
  </si>
  <si>
    <t>Was bedeutet der Begriff „Trick“ im Skat?</t>
  </si>
  <si>
    <t>Bieten auf den Spieltyp</t>
  </si>
  <si>
    <t>Beim Bieten handelt es sich um das Gebot, mit dem der Spieler die Spielart und das Spielniveau bestimmt.</t>
  </si>
  <si>
    <t>8</t>
  </si>
  <si>
    <t>How many tricks are there in total in a game of Skat?</t>
  </si>
  <si>
    <t>A. 12 B. 20 C. 15 D. 24</t>
  </si>
  <si>
    <t>12</t>
  </si>
  <si>
    <t>There are 12 tricks that each player must take during the game.</t>
  </si>
  <si>
    <t>Wie viele Tricks gibt es insgesamt bei einem Skatspiel?</t>
  </si>
  <si>
    <t>Es gibt 12 Stiche, die jeder Spieler während des Spiels ausführen muss.</t>
  </si>
  <si>
    <t>9</t>
  </si>
  <si>
    <t>What is a Nullspiel in Skat?</t>
  </si>
  <si>
    <t>A. A game without trumps B. A game where no tricks are allowed. C. A game in which the opponent wins D. A game where the dealer automatically wins.</t>
  </si>
  <si>
    <t>A game where no tricks are allowed.</t>
  </si>
  <si>
    <t>A zero game means that the player is not allowed to take any tricks.</t>
  </si>
  <si>
    <t>Was ist ein Nullspiel im Skat?</t>
  </si>
  <si>
    <t>Ein Spiel, bei dem keine Tricks erlaubt sind</t>
  </si>
  <si>
    <t>Ein Nullspiel bedeutet, dass der Spieler keine Stiche machen darf.</t>
  </si>
  <si>
    <t>10</t>
  </si>
  <si>
    <t>How many trump cards are there in the game of Skat?</t>
  </si>
  <si>
    <t>A. 11 B. 13 C. 8 D. 9</t>
  </si>
  <si>
    <t>11</t>
  </si>
  <si>
    <t>There are 11 trump cards with the highest value in the game.</t>
  </si>
  <si>
    <t>Wie viele Trumpfkarten gibt es beim Skatspiel?</t>
  </si>
  <si>
    <t>Es gibt 11 Trumpfkarten mit dem höchsten Wert im Spiel.</t>
  </si>
  <si>
    <t>What happens if a player loses the game?</t>
  </si>
  <si>
    <t>A. He needs to reshuffle the cards. B. He loses points C. He needs to double his efforts. D. He gives the opponent a bonus</t>
  </si>
  <si>
    <t>He loses points</t>
  </si>
  <si>
    <t>The player loses points depending on the type of game and the number of tricks taken.</t>
  </si>
  <si>
    <t>Was passiert, wenn ein Spieler das Spiel verliert?</t>
  </si>
  <si>
    <t>Er verliert Punkte</t>
  </si>
  <si>
    <t>Der Spieler verliert je nach Spielart und Stichen Punkte.</t>
  </si>
  <si>
    <t>How many cards are placed face down in Skat?</t>
  </si>
  <si>
    <t>A. 2 B. 4 C. 6 D. 1</t>
  </si>
  <si>
    <t>In Skat, 2 cards are laid face down to form the Skat.</t>
  </si>
  <si>
    <t>Wie viele Karten werden beim Skat verdeckt abgelegt?</t>
  </si>
  <si>
    <t>Beim Skat werden 2 Karten verdeckt ausgelegt, um den Skat zu bilden.</t>
  </si>
  <si>
    <t>13</t>
  </si>
  <si>
    <t>What is the goal of a junk game in Skat?</t>
  </si>
  <si>
    <t>A. Collect the most points B. Have as few points as possible C. Win the highest trump card D. Win all tricks</t>
  </si>
  <si>
    <t>Have as few points as possible</t>
  </si>
  <si>
    <t>The goal of the game of Ramsch is to have as few points as possible.</t>
  </si>
  <si>
    <t>Was ist das Ziel eines Junk-Spiels im Skat?</t>
  </si>
  <si>
    <t>So wenig Punkte wie möglich haben</t>
  </si>
  <si>
    <t>Ziel des Ramsch-Spiels ist es, möglichst wenige Punkte zu haben.</t>
  </si>
  <si>
    <t>14</t>
  </si>
  <si>
    <t>Which cards are considered trumps in Skat?</t>
  </si>
  <si>
    <t>A. The Heart Cards B. The Spades cards C. The diamond cards D. All cards with a specific value</t>
  </si>
  <si>
    <t>All cards with a specific value</t>
  </si>
  <si>
    <t>Trump cards are cards with a specific value, depending on the type of game.</t>
  </si>
  <si>
    <t>Welche Karten gelten beim Skat als Trümpfe?</t>
  </si>
  <si>
    <t>Alle Karten mit einem bestimmten Wert</t>
  </si>
  <si>
    <t>Bei den Trumpfkarten handelt es sich um Karten mit einem bestimmten Wert, abhängig von der Art des Spiels.</t>
  </si>
  <si>
    <t>15</t>
  </si>
  <si>
    <t>What is a "trick" in Skat?</t>
  </si>
  <si>
    <t>A. Assess your opponent's cards B. Award a higher score C. Bidding on the game type D. Offer a junk game</t>
  </si>
  <si>
    <t>When bidding, the type of game and the skill level are taken into account.</t>
  </si>
  <si>
    <t>Was ist ein „Trick“ beim Skat?</t>
  </si>
  <si>
    <t>Beim Bieten wird auf die Spielart und das Spielniveau geboten.</t>
  </si>
  <si>
    <t>16</t>
  </si>
  <si>
    <t>How many trump suits are there in Skat?</t>
  </si>
  <si>
    <t>A. 1 B. 2 C. 3 D. 4</t>
  </si>
  <si>
    <t>In Skat there are 4 colors that can be used as trumps.</t>
  </si>
  <si>
    <t>Wie viele Trumpffarben gibt es beim Skat?</t>
  </si>
  <si>
    <t>Beim Skat gibt es 4 Farben, die als Trumpf verwendet werden können.</t>
  </si>
  <si>
    <t>17</t>
  </si>
  <si>
    <t>What is the value of the Jack in the game of Skat?</t>
  </si>
  <si>
    <t>A. 10 points B. 11 points C. 12 points D. 13 points</t>
  </si>
  <si>
    <t>10 points</t>
  </si>
  <si>
    <t>The jack has 10 points in the game of Skat.</t>
  </si>
  <si>
    <t>Welchen Wert hat der Bube beim Skatspiel?</t>
  </si>
  <si>
    <t>10 Punkte</t>
  </si>
  <si>
    <t>Der Bube hat im Skatspiel 10 Punkte.</t>
  </si>
  <si>
    <t>18</t>
  </si>
  <si>
    <t>What happens if a player loses the bid?</t>
  </si>
  <si>
    <t>A. He loses the game B. He has to pay a stake C. He is not allowed to continue the game. D. He is suspended from the game</t>
  </si>
  <si>
    <t>He loses the game</t>
  </si>
  <si>
    <t>If a player loses the bid, he loses the game and must forgo bidding.</t>
  </si>
  <si>
    <t>Was passiert, wenn ein Spieler das Bieten verliert?</t>
  </si>
  <si>
    <t>Er verliert das Spiel</t>
  </si>
  <si>
    <t>Wenn ein Spieler das Bieten verliert, verliert er das Spiel und muss auf das Bieten verzichten.</t>
  </si>
  <si>
    <t>19</t>
  </si>
  <si>
    <t>What is the highest card in Skat?</t>
  </si>
  <si>
    <t>A. As B. king C. lady D. Jack</t>
  </si>
  <si>
    <t>As</t>
  </si>
  <si>
    <t>The ace is the highest card in Skat.</t>
  </si>
  <si>
    <t>Was ist die höchste Karte im Skat?</t>
  </si>
  <si>
    <t>Das Ass ist die höchste Karte im Skat.</t>
  </si>
  <si>
    <t>20</t>
  </si>
  <si>
    <t>What happens if a player plays the wrong card?</t>
  </si>
  <si>
    <t>A. He is disqualified. B. He loses a point C. He is reprimanded. D. He loses a stitch</t>
  </si>
  <si>
    <t>He loses a stitch</t>
  </si>
  <si>
    <t>If a player plays the wrong card, he loses the trick.</t>
  </si>
  <si>
    <t>Was passiert, wenn ein Spieler die falsche Karte spielt?</t>
  </si>
  <si>
    <t>Er verliert einen Stich</t>
  </si>
  <si>
    <t>Spielt ein Spieler die falsche Karte, verliert er den Stich.</t>
  </si>
  <si>
    <t>21</t>
  </si>
  <si>
    <t>What is the bid level in Skat?</t>
  </si>
  <si>
    <t>A. The number of cards in Skat B. The minimum score a player must achieve C. The amount bid during the bidding process D. The number of tricks in the game</t>
  </si>
  <si>
    <t>The amount bid during the bidding process</t>
  </si>
  <si>
    <t>The stimulus level describes the amount offered during the bidding process.</t>
  </si>
  <si>
    <t>Wie hoch ist die Reizstufe beim Skat?</t>
  </si>
  <si>
    <t>Der während des Bietens gebotene Betrag</t>
  </si>
  <si>
    <t>Das Stimulusniveau beschreibt den Betrag, der während des Bietens angeboten wird.</t>
  </si>
  <si>
    <t>22</t>
  </si>
  <si>
    <t>What does the term "announcement" mean in Skat?</t>
  </si>
  <si>
    <t>A. Give the opponent tips B. Agreement on the rules of the game C. Register a game D. Issuance of cards</t>
  </si>
  <si>
    <t>Register a game</t>
  </si>
  <si>
    <t>To announce means to officially announce the game before it begins.</t>
  </si>
  <si>
    <t>Was bedeutet der Begriff „Ankündigung“ im Skat?</t>
  </si>
  <si>
    <t>Ein Spiel registrieren</t>
  </si>
  <si>
    <t>Ankündigen bedeutet, das Spiel offiziell anzukündigen, bevor es beginnt.</t>
  </si>
  <si>
    <t>23</t>
  </si>
  <si>
    <t>What happens if both opponents lose at Skat?</t>
  </si>
  <si>
    <t>A. The game will restart. B. The winner receives all points. C. The player with the most points wins. D. The game is a draw.</t>
  </si>
  <si>
    <t>The game will restart.</t>
  </si>
  <si>
    <t>If both opponents lose, the game starts again.</t>
  </si>
  <si>
    <t>Was passiert, wenn beide Gegner beim Skat verlieren?</t>
  </si>
  <si>
    <t>Das Spiel wird neu gestartet</t>
  </si>
  <si>
    <t>Wenn beide Gegner verloren haben, beginnt das Spiel erneut.</t>
  </si>
  <si>
    <t>24</t>
  </si>
  <si>
    <t>What happens if the bid is set too high?</t>
  </si>
  <si>
    <t>A. The game is cancelled. B. The bidding process is repeated. C. The player loses the bet. D. The game continues</t>
  </si>
  <si>
    <t>The bidding process is repeated.</t>
  </si>
  <si>
    <t>If the bid is set too high, it will be repeated and adjusted.</t>
  </si>
  <si>
    <t>Was passiert, wenn das Gebot zu hoch angesetzt ist?</t>
  </si>
  <si>
    <t>Das Bieten wird wiederholt</t>
  </si>
  <si>
    <t>Wenn das Gebot zu hoch eingestellt ist, wird es wiederholt und angepasst.</t>
  </si>
  <si>
    <t>25</t>
  </si>
  <si>
    <t>What is a Grand Skat?</t>
  </si>
  <si>
    <t>A. A Skat game where all cards are trumps B. A Skat game where the Jack is the highest card. C. A game where only aces are played. D. A Skat game in which the player is not allowed to take any tricks.</t>
  </si>
  <si>
    <t>A Skat game where all cards are trumps</t>
  </si>
  <si>
    <t>Grand Skat means that all cards are trump and the game is geared towards maximum winnings.</t>
  </si>
  <si>
    <t>Was ist ein Grand Skat?</t>
  </si>
  <si>
    <t>Ein Skat, bei dem alle Karten Trumpf sind</t>
  </si>
  <si>
    <t>Der Grand Skat bedeutet, dass alle Karten Trumpf sind und das Spiel auf maximale Gewinne ausgerichtet ist.</t>
  </si>
  <si>
    <t>26</t>
  </si>
  <si>
    <t>What is the function of the Jack in Skat?</t>
  </si>
  <si>
    <t>A. It's the lowest card B. It replaces another card. C. He is a trump card. D. He controls the game</t>
  </si>
  <si>
    <t>He is a trump card.</t>
  </si>
  <si>
    <t>The Jack is a trump card and counts for the respective trump game.</t>
  </si>
  <si>
    <t>Welche Funktion hat die Bube beim Skat?</t>
  </si>
  <si>
    <t>Er ist ein Trumpf</t>
  </si>
  <si>
    <t>Der Bube ist eine Trumpfkarte und zählt für das jeweilige Trumpfspiel.</t>
  </si>
  <si>
    <t>27</t>
  </si>
  <si>
    <t>What is the name of the Skat system for the point value of a card?</t>
  </si>
  <si>
    <t>A. card table B. Game review C. Card counter D. Rating</t>
  </si>
  <si>
    <t>Rating</t>
  </si>
  <si>
    <t>The rating indicates the value of each card and determines the score in Skat.</t>
  </si>
  <si>
    <t>Wie nennt man das Skatsystem für den Punktwert einer Karte?</t>
  </si>
  <si>
    <t>Wertung</t>
  </si>
  <si>
    <t>Die Wertung gibt den Wert jeder Karte an und bestimmt die Punktzahl im Skat.</t>
  </si>
  <si>
    <t>28</t>
  </si>
  <si>
    <t>Which suit is always trump in Skat?</t>
  </si>
  <si>
    <t>A. Check B. Heart C. spade D. No guaranteed trump card</t>
  </si>
  <si>
    <t>No guaranteed trump card</t>
  </si>
  <si>
    <t>In Skat there is no fixed trump card; instead, the trump card is determined depending on the type of game.</t>
  </si>
  <si>
    <t>Welche Farbe ist beim Skat immer Trumpf?</t>
  </si>
  <si>
    <t>Kein fester Trumpf</t>
  </si>
  <si>
    <t>Beim Skat gibt es keinen festen Trumpf, sondern der Trumpf wird je nach Spielart bestimmt.</t>
  </si>
  <si>
    <t>29</t>
  </si>
  <si>
    <t>How many points is a Jack worth in Skat?</t>
  </si>
  <si>
    <t>A. 11 points B. 10 points C. 9 points D. 8 points</t>
  </si>
  <si>
    <t>In Skat, the Jack counts as 10 points.</t>
  </si>
  <si>
    <t>Wie viele Punkte gibt es für einen Buben beim Skat?</t>
  </si>
  <si>
    <t>Der Bube zählt im Skat 10 Punkte.</t>
  </si>
  <si>
    <t>30</t>
  </si>
  <si>
    <t>What happens in a game without Trump?</t>
  </si>
  <si>
    <t>A. All cards count as trumps B. No game can be won. C. The value of the cards is reduced D. There are no trump cards.</t>
  </si>
  <si>
    <t>There are no trump cards.</t>
  </si>
  <si>
    <t>In a game without trumps, there is no specific trump card, so every card has the same value.</t>
  </si>
  <si>
    <t>Was passiert in einem Spiel ohne Trump?</t>
  </si>
  <si>
    <t>Es gibt keine Trumpfkarten</t>
  </si>
  <si>
    <t>Bei einem Spiel ohne Trumpf gibt es keine bestimmte Trumpfkarte, sodass jede Karte den gleichen Wert hat.</t>
  </si>
  <si>
    <t>31</t>
  </si>
  <si>
    <t>How many cards remain in the Skat after dealing?</t>
  </si>
  <si>
    <t>A. 2 cards B. 4 cards C. 3 cards D. 5 cards</t>
  </si>
  <si>
    <t>2 cards</t>
  </si>
  <si>
    <t>After dealing, 2 cards remain as the Skat.</t>
  </si>
  <si>
    <t>Wie viele Karten verbleiben nach dem Austeilen im Skat?</t>
  </si>
  <si>
    <t>2 Karten</t>
  </si>
  <si>
    <t>Nach dem Austeilen bleiben 2 Karten als Skat übrig.</t>
  </si>
  <si>
    <t>32</t>
  </si>
  <si>
    <t>What does the term "Contra" mean in Skat?</t>
  </si>
  <si>
    <t>A. An increase in the trump cards B. Decline a game C. Withdrawing cards D. A second commandment during the game</t>
  </si>
  <si>
    <t>Decline a game</t>
  </si>
  <si>
    <t>“Contra” means that the opponent rejects the game and increases the risk for the player.</t>
  </si>
  <si>
    <t>Was bedeutet der Begriff „Contra“ im Skat?</t>
  </si>
  <si>
    <t>Ein Spiel ablehnen</t>
  </si>
  <si>
    <t>„Kontra“ bedeutet, dass der Gegner das Spiel ablehnt und das Risiko für den Spieler erhöht.</t>
  </si>
  <si>
    <t>33</t>
  </si>
  <si>
    <t>What happens when the bidding is unclear in Skat?</t>
  </si>
  <si>
    <t>A. The game is cancelled. B. The cards are being reshuffled. C. The players can bid again D. A referee decides.</t>
  </si>
  <si>
    <t>The players can bid again</t>
  </si>
  <si>
    <t>If the bid is unclear, players can bid again to determine the level.</t>
  </si>
  <si>
    <t>Was passiert, wenn beim Skat das Reizen unklar ist?</t>
  </si>
  <si>
    <t>Die Spieler können erneut bieten</t>
  </si>
  <si>
    <t>Wenn das Gebot unklar ist, können die Spieler erneut bieten, um das Level zu bestimmen.</t>
  </si>
  <si>
    <t>34</t>
  </si>
  <si>
    <t>What is a "junk" game in Skat?</t>
  </si>
  <si>
    <t>A. A game with the highest cards B. A game with the lowest cards C. A game with a specific point value D. A game without trumps</t>
  </si>
  <si>
    <t>A game with the lowest cards</t>
  </si>
  <si>
    <t>Junk means that the player with the lowest score wins the game.</t>
  </si>
  <si>
    <t>Was ist ein „Junk“-Spiel im Skat?</t>
  </si>
  <si>
    <t>Ein Spiel mit den niedrigsten Karten</t>
  </si>
  <si>
    <t>Junk bedeutet, dass der Spieler mit den niedrigsten Punkten das Spiel gewinnt.</t>
  </si>
  <si>
    <t>35</t>
  </si>
  <si>
    <t>What is the value of the ace in Skat?</t>
  </si>
  <si>
    <t>A. 11 points B. 10 points C. 12 points D. 13 points</t>
  </si>
  <si>
    <t>11 points</t>
  </si>
  <si>
    <t>In Skat, the ace counts as 11 points.</t>
  </si>
  <si>
    <t>Welchen Wert hat das Ass beim Skat?</t>
  </si>
  <si>
    <t>11 Punkte</t>
  </si>
  <si>
    <t>Das Ass zählt im Skat 11 Punkte.</t>
  </si>
  <si>
    <t>36</t>
  </si>
  <si>
    <t>What happens if the bid reaches all players?</t>
  </si>
  <si>
    <t>A. The game ends in a draw. B. The winner will be chosen at random. C. The bidding ends and the game begins. D. The cards are shuffled.</t>
  </si>
  <si>
    <t>The bidding ends and the game begins.</t>
  </si>
  <si>
    <t>When the bid reaches all players, it ends and the actual game begins.</t>
  </si>
  <si>
    <t>Was passiert, wenn das Gebot alle Spieler erreicht?</t>
  </si>
  <si>
    <t>Das Bieten endet und das Spiel beginnt</t>
  </si>
  <si>
    <t>Wenn das Gebot alle Spieler erreicht, endet es und das eigentliche Spiel beginnt.</t>
  </si>
  <si>
    <t>37</t>
  </si>
  <si>
    <t>What does the term "overexcited" mean in the card game Skat?</t>
  </si>
  <si>
    <t>A. An excessively large economic stimulus package B. A game in which all cards are used. C. A small investment D. A failed attempt</t>
  </si>
  <si>
    <t>An excessively large economic stimulus package</t>
  </si>
  <si>
    <t>An overbid means that the bid value is too high and the game can no longer be continued.</t>
  </si>
  <si>
    <t>Was bedeutet der Begriff „übererregt“ im Skat?</t>
  </si>
  <si>
    <t>Ein zu hohes Konjunkturpaket</t>
  </si>
  <si>
    <t>Ein Übergebot bedeutet, dass der Gebotswert zu hoch ist und das Spiel nicht mehr fortgesetzt werden kann.</t>
  </si>
  <si>
    <t>38</t>
  </si>
  <si>
    <t>What does "announce" mean in Skat?</t>
  </si>
  <si>
    <t>A. The offer of a game B. Give a tip C. Log out of a game D. Increasing the score</t>
  </si>
  <si>
    <t>The offer of a game</t>
  </si>
  <si>
    <t>An announcement means that a player announces their game choice and makes their intention known.</t>
  </si>
  <si>
    <t>Was bedeutet „ankündigen“ im Skat?</t>
  </si>
  <si>
    <t>Das Angebot eines Spiels</t>
  </si>
  <si>
    <t>Ansage bedeutet, dass ein Spieler seine Spielwahl ankündigt und seine Absicht kundtut.</t>
  </si>
  <si>
    <t>39</t>
  </si>
  <si>
    <t>How many tricks are there in a 4-player Skat game?</t>
  </si>
  <si>
    <t>A. 12 stitches B. 24 stitches C. 20 stitches D. 18 stitches</t>
  </si>
  <si>
    <t>12 stitches</t>
  </si>
  <si>
    <t>In a standard game for 4 players, there are a total of 12 tricks.</t>
  </si>
  <si>
    <t>Wie viele Tricks gibt es in einem Skatspiel für 4 Spieler?</t>
  </si>
  <si>
    <t>12 Stiche</t>
  </si>
  <si>
    <t>In einem Standardspiel für 4 Spieler gibt es insgesamt 12 Tricks.</t>
  </si>
  <si>
    <t>40</t>
  </si>
  <si>
    <t>What is a "zero giant" in Skat?</t>
  </si>
  <si>
    <t>A. A game without tricks B. A game without trumps C. A game with a fixed number of stimuli D. A game with the most points</t>
  </si>
  <si>
    <t>A game without tricks</t>
  </si>
  <si>
    <t>"Zero Grand" is a game in which the player must not take any tricks and achieves the highest score level.</t>
  </si>
  <si>
    <t>Was ist ein „Null Riesen“ im Skat?</t>
  </si>
  <si>
    <t>Ein Spiel ohne Tricks</t>
  </si>
  <si>
    <t>„Null-Grand“ ist ein Spiel, bei dem der Spieler keine Stiche machen darf und die höchste Punktestufe erreicht.</t>
  </si>
  <si>
    <t>41</t>
  </si>
  <si>
    <t>What is the value of a jack in Skat?</t>
  </si>
  <si>
    <t>A. 10 points B. 9 points C. 11 points D. 12 points</t>
  </si>
  <si>
    <t>Welchen Wert hat ein Bube beim Skat?</t>
  </si>
  <si>
    <t>42</t>
  </si>
  <si>
    <t>What is considered "garbage" in Skat?</t>
  </si>
  <si>
    <t>A. A game with the highest trump cards B. A game with the lowest score C. A game with the most aces D. A game without trumps</t>
  </si>
  <si>
    <t>A game with the lowest score</t>
  </si>
  <si>
    <t>Was ist „Müll“ im Skat?</t>
  </si>
  <si>
    <t>Ein Spiel mit der niedrigsten Punktzahl</t>
  </si>
  <si>
    <t>43</t>
  </si>
  <si>
    <t>What happens if a player doesn't call for the Skat?</t>
  </si>
  <si>
    <t>A. He loses the game B. The game is stopped. C. The opponent wins automatically. D. The game can continue.</t>
  </si>
  <si>
    <t>The game is stopped.</t>
  </si>
  <si>
    <t>If the Skat card is not announced, the game ends.</t>
  </si>
  <si>
    <t>Was passiert, wenn ein Spieler den Skat nicht ausruft?</t>
  </si>
  <si>
    <t>Das Spiel wird gestoppt</t>
  </si>
  <si>
    <t>Wird der Skat nicht angesagt, endet das Spiel.</t>
  </si>
  <si>
    <t>44</t>
  </si>
  <si>
    <t>A. The game ends B. A deeper commitment is required. C. The game begins D. The stake will be doubled</t>
  </si>
  <si>
    <t>The game begins</t>
  </si>
  <si>
    <t>Once the bidding is over, the actual game begins.</t>
  </si>
  <si>
    <t>Das Spiel beginnt</t>
  </si>
  <si>
    <t>Wenn das Bieten abgeschlossen ist, beginnt das eigentliche Spiel.</t>
  </si>
  <si>
    <t>45</t>
  </si>
  <si>
    <t>What is the name given to the highest card in a trump game?</t>
  </si>
  <si>
    <t>A. As B. Jack C. king D. lady</t>
  </si>
  <si>
    <t>In the game of trumps, the ace is the highest card.</t>
  </si>
  <si>
    <t>Wie nennt man die höchste Karte im Trumpfspiel?</t>
  </si>
  <si>
    <t>Beim Trumpfspiel ist das Ass die höchste Karte.</t>
  </si>
  <si>
    <t>46</t>
  </si>
  <si>
    <t>How many points does a player get for an ace?</t>
  </si>
  <si>
    <t>A. 11 B. 10 C. 9 D. 12</t>
  </si>
  <si>
    <t>Wie viele Punkte bekommt ein Spieler für ein Ass?</t>
  </si>
  <si>
    <t>47</t>
  </si>
  <si>
    <t>What happens if a player wins the bid?</t>
  </si>
  <si>
    <t>A. He wins the game B. He receives additional cards C. He dictates the game D. He has to pay a fine.</t>
  </si>
  <si>
    <t>He dictates the game</t>
  </si>
  <si>
    <t>The player who wins the bid gets to decide the game and reveal the cards.</t>
  </si>
  <si>
    <t>Was passiert, wenn ein Spieler den Zuschlag erhält?</t>
  </si>
  <si>
    <t>Er diktiert das Spiel</t>
  </si>
  <si>
    <t>Der Spieler, der den Zuschlag erhält, darf das Spiel entscheiden und die Karten bekannt geben.</t>
  </si>
  <si>
    <t>48</t>
  </si>
  <si>
    <t>A. 2 cards B. 1 card C. 3 cards D. 4 cards</t>
  </si>
  <si>
    <t>After dealing, 2 cards remain, which are used as the Skat.</t>
  </si>
  <si>
    <t>Nach dem Austeilen bleiben 2 Karten übrig, die als Skat verwendet werden.</t>
  </si>
  <si>
    <t>49</t>
  </si>
  <si>
    <t>How is the value of Jacks determined in Skat?</t>
  </si>
  <si>
    <t>A. He always gets 10 points B. It depends on the game. C. He always has 11 points D. It varies depending on the game.</t>
  </si>
  <si>
    <t>He always gets 10 points</t>
  </si>
  <si>
    <t>The boys always count as 10 points, except in special rule variations.</t>
  </si>
  <si>
    <t>Wie wird der Wert von Buben beim Skat ermittelt?</t>
  </si>
  <si>
    <t>Er hat immer 10 Punkte</t>
  </si>
  <si>
    <t>Die Buben zählen immer 10 Punkte, außer bei Sonderregelvarianten.</t>
  </si>
  <si>
    <t>50</t>
  </si>
  <si>
    <t>What happens if a player loses the zero game?</t>
  </si>
  <si>
    <t>A. He gets zero points. B. He automatically loses C. He wins the round D. He receives a bonus.</t>
  </si>
  <si>
    <t>He automatically loses</t>
  </si>
  <si>
    <t>The game is lost if the player takes a trick or wins.</t>
  </si>
  <si>
    <t>Was passiert, wenn ein Spieler das Nullspiel verliert?</t>
  </si>
  <si>
    <t>Er verliert automatisch</t>
  </si>
  <si>
    <t>Das Nullspiel ist verloren, wenn der Spieler einen Stich macht oder gewinnt.</t>
  </si>
  <si>
    <t>51</t>
  </si>
  <si>
    <t>A. Placing a bid B. Game announcement C. Shuffling the cards D. Counting the points</t>
  </si>
  <si>
    <t>Placing a bid</t>
  </si>
  <si>
    <t>Bidding is the process by which players place bids to determine who will play the game.</t>
  </si>
  <si>
    <t>Das Erteilen eines Gebotes</t>
  </si>
  <si>
    <t>Beim Bieten handelt es sich um den Prozess, bei dem Spieler Gebote abgeben, um zu entscheiden, wer das Spiel spielen wird.</t>
  </si>
  <si>
    <t>52</t>
  </si>
  <si>
    <t>How many players usually play Skat?</t>
  </si>
  <si>
    <t>A. 4 B. 2 C. 3 D. 5</t>
  </si>
  <si>
    <t>Skat is usually played with three people.</t>
  </si>
  <si>
    <t>Wie viele Spieler spielen normalerweise Skat?</t>
  </si>
  <si>
    <t>Skat wird in der Regel zu dritt gespielt.</t>
  </si>
  <si>
    <t>53</t>
  </si>
  <si>
    <t>What is a "Grand" in Skat?</t>
  </si>
  <si>
    <t>A. A game with all cards as trumps B. A game without trumps C. A game with only the highest cards D. A game with only the lowest cards</t>
  </si>
  <si>
    <t>A game with all cards as trumps</t>
  </si>
  <si>
    <t>The Grand means that all cards are trump and the game is geared towards maximum winnings.</t>
  </si>
  <si>
    <t>Was ist ein „Grand“ im Skat?</t>
  </si>
  <si>
    <t>Ein Spiel mit allen Karten als Trumpf</t>
  </si>
  <si>
    <t>Der Grand bedeutet, dass alle Karten Trumpf sind und das Spiel auf maximale Gewinne ausgerichtet ist.</t>
  </si>
  <si>
    <t>54</t>
  </si>
  <si>
    <t>What is the name given to the highest card in a trump game of Skat?</t>
  </si>
  <si>
    <t>A. As B. king C. Jack D. lady</t>
  </si>
  <si>
    <t>The ace is the highest card in the trump game and counts as 11 points.</t>
  </si>
  <si>
    <t>Wie nennt man die höchste Karte in einem Trumpfspiel beim Skat?</t>
  </si>
  <si>
    <t>Das Ass ist die höchste Karte im Trumpfspiel und zählt 11 Punkte.</t>
  </si>
  <si>
    <t>55</t>
  </si>
  <si>
    <t>A. He can dictate the game B. He loses the game C. He receives additional cards D. He determines the trump suit.</t>
  </si>
  <si>
    <t>He can dictate the game</t>
  </si>
  <si>
    <t>The player who wins the bid gets to control the game and determine the trump suit.</t>
  </si>
  <si>
    <t>Er kann das Spiel diktieren</t>
  </si>
  <si>
    <t>Der Spieler, der das Gebot gewinnt, darf das Spiel kontrollieren und die Trumpffarbe bestimmen.</t>
  </si>
  <si>
    <t>56</t>
  </si>
  <si>
    <t>A. 10 points B. 11 points C. 9 points D. 8 points</t>
  </si>
  <si>
    <t>The Jack always counts as 10 points, except in the game "Grand".</t>
  </si>
  <si>
    <t>Der Bube zählt immer 10 Punkte, außer im Spiel „Grand“.</t>
  </si>
  <si>
    <t>57</t>
  </si>
  <si>
    <t>What happens if a player makes a mistake while bidding?</t>
  </si>
  <si>
    <t>A. The game is cancelled. B. The opponent wins automatically. C. The error is ignored. D. The error has been fixed.</t>
  </si>
  <si>
    <t>The error is ignored.</t>
  </si>
  <si>
    <t>Bidding errors do not automatically lead to the game being cancelled.</t>
  </si>
  <si>
    <t>Was passiert, wenn ein Spieler beim Bieten einen Fehler macht?</t>
  </si>
  <si>
    <t>Der Fehler wird ignoriert</t>
  </si>
  <si>
    <t>Fehler beim Bieten führen nicht automatisch zum Abbruch des Spiels.</t>
  </si>
  <si>
    <t>58</t>
  </si>
  <si>
    <t>What is a "null game" in Skat?</t>
  </si>
  <si>
    <t>A. A game where no tricks are allowed. B. A game without trumps C. A game with the highest cards D. A game with a fixed score</t>
  </si>
  <si>
    <t>In the Null game, the player must not take any tricks and loses if he takes a trick.</t>
  </si>
  <si>
    <t>Was ist ein „Nullspiel“ beim Skat?</t>
  </si>
  <si>
    <t>Im Nullspiel darf der Spieler keine Stiche machen und verliert, wenn er einen Stich macht.</t>
  </si>
  <si>
    <t>59</t>
  </si>
  <si>
    <t>60</t>
  </si>
  <si>
    <t>How many cards does each player receive at the start of a Skat game?</t>
  </si>
  <si>
    <t>A. 10 cards B. 7 cards C. 9 cards D. 5 cards</t>
  </si>
  <si>
    <t>Each player receives 10 cards at the start of the game, with 2 cards remaining as the Skat.</t>
  </si>
  <si>
    <t>Wie viele Karten erhält jeder Spieler zu Beginn eines Skatspiels?</t>
  </si>
  <si>
    <t>Jeder Spieler erhält zu Beginn des Spiels 10 Karten, 2 Karten bleiben als Skat übrig.</t>
  </si>
  <si>
    <t>61</t>
  </si>
  <si>
    <t>What happens if the Skat game is not announced?</t>
  </si>
  <si>
    <t>A. The game is stopped. B. The player automatically loses. C. The opponent wins automatically. D. The game can continue.</t>
  </si>
  <si>
    <t>Was passiert, wenn der Skat nicht angekündigt wird?</t>
  </si>
  <si>
    <t>62</t>
  </si>
  <si>
    <t>63</t>
  </si>
  <si>
    <t>64</t>
  </si>
  <si>
    <t>65</t>
  </si>
  <si>
    <t>66</t>
  </si>
  <si>
    <t>67</t>
  </si>
  <si>
    <t>68</t>
  </si>
  <si>
    <t>69</t>
  </si>
  <si>
    <t>70</t>
  </si>
  <si>
    <t>71</t>
  </si>
  <si>
    <t>72</t>
  </si>
  <si>
    <t>73</t>
  </si>
  <si>
    <t>What is the name of the scoring system in Skat?</t>
  </si>
  <si>
    <t>A. Card counter B. Rating C. Game review D. card table</t>
  </si>
  <si>
    <t>Wie heißt das System zur Punktezählung beim Skat?</t>
  </si>
  <si>
    <t>74</t>
  </si>
  <si>
    <t>75</t>
  </si>
  <si>
    <t>What happens if a player makes a mistake in Skat?</t>
  </si>
  <si>
    <t>A. The game is stopped. B. The opponent wins automatically. C. The error has been fixed. D. The error is ignored.</t>
  </si>
  <si>
    <t>Failure to bid does not result in an immediate penalty and the game continues.</t>
  </si>
  <si>
    <t>Was passiert, wenn ein Spieler beim Skat einen Fehler macht?</t>
  </si>
  <si>
    <t>Das Nichtbieten führt nicht zu einer sofortigen Strafe und das Spiel geht weiter.</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</si>
  <si>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</si>
  <si>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</si>
  <si>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</si>
  <si>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</si>
  <si>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</si>
  <si>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</si>
  <si>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</si>
  <si>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</si>
  <si>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</si>
  <si>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</si>
  <si>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</si>
  <si>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</si>
  <si>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</si>
  <si>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</si>
  <si>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</si>
  <si>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</si>
  <si>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</si>
  <si>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</si>
  <si>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</si>
  <si>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</si>
  <si>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</si>
  <si>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</si>
  <si>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</si>
  <si>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</si>
  <si>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</si>
  <si>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</si>
  <si>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What is the highest value in Skat?</t>
  </si>
  <si>
    <t>A. As B. king C. Jack D. Ten</t>
  </si>
  <si>
    <t>The ace has the highest value of 11 points in a game of Skat.</t>
  </si>
  <si>
    <t>Was ist der höchste Wert beim Skat?</t>
  </si>
  <si>
    <t>Das Ass hat den höchsten Wert von 11 Punkten in einem Skatspiel.</t>
  </si>
  <si>
    <t>102</t>
  </si>
  <si>
    <t>How many cards does each player receive in Skat?</t>
  </si>
  <si>
    <t>A. 10 cards B. 12 cards C. 9 cards D. 7 cards</t>
  </si>
  <si>
    <t>Wie viele Karten erhält jeder Spieler beim Skat?</t>
  </si>
  <si>
    <t>103</t>
  </si>
  <si>
    <t>104</t>
  </si>
  <si>
    <t>The Jack counts as 10 points if he is included in the game.</t>
  </si>
  <si>
    <t>Der Bube zählt 10 Punkte, wenn er im Spiel enthalten ist.</t>
  </si>
  <si>
    <t>105</t>
  </si>
  <si>
    <t>What do you call the type of game where all cards are trump?</t>
  </si>
  <si>
    <t>A. Great B. Zero C. play of colors D. Garbage</t>
  </si>
  <si>
    <t>In Grand, all cards are trump and there is no fixed trump suit.</t>
  </si>
  <si>
    <t>Wie nennt man die Art von Spiel, bei dem alle Karten Trumpf sind?</t>
  </si>
  <si>
    <t>Bei Grand sind alle Karten Trumpf und es gibt keine festgelegte Trumpffarbe.</t>
  </si>
  <si>
    <t>106</t>
  </si>
  <si>
    <t>A. 12 stitches B. 10 stitches C. 24 stitches D. 20 stitches</t>
  </si>
  <si>
    <t>A total of 12 tricks are played during the game.</t>
  </si>
  <si>
    <t>Während des Spiels werden insgesamt 12 Stiche ausgeführt.</t>
  </si>
  <si>
    <t>107</t>
  </si>
  <si>
    <t>What happens if the player loses the bid?</t>
  </si>
  <si>
    <t>A. He loses the game B. He wins the game C. He determines the trump suit. D. He gives up the game</t>
  </si>
  <si>
    <t>The player who loses the bid has no choice in how to play, and the game continues without him.</t>
  </si>
  <si>
    <t>Was passiert, wenn der Spieler das Bieten verliert?</t>
  </si>
  <si>
    <t>Der Spieler, der das Bieten verliert, hat keine Wahl, wie er spielen will, und das Spiel geht ohne ihn weiter.</t>
  </si>
  <si>
    <t>108</t>
  </si>
  <si>
    <t>What does "Contra" mean in Skat?</t>
  </si>
  <si>
    <t>A. An offer that increases the stakes B. Withdrawing cards C. Decline a game D. Give additional stitches</t>
  </si>
  <si>
    <t>An offer that increases the stakes</t>
  </si>
  <si>
    <t>‘Kontra’ is used to increase the stakes and challenge the opponent.</t>
  </si>
  <si>
    <t>Was bedeutet „Contra“ im Skat?</t>
  </si>
  <si>
    <t>Ein Angebot, das den Einsatz erhöht</t>
  </si>
  <si>
    <t>Kontra‘ wird verwendet, um den Spieleinsatz zu erhöhen und den Gegner herauszufordern.</t>
  </si>
  <si>
    <t>109</t>
  </si>
  <si>
    <t>What happens if a player takes a trick in a Null game?</t>
  </si>
  <si>
    <t>A. The game is cancelled. B. The player loses the game. C. The player wins the game D. The game will restart.</t>
  </si>
  <si>
    <t>The player loses the game.</t>
  </si>
  <si>
    <t>In a Null game, the player automatically loses if he takes a trick.</t>
  </si>
  <si>
    <t>Was passiert, wenn ein Spieler in einem Nullspiel einen Stich macht?</t>
  </si>
  <si>
    <t>Der Spieler verliert das Spiel</t>
  </si>
  <si>
    <t>Im Nullspiel verliert der Spieler automatisch, wenn er einen Stich macht.</t>
  </si>
  <si>
    <t>110</t>
  </si>
  <si>
    <t>How many cards remain as the Skat?</t>
  </si>
  <si>
    <t>There are 2 cards left that the player can pick up to influence the game.</t>
  </si>
  <si>
    <t>Wie viele Karten bleiben als Skat übrig?</t>
  </si>
  <si>
    <t>Es sind noch 2 Karten übrig, die der Spieler aufheben kann, um Einfluss auf das Spiel zu nehmen.</t>
  </si>
  <si>
    <t>111</t>
  </si>
  <si>
    <t>What does "Gebot" mean in Skat?</t>
  </si>
  <si>
    <t>A. The submission of a bid B. Counting the points C. Shuffling the cards D. Dealing the cards</t>
  </si>
  <si>
    <t>The submission of a bid</t>
  </si>
  <si>
    <t>Was bedeutet „Gebot“ im Skat?</t>
  </si>
  <si>
    <t>Die Unterbreitung eines Gebots</t>
  </si>
  <si>
    <t>Beim Bieten handelt es sich um den Prozess, bei dem Spieler Gebote abgeben, um zu bestimmen, wer das Spiel spielen wird.</t>
  </si>
  <si>
    <t>112</t>
  </si>
  <si>
    <t>How many players can normally play Skat?</t>
  </si>
  <si>
    <t>A. 3 players B. 2 players C. 4 players D. 5 players</t>
  </si>
  <si>
    <t>3 players</t>
  </si>
  <si>
    <t>Skat is traditionally played by 3 players.</t>
  </si>
  <si>
    <t>Wie viele Spieler können normalerweise Skat spielen?</t>
  </si>
  <si>
    <t>3 Spieler</t>
  </si>
  <si>
    <t>Skat wird traditionell von 3 Spielern gespielt.</t>
  </si>
  <si>
    <t>113</t>
  </si>
  <si>
    <t>A. Rating B. Stitch evaluation C. Game review D. Card counter</t>
  </si>
  <si>
    <t>The scoring determines how many points each card in the game is worth and how the result is counted.</t>
  </si>
  <si>
    <t>Wie heißt das System zur Punkteberechnung im Skat?</t>
  </si>
  <si>
    <t>Die Wertung bestimmt, wie viele Punkte jede Karte im Spiel wert ist und wie das Ergebnis gezählt wird.</t>
  </si>
  <si>
    <t>114</t>
  </si>
  <si>
    <t>What is the significance of the king in Skat?</t>
  </si>
  <si>
    <t>A. 4 points B. 10 points C. 11 points D. 5 points</t>
  </si>
  <si>
    <t>4 points</t>
  </si>
  <si>
    <t>The king is worth 4 points if he is included in the game.</t>
  </si>
  <si>
    <t>Welche Bedeutung hat der König im Skat?</t>
  </si>
  <si>
    <t>4 Punkte</t>
  </si>
  <si>
    <t>Der König zählt 4 Punkte, wenn er im Spiel enthalten ist.</t>
  </si>
  <si>
    <t>115</t>
  </si>
  <si>
    <t>Which cards count as trumps in the Grand?</t>
  </si>
  <si>
    <t>A. All maps B. Only the boys C. Only the aces D. Only the ladies</t>
  </si>
  <si>
    <t>All maps</t>
  </si>
  <si>
    <t>In Grand, all cards are trump; no card is higher or lower.</t>
  </si>
  <si>
    <t>Welche Karten zählen als Trümpfe im Grand?</t>
  </si>
  <si>
    <t>Alle Karten</t>
  </si>
  <si>
    <t>Bei Grand sind alle Karten Trumpf, keine Karte ist höher oder niedriger.</t>
  </si>
  <si>
    <t>116</t>
  </si>
  <si>
    <t>A. A game where the person with the fewest points wins. B. A game with the highest cards C. A game without trumps D. A game with a fixed score</t>
  </si>
  <si>
    <t>A game where the person with the fewest points wins.</t>
  </si>
  <si>
    <t>In Ramsch, the player with the fewest points wins.</t>
  </si>
  <si>
    <t>Ein Spiel, bei dem die Person mit den wenigsten Punkten gewinnt</t>
  </si>
  <si>
    <t>Beim Ramsch gewinnt der Spieler, der die wenigsten Punkte erzielt.</t>
  </si>
  <si>
    <t>117</t>
  </si>
  <si>
    <t>In Skat, which card is the highest if there is no trump card?</t>
  </si>
  <si>
    <t>The ace is the highest card in a game without trumps.</t>
  </si>
  <si>
    <t>Welche Karte ist beim Skat die höchste, wenn es keinen Trumpf gibt?</t>
  </si>
  <si>
    <t>Das Ass ist die höchste Karte in einem Spiel ohne Trumpf.</t>
  </si>
  <si>
    <t>118</t>
  </si>
  <si>
    <t>What happens if a player bids too much?</t>
  </si>
  <si>
    <t>A. The game is stopped. B. He loses the bid and the game continues. C. He must draw a new card. D. He automatically loses</t>
  </si>
  <si>
    <t>He loses the bid and the game continues.</t>
  </si>
  <si>
    <t>Overbidding means the bid is too high to continue. The player loses the bid.</t>
  </si>
  <si>
    <t>Was passiert, wenn ein Spieler zu viel bietet?</t>
  </si>
  <si>
    <t>Er verliert das Bieten und das Spiel geht weiter</t>
  </si>
  <si>
    <t>Überbieten bedeutet, dass das Gebot zu hoch ist, um fortzufahren. Der Spieler verliert das Gebot.</t>
  </si>
  <si>
    <t>119</t>
  </si>
  <si>
    <t>What happens if both players make the same bid?</t>
  </si>
  <si>
    <t>A. The game ends in a draw. B. The first player wins C. The player who bids first wins. D. A new tender will be issued.</t>
  </si>
  <si>
    <t>A new tender will be issued.</t>
  </si>
  <si>
    <t>If both players make the same bid, the bid is repeated.</t>
  </si>
  <si>
    <t>Was passiert, wenn beide Spieler beim Bieten das gleiche Gebot abgeben?</t>
  </si>
  <si>
    <t>Es erfolgt eine erneute Ausschreibung</t>
  </si>
  <si>
    <t>Geben beide Spieler das gleiche Gebot ab, wird das Gebot wiederholt.</t>
  </si>
  <si>
    <t>120</t>
  </si>
  <si>
    <t>What is the value of a Jack in the game "Grand"?</t>
  </si>
  <si>
    <t>A. 10 points B. 11 points C. 5 points D. 9 points</t>
  </si>
  <si>
    <t>In Grand, each jack is worth 11 points.</t>
  </si>
  <si>
    <t>Welchen Wert hat ein Bube im Spiel „Grand“?</t>
  </si>
  <si>
    <t>Im Grand ist jeder Bube 11 Punkte wert.</t>
  </si>
  <si>
    <t>121</t>
  </si>
  <si>
    <t>A. Increase the stakes B. reduce the stake C. Counting stitches D. End a game</t>
  </si>
  <si>
    <t>Increase the stakes</t>
  </si>
  <si>
    <t>‘Kontra’ is used to increase the stakes and make the game more exciting.</t>
  </si>
  <si>
    <t>Den Einsatz erhöhen</t>
  </si>
  <si>
    <t>Kontra‘ wird verwendet, um den Einsatz zu erhöhen und das Spiel spannender zu machen.</t>
  </si>
  <si>
    <t>122</t>
  </si>
  <si>
    <t>What is the difference between a Grand Game and a Zero Game?</t>
  </si>
  <si>
    <t>A. In a standard game, all cards are trumps; in a zero game, they are not. B. In a zero game there are trumps, but not in a big game. C. Grand is the lowest game, Zero the highest. D. There is no difference</t>
  </si>
  <si>
    <t>In a standard game, all cards are trumps; in a zero game, they are not.</t>
  </si>
  <si>
    <t>In the Grand game, all cards are trumps, while in the Null game there are no trump cards.</t>
  </si>
  <si>
    <t>Was ist der Unterschied zwischen einem Grand- und einem Zero-Game?</t>
  </si>
  <si>
    <t>Im großen Spiel sind alle Karten Trumpf, im Nullspiel nicht</t>
  </si>
  <si>
    <t>Im Grand-Spiel sind alle Karten Trümpfe, während es im Null-Spiel keine Trumpfkarten gibt.</t>
  </si>
  <si>
    <t>123</t>
  </si>
  <si>
    <t>What does "zero" mean in Skat?</t>
  </si>
  <si>
    <t>A. The game without trumps B. The game with the highest cards C. The game without boys D. The game with the lowest score</t>
  </si>
  <si>
    <t>The game without trumps</t>
  </si>
  <si>
    <t>“Zero” means that the player may not use a trump card and may not take any tricks.</t>
  </si>
  <si>
    <t>Was bedeutet „Null“ im Skat?</t>
  </si>
  <si>
    <t>Das Spiel ohne Trumpf</t>
  </si>
  <si>
    <t>„Null“ bedeutet, dass der Spieler keine Trumpfkarte verwenden und keine Stiche ausführen darf.</t>
  </si>
  <si>
    <t>124</t>
  </si>
  <si>
    <t>What happens in a "Schneider" game?</t>
  </si>
  <si>
    <t>A. The opponent receives half a point. B. The player must win all tricks. C. The opponent must lose all tricks. D. The player wins if he takes all the tricks.</t>
  </si>
  <si>
    <t>The player must win all tricks.</t>
  </si>
  <si>
    <t>In Schneider, the player wins if he wins all the tricks.</t>
  </si>
  <si>
    <t>Was passiert in einem „Schneider“-Spiel?</t>
  </si>
  <si>
    <t>Der Spieler muss alle Stiche gewinnen</t>
  </si>
  <si>
    <t>Bei Schneider gewinnt der Spieler, wenn er alle Stiche gewinnt.</t>
  </si>
  <si>
    <t>125</t>
  </si>
  <si>
    <t>What do you call the moment when a player wins all the tricks in the game?</t>
  </si>
  <si>
    <t>A. Schneider B. Handball C. Fantastic game D. Zero</t>
  </si>
  <si>
    <t>Handball</t>
  </si>
  <si>
    <t>A hand game means that the player plays without the help of the skat and wins all tricks.</t>
  </si>
  <si>
    <t>Wie nennt man den Moment, in dem ein Spieler alle Stiche im Spiel gewinnt?</t>
  </si>
  <si>
    <t>Ein Handspiel bedeutet, dass der Spieler ohne die Hilfe des Skats spielt und alle Stiche gewinnt.</t>
  </si>
  <si>
    <t>126</t>
  </si>
  <si>
    <t>The ace has the highest value in Skat, with 11 points.</t>
  </si>
  <si>
    <t>Das Ass hat mit 11 Punkten den höchsten Wert im Skat.</t>
  </si>
  <si>
    <t>127</t>
  </si>
  <si>
    <t>A. 10 cards B. 9 cards C. 12 cards D. 7 cards</t>
  </si>
  <si>
    <t>Each player receives 10 cards, 2 cards remain as the Skat.</t>
  </si>
  <si>
    <t>Jeder Spieler erhält 10 Karten, 2 Karten bleiben als Skat übrig.</t>
  </si>
  <si>
    <t>128</t>
  </si>
  <si>
    <t>What does "Nullspiel" mean in Skat?</t>
  </si>
  <si>
    <t>A. Don't make any stitches. B. A game without trumps C. A game with the highest cards D. A game with a fixed point goal</t>
  </si>
  <si>
    <t>Don't make any stitches.</t>
  </si>
  <si>
    <t>In a Null game, the player must not take any tricks, otherwise he loses.</t>
  </si>
  <si>
    <t>Was bedeutet „Nullspiel“ im Skat?</t>
  </si>
  <si>
    <t>Machen Sie keine Stiche</t>
  </si>
  <si>
    <t>Im Nullspiel darf der Spieler keine Stiche machen, sonst verliert er.</t>
  </si>
  <si>
    <t>129</t>
  </si>
  <si>
    <t>A. 10 points B. 9 points C. 8 points D. 7 points</t>
  </si>
  <si>
    <t>130</t>
  </si>
  <si>
    <t>What is the name of the game in which all cards are trump?</t>
  </si>
  <si>
    <t>In Grand, all cards are trump, meaning that every card counts as a trump.</t>
  </si>
  <si>
    <t>Wie nennt man das Spiel, bei dem alle Karten Trumpf sind?</t>
  </si>
  <si>
    <t>Bei Grand sind alle Karten Trumpf, was bedeutet, dass jede Karte als Trumpf zählt.</t>
  </si>
  <si>
    <t>131</t>
  </si>
  <si>
    <t>A. 12 stitches B. 10 stitches C. 15 stitches D. 13 stitches</t>
  </si>
  <si>
    <t>132</t>
  </si>
  <si>
    <t>A. He loses the game B. He can choose the trump suit. C. He decides on the tricks D. He gives up the game</t>
  </si>
  <si>
    <t>The player who loses the bid cannot play the game.</t>
  </si>
  <si>
    <t>Der Spieler, der das Bieten verliert, kann das Spiel nicht spielen.</t>
  </si>
  <si>
    <t>133</t>
  </si>
  <si>
    <t>A. Increase the stakes B. Prevents stinging C. Counts as one additional point D. The game is cancelled.</t>
  </si>
  <si>
    <t>‘Kontra’ is used to increase the stakes and make the game more challenging.</t>
  </si>
  <si>
    <t>Erhöht den Einsatz</t>
  </si>
  <si>
    <t>Kontra‘ wird verwendet, um den Einsatz zu erhöhen und das Spiel anspruchsvoller zu machen.</t>
  </si>
  <si>
    <t>134</t>
  </si>
  <si>
    <t>What happens if the player takes a trick in the Null game?</t>
  </si>
  <si>
    <t>A. He loses the game B. The game continues C. The opponent wins the trick. D. The game ends immediately</t>
  </si>
  <si>
    <t>Was passiert, wenn der Spieler im Nullspiel einen Stich macht?</t>
  </si>
  <si>
    <t>135</t>
  </si>
  <si>
    <t>A. 2 cards B. 4 cards C. 1 card D. 3 cards</t>
  </si>
  <si>
    <t>There are 2 tickets left that can be collected when bidding.</t>
  </si>
  <si>
    <t>Es sind noch 2 Karten übrig, die beim Bieten abgeholt werden können.</t>
  </si>
  <si>
    <t>136</t>
  </si>
  <si>
    <t>A. Increase your bid B. Counting the points C. Shuffling the cards D. Dealing the cards</t>
  </si>
  <si>
    <t>Increase your bid</t>
  </si>
  <si>
    <t>Bidding is the process by which players increase their stakes to influence the game.</t>
  </si>
  <si>
    <t>Erhöhen Sie das Gebot</t>
  </si>
  <si>
    <t>Beim Bieten handelt es sich um den Vorgang, bei dem Spieler ihren Einsatz erhöhen, um das Spiel zu bestimmen.</t>
  </si>
  <si>
    <t>137</t>
  </si>
  <si>
    <t>138</t>
  </si>
  <si>
    <t>What is the difference between a Grand and a Zero game?</t>
  </si>
  <si>
    <t>A. In Grand, all cards are trumps. B. In a zero game, all cards are trump. C. In Grand, only Jacks are used as trumps. D. There is no difference</t>
  </si>
  <si>
    <t>In Grand, all cards are trumps.</t>
  </si>
  <si>
    <t>In the Grand game, all cards are trump; in the Null game, there is no trump.</t>
  </si>
  <si>
    <t>Was ist der Unterschied zwischen einem Grand- und einem Zero-Spiel?</t>
  </si>
  <si>
    <t>Bei Grand sind alle Karten Trümpfe</t>
  </si>
  <si>
    <t>Im Grand-Spiel sind alle Karten Trumpf, im Null-Spiel gibt es keinen Trumpf.</t>
  </si>
  <si>
    <t>139</t>
  </si>
  <si>
    <t>A. Rating B. Game review C. Stimulus evaluation D. Stitch evaluation</t>
  </si>
  <si>
    <t>The rating determines how many points each card in the game is worth.</t>
  </si>
  <si>
    <t>Die Wertung bestimmt, wie viele Punkte jede Karte im Spiel wert ist.</t>
  </si>
  <si>
    <t>140</t>
  </si>
  <si>
    <t>A. 4 points B. 3 points C. 5 points D. 2 points</t>
  </si>
  <si>
    <t>141</t>
  </si>
  <si>
    <t>Which cards are always trump in Grand Slam?</t>
  </si>
  <si>
    <t>In Grand, all cards are trumps, not just the jacks.</t>
  </si>
  <si>
    <t>Welche Karten sind im Grand immer Trumpf?</t>
  </si>
  <si>
    <t>Bei Grand sind alle Karten Trümpfe, nicht nur die Buben.</t>
  </si>
  <si>
    <t>142</t>
  </si>
  <si>
    <t>What happens in a "junk" game?</t>
  </si>
  <si>
    <t>A. The one with the fewest points wins. B. The one with the most points wins. C. The game ends in a draw. D. The game is repeated</t>
  </si>
  <si>
    <t>The one with the fewest points wins.</t>
  </si>
  <si>
    <t>Was passiert in einem „Junk“-Spiel?</t>
  </si>
  <si>
    <t>Derjenige mit den wenigsten Punkten gewinnt</t>
  </si>
  <si>
    <t>Bei Ramsch gewinnt der Spieler, der die wenigsten Punkte erzielt.</t>
  </si>
  <si>
    <t>143</t>
  </si>
  <si>
    <t>Which card is the highest in Skat if there is no trump card?</t>
  </si>
  <si>
    <t>Welche Karte ist die höchste im Skat, wenn es keinen Trumpf gibt?</t>
  </si>
  <si>
    <t>Der ASS ist die höchste Karte in einem Spiel ohne Trumpf.</t>
  </si>
  <si>
    <t>144</t>
  </si>
  <si>
    <t>What happens if a player overrents stimuli?</t>
  </si>
  <si>
    <t>A. The game is stopped. B. He is losing his appeal C. He receives an additional stitch D. The game will restart.</t>
  </si>
  <si>
    <t>He is losing his appeal</t>
  </si>
  <si>
    <t>Over-rented means that the player loses bids and the game continues with another player.</t>
  </si>
  <si>
    <t>Was passiert, wenn ein Spieler Reize übermietet?</t>
  </si>
  <si>
    <t>Er verliert Reize</t>
  </si>
  <si>
    <t>Übermietet bedeutet, dass der Spieler Reize verliert und das Spiel mit einem anderen Spieler fortgesetzt wird.</t>
  </si>
  <si>
    <t>145</t>
  </si>
  <si>
    <t>What happens when two players make the same bid?</t>
  </si>
  <si>
    <t>A. Another stimulus is applied B. The game ends in a draw. C. The first player wins D. The player with the highest card wins.</t>
  </si>
  <si>
    <t>Another stimulus is applied</t>
  </si>
  <si>
    <t>If both players make the same bid, the bidding is repeated.</t>
  </si>
  <si>
    <t>Was passiert, wenn zwei Spieler das gleiche Reizangebot abgeben?</t>
  </si>
  <si>
    <t>Ein weiterer Reiz wird durchgeführt</t>
  </si>
  <si>
    <t>Wenn beide Spieler das gleiche Gebot abgeben, wird der Reiz wiederholt.</t>
  </si>
  <si>
    <t>146</t>
  </si>
  <si>
    <t>What is the value of a boy in Grand?</t>
  </si>
  <si>
    <t>A. 11 points B. 10 points C. 9 points D. 12 points</t>
  </si>
  <si>
    <t>In Grand, each boy has 11 points.</t>
  </si>
  <si>
    <t>Welchen Wert hat ein Junge im Grand?</t>
  </si>
  <si>
    <t>Im Grand hat jeder Junge 11 Punkte.</t>
  </si>
  <si>
    <t>147</t>
  </si>
  <si>
    <t>A. Increased usage B. Reducing usage C. Counting stitches D. The rejection of a game</t>
  </si>
  <si>
    <t>Increased usage</t>
  </si>
  <si>
    <t>Contra is used to increase the stakes and make the game more difficult.</t>
  </si>
  <si>
    <t>Steigerung der Nutzung</t>
  </si>
  <si>
    <t>Contra wird verwendet, um den Einsatz zu erhöhen und das Spiel schwieriger zu machen.</t>
  </si>
  <si>
    <t>148</t>
  </si>
  <si>
    <t>A. In Grand, all cards are trumps. B. In a null game, all cards are trump cards. C. The Grand is the lowest game, Zero the highest. D. There is no difference</t>
  </si>
  <si>
    <t>In the Grand Game, all cards are trump; in the Null Game, there are no trump cards.</t>
  </si>
  <si>
    <t>Im Grand sind alle Karten Trumpf</t>
  </si>
  <si>
    <t>Im Großen Spiel sind alle Karten Trumpf, im Nullspiel gibt es keine Trumpfkarten.</t>
  </si>
  <si>
    <t>149</t>
  </si>
  <si>
    <t>A. The game without trumps B. The game with the highest cards C. The game without boys D. Play with the lowest score</t>
  </si>
  <si>
    <t>Zero means that the player may not use a trump card and may not take any tricks.</t>
  </si>
  <si>
    <t>Null bedeutet, dass der Spieler keine Trumpfkarte verwenden und keine Stiche machen darf.</t>
  </si>
  <si>
    <t>150</t>
  </si>
  <si>
    <t>A. The opponent is awarded half a point. B. The player must win all stitches. C. The opponent must lose all stitches. D. The player wins if he has completed all the stitches.</t>
  </si>
  <si>
    <t>The player must win all stitches.</t>
  </si>
  <si>
    <t>In Schneider, the player wins if he chooses to do all the stitches.</t>
  </si>
  <si>
    <t>Der Spieler muss alle Maschen gewinnen</t>
  </si>
  <si>
    <t>Beim Schneider gewinnt der Spieler, wenn er sich für alle Maschen entscheidet.</t>
  </si>
  <si>
    <t>151</t>
  </si>
  <si>
    <t>How many cards does each player receive in a game of Skat?</t>
  </si>
  <si>
    <t>A. 8 B. 10 C. 12 D. 16</t>
  </si>
  <si>
    <t>In Skat, each player receives 10 cards.</t>
  </si>
  <si>
    <t>Wie viele Karten erhält jeder Spieler bei einem Skatspiel?</t>
  </si>
  <si>
    <t>Beim Skat erhält jeder Spieler 10 Karten.</t>
  </si>
  <si>
    <t>152</t>
  </si>
  <si>
    <t>What is the purpose of the "Skat" pile in the game?</t>
  </si>
  <si>
    <t>A. Discard cards B. Keep your trumps safe C. Reserve tickets D. Earn additional points</t>
  </si>
  <si>
    <t>Reserve tickets</t>
  </si>
  <si>
    <t>The Skat deck contains reserve cards for the soloist.</t>
  </si>
  <si>
    <t>Welchen Zweck hat der „Skat“-Stapel im Spiel?</t>
  </si>
  <si>
    <t>Karten reservieren</t>
  </si>
  <si>
    <t>Der Skatstapel enthält Reservekarten für den Alleinspieler.</t>
  </si>
  <si>
    <t>153</t>
  </si>
  <si>
    <t>What is the highest trump card in a game of Skat?</t>
  </si>
  <si>
    <t>A. Ace of Spades B. Jack of Diamonds C. Jack of Clubs D. Queen of Hearts</t>
  </si>
  <si>
    <t>Jack of Clubs</t>
  </si>
  <si>
    <t>The Jack of Clubs is the highest trump card.</t>
  </si>
  <si>
    <t>Was ist der höchste Trumpf in einem Skatspiel?</t>
  </si>
  <si>
    <t>Kreuzbube</t>
  </si>
  <si>
    <t>Der Kreuzbube ist der höchste Trumpf.</t>
  </si>
  <si>
    <t>154</t>
  </si>
  <si>
    <t>Which player gets to choose the game type?</t>
  </si>
  <si>
    <t>A. dealers B. forehand C. metacarpal hand D. backhand</t>
  </si>
  <si>
    <t>forehand</t>
  </si>
  <si>
    <t>The forehand player decides the style of play.</t>
  </si>
  <si>
    <t>Welcher Spieler darf die Spielart bestimmen?</t>
  </si>
  <si>
    <t>Vorhand</t>
  </si>
  <si>
    <t>Der Vorhandspieler entscheidet über die Spielart.</t>
  </si>
  <si>
    <t>155</t>
  </si>
  <si>
    <t>How many cards are in the Skat deck?</t>
  </si>
  <si>
    <t>The Skat deck consists of 2 cards.</t>
  </si>
  <si>
    <t>Wie viele Karten sind im Skatstapel?</t>
  </si>
  <si>
    <t>Der Skatstapel besteht aus 2 Karten.</t>
  </si>
  <si>
    <t>156</t>
  </si>
  <si>
    <t>What is the penalty for a retraction in Skat?</t>
  </si>
  <si>
    <t>A. Losing points B. Trick penalty C. The game is over. D. Pay a fine</t>
  </si>
  <si>
    <t>The game is over.</t>
  </si>
  <si>
    <t>A revocation results in the loss of the game.</t>
  </si>
  <si>
    <t>Wie hoch ist die Strafe für den Widerruf im Skat?</t>
  </si>
  <si>
    <t>Das Spiel ist vorbei</t>
  </si>
  <si>
    <t>Ein Widerruf führt zum Verlust des Spiels.</t>
  </si>
  <si>
    <t>157</t>
  </si>
  <si>
    <t>What happens if a solo player fails to reach the required points?</t>
  </si>
  <si>
    <t>A. The game is invalid. B. Points doubled C. Triple points D. Lose double your bid</t>
  </si>
  <si>
    <t>Lose double your bid</t>
  </si>
  <si>
    <t>Failure means that the bid is lost twice.</t>
  </si>
  <si>
    <t>Was passiert, wenn ein Alleinspieler die erforderlichen Punkte nicht erreicht?</t>
  </si>
  <si>
    <t>Verlieren Sie das Doppelte des Gebots</t>
  </si>
  <si>
    <t>Ein Scheitern bedeutet, dass das Gebot zweimal verloren geht.</t>
  </si>
  <si>
    <t>158</t>
  </si>
  <si>
    <t>What is the maximum number of players allowed to participate in a game of Skat?</t>
  </si>
  <si>
    <t>A. 2 B. 3 C. 4 D. 6</t>
  </si>
  <si>
    <t>Skat is played by 3 active players.</t>
  </si>
  <si>
    <t>Wie viele Spieler dürfen maximal an einem Skatspiel teilnehmen?</t>
  </si>
  <si>
    <t>Skat wird von 3 aktiven Spielern gespielt.</t>
  </si>
  <si>
    <t>159</t>
  </si>
  <si>
    <t>Which suit is considered the standard trump in Skat?</t>
  </si>
  <si>
    <t>A. Clubs B. hearts C. diamonds D. spade</t>
  </si>
  <si>
    <t>Clubs</t>
  </si>
  <si>
    <t>Clubs is the standard trump suit.</t>
  </si>
  <si>
    <t>Welche Farbe gilt im Skat als Standardtrumpf?</t>
  </si>
  <si>
    <t>Vereine</t>
  </si>
  <si>
    <t>Kreuz ist die Standard-Trumpffarbe.</t>
  </si>
  <si>
    <t>160</t>
  </si>
  <si>
    <t>What is the point value of the Jack of Clubs in Skat?</t>
  </si>
  <si>
    <t>A. 12 B. 10 C. 20 D. 24</t>
  </si>
  <si>
    <t>The Jack of Clubs receives 24 points.</t>
  </si>
  <si>
    <t>Wie hoch ist der Punktwert des Kreuzbuben beim Skat?</t>
  </si>
  <si>
    <t>Der Kreuzbube erhält 24 Punkte.</t>
  </si>
  <si>
    <t>161</t>
  </si>
  <si>
    <t>What is the goal of a "zero" game in Skat?</t>
  </si>
  <si>
    <t>A. Win all tricks B. Avoid all tricks C. Score exactly 61 D. Avoid high cards</t>
  </si>
  <si>
    <t>Avoid all tricks</t>
  </si>
  <si>
    <t>At "zero", the goal is to win no tricks.</t>
  </si>
  <si>
    <t>Was ist das Ziel eines „Null“-Spiels im Skat?</t>
  </si>
  <si>
    <t>Vermeiden Sie alle Tricks</t>
  </si>
  <si>
    <t>Bei „Null“ besteht das Ziel darin, keine Stiche zu gewinnen.</t>
  </si>
  <si>
    <t>162</t>
  </si>
  <si>
    <t>How many points must a soloist win in a color game?</t>
  </si>
  <si>
    <t>A. 61 B. 71 C. 81 D. 91</t>
  </si>
  <si>
    <t>To win a color game, 61 points are required.</t>
  </si>
  <si>
    <t>Wie viele Punkte muss ein Alleinspieler in einem Farbspiel gewinnen?</t>
  </si>
  <si>
    <t>Um ein Farbspiel zu gewinnen, sind 61 Punkte erforderlich.</t>
  </si>
  <si>
    <t>163</t>
  </si>
  <si>
    <t>What is a "Grand" game in Skat?</t>
  </si>
  <si>
    <t>A. A pointless game B. A pure trump game C. Jacks are Trumps D. The cards are hidden</t>
  </si>
  <si>
    <t>Jacks are Trumps</t>
  </si>
  <si>
    <t>In 'Grand' there are only Jacks Trumps.</t>
  </si>
  <si>
    <t>Was ist ein „Grand“-Spiel im Skat?</t>
  </si>
  <si>
    <t>Jacks sind Trumps</t>
  </si>
  <si>
    <t>In 'Grand' sind nur Jacks Trumps.</t>
  </si>
  <si>
    <t>164</t>
  </si>
  <si>
    <t>What is the maximum number of points in a game of Skat?</t>
  </si>
  <si>
    <t>A. 240 B. 180 C. 300 D. 120</t>
  </si>
  <si>
    <t>The maximum score is 120 points.</t>
  </si>
  <si>
    <t>Was ist die maximale Anzahl von Punkten in einem Skat -Spiel?</t>
  </si>
  <si>
    <t>Die maximale Punktzahl beträgt 120 Punkte.</t>
  </si>
  <si>
    <t>165</t>
  </si>
  <si>
    <t>What happens to the Skat cards after the bid?</t>
  </si>
  <si>
    <t>A. Kept secret B. Add to hand C. Face up D. returned to deck</t>
  </si>
  <si>
    <t>Add to hand</t>
  </si>
  <si>
    <t>Skat cards are added to the hand of the declarer.</t>
  </si>
  <si>
    <t>Was passiert mit den Skat -Karten nach dem Gebot?</t>
  </si>
  <si>
    <t>Hinzufügen zur Hand</t>
  </si>
  <si>
    <t>Skat -Karten werden zur Hand des Anklarers hinzugefügt.</t>
  </si>
  <si>
    <t>166</t>
  </si>
  <si>
    <t>What is the value of a trick that does not involve any face cards?</t>
  </si>
  <si>
    <t>A. 0 B. 1 C. 2 D. 3</t>
  </si>
  <si>
    <t>0</t>
  </si>
  <si>
    <t>Tricks without face cards are worth 0 points.</t>
  </si>
  <si>
    <t>Was ist der Wert eines Tricks, der keine Gesichtskarten enthält?</t>
  </si>
  <si>
    <t>Tricks ohne Gesichtskarten sind 0 Punkte wert.</t>
  </si>
  <si>
    <t>167</t>
  </si>
  <si>
    <t>What is the purpose of bidding in Skat?</t>
  </si>
  <si>
    <t>A. Trump decides B. Win the game C. Win points D. Set the rules</t>
  </si>
  <si>
    <t>Trump decides</t>
  </si>
  <si>
    <t>The bidding determines the bidder and the type of game.</t>
  </si>
  <si>
    <t>Was ist der Zweck des Bietens in Skat?</t>
  </si>
  <si>
    <t>Entscheide Trump</t>
  </si>
  <si>
    <t>Das Bieten bestimmt den Anklarer und den Spieltyp.</t>
  </si>
  <si>
    <t>168</t>
  </si>
  <si>
    <t>How is the dealer determined in SKAT?</t>
  </si>
  <si>
    <t>A. By drawing lots B. Through the highest offer C. Clockwise D. At the player's choice</t>
  </si>
  <si>
    <t>Clockwise</t>
  </si>
  <si>
    <t>The merchant turns clockwise.</t>
  </si>
  <si>
    <t>Wie wird der Händler in SKAT bestimmt?</t>
  </si>
  <si>
    <t>Im Uhrzeigersinn</t>
  </si>
  <si>
    <t>Der Händler dreht sich im Uhrzeigersinn.</t>
  </si>
  <si>
    <t>169</t>
  </si>
  <si>
    <t>What is the value of an ace in Skat?</t>
  </si>
  <si>
    <t>A. 11 B. 15 C. 21 D. 10</t>
  </si>
  <si>
    <t>Aces are worth 11 points in Skat.</t>
  </si>
  <si>
    <t>Was ist der Wert eines Ass in Skat?</t>
  </si>
  <si>
    <t>Asse sind 11 Punkte in Skat wert.</t>
  </si>
  <si>
    <t>170</t>
  </si>
  <si>
    <t>What is the penalty for an illegal move in Skat?</t>
  </si>
  <si>
    <t>A. Loss of the curve B. Game loss C. Penalty points D. Warning issued</t>
  </si>
  <si>
    <t>Game loss</t>
  </si>
  <si>
    <t>Illegal activities result in a loss of games.</t>
  </si>
  <si>
    <t>Was ist die Strafe für einen illegalen Schritt in Skat?</t>
  </si>
  <si>
    <t>Spielverlust</t>
  </si>
  <si>
    <t>Illegale Bewegungen führen zu einem Verlust von Spielen.</t>
  </si>
  <si>
    <t>171</t>
  </si>
  <si>
    <t>How are Trumps determined in a suit game?</t>
  </si>
  <si>
    <t>A. At the player's choice B. At the dealer's discretion C. Through tender rules D. By random draw</t>
  </si>
  <si>
    <t>At the player's choice</t>
  </si>
  <si>
    <t>Trumps are determined by the declarer.</t>
  </si>
  <si>
    <t>Wie werden Trumps in einem Anzugspiel bestimmt?</t>
  </si>
  <si>
    <t>Nach Wahl des Spielers</t>
  </si>
  <si>
    <t>Trumps werden vom Deklarer bestimmt.</t>
  </si>
  <si>
    <t>172</t>
  </si>
  <si>
    <t>What is a "Schneider" in Skat?</t>
  </si>
  <si>
    <t>A. A winner's bonus B. Less than 30 points C. Over 90 points D. Lose all your tricks</t>
  </si>
  <si>
    <t>Less than 30 points</t>
  </si>
  <si>
    <t>Schneider means that the loser scores less than 30 points.</t>
  </si>
  <si>
    <t>Was ist ein "Schneider" in Skat?</t>
  </si>
  <si>
    <t>Weniger als 30 Punkte</t>
  </si>
  <si>
    <t>Schneider 'bedeutet, dass der Verlierer weniger als 30 Punkte erzielt.</t>
  </si>
  <si>
    <t>173</t>
  </si>
  <si>
    <t>What is the value of a ten in Skat?</t>
  </si>
  <si>
    <t>A. 9 B. 10 C. 11 D. 8</t>
  </si>
  <si>
    <t>A Ten is worth 10 points in Skat.</t>
  </si>
  <si>
    <t>Was ist der Wert einer Zehn in Skat?</t>
  </si>
  <si>
    <t>A Ten ist 10 Punkte in Skat wert.</t>
  </si>
  <si>
    <t>174</t>
  </si>
  <si>
    <t>How many points are needed for a "black" win?</t>
  </si>
  <si>
    <t>A. 90 B. 120 C. 150 D. 180</t>
  </si>
  <si>
    <t>All 120 points are required for a "Black" win.</t>
  </si>
  <si>
    <t>Wie viele Punkte werden für einen „Schwarz“ -Ingewinn benötigt?</t>
  </si>
  <si>
    <t>Alle 120 Punkte sind für einen „Schwarz“ -Ingewinn erforderlich.</t>
  </si>
  <si>
    <t>175</t>
  </si>
  <si>
    <t>What does a player declare in a handball situation?</t>
  </si>
  <si>
    <t>A. No Skat used B. Additional cards C. Playing without Skat D. Skip bid</t>
  </si>
  <si>
    <t>Playing without Skat</t>
  </si>
  <si>
    <t>No Skat cards are used in a hand game.</t>
  </si>
  <si>
    <t>Was erklärt ein Spieler in einem Handspiel?</t>
  </si>
  <si>
    <t>Ohne Skat spielen</t>
  </si>
  <si>
    <t>In einem Handspiel werden keine Skat -Karten verwendet.</t>
  </si>
  <si>
    <t>How many throws does each player have in bocce?</t>
  </si>
  <si>
    <t>A. Four throws B. Five throws C. Three throws D. Six throws</t>
  </si>
  <si>
    <t>Four throws</t>
  </si>
  <si>
    <t>Each player has four throws in the bocce ball game to throw their balls as close as possible to the target ball.</t>
  </si>
  <si>
    <t>Wie viele Würfe hat jeder Spieler in Bosseln?</t>
  </si>
  <si>
    <t>A. Vier Würfe B. Fünf Würfe C. Drei Würfe D. Sechs Würfe</t>
  </si>
  <si>
    <t>Vier Würfe</t>
  </si>
  <si>
    <t>Jeder Spieler hat vier Würfe in den Bosseln, um seine Bälle möglichst nah an den Zielball zu werfen.</t>
  </si>
  <si>
    <t>What happens when a ball hits the target ball?</t>
  </si>
  <si>
    <t>A. A point is scored. B. No points are scored. C. The throw is repeated. D. The opponent scores a point.</t>
  </si>
  <si>
    <t>A point is scored.</t>
  </si>
  <si>
    <t>If a ball hits the target ball, the player receives a point.</t>
  </si>
  <si>
    <t>Was passiert, wenn eine Kugel die Zielkugel trifft?</t>
  </si>
  <si>
    <t>A. Es wird ein Punkt erzielt B. Es gibt keine Punkte C. Der Wurf wird wiederholt D. Der Gegner erhält einen Punkt</t>
  </si>
  <si>
    <t>Es wird ein Punkt erzielt</t>
  </si>
  <si>
    <t>Trifft ein Ball den Zielball, erhält der Spieler einen Punkt.</t>
  </si>
  <si>
    <t>How many players can usually play in a game of Bosseln?</t>
  </si>
  <si>
    <t>A. Two players B. Four players C. Three players D. Five players</t>
  </si>
  <si>
    <t>Four players</t>
  </si>
  <si>
    <t>Bosseln is normally played by four players, divided into two teams.</t>
  </si>
  <si>
    <t>Wie viele Spieler können normalerweise in Bosseln spielen?</t>
  </si>
  <si>
    <t>A. Zwei Spieler B. Vier Spieler C. Drei Spieler D. Fünf Spieler</t>
  </si>
  <si>
    <t>Vier Spieler</t>
  </si>
  <si>
    <t>Bosseln wird normalerweise von vier Spielern gespielt, aufgeteilt in zwei Teams.</t>
  </si>
  <si>
    <t>What is the main purpose of bossing?</t>
  </si>
  <si>
    <t>A. Target shooting B. Target throwing C. Target game D. Changing targets</t>
  </si>
  <si>
    <t>Target shooting</t>
  </si>
  <si>
    <t>The main purpose of bossing is to hit the target ball and change its position.</t>
  </si>
  <si>
    <t>Was ist der Hauptzweck des Bossings?</t>
  </si>
  <si>
    <t>A. Scheibenschießen B. Zielwurf C. Zielspiel D. Sich ändernde Ziele</t>
  </si>
  <si>
    <t>Scheibenschießen</t>
  </si>
  <si>
    <t>Der Hauptzweck des Bossings besteht darin, den Zielball zu treffen und seine Position zu verändern.</t>
  </si>
  <si>
    <t>What does "Spitze" mean in the context of bocce?</t>
  </si>
  <si>
    <t>A. Hit the target ball B. Receive a bonus point C. Hit a certain number of targets D. Dodge the target ball</t>
  </si>
  <si>
    <t>Hit the target ball</t>
  </si>
  <si>
    <t>“Point” means hitting the target ball directly and receiving an additional point.</t>
  </si>
  <si>
    <t>Was bedeutet „Spitze“ auf Bosseln?</t>
  </si>
  <si>
    <t>A. Den Zielball treffen B. Erhalten Sie einen Bonuspunkt C. Eine bestimmte Anzahl von Zielen treffen D. Dem Zielball ausweichen</t>
  </si>
  <si>
    <t>Den Zielball treffen</t>
  </si>
  <si>
    <t>„Punkt“ bedeutet, den Zielball direkt zu treffen und einen zusätzlichen Punkt zu erhalten.</t>
  </si>
  <si>
    <t>What happens if a player has more than four throws?</t>
  </si>
  <si>
    <t>A. The throw is stopped. B. The player gets an extra throw. C. The throw is repeated. D. The player loses a point.</t>
  </si>
  <si>
    <t>The throw is aborted.</t>
  </si>
  <si>
    <t>If a player has more than four throws, the additional throw is nullified and no additional points are scored.</t>
  </si>
  <si>
    <t>Was passiert, wenn ein Spieler mehr als vier Würfe hat?</t>
  </si>
  <si>
    <t>A. Der Wurf wird abgebrochen B. Der Spieler erhält einen zusätzlichen Wurf C. Der Wurf wird wiederholt D. Der Spieler verliert einen Punkt</t>
  </si>
  <si>
    <t>Der Wurf wird abgebrochen</t>
  </si>
  <si>
    <t>Wenn ein Spieler mehr als vier Würfe hat, wird der zusätzliche Wurf annulliert und es werden keine zusätzlichen Punkte erzielt.</t>
  </si>
  <si>
    <t>What is the target ball in bocce?</t>
  </si>
  <si>
    <t>A. A smaller ball B. A larger ball C. A specific color D. A special symbol</t>
  </si>
  <si>
    <t>A smaller ball</t>
  </si>
  <si>
    <t>The target ball is a smaller ball that serves as a target for throwing the other balls.</t>
  </si>
  <si>
    <t>Was ist der Zielball in Bosseln?</t>
  </si>
  <si>
    <t>A. Ein kleinerer Ball B. Ein größerer Ball C. Eine bestimmte Farbe D. Ein besonderes Zeichen</t>
  </si>
  <si>
    <t>Ein kleinerer Ball</t>
  </si>
  <si>
    <t>Der Zielball ist ein kleinerer Ball, der als Ziel für den Wurf der anderen Bälle dient.</t>
  </si>
  <si>
    <t>What happens when a ball leaves the playing field?</t>
  </si>
  <si>
    <t>A. The throw is repeated. B. The throw does not count. C. The opponent scores a point. D. The player must return the ball.</t>
  </si>
  <si>
    <t>The throw will not be counted.</t>
  </si>
  <si>
    <t>If a ball leaves the playing field, the throw is not counted.</t>
  </si>
  <si>
    <t>Was passiert, wenn ein Ball das Spielfeld verlässt?</t>
  </si>
  <si>
    <t>A. Der Wurf wird wiederholt B. Der Wurf wird nicht gezählt C. Der Gegner erhält einen Punkt D. Der Spieler muss den Ball zurückbringen</t>
  </si>
  <si>
    <t>Der Wurf wird nicht gezählt</t>
  </si>
  <si>
    <t>Verlässt ein Ball das Spielfeld, wird der Wurf nicht gewertet.</t>
  </si>
  <si>
    <t>What does "ziehen" mean in Bosseln?</t>
  </si>
  <si>
    <t>A. Moving the target ball B. Throwing the ball C. Taking the ball away D. Pushing the ball</t>
  </si>
  <si>
    <t>Moving the target ball</t>
  </si>
  <si>
    <t>“Driving” means moving the target ball to influence the position of the opponent’s balls.</t>
  </si>
  <si>
    <t>Was bedeutet „ziehen“ in Bosseln?</t>
  </si>
  <si>
    <t>A. Bewegen des Zielballs B. Den Ball werfen C. Den Ball wegnehmen D. Den Ball schieben</t>
  </si>
  <si>
    <t>Bewegen des Zielballs</t>
  </si>
  <si>
    <t>„Ziehen“ bedeutet, den Zielball zu bewegen, um die Position der gegnerischen Bälle zu beeinflussen.</t>
  </si>
  <si>
    <t>What happens if a player moves the target ball?</t>
  </si>
  <si>
    <t>A. A point is scored. B. The throw is repeated. C. The player loses a point. D. There is no change.</t>
  </si>
  <si>
    <t>Moving the target ball is considered a hit and the player is awarded one point.</t>
  </si>
  <si>
    <t>Was passiert, wenn ein Spieler den Zielball bewegt?</t>
  </si>
  <si>
    <t>A. Es wird ein Punkt erzielt B. Der Wurf wird wiederholt C. Der Spieler verliert einen Punkt D. Es gibt keine Änderung</t>
  </si>
  <si>
    <t>Das Bewegen des Zielballs wird als Zieltreffer gewertet und dem Spieler wird ein Punkt gutgeschrieben.</t>
  </si>
  <si>
    <t>How many rounds are there in a game of Bosseln?</t>
  </si>
  <si>
    <t>A. Two rounds B. Three rounds C. One round D. Four rounds</t>
  </si>
  <si>
    <t>Three rounds</t>
  </si>
  <si>
    <t>Normally, a game of Bosseln consists of three rounds.</t>
  </si>
  <si>
    <t>Wie viele Runden gibt es in einem Bosseln-Spiel?</t>
  </si>
  <si>
    <t>A. Zwei Runden B. Drei Runden C. Eine Runde D. Vier Runden</t>
  </si>
  <si>
    <t>Drei Runden</t>
  </si>
  <si>
    <t>Normalerweise gibt es in einem Bosseln-Spiel drei Runden.</t>
  </si>
  <si>
    <t>What happens if a player runs out of balls?</t>
  </si>
  <si>
    <t>A. The game ends. B. The player receives another ball. C. The player can no longer score points. D. The player must leave the game.</t>
  </si>
  <si>
    <t>The player can no longer score points.</t>
  </si>
  <si>
    <t>If a player runs out of balls, he can no longer score any more points and the game does not end.</t>
  </si>
  <si>
    <t>Was passiert, wenn einem Spieler die Bälle ausgehen?</t>
  </si>
  <si>
    <t>A. Das Spiel endet B. Der Spieler erhält einen weiteren Ball C. Der Spieler kann keine Punkte mehr erzielen D. Der Spieler muss das Spiel verlassen</t>
  </si>
  <si>
    <t>Der Spieler kann keine Punkte mehr erzielen</t>
  </si>
  <si>
    <t>Wenn einem Spieler die Bälle ausgehen, kann er keine weiteren Punkte mehr erzielen und das Spiel endet nicht.</t>
  </si>
  <si>
    <t>What does "moving" mean in Bosseln?</t>
  </si>
  <si>
    <t>“Moving” means moving the target ball to influence the position of the opponent’s balls.</t>
  </si>
  <si>
    <t>Was bedeutet „umziehen“ in Bosseln?</t>
  </si>
  <si>
    <t>„Bewegen“ bedeutet, den Zielball zu bewegen, um die Position der gegnerischen Bälle zu beeinflussen.</t>
  </si>
  <si>
    <t>How is the target ball placed?</t>
  </si>
  <si>
    <t>A. In the middle of the playing field B. At the edge of the field C. Next to a specific line D. Along the edge of the field</t>
  </si>
  <si>
    <t>Right in the middle of the playing field</t>
  </si>
  <si>
    <t>The target ball is placed in the middle of the playing field to ensure a central position for the game.</t>
  </si>
  <si>
    <t>Wie wird der Zielball platziert?</t>
  </si>
  <si>
    <t>A. Mitten auf dem Spielfeld B. Am Rande des Feldes C. Neben einer bestimmten Zeile D. Am Feldrand entlang</t>
  </si>
  <si>
    <t>Mitten auf dem Spielfeld</t>
  </si>
  <si>
    <t>Der Zielball wird in der Mitte des Spielfeldes platziert, um eine zentrale Position für das Spiel zu gewährleisten.</t>
  </si>
  <si>
    <t>What happens when a player leaves the playing field?</t>
  </si>
  <si>
    <t>A. The throw is not counted. B. The throw is repeated. C. The opponent receives a point. D. The game ends.</t>
  </si>
  <si>
    <t>If a player leaves the playing field, the throw is not counted.</t>
  </si>
  <si>
    <t>Was passiert, wenn ein Spieler das Spielfeld verlässt?</t>
  </si>
  <si>
    <t>A. Der Wurf wird nicht gezählt B. Der Wurf wird wiederholt C. Der Gegner erhält einen Punkt D. Das Spiel endet</t>
  </si>
  <si>
    <t>Verlässt ein Spieler das Spielfeld, wird der Wurf nicht gewertet.</t>
  </si>
  <si>
    <t>What does "ticken" mean in Bosseln?</t>
  </si>
  <si>
    <t>A. Hit the target ball B. Push the target ball C. Throw the ball D. Shoot the ball</t>
  </si>
  <si>
    <t>Ticking means hitting the target ball and scoring a point.</t>
  </si>
  <si>
    <t>Was bedeutet „ticken“ in Bosseln?</t>
  </si>
  <si>
    <t>A. Den Zielball treffen B. Den Zielball schieben C. Den Ball werfen D. Die Kugel abschießen</t>
  </si>
  <si>
    <t>Ticken bedeutet, den Zielball zu treffen und einen Punkt zu erzielen.</t>
  </si>
  <si>
    <t>What happens if a player misses all of their throws?</t>
  </si>
  <si>
    <t>A. The throw is repeated. B. The opponent scores a point. C. The player must leave the game. D. The game ends.</t>
  </si>
  <si>
    <t>The opponent receives a point.</t>
  </si>
  <si>
    <t>If a player misses all of their throws, the opponent gets a point.</t>
  </si>
  <si>
    <t>Was passiert, wenn ein Spieler alle seine Würfe verfehlt?</t>
  </si>
  <si>
    <t>A. Der Wurf wird wiederholt B. Der Gegner erhält einen Punkt C. Der Spieler muss das Spiel verlassen D. Das Spiel endet</t>
  </si>
  <si>
    <t>Der Gegner erhält einen Punkt</t>
  </si>
  <si>
    <t>Wenn ein Spieler alle seine Würfe verfehlt, erhält der Gegner einen Punkt.</t>
  </si>
  <si>
    <t>How many points does a player need to win the game?</t>
  </si>
  <si>
    <t>A. More than 20 points B. Less than 10 points C. More than 30 points D. Exactly 25 points</t>
  </si>
  <si>
    <t>Exactly 25 points</t>
  </si>
  <si>
    <t>A player wins the game if they reach exactly 25 points.</t>
  </si>
  <si>
    <t>Wie viele Punkte braucht ein Spieler, um das Spiel zu gewinnen?</t>
  </si>
  <si>
    <t>A. Mehr als 20 Punkte B. Weniger als 10 Punkte C. Mehr als 30 Punkte D. Genau 25 Punkte</t>
  </si>
  <si>
    <t>Genau 25 Punkte</t>
  </si>
  <si>
    <t>Ein Spieler gewinnt das Spiel, wenn er genau 25 Punkte erreicht.</t>
  </si>
  <si>
    <t>What happens if a player moves the target ball and misses the opponent's balls in the process?</t>
  </si>
  <si>
    <t>A. The throw is repeated. B. The player loses a point. C. The player gets an extra throw. D. The game ends.</t>
  </si>
  <si>
    <t>The throw is repeated.</t>
  </si>
  <si>
    <t>If a player moves the target ball and misses the opponent's balls, the throw is repeated.</t>
  </si>
  <si>
    <t>Was passiert, wenn ein Spieler den Zielball bewegt und dabei die Bälle des Gegners verfehlt?</t>
  </si>
  <si>
    <t>A. Der Wurf wird wiederholt B. Der Spieler verliert einen Punkt C. Der Spieler erhält einen zusätzlichen Wurf D. Das Spiel endet</t>
  </si>
  <si>
    <t>Der Wurf wird wiederholt</t>
  </si>
  <si>
    <t>Bewegt ein Spieler den Zielball und trifft die Bälle des Gegners nicht, wird der Wurf wiederholt.</t>
  </si>
  <si>
    <t>What does "Skat" mean in the context of bocce?</t>
  </si>
  <si>
    <t>A. Hit the target ball B. Throw the ball C. Move the target ball D. Push the ball</t>
  </si>
  <si>
    <t>Skat means hitting the target ball and scoring a point.</t>
  </si>
  <si>
    <t>Was bedeutet „Skat“ auf Bosseln?</t>
  </si>
  <si>
    <t>A. Den Zielball treffen B. Den Ball werfen C. Bewegen des Zielballs D. Den Ball schieben</t>
  </si>
  <si>
    <t>Skat bedeutet, den Zielball zu treffen und einen Punkt zu erzielen.</t>
  </si>
  <si>
    <t>How many points does a player receive if they hit the target ball exactly?</t>
  </si>
  <si>
    <t>A. Two points B. One point C. Three points D. No sense</t>
  </si>
  <si>
    <t>Two points</t>
  </si>
  <si>
    <t>A player receives two points if he hits the target ball exactly.</t>
  </si>
  <si>
    <t>Wie viele Punkte erhält ein Spieler, wenn er den Zielball genau trifft?</t>
  </si>
  <si>
    <t>A. Zwei Punkte B. Ein Punkt C. Drei Punkte D. Kein Sinn</t>
  </si>
  <si>
    <t>Zwei Punkte</t>
  </si>
  <si>
    <t>Ein Spieler erhält zwei Punkte, wenn er den Zielball genau trifft.</t>
  </si>
  <si>
    <t>What happens if a player misses the target ball?</t>
  </si>
  <si>
    <t>A. The throw does not count. B. The opponent receives a point. C. The player gets another throw. D. The game ends.</t>
  </si>
  <si>
    <t>If a player fails to hit the target ball, the opponent receives a point.</t>
  </si>
  <si>
    <t>Was passiert, wenn ein Spieler den Zielball nicht trifft?</t>
  </si>
  <si>
    <t>A. Der Wurf wird nicht gezählt B. Der Gegner erhält einen Punkt C. Der Spieler erhält einen weiteren Wurf D. Das Spiel endet</t>
  </si>
  <si>
    <t>Gelingt es einem Spieler nicht, den Zielball zu treffen, erhält der Gegner einen Punkt.</t>
  </si>
  <si>
    <t>What does "printing" mean in Bosseln?</t>
  </si>
  <si>
    <t>A. Throw the ball B. Hit the target ball C. Move the target ball D. Push the ball</t>
  </si>
  <si>
    <t>Throw the ball</t>
  </si>
  <si>
    <t>When the trigger is pulled, the ball is thrown in a targeted manner to hit the target ball.</t>
  </si>
  <si>
    <t>Was bedeutet „Drucken“ in Bosseln?</t>
  </si>
  <si>
    <t>A. Den Ball werfen B. Den Zielball treffen C. Bewegen des Zielballs D. Den Ball schieben</t>
  </si>
  <si>
    <t>Den Ball werfen</t>
  </si>
  <si>
    <t>Beim Betätigen des Abzugs wird der Ball gezielt geworfen, um den Zielball zu treffen.</t>
  </si>
  <si>
    <t>How is the playing field usually marked in bocce?</t>
  </si>
  <si>
    <t>A. With colored stripes B. With numbers C. With lines D. With circles</t>
  </si>
  <si>
    <t>With lines</t>
  </si>
  <si>
    <t>The field is marked with lines to define the throwing area.</t>
  </si>
  <si>
    <t>Wie ist das Spielfeld in Bosseln üblicherweise markiert?</t>
  </si>
  <si>
    <t>A. Mit Farbstreifen B. Mit Zahlen C. Mit Linien D. Mit Kreisen</t>
  </si>
  <si>
    <t>Mit Linien</t>
  </si>
  <si>
    <t>Das Feld ist mit Linien markiert, um den Wurfbereich festzulegen.</t>
  </si>
  <si>
    <t>What happens if a player misses the goal and the ball leaves the playing field?</t>
  </si>
  <si>
    <t>A. The throw does not count. B. The game ends. C. The player receives one point. D. The opponent receives two points.</t>
  </si>
  <si>
    <t>Was passiert, wenn ein Spieler das Ziel verfehlt und der Ball das Spielfeld verlässt?</t>
  </si>
  <si>
    <t>A. Der Wurf wird nicht gezählt B. Das Spiel endet C. Der Spieler erhält einen Punkt D. Der Gegner erhält zwei Punkte</t>
  </si>
  <si>
    <t>What is the goal in Bosseln?</t>
  </si>
  <si>
    <t>A. Shooting the balls B. Throwing the target ball C. Hitting the target ball D. Moving the target ball</t>
  </si>
  <si>
    <t>The aim in Bosseln is to hit the target ball and score points.</t>
  </si>
  <si>
    <t>Was ist das Ziel in Bosseln?</t>
  </si>
  <si>
    <t>A. Die Kugeln schießen B. Den Zielball werfen C. Den Zielball treffen D. Bewegen des Zielballs</t>
  </si>
  <si>
    <t>Das Ziel in Bosseln ist es, den Zielball zu treffen und Punkte zu erzielen.</t>
  </si>
  <si>
    <t>How many teams are usually involved in a bocce ball game?</t>
  </si>
  <si>
    <t>A. Two teams B. Three teams C. Four teams D. One team</t>
  </si>
  <si>
    <t>Two teams</t>
  </si>
  <si>
    <t>Normally, in Bosseln (a traditional German game similar to bowling), two teams play against each other.</t>
  </si>
  <si>
    <t>Wie viele Teams sind normalerweise in Bosseln beteiligt?</t>
  </si>
  <si>
    <t>A. Zwei Teams B. Drei Teams C. Vier Mannschaften D. Ein Team</t>
  </si>
  <si>
    <t>Zwei Teams</t>
  </si>
  <si>
    <t>Normalerweise spielen in Bosseln zwei Mannschaften gegeneinander.</t>
  </si>
  <si>
    <t>What happens if a player makes more than five throws?</t>
  </si>
  <si>
    <t>A. The player receives no point. B. The throw is stopped. C. The throw is repeated. D. The opponent receives a point.</t>
  </si>
  <si>
    <t>In bocce, a player may not make more than five throws. The throw is then stopped.</t>
  </si>
  <si>
    <t>Was passiert, wenn ein Spieler mehr als fünf Würfe macht?</t>
  </si>
  <si>
    <t>A. Der Spieler erhält keinen Punkt B. Der Wurf wird abgebrochen C. Der Wurf wird wiederholt D. Der Gegner erhält einen Punkt</t>
  </si>
  <si>
    <t>Ein Spieler darf in Bosseln nicht mehr als fünf Würfe ausführen. Der Wurf wird abgebrochen.</t>
  </si>
  <si>
    <t>How are points counted in Bosseln (a traditional German game similar to bowling).</t>
  </si>
  <si>
    <t>A. Each throw counts as one point. B. Only hitting the target ball counts. C. The distance of the balls to the target ball is counted. D. There are no points.</t>
  </si>
  <si>
    <t>The distance of the balls to the target ball is counted.</t>
  </si>
  <si>
    <t>The scoring in Bosseln is based on the distance of the balls from the target ball.</t>
  </si>
  <si>
    <t>Wie erfolgt die Punktezählung in Bosseln?</t>
  </si>
  <si>
    <t>A. Jeder Wurf zählt als ein Punkt B. Es zählt nur das Treffen des Zielballs C. Gezählt wird der Abstand der Bälle zum Zielball D. Es gibt keine Punkte</t>
  </si>
  <si>
    <t>Gezählt wird der Abstand der Bälle zum Zielball</t>
  </si>
  <si>
    <t>Die Wertung in Bosseln basiert auf der Entfernung der Bälle vom Zielball.</t>
  </si>
  <si>
    <t>What is the maximum number of throws that can be made in one round?</t>
  </si>
  <si>
    <t>A. Two throws B. Three throws C. Four throws D. Five throws</t>
  </si>
  <si>
    <t>Five throws</t>
  </si>
  <si>
    <t>A maximum of five throws may be made in one round.</t>
  </si>
  <si>
    <t>Wie viele Würfe können maximal in einer Runde ausgeführt werden?</t>
  </si>
  <si>
    <t>A. Zwei Würfe B. Drei Würfe C. Vier Würfe D. Fünf Würfe</t>
  </si>
  <si>
    <t>Fünf Würfe</t>
  </si>
  <si>
    <t>In einer Runde dürfen maximal fünf Würfe ausgeführt werden.</t>
  </si>
  <si>
    <t>How many balls does each player usually have in bocce?</t>
  </si>
  <si>
    <t>A. One ball B. Two balls C. Three balls D. Four balls</t>
  </si>
  <si>
    <t>Two balls</t>
  </si>
  <si>
    <t>In bocce, each player usually has two balls which he throws.</t>
  </si>
  <si>
    <t>Wie viele Bälle hat normalerweise jeder Spieler in Bosseln?</t>
  </si>
  <si>
    <t>A. Eine Kugel B. Zwei Bälle C. Drei Bälle D. Vier Bälle</t>
  </si>
  <si>
    <t>Zwei Bälle</t>
  </si>
  <si>
    <t>Bei Bosseln hat jeder Spieler normalerweise zwei Bälle, die er wirft.</t>
  </si>
  <si>
    <t>What happens if a ball misses the target and doesn't stay on the playing field?</t>
  </si>
  <si>
    <t>A. The throw counts. B. The player loses a point. C. The throw does not count. D. The throw is repeated.</t>
  </si>
  <si>
    <t>Was passiert, wenn ein Ball das Ziel verfehlt und nicht auf dem Spielfeld bleibt?</t>
  </si>
  <si>
    <t>A. Der Wurf wird gewertet B. Der Spieler verliert einen Punkt C. Der Wurf wird nicht gezählt D. Der Wurf wird wiederholt</t>
  </si>
  <si>
    <t>What is the goal of Bosseln?</t>
  </si>
  <si>
    <t>A. Throw the ball as far as possible. B. Throw the ball as close as possible to the target ball. C. Throw the ball at a specific target. D. Throw the ball at the greatest speed.</t>
  </si>
  <si>
    <t>Throw the ball as close as possible to the target ball.</t>
  </si>
  <si>
    <t>The aim in bossing is to throw the ball as close as possible to the target ball.</t>
  </si>
  <si>
    <t>Was ist das Ziel von Bosseln?</t>
  </si>
  <si>
    <t>A. Wirf den Ball so weit wie möglich B. Wirf den Ball so nah wie möglich an den Zielball heran C. Wirf den Ball auf ein bestimmtes Ziel D. Wirf den Ball mit der größten Geschwindigkeit</t>
  </si>
  <si>
    <t>Wirf den Ball so nah wie möglich an den Zielball heran</t>
  </si>
  <si>
    <t>Das Ziel beim Bossing besteht darin, den Ball so nah wie möglich an den Zielball heranzuwerfen.</t>
  </si>
  <si>
    <t>What happens if a player hits the target ball?</t>
  </si>
  <si>
    <t>A. He wins the game. B. The opponent loses points. C. He gets an extra throw. D. He scores a point.</t>
  </si>
  <si>
    <t>He gets one point</t>
  </si>
  <si>
    <t>If a player hits the target ball, he receives one point.</t>
  </si>
  <si>
    <t>Was passiert, wenn ein Spieler den Zielball trifft?</t>
  </si>
  <si>
    <t>A. Er gewinnt das Spiel B. Der Gegner verliert Punkte C. Er erhält einen zusätzlichen Wurf D. Er bekommt einen Punkt</t>
  </si>
  <si>
    <t>Er bekommt einen Punkt</t>
  </si>
  <si>
    <t>Trifft ein Spieler den Zielball, erhält er einen Punkt.</t>
  </si>
  <si>
    <t>How is the playing field marked for bocce?</t>
  </si>
  <si>
    <t>A. With lines B. With dots C. With a net D. With a circle</t>
  </si>
  <si>
    <t>The playing field for bocce is marked with lines that delineate the throwing area.</t>
  </si>
  <si>
    <t>Wie ist das Spielfeld für Bosseln markiert?</t>
  </si>
  <si>
    <t>A. Mit Linien B. Mit Punkten C. Mit einem Netz D. Mit einem Kreis</t>
  </si>
  <si>
    <t>Das Spielfeld für Bosseln ist mit Linien markiert, die den Wurfbereich abgrenzen.</t>
  </si>
  <si>
    <t>What happens when a player's throw flies in an arc across the playing field?</t>
  </si>
  <si>
    <t>A. The throw counts. B. The throw does not count. C. The player receives one point. D. The throw is repeated.</t>
  </si>
  <si>
    <t>A throw in an arc will not be counted if the ball leaves the playing field.</t>
  </si>
  <si>
    <t>Was passiert, wenn der Wurf eines Spielers in einem Bogen über das Spielfeld fliegt?</t>
  </si>
  <si>
    <t>A. Der Wurf wird gewertet B. Der Wurf wird nicht gezählt C. Der Spieler erhält einen Punkt D. Der Wurf wird wiederholt</t>
  </si>
  <si>
    <t>Ein Wurf in einem Bogen wird nicht gewertet, wenn der Ball das Spielfeld verlässt.</t>
  </si>
  <si>
    <t>How many points does a player receive if their ball hits the target?</t>
  </si>
  <si>
    <t>A. No sense B. One point C. Two points D. Three points</t>
  </si>
  <si>
    <t>One point</t>
  </si>
  <si>
    <t>A player scores a point when their ball hits the target ball.</t>
  </si>
  <si>
    <t>Wie viele Punkte erhält ein Spieler, wenn sein Ball das Ziel trifft?</t>
  </si>
  <si>
    <t>A. Kein Sinn B. Ein Punkt C. Zwei Punkte D. Drei Punkte</t>
  </si>
  <si>
    <t>Ein Punkt</t>
  </si>
  <si>
    <t>Ein Spieler erhält einen Punkt, wenn sein Ball den Zielball trifft.</t>
  </si>
  <si>
    <t>Which throw counts if it only lightly touches the target ball?</t>
  </si>
  <si>
    <t>A. The throw does not count. B. The throw counts as one point. C. The throw is repeated. D. The throw counts as one throw.</t>
  </si>
  <si>
    <t>The throw does not count</t>
  </si>
  <si>
    <t>A throw does not count if it only lightly touches the target ball.</t>
  </si>
  <si>
    <t>Welcher Wurf zählt, wenn er den Zielball nur leicht berührt?</t>
  </si>
  <si>
    <t>A. Der Wurf zählt nicht B. Der Wurf zählt als ein Punkt C. Der Wurf wird wiederholt D. Der Wurf zählt als ein Wurf</t>
  </si>
  <si>
    <t>Der Wurf zählt nicht</t>
  </si>
  <si>
    <t>Ein Wurf zählt nicht, wenn er den Zielball nur leicht berührt.</t>
  </si>
  <si>
    <t>How is the player order determined in Bosseln?</t>
  </si>
  <si>
    <t>A. Randomly B. According to the highest score C. By lottery D. In order of throws</t>
  </si>
  <si>
    <t>Through the lottery process</t>
  </si>
  <si>
    <t>The order of the players in Bosseln is determined by drawing lots.</t>
  </si>
  <si>
    <t>Wie wird die Spielerreihenfolge in Bosseln festgelegt?</t>
  </si>
  <si>
    <t>A. Zufällig B. Nach der höchsten Punktzahl C. Durch das Lotterieverfahren D. In der Reihenfolge der Würfe</t>
  </si>
  <si>
    <t>Durch das Lotterieverfahren</t>
  </si>
  <si>
    <t>Die Reihenfolge der Spieler in Bosseln wird per Losverfahren ermittelt.</t>
  </si>
  <si>
    <t>How many teams usually play in Bosseln?</t>
  </si>
  <si>
    <t>A. One team B. Two teams C. Three teams D. Four teams</t>
  </si>
  <si>
    <t>Wie viele Mannschaften spielen normalerweise in Bosseln?</t>
  </si>
  <si>
    <t>A. Ein Team B. Zwei Teams C. Drei Teams D. Vier Mannschaften</t>
  </si>
  <si>
    <t>How long does a typical round of bocce last?</t>
  </si>
  <si>
    <t>A. Five minutes B. Ten minutes C. Twenty minutes D. As long as necessary</t>
  </si>
  <si>
    <t>For as long as necessary</t>
  </si>
  <si>
    <t>A round of bocce lasts as long as it takes to complete all the throws.</t>
  </si>
  <si>
    <t>Wie lange dauert eine typische Runde in Bosseln?</t>
  </si>
  <si>
    <t>A. Fünf Minuten B. Zehn Minuten C. Zwanzig Minuten D. So lange wie nötig</t>
  </si>
  <si>
    <t>So lange wie nötig</t>
  </si>
  <si>
    <t>Eine Boßeln-Runde dauert so lange, wie nötig ist, um alle Würfe zu schaffen.</t>
  </si>
  <si>
    <t>What is the purpose of a throw in bocce if it reduces the distance to the target ball?</t>
  </si>
  <si>
    <t>A. He wins. B. He gets a point. C. He loses a point. D. He achieves the best ranking.</t>
  </si>
  <si>
    <t>He achieves the best ranking</t>
  </si>
  <si>
    <t>The aim of a throw in Bosseln is to reduce the distance to the target ball and to reach the best position.</t>
  </si>
  <si>
    <t>Was ist das Ziel eines Wurfs in Bosseln, wenn er die Distanz zum Zielball verringert?</t>
  </si>
  <si>
    <t>A. Er gewinnt B. Er bekommt einen Punkt C. Er verliert einen Punkt D. Er erreicht die beste Platzierung</t>
  </si>
  <si>
    <t>Er erreicht die beste Platzierung</t>
  </si>
  <si>
    <t>Ziel eines Wurfes in Bosseln ist es, den Abstand zum Zielball zu verringern und die beste Position zu erreichen.</t>
  </si>
  <si>
    <t>What happens if a player makes more than the allowed number of throws?</t>
  </si>
  <si>
    <t>A. He loses points. B. The throw is not counted. C. The throw is repeated. D. The player is disqualified.</t>
  </si>
  <si>
    <t>A player may only make the specified number of throws; otherwise, the throw will not count.</t>
  </si>
  <si>
    <t>Was passiert, wenn ein Spieler mehr als die erlaubte Anzahl an Würfen ausführt?</t>
  </si>
  <si>
    <t>A. Er verliert Punkte B. Der Wurf wird nicht gezählt C. Der Wurf wird wiederholt D. Der Spieler wird disqualifiziert</t>
  </si>
  <si>
    <t>Ein Spieler darf nur die angegebene Anzahl an Würfen ausführen, andernfalls wird der Wurf nicht gewertet.</t>
  </si>
  <si>
    <t>How is the score recorded in Bosseln (a traditional German game similar to bowling).</t>
  </si>
  <si>
    <t>A. By handwriting B. Using an electronic device C. Through paper documents D. With special software</t>
  </si>
  <si>
    <t>Through paper documents</t>
  </si>
  <si>
    <t>The score is traditionally recorded on paper in Bosseln.</t>
  </si>
  <si>
    <t>Wie wird der Punktestand in Bosseln erfasst?</t>
  </si>
  <si>
    <t>A. Per Handschrift B. Verwendung eines elektronischen Geräts C. Durch Papierunterlagen D. Mit spezieller Software</t>
  </si>
  <si>
    <t>Durch Papierunterlagen</t>
  </si>
  <si>
    <t>Die Partitur wird in Bosseln traditionell auf Papier festgehalten.</t>
  </si>
  <si>
    <t>What happens when a player's ball touches his opponent's ball?</t>
  </si>
  <si>
    <t>A. The player scores points. B. The throw does not count. C. The throw counts as a penalty. D. The opponent scores points.</t>
  </si>
  <si>
    <t>If a player touches the opponent's ball, the throw is not counted.</t>
  </si>
  <si>
    <t>Was passiert, wenn ein Spieler mit seinem Ball den Ball seines Gegners berührt?</t>
  </si>
  <si>
    <t>A. Der Spieler erhält Punkte B. Der Wurf wird nicht gezählt C. Der Wurf gilt als Strafe D. Der Gegner erhält Punkte</t>
  </si>
  <si>
    <t>Berührt ein Spieler den Ball des Gegners, wird der Wurf nicht gewertet.</t>
  </si>
  <si>
    <t>What happens when a ball bounces out of bounds?</t>
  </si>
  <si>
    <t>A. The throw is repeated. B. The throw is not counted. C. The player receives one point. D. The throw is considered correct.</t>
  </si>
  <si>
    <t>Was passiert, wenn ein Ball aus dem Spielfeld springt?</t>
  </si>
  <si>
    <t>A. Der Wurf wird wiederholt B. Der Wurf wird nicht gezählt C. Der Spieler erhält einen Punkt D. Der Wurf gilt als korrekt</t>
  </si>
  <si>
    <t>What happens if a player sinks all of their balls on the first throw?</t>
  </si>
  <si>
    <t>A. The game ends immediately. B. He receives an extra point. C. The opponent receives points. D. The player receives a point.</t>
  </si>
  <si>
    <t>The game ends immediately</t>
  </si>
  <si>
    <t>If a player sinks all the balls on their first throw, the game ends immediately.</t>
  </si>
  <si>
    <t>Was passiert, wenn ein Spieler beim ersten Wurf alle seine Bälle versenkt?</t>
  </si>
  <si>
    <t>A. Das Spiel endet sofort B. Er erhält einen Zusatzpunkt C. Der Gegner erhält Punkte D. Der Spieler erhält einen Punkt</t>
  </si>
  <si>
    <t>Das Spiel endet sofort</t>
  </si>
  <si>
    <t>Versenkt ein Spieler beim ersten Wurf alle Bälle, endet das Spiel sofort.</t>
  </si>
  <si>
    <t>What type of playing field is typical for bocce?</t>
  </si>
  <si>
    <t>A. Soft grass B. Hard pavement C. Sand D. Artificial turf</t>
  </si>
  <si>
    <t>Tough terrain</t>
  </si>
  <si>
    <t>The typical playing field for Bosseln consists of hard pavement or a firm surface.</t>
  </si>
  <si>
    <t>Welche Art von Spielfeld ist typisch für Bosseln?</t>
  </si>
  <si>
    <t>A. Weiches Gras B. Hartes Pflaster C. Sand D. Rasenteppich</t>
  </si>
  <si>
    <t>Hartes Pflaster</t>
  </si>
  <si>
    <t>Das typische Spielfeld für Bosseln besteht aus hartem Pflaster oder festem Untergrund.</t>
  </si>
  <si>
    <t>What happens if a player executes the throw uncontrollably?</t>
  </si>
  <si>
    <t>A. The throw is considered correct. B. The throw is not counted. C. The player loses a point. D. The throw is considered a penalty.</t>
  </si>
  <si>
    <t>An uncontrolled throw will not be counted.</t>
  </si>
  <si>
    <t>Was passiert, wenn ein Spieler den Wurf unkontrolliert ausführt?</t>
  </si>
  <si>
    <t>A. Der Wurf gilt als korrekt B. Der Wurf wird nicht gezählt C. Der Spieler verliert einen Punkt D. Der Wurf gilt als Strafe</t>
  </si>
  <si>
    <t>Ein unkontrollierter Wurf wird nicht gewertet.</t>
  </si>
  <si>
    <t>What happens if a player throws their ball too fast?</t>
  </si>
  <si>
    <t>A. The throw is repeated. B. The throw is not counted. C. The throw is considered valid. D. The player loses a point.</t>
  </si>
  <si>
    <t>A throw that is too fast will not count, as it violates the rules.</t>
  </si>
  <si>
    <t>Was passiert, wenn ein Spieler seinen Ball zu schnell wirft?</t>
  </si>
  <si>
    <t>A. Der Wurf wird wiederholt B. Der Wurf wird nicht gezählt C. Der Wurf gilt als korrekt D. Der Spieler verliert einen Punkt</t>
  </si>
  <si>
    <t>Ein zu schneller Wurf wird nicht gewertet, da er gegen die Regeln verstößt.</t>
  </si>
  <si>
    <t>What happens if a player throws the ball with the wrong hand?</t>
  </si>
  <si>
    <t>A. The throw is not counted. B. The throw is considered correct. C. The player loses a point. D. The throw is repeated.</t>
  </si>
  <si>
    <t>A throw with the wrong hand will not count.</t>
  </si>
  <si>
    <t>Was passiert, wenn ein Spieler den Ball mit der falschen Hand wirft?</t>
  </si>
  <si>
    <t>A. Der Wurf wird nicht gezählt B. Der Wurf gilt als korrekt C. Der Spieler verliert einen Punkt D. Der Wurf wird wiederholt</t>
  </si>
  <si>
    <t>Ein Wurf mit der falschen Hand wird nicht gewertet.</t>
  </si>
  <si>
    <t>What happens if the opponent throws the ball in such a way that it leaves the playing field?</t>
  </si>
  <si>
    <t>A. He loses a point. B. The throw is repeated. C. The throw is not counted. D. The opponent gains a point.</t>
  </si>
  <si>
    <t>If the ball leaves the playing field, the throw is not counted.</t>
  </si>
  <si>
    <t>Was passiert, wenn der Gegner den Ball so wirft, dass er das Spielfeld verlässt?</t>
  </si>
  <si>
    <t>A. Er verliert einen Punkt B. Der Wurf wird wiederholt C. Der Wurf wird nicht gezählt D. Der Gegner gewinnt einen Punkt</t>
  </si>
  <si>
    <t>Verlässt der Ball das Spielfeld, wird der Wurf nicht gewertet.</t>
  </si>
  <si>
    <t>How many balls does each team have in bocce?</t>
  </si>
  <si>
    <t>A. Two balls B. Three balls C. Four balls D. Five balls</t>
  </si>
  <si>
    <t>Three balls</t>
  </si>
  <si>
    <t>Each team usually has three balls in the bocce ball game.</t>
  </si>
  <si>
    <t>Wie viele Bälle hat jede Mannschaft in Bosseln?</t>
  </si>
  <si>
    <t>A. Zwei Bälle B. Drei Bälle C. Vier Bälle D. Fünf Bälle</t>
  </si>
  <si>
    <t>Drei Bälle</t>
  </si>
  <si>
    <t>Jede Mannschaft hat in der Regel drei Bälle in den Bosseln.</t>
  </si>
  <si>
    <t>How is it decided who makes the first throw?</t>
  </si>
  <si>
    <t>A. By lot B. The strongest player starts C. The player with the most points D. In order of the players</t>
  </si>
  <si>
    <t>By lot</t>
  </si>
  <si>
    <t>The decision as to who makes the first throw is made by drawing lots.</t>
  </si>
  <si>
    <t>Wie wird entschieden, wer den ersten Wurf macht?</t>
  </si>
  <si>
    <t>A. Per Los B. Der stärkste Spieler beginnt C. Der Spieler mit den meisten Punkten D. In der Reihenfolge der Spieler</t>
  </si>
  <si>
    <t>Per Los</t>
  </si>
  <si>
    <t>Die Entscheidung darüber, wer den ersten Wurf macht, erfolgt per Los.</t>
  </si>
  <si>
    <t>What is the area called where the balls are thrown?</t>
  </si>
  <si>
    <t>A. The playing field B. The throwing zones C. The target zone D. The throwing area</t>
  </si>
  <si>
    <t>The playing field</t>
  </si>
  <si>
    <t>The area where the balls are thrown is called the playing field.</t>
  </si>
  <si>
    <t>Wie nennt man den Bereich, in den die Bälle geworfen werden?</t>
  </si>
  <si>
    <t>A. Das Spielfeld B. Die Wurfzonen C. Die Zielzone D. Das Wurffeld</t>
  </si>
  <si>
    <t>Das Spielfeld</t>
  </si>
  <si>
    <t>Der Bereich, auf dem die Bälle geworfen werden, wird Spielfeld genannt.</t>
  </si>
  <si>
    <t>What happens if the throw doesn't land in the target area?</t>
  </si>
  <si>
    <t>A. The throw is considered a fault. B. The throw is repeated. C. The throw does not count. D. The player loses a point.</t>
  </si>
  <si>
    <t>A throw that does not land in the target area will not be counted.</t>
  </si>
  <si>
    <t>Was passiert, wenn der Wurf nicht im Zielbereich landet?</t>
  </si>
  <si>
    <t>A. Der Wurf gilt als Fehler B. Der Wurf wird wiederholt C. Der Wurf wird nicht gezählt D. Der Spieler verliert einen Punkt</t>
  </si>
  <si>
    <t>Ein Wurf, der nicht im Zielbereich landet, wird nicht gewertet.</t>
  </si>
  <si>
    <t>What shape does the ball have in bocce?</t>
  </si>
  <si>
    <t>A. Square B. Circular C. Oval D. Triangular</t>
  </si>
  <si>
    <t>Circular</t>
  </si>
  <si>
    <t>The ball in bocce is circular.</t>
  </si>
  <si>
    <t>Welche Form hat der Ball in Bosseln?</t>
  </si>
  <si>
    <t>A. Quadrat B. Kreisförmig C. Oval D. Dreieckig</t>
  </si>
  <si>
    <t>Kreisförmig</t>
  </si>
  <si>
    <t>Der Ball in Bosseln ist kreisförmig.</t>
  </si>
  <si>
    <t>What speed is considered ideal in bocce?</t>
  </si>
  <si>
    <t>A. Slow throws B. Medium speed C. Fast throws D. Very fast throws</t>
  </si>
  <si>
    <t>Medium speed</t>
  </si>
  <si>
    <t>Medium speed is considered ideal for bossing to ensure precision and control.</t>
  </si>
  <si>
    <t>Welche Geschwindigkeit gilt in Bosseln als ideal?</t>
  </si>
  <si>
    <t>A. Langsame Würfe B. Mittlere Geschwindigkeit C. Schnelle Würfe D. Sehr schnelle Würfe</t>
  </si>
  <si>
    <t>Mittlere Geschwindigkeit</t>
  </si>
  <si>
    <t>Mittlere Geschwindigkeit gilt beim Bossing als ideal, um Präzision und Kontrolle zu gewährleisten.</t>
  </si>
  <si>
    <t>How does the game end?</t>
  </si>
  <si>
    <t>A. After a set number of rounds B. When a team reaches the goal C. When all balls have been thrown D. After a set time</t>
  </si>
  <si>
    <t>After a set number of rounds</t>
  </si>
  <si>
    <t>The game of Bosseln ends after a predetermined number of rounds.</t>
  </si>
  <si>
    <t>Wie endet das Spiel?</t>
  </si>
  <si>
    <t>A. Nach einer festgelegten Anzahl an Runden B. Wenn ein Team das Ziel erreicht C. Wenn alle Bälle geworfen wurden D. Nach einer festgelegten Zeit</t>
  </si>
  <si>
    <t>Nach einer festgelegten Anzahl an Runden</t>
  </si>
  <si>
    <t>Das Spiel in Bosseln endet nach einer festgelegten Rundenzahl.</t>
  </si>
  <si>
    <t>What happens if the jack is moved during the game?</t>
  </si>
  <si>
    <t>A. The throw is repeated. B. The game is stopped. C. The player loses a point. D. The game continues.</t>
  </si>
  <si>
    <t>If the target ball is moved, the game stops and the position is reset.</t>
  </si>
  <si>
    <t>Was passiert, wenn der Wagenheber während des Spiels bewegt wird?</t>
  </si>
  <si>
    <t>A. Der Wurf wird wiederholt B. Das Spiel wird gestoppt C. Der Spieler verliert einen Punkt D. Das Spiel geht weiter</t>
  </si>
  <si>
    <t>Wird die Zielkugel bewegt, stoppt das Spiel und die Position wird zurückgesetzt.</t>
  </si>
  <si>
    <t>What is the name of the target ball?</t>
  </si>
  <si>
    <t>A. Target object B. Reference ball C. Core ball D. Middle ball</t>
  </si>
  <si>
    <t>Reference ball</t>
  </si>
  <si>
    <t>In bocce, the target ball is called the reference ball.</t>
  </si>
  <si>
    <t>Wie heißt der Zielball?</t>
  </si>
  <si>
    <t>A. Zielobjekt B. Referenzball C. Kernball D. Mittelball</t>
  </si>
  <si>
    <t>Referenzball</t>
  </si>
  <si>
    <t>Der Zielball wird in Bosseln Referenzball genannt.</t>
  </si>
  <si>
    <t>What correction is made when a ball lands outside the playing field?</t>
  </si>
  <si>
    <t>A. The player loses points. B. The throw is repeated. C. The throw counts as a miss. D. The throw counts as correct.</t>
  </si>
  <si>
    <t>The throw counts as a miss.</t>
  </si>
  <si>
    <t>A throw that lands outside the playing field is considered a foul.</t>
  </si>
  <si>
    <t>Welche Korrektur erfolgt, wenn ein Ball außerhalb des Spielfelds landet?</t>
  </si>
  <si>
    <t>A. Der Spieler verliert Punkte B. Der Wurf wird wiederholt C. Der Wurf zählt als Fehlschuss D. Der Wurf gilt als korrekt</t>
  </si>
  <si>
    <t>Der Wurf zählt als Fehlschuss</t>
  </si>
  <si>
    <t>Ein Wurf, der außerhalb des Spielfeldes landet, gilt als Fehlwurf.</t>
  </si>
  <si>
    <t>Which scoring method is used when the player throws multiple balls?</t>
  </si>
  <si>
    <t>A. Each ball counts individually. B. All balls count as one point. C. The player receives one point for each target ball. D. Only the best ball counts.</t>
  </si>
  <si>
    <t>Each ball counts individually.</t>
  </si>
  <si>
    <t>Each ball counts individually; for each ball that reaches the target ball, the player receives points.</t>
  </si>
  <si>
    <t>Welche Zählmethode wird verwendet, wenn der Spieler mehrere Bälle wirft?</t>
  </si>
  <si>
    <t>A. Jeder Ball zählt einzeln B. Alle Bälle zählen als ein Punkt C. Pro Zielball erhält der Spieler einen Punkt D. Gewertet wird nur der beste Ball</t>
  </si>
  <si>
    <t>Jeder Ball zählt einzeln</t>
  </si>
  <si>
    <t>Jeder Ball zählt einzeln, für jeden Ball, der den Zielball erreicht, erhält der Spieler Punkte.</t>
  </si>
  <si>
    <t>Which team will win in Bosseln?</t>
  </si>
  <si>
    <t>A. The team with the most hits. B. The team with the greatest throwing distance. C. The team with the fewest missed shots. D. The team that gets closest to the target ball.</t>
  </si>
  <si>
    <t>The team that gets closest to the target ball</t>
  </si>
  <si>
    <t>The team that gets closest to the target ball wins the game.</t>
  </si>
  <si>
    <t>Welches Team wird in Bosseln gewinnen?</t>
  </si>
  <si>
    <t>A. Das Team mit den meisten Treffern B. Das Team mit der größten Wurfweite C. Das Team mit den wenigsten Fehlwürfen D. Die Mannschaft, die dem Zielball am nächsten kommt</t>
  </si>
  <si>
    <t>Die Mannschaft, die dem Zielball am nächsten kommt</t>
  </si>
  <si>
    <t>Die Mannschaft, die dem Zielball am nächsten kommt, gewinnt das Spiel.</t>
  </si>
  <si>
    <t>How many players are there in a team in bocce?</t>
  </si>
  <si>
    <t>A. One B. Two C. Three D. Four</t>
  </si>
  <si>
    <t>Three</t>
  </si>
  <si>
    <t>In bocce, it is customary for each team to consist of three players.</t>
  </si>
  <si>
    <t>Wie viele Spieler gibt es in einer Mannschaft in Bosseln?</t>
  </si>
  <si>
    <t>A. Eins B. Zwei C. Drei D. Vier</t>
  </si>
  <si>
    <t>Drei</t>
  </si>
  <si>
    <t>In Bosseln ist es üblich, dass jede Mannschaft aus drei Spielern besteht.</t>
  </si>
  <si>
    <t>What happens if a player throws more than the allowed number of balls?</t>
  </si>
  <si>
    <t>A. He loses points. B. He gets another roll. C. The throw is not counted. D. The game is stopped.</t>
  </si>
  <si>
    <t>A player may only throw a set number of balls; throwing more balls results in invalid throws.</t>
  </si>
  <si>
    <t>Was passiert, wenn ein Spieler mehr als die erlaubte Anzahl Bälle wirft?</t>
  </si>
  <si>
    <t>A. Er verliert Punkte B. Er bekommt eine weitere Rolle C. Der Wurf wird nicht gezählt D. Das Spiel wird gestoppt</t>
  </si>
  <si>
    <t>Ein Spieler darf nur eine festgelegte Anzahl Bälle werfen; Mehr Bälle führen zu ungültigen Würfen.</t>
  </si>
  <si>
    <t>What happens if the referee cancels a player's throw?</t>
  </si>
  <si>
    <t>A. The throw is repeated. B. The throw is counted. C. The player loses a point. D. The game is stopped.</t>
  </si>
  <si>
    <t>An invalid roll is rolled again according to the rules.</t>
  </si>
  <si>
    <t>Was passiert, wenn der Schiedsrichter den Wurf eines Spielers annulliert?</t>
  </si>
  <si>
    <t>A. Der Wurf wird wiederholt B. Der Wurf wird gezählt C. Der Spieler verliert einen Punkt D. Das Spiel wird gestoppt</t>
  </si>
  <si>
    <t>Ein ungültiger Wurf wird gemäß den Regeln erneut gewürfelt.</t>
  </si>
  <si>
    <t>Which throwing techniques are allowed in bocce?</t>
  </si>
  <si>
    <t>A. Overhead throw only B. Underarm throw and overhead throw C. Sideways throw D. No throwing allowed</t>
  </si>
  <si>
    <t>Underarm throw and overhead throw</t>
  </si>
  <si>
    <t>In bocce, both underarm throws and overhead throws are allowed.</t>
  </si>
  <si>
    <t>Welche Wurftechnik ist in Bosseln erlaubt?</t>
  </si>
  <si>
    <t>A. Nur Überkopfwerfen B. Unterarmwurf und Überkopfwurf C. Seitwärtswurf D. Kein Werfen erlaubt</t>
  </si>
  <si>
    <t>Unterarmwurf und Überkopfwurf</t>
  </si>
  <si>
    <t>In Bosseln sind sowohl Unterarmwürfe als auch Überkopfwürfe erlaubt.</t>
  </si>
  <si>
    <t>How is the final winner determined in Bosseln?</t>
  </si>
  <si>
    <t>A. The player with the most points. B. The team with the most points. C. The player with the most shots. D. The team that achieves all goals.</t>
  </si>
  <si>
    <t>The team with the most points</t>
  </si>
  <si>
    <t>The final winner will be determined by the team with the most points.</t>
  </si>
  <si>
    <t>Wie wird der endgültige Sieger in Bosseln ermittelt?</t>
  </si>
  <si>
    <t>A. Der Spieler mit den meisten Punkten B. Das Team mit den meisten Punkten C. Der Spieler mit den meisten Wurfversuchen D. Das Team, das alle Ziele erreicht</t>
  </si>
  <si>
    <t>Das Team mit den meisten Punkten</t>
  </si>
  <si>
    <t>Der endgültige Gewinner wird von der Mannschaft mit den meisten Punkten ermittelt.</t>
  </si>
  <si>
    <t>How are the balls scored in bocce?</t>
  </si>
  <si>
    <t>A. According to the distance to the target ball B. Depending on the throwing speed C. According to the number of hits D. Depending on the number of throws</t>
  </si>
  <si>
    <t>According to the distance to the target ball</t>
  </si>
  <si>
    <t>The balls are scored according to their distance from the target ball.</t>
  </si>
  <si>
    <t>Wie werden die Bälle in Bosseln gewertet?</t>
  </si>
  <si>
    <t>A. Entsprechend der Entfernung zum Zielball B. Je nach Wurfgeschwindigkeit C. Nach Anzahl der Treffer D. Je nach Anzahl der Würfe</t>
  </si>
  <si>
    <t>Entsprechend der Entfernung zum Zielball</t>
  </si>
  <si>
    <t>Die Bälle werden entsprechend der Entfernung zum Zielball gewertet.</t>
  </si>
  <si>
    <t>What happens if a player throws the wrong ball?</t>
  </si>
  <si>
    <t>A. He loses a point. B. The throw is repeated. C. The throw is considered correct. D. He receives a penalty point.</t>
  </si>
  <si>
    <t>A throw with the wrong ball is repeated.</t>
  </si>
  <si>
    <t>Was passiert, wenn ein Spieler den falschen Ball wirft?</t>
  </si>
  <si>
    <t>A. Er verliert einen Punkt B. Der Wurf wird wiederholt C. Der Wurf gilt als richtig D. Er erhält einen Strafpunkt</t>
  </si>
  <si>
    <t>Ein Wurf mit dem falschen Ball wird wiederholt.</t>
  </si>
  <si>
    <t>Which element is crucial in bossing?</t>
  </si>
  <si>
    <t>A. Wind B. Sun C. Temperature D. Distance to the target ball</t>
  </si>
  <si>
    <t>The distance to the target ball</t>
  </si>
  <si>
    <t>When rocking back and forth, the distance to the target ball is crucial.</t>
  </si>
  <si>
    <t>Welches Element ist beim Bossing entscheidend?</t>
  </si>
  <si>
    <t>A. Wind B. Sonne C. Temperatur D. Die Entfernung zum Zielball</t>
  </si>
  <si>
    <t>Die Entfernung zum Zielball</t>
  </si>
  <si>
    <t>Beim Wippen ist der Abstand zum Zielball ausschlaggebend.</t>
  </si>
  <si>
    <t>What rule applies to a throw that hits the target ball directly?</t>
  </si>
  <si>
    <t>A. He gets no point. B. He wins the game immediately. C. The throw is repeated. D. He receives a bonus point.</t>
  </si>
  <si>
    <t>He wins the game immediately.</t>
  </si>
  <si>
    <t>A direct hit on the target ball results in an immediate win of the game.</t>
  </si>
  <si>
    <t>Welche Regel gilt für einen Wurf, der den Zielball direkt trifft?</t>
  </si>
  <si>
    <t>A. Er bekommt keinen Punkt B. Er gewinnt das Spiel sofort C. Der Wurf wird wiederholt D. Er erhält einen Bonuspunkt</t>
  </si>
  <si>
    <t>Er gewinnt das Spiel sofort</t>
  </si>
  <si>
    <t>Ein direkter Treffer auf den Zielball führt zum sofortigen Gewinn des Spiels.</t>
  </si>
  <si>
    <t>How many attempts does a player have to hit the target ball?</t>
  </si>
  <si>
    <t>A. One attempt B. Two attempts C. Three attempts D. As many attempts as necessary</t>
  </si>
  <si>
    <t>An attempt</t>
  </si>
  <si>
    <t>A player usually has one attempt to hit the target ball.</t>
  </si>
  <si>
    <t>Wie viele Versuche hat ein Spieler, um den Zielball zu treffen?</t>
  </si>
  <si>
    <t>A. Ein Versuch B. Zwei Versuche C. Drei Versuche D. So viele Versuche wie nötig</t>
  </si>
  <si>
    <t>Ein Versuch</t>
  </si>
  <si>
    <t>Ein Spieler hat normalerweise einen Versuch, den Zielball zu treffen.</t>
  </si>
  <si>
    <t>What happens if the target ball moves during the throw?</t>
  </si>
  <si>
    <t>A. The game ends immediately. B. The team loses a point. C. The throw is repeated. D. The throw is valid.</t>
  </si>
  <si>
    <t>The game ends immediately if the target ball is moved during the throw.</t>
  </si>
  <si>
    <t>Was passiert, wenn sich der Zielball während des Wurfs bewegt?</t>
  </si>
  <si>
    <t>A. Das Spiel endet sofort B. Das Team verliert einen Punkt C. Der Wurf wird wiederholt D. Der Wurf gilt als gültig</t>
  </si>
  <si>
    <t>Das Spiel endet sofort, wenn der Zielball während des Wurfs bewegt wird.</t>
  </si>
  <si>
    <t>What happens if a player places their ball directly in front of the target ball?</t>
  </si>
  <si>
    <t>A. He receives an extra point. B. The throw is invalid. C. He wins the game. D. He receives no point.</t>
  </si>
  <si>
    <t>He receives an additional point</t>
  </si>
  <si>
    <t>A throw placed directly in front of the target ball receives an additional point.</t>
  </si>
  <si>
    <t>Was passiert, wenn ein Spieler seinen Ball direkt vor dem Zielball platziert?</t>
  </si>
  <si>
    <t>A. Er erhält einen Zusatzpunkt B. Der Wurf gilt als ungültig C. Er gewinnt das Spiel D. Er bekommt keinen Punkt</t>
  </si>
  <si>
    <t>Er erhält einen Zusatzpunkt</t>
  </si>
  <si>
    <t>Ein direkt vor dem Zielball platzierter Wurf erhält einen Zusatzpunkt.</t>
  </si>
  <si>
    <t>What happens if the referee detects a rule violation?</t>
  </si>
  <si>
    <t>A. The player loses points. B. The game is stopped. C. The player receives a penalty point. D. The player must repeat the throw.</t>
  </si>
  <si>
    <t>The player loses points</t>
  </si>
  <si>
    <t>Players lose points for rule violations.</t>
  </si>
  <si>
    <t>Was passiert, wenn der Schiedsrichter einen Regelverstoß feststellt?</t>
  </si>
  <si>
    <t>A. Der Spieler verliert Punkte B. Das Spiel wird gestoppt C. Der Spieler erhält einen Strafpunkt D. Der Spieler muss den Wurf wiederholen</t>
  </si>
  <si>
    <t>Der Spieler verliert Punkte</t>
  </si>
  <si>
    <t>Bei Regelverstößen verliert der Spieler Punkte.</t>
  </si>
  <si>
    <t>How many balls can a player throw in a game?</t>
  </si>
  <si>
    <t>Normally, a player is allowed to throw three balls.</t>
  </si>
  <si>
    <t>Wie viele Bälle kann ein Spieler in einem Spiel werfen?</t>
  </si>
  <si>
    <t>Normalerweise darf ein Spieler drei Bälle werfen.</t>
  </si>
  <si>
    <t>A. Randomly B. Depending on the number of points scored C. By the referee's decision D. By drawing lots</t>
  </si>
  <si>
    <t>The order of the players is determined by lot.</t>
  </si>
  <si>
    <t>A. Zufällig B. Je nach Anzahl der erzielten Punkte C. Durch die Entscheidung des Schiedsrichters D. Per Los</t>
  </si>
  <si>
    <t>Die Reihenfolge der Spieler wird durch das Los bestimmt.</t>
  </si>
  <si>
    <t>What happens if a player hits the target ball with a mistake?</t>
  </si>
  <si>
    <t>A. The throw is repeated. B. The player loses a point. C. The game is stopped. D. The team loses a point.</t>
  </si>
  <si>
    <t>The player loses a point</t>
  </si>
  <si>
    <t>If a player hits the target ball with an error, he loses a point.</t>
  </si>
  <si>
    <t>Was passiert, wenn ein Spieler den Zielball mit einem Fehler trifft?</t>
  </si>
  <si>
    <t>A. Der Wurf wird wiederholt B. Der Spieler verliert einen Punkt C. Das Spiel wird gestoppt D. Das Team verliert einen Punkt</t>
  </si>
  <si>
    <t>Der Spieler verliert einen Punkt</t>
  </si>
  <si>
    <t>Trifft ein Spieler den Zielball mit einem Fehler, verliert er einen Punkt.</t>
  </si>
  <si>
    <t>What is the maximum number of players allowed per team in bocce?</t>
  </si>
  <si>
    <t>A. Two B. Three C. Four D. Five</t>
  </si>
  <si>
    <t>Each team in Bosseln typically consists of three players.</t>
  </si>
  <si>
    <t>Wie viele Spieler dürfen maximal pro Team in Bosseln spielen?</t>
  </si>
  <si>
    <t>A. Zwei B. Drei C. Vier D. Fünf</t>
  </si>
  <si>
    <t>Jedes Team in Bosseln besteht typischerweise aus drei Spielern.</t>
  </si>
  <si>
    <t>How is the winner of a bocce ball game determined?</t>
  </si>
  <si>
    <t>A. Based on the total number of goals. B. Based on the distance the balls are thrown. C. Based on the total score. D. Based on the number of rounds each player receives.</t>
  </si>
  <si>
    <t>After the total score</t>
  </si>
  <si>
    <t>The winning team is the one with the highest score at the end of the game.</t>
  </si>
  <si>
    <t>Wie wird der Sieger eines Bosseln-Spiels ermittelt?</t>
  </si>
  <si>
    <t>A. Nach der Gesamtzahl der Tore B. Auf die Distanz werden die Bälle geworfen C. Nach der Gesamtpunktzahl D. Je nach Anzahl der Runden, die jeder Spieler erhält</t>
  </si>
  <si>
    <t>Nach der Gesamtpunktzahl</t>
  </si>
  <si>
    <t>Sieger ist das Team mit der höchsten Punktzahl am Ende des Spiels.</t>
  </si>
  <si>
    <t>How many rounds are typically played in a game of Bosseln?</t>
  </si>
  <si>
    <t>A. Five B. Ten C. Twenty D. Thirty</t>
  </si>
  <si>
    <t>Ten</t>
  </si>
  <si>
    <t>A Bosseln match is usually played in ten rounds.</t>
  </si>
  <si>
    <t>Wie viele Runden werden typischerweise in Bosseln gespielt?</t>
  </si>
  <si>
    <t>A. Fünf B. Zehn C. Zwanzig D. Dreißig</t>
  </si>
  <si>
    <t>Zehn</t>
  </si>
  <si>
    <t>Ein Bosseln-Match wird normalerweise in zehn Runden gespielt.</t>
  </si>
  <si>
    <t>What is meant by "throw" in bocce?</t>
  </si>
  <si>
    <t>A. One goal B. One player C. One throw D. One team</t>
  </si>
  <si>
    <t>A throw</t>
  </si>
  <si>
    <t>In Bosseln, "Wurf" refers to the act of throwing the ball.</t>
  </si>
  <si>
    <t>Was versteht man unter „Wurf“ in Bosseln?</t>
  </si>
  <si>
    <t>A. Ein Ziel B. Ein Spieler C. Ein Wurf D. Ein Team</t>
  </si>
  <si>
    <t>Ein Wurf</t>
  </si>
  <si>
    <t>In Bosseln bezeichnet „Wurf“ den Akt des Ballwerfens.</t>
  </si>
  <si>
    <t>How is the winner of a round of bocce determined?</t>
  </si>
  <si>
    <t>A. Who threw the farthest? B. By the ball that was closest to the target. C. By the highest number of throws. D. By the best team performance.</t>
  </si>
  <si>
    <t>By the ball that is closest to the goal</t>
  </si>
  <si>
    <t>The ball that is closest to the target wins the round in Bosseln.</t>
  </si>
  <si>
    <t>Wie wird der Sieger einer Runde in Bosseln ermittelt?</t>
  </si>
  <si>
    <t>A. Wer hat am weitesten geworfen? B. Durch den Ball, der dem Ziel am nächsten ist C. Durch die höchste Anzahl an Würfen D. Durch die beste Teamleistung</t>
  </si>
  <si>
    <t>Durch den Ball, der dem Ziel am nächsten ist</t>
  </si>
  <si>
    <t>Der Ball, der dem Ziel am nächsten ist, gewinnt die Runde in Bosseln.</t>
  </si>
  <si>
    <t>What happens if a ball lands outside the playing area?</t>
  </si>
  <si>
    <t>A. It will be penalized. B. It will be ignored. C. The throw will be repeated. D. It will be automatically disqualified.</t>
  </si>
  <si>
    <t>It is ignored</t>
  </si>
  <si>
    <t>If a ball lands outside the playing area, it is ignored and does not count.</t>
  </si>
  <si>
    <t>Was passiert, wenn ein Ball außerhalb des Spielbereichs landet?</t>
  </si>
  <si>
    <t>A. Es wird als Strafe gewertet B. Es wird ignoriert C. Der Wurf wird wiederholt D. Es wird automatisch disqualifiziert</t>
  </si>
  <si>
    <t>Es wird ignoriert</t>
  </si>
  <si>
    <t>Wenn ein Ball außerhalb des Spielbereichs landet, wird er ignoriert und zählt nicht.</t>
  </si>
  <si>
    <t>Is a player in bocce allowed to throw the ball under their hand?</t>
  </si>
  <si>
    <t>A. NO B. Yes, but only once C. Yes D. No, only overhand throws are allowed</t>
  </si>
  <si>
    <t>Yes</t>
  </si>
  <si>
    <t>In bocce, players are allowed to throw the ball under their hand.</t>
  </si>
  <si>
    <t>Darf ein Spieler in Bosseln den Ball unter der Hand werfen?</t>
  </si>
  <si>
    <t>A. NEIN B. Ja, aber nur einmal C. Ja D. Nein, es sind nur Überhandwürfe erlaubt</t>
  </si>
  <si>
    <t>Ja</t>
  </si>
  <si>
    <t>In Bosseln ist es den Spielern erlaubt, den Ball unter der Hand zu werfen.</t>
  </si>
  <si>
    <t>How is the starting team selected in bocce?</t>
  </si>
  <si>
    <t>A. By the referee B. By a coin toss C. By the team with the highest score D. By the player who won the last game</t>
  </si>
  <si>
    <t>By a coin toss</t>
  </si>
  <si>
    <t>The starting team is usually determined by a coin toss.</t>
  </si>
  <si>
    <t>Wie wird die Startmannschaft in Bosseln ausgewählt?</t>
  </si>
  <si>
    <t>A. Vom Schiedsrichter B. Durch einen Münzwurf C. Von der Mannschaft mit der höchsten Punktzahl D. Von wem, der das letzte Spiel gewonnen hat</t>
  </si>
  <si>
    <t>Durch einen Münzwurf</t>
  </si>
  <si>
    <t>Die Startmannschaft wird üblicherweise per Münzwurf ermittelt.</t>
  </si>
  <si>
    <t>Is it allowed to throw multiple balls at the same time in bocce?</t>
  </si>
  <si>
    <t>A. Yes B. No C. Only in case of a draw D. Only with special permission</t>
  </si>
  <si>
    <t>NO</t>
  </si>
  <si>
    <t>In bocce, players are only allowed to throw one ball each.</t>
  </si>
  <si>
    <t>Darf man in Bosseln mehrere Bälle gleichzeitig werfen?</t>
  </si>
  <si>
    <t>A. Ja B. NEIN C. Nur bei einem Unentschieden D. Nur mit Sondergenehmigung</t>
  </si>
  <si>
    <t>NEIN</t>
  </si>
  <si>
    <t>In Bosseln dürfen die Spieler jeweils nur einen Ball werfen.</t>
  </si>
  <si>
    <t>What is the name of the goal in Bosseln?</t>
  </si>
  <si>
    <t>A. Target ball B. Target ball C. Core ball D. Target mark</t>
  </si>
  <si>
    <t>target ball</t>
  </si>
  <si>
    <t>The target ball in bocce is called the target ball.</t>
  </si>
  <si>
    <t>Wie heißt das Ziel in Bosseln?</t>
  </si>
  <si>
    <t>A. Zielball B. Zielball C. Kernball D. Zielmarke</t>
  </si>
  <si>
    <t>Zielball</t>
  </si>
  <si>
    <t>Der Zielball in Bosseln wird Zielkugel genannt.</t>
  </si>
  <si>
    <t>Can a player change their throwing technique during the game?</t>
  </si>
  <si>
    <t>A. Yes, they can change techniques at any time. B. No, they must stick to one technique. C. Yes, but only during breaks. D. No, only the referee can decide on the technique.</t>
  </si>
  <si>
    <t>Yes, they can change the technology at any time.</t>
  </si>
  <si>
    <t>Players are free to change their throwing technique during the game.</t>
  </si>
  <si>
    <t>Kann ein Spieler die Wurftechnik während des Spiels ändern?</t>
  </si>
  <si>
    <t>A. Ja, sie können jederzeit die Technik wechseln B. Nein, sie müssen sich an eine Technik halten C. Ja, aber nur in den Pausen D. Nein, nur der Schiedsrichter kann über die Technik entscheiden</t>
  </si>
  <si>
    <t>Ja, sie können jederzeit die Technik wechseln</t>
  </si>
  <si>
    <t>Den Spielern steht es frei, ihre Wurftechnik während des Spiels zu ändern.</t>
  </si>
  <si>
    <t>How many points are awarded for the landing that comes closest to the target ball?</t>
  </si>
  <si>
    <t>A. One point B. Two points C. Three points D. Four points</t>
  </si>
  <si>
    <t>The team whose ball is closest to the target ball receives a point.</t>
  </si>
  <si>
    <t>Wie viele Punkte gibt es für die Landung, die dem Zielball am nächsten kommt?</t>
  </si>
  <si>
    <t>A. Ein Punkt B. Zwei Punkte C. Drei Punkte D. Vier Punkte</t>
  </si>
  <si>
    <t>Einen Punkt erhält die Mannschaft, deren Ball dem Zielball am nächsten ist.</t>
  </si>
  <si>
    <t>Is it allowed to block the opposing team's ball in bocce?</t>
  </si>
  <si>
    <t>A. Yes, blocking is allowed. B. No, blocking is not allowed. C. Only if the referee allows it. D. Only if both teams agree.</t>
  </si>
  <si>
    <t>No, blocking is not allowed.</t>
  </si>
  <si>
    <t>In bocce, blocking the opponent's ball is not allowed.</t>
  </si>
  <si>
    <t>Darf man in Bosseln den Ball der anderen Mannschaft blocken?</t>
  </si>
  <si>
    <t>A. Ja, das Blockieren ist erlaubt B. Nein, das Blockieren ist nicht erlaubt C. Nur wenn der Schiedsrichter es genehmigt D. Nur wenn beide Teams einverstanden sind</t>
  </si>
  <si>
    <t>Nein, das Blockieren ist nicht erlaubt</t>
  </si>
  <si>
    <t>In Bosseln ist das Blockieren des gegnerischen Balls nicht erlaubt.</t>
  </si>
  <si>
    <t>How is the scoring system structured in Bosseln?</t>
  </si>
  <si>
    <t>A. One point per throw B. One point per round C. One point per ball D. One point per successful hit</t>
  </si>
  <si>
    <t>One point per round</t>
  </si>
  <si>
    <t>In Bosseln, one point is awarded per round for the ball that comes closest to the target ball.</t>
  </si>
  <si>
    <t>Wie ist das Punktesystem in Bosseln aufgebaut?</t>
  </si>
  <si>
    <t>A. Ein Punkt pro Wurf B. Ein Punkt pro Runde C. Ein Punkt pro Ball D. Ein Punkt pro erfolgreichem Zieltreffer</t>
  </si>
  <si>
    <t>Ein Punkt pro Runde</t>
  </si>
  <si>
    <t>In Bosseln gibt es pro Runde einen Punkt für den Ball, der dem Zielball am nächsten kommt.</t>
  </si>
  <si>
    <t>What happens if both teams land their balls at the same distance from the target ball?</t>
  </si>
  <si>
    <t>A. The game is tied and no points are awarded. B. The game continues until a winner is determined. C. The team with the most players wins. D. The round is repeated.</t>
  </si>
  <si>
    <t>The score is tied and no points are awarded.</t>
  </si>
  <si>
    <t>If both teams land their balls at the same distance, the round is considered a draw.</t>
  </si>
  <si>
    <t>Was passiert, wenn beide Mannschaften ihre Bälle im gleichen Abstand zum Zielball landen?</t>
  </si>
  <si>
    <t>A. Es herrscht Unentschieden und es werden keine Punkte vergeben B. Das Spiel geht weiter, bis ein Gewinner feststeht C. Das Team mit den meisten Spielern gewinnt D. Die Runde wird wiederholt</t>
  </si>
  <si>
    <t>Es herrscht Unentschieden und es werden keine Punkte vergeben</t>
  </si>
  <si>
    <t>Wenn beide Teams ihre Bälle in der gleichen Entfernung landen, gilt die Runde als unentschieden.</t>
  </si>
  <si>
    <t>How long does a typical game of Bosseln last?</t>
  </si>
  <si>
    <t>A. 1 hour B. 2 hours C. 30 minutes D. It depends on the number of rounds</t>
  </si>
  <si>
    <t>2 hours</t>
  </si>
  <si>
    <t>A typical game of Bosseln lasts about two hours, depending on the number of rounds.</t>
  </si>
  <si>
    <t>Wie lange dauert ein typisches Bosseln-Spiel?</t>
  </si>
  <si>
    <t>A. 1 Stunde B. 2 Stunden C. 30 Minuten D. Es kommt auf die Anzahl der Runden an</t>
  </si>
  <si>
    <t>2 Stunden</t>
  </si>
  <si>
    <t>Ein typisches Bosseln-Spiel dauert je nach Rundenanzahl etwa zwei Stunden.</t>
  </si>
  <si>
    <t>What happens when a player's ball hits the target ball?</t>
  </si>
  <si>
    <t>A. The round ends immediately. B. The player wins the game. C. The ball is returned to the team. D. The points are doubled.</t>
  </si>
  <si>
    <t>The round ends immediately</t>
  </si>
  <si>
    <t>If a player's ball hits the target ball, the round ends immediately.</t>
  </si>
  <si>
    <t>Was passiert, wenn der Ball eines Spielers den Zielball trifft?</t>
  </si>
  <si>
    <t>A. Die Runde endet sofort B. Der Spieler gewinnt das Spiel C. Der Ball wird an die Mannschaft zurückgegeben D. Die Punkte werden verdoppelt</t>
  </si>
  <si>
    <t>Die Runde endet sofort</t>
  </si>
  <si>
    <t>Trifft der Ball eines Spielers den Zielball, endet die Runde sofort.</t>
  </si>
  <si>
    <t>What is the ideal weight of a bocce ball?</t>
  </si>
  <si>
    <t>A. 1.5kg B. 2kg C. 2.5kg D. 3kg</t>
  </si>
  <si>
    <t>2kg</t>
  </si>
  <si>
    <t>The ideal weight for a bocce ball is 2 kg.</t>
  </si>
  <si>
    <t>Was ist das Idealgewicht eines Bosseln-Balls?</t>
  </si>
  <si>
    <t>A. 1,5 kg B. 2kg C. 2,5 kg D. 3kg</t>
  </si>
  <si>
    <t>Das Idealgewicht für einen Bosselnball liegt bei 2 kg.</t>
  </si>
  <si>
    <t>Are breaks allowed in bocce?</t>
  </si>
  <si>
    <t>A. Yes, one timeout per team. B. No timeouts allowed. C. Yes, two timeouts per team. D. Yes, unlimited timeouts.</t>
  </si>
  <si>
    <t>No timeouts allowed</t>
  </si>
  <si>
    <t>Bosseln does not allow time-outs during the game.</t>
  </si>
  <si>
    <t>Sind beim Bosseln Auszeiten erlaubt?</t>
  </si>
  <si>
    <t>A. Ja, eine Auszeit pro Team B. Keine Timeouts erlaubt C. Ja, zwei Auszeiten pro Team D. Ja, unbegrenzte Auszeiten</t>
  </si>
  <si>
    <t>Keine Timeouts erlaubt</t>
  </si>
  <si>
    <t>Bosseln erlaubt keine Auszeiten während des Spiels.</t>
  </si>
  <si>
    <t>How many balls does each player get per round in bocce?</t>
  </si>
  <si>
    <t>One</t>
  </si>
  <si>
    <t>Each player may throw one ball into the bocce ball per round.</t>
  </si>
  <si>
    <t>Wie viele Bälle bekommt jeder Spieler pro Runde in Bosseln?</t>
  </si>
  <si>
    <t>Eins</t>
  </si>
  <si>
    <t>Jeder Spieler darf pro Runde einen Ball in Bosseln werfen.</t>
  </si>
  <si>
    <t>What happens when a ball is thrown out of bounds in a game of Bosseln?</t>
  </si>
  <si>
    <t>A. The round is stopped. B. The ball is returned to the team. C. The team loses a point. D. The throw is repeated.</t>
  </si>
  <si>
    <t>The round is cancelled.</t>
  </si>
  <si>
    <t>A ball thrown out of bounds results in the termination of this round.</t>
  </si>
  <si>
    <t>Was passiert, wenn in Bosseln ein Ball ins Aus geworfen wird?</t>
  </si>
  <si>
    <t>A. Die Runde wird abgebrochen B. Der Ball wird an die Mannschaft zurückgegeben C. Das Team verliert einen Punkt D. Der Wurf wird wiederholt</t>
  </si>
  <si>
    <t>Die Runde wird abgebrochen</t>
  </si>
  <si>
    <t>Ein Ball, der ins Aus geworfen wird, führt zum Abbruch dieser Runde.</t>
  </si>
  <si>
    <t>How is the bocce ball thrown?</t>
  </si>
  <si>
    <t>A. It must be thrown over the hand. B. It must be thrown under the hand. C. It can be thrown in any style. D. It must be rolled.</t>
  </si>
  <si>
    <t>It can be thrown in any style.</t>
  </si>
  <si>
    <t>In Bosseln, players can throw the ball as they please.</t>
  </si>
  <si>
    <t>Wie wird der Bosseln-Ball geworfen?</t>
  </si>
  <si>
    <t>A. Es muss über die Hand geworfen werden B. Es muss unter der Hand geworfen werden C. Es kann in jedem Stil geworfen werden D. Es muss gerollt werden</t>
  </si>
  <si>
    <t>Es kann in jedem Stil geworfen werden</t>
  </si>
  <si>
    <t>In Bosseln können die Spieler den Ball nach Belieben werfen.</t>
  </si>
  <si>
    <t>What happens if a player throws the wrong ball in a game of Bosseln?</t>
  </si>
  <si>
    <t>A. The throw is allowed. B. The player receives a penalty. C. The throw is invalid and must be repeated. D. The team loses a point.</t>
  </si>
  <si>
    <t>The throw is invalid and must be repeated.</t>
  </si>
  <si>
    <t>If a player throws the wrong ball, the throw is considered invalid and must be repeated.</t>
  </si>
  <si>
    <t>Was passiert, wenn ein Spieler in Bosseln den falschen Ball wirft?</t>
  </si>
  <si>
    <t>A. Der Wurf ist erlaubt B. Der Spieler erhält eine Strafe C. Der Wurf ist ungültig und muss wiederholt werden D. Das Team verliert einen Punkt</t>
  </si>
  <si>
    <t>Der Wurf ist ungültig und muss wiederholt werden</t>
  </si>
  <si>
    <t>Wirft ein Spieler den falschen Ball, gilt der Wurf als ungültig und muss wiederholt werden.</t>
  </si>
  <si>
    <t>Is a player allowed to throw more than once per round in Bosseln?</t>
  </si>
  <si>
    <t>A. Yes, but only if the first throw is invalid. B. No, each player has one throw per round. C. Yes, if they are the captain. D. Yes, if they are on the winning team.</t>
  </si>
  <si>
    <t>No, each player has one throw per round.</t>
  </si>
  <si>
    <t>In bocce, players are only allowed one throw per round.</t>
  </si>
  <si>
    <t>Darf ein Spieler in Bosseln mehr als einmal pro Runde werfen?</t>
  </si>
  <si>
    <t>A. Ja, aber nur, wenn der erste Wurf ungültig ist B. Nein, jeder Spieler hat einen Wurf pro Runde C. Ja, wenn sie Kapitän sind D. Ja, wenn sie zum Gewinnerteam gehören</t>
  </si>
  <si>
    <t>Nein, jeder Spieler hat einen Wurf pro Runde</t>
  </si>
  <si>
    <t>In Bosseln ist den Spielern nur ein Wurf pro Runde gestattet.</t>
  </si>
  <si>
    <t>What is the Bosseln ball made of?</t>
  </si>
  <si>
    <t>A. Rubber B. Wood C. Leather D. Plastic</t>
  </si>
  <si>
    <t>Wood</t>
  </si>
  <si>
    <t>Bosseln balls are traditionally made of wood.</t>
  </si>
  <si>
    <t>Woraus besteht der Bosseln-Ball?</t>
  </si>
  <si>
    <t>A. Gummi B. Holz C. Leder D. Plastik</t>
  </si>
  <si>
    <t>Holz</t>
  </si>
  <si>
    <t>Bosseln-Kugeln werden traditionell aus Holz hergestellt.</t>
  </si>
  <si>
    <t>What is the goal of a boss game?</t>
  </si>
  <si>
    <t>A. Throw the ball into a target area. B. Throw the ball as far as possible. C. Hit a specific target. D. Achieve a specific score.</t>
  </si>
  <si>
    <t>Throw the ball into a target area</t>
  </si>
  <si>
    <t>The goal in bossing is to throw the ball as close as possible to the target area.</t>
  </si>
  <si>
    <t>Was ist das Ziel eines Bosseln-Spiels?</t>
  </si>
  <si>
    <t>A. Den Ball in einen Zielbereich werfen B. Den Ball so weit wie möglich werfen C. Ein bestimmtes Ziel treffen D. Erreichen einer bestimmten Punktzahl</t>
  </si>
  <si>
    <t>Den Ball in einen Zielbereich werfen</t>
  </si>
  <si>
    <t>Das Ziel beim Bossing besteht darin, den Ball so nah wie möglich an den Zielbereich zu werfen.</t>
  </si>
  <si>
    <t>What is the maximum number of players a bocce team can have?</t>
  </si>
  <si>
    <t>A bocce ball team typically consists of three players.</t>
  </si>
  <si>
    <t>Wie viele Spieler darf ein Bosseln-Team maximal haben?</t>
  </si>
  <si>
    <t>Ein Bosseln-Team besteht typischerweise aus drei Spielern.</t>
  </si>
  <si>
    <t>How many rounds are usually played in a game of Bosseln?</t>
  </si>
  <si>
    <t>A game of Bosseln usually consists of ten rounds.</t>
  </si>
  <si>
    <t>Wie viele Runden werden normalerweise in einem Bosseln-Spiel gespielt?</t>
  </si>
  <si>
    <t>Eine Bosseln-Partie besteht in der Regel aus zehn Runden.</t>
  </si>
  <si>
    <t>What does the term "throw" mean in bocce?</t>
  </si>
  <si>
    <t>A. A goal B. A player C. A ball throw D. A team</t>
  </si>
  <si>
    <t>A ball throw</t>
  </si>
  <si>
    <t>In Bosseln, the term "throw" refers to the process of throwing the ball.</t>
  </si>
  <si>
    <t>Was bedeutet der Begriff „Wurf“ in Bosseln?</t>
  </si>
  <si>
    <t>A. Ein Ziel B. Ein Spieler C. Ein Ballwurf D. Ein Team</t>
  </si>
  <si>
    <t>Ein Ballwurf</t>
  </si>
  <si>
    <t>In Bosseln bezeichnet der Begriff „Wurf“ den Vorgang des Werfens des Balls.</t>
  </si>
  <si>
    <t>A. Who throws the ball the farthest? B. Who throws the ball closest to the target? C. Who takes the most throws? D. Who shows the best team performance?</t>
  </si>
  <si>
    <t>Whoever threw the ball closest to the goal</t>
  </si>
  <si>
    <t>The ball that comes closest to the target wins the round.</t>
  </si>
  <si>
    <t>A. Wer den Ball am weitesten wirft B. Wer den Ball am nächsten zum Ziel warf C. Wer die meisten Würfe hat D. Wer zeigt die beste Teamleistung?</t>
  </si>
  <si>
    <t>Wer den Ball am nächsten zum Ziel warf</t>
  </si>
  <si>
    <t>Der Ball, der dem Ziel am nächsten kommt, gewinnt die Runde.</t>
  </si>
  <si>
    <t>What happens if a ball lands outside the playing field?</t>
  </si>
  <si>
    <t>A. A penalty point is awarded. B. The throw is repeated. C. The ball is ignored. D. A point is deducted.</t>
  </si>
  <si>
    <t>The ball is ignored</t>
  </si>
  <si>
    <t>If a ball lands outside the playing field, that throw is ignored.</t>
  </si>
  <si>
    <t>Was passiert, wenn ein Ball außerhalb des Spielfelds landet?</t>
  </si>
  <si>
    <t>A. Es wird ein Strafpunkt vergeben B. Der Wurf wird wiederholt C. Der Ball wird ignoriert D. Es wird ein Punkt abgezogen</t>
  </si>
  <si>
    <t>Der Ball wird ignoriert</t>
  </si>
  <si>
    <t>Wenn ein Ball außerhalb des Spielfelds landet, wird dieser Wurf ignoriert.</t>
  </si>
  <si>
    <t>Is it permissible to throw the ball under the hand in bocce?</t>
  </si>
  <si>
    <t>A. Yes, but only once B. Yes C. No D. Simply overwhelming</t>
  </si>
  <si>
    <t>In bocce, it is allowed to throw the ball under the hand.</t>
  </si>
  <si>
    <t>Darf der Ball in Bosseln unter der Hand geworfen werden?</t>
  </si>
  <si>
    <t>A. Ja, aber nur einmal B. Ja C. NEIN D. Einfach überwältigend</t>
  </si>
  <si>
    <t>In Bosseln ist es erlaubt, den Ball unter der Hand zu werfen.</t>
  </si>
  <si>
    <t>A. By flipping a coin B. By the referee C. By the team members D. By the highest score</t>
  </si>
  <si>
    <t>By tossing a coin</t>
  </si>
  <si>
    <t>The starting team will be determined by a coin toss.</t>
  </si>
  <si>
    <t>A. Durch das Werfen einer Münze B. Vom Schiedsrichter C. Von den Teammitgliedern D. Durch die höchste Punktzahl</t>
  </si>
  <si>
    <t>Durch das Werfen einer Münze</t>
  </si>
  <si>
    <t>Die Startmannschaft wird durch einen Münzwurf ermittelt.</t>
  </si>
  <si>
    <t>Is it allowed to throw multiple balls at the same time?</t>
  </si>
  <si>
    <t>In bocce, only one ball may be thrown per throw.</t>
  </si>
  <si>
    <t>Ist es erlaubt, mehrere Bälle gleichzeitig zu werfen?</t>
  </si>
  <si>
    <t>In Bosseln darf pro Wurf nur ein Ball geworfen werden.</t>
  </si>
  <si>
    <t>What is the name of the gate in Bosseln?</t>
  </si>
  <si>
    <t>The target in Bosseln is called the target ball.</t>
  </si>
  <si>
    <t>Wie heißt das Tor in Bosseln?</t>
  </si>
  <si>
    <t>Die Zielscheibe in Bosseln wird Zielkugel genannt.</t>
  </si>
  <si>
    <t>A. Yes, anytime. B. No, only once. C. Yes, but only during breaks. D. No, only the referee can decide.</t>
  </si>
  <si>
    <t>Yes, anytime</t>
  </si>
  <si>
    <t>Players are allowed to change their throwing technique at any time during the game.</t>
  </si>
  <si>
    <t>Kann ein Spieler seine Wurftechnik während des Spiels ändern?</t>
  </si>
  <si>
    <t>A. Ja, jederzeit B. Nein, nur einmal C. Ja, aber nur in den Pausen D. Nein, nur der Schiedsrichter kann entscheiden</t>
  </si>
  <si>
    <t>Ja, jederzeit</t>
  </si>
  <si>
    <t>Den Spielern ist es jederzeit während des Spiels gestattet, ihre Wurftechnik zu ändern.</t>
  </si>
  <si>
    <t>How many points are awarded when the ball is closest to the target ball?</t>
  </si>
  <si>
    <t>A point is awarded when the ball is closest to the target ball.</t>
  </si>
  <si>
    <t>Wie viele Punkte werden vergeben, wenn der Ball dem Zielball am nächsten ist?</t>
  </si>
  <si>
    <t>Ein Punkt wird vergeben, wenn der Ball dem Zielball am nächsten ist.</t>
  </si>
  <si>
    <t>Is it allowed to block the other team's ball?</t>
  </si>
  <si>
    <t>A. Yes B. No C. Only with the referee's approval D. Only if both teams agree</t>
  </si>
  <si>
    <t>Blocking the opponent's ball is not allowed in bocce.</t>
  </si>
  <si>
    <t>Ist es erlaubt, den Ball der anderen Mannschaft zu blockieren?</t>
  </si>
  <si>
    <t>A. Ja B. NEIN C. Nur mit Zustimmung des Schiedsrichters D. Nur wenn beide Teams einverstanden sind</t>
  </si>
  <si>
    <t>Das Blockieren des gegnerischen Balls ist in Bosseln nicht erlaubt.</t>
  </si>
  <si>
    <t>A. One point per throw B. One point per round C. One point per ball D. One point for each target hit</t>
  </si>
  <si>
    <t>In bocce, the ball that is closest to the target ball receives one point per round.</t>
  </si>
  <si>
    <t>A. Ein Punkt pro Wurf B. Ein Punkt pro Runde C. Ein Punkt pro Ball D. Ein Punkt für jedes getroffene Ziel</t>
  </si>
  <si>
    <t>In Bosseln erhält der Ball, der dem Zielball am nächsten ist, pro Runde einen Punkt.</t>
  </si>
  <si>
    <t>What happens if both teams throw their ball from the same distance to the target ball?</t>
  </si>
  <si>
    <t>A. There is a draw and no points are awarded. B. The game continues until a winner is determined. C. The team with the most players wins. D. The round is repeated.</t>
  </si>
  <si>
    <t>The game ends in a draw and no points are awarded.</t>
  </si>
  <si>
    <t>If both teams throw their ball the same distance, the round is considered a draw.</t>
  </si>
  <si>
    <t>Was passiert, wenn beide Mannschaften ihren Ball im gleichen Abstand zum Zielball werfen?</t>
  </si>
  <si>
    <t>A. Es gibt ein Unentschieden und es werden keine Punkte vergeben B. Das Spiel geht weiter, bis ein Gewinner ermittelt wird C. Das Team mit den meisten Spielern gewinnt D. Die Runde wird wiederholt</t>
  </si>
  <si>
    <t>Es gibt ein Unentschieden und es werden keine Punkte vergeben</t>
  </si>
  <si>
    <t>Werfen beide Mannschaften ihren Ball gleich weit, gilt die Runde als unentschieden.</t>
  </si>
  <si>
    <t>Wie viel wiegt der Bosseln-Ball idealerweise?</t>
  </si>
  <si>
    <t>A. Yes, one timeout per team. B. No, timeouts are not allowed. C. Yes, two timeouts per team. D. Yes, unlimited free time.</t>
  </si>
  <si>
    <t>No, breaks are not allowed.</t>
  </si>
  <si>
    <t>No breaks are allowed in bocce.</t>
  </si>
  <si>
    <t>Sind Auszeiten in Bosseln erlaubt?</t>
  </si>
  <si>
    <t>A. Ja, eine Auszeit pro Team B. Nein, Auszeiten sind nicht erlaubt C. Ja, zwei Auszeiten pro Team D. Ja, unbegrenzte Freizeit</t>
  </si>
  <si>
    <t>Nein, Auszeiten sind nicht erlaubt</t>
  </si>
  <si>
    <t>In Bosseln sind keine Auszeiten erlaubt.</t>
  </si>
  <si>
    <t>How many balls does each player have per round in bocce?</t>
  </si>
  <si>
    <t>A. A B. Two C. Three D. Four</t>
  </si>
  <si>
    <t>Each player has only one throw per round in bocce.</t>
  </si>
  <si>
    <t>Wie viele Bälle hat jeder Spieler pro Runde in Bosseln?</t>
  </si>
  <si>
    <t>A. A B. Zwei C. Drei D. Vier</t>
  </si>
  <si>
    <t>Jeder Spieler hat pro Runde nur einen Wurf in Bosseln.</t>
  </si>
  <si>
    <t>What happens if a ball is thrown outside the boundaries of the bocce playing field?</t>
  </si>
  <si>
    <t>If the ball lands outside the playing field, the round is cancelled.</t>
  </si>
  <si>
    <t>Was passiert, wenn ein Ball außerhalb der Grenzen des Bosselner Spielfeldes geworfen wird?</t>
  </si>
  <si>
    <t>Landet der Ball außerhalb des Spielfeldes, wird die Runde abgebrochen.</t>
  </si>
  <si>
    <t>A. It must be thrown over the hand. B. It must be thrown under the hand. C. It can be thrown using any technique. D. It must be rolled.</t>
  </si>
  <si>
    <t>It can be thrown using any technique.</t>
  </si>
  <si>
    <t>In bocce, the ball can be thrown using any technique.</t>
  </si>
  <si>
    <t>A. Es muss über die Hand geworfen werden B. Es muss unter der Hand geworfen werden C. Es kann in jeder Technik geworfen werden D. Es muss gerollt werden</t>
  </si>
  <si>
    <t>Es kann in jeder Technik geworfen werden</t>
  </si>
  <si>
    <t>In Bosseln kann der Ball mit jeder beliebigen Technik geworfen werden.</t>
  </si>
  <si>
    <t>A. The throw is legal. B. The player receives a penalty point. C. The throw is invalid and must be repeated. D. The team loses a point.</t>
  </si>
  <si>
    <t>If a player throws the wrong ball, the throw is invalid and must be repeated.</t>
  </si>
  <si>
    <t>A. Der Wurf ist erlaubt B. Der Spieler erhält einen Strafpunkt C. Der Wurf ist ungültig und muss wiederholt werden D. Das Team verliert einen Punkt</t>
  </si>
  <si>
    <t>Wenn ein Spieler den falschen Ball wirft, ist der Wurf ungültig und muss wiederholt werden.</t>
  </si>
  <si>
    <t>Can a player throw more than once per round?</t>
  </si>
  <si>
    <t>A. Yes, but only if the first throw is invalid. B. No, each player can only throw once per round. C. Yes, if he is the captain. D. Yes, if he belongs to the winning team.</t>
  </si>
  <si>
    <t>No, each player can only throw once per round.</t>
  </si>
  <si>
    <t>In Bosseln, each player may only throw once per round.</t>
  </si>
  <si>
    <t>Kann ein Spieler mehr als einmal pro Runde werfen?</t>
  </si>
  <si>
    <t>A. Ja, aber nur, wenn der erste Wurf ungültig ist B. Nein, jeder Spieler kann nur einmal pro Runde werfen C. Ja, wenn er Kapitän ist D. Ja, wenn er zum Gewinnerteam gehört</t>
  </si>
  <si>
    <t>Nein, jeder Spieler kann nur einmal pro Runde werfen</t>
  </si>
  <si>
    <t>In Bosseln darf jeder Spieler nur einmal pro Runde werfen.</t>
  </si>
  <si>
    <t>The Bosseln ball is traditionally made of wood.</t>
  </si>
  <si>
    <t>Die Bosseln-Kugel wird traditionell aus Holz hergestellt.</t>
  </si>
  <si>
    <t>How many players are allowed in a bocce team?</t>
  </si>
  <si>
    <t>A. Three B. Two C. Four D. Five</t>
  </si>
  <si>
    <t>A bocce team usually consists of three players.</t>
  </si>
  <si>
    <t>Wie viele Spieler sind in einer Bosseln-Mannschaft erlaubt?</t>
  </si>
  <si>
    <t>A. Drei B. Zwei C. Vier D. Fünf</t>
  </si>
  <si>
    <t>Eine Bosseln-Mannschaft besteht in der Regel aus drei Spielern.</t>
  </si>
  <si>
    <t>A. Throw as close to the target as possible. B. Throw as far as possible. C. Reach the target with the highest score. D. The ball must go into the goal.</t>
  </si>
  <si>
    <t>Throw as close to the target as possible.</t>
  </si>
  <si>
    <t>The goal in bossing is to throw the ball as close to the target as possible.</t>
  </si>
  <si>
    <t>A. Werfen Sie so nah wie möglich an das Ziel heran B. Wirf so weit wie möglich C. Erreiche das Ziel mit der höchsten Punktzahl D. Der Ball muss ins Tor</t>
  </si>
  <si>
    <t>Werfen Sie so nah wie möglich an das Ziel heran</t>
  </si>
  <si>
    <t>Das Ziel beim Bossing besteht darin, den Ball so nah wie möglich an das Ziel zu werfen.</t>
  </si>
  <si>
    <t>How many rounds does a typical game of Bosseln last?</t>
  </si>
  <si>
    <t>A. 10 B. 5 C. 15 D. 20</t>
  </si>
  <si>
    <t>A game of Bosseln usually consists of 10 rounds.</t>
  </si>
  <si>
    <t>Wie viele Runden dauert ein Bosseln-Spiel normalerweise?</t>
  </si>
  <si>
    <t>Eine Bosseln-Partie besteht in der Regel aus 10 Runden.</t>
  </si>
  <si>
    <t>A. Yes B. No C. Only on the first throw D. Only with the opponent's consent</t>
  </si>
  <si>
    <t>In bossing, it is allowed to throw the ball underneath.</t>
  </si>
  <si>
    <t>A. Ja B. NEIN C. Nur im ersten Wurf D. Nur mit Zustimmung des Gegners</t>
  </si>
  <si>
    <t>Beim Bossing ist es erlaubt, den Ball darunter zu werfen.</t>
  </si>
  <si>
    <t>How many balls does each player have per round?</t>
  </si>
  <si>
    <t>Each player may only throw one ball per round.</t>
  </si>
  <si>
    <t>Wie viele Bälle hat jeder Spieler pro Runde?</t>
  </si>
  <si>
    <t>Jeder Spieler darf pro Runde nur einen Ball werfen.</t>
  </si>
  <si>
    <t>What happens when a player throws his ball into the goal?</t>
  </si>
  <si>
    <t>A. The ball is thrown again. B. The player loses a point. C. The throw does not count and is ignored. D. The ball is returned.</t>
  </si>
  <si>
    <t>The throw does not count and is ignored.</t>
  </si>
  <si>
    <t>If the ball is thrown into the goal, the throw does not count.</t>
  </si>
  <si>
    <t>Was passiert, wenn ein Spieler seinen Ball ins Tor wirft?</t>
  </si>
  <si>
    <t>A. Der Ball wird wiederholt geworfen B. Der Spieler verliert einen Punkt C. Der Wurf zählt nicht und wird ignoriert D. Der Ball wird zurückgegeben</t>
  </si>
  <si>
    <t>Der Wurf zählt nicht und wird ignoriert</t>
  </si>
  <si>
    <t>Wird der Ball ins Tor geworfen, zählt der Wurf nicht.</t>
  </si>
  <si>
    <t>How do you win a round of bocce?</t>
  </si>
  <si>
    <t>A. Who throws the ball the most? B. Who shoots the ball towards the goal? C. Who scores the goal? D. Who has the most points?</t>
  </si>
  <si>
    <t>Who will pass the ball towards the goal?</t>
  </si>
  <si>
    <t>The ball that is closest to the goal wins the round.</t>
  </si>
  <si>
    <t>Wie gewinnt man eine Runde in Bosseln?</t>
  </si>
  <si>
    <t>A. Wer wirft den Ball am meisten? B. Wer schließt den Ball zum Tor C. Wer bringt den Ball ins Tor? D. Wer hat die meisten Punkte?</t>
  </si>
  <si>
    <t>Wer schließt den Ball zum Tor</t>
  </si>
  <si>
    <t>Der Ball, der dem Tor am nächsten ist, gewinnt die Runde.</t>
  </si>
  <si>
    <t>Can the opponent's ball be blocked during the game?</t>
  </si>
  <si>
    <t>A. Yes B. No C. Only with the referee's approval D. Yes, but only on the last throw</t>
  </si>
  <si>
    <t>Blocking the opponent's ball is not allowed.</t>
  </si>
  <si>
    <t>Kann der Ball des Gegners während des Spiels geblockt werden?</t>
  </si>
  <si>
    <t>A. Ja B. NEIN C. Nur mit Zustimmung des Schiedsrichters D. Ja, aber nur im letzten Wurf</t>
  </si>
  <si>
    <t>Das Blocken des gegnerischen Balls ist nicht erlaubt.</t>
  </si>
  <si>
    <t>Which team will play first?</t>
  </si>
  <si>
    <t>A. Through a coin toss. B. The referee chooses the team. C. The last winner chooses the team. D. Through the coordination of the players.</t>
  </si>
  <si>
    <t>Through a talent for coin minting</t>
  </si>
  <si>
    <t>The team that plays first is determined by a coin talent.</t>
  </si>
  <si>
    <t>Wie ist die Mannschaft, die zuerst spielt?</t>
  </si>
  <si>
    <t>A. Durch ein Münztalent B. Der Schiedsrichter bestimmt die Mannschaft C. Der letzte Gewinner bestimmt das Team D. Durch die Koordination der Spieler</t>
  </si>
  <si>
    <t>Durch ein Münztalent</t>
  </si>
  <si>
    <t>Die Mannschaft, die zuerst spielt, wird durch ein Münztalent bestimmt.</t>
  </si>
  <si>
    <t>What happens if both teams throw their ball close to the goal?</t>
  </si>
  <si>
    <t>A. The round is repeated. B. The score is tied. C. The team with more players wins. D. Each team is awarded one point.</t>
  </si>
  <si>
    <t>The round is repeated</t>
  </si>
  <si>
    <t>If both teams throw the target close to the goal, the round is repeated.</t>
  </si>
  <si>
    <t>Was passiert, wenn beide Mannschaften ihren Ball in die Nähe des Ziels werfen?</t>
  </si>
  <si>
    <t>A. Die Runde wird wiederholt B. Es herrscht Gleichstand C. Das Team mit mehr Spielern gewinnt D. Jedem Team wird ein Punkt gutgeschrieben</t>
  </si>
  <si>
    <t>Die Runde wird wiederholt</t>
  </si>
  <si>
    <t>Wenn beide Teams das Ziel in der Nähe des Ziels werfen, wird die Runde wiederholt.</t>
  </si>
  <si>
    <t>What happens if a throw leaves the field?</t>
  </si>
  <si>
    <t>A. The throw is repeated. B. A penalty point is awarded. C. There is no point for the team. D. The ball is given to the opponent.</t>
  </si>
  <si>
    <t>A throw that goes beyond the field will be repeated.</t>
  </si>
  <si>
    <t>Was passiert, wenn ein Wurf das Feld verlässt?</t>
  </si>
  <si>
    <t>A. Der Wurf wird wiederholt B. Es wird ein Strafpunkt vergeben C. Es gibt keinen Sinn für das Team D. Der Ball wird dem Gegner übergeben</t>
  </si>
  <si>
    <t>Ein Wurf, der über das Feld hinausgeht, wird wiederholt.</t>
  </si>
  <si>
    <t>How many points are awarded for the ball that is closest to the goal?</t>
  </si>
  <si>
    <t>The ball that is closest to the goal gets a point.</t>
  </si>
  <si>
    <t>Wie viele Punkte gibt es für den Ball, der dem Tor am nächsten ist?</t>
  </si>
  <si>
    <t>Der Ball, der dem Tor am nächsten ist, erhält einen Punkt.</t>
  </si>
  <si>
    <t>How long is the Bosseln playing field normally?</t>
  </si>
  <si>
    <t>A. 500 meters B. 1 kilometer C. 2 kilometers D. 3 kilometers</t>
  </si>
  <si>
    <t>1 kilometer</t>
  </si>
  <si>
    <t>The Boßeln playing field is typically about 1 kilometer long.</t>
  </si>
  <si>
    <t>Wie lang ist das Bosseln-Spielfeld normalerweise?</t>
  </si>
  <si>
    <t>A. 500 Meter B. 1 Kilometer C. 2 Kilometer D. 3 Kilometer</t>
  </si>
  <si>
    <t>1 Kilometer</t>
  </si>
  <si>
    <t>Das Boßeln-Spielfeld ist typischerweise etwa 1 Kilometer lang.</t>
  </si>
  <si>
    <t>What is the aim of the throw in Bosseln?</t>
  </si>
  <si>
    <t>A. The goal B. Throw the ball the most C. Land as close as possible D. Outperform the opponent</t>
  </si>
  <si>
    <t>Land as close as possible</t>
  </si>
  <si>
    <t>The aim of bossing is to throw the ball as close to the goal as possible.</t>
  </si>
  <si>
    <t>Was ist das Ziel des Wurfes in Bosseln?</t>
  </si>
  <si>
    <t>A. Das Ziel B. Den Ball am meisten werfen C. So nah wie möglich landen D. Den Gegner übertreffen</t>
  </si>
  <si>
    <t>So nah wie möglich landen</t>
  </si>
  <si>
    <t>Das Ziel des Bossings besteht darin, den Ball so nah wie möglich an das Tor zu werfen.</t>
  </si>
  <si>
    <t>Can the bedding in Bossulas be returned multiple times?</t>
  </si>
  <si>
    <t>A. Yes B. No C. Only in case of a draw D. Yes, but only via the referee</t>
  </si>
  <si>
    <t>The bedding must not be returned multiple times during the game of Boßeln.</t>
  </si>
  <si>
    <t>Kann die Einstreu in Bossulas mehrmals zurückgegeben werden?</t>
  </si>
  <si>
    <t>A. Ja B. NEIN C. Nur bei einem Unentschieden D. Ja, aber nur über den Schiedsrichter</t>
  </si>
  <si>
    <t>Die Einstreu darf nicht mehrmals im Boßeln zurückgegeben werden.</t>
  </si>
  <si>
    <t>How many breaks can each team take in the boss fights?</t>
  </si>
  <si>
    <t>A. One B. Two C. Three D. No</t>
  </si>
  <si>
    <t>Each team is only allowed one break during a game.</t>
  </si>
  <si>
    <t>Wie viele Pausen können pro Team in den Bossen eingelegt werden?</t>
  </si>
  <si>
    <t>A. Eins B. Zwei C. Drei D. NEIN</t>
  </si>
  <si>
    <t>Jede Mannschaft darf während eines Spiels nur eine Pause einlegen.</t>
  </si>
  <si>
    <t>What happens when a player throws the ball into the goal?</t>
  </si>
  <si>
    <t>A. The round ends immediately. B. The team receives two points. C. The team receives one point. D. The throw does not count.</t>
  </si>
  <si>
    <t>The round ends immediately when a player throws the ball into the goal.</t>
  </si>
  <si>
    <t>Was passiert, wenn ein Spieler den Ball ins Ziel wirft?</t>
  </si>
  <si>
    <t>A. Die Runde endet sofort B. Das Team erhält zwei Punkte C. Das Team erhält einen Punkt D. Der Wurf zählt nicht</t>
  </si>
  <si>
    <t>Wenn ein Spieler den Ball ins Ziel wirft, endet die Runde sofort.</t>
  </si>
  <si>
    <t>How many balls are thrown into the bosses in total per round?</t>
  </si>
  <si>
    <t>Two</t>
  </si>
  <si>
    <t>Typically, two balls are thrown per round, one for each team.</t>
  </si>
  <si>
    <t>Wie viele Bälle werden insgesamt in die Bosse pro Runde geworfen?</t>
  </si>
  <si>
    <t>In der Regel werden zwei Bälle pro Runde geworfen, eine für jedes Team.</t>
  </si>
  <si>
    <t>What happens if a player throws the ball under the handle?</t>
  </si>
  <si>
    <t>A. There is no penalty. B. The ball is declared invalid. C. There is a penalty point. D. The throw does not count.</t>
  </si>
  <si>
    <t>There is no penalty.</t>
  </si>
  <si>
    <t>Throwing the ball is allowed in bocce.</t>
  </si>
  <si>
    <t>Was passiert, wenn ein Spieler den Ball unter den Griff wirft?</t>
  </si>
  <si>
    <t>A. Es gibt keine Strafe B. Der Ball wird für ungültig erklärt C. Es gibt einen Strafpunkt D. Der Wurf zählt nicht</t>
  </si>
  <si>
    <t>Es gibt keine Strafe</t>
  </si>
  <si>
    <t>Das Werfen des Balls ist in Bosseln erlaubt.</t>
  </si>
  <si>
    <t>How is a tie treated by bosses?</t>
  </si>
  <si>
    <t>A. The round is repeated. B. There are no points for either team. C. An additional throw is made. D. The referee decides.</t>
  </si>
  <si>
    <t>In the event of a draw, the round will be repeated.</t>
  </si>
  <si>
    <t>Wie wird eine Krawatte in den Chefs behandelt?</t>
  </si>
  <si>
    <t>A. Die Runde wird wiederholt B. Es gibt keine Punkte für beide Teams C. Ein zusätzlicher Wurf wird geworfen D. Der Schiedsrichter entscheidet</t>
  </si>
  <si>
    <t>Im Falle eines Unentschieden wird die Runde wiederholt.</t>
  </si>
  <si>
    <t>Which throwing technique is most common in Bossel?</t>
  </si>
  <si>
    <t>A. Primer B. Transfer C. Sideways D. Straight</t>
  </si>
  <si>
    <t>Transmitted</t>
  </si>
  <si>
    <t>The most common throwing technique in bosses is the overhand throw.</t>
  </si>
  <si>
    <t>Welche Wurftechnik ist in Bossel am häufigsten?</t>
  </si>
  <si>
    <t>A. Grundierung B. Übertragen C. Seitlich D. Gerade</t>
  </si>
  <si>
    <t>Übertragen</t>
  </si>
  <si>
    <t>Die häufigste Wurftechnik in Bossen ist der Überhandwurf.</t>
  </si>
  <si>
    <t>What happens when the player's ball reaches the goal?</t>
  </si>
  <si>
    <t>A. The round ends immediately. B. The player receives a bonus point. C. The throw is repeated. D. The team wins the round.</t>
  </si>
  <si>
    <t>The round ends immediately when the ball reaches the goal.</t>
  </si>
  <si>
    <t>Was passiert, wenn der Ball des Spielers das Tor erreicht?</t>
  </si>
  <si>
    <t>A. Die Runde endet sofort B. Der Spieler erhält einen Bonuspunkt C. Der Wurf wird wiederholt D. Das Team gewinnt die Runde</t>
  </si>
  <si>
    <t>Wenn der Ball das Tor erreicht, endet die Runde sofort.</t>
  </si>
  <si>
    <t>Are they allowed to touch the opponent's ball during the game?</t>
  </si>
  <si>
    <t>A. Yes B. No C. Only with the referee's permission D. Only in a tie</t>
  </si>
  <si>
    <t>Touching the opponent's ball during the game is not allowed.</t>
  </si>
  <si>
    <t>Dürfen es den Ball des Gegners während des Spiels berühren?</t>
  </si>
  <si>
    <t>A. Ja B. NEIN C. Nur mit der Erlaubnis des Schiedsrichters D. Nur in einer Krawatte</t>
  </si>
  <si>
    <t>Der Ball des Gegners während des Spiels zu berühren ist nicht erlaubt.</t>
  </si>
  <si>
    <t>A. Yes, anytime. B. No, only at the beginning. C. Only if the team loses. D. Yes, but only once.</t>
  </si>
  <si>
    <t>A player can change their throwing technique at any time.</t>
  </si>
  <si>
    <t>Kann ein Spieler die Wurftechnik während des Spiels verändern?</t>
  </si>
  <si>
    <t>A. Ja, jederzeit B. Nein, erst am Anfang C. Nur wenn das Team verliert D. Ja, aber nur einmal</t>
  </si>
  <si>
    <t>Ein Spieler kann jederzeit seine Wurftechnik ändern.</t>
  </si>
  <si>
    <t>How many points does a team get if they score directly with a ball?</t>
  </si>
  <si>
    <t>A. Two points B. One point C. Three points D. Five points</t>
  </si>
  <si>
    <t>If a team reaches the goal directly, it receives two points.</t>
  </si>
  <si>
    <t>Wie viele Punkte bekommen ein Team, wenn es das Tor direkt mit einem Ball erreicht?</t>
  </si>
  <si>
    <t>A. Zwei Punkte B. Ein Punkt C. Drei Punkte D. Fünf Punkte</t>
  </si>
  <si>
    <t>Wenn ein Team das Ziel direkt erreicht, erhält es zwei Punkte.</t>
  </si>
  <si>
    <t>How many players are usually in a bocce team?</t>
  </si>
  <si>
    <t>A. 5 B. 6 C. 8 D. 10</t>
  </si>
  <si>
    <t>Bosseln is played in teams of 6.</t>
  </si>
  <si>
    <t>Wie viele Spieler sind normalerweise in einem Bosseln -Team?</t>
  </si>
  <si>
    <t>Bosseln wird in Teams von 6 gespielt.</t>
  </si>
  <si>
    <t>What is the main objective in Bosseln?</t>
  </si>
  <si>
    <t>A. Score goals B. Cover the longest distance C. Skip targets D. Click on specific targets</t>
  </si>
  <si>
    <t>Cover the longest distance</t>
  </si>
  <si>
    <t>The goal is to cover the longest distance with the ball.</t>
  </si>
  <si>
    <t>Was ist das Hauptziel in Bosseln?</t>
  </si>
  <si>
    <t>A. Tore erzielen B. Decken Sie die längste Entfernung ab C. Ziele überschlagen D. Klicken Sie auf bestimmte Ziele</t>
  </si>
  <si>
    <t>Decken Sie die längste Entfernung ab</t>
  </si>
  <si>
    <t>Das Ziel ist es, die längste Entfernung mit dem Ball abzudecken.</t>
  </si>
  <si>
    <t>What type of ball is used in bocce?</t>
  </si>
  <si>
    <t>A. Rubber B. Wood C. Metal D. Plastic</t>
  </si>
  <si>
    <t>rubber</t>
  </si>
  <si>
    <t>Rubber balls are frequently used in bocce.</t>
  </si>
  <si>
    <t>Welche Art von Ball wird in Bosseln verwendet?</t>
  </si>
  <si>
    <t>A. Gummi B. Holz C. Metall D. Plastik</t>
  </si>
  <si>
    <t>Gummi</t>
  </si>
  <si>
    <t>Gummibälle werden häufig in Bosseln verwendet.</t>
  </si>
  <si>
    <t>How is the winner determined in Bosseln (a traditional German game similar to bowling).</t>
  </si>
  <si>
    <t>A. Covered by distance B. By points C. By speed D. Taken at time</t>
  </si>
  <si>
    <t>Covered by removal</t>
  </si>
  <si>
    <t>The team with the greatest cumulative distance wins.</t>
  </si>
  <si>
    <t>Wie wird der Gewinner in Bosseln ermittelt?</t>
  </si>
  <si>
    <t>A. Durch Entfernung bedeckt B. Nach Punkten C. Durch Geschwindigkeit D. Zum Zeitpunkt genommen</t>
  </si>
  <si>
    <t>Durch Entfernung bedeckt</t>
  </si>
  <si>
    <t>Das Team mit der am weitesten kumulativen Entfernung gewinnt.</t>
  </si>
  <si>
    <t>What is the standard length of a bocce ball course?</t>
  </si>
  <si>
    <t>A standard bocce ball course is approximately 1 kilometer long.</t>
  </si>
  <si>
    <t>Wie hoch ist die Standardlänge eines Bosseln -Kurs?</t>
  </si>
  <si>
    <t>Ein Standard -Bosseln -Kurs ist ungefähr 1 Kilometer lang.</t>
  </si>
  <si>
    <t>What happens if the ball leaves the course?</t>
  </si>
  <si>
    <t>A. Lose a turn. B. Repeat the throw. C. Add penalty points. D. Restart the game.</t>
  </si>
  <si>
    <t>Repeat the throw</t>
  </si>
  <si>
    <t>The players must repeat if the ball leaves the course.</t>
  </si>
  <si>
    <t>Was passiert, wenn der Ball den Kurs verlässt?</t>
  </si>
  <si>
    <t>A. Eine Kurve verlieren B. Wiederholen Sie den Wurf C. Strafpunkte hinzufügen D. Starten Sie das Spiel neu</t>
  </si>
  <si>
    <t>Wiederholen Sie den Wurf</t>
  </si>
  <si>
    <t>Die Spieler müssen wiederholen, wenn der Ball den Kurs verlässt.</t>
  </si>
  <si>
    <t>What is the term for throwing the ball in Bosseln?</t>
  </si>
  <si>
    <t>A. Hitting B. Throwing C. Throwing D. Rolling</t>
  </si>
  <si>
    <t>Throw</t>
  </si>
  <si>
    <t>In bocce, throwing the ball is called a "throw".</t>
  </si>
  <si>
    <t>Was ist der Begriff, um den Ball in Bosseln zu werfen?</t>
  </si>
  <si>
    <t>A. Schlagen B. Werfen C. Werfen D. Rollen</t>
  </si>
  <si>
    <t>Werfen</t>
  </si>
  <si>
    <t>Das Werfen des Balls wird in Bosseln als "Wurf" bezeichnet.</t>
  </si>
  <si>
    <t>What is the penalty for interfering with an opponent's throw?</t>
  </si>
  <si>
    <t>A. Warning B. Disqualification C. Point deduction D. Restart the round</t>
  </si>
  <si>
    <t>Point deduction</t>
  </si>
  <si>
    <t>Interference results in point deduction.</t>
  </si>
  <si>
    <t>Was ist die Strafe für die Einmischung in den Wurf eines Gegners?</t>
  </si>
  <si>
    <t>A. Warnung B. Disqualifikation C. Punktabzug D. Starten Sie die Runde neu</t>
  </si>
  <si>
    <t>Punktabzug</t>
  </si>
  <si>
    <t>Interferenzergebnisse im Punktabzug.</t>
  </si>
  <si>
    <t>How many throws does each player normally get in bocce?</t>
  </si>
  <si>
    <t>Each player gets 3 throws per round.</t>
  </si>
  <si>
    <t>Wie viele Würfe bekommt jeder Spieler normalerweise in Bosseln?</t>
  </si>
  <si>
    <t>Jeder Spieler erhält 3 Würfe pro Runde.</t>
  </si>
  <si>
    <t>What role does the marker play in bocce?</t>
  </si>
  <si>
    <t>A. Judge distances B. Markas spots C. Measure distances D. Lead the team</t>
  </si>
  <si>
    <t>Markasflecken</t>
  </si>
  <si>
    <t>Markings indicate the spots where balls land.</t>
  </si>
  <si>
    <t>Welche Rolle spielt der Marker in Bosseln?</t>
  </si>
  <si>
    <t>A. Richter Entfernungen B. Markasflecken C. Entfernungen messen D. Führe das Team</t>
  </si>
  <si>
    <t>Markierungen geben die Flecken an, an denen Bälle landen.</t>
  </si>
  <si>
    <t>What is the most common terrain for bocce?</t>
  </si>
  <si>
    <t>A. Streets B. Grass fields C. Beach paths D. Interiors</t>
  </si>
  <si>
    <t>streets</t>
  </si>
  <si>
    <t>Streets are the most common terrain for bocce.</t>
  </si>
  <si>
    <t>Was ist das häufigste Terrain für Bosseln?</t>
  </si>
  <si>
    <t>A. Straßen B. Grasfelder C. Strandwege D. Innenräume</t>
  </si>
  <si>
    <t>Straßen</t>
  </si>
  <si>
    <t>Straßen sind das häufigste Gelände für Bosseln.</t>
  </si>
  <si>
    <t>What is the main strategy in Bosseln?</t>
  </si>
  <si>
    <t>A. Power over precision B. Precision over power C. Balance and precision D. Smooth throwing</t>
  </si>
  <si>
    <t>Balance performance and precision</t>
  </si>
  <si>
    <t>Players must balance power and precision to be successful.</t>
  </si>
  <si>
    <t>Was ist die Hauptstrategie in Bosseln?</t>
  </si>
  <si>
    <t>A. Macht über Präzision B. Präzision über Macht C. Gleichgewichtsleistung und Präzision D. Glatt werfen</t>
  </si>
  <si>
    <t>Gleichgewichtsleistung und Präzision</t>
  </si>
  <si>
    <t>Die Spieler müssen Strom und Präzision ausgleichen, um erfolgreich zu sein.</t>
  </si>
  <si>
    <t>How is the litter order decided?</t>
  </si>
  <si>
    <t>A. By coin toss B. By player agreement C. In random order D. According to qualification ranking</t>
  </si>
  <si>
    <t>By coin toss</t>
  </si>
  <si>
    <t>The order for the throw is decided by a coin toss.</t>
  </si>
  <si>
    <t>Wie wird die Wurfbestellung entschieden?</t>
  </si>
  <si>
    <t>A. Durch Münzwurf B. Durch Spielervereinbarung C. Nach zufälliger Reihenfolge D. Nach Qualifikationsranking</t>
  </si>
  <si>
    <t>Durch Münzwurf</t>
  </si>
  <si>
    <t>Die Wurfbestellung wird durch einen Münzwurf entschieden.</t>
  </si>
  <si>
    <t>What happens if a player steps over the line while throwing?</t>
  </si>
  <si>
    <t>A. Throw is voided. B. Points deducted. C. Opponents receive points. D. No penalty.</t>
  </si>
  <si>
    <t>The throw is cancelled.</t>
  </si>
  <si>
    <t>Cross the line over the throw.</t>
  </si>
  <si>
    <t>Was passiert, wenn ein Spieler beim Werfen über die Linie tritt?</t>
  </si>
  <si>
    <t>A. Wurf ist annulliert B. Punkte abziehen C. Gegner erhalten Punkte D. Keine Strafe</t>
  </si>
  <si>
    <t>Wurf ist annulliert</t>
  </si>
  <si>
    <t>Überschreiten Sie die Linie über den Wurf.</t>
  </si>
  <si>
    <t>What is the weight range of a bocce ball?</t>
  </si>
  <si>
    <t>A. 2-4 kg B. 3-5 kg ​​C. 4-6 kg D. 5-7 kg</t>
  </si>
  <si>
    <t>3-5 kg</t>
  </si>
  <si>
    <t>Balls usually weigh between 3-5 kg.</t>
  </si>
  <si>
    <t>Was ist der Gewichtsbereich eines Boseln Balls?</t>
  </si>
  <si>
    <t>A. 2-4 kg B. 3-5 kg C. 4-6 kg D. 5-7 kg</t>
  </si>
  <si>
    <t>Bälle wiegen normalerweise zwischen 3-5 kg.</t>
  </si>
  <si>
    <t>What is the maximum number of teams allowed on a course at the same time?</t>
  </si>
  <si>
    <t>A. 2 B. 4 C. 6 D. 8</t>
  </si>
  <si>
    <t>A maximum of 4 teams can play on a course at the same time.</t>
  </si>
  <si>
    <t>Was ist die maximale Anzahl von Teams auf einem Kurs gleichzeitig zugelassen?</t>
  </si>
  <si>
    <t>Maximal 4 Teams können gleichzeitig auf einem Kurs spielen.</t>
  </si>
  <si>
    <t>What role does the referee play in bocce?</t>
  </si>
  <si>
    <t>A. Keep time B. Resolve disputes C. Enforce rules D. Track scores</t>
  </si>
  <si>
    <t>Enforce rules</t>
  </si>
  <si>
    <t>The referee ensures that the rules are followed.</t>
  </si>
  <si>
    <t>Welche Rolle spielt der Schiedsrichter in Bosseln?</t>
  </si>
  <si>
    <t>A. Zeit halten B. Streitigkeiten lösen C. Regeln erzwingen D. Track -Scores</t>
  </si>
  <si>
    <t>Regeln erzwingen</t>
  </si>
  <si>
    <t>Der Schiedsrichter stellt sicher, dass Regeln eingehalten werden.</t>
  </si>
  <si>
    <t>What is considered a foul in bocce?</t>
  </si>
  <si>
    <t>A. Crossing the throwing line B. Hitting obstacles C. Throwing out of bounds D. Late arrival</t>
  </si>
  <si>
    <t>Crossing the throwing line</t>
  </si>
  <si>
    <t>Crossing the throwing line is considered a foul.</t>
  </si>
  <si>
    <t>Was wird als Foul in Bosseln angesehen?</t>
  </si>
  <si>
    <t>A. Überqueren der Wurflinie B. Hindernisse treffen C. Aus den Grenzen werfen D. Verspätete Ankunft</t>
  </si>
  <si>
    <t>Überqueren der Wurflinie</t>
  </si>
  <si>
    <t>Das Überqueren der Wurflinie wird als Foul angesehen.</t>
  </si>
  <si>
    <t>What happens if the ball hits an obstacle during the game?</t>
  </si>
  <si>
    <t>A. Repeat the throw. B. Subtract points. C. Opponent scores points. D. Ball is removed.</t>
  </si>
  <si>
    <t>The players must repeat the play if the ball hits an obstacle.</t>
  </si>
  <si>
    <t>Was passiert, wenn der Ball während des Spiels ein Hindernis trifft?</t>
  </si>
  <si>
    <t>A. Wiederholen Sie den Wurf B. Punkte abziehen C. Gegner erhalten Punkte D. Ball wird entfernt</t>
  </si>
  <si>
    <t>Die Spieler müssen wiederholen, wenn der Ball ein Hindernis trifft.</t>
  </si>
  <si>
    <t>What is the most important skill required for boss play?</t>
  </si>
  <si>
    <t>A. Strength B. Endurance C. Precision D. Speed</t>
  </si>
  <si>
    <t>precision</t>
  </si>
  <si>
    <t>Precision is key in bocce.</t>
  </si>
  <si>
    <t>Was ist die wichtigste Fähigkeit, die für Bosseln erforderlich ist?</t>
  </si>
  <si>
    <t>A. Stärke B. Ausdauer C. Präzision D. Geschwindigkeit</t>
  </si>
  <si>
    <t>Präzision</t>
  </si>
  <si>
    <t>Präzision ist der Schlüssel in Bosseln.</t>
  </si>
  <si>
    <t>176</t>
  </si>
  <si>
    <t>What is the term for the furthest distance achieved in a throw?</t>
  </si>
  <si>
    <t>A. Long shot B. Long throw C. Best shot D. Top throw</t>
  </si>
  <si>
    <t>Long shot</t>
  </si>
  <si>
    <t>A "long shot" is the longest distance thrown.</t>
  </si>
  <si>
    <t>Was ist der Begriff für die am weitesten entfernte Entfernung in einem Wurf?</t>
  </si>
  <si>
    <t>A. Langer Schuss B. Weit werfen C. Bester Schuss D. Top Throw</t>
  </si>
  <si>
    <t>Langer Schuss</t>
  </si>
  <si>
    <t>Ein "langer Schuss" ist die am weitesten geworfene Entfernung.</t>
  </si>
  <si>
    <t>177</t>
  </si>
  <si>
    <t>What is the typical duration of a Bosseln match?</t>
  </si>
  <si>
    <t>A. 30 minutes B. 1 hour C. 2 hours D. 3 hours</t>
  </si>
  <si>
    <t>1 hour</t>
  </si>
  <si>
    <t>A typical bocce match lasts approximately 1 hour.</t>
  </si>
  <si>
    <t>Was ist die typische Dauer eines Bosseln -Matchs?</t>
  </si>
  <si>
    <t>A. 30 Minuten B. 1 Stunde C. 2 Stunden D. 3 Stunden</t>
  </si>
  <si>
    <t>1 Stunde</t>
  </si>
  <si>
    <t>Ein typisches Boseln -Match dauert ungefähr 1 Stunde.</t>
  </si>
  <si>
    <t>178</t>
  </si>
  <si>
    <t>How is the score stored in Bosseln?</t>
  </si>
  <si>
    <t>A. On paper B. By judges C. With a scoreboard D. Measured by distance</t>
  </si>
  <si>
    <t>Measured by distance</t>
  </si>
  <si>
    <t>The ratings are stored by measuring the total distance.</t>
  </si>
  <si>
    <t>Wie wird die Partitur in Bosseln aufbewahrt?</t>
  </si>
  <si>
    <t>A. Auf Papier B. Von Richtern C. Mit einer Anzeigetafel D. Durch Entfernung gemessen</t>
  </si>
  <si>
    <t>Durch Entfernung gemessen</t>
  </si>
  <si>
    <t>Die Bewertungen werden durch Messung der Gesamtentfernung aufbewahrt.</t>
  </si>
  <si>
    <t>179</t>
  </si>
  <si>
    <t>What is the penalty for unsportsmanlike conduct in bocce?</t>
  </si>
  <si>
    <t>A. Disqualification B. Warning C. Point deduction D. Time penalty</t>
  </si>
  <si>
    <t>Unsportsmanlike behavior will result in point deductions.</t>
  </si>
  <si>
    <t>Was ist die Strafe für das unsportliche Verhalten in Bosseln?</t>
  </si>
  <si>
    <t>A. Disqualifikation B. Warnung C. Punktabzug D. Zeitstrafe</t>
  </si>
  <si>
    <t>Unsportlichartiges Verhalten führt zu Punktabzügen.</t>
  </si>
  <si>
    <t>180</t>
  </si>
  <si>
    <t>What is the recommended material for a bocce ball?</t>
  </si>
  <si>
    <t>A. Wood B. Plastic C. Rubber D. Metal</t>
  </si>
  <si>
    <t>Rubber balls are recommended for durability.</t>
  </si>
  <si>
    <t>Was ist das empfohlene Material für einen Bosseln Ball?</t>
  </si>
  <si>
    <t>A. Holz B. Plastik C. Gummi D. Metall</t>
  </si>
  <si>
    <t>Gummibälle werden für die Haltbarkeit empfohlen.</t>
  </si>
  <si>
    <t>Questions</t>
  </si>
  <si>
    <t>A. 50 meters B. 100 meters C. Unlimited D. Depending on the agreement</t>
  </si>
  <si>
    <t>Wie weit kann ein Wurf maximal zurückgelegt werden, um gültig zu sein?</t>
  </si>
  <si>
    <t>A. 50 Meter B. 100 Meter C. Unbegrenzt D. Je nach Vereinbarung</t>
  </si>
  <si>
    <t>Unbegrenzt</t>
  </si>
  <si>
    <t>Die Distanz eines Wurfes ist unbegrenzt, solange er den Regeln folgt.</t>
  </si>
  <si>
    <t>A. The throw is considered invalid. B. The player receives a penalty. C. The throw is repeated. D. The game is cancelled.</t>
  </si>
  <si>
    <t>Was passiert, wenn der Wurf im Wasser landet?</t>
  </si>
  <si>
    <t>A. Der Wurf gilt als ungültig B. Der Spieler erhält eine Strafe C. Der Wurf wird wiederholt D. Das Spiel wird abgesagt</t>
  </si>
  <si>
    <t>Der Wurf gilt als ungültig</t>
  </si>
  <si>
    <t>Eine Toilette, die im Wasser landet, wird für ungültig erklärt.</t>
  </si>
  <si>
    <t>A. 3 to 6 players B. 6 to 10 players C. 10 to 15 players D. Unlimited</t>
  </si>
  <si>
    <t>Wie viele Spieler sind in einer Mannschaft bei Klootschützen?</t>
  </si>
  <si>
    <t>A. 3 bis 6 Spieler B. 6 bis 10 Spieler C. 10 bis 15 Spieler D. Unbegrenzt</t>
  </si>
  <si>
    <t>6 bis 10 Spieler</t>
  </si>
  <si>
    <t>Ein Team besteht in der Regel aus 6 bis 10 Spielern.</t>
  </si>
  <si>
    <t>A. Yes, with the referee's approval. B. No, the throw counts. C. Yes, if the toilet is damaged. D. Only in the first round</t>
  </si>
  <si>
    <t>Kann der Spieler den Kloot nach einem Fehlwurf wieder aufheben?</t>
  </si>
  <si>
    <t>A. Ja, mit Zustimmung des Schiedsrichters B. Nein, der Wurf zählt C. Ja, wenn die Toilette beschädigt ist D. Nur in der ersten Runde</t>
  </si>
  <si>
    <t>Ja, mit Zustimmung des Schiedsrichters</t>
  </si>
  <si>
    <t>Nach einem Fehlwurf kann der Kloot nur mit Zustimmung des Schiedsrichters wieder aufgenommen werden.</t>
  </si>
  <si>
    <t>A. Wood B. metal C. clay D. plastic</t>
  </si>
  <si>
    <t>Welches Material wird für einen traditionellen Kloot verwendet?</t>
  </si>
  <si>
    <t>A. Holz B. Metall C. Ton D. Plastik</t>
  </si>
  <si>
    <t>Ton</t>
  </si>
  <si>
    <t>Traditionelle Kloots werden aus Ton hergestellt.</t>
  </si>
  <si>
    <t>A. From the point of release to the point of impact B. From the release point to the final position C. From the throwing point to the next marker D. From the final position to the goal</t>
  </si>
  <si>
    <t>Wie wird die Wurfweite gemessen?</t>
  </si>
  <si>
    <t>A. Vom Abwurfpunkt bis zum Aufprallpunkt B. Vom Abwurfpunkt bis zur Endposition C. Vom Abwurfpunkt bis zur nächsten Markierung D. Von der Endposition bis zum Ziel</t>
  </si>
  <si>
    <t>Vom Abwurfpunkt bis zur Endposition</t>
  </si>
  <si>
    <t>Die Wurfweite wird vom Auslösepunkt bis zur Endposition gemessen.</t>
  </si>
  <si>
    <t>A. The throw is invalid. B. The team receives a penalty. C. The throw is repeated. D. The game is paused.</t>
  </si>
  <si>
    <t>Was passiert, wenn ein Spieler den Kloot außerhalb der Drop-Zone wirft?</t>
  </si>
  <si>
    <t>A. Der Wurf ist ungültig B. Das Team erhält eine Strafe C. Der Wurf wird wiederholt D. Das Spiel ist pausiert</t>
  </si>
  <si>
    <t>Der Wurf ist ungültig</t>
  </si>
  <si>
    <t>Würfe außerhalb der Drop-Zone gelten als ungültig.</t>
  </si>
  <si>
    <t>A. 10 rounds B. 15 rounds C. 20 rounds D. Depending on the agreement</t>
  </si>
  <si>
    <t>Wie viele Runden hat ein typisches Kloot-Shooter-Spiel?</t>
  </si>
  <si>
    <t>A. 10 Runden B. 15 Runden C. 20 Runden D. Je nach Vereinbarung</t>
  </si>
  <si>
    <t>10 Runden</t>
  </si>
  <si>
    <t>Ein typisches Spiel besteht aus 10 Runden.</t>
  </si>
  <si>
    <t>A. Only the feet B. The hands and feet C. Only the hands D. No body part</t>
  </si>
  <si>
    <t>Welcher Körperteil darf beim Werfen den Boden berühren?</t>
  </si>
  <si>
    <t>A. Nur die Füße B. Die Hände und die Füße C. Nur die Hände D. Kein Körperteil</t>
  </si>
  <si>
    <t>Nur die Füße</t>
  </si>
  <si>
    <t>Beim Werfen dürfen nur die Füße den Boden berühren.</t>
  </si>
  <si>
    <t>A. The player receives a new throw B. The throw counts C. The game is interrupted. D. The player is eliminated.</t>
  </si>
  <si>
    <t>Was passiert, wenn die Toilette kaputt geht?</t>
  </si>
  <si>
    <t>A. Der Spieler erhält einen neuen Wurf B. Der Wurf zählt C. Das Spiel wird unterbrochen D. Der Spieler wird eliminiert</t>
  </si>
  <si>
    <t>Der Spieler erhält einen neuen Wurf</t>
  </si>
  <si>
    <t>Wenn der Kloot kaputt geht, kann der Spieler erneut werfen.</t>
  </si>
  <si>
    <t>A. The team is playing with fewer players B. The team is disqualified. C. The team receives penalty points D. The game is postponed.</t>
  </si>
  <si>
    <t>Was passiert, wenn ein Teammitglied fehlt?</t>
  </si>
  <si>
    <t>A. Die Mannschaft spielt mit weniger Spielern B. Das Team wird disqualifiziert C. Das Team erhält Strafpunkte D. Das Spiel wird verschoben</t>
  </si>
  <si>
    <t>Die Mannschaft spielt mit weniger Spielern</t>
  </si>
  <si>
    <t>Ein Team kann auch mit weniger Spielern antreten.</t>
  </si>
  <si>
    <t>A. The one-handed throw B. The overhead throw C. The backhand throw D. The underhand throw</t>
  </si>
  <si>
    <t>Welche Technik ist beim Werfen nicht erlaubt?</t>
  </si>
  <si>
    <t>A. Der Einhandwurf B. Der Überkopfwurf C. Der Rückhandwurf D. Der Unterhandwurf</t>
  </si>
  <si>
    <t>Der Überkopfwurf</t>
  </si>
  <si>
    <t>Überkopfwürfe sind nicht gestattet.</t>
  </si>
  <si>
    <t>A. 5cm diameter B. 8cm diameter C. 10cm diameter D. 15cm diameter</t>
  </si>
  <si>
    <t>Wie groß ist ein Standard-Klot?</t>
  </si>
  <si>
    <t>A. 5cm Durchmesser B. 8cm Durchmesser C. 10cm Durchmesser D. 15cm Durchmesser</t>
  </si>
  <si>
    <t>10cm Durchmesser</t>
  </si>
  <si>
    <t>Ein normaler Kloot hat einen Durchmesser von 10 cm.</t>
  </si>
  <si>
    <t>A. A sharp, stinging sensation arises. B. Both teams win C. The team with the longer throw wins. D. A coin toss will be performed.</t>
  </si>
  <si>
    <t>Was passiert, wenn zwei Teams die gleiche Punktzahl haben?</t>
  </si>
  <si>
    <t>A. Es entsteht ein stechendes Gefühl B. Beide Teams gewinnen C. Das Team mit dem längeren Wurf gewinnt D. Es wird ein Münzwurf durchgeführt</t>
  </si>
  <si>
    <t>Es entsteht ein stechendes Gefühl</t>
  </si>
  <si>
    <t>Bei Gleichstand findet ein Playoff statt.</t>
  </si>
  <si>
    <t>A. Yes, anytime B. No, never C. Yes, with the referee's approval. D. Only in the first five rounds</t>
  </si>
  <si>
    <t>Kann ein Spieler die Drop-Zone während des Spiels ändern?</t>
  </si>
  <si>
    <t>A. Ja, jederzeit B. Nein, niemals C. Ja, mit Zustimmung des Schiedsrichters D. Nur in den ersten fünf Runden</t>
  </si>
  <si>
    <t>Die Abwurfzone darf nur mit Zustimmung des Schiedsrichters geändert werden.</t>
  </si>
  <si>
    <t>A. Sportswear B. Classic costumes C. Clothing in team colors D. No special clothing required.</t>
  </si>
  <si>
    <t>Welche Kleidung ist für das Klot-Shooting erforderlich?</t>
  </si>
  <si>
    <t>A. Sportbekleidung B. Klassische Kostüme C. Kleidung in Teamfarben D. Keine besondere Kleidung</t>
  </si>
  <si>
    <t>Keine besondere Kleidung</t>
  </si>
  <si>
    <t>Es gibt keine Vorschriften hinsichtlich der Kleidung beim Schießen.</t>
  </si>
  <si>
    <t>A. Yes, in special cases B. No, never C. Yes, always D. Only in strong winds</t>
  </si>
  <si>
    <t>Kann der Kloot mit beiden Händen gleichzeitig geworfen werden?</t>
  </si>
  <si>
    <t>A. Ja, in besonderen Fällen B. Nein, niemals C. Ja, immer D. Nur bei starkem Wind</t>
  </si>
  <si>
    <t>Nein, niemals</t>
  </si>
  <si>
    <t>Das gleichzeitige Werfen mit beiden Händen ist nicht gestattet.</t>
  </si>
  <si>
    <t>A. 1 meter B. 2 meters C. 3 meters D. No minimum size</t>
  </si>
  <si>
    <t>Welche Mindestgröße muss die Drop-Zone haben?</t>
  </si>
  <si>
    <t>A. 1 Meter B. 2 Meter C. 3 Meter D. Keine Mindestgröße</t>
  </si>
  <si>
    <t>2 Meter</t>
  </si>
  <si>
    <t>Die Abwurfzone muss mindestens 2 Meter groß sein.</t>
  </si>
  <si>
    <t>A. The referee B. The opposing team C. The team captain D. The audience</t>
  </si>
  <si>
    <t>Wer entscheidet, ob ein Wurf gültig ist?</t>
  </si>
  <si>
    <t>A. Der Schiedsrichter B. Die gegnerische Mannschaft C. Der Kapitän der Mannschaft D. Die Zuschauer</t>
  </si>
  <si>
    <t>Der Schiedsrichter</t>
  </si>
  <si>
    <t>Der Schiedsrichter entscheidet, ob ein Wurf gültig ist.</t>
  </si>
  <si>
    <t>A. The throw is invalid. B. The player is warned. C. The player gets another throw. D. There is no penalty.</t>
  </si>
  <si>
    <t>Was passiert, wenn ein Spieler vor dem Wurf die Wurfmarkierung überschreitet?</t>
  </si>
  <si>
    <t>A. Der Wurf ist ungültig B. Der Spieler wird gewarnt C. Der Spieler darf noch einmal werfen D. Es gibt keine Strafe</t>
  </si>
  <si>
    <t>Ein Verstoß gegen die Markierung hat zur Folge, dass der Wurf ungültig ist.</t>
  </si>
  <si>
    <t>Wie viele Ersatz-Klots kann ein Team während eines Spiels haben?</t>
  </si>
  <si>
    <t>A. A B. Zwei C. Drei D. Keiner</t>
  </si>
  <si>
    <t>Ein Team darf maximal einen Ersatz-Klot haben.</t>
  </si>
  <si>
    <t>A. The throw counts B. The throw is repeated. C. The player loses a point D. The throw is invalid.</t>
  </si>
  <si>
    <t>Was passiert, wenn ein Wurf auf ein Hindernis trifft?</t>
  </si>
  <si>
    <t>A. Der Wurf zählt B. Der Wurf wird wiederholt C. Der Spieler verliert einen Punkt D. Der Wurf ist ungültig</t>
  </si>
  <si>
    <t>Der Wurf zählt</t>
  </si>
  <si>
    <t>Ein Wurf, der ein Hindernis trifft, zählt trotzdem, solange er innerhalb der Spielfeldgrenzen bleibt.</t>
  </si>
  <si>
    <t>A. Based on most points B. Based on the greatest throwing distance C. By vote D. By lottery</t>
  </si>
  <si>
    <t>Wie wird der Gewinner eines Spiels ermittelt?</t>
  </si>
  <si>
    <t>A. Basierend auf den meisten Punkten B. Basierend auf der größten Wurfweite C. Durch Abstimmung D. Per Lotterie</t>
  </si>
  <si>
    <t>Basierend auf den meisten Punkten</t>
  </si>
  <si>
    <t>Das Team mit den meisten Punkten gewinnt.</t>
  </si>
  <si>
    <t>A. Yes, with permission B. No, never C. Yes, in emergencies D. Only in the last round</t>
  </si>
  <si>
    <t>Kann ein Spieler während des Spiels das Kloot eines anderen Teams verwenden?</t>
  </si>
  <si>
    <t>A. Ja, mit Erlaubnis B. Nein, niemals C. Ja, in Notfällen D. Erst in der letzten Runde</t>
  </si>
  <si>
    <t>Ja, mit Erlaubnis</t>
  </si>
  <si>
    <t>Die Benutzung fremder Toiletten ist nur mit Genehmigung gestattet.</t>
  </si>
  <si>
    <t>A. 60 minutes B. 90 minutes C. 120 minutes D. No limit</t>
  </si>
  <si>
    <t>Was ist die maximale Spielzeit für ein Spiel?</t>
  </si>
  <si>
    <t>A. 60 Minuten B. 90 Minuten C. 120 Minuten D. Keine Begrenzung</t>
  </si>
  <si>
    <t>Keine Begrenzung</t>
  </si>
  <si>
    <t>Die Spielzeit ist nicht begrenzt und richtet sich nach den Regeln des Turniers.</t>
  </si>
  <si>
    <t>A. The team with the best throw wins. B. A playoff will be played. C. Both teams are declared winners D. The game is repeated</t>
  </si>
  <si>
    <t>Was passiert, wenn nach der letzten Runde ein Unentschieden herrscht?</t>
  </si>
  <si>
    <t>A. Das Team mit dem besten Wurf gewinnt B. Es wird ein Playoff gespielt C. Beide Teams werden zum Sieger erklärt D. Das Spiel wird wiederholt</t>
  </si>
  <si>
    <t>Es wird ein Playoff gespielt</t>
  </si>
  <si>
    <t>Bei Gleichstand wird ein Play-Off ausgetragen.</t>
  </si>
  <si>
    <t>A. Paved B. race C. sand D. Field paths or roads</t>
  </si>
  <si>
    <t>Wie muss die Spielfläche beschaffen sein?</t>
  </si>
  <si>
    <t>A. Gepflastert B. Wettrennen C. Sand D. Feldwege oder Straßen</t>
  </si>
  <si>
    <t>Feldwege oder Straßen</t>
  </si>
  <si>
    <t>Toilettenschießen wird meist auf Feldwegen oder Straßen gespielt.</t>
  </si>
  <si>
    <t>A. Yes, if he's on your own team. B. No, never C. Yes, if it happens unintentionally. D. Only in the last round</t>
  </si>
  <si>
    <t>Kann ein Spieler den Kloot in der Luft abwehren?</t>
  </si>
  <si>
    <t>A. Ja, wenn er in Ihrem eigenen Team ist B. Nein, niemals C. Ja, wenn es unbeabsichtigt passiert D. Erst in der letzten Runde</t>
  </si>
  <si>
    <t>Das Ablenken der Toilette in der Luft ist verboten.</t>
  </si>
  <si>
    <t>A. To B. egg-shaped C. Spherical D. Every form</t>
  </si>
  <si>
    <t>Welche Form hat ein Standard-Klot?</t>
  </si>
  <si>
    <t>A. Um B. Eiförmig C. Kugelförmig D. Jede Form</t>
  </si>
  <si>
    <t>Kugelförmig</t>
  </si>
  <si>
    <t>Ein Kloot ist kugelförmig gestaltet.</t>
  </si>
  <si>
    <t>A. 3 points B. 5 points C. 10 points D. There are no bonus points.</t>
  </si>
  <si>
    <t>Wie viele Punkte gibt es für den weitesten Wurf?</t>
  </si>
  <si>
    <t>A. 3 Punkte B. 5 Punkte C. 10 Punkte D. Es gibt keine Bonuspunkte</t>
  </si>
  <si>
    <t>Es gibt keine Bonuspunkte</t>
  </si>
  <si>
    <t>Der weiteste Wurf bringt keine zusätzlichen Punkte, zählt aber zur Gesamtdistanz.</t>
  </si>
  <si>
    <t>A. Yes, always B. No, never C. Yes, with the referee's approval. D. Only once in the game</t>
  </si>
  <si>
    <t>Kann ein Spieler einen Wurf wiederholen, wenn er ausgerutscht ist?</t>
  </si>
  <si>
    <t>A. Ja, immer B. Nein, niemals C. Ja, mit Zustimmung des Schiedsrichters D. Nur einmal im Spiel</t>
  </si>
  <si>
    <t>Ein erneuter Wurf ist nur mit Zustimmung des Schiedsrichters zulässig.</t>
  </si>
  <si>
    <t>A. The referee B. The captain C. A neutral observer D. Each player</t>
  </si>
  <si>
    <t>Wer kann die Punkte einer Mannschaft erfassen?</t>
  </si>
  <si>
    <t>A. Der Schiedsrichter B. Der Kapitän C. Ein neutraler Beobachter D. Jeder Spieler</t>
  </si>
  <si>
    <t>Der Kapitän</t>
  </si>
  <si>
    <t>Für die Punkteerfassung ist der Kapitän verantwortlich.</t>
  </si>
  <si>
    <t>A. 5 rounds B. 10 rounds C. 15 rounds D. Varies depending on the tournament</t>
  </si>
  <si>
    <t>Wie viele Runden hat ein Turnierspiel normalerweise?</t>
  </si>
  <si>
    <t>A. 5 Runden B. 10 Runden C. 15 Runden D. Variiert je nach Turnier</t>
  </si>
  <si>
    <t>Variiert je nach Turnier</t>
  </si>
  <si>
    <t>Die Anzahl der Runden wird durch die Turnierregeln bestimmt.</t>
  </si>
  <si>
    <t>A. Points deducted B. warning C. disqualification D. No penalty</t>
  </si>
  <si>
    <t>Wie hoch ist die Strafe für unsportliches Verhalten?</t>
  </si>
  <si>
    <t>A. Punkte abgezogen B. Warnung C. Disqualifikation D. Keine Strafe</t>
  </si>
  <si>
    <t>Warnung</t>
  </si>
  <si>
    <t>Unsportliches Verhalten wird in der Regel mit einer Verwarnung geahndet.</t>
  </si>
  <si>
    <t>A. Yes, always B. No, never C. Yes, only during the break D. Yes, with the referee's approval.</t>
  </si>
  <si>
    <t>Darf ein Spieler die Toilette vor jedem Wurf reinigen?</t>
  </si>
  <si>
    <t>A. Ja, immer B. Nein, niemals C. Ja, nur in der Pause D. Ja, mit Zustimmung des Schiedsrichters</t>
  </si>
  <si>
    <t>Ja, immer</t>
  </si>
  <si>
    <t>Das Reinigen der Toilette vor jedem Wurf ist erlaubt.</t>
  </si>
  <si>
    <t>A. 6 B. 8 C. 10 D. 12</t>
  </si>
  <si>
    <t>Wie viele Spieler darf ein Team maximal haben?</t>
  </si>
  <si>
    <t>Eine Mannschaft darf aus maximal 10 Spielern bestehen.</t>
  </si>
  <si>
    <t>A. Yes, always B. No, never C. Only with a fixed starting point D. Only in the last round</t>
  </si>
  <si>
    <t>Kann der Kloot mit einem Anlauf geworfen werden?</t>
  </si>
  <si>
    <t>A. Ja, immer B. Nein, niemals C. Nur mit festem Startpunkt D. Erst in der letzten Runde</t>
  </si>
  <si>
    <t>Beim Toilettenwerfen ist ein Anlauf erlaubt.</t>
  </si>
  <si>
    <t>A. The throw still counts B. The throw is repeated. C. The throw is invalid. D. There is a penalty.</t>
  </si>
  <si>
    <t>Was passiert, wenn der Kloot außerhalb der Feldgrenzen landet?</t>
  </si>
  <si>
    <t>A. Der Wurf zählt immer noch B. Der Wurf wird wiederholt C. Der Wurf ist ungültig D. Es gibt eine Strafe</t>
  </si>
  <si>
    <t>Würfe außerhalb der Spielfeldgrenzen sind ungültig.</t>
  </si>
  <si>
    <t>A. 250-300 grams B. 350-500 grams C. 500-800 grams D. Over 1 kilogram</t>
  </si>
  <si>
    <t>Wie schwer ist eine Standardtoilette normalerweise?</t>
  </si>
  <si>
    <t>A. 250-300 Gramm B. 350-500 Gramm C. 500-800 Gramm D. Über 1 Kilogramm</t>
  </si>
  <si>
    <t>500-800 Gramm</t>
  </si>
  <si>
    <t>Eine Standardtoilette wiegt zwischen 500 und 800 Gramm.</t>
  </si>
  <si>
    <t>A. Yes, if it is approved. B. No, never C. Only in certain competitions D. Only on request</t>
  </si>
  <si>
    <t>Kann der Kloot mit speziellen Wurfgeräten geworfen werden?</t>
  </si>
  <si>
    <t>A. Ja, wenn es genehmigt wird B. Nein, niemals C. Nur in bestimmten Wettbewerben D. Nur auf Anfrage</t>
  </si>
  <si>
    <t>Kloots dürfen nur mit der Hand geworfen werden.</t>
  </si>
  <si>
    <t>A. Only one per team B. Two players per team C. Every player on the team D. Any number</t>
  </si>
  <si>
    <t>Wie viele Spieler dürfen gleichzeitig werfen?</t>
  </si>
  <si>
    <t>A. Nur einer pro Team B. Zwei Spieler pro Team C. Jeder Spieler im Team D. Beliebige Zahl</t>
  </si>
  <si>
    <t>Nur einer pro Team</t>
  </si>
  <si>
    <t>Pro Runde darf nur ein Spieler einer Mannschaft werfen.</t>
  </si>
  <si>
    <t>A. The throw is considered invalid. B. The player can repeat C. The player is disqualified. D. No penalty will be imposed.</t>
  </si>
  <si>
    <t>Was passiert, wenn Sie den Wurf verfehlen (z. B. die Toilette fällt direkt auf den Boden)?</t>
  </si>
  <si>
    <t>A. Der Wurf gilt als ungültig B. Der Spieler kann wiederholen C. Der Spieler wird disqualifiziert D. Es wird keine Strafe verhängt</t>
  </si>
  <si>
    <t>Fehlwürfe gelten als ungültig und werden nicht gewertet.</t>
  </si>
  <si>
    <t>A. 100 meters B. 200 meters C. Unlimited D. To the finish line</t>
  </si>
  <si>
    <t>Was ist die maximale Distanz, die im Wettkampf gemessen wird?</t>
  </si>
  <si>
    <t>A. 100 Meter B. 200 Meter C. Unbegrenzt D. Bis zur Ziellinie</t>
  </si>
  <si>
    <t>Die gemessene Distanz ist je nach Spielfeld unbegrenzt.</t>
  </si>
  <si>
    <t>A. Yes B. NO C. Only for official games D. Only if the toilet is damaged</t>
  </si>
  <si>
    <t>Müssen alle Spieler einer Mannschaft die gleiche Toilette benutzen?</t>
  </si>
  <si>
    <t>A. Ja B. NEIN C. Nur bei offiziellen Spielen D. Nur wenn die Toilette beschädigt ist</t>
  </si>
  <si>
    <t>Spieler eines Teams können verschiedene Kloots verwenden.</t>
  </si>
  <si>
    <t>A. Yes, once B. No, never C. Only in case of injuries D. Yes, unlimited</t>
  </si>
  <si>
    <t>Kann während des Spiels ein Ersatzspieler eingewechselt werden?</t>
  </si>
  <si>
    <t>A. Ja, einmal B. Nein, niemals C. Nur bei Verletzungen D. Ja, unbegrenzt</t>
  </si>
  <si>
    <t>Nur bei Verletzungen</t>
  </si>
  <si>
    <t>Ersatzspieler dürfen nur einspringen, wenn sie verletzt sind.</t>
  </si>
  <si>
    <t>A. The referee B. The team captain C. The players themselves D. The opposing captain</t>
  </si>
  <si>
    <t>Wer bestimmt die Reihenfolge der Spieler beim Werfen?</t>
  </si>
  <si>
    <t>A. Der Schiedsrichter B. Der Kapitän der Mannschaft C. Die Spieler selbst D. Der gegnerische Kapitän</t>
  </si>
  <si>
    <t>Der Kapitän der Mannschaft</t>
  </si>
  <si>
    <t>Die Reihenfolge der Spieler wird vom Mannschaftskapitän bestimmt.</t>
  </si>
  <si>
    <t>A. Yes, always B. No, never C. Only in heavy rain D. Only if both teams agree</t>
  </si>
  <si>
    <t>Kann das Spiel bei schlechten Wetterbedingungen verschoben werden?</t>
  </si>
  <si>
    <t>A. Ja, immer B. Nein, niemals C. Nur bei starkem Regen D. Nur wenn beide Teams einverstanden sind</t>
  </si>
  <si>
    <t>Nur wenn beide Teams einverstanden sind</t>
  </si>
  <si>
    <t>Eine Verschiebung des Spiels ist nur mit Zustimmung beider Mannschaften möglich.</t>
  </si>
  <si>
    <t>A. By lottery B. By tossing a coin C. The older team begins D. The stronger team starts</t>
  </si>
  <si>
    <t>Wie wird die Startreihenfolge zwischen zwei Teams festgelegt?</t>
  </si>
  <si>
    <t>A. Per Lotterie B. Durch das Werfen einer Münze C. Das ältere Team beginnt D. Das stärkere Team beginnt</t>
  </si>
  <si>
    <t>Per Lotterie</t>
  </si>
  <si>
    <t>Die Startreihenfolge wird per Los ermittelt.</t>
  </si>
  <si>
    <t>A. Red B. Blue C. Black D. variable</t>
  </si>
  <si>
    <t>Welche Farbe hat eine Standardtoilette?</t>
  </si>
  <si>
    <t>A. Rot B. Blau C. Schwarz D. Variable</t>
  </si>
  <si>
    <t>Schwarz</t>
  </si>
  <si>
    <t>Standard-Kloots sind größtenteils schwarz.</t>
  </si>
  <si>
    <t>A. The team loses a point B. The team has been warned. C. The throw is repeated. D. The player is disqualified.</t>
  </si>
  <si>
    <t>Was passiert, wenn ein Spieler absichtlich den Kloot eines anderen Teams blockiert?</t>
  </si>
  <si>
    <t>A. Das Team verliert einen Punkt B. Das Team ist gewarnt C. Der Wurf wird wiederholt D. Der Spieler wird disqualifiziert</t>
  </si>
  <si>
    <t>Der Spieler wird disqualifiziert</t>
  </si>
  <si>
    <t>Das absichtliche Blockieren des Kloot eines Gegners führt zur Disqualifikation des Spielers.</t>
  </si>
  <si>
    <t>A. One B. Two C. Three D. No minimum number</t>
  </si>
  <si>
    <t>Wie viele Schiedsrichter sind für offizielle Turniere erforderlich?</t>
  </si>
  <si>
    <t>A. Eins B. Zwei C. Drei D. Keine Mindestanzahl</t>
  </si>
  <si>
    <t>Bei offiziellen Turnieren ist mindestens ein Schiedsrichter erforderlich.</t>
  </si>
  <si>
    <t>A. Yes, always B. No, never C. Only if it rains D. Only with the referee's approval</t>
  </si>
  <si>
    <t>Kann die Toilette vor dem Toilettengang geölt werden?</t>
  </si>
  <si>
    <t>A. Ja, immer B. Nein, niemals C. Nur wenn es regnet D. Nur mit Zustimmung des Schiedsrichters</t>
  </si>
  <si>
    <t>Das Ölen der Toilette vor dem Toilettengang ist erlaubt.</t>
  </si>
  <si>
    <t>A. Due to the longest throwing distance B. Through points C. By tossing a coin D. By vote</t>
  </si>
  <si>
    <t>Wie wird ein Sieger in einem Play-off ermittelt?</t>
  </si>
  <si>
    <t>A. Durch die weiteste Wurfweite B. Durch Punkte C. Durch das Werfen einer Münze D. Per Abstimmung</t>
  </si>
  <si>
    <t>Durch die weiteste Wurfweite</t>
  </si>
  <si>
    <t>Das Team mit der weitesten Wurfweite im Play-off gewinnt.</t>
  </si>
  <si>
    <t>A. The game is cancelled. B. The player gets another throw. C. The throw counts D. The toilet will be replaced</t>
  </si>
  <si>
    <t>Was passiert, wenn ein Kloot während des Spiels kaputt geht?</t>
  </si>
  <si>
    <t>A. Das Spiel wird abgesagt B. Der Spieler darf noch einmal werfen C. Der Wurf zählt D. Die Toilette wird ersetzt</t>
  </si>
  <si>
    <t>Der Spieler darf noch einmal werfen</t>
  </si>
  <si>
    <t>Ein kaputter Kloot ermöglicht einen Wiederholungswurf.</t>
  </si>
  <si>
    <t>A. 3 points B. 5 points C. No additional points D. 10 points</t>
  </si>
  <si>
    <t>Wie viele Punkte erhält ein Team für den weitesten Wurf?</t>
  </si>
  <si>
    <t>A. 3 Punkte B. 5 Punkte C. Keine zusätzlichen Punkte D. 10 Punkte</t>
  </si>
  <si>
    <t>Keine zusätzlichen Punkte</t>
  </si>
  <si>
    <t>Der weiteste Wurf bringt keine Zusatzpunkte, zählt aber für die Gesamtwertung.</t>
  </si>
  <si>
    <t>A. Sports shoes and jersey B. Sturdy footwear and weatherproof clothing C. Any clothing D. Jerseys with numbers</t>
  </si>
  <si>
    <t>Welche Kleidung ist für Spieler erforderlich?</t>
  </si>
  <si>
    <t>A. Sportschuhe und Trikot B. Festes Schuhwerk und wetterfeste Kleidung C. Irgendeine Kleidung D. Trikots mit Nummern</t>
  </si>
  <si>
    <t>Festes Schuhwerk und wetterfeste Kleidung</t>
  </si>
  <si>
    <t>Spieler sollten wetterfeste Kleidung und festes Schuhwerk tragen.</t>
  </si>
  <si>
    <t>A. A slow throw B. A quick throw with momentum C. A throw without a start D. A throw with a backward spin</t>
  </si>
  <si>
    <t>Welche Technik wird empfohlen, um den Kloot weiter zu werfen?</t>
  </si>
  <si>
    <t>A. Ein langsamer Wurf B. Ein schneller Wurf mit Schwung C. Ein Wurf ohne Start D. Ein Wurf mit Rückwärtsdrehung</t>
  </si>
  <si>
    <t>Ein schneller Wurf mit Schwung</t>
  </si>
  <si>
    <t>Ein schneller Wurf mit Schwung sorgt für die größte Wurfweite.</t>
  </si>
  <si>
    <t>A. Using a measuring tape B. With digital distance measurement C. From the discard marker to the next player D. With the referees' estimates</t>
  </si>
  <si>
    <t>Wie wird die Wurfweite offiziell gemessen?</t>
  </si>
  <si>
    <t>A. Mit einem Maßband B. Mit digitaler Distanzmessung C. Vom Ablagemarker zum nächsten Spieler D. Mit Schätzungen der Schiedsrichter</t>
  </si>
  <si>
    <t>Mit einem Maßband</t>
  </si>
  <si>
    <t>Die Wurfweite wird traditionell mit einem Maßband gemessen.</t>
  </si>
  <si>
    <t>A. Yes, anytime B. No, only the referee decides. C. Only in case of injuries D. Only if the opponent agrees</t>
  </si>
  <si>
    <t>Kann eine Mannschaft ein Spiel freiwillig abbrechen?</t>
  </si>
  <si>
    <t>A. Ja, jederzeit B. Nein, nur der Schiedsrichter entscheidet C. Nur bei Verletzungen D. Nur wenn der Gegner zustimmt</t>
  </si>
  <si>
    <t>Eine Mannschaft kann das Spiel jederzeit freiwillig abbrechen.</t>
  </si>
  <si>
    <t>A. 4-6 players B. 5-8 players C. 6-10 players D. 8-12 players</t>
  </si>
  <si>
    <t>Aus wie vielen Spielern besteht ein normales Toilettenschießteam?</t>
  </si>
  <si>
    <t>A. 4-6 Spieler B. 5-8 Spieler C. 6-10 Spieler D. 8-12 Spieler</t>
  </si>
  <si>
    <t>6-10 Spieler</t>
  </si>
  <si>
    <t>Ein Standardteam besteht aus 6 bis 10 Spielern.</t>
  </si>
  <si>
    <t>A. The throw still counts B. The throw is invalid. C. The player is warned. D. The player must throw again.</t>
  </si>
  <si>
    <t>Was passiert, wenn ein Spieler die Wurffläche überquert?</t>
  </si>
  <si>
    <t>A. Der Wurf zählt immer noch B. Der Wurf ist ungültig C. Der Spieler wird gewarnt D. Der Spieler muss erneut werfen</t>
  </si>
  <si>
    <t>Eine Verletzung der Wurffläche macht den Wurf ungültig.</t>
  </si>
  <si>
    <t>A. Rain B. Strong wind C. Ice and snow D. Everything mentioned</t>
  </si>
  <si>
    <t>Welche Wetterbedingungen können ein Spiel beeinflussen?</t>
  </si>
  <si>
    <t>A. Regen B. Starker Wind C. Eis und Schnee D. Alles erwähnt</t>
  </si>
  <si>
    <t>Alles erwähnt</t>
  </si>
  <si>
    <t>Regen, Wind, Eis und Schnee können das Spiel erheblich beeinträchtigen.</t>
  </si>
  <si>
    <t>A. An additional stitch B. Points shared C. The older team wins D. The referee decides</t>
  </si>
  <si>
    <t>Wie wird der Sieger ermittelt, wenn beide Teams die gleiche Distanz haben?</t>
  </si>
  <si>
    <t>A. Ein zusätzlicher Stich B. Punkteteilung C. Das ältere Team gewinnt D. Der Schiedsrichter entscheidet</t>
  </si>
  <si>
    <t>Ein zusätzlicher Stich</t>
  </si>
  <si>
    <t>Bei gleicher Distanz entscheidet ein zusätzliches Stechen.</t>
  </si>
  <si>
    <t>A. 5cm B. 10cm C. 15cm D. 20cm</t>
  </si>
  <si>
    <t>Was ist normalerweise die Mindestgröße einer Toilette?</t>
  </si>
  <si>
    <t>15cm</t>
  </si>
  <si>
    <t>Eine Standardtoilette hat eine Mindestgröße von 15 cm Durchmesser.</t>
  </si>
  <si>
    <t>A. After each throw B. If the toilet is damaged C. Only with the referee's approval D. Only before the start of the game</t>
  </si>
  <si>
    <t>Wann darf ein Spieler seinen Kloot umtauschen?</t>
  </si>
  <si>
    <t>A. Nach jedem Wurf B. Wenn die Toilette beschädigt ist C. Nur mit Zustimmung des Schiedsrichters D. Erst vor Spielbeginn</t>
  </si>
  <si>
    <t>Wenn die Toilette beschädigt ist</t>
  </si>
  <si>
    <t>Ein Spieler darf sein Kloot nur ersetzen, wenn es beschädigt ist.</t>
  </si>
  <si>
    <t>A. Yes, strategically B. No, never C. Only in friendly matches D. Only with the opponent's consent</t>
  </si>
  <si>
    <t>Kann ein Spieler den Wurf eines Gegners beeinflussen?</t>
  </si>
  <si>
    <t>A. Ja, strategisch B. Nein, niemals C. Nur in Freundschaftsspielen D. Nur mit Zustimmung des Gegners</t>
  </si>
  <si>
    <t>Es ist strengstens verboten, den Wurf eines Gegners zu beeinflussen.</t>
  </si>
  <si>
    <t>A. 10 minutes B. 15 minutes C. 20 minutes D. No limit</t>
  </si>
  <si>
    <t>Wie hoch ist die maximale Spielzeit pro Runde?</t>
  </si>
  <si>
    <t>A. 10 Minuten B. 15 Minuten C. 20 Minuten D. Keine Begrenzung</t>
  </si>
  <si>
    <t>Beim Toilettenschießen gibt es kein Zeitlimit pro Runde.</t>
  </si>
  <si>
    <t>A. 1 B. 2 C. 3 D. Unlimited</t>
  </si>
  <si>
    <t>Wie viele Ersatzspieler kann eine Mannschaft haben?</t>
  </si>
  <si>
    <t>A. 1 B. 2 C. 3 D. Unbegrenzt</t>
  </si>
  <si>
    <t>Eine Mannschaft darf maximal zwei Ersatzspieler stellen.</t>
  </si>
  <si>
    <t>A. Yes, but he will be replaced. B. NO C. Only with the referee's approval D. Yes, without restrictions</t>
  </si>
  <si>
    <t>Kann ein Kloot geworfen werden, wenn er beschädigt ist?</t>
  </si>
  <si>
    <t>A. Ja, aber er wird ersetzt B. NEIN C. Nur mit Zustimmung des Schiedsrichters D. Ja, ohne Einschränkungen</t>
  </si>
  <si>
    <t>Eine beschädigte Toilette darf nicht benutzt werden.</t>
  </si>
  <si>
    <t>A. Sports shoes B. Clothing depending on the weather C. Official jerseys D. Everything mentioned</t>
  </si>
  <si>
    <t>A. Sportschuhe B. Kleidung je nach Wetterlage C. Offizielle Trikots D. Alles erwähnt</t>
  </si>
  <si>
    <t>Dem Wetter entsprechende Kleidung, Sportschuhe und offizielle Trikots sind erforderlich.</t>
  </si>
  <si>
    <t>A. A large landfill B. A slight impact force C. A rubberized toilet D. A wooden toilet</t>
  </si>
  <si>
    <t>Welche Art von Toilette wird für Straßentoilettenschießen bevorzugt?</t>
  </si>
  <si>
    <t>A. Eine schwere Müllkippe B. Eine leichte Schlagkraft C. Eine gummierte Toilette D. Eine Holztoilette</t>
  </si>
  <si>
    <t>Eine gummierte Toilette</t>
  </si>
  <si>
    <t>Gummierte Koots werden für das Street-Koot-Schießen bevorzugt, da sie besser rollen.</t>
  </si>
  <si>
    <t>A. 10 meters B. 20 meters C. 30 meters D. 40 meters</t>
  </si>
  <si>
    <t>Wie groß ist der Mindestabstand zwischen den Teams?</t>
  </si>
  <si>
    <t>A. 10 Meter B. 20 Meter C. 30 Meter D. 40 Meter</t>
  </si>
  <si>
    <t>30 Meter</t>
  </si>
  <si>
    <t>Zwischen den Teams muss ein Mindestabstand von 30 Metern eingehalten werden.</t>
  </si>
  <si>
    <t>A. The team is providing a new Kloot. B. The throw is invalid. C. The player is allowed to use a spare toilet. D. The team loses a point</t>
  </si>
  <si>
    <t>Was passiert, wenn ein Spieler seinen Kloot verliert?</t>
  </si>
  <si>
    <t>A. Das Team stellt einen neuen Kloot zur Verfügung B. Der Wurf ist ungültig C. Der Spieler darf eine Ersatztoilette benutzen D. Das Team verliert einen Punkt</t>
  </si>
  <si>
    <t>Der Spieler darf eine Ersatztoilette benutzen</t>
  </si>
  <si>
    <t>Bei Verlust kann eine Ersatztoilette genutzt werden.</t>
  </si>
  <si>
    <t>A. 30 minutes B. 1 hour C. 2 hours D. variable</t>
  </si>
  <si>
    <t>Wie lange dauert ein typisches Kloot Shooting-Spiel?</t>
  </si>
  <si>
    <t>A. 30 Minuten B. 1 Stunde C. 2 Stunden D. Variable</t>
  </si>
  <si>
    <t>Variable</t>
  </si>
  <si>
    <t>Die Dauer eines Spiels hängt von den Bedingungen ab und ist variabel.</t>
  </si>
  <si>
    <t>A. The captain B. The referee C. The opposing team D. Both captains together</t>
  </si>
  <si>
    <t>Wer entscheidet über Streitigkeiten während des Spiels?</t>
  </si>
  <si>
    <t>A. Der Kapitän B. Der Schiedsrichter C. Die gegnerische Mannschaft D. Beide Kapitäne zusammen</t>
  </si>
  <si>
    <t>Der Schiedsrichter hat die alleinige Entscheidungsbefugnis über Streitigkeiten.</t>
  </si>
  <si>
    <t>A. Shooting on a tram B. Firing field guns C. Both equally common D. Varies depending on the region</t>
  </si>
  <si>
    <t>Welche Spielart wird bei Wettbewerben häufiger gespielt?</t>
  </si>
  <si>
    <t>A. Schießerei in einer Straßenbahn B. Schießen mit Feldgeschützen C. Beides gleichermaßen häufig D. Individuell je nach Region</t>
  </si>
  <si>
    <t>Schießerei in einer Straßenbahn</t>
  </si>
  <si>
    <t>Straßenschießen kommt bei Wettkämpfen häufiger vor.</t>
  </si>
  <si>
    <t>A. 12cm B. 15cm C. 20cm D. 25cm</t>
  </si>
  <si>
    <t>Was ist die empfohlene maximale Größe eines Kloot?</t>
  </si>
  <si>
    <t>Ein Kloot sollte einen maximalen Durchmesser von 15 cm haben, um den Regeln zu entsprechen.</t>
  </si>
  <si>
    <t>A. With chalk B. With wooden stake C. With a band D. Not at all</t>
  </si>
  <si>
    <t>Wie wird der Abgabepunkt markiert?</t>
  </si>
  <si>
    <t>A. Mit Kreide B. Mit Holzpfahl C. Mit einem Band D. Gar nicht</t>
  </si>
  <si>
    <t>Mit Kreide</t>
  </si>
  <si>
    <t>Der Abgabepunkt wird traditionell mit Kreide markiert.</t>
  </si>
  <si>
    <t>A. sandy soil B. Solid ground C. Clay soil D. Snow</t>
  </si>
  <si>
    <t>Welche Art von Boden wird für das Field-Kloot-Schießen bevorzugt?</t>
  </si>
  <si>
    <t>A. Sandiger Boden B. Fester Boden C. Lehmiger Boden D. Schnee</t>
  </si>
  <si>
    <t>Fester Boden</t>
  </si>
  <si>
    <t>Ein fester Boden sorgt für bessere Wurfbedingungen.</t>
  </si>
  <si>
    <t>A. By team decision B. By lot C. Alphabetical D. From the referee</t>
  </si>
  <si>
    <t>Wie wird die Reihenfolge der Spieler festgelegt?</t>
  </si>
  <si>
    <t>A. Durch Teamentscheidung B. Per Los C. Alphabetisch D. Vom Schiedsrichter</t>
  </si>
  <si>
    <t>A. Yes, after the throw B. No, only with permission. C. Yes, anytime D. Only if injured</t>
  </si>
  <si>
    <t>Darf ein Spieler den Wurfbereich vorzeitig verlassen?</t>
  </si>
  <si>
    <t>A. Ja, nach dem Wurf B. Nein, nur mit Genehmigung C. Ja, jederzeit D. Nur wenn verletzt</t>
  </si>
  <si>
    <t>Ja, nach dem Wurf</t>
  </si>
  <si>
    <t>Ein Spieler darf den Bereich verlassen, nachdem er seinen Wurf beendet hat.</t>
  </si>
  <si>
    <t>A. The throw is repeated. B. The throw is invalid. C. There is a penalty. D. The next player throws</t>
  </si>
  <si>
    <t>Was passiert, wenn ein Kloot außerhalb des Spielfelds landet?</t>
  </si>
  <si>
    <t>A. Der Wurf wird wiederholt B. Der Wurf ist ungültig C. Es gibt eine Strafe D. Der nächste Spieler wirft</t>
  </si>
  <si>
    <t>Ein Kloot, der außerhalb des Spielfeldes landet, gilt als ungültig.</t>
  </si>
  <si>
    <t>A. 1 point B. 2 points C. No points D. It depends on the distance.</t>
  </si>
  <si>
    <t>Wie viele Punkte erhält ein Team pro gültigem Wurf?</t>
  </si>
  <si>
    <t>A. 1 Punkt B. 2 Punkte C. Keine Punkte D. Es kommt auf die Entfernung an</t>
  </si>
  <si>
    <t>Es kommt auf die Entfernung an</t>
  </si>
  <si>
    <t>Die Punktzahl hängt von der erreichten Distanz ab.</t>
  </si>
  <si>
    <t>A. warning B. Point deduction C. Game abandoned D. disqualification</t>
  </si>
  <si>
    <t>Welche Strafe wird bei unsportlichem Verhalten verhängt?</t>
  </si>
  <si>
    <t>A. Warnung B. Punktabzug C. Spiel abgebrochen D. Disqualifikation</t>
  </si>
  <si>
    <t>A. A B. Two C. Three D. Any number</t>
  </si>
  <si>
    <t>Wie viele Kloots kann ein Spieler in einem Turnier verwenden?</t>
  </si>
  <si>
    <t>A. A B. Zwei C. Drei D. Beliebige Zahl</t>
  </si>
  <si>
    <t>Ein Spieler darf pro Turnier nur einen Kloot verwenden.</t>
  </si>
  <si>
    <t>A. By tossing a coin B. Through additional throw C. By referee's decision D. By sharing points</t>
  </si>
  <si>
    <t>Wie wird ein Unentschieden in einem Turnier gelöst?</t>
  </si>
  <si>
    <t>A. Durch das Werfen einer Münze B. Durch zusätzlichen Wurf C. Durch Schiedsrichterentscheidung D. Durch das Teilen von Punkten</t>
  </si>
  <si>
    <t>Durch zusätzlichen Wurf</t>
  </si>
  <si>
    <t>Ein Unentschieden wird durch einen zusätzlichen Wurf gebrochen.</t>
  </si>
  <si>
    <t>A. sandals B. Sports shoes C. Barefoot D. Boots</t>
  </si>
  <si>
    <t>Welche Art von Schuhwerk ist verboten?</t>
  </si>
  <si>
    <t>A. Sandalen B. Sportschuhe C. Barfuß D. Stiefel</t>
  </si>
  <si>
    <t>Barfuß</t>
  </si>
  <si>
    <t>Aus Sicherheitsgründen ist das Barfußspielen verboten.</t>
  </si>
  <si>
    <t>A. 10 seconds B. 30 seconds C. 1 minute D. 2 minutes</t>
  </si>
  <si>
    <t>Wie viel Zeit hat ein Spieler für einen Wurf?</t>
  </si>
  <si>
    <t>A. 10 Sekunden B. 30 Sekunden C. 1 Minute D. 2 Minuten</t>
  </si>
  <si>
    <t>30 Sekunden</t>
  </si>
  <si>
    <t>Für einen Wurf hat ein Spieler maximal 30 Sekunden Zeit.</t>
  </si>
  <si>
    <t>A. The captain B. The referee C. The audience D. The entire team</t>
  </si>
  <si>
    <t>Wer darf während des Spiels Entscheidungen treffen?</t>
  </si>
  <si>
    <t>A. Der Kapitän B. Der Schiedsrichter C. Die Zuschauer D. Das gesamte Team</t>
  </si>
  <si>
    <t>Nur der Schiedsrichter hat die Entscheidungsbefugnis während des Spiels.</t>
  </si>
  <si>
    <t>A. Yes, from the captain B. NO C. Yes, from all team members D. Only spectators</t>
  </si>
  <si>
    <t>Kann ein Spieler während des Wurfs Anweisungen erhalten?</t>
  </si>
  <si>
    <t>A. Ja, vom Kapitän B. NEIN C. Ja, von allen Teammitgliedern D. Nur von Zuschauern</t>
  </si>
  <si>
    <t>Ja, vom Kapitän</t>
  </si>
  <si>
    <t>Der Kapitän darf während des Wurfes Anweisungen geben.</t>
  </si>
  <si>
    <t>A. Game cancelled B. The game continues C. The game is paused. D. The game will continue after the referee's decision.</t>
  </si>
  <si>
    <t>Welche Regel gilt bei starkem Regen?</t>
  </si>
  <si>
    <t>A. Spiel wird abgesagt B. Das Spiel geht weiter C. Das Spiel ist pausiert D. Das Spiel wird nach der Entscheidung des Schiedsrichters fortgesetzt</t>
  </si>
  <si>
    <t>Das Spiel wird nach der Entscheidung des Schiedsrichters fortgesetzt</t>
  </si>
  <si>
    <t>Der Schiedsrichter entscheidet, ob das Spiel bei starkem Regen fortgesetzt wird.</t>
  </si>
  <si>
    <t>A. 100 meters B. 200 meters C. 300 meters D. variable</t>
  </si>
  <si>
    <t>Wie lang ist ein reguläres Spielfeld?</t>
  </si>
  <si>
    <t>A. 100 Meter B. 200 Meter C. 300 Meter D. Variable</t>
  </si>
  <si>
    <t>300 Meter</t>
  </si>
  <si>
    <t>Ein normales Spielfeld ist etwa 300 Meter lang.</t>
  </si>
  <si>
    <t>A. Spherical shape B. Oval shape C. Cylindrical D. Irregular</t>
  </si>
  <si>
    <t>A. Kugelform B. Ovale Form C. Zylindrisch D. Irregulär</t>
  </si>
  <si>
    <t>Kugelform</t>
  </si>
  <si>
    <t>Standardmäßig hat ein Kloot eine Kugelform.</t>
  </si>
  <si>
    <t>A. After the set time B. After a certain number of throws C. When a team gives up D. All of the options mentioned</t>
  </si>
  <si>
    <t>Wann endet ein Spiel offiziell?</t>
  </si>
  <si>
    <t>A. Nach der eingestellten Zeit B. Nach einer bestimmten Anzahl von Würfen C. Wenn ein Team aufgibt D. Alle genannten Optionen</t>
  </si>
  <si>
    <t>Alle genannten Optionen</t>
  </si>
  <si>
    <t>Ein Spiel endet aufgrund des Ablaufs der Zeit, der Anzahl der Würfe oder des Verlusts einer Mannschaft.</t>
  </si>
  <si>
    <t>A. Yes, immediately B. NO C. Yes, with the referee's permission. D. Only on the last throw</t>
  </si>
  <si>
    <t>Darf ein Spieler nach einem ungültigen Wurf noch einmal werfen?</t>
  </si>
  <si>
    <t>A. Ja, sofort B. NEIN C. Ja, mit Genehmigung des Schiedsrichters D. Erst beim letzten Wurf</t>
  </si>
  <si>
    <t>Ja, mit Genehmigung des Schiedsrichters</t>
  </si>
  <si>
    <t>A. 2 players B. 3 players C. 5 players D. 6 players</t>
  </si>
  <si>
    <t>Wie viele Spieler muss eine Mannschaft mindestens haben?</t>
  </si>
  <si>
    <t>A. 2 Spieler B. 3 Spieler C. 5 Spieler D. 6 Spieler</t>
  </si>
  <si>
    <t>5 Spieler</t>
  </si>
  <si>
    <t>Eine Mannschaft benötigt mindestens 5 Spieler.</t>
  </si>
  <si>
    <t>A. The throw is valid. B. The throw is invalid. C. The player is warned. D. The player is disqualified.</t>
  </si>
  <si>
    <t>Was passiert, wenn ein Spieler vor dem Startsignal wirft?</t>
  </si>
  <si>
    <t>A. Der Wurf ist gültig B. Der Wurf ist ungültig C. Der Spieler wird gewarnt D. Der Spieler wird disqualifiziert</t>
  </si>
  <si>
    <t>Ein Wurf vor dem Startsignal gilt als ungültig.</t>
  </si>
  <si>
    <t>A. 500 grams B. 750 grams C. 1 kilogram D. 2 kilograms</t>
  </si>
  <si>
    <t>Wie hoch darf eine Toilette maximal sein?</t>
  </si>
  <si>
    <t>A. 500 Gramm B. 750 Gramm C. 1 Kilogramm D. 2 Kilogramm</t>
  </si>
  <si>
    <t>750 Gramm</t>
  </si>
  <si>
    <t>Um den Regeln zu entsprechen, darf ein Kloot maximal 750 Gramm wiegen.</t>
  </si>
  <si>
    <t>A. Yes, with the referee's approval. B. NO C. Yes, if the team allows it. D. Only in special cases</t>
  </si>
  <si>
    <t>Kann ein Spieler den Abwurfpunkt ändern?</t>
  </si>
  <si>
    <t>A. Ja, mit Zustimmung des Schiedsrichters B. NEIN C. Ja, wenn das Team es zulässt D. Nur in besonderen Fällen</t>
  </si>
  <si>
    <t>Der Abwurfpunkt darf nur mit Zustimmung des Schiedsrichters verändert werden.</t>
  </si>
  <si>
    <t>A. In a straight line B. Along the flight path C. From starting point to standstill D. From starting point to effect</t>
  </si>
  <si>
    <t>A. In einer geraden Linie B. Entlang der Flugbahn C. Vom Ausgangspunkt bis zum Stillstand D. Vom Ausgangspunkt bis zur Wirkung</t>
  </si>
  <si>
    <t>Vom Ausgangspunkt bis zum Stillstand</t>
  </si>
  <si>
    <t>Die Wurfweite wird vom Startpunkt bis zum Stillstand der Toilette gemessen.</t>
  </si>
  <si>
    <t>A. All players B. Only 5 players C. Only 3 players D. One player per round</t>
  </si>
  <si>
    <t>Wie viele Spieler dürfen pro Team werfen?</t>
  </si>
  <si>
    <t>A. Alle Spieler B. Nur 5 Spieler C. Nur 3 Spieler D. Ein Spieler pro Runde</t>
  </si>
  <si>
    <t>Ein Spieler pro Runde</t>
  </si>
  <si>
    <t>Pro Runde darf nur ein Spieler pro Team werfen.</t>
  </si>
  <si>
    <t>A. Jerseys B. Sports shoes C. Helmets D. Jackets</t>
  </si>
  <si>
    <t>Welche Kleidung ist Pflicht?</t>
  </si>
  <si>
    <t>A. Trikots B. Sportschuhe C. Helme D. Jacken</t>
  </si>
  <si>
    <t>Sportschuhe</t>
  </si>
  <si>
    <t>Aus Sicherheitsgründen sind Sportschuhe Pflicht.</t>
  </si>
  <si>
    <t>A. The team with the longest throw wins. B. There is an extension C. The referee decides D. The point is divided</t>
  </si>
  <si>
    <t>Was passiert, wenn nach allen Würfen ein Unentschieden herrscht?</t>
  </si>
  <si>
    <t>A. Das Team mit dem weitesten Wurf gewinnt B. Es gibt eine Erweiterung C. Der Schiedsrichter entscheidet D. Der Punkt wird geteilt</t>
  </si>
  <si>
    <t>Es gibt eine Erweiterung</t>
  </si>
  <si>
    <t>Bei einem Unentschieden entscheidet die Verlängerung.</t>
  </si>
  <si>
    <t>A. Kloot lands outside the field B. Player slips C. The throw is executed too late. D. All of the options mentioned</t>
  </si>
  <si>
    <t>Wie wird ein ungültiger Wurf definiert?</t>
  </si>
  <si>
    <t>A. Kloot landet außerhalb des Feldes B. Spieler rutscht aus C. Der Wurf wird zu spät ausgeführt D. Alle genannten Optionen</t>
  </si>
  <si>
    <t>Ein Wurf ist ungültig, wenn einer der oben genannten Fälle auftritt.</t>
  </si>
  <si>
    <t>A. A toilet B. Two Kloots C. Three Kloots D. Any number</t>
  </si>
  <si>
    <t>Wie viele Kloots sind pro Team erlaubt?</t>
  </si>
  <si>
    <t>A. Eine Toilette B. Zwei Kloots C. Drei Kloots D. Beliebige Zahl</t>
  </si>
  <si>
    <t>Drei Kloots</t>
  </si>
  <si>
    <t>Ein Team darf maximal drei Kloots einsetzen.</t>
  </si>
  <si>
    <t>A. 50cm B. 1 meter C. No limit D. Depending on the referee's decision</t>
  </si>
  <si>
    <t>Wie hoch kann ein Kloot maximal springen?</t>
  </si>
  <si>
    <t>A. 50cm B. 1 Meter C. Keine Begrenzung D. Abhängig von der Entscheidung des Schiedsrichters</t>
  </si>
  <si>
    <t>Es gibt keine Begrenzung, wie hoch ein Kloot springen kann.</t>
  </si>
  <si>
    <t>A. 1 meter B. 2 meters C. 5 meters D. 10 meters</t>
  </si>
  <si>
    <t>Wie groß ist der Mindestabstand zwischen Spielern?</t>
  </si>
  <si>
    <t>A. 1 Meter B. 2 Meter C. 5 Meter D. 10 Meter</t>
  </si>
  <si>
    <t>Zwischen den Spielern muss ein Abstand von mindestens 2 Metern eingehalten werden.</t>
  </si>
  <si>
    <t>A. Yes, provided it is approved B. NO C. Only in case of injuries D. Yes, in windy conditions</t>
  </si>
  <si>
    <t>Kann eine Toilette mit Hilfsmitteln geworfen werden?</t>
  </si>
  <si>
    <t>A. Ja, sofern genehmigt B. NEIN C. Nur bei Verletzungen D. Ja, bei Wind</t>
  </si>
  <si>
    <t>Ein Kloot darf nur mit der Hand geworfen werden, Hilfsmittel sind nicht erlaubt.</t>
  </si>
  <si>
    <t>A. 30 minutes B. 1 hour C. 2 hours D. There is no limit.</t>
  </si>
  <si>
    <t>Wie lange kann eine Spielrunde dauern?</t>
  </si>
  <si>
    <t>A. 30 Minuten B. 1 Stunde C. 2 Stunden D. Es gibt keine Begrenzung</t>
  </si>
  <si>
    <t>Es gibt keine Begrenzung</t>
  </si>
  <si>
    <t>Die Dauer einer Runde ist nicht begrenzt und endet nach der angegebenen Anzahl an Würfen.</t>
  </si>
  <si>
    <t>A. Game cancelled B. The game continues C. The game is paused. D. The referee decides</t>
  </si>
  <si>
    <t>Welche Regel gilt bei starkem Wind?</t>
  </si>
  <si>
    <t>A. Spiel wird abgesagt B. Das Spiel geht weiter C. Das Spiel ist pausiert D. Der Schiedsrichter entscheidet</t>
  </si>
  <si>
    <t>Der Schiedsrichter entscheidet</t>
  </si>
  <si>
    <t>Der Schiedsrichter entscheidet, ob das Spiel bei starkem Wind fortgesetzt wird.</t>
  </si>
  <si>
    <t>A. 3 points B. 5 points C. No points D. 1 point</t>
  </si>
  <si>
    <t>Wie viele Punkte erhält ein Spieler für den weitesten Wurf?</t>
  </si>
  <si>
    <t>A. 3 Punkte B. 5 Punkte C. Keine Punkte D. 1 Punkt</t>
  </si>
  <si>
    <t>Keine Punkte</t>
  </si>
  <si>
    <t>Punkte werden nicht für einzelne Würfe vergeben, sondern für das Gesamtergebnis.</t>
  </si>
  <si>
    <t>A. Yes, with the referee's approval. B. NO C. Only outside of the game D. Shortly before the first throw</t>
  </si>
  <si>
    <t>Kann ein Kloot während des Spiels repariert werden?</t>
  </si>
  <si>
    <t>A. Ja, mit Zustimmung des Schiedsrichters B. NEIN C. Nur außerhalb des Spiels D. Kurz vor dem ersten Wurf</t>
  </si>
  <si>
    <t>Ein Kloot darf während des Spiels nur mit Zustimmung des Schiedsrichters repariert werden.</t>
  </si>
  <si>
    <t>Was passiert, wenn ein Spieler den Kloot absichtlich beschädigt?</t>
  </si>
  <si>
    <t>Vorsätzliche Beschädigung führt zur Disqualifikation des Spielers.</t>
  </si>
  <si>
    <t>A. The throw is invalid. B. The throw is repeated. C. The throw counts D. It is at the referee's discretion.</t>
  </si>
  <si>
    <t>Wie wird ein Wurf gewertet, wenn die Toilette im Wasser landet?</t>
  </si>
  <si>
    <t>A. Der Wurf ist ungültig B. Der Wurf wird wiederholt C. Der Wurf zählt D. Es liegt im Ermessen des Schiedsrichters</t>
  </si>
  <si>
    <t>Eine Toilette, die im Wasser landet, gilt als ungültig.</t>
  </si>
  <si>
    <t>A. Wear a helmet B. Keep your distance C. Slow throws D. Appropriate clothing</t>
  </si>
  <si>
    <t>Welche Sicherheitsregeln gelten während des Spiels?</t>
  </si>
  <si>
    <t>A. Tragen Sie einen Helm B. Halten Sie Abstand C. Langsame Würfe D. Richtige Kleidung</t>
  </si>
  <si>
    <t>Halten Sie Abstand</t>
  </si>
  <si>
    <t>Um Verletzungen zu vermeiden, müssen die Spieler jederzeit Abstand zueinander halten.</t>
  </si>
  <si>
    <t>A. The team loses points B. The game is postponed. C. The team is disqualified. D. It is at the referee's discretion.</t>
  </si>
  <si>
    <t>Was passiert, wenn eine Mannschaft zu spät zum Spiel erscheint?</t>
  </si>
  <si>
    <t>A. Das Team verliert Punkte B. Das Spiel wird verschoben C. Das Team wird disqualifiziert D. Es liegt im Ermessen des Schiedsrichters</t>
  </si>
  <si>
    <t>Es liegt im Ermessen des Schiedsrichters</t>
  </si>
  <si>
    <t>Die Entscheidung über eine verspätete Ankunft einer Mannschaft liegt beim Schiedsrichter.</t>
  </si>
  <si>
    <t>A. race B. asphalt C. sand D. All of the areas mentioned</t>
  </si>
  <si>
    <t>Welcher Bereich ist offiziell zum Klot-Shooting geeignet?</t>
  </si>
  <si>
    <t>A. Wettrennen B. Asphalt C. Sand D. Alle genannten Bereiche</t>
  </si>
  <si>
    <t>Wettrennen</t>
  </si>
  <si>
    <t>Kloot Shooting wird offiziell auf Rasen gespielt.</t>
  </si>
  <si>
    <t>A. The throw is repeated. B. The player is disqualified. C. The game is stopped. D. The point will be deleted.</t>
  </si>
  <si>
    <t>Was passiert, wenn der Kloot kaputt geht?</t>
  </si>
  <si>
    <t>A. Der Wurf wird wiederholt B. Der Spieler wird disqualifiziert C. Das Spiel wird gestoppt D. Der Punkt wird gelöscht</t>
  </si>
  <si>
    <t>Ein kaputter Kloot ermöglicht es dem Spieler, erneut zu würfeln.</t>
  </si>
  <si>
    <t>A. A throw B. Two throws C. Three throws D. Any number</t>
  </si>
  <si>
    <t>Wie viele Würfe hat ein Spieler pro Runde?</t>
  </si>
  <si>
    <t>A. Ein Wurf B. Zwei Würfe C. Drei Würfe D. Beliebige Zahl</t>
  </si>
  <si>
    <t>Jeder Spieler hat nur einen Wurf pro Runde.</t>
  </si>
  <si>
    <t>A. To B. Oval C. square D. Any</t>
  </si>
  <si>
    <t>Welche Form muss eine Toilette haben?</t>
  </si>
  <si>
    <t>A. Um B. Oval C. Quadrat D. Beliebig</t>
  </si>
  <si>
    <t>Um</t>
  </si>
  <si>
    <t>Ein Kloot muss die offizielle runde Form haben.</t>
  </si>
  <si>
    <t>A. Each throw is allowed. B. Only overhead throws are allowed. C. Only side throws are allowed D. The throw must be made from a standing position.</t>
  </si>
  <si>
    <t>Welche Regel gilt für die Wurftechnik?</t>
  </si>
  <si>
    <t>A. Jeder Wurf ist erlaubt B. Es sind nur Überkopfwürfe erlaubt C. Es sind nur Seitenwürfe erlaubt D. Der Wurf muss aus dem Stand erfolgen</t>
  </si>
  <si>
    <t>Jeder Wurf ist erlaubt</t>
  </si>
  <si>
    <t>Den Spielern ist es erlaubt, jede Technik anzuwenden, solange sie den Regeln entspricht.</t>
  </si>
  <si>
    <t>A. A player B. Two players C. Three players D. Any number</t>
  </si>
  <si>
    <t>Wie viele Spieler dürfen gleichzeitig auf dem Spielfeld sein?</t>
  </si>
  <si>
    <t>A. Ein Spieler B. Zwei Spieler C. Drei Spieler D. Beliebige Zahl</t>
  </si>
  <si>
    <t>Ein Spieler</t>
  </si>
  <si>
    <t>Pro Wurf darf sich nur ein Spieler auf dem Spielfeld befinden.</t>
  </si>
  <si>
    <t>A. The throw is valid. B. The throw is invalid. C. The player receives a penalty. D. The throw is repeated.</t>
  </si>
  <si>
    <t>Was passiert, wenn ein Spieler außerhalb des Spielfeldes wirft?</t>
  </si>
  <si>
    <t>A. Der Wurf ist gültig B. Der Wurf ist ungültig C. Der Spieler erhält eine Strafe D. Der Wurf wird wiederholt</t>
  </si>
  <si>
    <t>Ein Wurf außerhalb des Spielfeldes gilt als ungültig.</t>
  </si>
  <si>
    <t>A. Red B. Blue C. Black D. No regulation</t>
  </si>
  <si>
    <t>Welche Farbe muss ein offizieller Kloot haben?</t>
  </si>
  <si>
    <t>A. Rot B. Blau C. Schwarz D. Keine Regelung</t>
  </si>
  <si>
    <t>Keine Regelung</t>
  </si>
  <si>
    <t>Die Farbe eines Kloot ist nicht zwingend.</t>
  </si>
  <si>
    <t>A. Most points B. Greatest throwing range C. Combination of points and distance D. The first throw counts</t>
  </si>
  <si>
    <t>Wie wird ein Gewinner ermittelt?</t>
  </si>
  <si>
    <t>A. Die meisten Punkte B. Größte Wurfweite C. Kombination aus Punkten und Distanz D. Der erste Wurf zählt</t>
  </si>
  <si>
    <t>Größte Wurfweite</t>
  </si>
  <si>
    <t>Der Sieger wird anhand der weitesten Wurfweite ermittelt.</t>
  </si>
  <si>
    <t>A. Yes, with the referee's approval. B. NO C. Only in case of breakage D. Yes, without restrictions</t>
  </si>
  <si>
    <t>Kann eine Ersatztoilette verwendet werden?</t>
  </si>
  <si>
    <t>A. Ja, mit Zustimmung des Schiedsrichters B. NEIN C. Nur bei Bruch D. Ja, ohne Einschränkungen</t>
  </si>
  <si>
    <t>Eine Ersatztoilette darf nur mit Genehmigung des Schiedsrichters genutzt werden.</t>
  </si>
  <si>
    <t>A. Penalty for the opponent B. Repeat the throw C. No penalty D. Neither team receives any points.</t>
  </si>
  <si>
    <t>Was passiert, wenn mich ein Gegner absichtlich behindert?</t>
  </si>
  <si>
    <t>A. Strafe für den Gegner B. Wiederholen Sie den Wurf C. Keine Strafe D. Beide Teams erhalten keine Punkte</t>
  </si>
  <si>
    <t>Der Wurf darf wiederholt werden, wenn er absichtlich behindert wird.</t>
  </si>
  <si>
    <t>A. With hat B. With a flag C. With a line D. No marking required</t>
  </si>
  <si>
    <t>Wie wird der Abgabeort markiert?</t>
  </si>
  <si>
    <t>A. Mit Hut B. Mit einer Fahne C. Mit einer Linie D. Keine Markierung erforderlich</t>
  </si>
  <si>
    <t>Mit einer Linie</t>
  </si>
  <si>
    <t>Der Abwurfort ist mit einer Linie markiert.</t>
  </si>
  <si>
    <t>A. Point deduction B. warning C. disqualification D. Time penalty</t>
  </si>
  <si>
    <t>A. Punktabzug B. Warnung C. Disqualifikation D. Zeitstrafe</t>
  </si>
  <si>
    <t>Unsportliches Verhalten führt zur Disqualifikation.</t>
  </si>
  <si>
    <t>A. The throw counts B. The throw is repeated. C. The game is interrupted. D. The player receives a point deduction.</t>
  </si>
  <si>
    <t>Was passiert, wenn ein Kloot während des Wurfs beschädigt wird?</t>
  </si>
  <si>
    <t>A. Der Wurf zählt B. Der Wurf wird wiederholt C. Das Spiel wird unterbrochen D. Der Spieler erhält einen Punktabzug</t>
  </si>
  <si>
    <t>Ein beschädigter Kloot ermöglicht einen erneuten Wurf.</t>
  </si>
  <si>
    <t>A. 50 meters B. 100 meters C. 150 meters D. 200 meters</t>
  </si>
  <si>
    <t>Wie lang darf die Spielstrecke maximal sein?</t>
  </si>
  <si>
    <t>A. 50 Meter B. 100 Meter C. 150 Meter D. 200 Meter</t>
  </si>
  <si>
    <t>100 Meter</t>
  </si>
  <si>
    <t>Die Spielbahn darf maximal 100 Meter lang sein.</t>
  </si>
  <si>
    <t>A. No adjustment B. The game is paused. C. The playing field is shortened D. The referee decides</t>
  </si>
  <si>
    <t>Wie wird das Spielfeld angepasst, wenn es regnet?</t>
  </si>
  <si>
    <t>A. Keine Anpassung B. Das Spiel ist pausiert C. Das Spielfeld wird verkürzt D. Der Schiedsrichter entscheidet</t>
  </si>
  <si>
    <t>Über Anpassungen bei Regen entscheidet der Schiedsrichter.</t>
  </si>
  <si>
    <t>A. The throw is valid. B. The throw is invalid. C. The game is stopped. D. The player receives a warning.</t>
  </si>
  <si>
    <t>Was passiert, wenn ein Spieler den Kloot zu spät wirft?</t>
  </si>
  <si>
    <t>A. Der Wurf ist gültig B. Der Wurf ist ungültig C. Das Spiel wird gestoppt D. Der Spieler erhält eine Warnung</t>
  </si>
  <si>
    <t>Ein zu spät ausgeführter Wurf gilt als ungültig.</t>
  </si>
  <si>
    <t>A. Two teams B. Three teams C. Any number D. Only one team</t>
  </si>
  <si>
    <t>Wie viele Teams können gleichzeitig gegeneinander antreten?</t>
  </si>
  <si>
    <t>A. Zwei Teams B. Drei Teams C. Beliebige Zahl D. Nur ein Team</t>
  </si>
  <si>
    <t>Es treten immer zwei Teams gegeneinander an.</t>
  </si>
  <si>
    <t>A. sneakers B. Shoes with spikes C. running shoes D. Any type of shoe</t>
  </si>
  <si>
    <t>Welche Schuhe sind nicht erlaubt?</t>
  </si>
  <si>
    <t>A. Turnschuhe B. Schuhe mit Spikes C. Laufschuhe D. Jede Art von Schuhen</t>
  </si>
  <si>
    <t>Schuhe mit Spikes</t>
  </si>
  <si>
    <t>Schuhe mit Spikes sind aus Sicherheitsgründen verboten.</t>
  </si>
  <si>
    <t>A. The team loses points B. The player will be replaced C. The game continues D. The team automatically loses.</t>
  </si>
  <si>
    <t>Was passiert, wenn ein Spieler aufgibt?</t>
  </si>
  <si>
    <t>A. Das Team verliert Punkte B. Der Spieler wird ersetzt C. Das Spiel geht weiter D. Das Team verliert automatisch</t>
  </si>
  <si>
    <t>Der Spieler wird ersetzt</t>
  </si>
  <si>
    <t>Ein ausgeschiedener Spieler wird durch einen Ersatzspieler ersetzt.</t>
  </si>
  <si>
    <t>A. 5 players B. 6 players C. 7 players D. 8 players</t>
  </si>
  <si>
    <t>Wie viele Spieler darf pro Team beim Toilettenschießen maximal mitspielen?</t>
  </si>
  <si>
    <t>A. 5 Spieler B. 6 Spieler C. 7 Spieler D. 8 Spieler</t>
  </si>
  <si>
    <t>6 Spieler</t>
  </si>
  <si>
    <t>Ein Team kann maximal 6 Spieler haben.</t>
  </si>
  <si>
    <t>A. 1 throw B. 2 throws C. 3 throws D. Unlimited</t>
  </si>
  <si>
    <t>Wie viele Würfe kann jeder Spieler in einer Runde machen?</t>
  </si>
  <si>
    <t>A. 1 Wurf B. 2 Würfe C. 3 Würfe D. Unbegrenzt</t>
  </si>
  <si>
    <t>1 Wurf</t>
  </si>
  <si>
    <t>Pro Runde ist nur ein Wurf pro Spieler erlaubt.</t>
  </si>
  <si>
    <t>A. The throw is valid. B. The throw is repeated. C. The throw is invalid. D. The player is disqualified.</t>
  </si>
  <si>
    <t>Was passiert, wenn ein Spieler den Abwurfort überschreitet?</t>
  </si>
  <si>
    <t>A. Der Wurf ist gültig B. Der Wurf wird wiederholt C. Der Wurf ist ungültig D. Der Spieler wird disqualifiziert</t>
  </si>
  <si>
    <t>Das Überschreiten der Wurfposition macht den Wurf ungültig.</t>
  </si>
  <si>
    <t>A. Wood B. metal C. plastic D. wood and plastic</t>
  </si>
  <si>
    <t>Welche Materialien sind für den Kloot erlaubt?</t>
  </si>
  <si>
    <t>A. Holz B. Metall C. Plastik D. Holz und Kunststoff</t>
  </si>
  <si>
    <t>Holz und Kunststoff</t>
  </si>
  <si>
    <t>Kloots bestehen offiziell aus Holz oder Kunststoff.</t>
  </si>
  <si>
    <t>A. Additional round B. Coin toss C. Shared placement D. From the referee</t>
  </si>
  <si>
    <t>Wie wird der Gewinner im Falle eines Unentschiedens ermittelt?</t>
  </si>
  <si>
    <t>A. Zusätzliche Runde B. Münzwurf C. Geteilte Platzierung D. Vom Schiedsrichter</t>
  </si>
  <si>
    <t>Zusätzliche Runde</t>
  </si>
  <si>
    <t>Bei Gleichstand wird eine zusätzliche Runde gespielt.</t>
  </si>
  <si>
    <t>A. 5 meters B. 10 meters C. 15 meters D. No distance required</t>
  </si>
  <si>
    <t>Welcher Abstand muss zwischen den Spielern einer Mannschaft eingehalten werden?</t>
  </si>
  <si>
    <t>A. 5 Meter B. 10 Meter C. 15 Meter D. Kein Abstand erforderlich</t>
  </si>
  <si>
    <t>5 Meter</t>
  </si>
  <si>
    <t>Es ist ein Mindestabstand von 5 Metern einzuhalten.</t>
  </si>
  <si>
    <t>A. In heavy rain B. With lightning and thunder C. With wind speeds exceeding 30 km/h D. If the referee decides</t>
  </si>
  <si>
    <t>Wann wird ein Spiel wegen schlechtem Wetter abgesagt?</t>
  </si>
  <si>
    <t>A. Bei starkem Regen B. Mit Blitz und Donner C. Mit Windgeschwindigkeiten über 30 km/h D. Wenn der Schiedsrichter entscheidet</t>
  </si>
  <si>
    <t>Mit Blitz und Donner</t>
  </si>
  <si>
    <t>Bei Blitz und Donner werden die Spiele aus Sicherheitsgründen abgesagt.</t>
  </si>
  <si>
    <t>A. Above the head B. On the side of the body C. It doesn't matter as long as the toilet flies. D. Stretched out in front</t>
  </si>
  <si>
    <t>Wie muss der Auslösearm beim Werfen geführt werden?</t>
  </si>
  <si>
    <t>A. Über dem Kopf B. An der Körperseite C. Es spielt keine Rolle, solange die Toilette fliegt D. Vorne ausgestreckt</t>
  </si>
  <si>
    <t>Es spielt keine Rolle, solange die Toilette fliegt</t>
  </si>
  <si>
    <t>Die Wurftechnik ist flexibel, solange der Kloot richtig geworfen wird.</t>
  </si>
  <si>
    <t>A. Marked with chalk B. Marked with flags C. Secured with a hat D. With a starting line</t>
  </si>
  <si>
    <t>Wie wird die Abwurfstelle vorbereitet?</t>
  </si>
  <si>
    <t>A. Mit Kreide markiert B. Mit Fahnen markiert C. Mit Hut gesichert D. Mit einer Startlinie</t>
  </si>
  <si>
    <t>Mit Kreide markiert</t>
  </si>
  <si>
    <t>Der Abwurfort wird üblicherweise mit Kreide markiert.</t>
  </si>
  <si>
    <t>A. The throw is invalid. B. The player loses points C. The toilet will be put back D. The throw counts if the kloot was previously on the playing field.</t>
  </si>
  <si>
    <t>Was passiert, wenn der Kloot ins Aus rollt?</t>
  </si>
  <si>
    <t>A. Der Wurf ist ungültig B. Der Spieler verliert Punkte C. Die Toilette wird zurückgestellt D. Der Wurf zählt, wenn der Kloot zuvor auf dem Spielfeld war</t>
  </si>
  <si>
    <t>Der Wurf zählt, wenn der Kloot zuvor auf dem Spielfeld war</t>
  </si>
  <si>
    <t>Ein Kloot, der das Spielfeld verlässt, zählt nur, wenn er zuvor regelmäßig geworfen wurde.</t>
  </si>
  <si>
    <t>A. 10cm B. 12cm C. 15cm D. 20cm</t>
  </si>
  <si>
    <t>Was ist die maximale Länge der Toilette?</t>
  </si>
  <si>
    <t>12cm</t>
  </si>
  <si>
    <t>Die maximale Länge eines Kloot beträgt 12 cm.</t>
  </si>
  <si>
    <t>A. Only if injured B. When tired C. At the start of a round D. Anytime</t>
  </si>
  <si>
    <t>Wann kann ein Ersatzspieler ausgewechselt werden?</t>
  </si>
  <si>
    <t>A. Nur wenn verletzt B. Wenn müde C. Zu Beginn einer Runde D. Jederzeit</t>
  </si>
  <si>
    <t>Nur wenn verletzt</t>
  </si>
  <si>
    <t>Ersatzspieler dürfen nur bei Verletzungen ausgewechselt werden.</t>
  </si>
  <si>
    <t>A. Using a measuring tape B. With a GPS device C. Using a laser measurement D. According to the referee's assessment</t>
  </si>
  <si>
    <t>A. Mit einem Maßband B. Mit einem GPS-Gerät C. Mit einer Lasermessung D. Nach Einschätzung des Schiedsrichters</t>
  </si>
  <si>
    <t>Die Wurfweite wird mit einem Maßband gemessen.</t>
  </si>
  <si>
    <t>A. The throw is repeated. B. The player loses points C. The game is stopped. D. Nothing, the throw counts</t>
  </si>
  <si>
    <t>Was passiert, wenn der Kloot während des Wurfs zerbricht?</t>
  </si>
  <si>
    <t>A. Der Wurf wird wiederholt B. Der Spieler verliert Punkte C. Das Spiel wird gestoppt D. Nichts, der Wurf zählt</t>
  </si>
  <si>
    <t>Ein gebrochener Kloot führt zu einem erneuten Wurf.</t>
  </si>
  <si>
    <t>A. Yes B. NO C. Only in cold weather D. Only with the referee's permission</t>
  </si>
  <si>
    <t>Darf ein Spieler Handschuhe tragen?</t>
  </si>
  <si>
    <t>A. Ja B. NEIN C. Nur bei kaltem Wetter D. Nur mit Genehmigung des Schiedsrichters</t>
  </si>
  <si>
    <t>Handschuhe sind erlaubt, es sei denn, sie bieten Vorteile.</t>
  </si>
  <si>
    <t>A. Running during the throw B. Too much preparation C. Whispers from teammates D. Waiting for wind</t>
  </si>
  <si>
    <t>Was gilt beim Werfen als Regelverstoß?</t>
  </si>
  <si>
    <t>A. Laufen während des Wurfs B. Zu lange Vorbereitung C. Flüstern von Mitspielern D. Warten auf Wind</t>
  </si>
  <si>
    <t>Laufen während des Wurfs</t>
  </si>
  <si>
    <t>Das Laufen während des Wurfs gilt als Regelverstoß.</t>
  </si>
  <si>
    <t>A. Once B. Twice C. As often as necessary D. Wearing only one glove</t>
  </si>
  <si>
    <t>Wie oft darf ein Spieler den Kloot berühren, bevor er wirft?</t>
  </si>
  <si>
    <t>A. Einmal B. Zweimal C. So oft wie nötig D. Nur mit einem Handschuh</t>
  </si>
  <si>
    <t>So oft wie nötig</t>
  </si>
  <si>
    <t>Spieler dürfen den Kloot vor dem Werfen so oft berühren, wie sie möchten.</t>
  </si>
  <si>
    <t>A. The player is disqualified. B. The player may play C. The team loses points D. The player must wait</t>
  </si>
  <si>
    <t>Was passiert, wenn ein Spieler zu spät zum Spiel erscheint?</t>
  </si>
  <si>
    <t>A. Der Spieler wird disqualifiziert B. Der Spieler darf spielen C. Das Team verliert Punkte D. Der Spieler muss warten</t>
  </si>
  <si>
    <t>Der Spieler darf spielen</t>
  </si>
  <si>
    <t>Spieler, die zu spät kommen, dürfen später am Spiel teilnehmen.</t>
  </si>
  <si>
    <t>A. Once B. Twice C. Three times D. As often as you like</t>
  </si>
  <si>
    <t>Wie oft kann eine Mannschaft eine Spielpause beantragen?</t>
  </si>
  <si>
    <t>A. Einmal B. Zweimal C. Dreimal D. Beliebig oft</t>
  </si>
  <si>
    <t>Einmal</t>
  </si>
  <si>
    <t>Eine Mannschaft darf nur eine Pause pro Spiel beantragen.</t>
  </si>
  <si>
    <t>Welchen Durchmesser hat eine offizielle Toilette?</t>
  </si>
  <si>
    <t>Der offizielle Durchmesser eines Kloot beträgt 12 cm.</t>
  </si>
  <si>
    <t>A. Upright B. Prevented C. Both D. Kneeling</t>
  </si>
  <si>
    <t>Welche Haltung ist beim Werfen erlaubt?</t>
  </si>
  <si>
    <t>A. Aufrecht B. Vorgebeugt C. Beide D. Kniend</t>
  </si>
  <si>
    <t>Beide</t>
  </si>
  <si>
    <t>Sowohl eine aufrechte als auch eine gebückte Körperhaltung sind erlaubt.</t>
  </si>
  <si>
    <t>A. The player B. The referee C. The team D. The audience</t>
  </si>
  <si>
    <t>A. Der Spieler B. Der Schiedsrichter C. Das Team D. Das Publikum</t>
  </si>
  <si>
    <t>Die endgültige Entscheidung über die Gültigkeit eines Wurfes trifft der Schiedsrichter.</t>
  </si>
  <si>
    <t>A. Blue B. Red C. Black D. No regulation</t>
  </si>
  <si>
    <t>Welche Farbe haben offizielle Wettbewerbsbeute?</t>
  </si>
  <si>
    <t>A. Blau B. Rot C. Schwarz D. Keine Regelung</t>
  </si>
  <si>
    <t>Die Farbe eines Kloot ist nicht standardisiert.</t>
  </si>
  <si>
    <t>A. 1 point B. 2 points C. 3 points D. No points</t>
  </si>
  <si>
    <t>Wie viele Punkte gibt es für den weitesten Wurf in einer Runde?</t>
  </si>
  <si>
    <t>A. 1 Punkt B. 2 Punkte C. 3 Punkte D. Keine Punkte</t>
  </si>
  <si>
    <t>1 Punkt</t>
  </si>
  <si>
    <t>Der weiteste Wurf in einer Runde bringt 1 Punkt.</t>
  </si>
  <si>
    <t>A. Yes B. NO C. Only during training D. Only with permission</t>
  </si>
  <si>
    <t>Kann der Kloot mit einer Hand geworfen werden?</t>
  </si>
  <si>
    <t>A. Ja B. NEIN C. Nur während des Trainings D. Nur mit Genehmigung</t>
  </si>
  <si>
    <t>Ein Kloot darf nur mit einer Hand geworfen werden.</t>
  </si>
  <si>
    <t>A. Repeat the throw B. Point deduction C. disqualification D. No penalty</t>
  </si>
  <si>
    <t>A. Wiederholen Sie den Wurf B. Punktabzug C. Disqualifikation D. Keine Strafe</t>
  </si>
  <si>
    <t>Ein früher Start führt dazu, dass der Wurf wiederholt wird.</t>
  </si>
  <si>
    <t>A. 1 player B. 2 players C. 3 players D. Any number</t>
  </si>
  <si>
    <t>Wie viele Spieler dürfen maximal gleichzeitig werfen?</t>
  </si>
  <si>
    <t>A. 1 Spieler B. 2 Spieler C. 3 Spieler D. Beliebige Zahl</t>
  </si>
  <si>
    <t>1 Spieler</t>
  </si>
  <si>
    <t>Pro Runde darf nur ein Spieler gleichzeitig werfen.</t>
  </si>
  <si>
    <t>A. When he lands in the water B. If it breaks C. When he disappears in the forest D. All of the above</t>
  </si>
  <si>
    <t>Wann gilt eine Toilette als verloren?</t>
  </si>
  <si>
    <t>A. Als er im Wasser landet B. Wenn es kaputt geht C. Als er im Wald verschwindet D. Alle oben genannten</t>
  </si>
  <si>
    <t>Eine Toilette gilt als verloren, wenn sie nicht wiedergefunden werden kann.</t>
  </si>
  <si>
    <t>A. With lines B. With flags C. With chalk D. With ropes</t>
  </si>
  <si>
    <t>Wie ist das Spielfeld markiert?</t>
  </si>
  <si>
    <t>A. Mit Linien B. Mit Fahnen C. Mit Kreide D. Mit Seilen</t>
  </si>
  <si>
    <t>Mit Fahnen</t>
  </si>
  <si>
    <t>Fahnen markieren die Grenzen des Spielfeldes.</t>
  </si>
  <si>
    <t>A. Sportswear B. Casual wear C. Uniform jerseys D. No specifications</t>
  </si>
  <si>
    <t>Welche Kleidung ist während des Spiels erforderlich?</t>
  </si>
  <si>
    <t>A. Sportbekleidung B. Freizeitkleidung C. Uniformtrikots D. Keine Spezifikationen</t>
  </si>
  <si>
    <t>Keine Spezifikationen</t>
  </si>
  <si>
    <t>Für das Klot-Shooting gibt es keine speziellen Dresscodes.</t>
  </si>
  <si>
    <t>A. 10 seconds B. 20 seconds C. 30 seconds D. No limit</t>
  </si>
  <si>
    <t>A. 10 Sekunden B. 20 Sekunden C. 30 Sekunden D. Keine Begrenzung</t>
  </si>
  <si>
    <t>A. Only the referee B. Only the teams C. All D. Team members only</t>
  </si>
  <si>
    <t>Wer darf einem Spieler beim Werfen zuschauen?</t>
  </si>
  <si>
    <t>A. Nur der Schiedsrichter B. Nur die Teams C. Alle D. Nur Teammitglieder</t>
  </si>
  <si>
    <t>Alle</t>
  </si>
  <si>
    <t>Der Wurf kann von jedem beobachtet werden.</t>
  </si>
  <si>
    <t>A. Penalty of 1 point B. Repeat the game C. The second throw is invalid. D. No consequences</t>
  </si>
  <si>
    <t>Was passiert, wenn ein Spieler zweimal hintereinander wirft?</t>
  </si>
  <si>
    <t>A. Strafe von 1 Punkt B. Wiederholen Sie das Spiel C. Der zweite Wurf ist ungültig D. Keine Konsequenz</t>
  </si>
  <si>
    <t>Der zweite Wurf ist ungültig</t>
  </si>
  <si>
    <t>Wenn ein Spieler zweimal wirft, zählt nur der erste Wurf.</t>
  </si>
  <si>
    <t>A. 500 grams B. 600 grams C. 800 grams D. 1 kilogram</t>
  </si>
  <si>
    <t>A. 500 Gramm B. 600 Gramm C. 800 Gramm D. 1 Kilogramm</t>
  </si>
  <si>
    <t>800 Gramm</t>
  </si>
  <si>
    <t>Ein offizieller Kloot darf maximal 800 Gramm wiegen.</t>
  </si>
  <si>
    <t>A. Invalid B. Repetition C. Point deduction D. Nothing</t>
  </si>
  <si>
    <t>Was passiert, wenn der Kloot zu weit abweicht?</t>
  </si>
  <si>
    <t>A. Ungültig B. Wiederholung C. Punktabzug D. Nichts</t>
  </si>
  <si>
    <t>Ungültig</t>
  </si>
  <si>
    <t>Ein Kloot, der stark von den Spielfeldgrenzen abweicht, ist ungültig.</t>
  </si>
  <si>
    <t>A. 1 time B. 2 times C. three times D. As often as you like</t>
  </si>
  <si>
    <t>Wie oft kann ein Team eine Strategiepause einlegen?</t>
  </si>
  <si>
    <t>A. 1 Mal B. 2 mal C. dreimal D. Beliebig oft</t>
  </si>
  <si>
    <t>2 mal</t>
  </si>
  <si>
    <t>Pro Spiel sind maximal zwei Strategiepausen erlaubt.</t>
  </si>
  <si>
    <t>A. The player B. The referee C. A linesman D. An assistant</t>
  </si>
  <si>
    <t>Wer markiert die Wurfweite auf dem Spielfeld?</t>
  </si>
  <si>
    <t>A. Der Spieler B. Der Schiedsrichter C. Ein Linienrichter D. Ein Assistent</t>
  </si>
  <si>
    <t>Die Wurfweite wird vom Schiedsrichter markiert.</t>
  </si>
  <si>
    <t>A. sand B. Meadow C. asphalt D. gravel</t>
  </si>
  <si>
    <t>Welches Material ist ideal für die Spielfläche?</t>
  </si>
  <si>
    <t>A. Sand B. Wiese C. Asphalt D. Kies</t>
  </si>
  <si>
    <t>Asphalt</t>
  </si>
  <si>
    <t>Kloot Shooting wird traditionell auf Asphalt gespielt.</t>
  </si>
  <si>
    <t>A. Yes B. NO C. Only at tournaments D. Only with permission</t>
  </si>
  <si>
    <t>Kann ein Kloot vor dem Werfen poliert werden?</t>
  </si>
  <si>
    <t>A. Ja B. NEIN C. Nur bei Turnieren D. Nur mit Genehmigung</t>
  </si>
  <si>
    <t>Das Polieren eines Kloot ist erlaubt.</t>
  </si>
  <si>
    <t>A. Achieve the greatest distance B. Throw the toilet into the goal C. Collect points D. Opponent</t>
  </si>
  <si>
    <t>Was ist das Ziel des Spiels?</t>
  </si>
  <si>
    <t>A. Erreiche die größte Distanz B. Wirf die Toilette ins Ziel C. Punkte sammeln D. Gegner</t>
  </si>
  <si>
    <t>Erreiche die größte Distanz</t>
  </si>
  <si>
    <t>Ziel des Spiels ist es, die Toilette so weit wie möglich zu werfen.</t>
  </si>
  <si>
    <t>Question no.</t>
  </si>
  <si>
    <t>How many players does each cycle ball team have?</t>
  </si>
  <si>
    <t>Each cycle ball team consists of two players, a goalkeeper and a field player.</t>
  </si>
  <si>
    <t>Wie viele Spieler hat jede Radball-Mannschaft?</t>
  </si>
  <si>
    <t>Jede Radball-Mannschaft besteht aus zwei Spielern, einem Torwart und einem Feldspieler.</t>
  </si>
  <si>
    <t>How long does a cycle ball game usually last?</t>
  </si>
  <si>
    <t>A. 2 x 7 minutes B. 2 x 10 minutes C. 2 x 5 minutes D. 2 x 15 minutes</t>
  </si>
  <si>
    <t>2 x 7 minutes</t>
  </si>
  <si>
    <t>A cycle ball game usually lasts two halves of 7 minutes each.</t>
  </si>
  <si>
    <t>Wie lange dauert ein Radball-Spiel normalerweise?</t>
  </si>
  <si>
    <t>A. 2 x 7 Minuten B. 2 x 10 Minuten C. 2 x 5 Minuten D. 2 x 15 Minuten</t>
  </si>
  <si>
    <t>2x7 Minuten</t>
  </si>
  <si>
    <t>Ein Radball-Spiel dauert in der Regel zwei Halbzeiten von jeweils 7 Minuten.</t>
  </si>
  <si>
    <t>What happens when the ball leaves the sideline?</t>
  </si>
  <si>
    <t>A. Throw-in for the opposing team B. Free kick C. Corner D. Goal kick</t>
  </si>
  <si>
    <t>Throw-in for the opposing team</t>
  </si>
  <si>
    <t>If the ball leaves the sideline, the opposing team gets a throw-in.</t>
  </si>
  <si>
    <t>Was passiert, wenn der Ball die Seitenlinie verlässt?</t>
  </si>
  <si>
    <t>A. Einwurf für die gegnerische Mannschaft B. Freistoß C. Ecke D. Abstoß</t>
  </si>
  <si>
    <t>Einwurf für die gegnerische Mannschaft</t>
  </si>
  <si>
    <t>Wenn der Ball die Seitenlinie verlässt, erhält die gegnerische Mannschaft einen Einwurf.</t>
  </si>
  <si>
    <t>Which part of the bicycle is allowed to play the ball?</t>
  </si>
  <si>
    <t>A. Only the front wheel B. Only the rear wheel C. Both wheels D. The pedal</t>
  </si>
  <si>
    <t>Only the front wheel</t>
  </si>
  <si>
    <t>In cycle ball, the ball may only be played with the front wheel.</t>
  </si>
  <si>
    <t>Welcher Teil des Fahrrads darf den Ball spielen?</t>
  </si>
  <si>
    <t>A. Nur das Vorderrad B. Nur das Hinterrad C. Beide Räder D. Das Pedal</t>
  </si>
  <si>
    <t>Nur das Vorderrad</t>
  </si>
  <si>
    <t>Im Radball darf der Ball nur mit dem Vorderrad gespielt werden.</t>
  </si>
  <si>
    <t>How high can the goal be in cycle ball?</t>
  </si>
  <si>
    <t>A. 2 meters B. 1.50 meters C. 1.20 meters D. 1.80 meters</t>
  </si>
  <si>
    <t>2 meters</t>
  </si>
  <si>
    <t>The goal in cycle ball is exactly 2 meters high.</t>
  </si>
  <si>
    <t>Wie hoch darf das Tor beim Radball sein?</t>
  </si>
  <si>
    <t>A. 2 Meter B. 1,50 Meter C. 1,20 Meter D. 1,80 Meter</t>
  </si>
  <si>
    <t>Das Tor im Radball hat eine Höhe von genau 2 Metern.</t>
  </si>
  <si>
    <t>How many points does a team receive for a victory?</t>
  </si>
  <si>
    <t>A. Three points B. Two points C. One point D. No points</t>
  </si>
  <si>
    <t>Three points</t>
  </si>
  <si>
    <t>A team receives three points for a win and one point for a draw.</t>
  </si>
  <si>
    <t>Wie viele Punkte erhält eine Mannschaft für einen Sieg?</t>
  </si>
  <si>
    <t>A. Drei Punkte B. Zwei Punkte C. Ein Punkt D. Keine Punkte</t>
  </si>
  <si>
    <t>Drei Punkte</t>
  </si>
  <si>
    <t>Für einen Sieg erhält eine Mannschaft drei Punkte, bei einem Unentschieden einen Punkt.</t>
  </si>
  <si>
    <t>What happens if a player leaves the bicycle with both feet?</t>
  </si>
  <si>
    <t>A. Free kick for the opponent B. Nothing C. penalty kick D. Goal for the opponent</t>
  </si>
  <si>
    <t>Free kick for the opponent</t>
  </si>
  <si>
    <t>If a player leaves the bicycle, the opposing team is awarded a free kick.</t>
  </si>
  <si>
    <t>Was passiert, wenn ein Spieler das Fahrrad mit beiden Füßen verlässt?</t>
  </si>
  <si>
    <t>A. Freistoß für den Gegner B. Nichts C. Elfmeter D. Tor für den Gegner</t>
  </si>
  <si>
    <t>Freistoß für den Gegner</t>
  </si>
  <si>
    <t>Wenn ein Spieler das Fahrrad verlässt, wird der gegnerischen Mannschaft ein Freistoß zugesprochen.</t>
  </si>
  <si>
    <t>How many players are allowed in the goal area?</t>
  </si>
  <si>
    <t>A. Only the goalkeeper B. Both players C. None D. Any number</t>
  </si>
  <si>
    <t>Only the goalkeeper</t>
  </si>
  <si>
    <t>Only the goalkeeper is allowed in the goal area.</t>
  </si>
  <si>
    <t>Wie viele Spieler dürfen sich im Torraum befinden?</t>
  </si>
  <si>
    <t>A. Nur der Torwart B. Beide Spieler C. Keiner D. Beliebige Anzahl</t>
  </si>
  <si>
    <t>Nur der Torwart</t>
  </si>
  <si>
    <t>Im Torraum darf sich nur der Torwart aufhalten.</t>
  </si>
  <si>
    <t>What is the diameter of the ball in cycle ball?</t>
  </si>
  <si>
    <t>A. 17 cm B. 15 cm C. 20 cm D. 12 cm</t>
  </si>
  <si>
    <t>17 cm</t>
  </si>
  <si>
    <t>The ball used in cycle ball has a diameter of 17 cm and is made of leather.</t>
  </si>
  <si>
    <t>Wie groß ist der Durchmesser des Balls im Radball?</t>
  </si>
  <si>
    <t>Der Ball im Radball hat einen Durchmesser von 17 cm und besteht aus Leder.</t>
  </si>
  <si>
    <t>Is it permissible to play the ball with the foot?</t>
  </si>
  <si>
    <t>A. No B. Yes, but only in the goal area C. Yes, everywhere D. Yes, but only from the goalkeeper.</t>
  </si>
  <si>
    <t>No</t>
  </si>
  <si>
    <t>In cycle ball, the ball may only be played with the bicycle, not with the feet.</t>
  </si>
  <si>
    <t>Darf der Ball mit dem Fuß gespielt werden?</t>
  </si>
  <si>
    <t>A. Nein. B. Ja, aber nur im Torraum. C. Ja, überall. D. Ja, aber nur vom Torwart.</t>
  </si>
  <si>
    <t>Nein</t>
  </si>
  <si>
    <t>Der Ball darf im Radball nur mit dem Fahrrad gespielt werden, nicht mit den Füßen.</t>
  </si>
  <si>
    <t>What happens when a foul is committed?</t>
  </si>
  <si>
    <t>A. Free kick for the opponent B. penalty kick C. Game replay D. Nothing</t>
  </si>
  <si>
    <t>A foul results in a free kick for the opposing team.</t>
  </si>
  <si>
    <t>Was passiert bei einem Foulspiel?</t>
  </si>
  <si>
    <t>A. Freistoß für den Gegner B. Elfmeter C. Spielwiederholung D. Nichts</t>
  </si>
  <si>
    <t>Ein Foulspiel führt zu einem Freistoß für die gegnerische Mannschaft.</t>
  </si>
  <si>
    <t>What color is the ball in cycle ball?</t>
  </si>
  <si>
    <t>A. White B. Black C. Red D. Yellow</t>
  </si>
  <si>
    <t>White</t>
  </si>
  <si>
    <t>The ball in cycle ball is traditionally white to be easily visible.</t>
  </si>
  <si>
    <t>Welche Farbe hat der Ball im Radball?</t>
  </si>
  <si>
    <t>A. Weiß B. Schwarz C. Rot D. Gelb</t>
  </si>
  <si>
    <t>Weiß</t>
  </si>
  <si>
    <t>Der Ball im Radball ist traditionell weiß, um gut sichtbar zu sein.</t>
  </si>
  <si>
    <t>How far must the free kick be from the goal line?</t>
  </si>
  <si>
    <t>A. 2 meters B. 5 meters C. 3 meters D. 6 meters</t>
  </si>
  <si>
    <t>5 meters</t>
  </si>
  <si>
    <t>A free kick must be at least 5 meters from the goal line.</t>
  </si>
  <si>
    <t>Wie weit muss der Freistoß von der Torlinie entfernt sein?</t>
  </si>
  <si>
    <t>A. 2 Meter B. 5 Meter C. 3 Meter D. 6 Meter</t>
  </si>
  <si>
    <t>Ein Freistoß muss mindestens 5 Meter von der Torlinie entfernt sein.</t>
  </si>
  <si>
    <t>Is the goalkeeper allowed to touch the ball with his hand?</t>
  </si>
  <si>
    <t>A. No B. Yes C. Only in the goal area D. Only for free kicks</t>
  </si>
  <si>
    <t>In cycle ball, the ball may not be played with the hand, not even by the goalkeeper.</t>
  </si>
  <si>
    <t>Darf der Torwart den Ball mit der Hand berühren?</t>
  </si>
  <si>
    <t>A. Nein B. Ja C. Nur im Torraum D. Nur bei Freistößen</t>
  </si>
  <si>
    <t>Im Radball darf der Ball nicht mit der Hand gespielt werden, auch nicht vom Torwart.</t>
  </si>
  <si>
    <t>How do I start the game?</t>
  </si>
  <si>
    <t>A. With a kick-off B. With a free kick C. With a throw-in D. With a penalty kick</t>
  </si>
  <si>
    <t>With a kick-off</t>
  </si>
  <si>
    <t>The game begins with a kick-off in the center of the field.</t>
  </si>
  <si>
    <t>Wie wird das Spiel gestartet?</t>
  </si>
  <si>
    <t>A. Mit einem Anstoß B. Mit einem Freistoß C. Mit einem Einwurf D. Mit einem Strafstoß</t>
  </si>
  <si>
    <t>Mit einem Anstoß</t>
  </si>
  <si>
    <t>Das Spiel beginnt mit einem Anstoß in der Spielfeldmitte.</t>
  </si>
  <si>
    <t>What is the area of ​​the playing field in cycle ball?</t>
  </si>
  <si>
    <t>A. 14x11 meters B. 10x10 meters C. 20x15 meters D. 12x9 meters</t>
  </si>
  <si>
    <t>14x11 meters</t>
  </si>
  <si>
    <t>The playing field in cycle ball measures 14x11 meters.</t>
  </si>
  <si>
    <t>Welche Fläche hat das Spielfeld im Radball?</t>
  </si>
  <si>
    <t>A. 14 x 11 Meter B. 10 x 10 Meter C. 20 x 15 Meter D. 12 x 9 Meter</t>
  </si>
  <si>
    <t>14x11 Meter</t>
  </si>
  <si>
    <t>Das Spielfeld im Radball misst 14x11 Meter.</t>
  </si>
  <si>
    <t>How many goals count towards a victory?</t>
  </si>
  <si>
    <t>A. More than the opponent B. At least 3 C. Just as many as the opponent D. 10 goals</t>
  </si>
  <si>
    <t>More than the opponent</t>
  </si>
  <si>
    <t>A team wins if it scores more goals than its opponent.</t>
  </si>
  <si>
    <t>Wie viele Tore zählen für einen Sieg?</t>
  </si>
  <si>
    <t>A. Mehr als der Gegner. B. Mindestens 3. C. Genauso viele wie der Gegner. D. 10 Tore.</t>
  </si>
  <si>
    <t>Mehr als der Gegner</t>
  </si>
  <si>
    <t>Eine Mannschaft gewinnt, wenn sie mehr Tore als der Gegner erzielt.</t>
  </si>
  <si>
    <t>What happens if both teams score the same number of goals?</t>
  </si>
  <si>
    <t>A. The game ends in a draw. B. There is an extension C. A penalty shootout will be held. D. The game is repeated</t>
  </si>
  <si>
    <t>The game ends in a draw.</t>
  </si>
  <si>
    <t>If the teams have the same number of goals, the game ends in a draw.</t>
  </si>
  <si>
    <t>Was passiert, wenn beide Teams gleich viele Tore haben?</t>
  </si>
  <si>
    <t>A. Das Spiel endet unentschieden. B. Es gibt eine Verlängerung. C. Es findet ein Elfmeterschießen statt. D. Das Spiel wird wiederholt.</t>
  </si>
  <si>
    <t>Das Spiel endet unentschieden</t>
  </si>
  <si>
    <t>Bei gleicher Toranzahl endet das Spiel unentschieden.</t>
  </si>
  <si>
    <t>How heavy is the cycle ball?</t>
  </si>
  <si>
    <t>A. 500 grams B. 600 grams C. 450 grams D. 700 grams</t>
  </si>
  <si>
    <t>500 grams</t>
  </si>
  <si>
    <t>The ball used in cycle ball weighs exactly 500 grams.</t>
  </si>
  <si>
    <t>Wie schwer ist der Radball-Ball?</t>
  </si>
  <si>
    <t>A. 500 Gramm B. 600 Gramm C. 450 Gramm D. 700 Gramm</t>
  </si>
  <si>
    <t>500 Gramm</t>
  </si>
  <si>
    <t>Der Ball im Radball wiegt genau 500 Gramm.</t>
  </si>
  <si>
    <t>What happens when a goal is scored?</t>
  </si>
  <si>
    <t>A. The game will resume with a kick-off. B. The goal is replayed C. There will be a penalty kick D. The goal does not count</t>
  </si>
  <si>
    <t>The game will resume with a kick-off.</t>
  </si>
  <si>
    <t>After a goal, the game continues with a kick-off in the middle.</t>
  </si>
  <si>
    <t>Was passiert bei einem Tor?</t>
  </si>
  <si>
    <t>A. Das Spiel wird mit einem Anstoß fortgesetzt. B. Das Tor wird wiederholt. C. Es gibt einen Elfmeter. D. Das Tor zählt nicht.</t>
  </si>
  <si>
    <t>Das Spiel wird mit einem Anstoß fortgesetzt</t>
  </si>
  <si>
    <t>Nach einem Tor wird das Spiel mit einem Anstoß in der Mitte fortgesetzt.</t>
  </si>
  <si>
    <t>Who decides on disputed situations in the game?</t>
  </si>
  <si>
    <t>A. The referee B. The players C. The captain D. The audience</t>
  </si>
  <si>
    <t>The referee</t>
  </si>
  <si>
    <t>The referee is the highest authority and decides in disputed situations.</t>
  </si>
  <si>
    <t>Wer entscheidet über strittige Situationen im Spiel?</t>
  </si>
  <si>
    <t>A. Der Schiedsrichter B. Die Spieler C. Der Kapitän D. Das Publikum</t>
  </si>
  <si>
    <t>Der Schiedsrichter ist die höchste Instanz und entscheidet bei strittigen Situationen.</t>
  </si>
  <si>
    <t>What happens if the ball goes out of bounds?</t>
  </si>
  <si>
    <t>A. goal kick B. throw-in C. Free kick D. penalty kick</t>
  </si>
  <si>
    <t>goal kick</t>
  </si>
  <si>
    <t>A goal kick is taken when the ball goes out of bounds.</t>
  </si>
  <si>
    <t>Was passiert, wenn der Ball im Toraus landet?</t>
  </si>
  <si>
    <t>A. Abstoß B. Einwurf C. Freistoß D. Strafstoß</t>
  </si>
  <si>
    <t>Abstoß</t>
  </si>
  <si>
    <t>Ein Abstoß wird ausgeführt, wenn der Ball das Toraus überschreitet.</t>
  </si>
  <si>
    <t>How many referees are involved in a cycle ball match?</t>
  </si>
  <si>
    <t>A. One B. Two C. Three D. None</t>
  </si>
  <si>
    <t>A referee oversees the game and makes the decisions.</t>
  </si>
  <si>
    <t>Wie viele Schiedsrichter sind bei einem Radball-Spiel im Einsatz?</t>
  </si>
  <si>
    <t>A. Eins B. Zwei C. Drei D. Keine</t>
  </si>
  <si>
    <t>Einer</t>
  </si>
  <si>
    <t>Ein Schiedsrichter überwacht das Spiel und trifft die Entscheidungen.</t>
  </si>
  <si>
    <t>Is it permissible to deliberately play the ball with the frame of the bicycle?</t>
  </si>
  <si>
    <t>A. No B. Yes C. Only for free kicks D. Only in the penalty area</t>
  </si>
  <si>
    <t>The ball must not be deliberately played with the frame of the bicycle.</t>
  </si>
  <si>
    <t>Darf der Ball absichtlich mit dem Rahmen des Fahrrads gespielt werden?</t>
  </si>
  <si>
    <t>A. Nein B. Ja C. Nur bei Freistößen D. Nur im Strafraum</t>
  </si>
  <si>
    <t>Der Ball darf nicht absichtlich mit dem Rahmen des Fahrrads gespielt werden.</t>
  </si>
  <si>
    <t>How long is a player allowed to remain in possession of the ball?</t>
  </si>
  <si>
    <t>A. For any length of time B. 5 seconds C. 10 seconds D. 20 seconds</t>
  </si>
  <si>
    <t>For any length of time</t>
  </si>
  <si>
    <t>There is no time limit on a player's possession of the ball.</t>
  </si>
  <si>
    <t>Wie lange darf ein Spieler im Ballbesitz bleiben?</t>
  </si>
  <si>
    <t>A. Beliebig lang. B. 5 Sekunden. C. 10 Sekunden. D. 20 Sekunden.</t>
  </si>
  <si>
    <t>Beliebig lange</t>
  </si>
  <si>
    <t>Es gibt keine zeitliche Begrenzung für den Ballbesitz eines Spielers.</t>
  </si>
  <si>
    <t>What is the maximum height at which the ball can be played?</t>
  </si>
  <si>
    <t>A. 1.50 meters B. 2 meters C. Any height D. 3 meters</t>
  </si>
  <si>
    <t>The ball may be played a maximum height of 2 meters.</t>
  </si>
  <si>
    <t>Wie hoch darf der Ball maximal gespielt werden?</t>
  </si>
  <si>
    <t>A. 1,50 Meter B. 2 Meter C. Beliebige Höhe D. 3 Meter</t>
  </si>
  <si>
    <t>Der Ball darf maximal 2 Meter hoch gespielt werden.</t>
  </si>
  <si>
    <t>How is a penalty kick taken?</t>
  </si>
  <si>
    <t>A. From a distance of 4 meters B. From a distance of 6 meters C. From a distance of 8 meters D. From a distance of 5 meters</t>
  </si>
  <si>
    <t>From a distance of 4 meters</t>
  </si>
  <si>
    <t>A penalty kick is taken from a distance of 4 meters.</t>
  </si>
  <si>
    <t>Wie wird ein Strafstoß ausgeführt?</t>
  </si>
  <si>
    <t>A. Aus einer Entfernung von 4 Metern. B. Aus einer Entfernung von 6 Metern. C. Aus einer Entfernung von 8 Metern. D. Aus einer Entfernung von 5 Metern.</t>
  </si>
  <si>
    <t>Aus 4 Metern Entfernung</t>
  </si>
  <si>
    <t>Ein Strafstoß wird aus einer Entfernung von 4 Metern ausgeführt.</t>
  </si>
  <si>
    <t>What is the maximum time a team has to launch an attack?</t>
  </si>
  <si>
    <t>30 seconds</t>
  </si>
  <si>
    <t>A team has a maximum of 30 seconds to launch an attack.</t>
  </si>
  <si>
    <t>Was ist die maximale Zeit, die ein Team hat, um einen Angriff zu starten?</t>
  </si>
  <si>
    <t>Ein Team hat maximal 30 Sekunden, um einen Angriff zu starten.</t>
  </si>
  <si>
    <t>What happens if a player accidentally touches the ball with their hand?</t>
  </si>
  <si>
    <t>A. Free kick for the opponent B. penalty kick C. Nothing D. throw-in</t>
  </si>
  <si>
    <t>An accidental handball results in a free kick for the opponent.</t>
  </si>
  <si>
    <t>Was passiert, wenn ein Spieler den Ball versehentlich mit der Hand berührt?</t>
  </si>
  <si>
    <t>A. Freistoß für den Gegner B. Elfmeter C. Nichts D. Einwurf</t>
  </si>
  <si>
    <t>Ein versehentliches Handspiel führt zu einem Freistoß für den Gegner.</t>
  </si>
  <si>
    <t>How many substitute players is a team allowed to have?</t>
  </si>
  <si>
    <t>Each team is allowed a maximum of one substitute player.</t>
  </si>
  <si>
    <t>Wie viele Ersatzspieler darf ein Team haben?</t>
  </si>
  <si>
    <t>Einen</t>
  </si>
  <si>
    <t>Jedes Team darf maximal einen Ersatzspieler haben.</t>
  </si>
  <si>
    <t>Is the goalkeeper allowed to leave the field of play?</t>
  </si>
  <si>
    <t>A. Yes B. No C. Only in the event of an attack D. Only in the case of a free kick</t>
  </si>
  <si>
    <t>The goalkeeper is allowed to leave the field, but at his own risk.</t>
  </si>
  <si>
    <t>Darf der Torwart das Spielfeld verlassen?</t>
  </si>
  <si>
    <t>A. Ja. B. Nein. C. Nur im Falle eines Angriffs. D. Nur bei einem Freistoß.</t>
  </si>
  <si>
    <t>Der Torwart darf das Spielfeld verlassen, jedoch auf eigenes Risiko.</t>
  </si>
  <si>
    <t>How long can a game be interrupted before it is considered abandoned?</t>
  </si>
  <si>
    <t>A. 5 minutes B. 10 minutes C. 15 minutes D. 20 minutes</t>
  </si>
  <si>
    <t>10 minutes</t>
  </si>
  <si>
    <t>A game may be interrupted for a maximum of 10 minutes.</t>
  </si>
  <si>
    <t>Wie lange darf ein Spiel unterbrochen werden, ohne dass es abgebrochen wird?</t>
  </si>
  <si>
    <t>A. 5 Minuten B. 10 Minuten C. 15 Minuten D. 20 Minuten</t>
  </si>
  <si>
    <t>10 Minuten</t>
  </si>
  <si>
    <t>Ein Spiel darf maximal 10 Minuten unterbrochen werden.</t>
  </si>
  <si>
    <t>What happens if a player is injured during the game?</t>
  </si>
  <si>
    <t>A. The game is paused. B. The player remains in the game C. The team continues playing D. The referee decides</t>
  </si>
  <si>
    <t>The referee decides</t>
  </si>
  <si>
    <t>The referee decides whether the game is stopped or continues.</t>
  </si>
  <si>
    <t>Was passiert, wenn ein Spieler während des Spiels verletzt wird?</t>
  </si>
  <si>
    <t>A. Das Spiel wird unterbrochen. B. Der Spieler bleibt im Spiel. C. Die Mannschaft spielt weiter. D. Der Schiedsrichter entscheidet.</t>
  </si>
  <si>
    <t>Der Schiedsrichter entscheidet, ob das Spiel angehalten wird oder weitergeht.</t>
  </si>
  <si>
    <t>How far away must opposing players be during a free kick?</t>
  </si>
  <si>
    <t>A. 2 meters B. 3 meters C. 5 meters D. Any distance</t>
  </si>
  <si>
    <t>Opponents must maintain a distance of at least 2 meters during a free kick.</t>
  </si>
  <si>
    <t>Wie weit müssen Gegenspieler bei einem Freistoß entfernt sein?</t>
  </si>
  <si>
    <t>A. 2 Meter B. 3 Meter C. 5 Meter D. Beliebige Entfernung</t>
  </si>
  <si>
    <t>Gegenspieler müssen mindestens 2 Meter Abstand bei einem Freistoß halten.</t>
  </si>
  <si>
    <t>How many points does a team receive for a draw?</t>
  </si>
  <si>
    <t>A. One point B. Two points C. Three points D. No points</t>
  </si>
  <si>
    <t>Each team receives one point for a draw.</t>
  </si>
  <si>
    <t>Wie viele Punkte erhält ein Team für ein Unentschieden?</t>
  </si>
  <si>
    <t>A. Ein Punkt B. Zwei Punkte C. Drei Punkte D. Keine Punkte</t>
  </si>
  <si>
    <t>Einen Punkt</t>
  </si>
  <si>
    <t>Für ein Unentschieden erhält jedes Team einen Punkt.</t>
  </si>
  <si>
    <t>When is a throw-in made?</t>
  </si>
  <si>
    <t>A. When the ball leaves the sideline B. In case of a foul C. After a goal D. After a clearance</t>
  </si>
  <si>
    <t>When the ball leaves the sideline</t>
  </si>
  <si>
    <t>A throw-in is taken when the ball leaves the touchline.</t>
  </si>
  <si>
    <t>Wann wird ein Einwurf durchgeführt?</t>
  </si>
  <si>
    <t>A. Wenn der Ball die Seitenlinie verlässt. B. Im Falle eines Fouls. C. Nach einem Tor. D. Nach einer Klärungsaktion.</t>
  </si>
  <si>
    <t>Wenn der Ball die Seitenlinie verlässt</t>
  </si>
  <si>
    <t>Ein Einwurf wird durchgeführt, wenn der Ball die Seitenlinie verlässt.</t>
  </si>
  <si>
    <t>What is the maximum number of players allowed on the field at the same time?</t>
  </si>
  <si>
    <t>A. Four B. Six C. Eight D. Ten</t>
  </si>
  <si>
    <t>Four</t>
  </si>
  <si>
    <t>A maximum of four players are allowed on the playing field at the same time, two per team.</t>
  </si>
  <si>
    <t>Wie viele Spieler dürfen maximal gleichzeitig auf dem Spielfeld stehen?</t>
  </si>
  <si>
    <t>A. Vier B. Sechs C. Acht D. Zehn</t>
  </si>
  <si>
    <t>Maximal vier Spieler dürfen gleichzeitig auf dem Spielfeld stehen, zwei pro Team.</t>
  </si>
  <si>
    <t>Is it permissible to play the ball directly into the goal?</t>
  </si>
  <si>
    <t>A. Yes B. No C. Only for free kicks D. Only for penalty kicks</t>
  </si>
  <si>
    <t>A ball may be played directly into the goal without another player touching it.</t>
  </si>
  <si>
    <t>Darf der Ball direkt ins Tor gespielt werden?</t>
  </si>
  <si>
    <t>A. Ja B. Nein C. Nur bei Freistößen D. Nur bei Elfmetern</t>
  </si>
  <si>
    <t>Ein Ball darf direkt ins Tor gespielt werden, ohne dass ein anderer Spieler ihn berührt.</t>
  </si>
  <si>
    <t>What clothing is mandatory in cycle ball?</t>
  </si>
  <si>
    <t>A. Jersey and shorts B. Any clothing C. Jersey and long pants D. tracksuit</t>
  </si>
  <si>
    <t>Jersey and shorts</t>
  </si>
  <si>
    <t>Players must wear a jersey and shorts to participate in the game.</t>
  </si>
  <si>
    <t>Welche Kleidung ist beim Radball Pflicht?</t>
  </si>
  <si>
    <t>A. Trikot und Shorts B. Beliebige Kleidung C. Trikot und lange Hose D. Trainingsanzug</t>
  </si>
  <si>
    <t>Trikot und Shorts</t>
  </si>
  <si>
    <t>Spieler müssen Trikot und Shorts tragen, um am Spiel teilzunehmen.</t>
  </si>
  <si>
    <t>How many goals need to be scored to win a game?</t>
  </si>
  <si>
    <t>A. More than the opponent B. At least 5 C. Just as many as the opponent D. 10 goals</t>
  </si>
  <si>
    <t>Wie viele Tore müssen erzielt werden, um ein Spiel zu gewinnen?</t>
  </si>
  <si>
    <t>A. Mehr als der Gegner. B. Mindestens 5. C. Genauso viele wie der Gegner. D. 10 Tore.</t>
  </si>
  <si>
    <t>Ein Team gewinnt, wenn es mehr Tore als der Gegner erzielt.</t>
  </si>
  <si>
    <t>What happens if a player deliberately obstructs an opponent?</t>
  </si>
  <si>
    <t>A. Free kick for the opponent B. penalty kick C. goal kick D. Game replay</t>
  </si>
  <si>
    <t>Intentional obstruction results in a free kick for the opposing team.</t>
  </si>
  <si>
    <t>Was passiert, wenn ein Spieler absichtlich einen Gegenspieler behindert?</t>
  </si>
  <si>
    <t>A. Freistoß für den Gegner B. Elfmeter C. Abstoß D. Spielwiederholung</t>
  </si>
  <si>
    <t>Absichtliches Behindern führt zu einem Freistoß für das gegnerische Team.</t>
  </si>
  <si>
    <t>How many seconds does a player have to take a free kick?</t>
  </si>
  <si>
    <t>A. 5 seconds B. 10 seconds C. 15 seconds D. For any length of time</t>
  </si>
  <si>
    <t>5 seconds</t>
  </si>
  <si>
    <t>A free kick must be taken within 5 seconds.</t>
  </si>
  <si>
    <t>Wie viele Sekunden hat ein Spieler, um einen Freistoß auszuführen?</t>
  </si>
  <si>
    <t>A. 5 Sekunden B. 10 Sekunden C. 15 Sekunden D. Beliebige Zeitspanne</t>
  </si>
  <si>
    <t>5 Sekunden</t>
  </si>
  <si>
    <t>Ein Freistoß muss innerhalb von 5 Sekunden ausgeführt werden.</t>
  </si>
  <si>
    <t>What happens if both teams commit a foul at the same time?</t>
  </si>
  <si>
    <t>A. Referee's ball B. Free kick for one of the teams C. penalty kick D. Game abandoned</t>
  </si>
  <si>
    <t>Referee's ball</t>
  </si>
  <si>
    <t>In the case of a double foul, the referee decides to award a dropped ball.</t>
  </si>
  <si>
    <t>Was passiert, wenn beide Teams gleichzeitig ein Foul begehen?</t>
  </si>
  <si>
    <t>A. Schiedsrichterball B. Freistoß für eine der Mannschaften C. Elfmeter D. Spielabbruch</t>
  </si>
  <si>
    <t>Schiedsrichterball</t>
  </si>
  <si>
    <t>Bei einem Doppelfoul entscheidet der Schiedsrichter auf Schiedsrichterball.</t>
  </si>
  <si>
    <t>How long does a half last in a cycle ball game?</t>
  </si>
  <si>
    <t>A. 7 minutes B. 10 minutes C. 12 minutes D. 15 minutes</t>
  </si>
  <si>
    <t>7 minutes</t>
  </si>
  <si>
    <t>A half in cycle ball lasts 7 minutes.</t>
  </si>
  <si>
    <t>Wie lange dauert eine Halbzeit in einem Radball-Spiel?</t>
  </si>
  <si>
    <t>A. 7 Minuten B. 10 Minuten C. 12 Minuten D. 15 Minuten</t>
  </si>
  <si>
    <t>7 Minuten</t>
  </si>
  <si>
    <t>Eine Halbzeit dauert im Radball 7 Minuten.</t>
  </si>
  <si>
    <t>How does the game continue if the ball touches the ceiling?</t>
  </si>
  <si>
    <t>A. Referee's ball B. Free kick C. throw-in D. goal kick</t>
  </si>
  <si>
    <t>If the ball touches the ceiling, play continues with a referee's ball.</t>
  </si>
  <si>
    <t>Wie wird das Spiel fortgesetzt, wenn der Ball die Decke berührt?</t>
  </si>
  <si>
    <t>A. Schiedsrichterball B. Freistoß C. Einwurf D. Abstoß</t>
  </si>
  <si>
    <t>Wenn der Ball die Decke berührt, wird mit einem Schiedsrichterball fortgesetzt.</t>
  </si>
  <si>
    <t>What happens if the goalkeeper touches the ball with his hand?</t>
  </si>
  <si>
    <t>A. Free kick for the opponent B. penalty kick C. Nothing D. Game abandoned</t>
  </si>
  <si>
    <t>The goalkeeper must not touch the ball with his hand; this results in a free kick.</t>
  </si>
  <si>
    <t>Was passiert, wenn der Torwart den Ball mit der Hand berührt?</t>
  </si>
  <si>
    <t>A. Freistoß für den Gegner B. Elfmeter C. Nichts D. Spielabbruch</t>
  </si>
  <si>
    <t>Der Torwart darf den Ball nicht mit der Hand berühren; dies führt zu einem Freistoß.</t>
  </si>
  <si>
    <t>What is the minimum size for the playing field?</t>
  </si>
  <si>
    <t>A. 9 x 12 meters B. 10 x 14 meters C. 12 x 16 meters D. 8 x 10 meters</t>
  </si>
  <si>
    <t>9 x 12 meters</t>
  </si>
  <si>
    <t>The playing field must be at least 9 x 12 meters in size.</t>
  </si>
  <si>
    <t>Was ist die Mindestgröße für das Spielfeld?</t>
  </si>
  <si>
    <t>A. 9 x 12 Meter B. 10 x 14 Meter C. 12 x 16 Meter D. 8 x 10 Meter</t>
  </si>
  <si>
    <t>9 x 12 Meter</t>
  </si>
  <si>
    <t>Das Spielfeld muss mindestens 9 x 12 Meter groß sein.</t>
  </si>
  <si>
    <t>What happens if a team arrives late for the game?</t>
  </si>
  <si>
    <t>A. The defeat will be counted. B. The game will be rescheduled. C. The referee decides D. Game abandoned</t>
  </si>
  <si>
    <t>The defeat will be counted.</t>
  </si>
  <si>
    <t>A team that arrives late automatically loses the game.</t>
  </si>
  <si>
    <t>Was passiert, wenn ein Team zu spät zum Spiel erscheint?</t>
  </si>
  <si>
    <t>A. Die Niederlage wird gewertet. B. Das Spiel wird neu angesetzt. C. Der Schiedsrichter entscheidet. D. Das Spiel wird abgebrochen.</t>
  </si>
  <si>
    <t>Niederlage wird gewertet</t>
  </si>
  <si>
    <t>Ein Team, das zu spät erscheint, verliert das Spiel automatisch.</t>
  </si>
  <si>
    <t>How many times can a player be substituted during the game?</t>
  </si>
  <si>
    <t>A. Unlimited B. Once C. Twice D. Three times</t>
  </si>
  <si>
    <t>Unlimited</t>
  </si>
  <si>
    <t>A player can be substituted an unlimited number of times.</t>
  </si>
  <si>
    <t>Wie oft darf ein Spieler während des Spiels ausgewechselt werden?</t>
  </si>
  <si>
    <t>A. Unbegrenzt B. Einmal C. Zweimal D. Dreimal</t>
  </si>
  <si>
    <t>Ein Spieler darf unbegrenzt oft ausgewechselt werden.</t>
  </si>
  <si>
    <t>What color is the ball normally in cycle ball?</t>
  </si>
  <si>
    <t>A. White B. Orange C. Yellow D. Blue</t>
  </si>
  <si>
    <t>The ball in cycle ball is normally white.</t>
  </si>
  <si>
    <t>Welche Farbe hat der Ball im Radball normalerweise?</t>
  </si>
  <si>
    <t>A. Weiß B. Orange C. Gelb D. Blau</t>
  </si>
  <si>
    <t>Der Ball im Radball ist normalerweise weiß.</t>
  </si>
  <si>
    <t>What is the maximum speed at which a ball may be played?</t>
  </si>
  <si>
    <t>A. 20 km/h B. 30 km/h C. 50 km/h D. No limit</t>
  </si>
  <si>
    <t>50 km/h</t>
  </si>
  <si>
    <t>The ball must not exceed a speed of 50 km/h.</t>
  </si>
  <si>
    <t>Was ist die maximale Geschwindigkeit, mit der ein Ball gespielt werden darf?</t>
  </si>
  <si>
    <t>A. 20 km/h B. 30 km/h C. 50 km/h D. Keine Geschwindigkeitsbegrenzung</t>
  </si>
  <si>
    <t>Der Ball darf eine Geschwindigkeit von 50 km/h nicht überschreiten.</t>
  </si>
  <si>
    <t>Is a goal allowed if the ball was played with the head?</t>
  </si>
  <si>
    <t>A. Yes B. No C. Only outside the penalty area D. Only for free kicks</t>
  </si>
  <si>
    <t>A goal can also be scored by playing the ball with the head.</t>
  </si>
  <si>
    <t>Darf ein Tor erzielt werden, wenn der Ball mit dem Kopf gespielt wurde?</t>
  </si>
  <si>
    <t>A. Ja B. Nein C. Nur außerhalb des Strafraums D. Nur bei Freistößen</t>
  </si>
  <si>
    <t>Ein Tor kann auch erzielt werden, wenn der Ball mit dem Kopf gespielt wird.</t>
  </si>
  <si>
    <t>What happens if a team deliberately wastes time?</t>
  </si>
  <si>
    <t>A. Free kick for the opponent B. penalty kick C. Yellow card D. Game abandoned</t>
  </si>
  <si>
    <t>Time-wasting is punished with a free kick for the opposing team.</t>
  </si>
  <si>
    <t>Was passiert, wenn ein Team absichtlich Zeitspiel betreibt?</t>
  </si>
  <si>
    <t>A. Freistoß für den Gegner B. Elfmeter C. Gelbe Karte D. Spielabbruch</t>
  </si>
  <si>
    <t>Zeitspiel wird mit einem Freistoß für das gegnerische Team bestraft.</t>
  </si>
  <si>
    <t>What type of bicycle is allowed in cycle ball?</t>
  </si>
  <si>
    <t>A. Special cycle ball bicycles B. Mountain bikes C. racing bikes D. Any bicycles</t>
  </si>
  <si>
    <t>Special cycle ball bicycles</t>
  </si>
  <si>
    <t>In cycle ball, only specially made bicycles are allowed.</t>
  </si>
  <si>
    <t>Welche Art von Fahrrad ist im Radball erlaubt?</t>
  </si>
  <si>
    <t>A. Spezielle Fahrräder mit Kugelgelenken B. Mountainbikes C. Rennräder D. Alle Fahrräder</t>
  </si>
  <si>
    <t>Spezielle Radball-Fahrräder</t>
  </si>
  <si>
    <t>Im Radball sind nur speziell angefertigte Fahrräder erlaubt.</t>
  </si>
  <si>
    <t>What happens when a red card is issued?</t>
  </si>
  <si>
    <t>A. Player is excluded B. Player receives a warning C. Free kick for the opponent D. Game abandoned</t>
  </si>
  <si>
    <t>Player is excluded</t>
  </si>
  <si>
    <t>A player who receives a red card is excluded from the game.</t>
  </si>
  <si>
    <t>Was passiert bei einer roten Karte?</t>
  </si>
  <si>
    <t>A. Spieler wird des Feldes verwiesen. B. Spieler erhält eine Verwarnung. C. Freistoß für den Gegner. D. Spielabbruch.</t>
  </si>
  <si>
    <t>Spieler wird ausgeschlossen</t>
  </si>
  <si>
    <t>Ein Spieler, der eine rote Karte erhält, wird vom Spiel ausgeschlossen.</t>
  </si>
  <si>
    <t>How many points are awarded for winning a tournament?</t>
  </si>
  <si>
    <t>A. 3 points B. 2 points C. 1 point D. No points</t>
  </si>
  <si>
    <t>3 points</t>
  </si>
  <si>
    <t>A win earns the team 3 points.</t>
  </si>
  <si>
    <t>Wie viele Punkte gibt es für einen Sieg in einem Turnier?</t>
  </si>
  <si>
    <t>A. 3 Punkte B. 2 Punkte C. 1 Punkt D. Keine Punkte</t>
  </si>
  <si>
    <t>3 Punkte</t>
  </si>
  <si>
    <t>Ein Sieg bringt dem Team 3 Punkte ein.</t>
  </si>
  <si>
    <t>What happens if a game ends in a draw?</t>
  </si>
  <si>
    <t>A. Both teams receive 1 point. B. Both teams receive 2 points. C. The game is repeated D. The team with the most shots on goal wins.</t>
  </si>
  <si>
    <t>Both teams receive 1 point.</t>
  </si>
  <si>
    <t>In the event of a draw, both teams receive 1 point.</t>
  </si>
  <si>
    <t>Was passiert, wenn ein Spiel unentschieden endet?</t>
  </si>
  <si>
    <t>A. Beide Mannschaften erhalten 1 Punkt. B. Beide Mannschaften erhalten 2 Punkte. C. Das Spiel wird wiederholt. D. Die Mannschaft mit den meisten Torschüssen gewinnt.</t>
  </si>
  <si>
    <t>Beide Teams erhalten 1 Punkt</t>
  </si>
  <si>
    <t>Bei einem Unentschieden erhalten beide Teams 1 Punkt.</t>
  </si>
  <si>
    <t>How far is the ball allowed to roll during a goal kick?</t>
  </si>
  <si>
    <t>A. Any distance B. Maximum up to the center line C. Only up to the opponent's penalty area D. 10 meters</t>
  </si>
  <si>
    <t>Any distance</t>
  </si>
  <si>
    <t>The ball may roll any distance during the kickoff.</t>
  </si>
  <si>
    <t>Wie weit darf der Ball bei einem Abstoß rollen?</t>
  </si>
  <si>
    <t>A. Beliebige Distanz. B. Maximal bis zur Mittellinie. C. Nur bis zum gegnerischen Strafraum. D. 10 Meter.</t>
  </si>
  <si>
    <t>Beliebig weit</t>
  </si>
  <si>
    <t>Der Ball darf beim Abstoß beliebig weit rollen.</t>
  </si>
  <si>
    <t>When is a player allowed to enter the penalty area?</t>
  </si>
  <si>
    <t>A. Always B. Only if he controls the ball C. Only in the event of an attack D. Only in the case of a free kick</t>
  </si>
  <si>
    <t>Always</t>
  </si>
  <si>
    <t>Players are allowed to enter the penalty area at any time.</t>
  </si>
  <si>
    <t>Wann darf ein Spieler den Strafraum betreten?</t>
  </si>
  <si>
    <t>A. Immer. B. Nur wenn er den Ball kontrolliert. C. Nur im Falle eines Angriffs. D. Nur bei einem Freistoß.</t>
  </si>
  <si>
    <t>Immer</t>
  </si>
  <si>
    <t>Spieler dürfen den Strafraum jederzeit betreten.</t>
  </si>
  <si>
    <t>What is the maximum height allowed for goals in cycle ball?</t>
  </si>
  <si>
    <t>A. 2 meters B. 1.5 meters C. 2.5 meters D. Any height</t>
  </si>
  <si>
    <t>The goals in cycle ball may be a maximum of 2 meters high.</t>
  </si>
  <si>
    <t>Welche Höhe dürfen die Tore im Radball haben?</t>
  </si>
  <si>
    <t>A. 2 Meter B. 1,5 Meter C. 2,5 Meter D. Beliebige Höhe</t>
  </si>
  <si>
    <t>Die Tore im Radball dürfen maximal 2 Meter hoch sein.</t>
  </si>
  <si>
    <t>What happens if a player deliberately plays the ball with their foot?</t>
  </si>
  <si>
    <t>A. Free kick for the opponent B. penalty kick C. Yellow card D. Continue playing</t>
  </si>
  <si>
    <t>Playing the ball with your foot is not allowed and will be punished with a free kick.</t>
  </si>
  <si>
    <t>Was passiert, wenn ein Spieler den Ball absichtlich mit dem Fuß spielt?</t>
  </si>
  <si>
    <t>A. Freistoß für den Gegner B. Elfmeter C. Gelbe Karte D. Weiterspiel</t>
  </si>
  <si>
    <t>Das Spielen des Balls mit dem Fuß ist nicht erlaubt und wird mit einem Freistoß bestraft.</t>
  </si>
  <si>
    <t>How many players per team are on the field?</t>
  </si>
  <si>
    <t>A. 2 players B. 3 players C. 4 players D. 5 players</t>
  </si>
  <si>
    <t>2 players</t>
  </si>
  <si>
    <t>In cycle ball, 2 players per team play on the field.</t>
  </si>
  <si>
    <t>Wie viele Spieler sind pro Team auf dem Feld?</t>
  </si>
  <si>
    <t>A. 2 Spieler B. 3 Spieler C. 4 Spieler D. 5 Spieler</t>
  </si>
  <si>
    <t>2 Spieler</t>
  </si>
  <si>
    <t>Im Radball spielen pro Team 2 Spieler auf dem Feld.</t>
  </si>
  <si>
    <t>How long can a player control the ball without passing?</t>
  </si>
  <si>
    <t>A. 3 seconds B. 5 seconds C. 10 seconds D. No limit</t>
  </si>
  <si>
    <t>A player may control the ball for a maximum of 5 seconds without passing.</t>
  </si>
  <si>
    <t>Wie lange darf ein Spieler den Ball kontrollieren, ohne zu passen?</t>
  </si>
  <si>
    <t>A. 3 Sekunden B. 5 Sekunden C. 10 Sekunden D. Keine Begrenzung</t>
  </si>
  <si>
    <t>Ein Spieler darf den Ball maximal 5 Sekunden kontrollieren, ohne zu passen.</t>
  </si>
  <si>
    <t>What is the minimum width required for the playing field?</t>
  </si>
  <si>
    <t>A. 9 meters B. 10 meters C. 12 meters D. 15 meters</t>
  </si>
  <si>
    <t>9 meters</t>
  </si>
  <si>
    <t>The playing field must be at least 9 meters wide.</t>
  </si>
  <si>
    <t>Welche Mindestbreite muss das Spielfeld haben?</t>
  </si>
  <si>
    <t>A. 9 Meter B. 10 Meter C. 12 Meter D. 15 Meter</t>
  </si>
  <si>
    <t>9 Meter</t>
  </si>
  <si>
    <t>Das Spielfeld muss mindestens 9 Meter breit sein.</t>
  </si>
  <si>
    <t>What type of protective clothing is required for players?</t>
  </si>
  <si>
    <t>A. No B. helmet C. shin guards D. Gloves</t>
  </si>
  <si>
    <t>There is no specific protective clothing requirement in cycle ball.</t>
  </si>
  <si>
    <t>Welche Art von Schutzkleidung ist für Spieler vorgeschrieben?</t>
  </si>
  <si>
    <t>A. Nein B. Helm C. Schienbeinschoner D. Handschuhe</t>
  </si>
  <si>
    <t>Keine</t>
  </si>
  <si>
    <t>Es gibt keine spezifische Schutzkleidungsvorschrift im Radball.</t>
  </si>
  <si>
    <t>A. throw-in B. Free kick C. Referee's ball D. goal kick</t>
  </si>
  <si>
    <t>throw-in</t>
  </si>
  <si>
    <t>If the ball goes out of bounds, the game continues with a throw-in.</t>
  </si>
  <si>
    <t>Was passiert, wenn der Ball im Seitenaus landet?</t>
  </si>
  <si>
    <t>A. Einwurf B. Freistoß C. Schiedsrichterball D. Abstoß</t>
  </si>
  <si>
    <t>Einwurf</t>
  </si>
  <si>
    <t>Wenn der Ball im Seitenaus landet, wird das Spiel mit einem Einwurf fortgesetzt.</t>
  </si>
  <si>
    <t>What color is the penalty area line normally?</t>
  </si>
  <si>
    <t>A. White B. Yellow C. Blue D. Green</t>
  </si>
  <si>
    <t>The penalty area line is normally white.</t>
  </si>
  <si>
    <t>Welche Farbe hat die Strafraumlinie normalerweise?</t>
  </si>
  <si>
    <t>A. Weiß B. Gelb C. Blau D. Grün</t>
  </si>
  <si>
    <t>Die Strafraumlinie ist normalerweise weiß.</t>
  </si>
  <si>
    <t>When is a player allowed to replace his goalkeeper?</t>
  </si>
  <si>
    <t>A. Only in case of injury B. Anytime C. After halftime D. Only if one goal</t>
  </si>
  <si>
    <t>Anytime</t>
  </si>
  <si>
    <t>A player may replace the goalkeeper at any time.</t>
  </si>
  <si>
    <t>Wann darf ein Spieler seinen Torwart ersetzen?</t>
  </si>
  <si>
    <t>A. Nur im Falle einer Verletzung. B. Jederzeit. C. Nach der Halbzeit. D. Nur wenn ein Tor erzielt wurde.</t>
  </si>
  <si>
    <t>Jederzeit</t>
  </si>
  <si>
    <t>Ein Spieler darf den Torwart jederzeit ersetzen.</t>
  </si>
  <si>
    <t>What is the maximum length for the playing field?</t>
  </si>
  <si>
    <t>A. 14 meters B. 15 meters C. 18 meters D. 20 meters</t>
  </si>
  <si>
    <t>14 meters</t>
  </si>
  <si>
    <t>The playing field may be a maximum of 14 meters long.</t>
  </si>
  <si>
    <t>Was ist die maximale Länge für das Spielfeld?</t>
  </si>
  <si>
    <t>A. 14 Meter B. 15 Meter C. 18 Meter D. 20 Meter</t>
  </si>
  <si>
    <t>14 Meter</t>
  </si>
  <si>
    <t>Das Spielfeld darf maximal 14 Meter lang sein.</t>
  </si>
  <si>
    <t>Is it permissible to repair the ball during the game?</t>
  </si>
  <si>
    <t>A. No B. Yes, but only during game breaks. C. Yes, anytime D. Only through the referee</t>
  </si>
  <si>
    <t>Yes, but only during game breaks.</t>
  </si>
  <si>
    <t>A damaged ball may only be repaired during a break in play.</t>
  </si>
  <si>
    <t>Darf der Ball während des Spiels repariert werden?</t>
  </si>
  <si>
    <t>A. Nein. B. Ja, aber nur während der Spielpausen. C. Ja, jederzeit. D. Nur über den Schiedsrichter.</t>
  </si>
  <si>
    <t>Ja, aber nur bei Spielunterbrechung</t>
  </si>
  <si>
    <t>Ein beschädigter Ball darf nur bei einer Unterbrechung repariert werden.</t>
  </si>
  <si>
    <t>What happens if a team leaves the game for no reason?</t>
  </si>
  <si>
    <t>A. The defeat will be counted. B. Game abandoned C. Game replay D. warning</t>
  </si>
  <si>
    <t>A team that leaves the game for no reason automatically loses.</t>
  </si>
  <si>
    <t>Was passiert, wenn ein Team ohne Grund das Spiel verlässt?</t>
  </si>
  <si>
    <t>A. Die Niederlage wird gewertet. B. Spielabbruch. C. Spielwiederholung. D. Verwarnung.</t>
  </si>
  <si>
    <t>Ein Team, das das Spiel ohne Grund verlässt, verliert automatisch.</t>
  </si>
  <si>
    <t>What is the diameter of a cycle ball?</t>
  </si>
  <si>
    <t>A. 15 cm B. 17 cm C. 19 cm D. 21 cm</t>
  </si>
  <si>
    <t>The ball has a diameter of 17 cm.</t>
  </si>
  <si>
    <t>Wie groß ist der Durchmesser eines Radball-Balls?</t>
  </si>
  <si>
    <t>Der Ball hat einen Durchmesser von 17 cm.</t>
  </si>
  <si>
    <t>What penalty is imposed for a handball outside the penalty area?</t>
  </si>
  <si>
    <t>A. Free kick B. penalty kick C. throw-in D. goal kick</t>
  </si>
  <si>
    <t>Free kick</t>
  </si>
  <si>
    <t>A handball outside the penalty area results in a free kick for the opponent.</t>
  </si>
  <si>
    <t>Welche Strafe wird bei einem Handspiel außerhalb des Strafraums verhängt?</t>
  </si>
  <si>
    <t>A. Freistoß B. Strafstoß C. Einwurf D. Abstoß</t>
  </si>
  <si>
    <t>Freistoß</t>
  </si>
  <si>
    <t>Ein Handspiel außerhalb des Strafraums führt zu einem Freistoß für den Gegner.</t>
  </si>
  <si>
    <t>A. 1 substitute player B. 2 substitute players C. 3 substitute players D. Unlimited</t>
  </si>
  <si>
    <t>1 substitute player</t>
  </si>
  <si>
    <t>A team may have a maximum of one substitute player.</t>
  </si>
  <si>
    <t>A. 1 Auswechselspieler B. 2 Auswechselspieler C. 3 Auswechselspieler D. Unbegrenzt</t>
  </si>
  <si>
    <t>1 Ersatzspieler</t>
  </si>
  <si>
    <t>Ein Team darf maximal einen Ersatzspieler haben.</t>
  </si>
  <si>
    <t>When does a cycle ball game end prematurely?</t>
  </si>
  <si>
    <t>A. During severe weather B. If both teams agree C. Only through the referee D. When a team is in the lead</t>
  </si>
  <si>
    <t>Only through the referee</t>
  </si>
  <si>
    <t>A game can only be ended prematurely by the referee.</t>
  </si>
  <si>
    <t>Wann endet ein Radball-Spiel vorzeitig?</t>
  </si>
  <si>
    <t>A. Bei Unwetter. B. Wenn beide Mannschaften zustimmen. C. Nur durch den Schiedsrichter. D. Wenn eine Mannschaft in Führung liegt.</t>
  </si>
  <si>
    <t>Nur durch den Schiedsrichter</t>
  </si>
  <si>
    <t>Ein Spiel kann nur durch den Schiedsrichter vorzeitig beendet werden.</t>
  </si>
  <si>
    <t>How is a game decided in case of a tie?</t>
  </si>
  <si>
    <t>A. Added time B. penalty shootout C. Lottery D. It remains a draw.</t>
  </si>
  <si>
    <t>Added time</t>
  </si>
  <si>
    <t>In the event of a draw, extra time will be played.</t>
  </si>
  <si>
    <t>Wie wird ein Spiel bei Gleichstand entschieden?</t>
  </si>
  <si>
    <t>A. Nachspielzeit B. Elfmeterschießen C. Losverfahren D. Es bleibt unentschieden.</t>
  </si>
  <si>
    <t>Nachspielzeit</t>
  </si>
  <si>
    <t>Bei Gleichstand wird eine Nachspielzeit durchgeführt.</t>
  </si>
  <si>
    <t>Is a player allowed to play without shoes?</t>
  </si>
  <si>
    <t>A. No B. Yes C. Only in case of injury D. Only in training</t>
  </si>
  <si>
    <t>Players must always wear shoes.</t>
  </si>
  <si>
    <t>Darf ein Spieler ohne Schuhe spielen?</t>
  </si>
  <si>
    <t>A. Nein. B. Ja. C. Nur im Verletzungsfall. D. Nur im Training.</t>
  </si>
  <si>
    <t>Spieler müssen immer Schuhe tragen.</t>
  </si>
  <si>
    <t>How is unauthorized physical contact punished?</t>
  </si>
  <si>
    <t>A. Free kick B. Yellow card C. penalty kick D. Repetition</t>
  </si>
  <si>
    <t>Unauthorized physical contact will be punished with a free kick.</t>
  </si>
  <si>
    <t>Wie wird ein unerlaubter Körperkontakt bestraft?</t>
  </si>
  <si>
    <t>A. Freistoß B. Gelbe Karte C. Elfmeter D. Wiederholung</t>
  </si>
  <si>
    <t>Unerlaubter Körperkontakt wird mit einem Freistoß bestraft.</t>
  </si>
  <si>
    <t>Which team starts the game?</t>
  </si>
  <si>
    <t>A. The home team B. The away team C. The team that wins D. The team that wins the coin toss</t>
  </si>
  <si>
    <t>The team that wins the coin toss</t>
  </si>
  <si>
    <t>The game begins with the team that wins the coin toss.</t>
  </si>
  <si>
    <t>Welches Team beginnt das Spiel?</t>
  </si>
  <si>
    <t>A. Die Heimmannschaft B. Die Auswärtsmannschaft C. Die Siegermannschaft D. Die Mannschaft, die den Münzwurf gewinnt</t>
  </si>
  <si>
    <t>Das Team, das den Münzwurf gewinnt</t>
  </si>
  <si>
    <t>Das Spiel beginnt mit dem Team, das den Münzwurf gewinnt.</t>
  </si>
  <si>
    <t>What is the offside rule in cycle ball?</t>
  </si>
  <si>
    <t>A. There is no offside. B. Like in football C. Only in the penalty area D. Only for free kicks</t>
  </si>
  <si>
    <t>There is no offside.</t>
  </si>
  <si>
    <t>There is no offside rule in cycle ball.</t>
  </si>
  <si>
    <t>Welche Regel gilt für das Abseits im Radball?</t>
  </si>
  <si>
    <t>A. Es gibt keine Abseitsregel. B. Wie im Fußball. C. Nur im Strafraum. D. Nur bei Freistößen.</t>
  </si>
  <si>
    <t>Es gibt kein Abseits</t>
  </si>
  <si>
    <t>Im Radball gibt es keine Abseitsregel.</t>
  </si>
  <si>
    <t>What is the maximum playing time of a cycle ball match?</t>
  </si>
  <si>
    <t>A. 2 x 7 minutes B. 2 x 8 minutes C. 2 x 10 minutes D. 2 x 12 minutes</t>
  </si>
  <si>
    <t>A cycle ball game consists of two halves of 7 minutes each.</t>
  </si>
  <si>
    <t>Welche maximale Spielzeit hat ein Radball-Match?</t>
  </si>
  <si>
    <t>A. 2 x 7 Minuten B. 2 x 8 Minuten C. 2 x 10 Minuten D. 2 x 12 Minuten</t>
  </si>
  <si>
    <t>2 x 7 Minuten</t>
  </si>
  <si>
    <t>Ein Radball-Spiel besteht aus zwei Halbzeiten von jeweils 7 Minuten.</t>
  </si>
  <si>
    <t>How many seconds does a team have for an attack?</t>
  </si>
  <si>
    <t>A. 30 seconds B. 40 seconds C. 60 seconds D. No limit</t>
  </si>
  <si>
    <t>A team has 30 seconds to complete an attack.</t>
  </si>
  <si>
    <t>Wie viele Sekunden hat ein Team für einen Angriff?</t>
  </si>
  <si>
    <t>A. 30 Sekunden B. 40 Sekunden C. 60 Sekunden D. Keine Begrenzung</t>
  </si>
  <si>
    <t>Ein Team hat 30 Sekunden Zeit, um einen Angriff abzuschließen.</t>
  </si>
  <si>
    <t>Is the goalkeeper allowed to cross the halfway line?</t>
  </si>
  <si>
    <t>A. Yes, anytime B. No, never C. Only if the ball is not in the goal area. D. Only after consulting with the referee</t>
  </si>
  <si>
    <t>No, never</t>
  </si>
  <si>
    <t>The goalkeeper must not cross the halfway line during the game.</t>
  </si>
  <si>
    <t>Darf der Torwart die Mittellinie überschreiten?</t>
  </si>
  <si>
    <t>A. Ja, jederzeit. B. Nein, niemals. C. Nur wenn sich der Ball nicht im Torraum befindet. D. Nur nach Rücksprache mit dem Schiedsrichter.</t>
  </si>
  <si>
    <t>Der Torwart darf die Mittellinie während des Spiels nicht überschreiten.</t>
  </si>
  <si>
    <t>What happens if a player blocks an opponent with their wheel?</t>
  </si>
  <si>
    <t>A. Free kick for the opponent B. Yellow card C. penalty kick D. Continue playing</t>
  </si>
  <si>
    <t>Blocking an opponent with your bike is not allowed and will result in a free kick.</t>
  </si>
  <si>
    <t>Was passiert, wenn ein Spieler einen Gegner mit dem Rad blockiert?</t>
  </si>
  <si>
    <t>A. Freistoß für den Gegner B. Gelbe Karte C. Elfmeter D. Weiterspiel</t>
  </si>
  <si>
    <t>Das Blockieren eines Gegners mit dem Rad ist nicht erlaubt und führt zu einem Freistoß.</t>
  </si>
  <si>
    <t>What is the minimum required height of the hall ceiling?</t>
  </si>
  <si>
    <t>A. 4 meters B. 5 meters C. 6 meters D. 7 meters</t>
  </si>
  <si>
    <t>The ceiling of the hall must be at least 5 meters high so as not to interfere with the game.</t>
  </si>
  <si>
    <t>Welche Mindesthöhe muss die Hallendecke haben?</t>
  </si>
  <si>
    <t>A. 4 Meter B. 5 Meter C. 6 Meter D. 7 Meter</t>
  </si>
  <si>
    <t>Die Hallendecke muss mindestens 5 Meter hoch sein, um das Spiel nicht zu beeinträchtigen.</t>
  </si>
  <si>
    <t>Which action will be punished with a penalty kick?</t>
  </si>
  <si>
    <t>A. Handball in the goal area B. Unintentional contact with the wheel C. Pass backward D. False start</t>
  </si>
  <si>
    <t>Handball in the goal area</t>
  </si>
  <si>
    <t>A handball in the goal area results in a penalty kick for the opponent.</t>
  </si>
  <si>
    <t>Welche Aktion wird mit einem Strafstoß bestraft?</t>
  </si>
  <si>
    <t>A. Handspiel im Torraum B. Unbeabsichtigter Kontakt mit dem Rad C. Rückpass D. Fehlstart</t>
  </si>
  <si>
    <t>Handspiel im Torraum</t>
  </si>
  <si>
    <t>Ein Handspiel im Torraum führt zu einem Strafstoß für den Gegner.</t>
  </si>
  <si>
    <t>Is it permissible to play the ball over the height of the goalposts?</t>
  </si>
  <si>
    <t>A. Yes, if it's unintentional. B. No, never C. Only for free kicks D. Only for shots on goal</t>
  </si>
  <si>
    <t>Yes, if it's unintentional.</t>
  </si>
  <si>
    <t>The ball may be played above the height of the goalposts if it is unintentional.</t>
  </si>
  <si>
    <t>Darf der Ball über die Höhe der Torpfosten gespielt werden?</t>
  </si>
  <si>
    <t>A. Ja, wenn es unbeabsichtigt ist. B. Nein, niemals. C. Nur bei Freistößen. D. Nur bei Schüssen aufs Tor.</t>
  </si>
  <si>
    <t>Ja, wenn es unbeabsichtigt ist</t>
  </si>
  <si>
    <t>Der Ball darf über die Höhe der Torpfosten gespielt werden, wenn es unbeabsichtigt ist.</t>
  </si>
  <si>
    <t>What penalty does a player receive who deliberately fouls?</t>
  </si>
  <si>
    <t>A. Yellow card B. Free kick for the opponent C. penalty kick D. Red card</t>
  </si>
  <si>
    <t>Yellow card</t>
  </si>
  <si>
    <t>Intentional foul play will be punished with a yellow card.</t>
  </si>
  <si>
    <t>Welche Strafe erhält ein Spieler, der absichtlich foult?</t>
  </si>
  <si>
    <t>A. Gelbe Karte B. Freistoß für den Gegner C. Elfmeter D. Rote Karte</t>
  </si>
  <si>
    <t>Gelbe Karte</t>
  </si>
  <si>
    <t>Absichtliches Foulspiel wird mit einer Gelben Karte bestraft.</t>
  </si>
  <si>
    <t>What size is a cycle ball goal?</t>
  </si>
  <si>
    <t>A. 2 x 2 meters B. 2.5 x 2 meters C. 3 x 2 meters D. 1.5 x 2 meters</t>
  </si>
  <si>
    <t>2 x 2 meters</t>
  </si>
  <si>
    <t>The goal in cycle ball measures 2 x 2 meters.</t>
  </si>
  <si>
    <t>Welche Größe hat ein Radball-Tor?</t>
  </si>
  <si>
    <t>A. 2 x 2 Meter B. 2,5 x 2 Meter C. 3 x 2 Meter D. 1,5 x 2 Meter</t>
  </si>
  <si>
    <t>2 x 2 Meter</t>
  </si>
  <si>
    <t>Das Tor im Radball hat eine Größe von 2 x 2 Metern.</t>
  </si>
  <si>
    <t>How many points does a team get for a win?</t>
  </si>
  <si>
    <t>Wie viele Punkte bekommt ein Team für einen Sieg?</t>
  </si>
  <si>
    <t>Ein Sieg bringt dem Team 3 Punkte.</t>
  </si>
  <si>
    <t>When is a free kick awarded?</t>
  </si>
  <si>
    <t>A. After a foul B. After a goal C. After a throw-in D. After a back pass</t>
  </si>
  <si>
    <t>After a foul</t>
  </si>
  <si>
    <t>A free kick is awarded after a foul.</t>
  </si>
  <si>
    <t>Wann wird ein Freistoß vergeben?</t>
  </si>
  <si>
    <t>A. Nach einem Foul B. Nach einem Tor C. Nach einem Einwurf D. Nach einem Rückpass</t>
  </si>
  <si>
    <t>Nach einem Foul</t>
  </si>
  <si>
    <t>Ein Freistoß wird nach einem Foulspiel vergeben.</t>
  </si>
  <si>
    <t>How many wheels does the official cycle ball bicycle have?</t>
  </si>
  <si>
    <t>A. Two B. Three C. A wheel D. Four</t>
  </si>
  <si>
    <t>The bicycle used in cycle ball has two wheels, just like in normal cycling.</t>
  </si>
  <si>
    <t>Wie viele Räder hat das offizielle Radball-Fahrrad?</t>
  </si>
  <si>
    <t>A. Zwei B. Drei C. Ein Rad D. Vier</t>
  </si>
  <si>
    <t>Das Fahrrad im Radball hat zwei Räder, wie im normalen Radfahren.</t>
  </si>
  <si>
    <t>What happens when the ball leaves the playing field?</t>
  </si>
  <si>
    <t>A. throw-in B. Free kick C. goal kick D. Game interruption</t>
  </si>
  <si>
    <t>If the ball leaves the playing field, the game continues with a throw-in.</t>
  </si>
  <si>
    <t>Was passiert, wenn der Ball das Spielfeld verlässt?</t>
  </si>
  <si>
    <t>A. Einwurf B. Freistoß C. Abstoß D. Spielunterbrechung</t>
  </si>
  <si>
    <t>Wenn der Ball das Spielfeld verlässt, wird das Spiel mit einem Einwurf fortgesetzt.</t>
  </si>
  <si>
    <t>What rule applies to touching the opponent with the hand?</t>
  </si>
  <si>
    <t>A. Not allowed B. Allowed when in possession of the ball C. Allowed if fair D. Only in defense</t>
  </si>
  <si>
    <t>Not allowed</t>
  </si>
  <si>
    <t>Touching an opponent with your hand is not allowed in cycle ball.</t>
  </si>
  <si>
    <t>Welche Regel gilt für das Berühren des Gegners mit der Hand?</t>
  </si>
  <si>
    <t>A. Nicht erlaubt. B. Erlaubt, wenn der Ballbesitz gegeben ist. C. Erlaubt, wenn fair. D. Nur in der Verteidigung.</t>
  </si>
  <si>
    <t>Nicht erlaubt</t>
  </si>
  <si>
    <t>Das Berühren eines Gegners mit der Hand ist im Radball nicht erlaubt.</t>
  </si>
  <si>
    <t>Is a player allowed to change their bicycle?</t>
  </si>
  <si>
    <t>A. Yes, in case of a technical defect B. No, never C. Only at halftime D. Only with the referee's permission</t>
  </si>
  <si>
    <t>Yes, in case of a technical defect</t>
  </si>
  <si>
    <t>A player may change his bicycle if there is a technical defect.</t>
  </si>
  <si>
    <t>Darf ein Spieler sein Fahrrad wechseln?</t>
  </si>
  <si>
    <t>A. Ja, im Falle eines technischen Defekts. B. Nein, niemals. C. Nur zur Halbzeit. D. Nur mit Erlaubnis des Schiedsrichters.</t>
  </si>
  <si>
    <t>Ja, bei einem technischen Defekt</t>
  </si>
  <si>
    <t>Ein Spieler darf sein Fahrrad wechseln, wenn ein technischer Defekt vorliegt.</t>
  </si>
  <si>
    <t>How many referees officiate a cycle ball match?</t>
  </si>
  <si>
    <t>A. A referee B. Two referees C. Three referees D. No referee</t>
  </si>
  <si>
    <t>A referee</t>
  </si>
  <si>
    <t>A cycle ball game is officiated by a referee.</t>
  </si>
  <si>
    <t>Wie viele Schiedsrichter leiten ein Radball-Spiel?</t>
  </si>
  <si>
    <t>A. Ein Schiedsrichter B. Zwei Schiedsrichter C. Drei Schiedsrichter D. Kein Schiedsrichter</t>
  </si>
  <si>
    <t>Ein Schiedsrichter</t>
  </si>
  <si>
    <t>Ein Radball-Spiel wird von einem Schiedsrichter geleitet.</t>
  </si>
  <si>
    <t>What shape does the cycle ball have?</t>
  </si>
  <si>
    <t>A. Around B. Oval C. Cylindrical D. cube-shaped</t>
  </si>
  <si>
    <t>Around</t>
  </si>
  <si>
    <t>The cycle ball has a round shape, like a football.</t>
  </si>
  <si>
    <t>Welche Form hat der Radball-Ball?</t>
  </si>
  <si>
    <t>A. Rund B. Oval C. Zylindrisch D. Würfelförmig</t>
  </si>
  <si>
    <t>Rund</t>
  </si>
  <si>
    <t>Der Radball-Ball hat eine runde Form, wie ein Fußball.</t>
  </si>
  <si>
    <t>What happens when an own goal is scored?</t>
  </si>
  <si>
    <t>A. The goal counts B. The goal will not count. C. A free kick is awarded D. The game is interrupted.</t>
  </si>
  <si>
    <t>The goal counts</t>
  </si>
  <si>
    <t>An own goal is counted like a normal goal.</t>
  </si>
  <si>
    <t>Was passiert bei einem Eigentor?</t>
  </si>
  <si>
    <t>A. Das Tor zählt. B. Das Tor zählt nicht. C. Es wird ein Freistoß gegeben. D. Das Spiel wird unterbrochen.</t>
  </si>
  <si>
    <t>Das Tor zählt</t>
  </si>
  <si>
    <t>Ein Eigentor wird wie ein normales Tor gezählt.</t>
  </si>
  <si>
    <t>When does the game end with a knockout?</t>
  </si>
  <si>
    <t>A. After a 10-goal lead B. After a 5-goal lead C. After a 7-goal lead D. After a 3-goal lead</t>
  </si>
  <si>
    <t>After a 5-goal lead</t>
  </si>
  <si>
    <t>The game ends when one team has a 5-goal lead.</t>
  </si>
  <si>
    <t>Wann endet das Spiel bei einem Knockout?</t>
  </si>
  <si>
    <t>A. Nach einer 10-Tore-Führung B. Nach einer 5-Tore-Führung C. Nach einer 7-Tore-Führung D. Nach einer 3-Tore-Führung</t>
  </si>
  <si>
    <t>Nach 5 Toren Vorsprung</t>
  </si>
  <si>
    <t>Das Spiel endet, wenn ein Team 5 Tore Vorsprung hat.</t>
  </si>
  <si>
    <t>What is the penalty for unsportsmanlike conduct?</t>
  </si>
  <si>
    <t>A. Yellow card B. Free kick C. penalty kick D. Red card</t>
  </si>
  <si>
    <t>Red card</t>
  </si>
  <si>
    <t>Unsportsmanlike conduct will be punished with a red card.</t>
  </si>
  <si>
    <t>Welche Strafe gibt es für unsportliches Verhalten?</t>
  </si>
  <si>
    <t>A. Gelbe Karte B. Freistoß C. Elfmeter D. Rote Karte</t>
  </si>
  <si>
    <t>Rote Karte</t>
  </si>
  <si>
    <t>Unsportliches Verhalten wird mit einer Roten Karte bestraft.</t>
  </si>
  <si>
    <t>Is a player allowed to stop the ball with their foot?</t>
  </si>
  <si>
    <t>A. Yes, anytime B. Only in the goal area C. No, never D. Only in the case of a free kick</t>
  </si>
  <si>
    <t>The ball must not be stopped or played with the foot.</t>
  </si>
  <si>
    <t>Darf ein Spieler den Ball mit dem Fuß stoppen?</t>
  </si>
  <si>
    <t>A. Ja, jederzeit. B. Nur im Strafraum. C. Nein, niemals. D. Nur bei einem Freistoß.</t>
  </si>
  <si>
    <t>Der Ball darf nicht mit dem Fuß gestoppt oder gespielt werden.</t>
  </si>
  <si>
    <t>How many players does a team have on the field?</t>
  </si>
  <si>
    <t>A. Two B. Three C. Four D. One</t>
  </si>
  <si>
    <t>Each team consists of two players on the playing field.</t>
  </si>
  <si>
    <t>Wie viele Spieler hat ein Team auf dem Spielfeld?</t>
  </si>
  <si>
    <t>A. Zwei B. Drei C. Vier D. Eins</t>
  </si>
  <si>
    <t>Jedes Team besteht aus zwei Spielern auf dem Spielfeld.</t>
  </si>
  <si>
    <t>What happens when a pass is made back to the goalkeeper?</t>
  </si>
  <si>
    <t>A. Free kick for the opponent B. The goalkeeper is allowed to play the ball. C. Possession remains with the team D. The goalkeeper must pass the ball.</t>
  </si>
  <si>
    <t>A back pass to the goalkeeper is not allowed and results in a free kick.</t>
  </si>
  <si>
    <t>Was passiert bei einem Rückpass zum Torwart?</t>
  </si>
  <si>
    <t>A. Freistoß für den Gegner. B. Der Torwart darf den Ball spielen. C. Der Ballbesitz bleibt bei der Mannschaft. D. Der Torwart muss den Ball abspielen.</t>
  </si>
  <si>
    <t>Ein Rückpass zum Torwart ist nicht erlaubt und führt zu einem Freistoß.</t>
  </si>
  <si>
    <t>Is it permissible to deliberately play the ball with the handlebars?</t>
  </si>
  <si>
    <t>A. Yes B. No C. Only in the event of a shot on goal D. Only in the case of a free kick</t>
  </si>
  <si>
    <t>The ball must not be deliberately played with the handlebars.</t>
  </si>
  <si>
    <t>Darf der Ball absichtlich mit dem Lenker gespielt werden?</t>
  </si>
  <si>
    <t>A. Ja. B. Nein. C. Nur bei einem Torschuss. D. Nur bei einem Freistoß.</t>
  </si>
  <si>
    <t>Der Ball darf nicht absichtlich mit dem Lenker gespielt werden.</t>
  </si>
  <si>
    <t>What is the diameter of the cycle ball?</t>
  </si>
  <si>
    <t>A. 15 cm B. 17 cm C. 20 cm D. 25 cm</t>
  </si>
  <si>
    <t>Wie groß ist der Durchmesser des Radball-Balls?</t>
  </si>
  <si>
    <t>What happens when a yellow card is issued?</t>
  </si>
  <si>
    <t>A. 2-minute penalty B. Player must leave the field C. Free kick for the opponent D. Nothing</t>
  </si>
  <si>
    <t>A yellow card results in a free kick for the opponent.</t>
  </si>
  <si>
    <t>Was passiert bei einer gelben Karte?</t>
  </si>
  <si>
    <t>A. Zwei-Minuten-Strafe B. Spieler muss das Spielfeld verlassen C. Freistoß für den Gegner D. Nichts</t>
  </si>
  <si>
    <t>Eine gelbe Karte führt zu einem Freistoß für den Gegner.</t>
  </si>
  <si>
    <t>1 point</t>
  </si>
  <si>
    <t>A draw gives each team 1 point.</t>
  </si>
  <si>
    <t>Ein Unentschieden bringt jedem Team 1 Punkt.</t>
  </si>
  <si>
    <t>Is the goalkeeper allowed to play the ball with his head?</t>
  </si>
  <si>
    <t>A. Yes, anytime B. No, never C. Only in the case of a free kick D. Only in the event of a shot on goal</t>
  </si>
  <si>
    <t>The goalkeeper is allowed to head the ball as long as he is inside the goal area.</t>
  </si>
  <si>
    <t>Darf der Torwart den Ball mit dem Kopf spielen?</t>
  </si>
  <si>
    <t>A. Ja, jederzeit. B. Nein, niemals. C. Nur bei einem Freistoß. D. Nur bei einem Torschuss.</t>
  </si>
  <si>
    <t>Der Torwart darf den Ball mit dem Kopf spielen, solange er sich im Torraum befindet.</t>
  </si>
  <si>
    <t>What color is a cycle ball usually?</t>
  </si>
  <si>
    <t>A. Black B. White C. Red D. Blue</t>
  </si>
  <si>
    <t>The cycle ball is usually white to be easily visible.</t>
  </si>
  <si>
    <t>Welche Farbe hat der Radball-Ball üblicherweise?</t>
  </si>
  <si>
    <t>A. Schwarz B. Weiß C. Rot D. Blau</t>
  </si>
  <si>
    <t>Der Radball-Ball ist in der Regel weiß, um gut sichtbar zu sein.</t>
  </si>
  <si>
    <t>How does a cycle ball game begin?</t>
  </si>
  <si>
    <t>A. With a kick-off B. With a throw-in C. With a free kick D. With a penalty kick</t>
  </si>
  <si>
    <t>Wie beginnt ein Radball-Spiel?</t>
  </si>
  <si>
    <t>A. Mit einem Anstoß B. Mit einem Einwurf C. Mit einem Freistoß D. Mit einem Strafstoß</t>
  </si>
  <si>
    <t>Is a player allowed to block the goal with their bicycle?</t>
  </si>
  <si>
    <t>A. Yes, anytime B. No, never C. Only in our own penalty area D. Only in the case of a free kick</t>
  </si>
  <si>
    <t>Only in our own penalty area</t>
  </si>
  <si>
    <t>A player may only block the goal within their own goal area.</t>
  </si>
  <si>
    <t>Darf ein Spieler das Tor mit seinem Rad blockieren?</t>
  </si>
  <si>
    <t>A. Ja, jederzeit. B. Nein, niemals. C. Nur im eigenen Strafraum. D. Nur bei einem Freistoß.</t>
  </si>
  <si>
    <t>Nur im eigenen Torraum</t>
  </si>
  <si>
    <t>Ein Spieler darf das Tor nur im eigenen Torraum blockieren.</t>
  </si>
  <si>
    <t>What is the minimum width of the playing field?</t>
  </si>
  <si>
    <t>A. 10 meters B. 12 meters C. 14 meters D. 16 meters</t>
  </si>
  <si>
    <t>12 meters</t>
  </si>
  <si>
    <t>The playing field must be at least 12 meters wide.</t>
  </si>
  <si>
    <t>Welche Mindestbreite hat das Spielfeld?</t>
  </si>
  <si>
    <t>A. 10 Meter B. 12 Meter C. 14 Meter D. 16 Meter</t>
  </si>
  <si>
    <t>12 Meter</t>
  </si>
  <si>
    <t>Das Spielfeld muss mindestens 12 Meter breit sein.</t>
  </si>
  <si>
    <t>What happens if there is a technical defect on the bicycle?</t>
  </si>
  <si>
    <t>A. Game interruption B. Game continues C. Free kick for the opponent D. Player substitution</t>
  </si>
  <si>
    <t>Game interruption</t>
  </si>
  <si>
    <t>In the event of a technical defect, the game will be interrupted.</t>
  </si>
  <si>
    <t>Was passiert bei einem technischen Defekt am Fahrrad?</t>
  </si>
  <si>
    <t>A. Spielunterbrechung B. Spiel wird fortgesetzt C. Freistoß für den Gegner D. Spielerwechsel</t>
  </si>
  <si>
    <t>Spielunterbrechung</t>
  </si>
  <si>
    <t>Bei einem technischen Defekt wird das Spiel unterbrochen.</t>
  </si>
  <si>
    <t>How long is a team allowed to keep possession of the ball?</t>
  </si>
  <si>
    <t>A. 10 seconds B. 20 seconds C. 30 seconds D. Unlimited</t>
  </si>
  <si>
    <t>A team may hold the ball for a maximum of 30 seconds.</t>
  </si>
  <si>
    <t>Wie lange darf ein Team den Ball halten?</t>
  </si>
  <si>
    <t>A. 10 Sekunden B. 20 Sekunden C. 30 Sekunden D. Unbegrenzt</t>
  </si>
  <si>
    <t>Ein Team darf den Ball maximal 30 Sekunden halten.</t>
  </si>
  <si>
    <t>How many wheels does the goalkeeper's bicycle have?</t>
  </si>
  <si>
    <t>A. Two B. Three C. One D. Four</t>
  </si>
  <si>
    <t>The goalkeeper's bicycle, like all the others, has two wheels.</t>
  </si>
  <si>
    <t>Wie viele Räder hat das Fahrrad des Torwarts?</t>
  </si>
  <si>
    <t>A. Zwei B. Drei C. Eins D. Vier</t>
  </si>
  <si>
    <t>Das Fahrrad des Torwarts hat, wie alle anderen, zwei Räder.</t>
  </si>
  <si>
    <t>How many times is a player allowed to touch the ball?</t>
  </si>
  <si>
    <t>A player may touch the ball an unlimited number of times, as long as the rules are followed.</t>
  </si>
  <si>
    <t>Wie oft darf ein Spieler den Ball berühren?</t>
  </si>
  <si>
    <t>Ein Spieler darf den Ball unbegrenzt oft berühren, solange die Regeln eingehalten werden.</t>
  </si>
  <si>
    <t>What happens if a player plays the ball out of bounds?</t>
  </si>
  <si>
    <t>A. Throw-in for the opponent B. Free kick for the opponent C. Game interruption D. penalty kick</t>
  </si>
  <si>
    <t>Throw-in for the opponent</t>
  </si>
  <si>
    <t>If the ball goes out of bounds, the opponent gets a throw-in.</t>
  </si>
  <si>
    <t>Was passiert, wenn ein Spieler den Ball ins Aus spielt?</t>
  </si>
  <si>
    <t>A. Einwurf für den Gegner B. Freistoß für den Gegner C. Spielunterbrechung D. Strafstoß</t>
  </si>
  <si>
    <t>Einwurf für den Gegner</t>
  </si>
  <si>
    <t>Wenn der Ball ins Aus gespielt wird, erhält der Gegner einen Einwurf.</t>
  </si>
  <si>
    <t>What penalty does a player receive for a serious foul?</t>
  </si>
  <si>
    <t>A. Yellow card B. Free kick C. Red card D. No penalty</t>
  </si>
  <si>
    <t>A serious foul will be punished with a red card.</t>
  </si>
  <si>
    <t>Welche Strafe erhält ein Spieler bei einem groben Foul?</t>
  </si>
  <si>
    <t>A. Gelbe Karte B. Freistoß C. Rote Karte D. Kein Strafstoß</t>
  </si>
  <si>
    <t>Ein grobes Foul wird mit einer Roten Karte bestraft.</t>
  </si>
  <si>
    <t>How is a goal scored?</t>
  </si>
  <si>
    <t>A. The ball must completely cross the goal line. B. The ball must touch the goal line. C. The ball must touch the goalpost. D. The ball must pass the goalkeeper.</t>
  </si>
  <si>
    <t>The ball must completely cross the goal line.</t>
  </si>
  <si>
    <t>A goal is scored when the ball completely crosses the goal line.</t>
  </si>
  <si>
    <t>Wie wird ein Tor erzielt?</t>
  </si>
  <si>
    <t>A. Der Ball muss die Torlinie vollständig überqueren. B. Der Ball muss die Torlinie berühren. C. Der Ball muss den Torpfosten berühren. D. Der Ball muss am Torwart vorbeigehen.</t>
  </si>
  <si>
    <t>Der Ball muss vollständig über die Torlinie</t>
  </si>
  <si>
    <t>Ein Tor wird erzielt, wenn der Ball vollständig die Torlinie überschreitet.</t>
  </si>
  <si>
    <t>What happens if a team doesn't show up for the game on time?</t>
  </si>
  <si>
    <t>A. Defeat with a score of 0:5 B. Free kick for the opponent C. Game replay D. disqualification</t>
  </si>
  <si>
    <t>Defeat with a score of 0:5</t>
  </si>
  <si>
    <t>If a team arrives late, the game will be scored 0:5 against them.</t>
  </si>
  <si>
    <t>Was passiert, wenn ein Team nicht rechtzeitig zum Spiel erscheint?</t>
  </si>
  <si>
    <t>A. Niederlage mit 0:5 B. Freistoß für den Gegner C. Spielwiederholung D. Disqualifikation</t>
  </si>
  <si>
    <t>Niederlage mit 0:5</t>
  </si>
  <si>
    <t>Wenn ein Team zu spät erscheint, wird das Spiel mit 0:5 gegen sie gewertet.</t>
  </si>
  <si>
    <t>Is a goalkeeper allowed to play the ball with their hand?</t>
  </si>
  <si>
    <t>A. Yes, but only in the goal area B. No, never C. Only outside the goal area D. Yes, anytime</t>
  </si>
  <si>
    <t>Yes, but only in the goal area</t>
  </si>
  <si>
    <t>The goalkeeper may only play the ball with his hand within the goal area.</t>
  </si>
  <si>
    <t>Darf ein Torwart den Ball mit der Hand spielen?</t>
  </si>
  <si>
    <t>A. Ja, aber nur im Torraum. B. Nein, niemals. C. Nur außerhalb des Torraums. D. Ja, jederzeit.</t>
  </si>
  <si>
    <t>Ja, aber nur im Torraum</t>
  </si>
  <si>
    <t>Der Torwart darf den Ball nur im Torraum mit der Hand spielen.</t>
  </si>
  <si>
    <t>How many minutes does a half of cycle ball last?</t>
  </si>
  <si>
    <t>A. 5 minutes B. 7 minutes C. 10 minutes D. 12 minutes</t>
  </si>
  <si>
    <t>Wie viele Minuten dauert eine Halbzeit im Radball?</t>
  </si>
  <si>
    <t>A. 5 Minuten B. 7 Minuten C. 10 Minuten D. 12 Minuten</t>
  </si>
  <si>
    <t>Eine Halbzeit im Radball dauert 7 Minuten.</t>
  </si>
  <si>
    <t>What penalty follows two yellow cards?</t>
  </si>
  <si>
    <t>A. Free kick B. 2-minute penalty C. Red card D. penalty kick</t>
  </si>
  <si>
    <t>Two yellow cards result in a red card and the player's exclusion.</t>
  </si>
  <si>
    <t>Welche Strafe folgt auf zwei gelbe Karten?</t>
  </si>
  <si>
    <t>A. Freistoß B. 2-Minuten-Strafe C. Rote Karte D. Elfmeter</t>
  </si>
  <si>
    <t>Zwei gelbe Karten führen zu einer roten Karte und Ausschluss des Spielers.</t>
  </si>
  <si>
    <t>When is a penalty kick awarded?</t>
  </si>
  <si>
    <t>A. A foul in the goal area B. In a back pass C. In the event of a technical defect D. In case of timeout</t>
  </si>
  <si>
    <t>A foul in the goal area</t>
  </si>
  <si>
    <t>A penalty kick is awarded if a foul occurs in the goal area.</t>
  </si>
  <si>
    <t>Wann wird ein Strafstoß verhängt?</t>
  </si>
  <si>
    <t>A. Bei einem Foul im Torraum B. Bei einem Rückpass C. Bei einem technischen Defekt D. Bei einer Auszeit</t>
  </si>
  <si>
    <t>Bei einem Foul im Torraum</t>
  </si>
  <si>
    <t>Ein Strafstoß wird verhängt, wenn ein Foul im Torraum passiert.</t>
  </si>
  <si>
    <t>How many points are awarded for a win?</t>
  </si>
  <si>
    <t>A. 2 points B. 3 points C. 4 points D. 1 point</t>
  </si>
  <si>
    <t>A win earns a team 3 points.</t>
  </si>
  <si>
    <t>Wie viele Punkte gibt es für einen Sieg?</t>
  </si>
  <si>
    <t>A. 2 Punkte B. 3 Punkte C. 4 Punkte D. 1 Punkt</t>
  </si>
  <si>
    <t>Ein Sieg bringt einem Team 3 Punkte.</t>
  </si>
  <si>
    <t>What is the maximum number of players per team, including substitutes?</t>
  </si>
  <si>
    <t>A team may have a maximum of 3 players (2 on the field and 1 substitute).</t>
  </si>
  <si>
    <t>Was ist die maximale Spieleranzahl pro Team inklusive Ersatzspieler?</t>
  </si>
  <si>
    <t>Ein Team darf maximal 3 Spieler (2 auf dem Feld und 1 Ersatzspieler) haben.</t>
  </si>
  <si>
    <t>What happens if a player deliberately shoots the ball into his own goal?</t>
  </si>
  <si>
    <t>A. A goal is awarded. B. The goal will not count. C. Free kick for the opponent D. Game replay</t>
  </si>
  <si>
    <t>A goal is awarded.</t>
  </si>
  <si>
    <t>An intentional own goal is counted as a regular goal.</t>
  </si>
  <si>
    <t>Was passiert, wenn ein Spieler den Ball absichtlich ins eigene Tor schießt?</t>
  </si>
  <si>
    <t>A. Ein Tor wird gegeben. B. Das Tor zählt nicht. C. Freistoß für den Gegner. D. Spielwiederholung.</t>
  </si>
  <si>
    <t>Tor wird gegeben</t>
  </si>
  <si>
    <t>Ein absichtliches Eigentor wird als reguläres Tor gewertet.</t>
  </si>
  <si>
    <t>How high is the goal in cycle ball?</t>
  </si>
  <si>
    <t>A. 1 meter B. 1.2 meters C. 1.5 meters D. 2 meters</t>
  </si>
  <si>
    <t>The goal in cycle ball is 2 meters high.</t>
  </si>
  <si>
    <t>Wie hoch ist das Tor im Radball?</t>
  </si>
  <si>
    <t>A. 1 Meter B. 1,2 Meter C. 1,5 Meter D. 2 Meter</t>
  </si>
  <si>
    <t>Das Tor im Radball ist 2 Meter hoch.</t>
  </si>
  <si>
    <t>How many referees officiate a game?</t>
  </si>
  <si>
    <t>Two referees are officiating a cycle ball game.</t>
  </si>
  <si>
    <t>Wie viele Schiedsrichter leiten ein Spiel?</t>
  </si>
  <si>
    <t>Zwei Schiedsrichter leiten ein Radball-Spiel.</t>
  </si>
  <si>
    <t>What shape is the playing field?</t>
  </si>
  <si>
    <t>A. Around B. Oval C. Rectangular D. Square</t>
  </si>
  <si>
    <t>Rectangular</t>
  </si>
  <si>
    <t>The playing field has a rectangular shape.</t>
  </si>
  <si>
    <t>Welche Form hat das Spielfeld?</t>
  </si>
  <si>
    <t>A. Rund B. Oval C. Rechteckig D. Quadratisch</t>
  </si>
  <si>
    <t>Rechteckig</t>
  </si>
  <si>
    <t>Das Spielfeld hat eine rechteckige Form.</t>
  </si>
  <si>
    <t>Is a player allowed to deliberately drive into an opponent?</t>
  </si>
  <si>
    <t>A. Yes, when in possession of the ball B. No, never C. Only in the goal area D. Yes, during a free kick</t>
  </si>
  <si>
    <t>Physical contact through deliberate driving into the opponent is prohibited.</t>
  </si>
  <si>
    <t>Darf ein Spieler absichtlich gegen einen Gegner fahren?</t>
  </si>
  <si>
    <t>A. Ja, wenn man im Ballbesitz ist. B. Nein, niemals. C. Nur im Strafraum. D. Ja, bei einem Freistoß.</t>
  </si>
  <si>
    <t>Körperkontakt durch absichtliches Fahren gegen den Gegner ist verboten.</t>
  </si>
  <si>
    <t>What happens if the ball crosses the boundary line of the playing field?</t>
  </si>
  <si>
    <t>A. Throw-in for the opponent B. Free kick for the opponent C. penalty kick D. Game replay</t>
  </si>
  <si>
    <t>If the ball crosses the boundary, the opponent is awarded a throw-in.</t>
  </si>
  <si>
    <t>Was passiert, wenn der Ball die Spielfeldbegrenzung überschreitet?</t>
  </si>
  <si>
    <t>A. Einwurf für den Gegner B. Freistoß für den Gegner C. Elfmeter D. Spielwiederholung</t>
  </si>
  <si>
    <t>Wenn der Ball die Begrenzung überschreitet, gibt es einen Einwurf für den Gegner.</t>
  </si>
  <si>
    <t>What is the maximum length the playing field can have?</t>
  </si>
  <si>
    <t>A. 12 meters B. 14 meters C. 16 meters D. 20 meters</t>
  </si>
  <si>
    <t>Welche maximale Länge darf das Spielfeld haben?</t>
  </si>
  <si>
    <t>A. 12 Meter B. 14 Meter C. 16 Meter D. 20 Meter</t>
  </si>
  <si>
    <t>What color is the playing field marking?</t>
  </si>
  <si>
    <t>A. Red B. Blue C. White D. Yellow</t>
  </si>
  <si>
    <t>The playing field markings are white to be clearly visible.</t>
  </si>
  <si>
    <t>Welche Farbe hat die Spielfeldmarkierung?</t>
  </si>
  <si>
    <t>A. Rot B. Blau C. Weiß D. Gelb</t>
  </si>
  <si>
    <t>Die Spielfeldmarkierung ist weiß, um deutlich sichtbar zu sein.</t>
  </si>
  <si>
    <t>An attack may last a maximum of 30 seconds.</t>
  </si>
  <si>
    <t>Ein Angriff darf maximal 30 Sekunden dauern.</t>
  </si>
  <si>
    <t>What happens in the case of a double foul?</t>
  </si>
  <si>
    <t>A. Both players will be punished B. Free kick for the opponent C. Game interruption D. Penalty for both sides</t>
  </si>
  <si>
    <t>Both players will be punished</t>
  </si>
  <si>
    <t>In the case of a double foul, both players are penalized.</t>
  </si>
  <si>
    <t>Was passiert bei einem Doppelfoul?</t>
  </si>
  <si>
    <t>A. Beide Spieler werden bestraft. B. Freistoß für den Gegner. C. Spielunterbrechung. D. Elfmeter für beide Mannschaften.</t>
  </si>
  <si>
    <t>Beide Spieler werden bestraft</t>
  </si>
  <si>
    <t>Bei einem Doppelfoul werden beide Spieler bestraft.</t>
  </si>
  <si>
    <t>A. Around B. egg-shaped C. Oval D. Irregular</t>
  </si>
  <si>
    <t>The ball is round to allow for consistent play.</t>
  </si>
  <si>
    <t>A. Rund B. eiförmig C. Oval D. Unregelmäßig</t>
  </si>
  <si>
    <t>Der Ball ist rund, um gleichmäßiges Spielen zu ermöglichen.</t>
  </si>
  <si>
    <t>How does the game continue after a goal is scored?</t>
  </si>
  <si>
    <t>A. With a throw-in B. With a free kick C. With a kick-off D. With a penalty kick</t>
  </si>
  <si>
    <t>Wie wird das Spiel nach einem Tor fortgesetzt?</t>
  </si>
  <si>
    <t>A. Mit einem Einwurf B. Mit einem Freistoß C. Mit einem Anstoß D. Mit einem Strafstoß</t>
  </si>
  <si>
    <t>What is the minimum width of the goal area?</t>
  </si>
  <si>
    <t>A. 2 meters B. 3 meters C. 4 meters D. 5 meters</t>
  </si>
  <si>
    <t>The goal area is at least 2 meters wide.</t>
  </si>
  <si>
    <t>Was ist die Mindestbreite des Torraums?</t>
  </si>
  <si>
    <t>A. 2 Meter B. 3 Meter C. 4 Meter D. 5 Meter</t>
  </si>
  <si>
    <t>Der Torraum ist mindestens 2 Meter breit.</t>
  </si>
  <si>
    <t>Is the ball allowed to touch the ceiling of the playing field?</t>
  </si>
  <si>
    <t>The ball must not touch the ceiling of the playing field.</t>
  </si>
  <si>
    <t>Darf der Ball die Decke des Spielfelds berühren?</t>
  </si>
  <si>
    <t>Der Ball darf die Decke des Spielfelds nicht berühren.</t>
  </si>
  <si>
    <t>What happens if a foul occurs outside the goal area?</t>
  </si>
  <si>
    <t>A. Free kick for the opponent B. Game interruption C. penalty kick D. Throw-in for the opponent</t>
  </si>
  <si>
    <t>A foul outside the goal area results in a free kick for the opponent.</t>
  </si>
  <si>
    <t>Was passiert bei einem Foul außerhalb des Torraums?</t>
  </si>
  <si>
    <t>A. Freistoß für den Gegner B. Spielunterbrechung C. Elfmeter D. Einwurf für den Gegner</t>
  </si>
  <si>
    <t>Ein Foul außerhalb des Torraums führt zu einem Freistoß für den Gegner.</t>
  </si>
  <si>
    <t>How many teams participate in an official cycle ball tournament?</t>
  </si>
  <si>
    <t>A. 4 B. 6 C. 8 D. Different</t>
  </si>
  <si>
    <t>Different</t>
  </si>
  <si>
    <t>The number of teams varies depending on the tournament.</t>
  </si>
  <si>
    <t>Wie viele Teams nehmen an einem offiziellen Radball-Turnier teil?</t>
  </si>
  <si>
    <t>A. 4 B. 6 C. 8 D. Unterschiedlich</t>
  </si>
  <si>
    <t>Unterschiedlich</t>
  </si>
  <si>
    <t>Die Anzahl der Teams variiert je nach Turnier.</t>
  </si>
  <si>
    <t>How many wheel strokes are allowed per ball contact?</t>
  </si>
  <si>
    <t>Only one stroke with the wheel is allowed per ball contact.</t>
  </si>
  <si>
    <t>Wie viele Schläge mit dem Rad sind pro Ballberührung erlaubt?</t>
  </si>
  <si>
    <t>Pro Ballberührung ist nur ein Schlag mit dem Rad erlaubt.</t>
  </si>
  <si>
    <t>How do I start a game?</t>
  </si>
  <si>
    <t>A. With a free kick B. With a kick-off C. With a throw-in D. With a penalty kick</t>
  </si>
  <si>
    <t>The game begins with a kick-off from the center of the field.</t>
  </si>
  <si>
    <t>Wie wird ein Spiel gestartet?</t>
  </si>
  <si>
    <t>A. Mit einem Freistoß B. Mit einem Anstoß C. Mit einem Einwurf D. Mit einem Strafstoß</t>
  </si>
  <si>
    <t>Das Spiel beginnt mit einem Anstoß aus der Mitte des Spielfelds.</t>
  </si>
  <si>
    <t>Is it permissible to hit the ball in the air?</t>
  </si>
  <si>
    <t>A. Yes, always B. No, never C. Only in the goal area D. Only for free kicks</t>
  </si>
  <si>
    <t>Yes, always</t>
  </si>
  <si>
    <t>The ball may be hit in the air as long as the rules are followed.</t>
  </si>
  <si>
    <t>Darf der Ball in der Luft geschlagen werden?</t>
  </si>
  <si>
    <t>A. Ja, immer. B. Nein, niemals. C. Nur im Strafraum. D. Nur bei Freistößen.</t>
  </si>
  <si>
    <t>Der Ball darf in der Luft geschlagen werden, solange die Regeln eingehalten werden.</t>
  </si>
  <si>
    <t>What actions are permitted during a throw-in?</t>
  </si>
  <si>
    <t>A. Kick the ball B. Hit the ball with the wheel C. Throw the ball with your hand D. Block the ball</t>
  </si>
  <si>
    <t>Hit the ball with the wheel</t>
  </si>
  <si>
    <t>A throw-in must be made using the wheel.</t>
  </si>
  <si>
    <t>Welche Aktion ist bei einem Einwurf erlaubt?</t>
  </si>
  <si>
    <t>A. Den Ball treten. B. Den Ball mit dem Rad schlagen. C. Den Ball mit der Hand werfen. D. Den Ball blocken.</t>
  </si>
  <si>
    <t>Den Ball mit dem Rad schlagen</t>
  </si>
  <si>
    <t>Ein Einwurf muss mit dem Rad ausgeführt werden.</t>
  </si>
  <si>
    <t>What is the diameter of the ball?</t>
  </si>
  <si>
    <t>A. 10 cm B. 12 cm C. 15 cm D. 20 cm</t>
  </si>
  <si>
    <t>15 cm</t>
  </si>
  <si>
    <t>The ball has a diameter of 15 cm.</t>
  </si>
  <si>
    <t>Wie groß ist der Durchmesser des Balls?</t>
  </si>
  <si>
    <t>Der Durchmesser des Balls beträgt 15 cm.</t>
  </si>
  <si>
    <t>How many players per team are allowed on the field during the game?</t>
  </si>
  <si>
    <t>Each team has two players on the field at the same time.</t>
  </si>
  <si>
    <t>Wie viele Spieler sind während des Spiels auf dem Feld pro Team erlaubt?</t>
  </si>
  <si>
    <t>Jedes Team hat zwei Spieler gleichzeitig auf dem Feld.</t>
  </si>
  <si>
    <t>What happens if a team does not appear within the allotted time?</t>
  </si>
  <si>
    <t>A. Game postponed B. Automatic defeat C. Free kick for the opponent D. Penalty for the opponent</t>
  </si>
  <si>
    <t>Automatic defeat</t>
  </si>
  <si>
    <t>If a team does not start on time, it automatically loses the game.</t>
  </si>
  <si>
    <t>Was passiert, wenn ein Team nicht innerhalb der festgelegten Zeit antritt?</t>
  </si>
  <si>
    <t>A. Spiel verschoben B. Automatische Niederlage C. Freistoß für den Gegner D. Elfmeter für den Gegner</t>
  </si>
  <si>
    <t>Automatische Niederlage</t>
  </si>
  <si>
    <t>Wenn ein Team nicht rechtzeitig antritt, verliert es das Spiel automatisch.</t>
  </si>
  <si>
    <t>What happens if both teams have the same score at the end of the game?</t>
  </si>
  <si>
    <t>A. extension B. Decision by penalty kick C. draw D. Game replay</t>
  </si>
  <si>
    <t>draw</t>
  </si>
  <si>
    <t>If both teams have the same score, the game ends in a draw.</t>
  </si>
  <si>
    <t>Was passiert, wenn beide Teams am Ende des Spiels die gleiche Punktzahl haben?</t>
  </si>
  <si>
    <t>A. Verlängerung B. Entscheidung durch Elfmeter C. Unentschieden D. Spielwiederholung</t>
  </si>
  <si>
    <t>Unentschieden</t>
  </si>
  <si>
    <t>Wenn beide Teams die gleiche Punktzahl haben, endet das Spiel unentschieden.</t>
  </si>
  <si>
    <t>Is a player allowed to intentionally block the bicycles?</t>
  </si>
  <si>
    <t>A. Yes, when in possession of the ball B. No, never C. Only in the goal area D. Only for free kicks</t>
  </si>
  <si>
    <t>Intentionally blocking the opponent's bicycles is not allowed.</t>
  </si>
  <si>
    <t>Darf ein Spieler absichtlich die Fahrräder blockieren?</t>
  </si>
  <si>
    <t>A. Ja, wenn man im Ballbesitz ist. B. Nein, niemals. C. Nur im Strafraum. D. Nur bei Freistößen.</t>
  </si>
  <si>
    <t>Das absichtliche Blockieren der Fahrräder des Gegners ist nicht erlaubt.</t>
  </si>
  <si>
    <t>What is the maximum height a ball can bounce after being shot?</t>
  </si>
  <si>
    <t>A. 1 meter B. 2 meters C. 3 meters D. Unlimited</t>
  </si>
  <si>
    <t>1 meter</t>
  </si>
  <si>
    <t>The ball may bounce a maximum of 1 meter high after being shot.</t>
  </si>
  <si>
    <t>Wie hoch darf ein Ball nach einem Schuss maximal springen?</t>
  </si>
  <si>
    <t>A. 1 Meter B. 2 Meter C. 3 Meter D. Unbegrenzt</t>
  </si>
  <si>
    <t>1 Meter</t>
  </si>
  <si>
    <t>Der Ball darf nach einem Schuss maximal 1 Meter hoch springen.</t>
  </si>
  <si>
    <t>What is the penalty for a deliberate handball outside the goal area?</t>
  </si>
  <si>
    <t>A. Free kick B. penalty kick C. Yellow card D. Red card</t>
  </si>
  <si>
    <t>A deliberate handball outside the goal area results in a free kick for the opponent.</t>
  </si>
  <si>
    <t>Welche Strafe gibt es für ein absichtliches Handspiel außerhalb des Torraums?</t>
  </si>
  <si>
    <t>A. Freistoß B. Elfmeter C. Gelbe Karte D. Rote Karte</t>
  </si>
  <si>
    <t>Ein absichtliches Handspiel außerhalb des Torraums führt zu einem Freistoß für den Gegner.</t>
  </si>
  <si>
    <t>What is the maximum number of substitute players a team is allowed to have?</t>
  </si>
  <si>
    <t>Wie viele Ersatzspieler darf ein Team maximal haben?</t>
  </si>
  <si>
    <t>What happens if the ball breaks?</t>
  </si>
  <si>
    <t>A. Game continues B. Game is interrupted C. The new ball will be used immediately. D. Referee's decision</t>
  </si>
  <si>
    <t>Game is interrupted</t>
  </si>
  <si>
    <t>If the ball breaks, the game is stopped and a new ball is used.</t>
  </si>
  <si>
    <t>Was passiert, wenn der Ball kaputtgeht?</t>
  </si>
  <si>
    <t>A. Das Spiel wird fortgesetzt. B. Das Spiel wird unterbrochen. C. Es wird sofort ein neuer Ball verwendet. D. Entscheidung des Schiedsrichters.</t>
  </si>
  <si>
    <t>Spiel wird unterbrochen</t>
  </si>
  <si>
    <t>Wenn der Ball kaputtgeht, wird das Spiel unterbrochen und ein neuer Ball verwendet.</t>
  </si>
  <si>
    <t>Is a player allowed to play the ball with their head?</t>
  </si>
  <si>
    <t>A. Yes, always B. No, never C. Only in the goal area D. Only for penalty kicks</t>
  </si>
  <si>
    <t>The ball must not be played with the head.</t>
  </si>
  <si>
    <t>Darf ein Spieler den Ball mit dem Kopf spielen?</t>
  </si>
  <si>
    <t>A. Ja, immer. B. Nein, niemals. C. Nur im Torraum. D. Nur bei Elfmetern.</t>
  </si>
  <si>
    <t>Der Ball darf nicht mit dem Kopf gespielt werden.</t>
  </si>
  <si>
    <t>What is the maximum width of the playing field?</t>
  </si>
  <si>
    <t>A. 5 meters B. 7 meters C. 9 meters D. 10 meters</t>
  </si>
  <si>
    <t>The playing field may be a maximum of 9 meters wide.</t>
  </si>
  <si>
    <t>Was ist die maximale Breite des Spielfelds?</t>
  </si>
  <si>
    <t>A. 5 Meter B. 7 Meter C. 9 Meter D. 10 Meter</t>
  </si>
  <si>
    <t>Das Spielfeld darf maximal 9 Meter breit sein.</t>
  </si>
  <si>
    <t>How is a free kick executed?</t>
  </si>
  <si>
    <t>A. With the foot B. By bike C. By hand D. With the head</t>
  </si>
  <si>
    <t>By bike</t>
  </si>
  <si>
    <t>A free kick is taken using a bicycle.</t>
  </si>
  <si>
    <t>Wie wird ein Freistoß ausgeführt?</t>
  </si>
  <si>
    <t>A. Mit dem Fuß B. Mit dem Fahrrad C. Mit der Hand D. Mit dem Kopf</t>
  </si>
  <si>
    <t>Mit dem Rad</t>
  </si>
  <si>
    <t>Ein Freistoß wird mit dem Rad ausgeführt.</t>
  </si>
  <si>
    <t>What happens if a goal is scored while the referee is blowing his whistle?</t>
  </si>
  <si>
    <t>A. The goal counts B. The goal does not count. C. Referee's decision D. Game replay</t>
  </si>
  <si>
    <t>The goal does not count.</t>
  </si>
  <si>
    <t>A goal scored during a whistle does not count.</t>
  </si>
  <si>
    <t>Was passiert, wenn ein Tor erzielt wird, während der Schiedsrichter pfeift?</t>
  </si>
  <si>
    <t>A. Das Tor zählt. B. Das Tor zählt nicht. C. Schiedsrichterentscheidung. D. Spielwiederholung.</t>
  </si>
  <si>
    <t>Tor zählt nicht</t>
  </si>
  <si>
    <t>Ein Tor während eines Pfiffs zählt nicht.</t>
  </si>
  <si>
    <t>Is a player allowed to deliberately move the goal?</t>
  </si>
  <si>
    <t>A. Yes, in case of danger B. No, never C. Only in the event of an attack D. Only in the case of a free kick</t>
  </si>
  <si>
    <t>Intentionally moving the gate is not allowed.</t>
  </si>
  <si>
    <t>Darf ein Spieler das Tor absichtlich verschieben?</t>
  </si>
  <si>
    <t>A. Ja, im Gefahrenfall. B. Nein, niemals. C. Nur im Falle eines Angriffs. D. Nur bei einem Freistoß.</t>
  </si>
  <si>
    <t>Das absichtliche Verschieben des Tors ist nicht erlaubt.</t>
  </si>
  <si>
    <t>What happens if a bicycle has a technical defect during the game?</t>
  </si>
  <si>
    <t>A. Game continues B. Game is interrupted C. Player substitution D. Time penalty for the team</t>
  </si>
  <si>
    <t>In the event of a technical defect, the game will be interrupted until the bicycle is repaired.</t>
  </si>
  <si>
    <t>Was passiert bei einem technischen Defekt eines Fahrrads während des Spiels?</t>
  </si>
  <si>
    <t>A. Das Spiel wird fortgesetzt. B. Das Spiel wird unterbrochen. C. Spielerwechsel. D. Zeitstrafe für die Mannschaft.</t>
  </si>
  <si>
    <t>Bei einem technischen Defekt wird das Spiel unterbrochen, bis das Fahrrad repariert ist.</t>
  </si>
  <si>
    <t>Is a player allowed to steer the ball into the goal using their bicycle?</t>
  </si>
  <si>
    <t>A player may steer the ball into the goal using a bicycle, provided it is within the rules.</t>
  </si>
  <si>
    <t>Darf ein Spieler den Ball mit dem Rad ins Tor lenken?</t>
  </si>
  <si>
    <t>Ein Spieler darf den Ball mit dem Rad ins Tor lenken, wenn es regelkonform ist.</t>
  </si>
  <si>
    <t>What happens if the ball stops on the goal line?</t>
  </si>
  <si>
    <t>A. The goal counts B. No goal C. Referee's decision D. Game continues</t>
  </si>
  <si>
    <t>No goal</t>
  </si>
  <si>
    <t>A ball that stops on the goal line is not considered a goal.</t>
  </si>
  <si>
    <t>Was passiert, wenn der Ball auf der Torlinie stoppt?</t>
  </si>
  <si>
    <t>A. Das Tor zählt. B. Kein Tor. C. Schiedsrichterentscheidung. D. Das Spiel wird fortgesetzt.</t>
  </si>
  <si>
    <t>Kein Tor</t>
  </si>
  <si>
    <t>Ein Ball, der auf der Torlinie stoppt, wird nicht als Tor gewertet.</t>
  </si>
  <si>
    <t>Question Number</t>
  </si>
  <si>
    <t>Wie viele Ringe müssen geworfen werden, um ein Spiel zu gewinnen?</t>
  </si>
  <si>
    <t>A. 4 B. 5 C. 6 D. 7</t>
  </si>
  <si>
    <t>Ein Spiel wird gewonnen, wenn ein Spieler 6 Ringe wirft, die im Zielbereich landen.</t>
  </si>
  <si>
    <t>Darf ein Ring den Boden berühren, bevor er das Ziel erreicht?</t>
  </si>
  <si>
    <t>A. Ja, immer B. Nein, niemals C. Nur im Strafbereich D. Nur bei Freistößen</t>
  </si>
  <si>
    <t>Ein Ring darf den Boden nicht berühren, bevor er das Ziel erreicht.</t>
  </si>
  <si>
    <t>Wie weit muss der Werfer vom Ziel entfernt stehen?</t>
  </si>
  <si>
    <t>A. 2 Meter B. 3 Meter C. 5 Meter D. 10 Meter</t>
  </si>
  <si>
    <t>3 Meter</t>
  </si>
  <si>
    <t>Der Werfer muss mindestens 3 Meter vom Ziel entfernt sein.</t>
  </si>
  <si>
    <t>Wie viele Ringe hat jeder Spieler zu Beginn eines Spiels?</t>
  </si>
  <si>
    <t>A. 4 B. 6 C. 8 D. 10</t>
  </si>
  <si>
    <t>Jeder Spieler beginnt mit 6 Ringen.</t>
  </si>
  <si>
    <t>Was passiert, wenn ein Spieler mehr als einen Ring gleichzeitig wirft?</t>
  </si>
  <si>
    <t>A. Strafpunkt B. Kein Tor C. Freistoß für den Gegner D. Warnung</t>
  </si>
  <si>
    <t>Strafpunkt</t>
  </si>
  <si>
    <t>Ein Strafpunkt wird verhängt, wenn ein Spieler mehr als einen Ring gleichzeitig wirft.</t>
  </si>
  <si>
    <t>Wie wird ein Punkt erzielt?</t>
  </si>
  <si>
    <t>A. Wenn ein Ring im Zielbereich landet B. Wenn der Ring den Boden berührt C. Wenn der Ring über das Ziel hinausfliegt D. Wenn der Ring das Ziel berührt</t>
  </si>
  <si>
    <t>Wenn ein Ring im Zielbereich landet</t>
  </si>
  <si>
    <t>Ein Punkt wird erzielt, wenn der Ring im Zielbereich landet.</t>
  </si>
  <si>
    <t>Kann der Ring nach dem Wurf noch bewegt werden?</t>
  </si>
  <si>
    <t>A. Ja, jederzeit B. Nein, sobald er landet C. Nur im Torbereich D. Nur mit der Hand</t>
  </si>
  <si>
    <t>Nein, sobald er landet</t>
  </si>
  <si>
    <t>Der Ring darf nicht mehr bewegt werden, nachdem er den Boden berührt hat.</t>
  </si>
  <si>
    <t>Wie viele Spieler sind pro Team erlaubt?</t>
  </si>
  <si>
    <t>Jedes Team besteht aus 2 Spielern.</t>
  </si>
  <si>
    <t>Was passiert, wenn ein Ring außerhalb des Spielfelds landet?</t>
  </si>
  <si>
    <t>A. Kein Punkt B. Wiederholung des Wurfs C. Strafpunkt für den Gegner D. Punkt für den Gegner</t>
  </si>
  <si>
    <t>Kein Punkt</t>
  </si>
  <si>
    <t>Ein Ring, der außerhalb des Spielfelds landet, wird nicht bewertet.</t>
  </si>
  <si>
    <t>Wie wird der Gewinner eines Spiels bestimmt?</t>
  </si>
  <si>
    <t>A. Der Spieler mit den meisten Treffern B. Der Spieler, der zuerst 6 Ringe trifft C. Der Spieler, der als erstes alle Ringe wirft D. Der Spieler, der als erstes 10 Punkte erreicht</t>
  </si>
  <si>
    <t>Der Spieler, der zuerst 6 Ringe trifft</t>
  </si>
  <si>
    <t>Der Spieler, der zuerst 6 Ringe im Zielbereich landet, gewinnt das Spiel.</t>
  </si>
  <si>
    <t>Darf ein Spieler den Ring mit einem anderen Objekt werfen?</t>
  </si>
  <si>
    <t>A. Ja, mit einem Stock B. Ja, mit der Hand C. Nein, nur mit den Fingern D. Nur im Torraum</t>
  </si>
  <si>
    <t>Nein, nur mit den Fingern</t>
  </si>
  <si>
    <t>Ein Ring darf nur mit den Fingern geworfen werden.</t>
  </si>
  <si>
    <t>Wie groß muss der Zielbereich sein?</t>
  </si>
  <si>
    <t>A. 1 Meter Durchmesser B. 2 Meter Durchmesser C. 3 Meter Durchmesser D. 5 Meter Durchmesser</t>
  </si>
  <si>
    <t>2 Meter Durchmesser</t>
  </si>
  <si>
    <t>Der Zielbereich hat einen Durchmesser von 2 Metern.</t>
  </si>
  <si>
    <t>Was passiert, wenn der Ring das Ziel berührt, aber nicht im Zielbereich landet?</t>
  </si>
  <si>
    <t>A. Es gibt einen halben Punkt B. Kein Punkt C. Der Ring wird wiederholt D. Punkt für den Gegner</t>
  </si>
  <si>
    <t>Das Berühren des Ziels ohne Landung im Bereich zählt nicht als Punkt.</t>
  </si>
  <si>
    <t>Was passiert, wenn der Ring in das Tor des Gegners fliegt?</t>
  </si>
  <si>
    <t>A. Strafpunkt B. Ein Punkt für den Gegner C. Ein Punkt für den Werfer D. Kein Punkt</t>
  </si>
  <si>
    <t>Ein Punkt für den Werfer</t>
  </si>
  <si>
    <t>Ein Ring, der ins Tor des Gegners fliegt, zählt als Punkt für den Werfer.</t>
  </si>
  <si>
    <t>Kann ein Spieler mehrere Ringe in einem Wurf werfen?</t>
  </si>
  <si>
    <t>A. Ja, immer B. Nein, nur ein Ring C. Nur bei Freistößen D. Nur wenn der Gegner den Wurf nicht blockiert</t>
  </si>
  <si>
    <t>Nein, nur ein Ring</t>
  </si>
  <si>
    <t>Es darf nur ein Ring pro Wurf geworfen werden.</t>
  </si>
  <si>
    <t>Wie wird der Abstand zum Ziel gemessen?</t>
  </si>
  <si>
    <t>A. Mit einem Maßband B. Mit der Hand C. Mit dem Fuß D. Mit einem Laser</t>
  </si>
  <si>
    <t>Der Abstand wird mit einem Maßband gemessen.</t>
  </si>
  <si>
    <t>Wie viele Punkte sind notwendig, um das Spiel zu gewinnen?</t>
  </si>
  <si>
    <t>A. 5 B. 6 C. 10 D. 15</t>
  </si>
  <si>
    <t>Ein Spieler muss 6 Punkte erzielen, um das Spiel zu gewinnen.</t>
  </si>
  <si>
    <t>Darf ein Spieler den Ring mit einem Drehwurf werfen?</t>
  </si>
  <si>
    <t>Ein Drehwurf ist erlaubt, solange die Regeln eingehalten werden.</t>
  </si>
  <si>
    <t>Wie viele Runden werden normalerweise gespielt?</t>
  </si>
  <si>
    <t>A. 1. Runde B. 2 Runden C. 3 Runden D. 5 Runden</t>
  </si>
  <si>
    <t>3 Runden</t>
  </si>
  <si>
    <t>Normalerweise werden 3 Runden gespielt.</t>
  </si>
  <si>
    <t>Darf der Ring nach dem Wurf eines anderen Spielers berührt werden?</t>
  </si>
  <si>
    <t>A. Ja, jederzeit B. Nur im Torbereich C. Nein, niemals D. Nur wenn der Ring das Ziel erreicht</t>
  </si>
  <si>
    <t>Der Ring darf nicht von einem anderen Spieler berührt werden.</t>
  </si>
  <si>
    <t>Wie viele Punkte gibt es, wenn der Ring im Zielbereich landet und der Spieler die richtige Entfernung geworfen hat?</t>
  </si>
  <si>
    <t>A. 1 Punkt B. 2 Punkte C. 3 Punkte D. 4 Punkte</t>
  </si>
  <si>
    <t>Wenn der Ring korrekt geworfen wird, erhält der Spieler 1 Punkt.</t>
  </si>
  <si>
    <t>Kann ein Spieler einen Ring mit der Hand aufheben und erneut werfen?</t>
  </si>
  <si>
    <t>A. Ja, jederzeit B. Nein, nie C. Nur mit der anderen Hand D. Nur während einer Strafrunde</t>
  </si>
  <si>
    <t>Nein, nie</t>
  </si>
  <si>
    <t>Einmal geworfene Ringe dürfen nicht wieder aufgenommen werden.</t>
  </si>
  <si>
    <t>Darf der Ring über das Ziel hinausgeworfen werden?</t>
  </si>
  <si>
    <t>A. Ja, wenn es schnell ist B. Ja, aber der Wurf wird wiederholt C. Nein, es wird als Fehlwurf gewertet D. Ja, es gibt einen Bonuspunkt</t>
  </si>
  <si>
    <t>Nein, es wird als Fehlwurf gewertet</t>
  </si>
  <si>
    <t>Ein Ring, der über das Ziel hinausfliegt, wird als Fehlwurf gezählt.</t>
  </si>
  <si>
    <t>Wie viele Versuche hat jeder Spieler, um einen Ring zu werfen?</t>
  </si>
  <si>
    <t>A. 3 Versuche B. 4 Versuche C. 5 Versuche D. Ungeachtet</t>
  </si>
  <si>
    <t>3 Versuche</t>
  </si>
  <si>
    <t>Jeder Spieler hat 3 Versuche pro Runde.</t>
  </si>
  <si>
    <t>Was passiert, wenn der Ring auf dem Spielfeldboden landet und sich nicht im Zielbereich befindet?</t>
  </si>
  <si>
    <t>A. Er wird als Fehlwurf gewertet B. Er zählt als ein halber Punkt C. Er wird wiederholt D. Er wird zu einem Punkt für den Gegner</t>
  </si>
  <si>
    <t>Er wird als Fehlwurf gewertet</t>
  </si>
  <si>
    <t>Ein Ring, der außerhalb des Zielbereichs landet, zählt als Fehlwurf.</t>
  </si>
  <si>
    <t>Kann ein Spieler den Ring mit dem Fuß werfen?</t>
  </si>
  <si>
    <t>A. Ja, immer B. Ja, aber nur bei einem speziellen Wurf C. Nein, niemals D. Ja, aber es wird als Strafwurf gewertet</t>
  </si>
  <si>
    <t>Ein Wurf mit dem Fuß ist nicht erlaubt.</t>
  </si>
  <si>
    <t>Welche Entfernung muss der Spieler zum Ziel einhalten?</t>
  </si>
  <si>
    <t>A. 5 Meter B. 3 Meter C. 2 Meter D. 4 Meter</t>
  </si>
  <si>
    <t>Der Abstand muss mindestens 3 Meter betragen.</t>
  </si>
  <si>
    <t>Darf der Ring den Boden berühren, bevor er das Ziel erreicht?</t>
  </si>
  <si>
    <t>A. Ja, wenn der Ring zurückfedert B. Ja, aber es gibt keine Punkte C. Nein, der Ring muss in der Luft bleiben D. Ja, es gibt einen Strafpunkt</t>
  </si>
  <si>
    <t>Ja, aber es gibt keine Punkte</t>
  </si>
  <si>
    <t>Ein Ring, der den Boden berührt, bevor er das Ziel erreicht, erhält keine Punkte.</t>
  </si>
  <si>
    <t>Wie viele Spieler sind in einem Quoits-Team erlaubt?</t>
  </si>
  <si>
    <t>Ein Team besteht aus 2 Spielern.</t>
  </si>
  <si>
    <t>Was passiert, wenn der Wurf des Spielers nicht im Zielbereich landet?</t>
  </si>
  <si>
    <t>A. Der Wurf wird wiederholt B. Der Wurf wird als Fehlwurf gewertet C. Es gibt keinen Punkt D. Der Gegner erhält einen Punkt</t>
  </si>
  <si>
    <t>Der Wurf wird als Fehlwurf gewertet</t>
  </si>
  <si>
    <t>Ein Wurf, der nicht im Zielbereich landet, zählt nicht und wird als Fehlwurf gewertet.</t>
  </si>
  <si>
    <t>A. Per Zufall B. Durch den Wurf eines Rings C. Durch den Münzwurf D. Der Spieler mit den meisten Punkten beginnt</t>
  </si>
  <si>
    <t>Per Zufall</t>
  </si>
  <si>
    <t>Die Reihenfolge wird zufällig bestimmt.</t>
  </si>
  <si>
    <t>Was passiert, wenn zwei Spieler gleichzeitig ihren Ring werfen?</t>
  </si>
  <si>
    <t>A. Beide Wurfe werden gezählt B. Der Wurf des letzten Spielers zählt C. Der Wurf des ersten Spielers zählt D. Es gibt einen Strafpunkt für beide Spieler</t>
  </si>
  <si>
    <t>Der Wurf des ersten Spielers zählt</t>
  </si>
  <si>
    <t>Der Wurf des ersten Spielers wird gezählt.</t>
  </si>
  <si>
    <t>Wann ist ein Ring im Zielbereich gültig?</t>
  </si>
  <si>
    <t>A. Wenn er den Boden berührt B. Wenn er auf der Zielmarkierung landet C. Wenn der Ring von oben auf das Ziel trifft D. Wenn der Ring im Bereich landet, ohne den Boden zu berühren</t>
  </si>
  <si>
    <t>Wenn er auf der Zielmarkierung landet</t>
  </si>
  <si>
    <t>Ein Ring ist gültig, wenn er im Zielbereich landet, ohne den Boden zu berühren.</t>
  </si>
  <si>
    <t>Darf der Ring beim Wurf abprallen, bevor er im Zielbereich landet?</t>
  </si>
  <si>
    <t>A. Ja, das ist erlaubt B. Ja, aber er muss wieder ins Ziel rollen C. Nein, das ist nicht erlaubt D. Ja, es gibt einen Bonuspunkt</t>
  </si>
  <si>
    <t>Nein, das ist nicht erlaubt</t>
  </si>
  <si>
    <t>Der Ring muss direkt ins Ziel rollen, ohne abzuprellen.</t>
  </si>
  <si>
    <t>Wie wird der Abstand gemessen, wenn ein Ring im Zielbereich landet?</t>
  </si>
  <si>
    <t>A. Mit einem Maßband B. Mit der Hand C. Mit dem Fuß D. Mit einer Wasserwaage</t>
  </si>
  <si>
    <t>Wie viele Punkte erhält ein Spieler für jeden richtigen Wurf?</t>
  </si>
  <si>
    <t>A. 1 Punkt B. 2 Punkte C. 3 Punkte D. 5 Punkte</t>
  </si>
  <si>
    <t>Ein korrekter Wurf wird mit 1 Punkt bewertet.</t>
  </si>
  <si>
    <t>Darf ein Spieler den Ring mit beiden Händen werfen?</t>
  </si>
  <si>
    <t>A. Ja, jederzeit B. Ja, aber nur wenn er dabei in Bewegung ist C. Nein, nur mit einer Hand D. Ja, aber es zählt als ein Fehlwurf</t>
  </si>
  <si>
    <t>Nein, nur mit einer Hand</t>
  </si>
  <si>
    <t>Ein Wurf mit beiden Händen ist nicht erlaubt.</t>
  </si>
  <si>
    <t>Kann ein Spieler den Ring von einem anderen Spieler zurückholen?</t>
  </si>
  <si>
    <t>A. Ja, jederzeit B. Ja, aber nur wenn der Ring im Spielfeldbereich ist C. Nein, niemals D. Ja, aber nur während einer Strafrunde</t>
  </si>
  <si>
    <t>Der Ring darf nicht von einem anderen Spieler zurückgeholt werden.</t>
  </si>
  <si>
    <t>Was passiert, wenn der Ring zu weit über das Ziel hinausfliegt?</t>
  </si>
  <si>
    <t>A. Er wird wiederholt B. Der Spieler erhält einen Strafpunkt C. Er wird als Fehlwurf gewertet D. Der Gegner erhält den Punkt</t>
  </si>
  <si>
    <t>Ein Ring, der zu weit über das Ziel hinausfliegt, wird als Fehlwurf gewertet.</t>
  </si>
  <si>
    <t>Wie viele Runden müssen in einem Spiel gespielt werden?</t>
  </si>
  <si>
    <t>In einem normalen Spiel werden 3 Runden gespielt.</t>
  </si>
  <si>
    <t>Wie wird der Gewinner eines Quoits-Spiels ermittelt?</t>
  </si>
  <si>
    <t>A. Der Spieler mit den meisten Punkten am Ende des Spiels B. Der Spieler, der zuerst einen Ring im Ziel platziert C. Der Spieler mit den meisten Rundenpunkten D. Der Spieler, der die wenigsten Fehlwürfe hat</t>
  </si>
  <si>
    <t>Der Spieler mit den meisten Punkten am Ende des Spiels</t>
  </si>
  <si>
    <t>Der Spieler mit den meisten Punkten nach der letzten Runde gewinnt.</t>
  </si>
  <si>
    <t>A. Ja, wenn er sich im Zielbereich befindet B. Ja, aber nur durch den Spieler, der geworfen hat C. Nein, der Ring bleibt eine seiner Positionen D. Ja, aber nur in der ersten Runde</t>
  </si>
  <si>
    <t>Nein, der Ring bleibt eine seiner Positionen</t>
  </si>
  <si>
    <t>Nach dem Wurf darf der Ring nicht mehr bewegt werden.</t>
  </si>
  <si>
    <t>Wie viele Ringe müssen in einem Spiel geworfen werden?</t>
  </si>
  <si>
    <t>A. Jeder Spieler wirft nur einen Ring B. Jeder Spieler wirft drei Ringe C. Jeder Spieler wirft fünf Ringe D. Jeder Spieler wirft zwei Ringe</t>
  </si>
  <si>
    <t>Jeder Spieler wirft drei Ringe</t>
  </si>
  <si>
    <t>In einem Spiel wirft jeder Spieler drei Ringe.</t>
  </si>
  <si>
    <t>Wann ist ein Ring ein gültiger Wurf?</t>
  </si>
  <si>
    <t>A. Wenn der Ring das Ziel berührt B. Wenn der Ring das Ziel erreicht, ohne den Boden zu berühren C. Wenn der Ring den Boden zuerst berührt D. Wenn der Ring das Ziel überfliegt</t>
  </si>
  <si>
    <t>Wenn der Ring das Ziel erreicht, ohne den Boden zu berühren</t>
  </si>
  <si>
    <t>Ein Ring ist nur gültig, wenn er das Ziel erreicht, ohne den Boden zu berühren.</t>
  </si>
  <si>
    <t>A. Ja, aber nur wenn es ein regulärer Wurf ist B. Ja, aber nur mit einem speziellen Gegenstand C. Nein, der Wurf muss nur mit der Hand erfolgen D. Ja, es gibt keine Einschränkung</t>
  </si>
  <si>
    <t>Nein, der Wurf muss nur mit der Hand erfolgen</t>
  </si>
  <si>
    <t>Der Wurf muss immer mit der Hand durchgeführt werden.</t>
  </si>
  <si>
    <t>Darf der Ring das Spielfeld verlassen, wenn er im Zielbereich landet?</t>
  </si>
  <si>
    <t>A. Ja, aber er verliert alle Punkte B. Ja, aber er muss zurückgerollt werden C. Nein, der Ring muss im Spielfeld bleiben D. Ja, aber der Wurf wird als ungültig bewertet</t>
  </si>
  <si>
    <t>Nein, der Ring muss im Spielfeld bleiben</t>
  </si>
  <si>
    <t>Ein Ring, der das Spielfeld verlässt, wird als ungültig gewertet.</t>
  </si>
  <si>
    <t>Was passiert, wenn ein Ring auf einem anderen Ring landet?</t>
  </si>
  <si>
    <t>A. Der Wurf wird wiederholt B. Der Ring zählt nicht und wird entfernt C. Der Wurf wird als gültig bewertet D. Es wird ein Punkt für den Ring, auf dem der andere landet, vergeben</t>
  </si>
  <si>
    <t>Der Wurf wird als gültig bewertet</t>
  </si>
  <si>
    <t>Ein Ring, der auf einem anderen Ring landet, zählt als gültiger Wurf.</t>
  </si>
  <si>
    <t>Wie viele Punkte erhält ein Spieler für das Platzieren eines Rings im Zielbereich?</t>
  </si>
  <si>
    <t>A. 0 Punkte B. 1 Punkt C. 2 Punkte D. 3 Punkte</t>
  </si>
  <si>
    <t>Ein korrekt geworfener Ring im Zielbereich gibt 1 Punkt.</t>
  </si>
  <si>
    <t>Was passiert, wenn der Ring den Boden berührt und das Ziel verfehlt?</t>
  </si>
  <si>
    <t>A. Er wird als gültig gewertet B. Er zählt als Fehlwurf C. Der Spieler erhält 0 Punkte D. Der Ring wird als ungültig bewertet</t>
  </si>
  <si>
    <t>Er zählt als Fehlwurf</t>
  </si>
  <si>
    <t>Ein Ring, der den Boden berührt und das Ziel verfehlt, wird als Fehlwurf gewertet.</t>
  </si>
  <si>
    <t>Kann ein Spieler einen Ring mit einer Drehbewegung werfen?</t>
  </si>
  <si>
    <t>A. Ja, aber der Ring muss eine bestimmte Anzahl von Umdrehungen machen B. Ja, das ist erlaubt C. Nein, der Wurf muss geradeaus erfolgen D. Ja, aber nur in der ersten Runde</t>
  </si>
  <si>
    <t>Ja, das ist erlaubt</t>
  </si>
  <si>
    <t>Ein Ring darf mit einer Drehbewegung geworfen werden.</t>
  </si>
  <si>
    <t>Welche Distanz muss der Ring in einem Quoits-Spiel zurücklegen, um gültig zu sein?</t>
  </si>
  <si>
    <t>A. Mindestens 3 Meter B. Mindestens 5 Meter C. Mindestens 10 Meter D. Mindestens 2 Meter</t>
  </si>
  <si>
    <t>Mindestens 3 Meter</t>
  </si>
  <si>
    <t>Der Ring muss mindestens 3 Meter zurücklegen, um gültig zu sein.</t>
  </si>
  <si>
    <t>Kann ein Spieler im Quoits-Spiel einen Ring im Zielbereich platzieren, der von einem anderen Spieler geworfen wurde?</t>
  </si>
  <si>
    <t>A. Ja, es gibt keine Einschränkungen B. Ja, aber nur während des ersten Versuchs C. Nein, das ist nicht erlaubt D. Ja, aber es gibt eine Strafe</t>
  </si>
  <si>
    <t>Es ist nicht erlaubt, den Ring eines anderen Spielers zu platzieren.</t>
  </si>
  <si>
    <t>Wie lange dauert ein Quoits-Spiel normalerweise?</t>
  </si>
  <si>
    <t>A. 15 Minuten B. 30 Minuten C. 45 Minuten D. Die Dauer variiert je nach Regeln</t>
  </si>
  <si>
    <t>Die Dauer variiert je nach Regeln</t>
  </si>
  <si>
    <t>Ein Quoits-Spiel kann je nach den festgelegten Regeln unterschiedlich lange dauern.</t>
  </si>
  <si>
    <t>Darf ein Spieler nach einem Wurf den Ring sofort berühren?</t>
  </si>
  <si>
    <t>A. Ja, wenn er sich im Zielbereich befindet B. Ja, wenn er sich im Spielfeld befindet C. Nein, der Ring darf nicht berührt werden, bevor die Runde beendet ist D. Ja, aber nur während einer Strafrunde</t>
  </si>
  <si>
    <t>Nein, der Ring darf nicht berührt werden, bevor die Runde beendet ist</t>
  </si>
  <si>
    <t>Der Ring darf nicht berührt werden, bevor die Runde beendet ist.</t>
  </si>
  <si>
    <t>Welche der folgenden Regeln gelten im Quoits-Spiel?</t>
  </si>
  <si>
    <t>A. Der Wurf muss immer von Hand erfolgen B. Der Wurf muss gerade sein und nicht seitlich C. Der Wurf muss aus dem Stand erfolgen D. Der Wurf muss in einer bestimmten Reihenfolge erfolgen</t>
  </si>
  <si>
    <t>Der Wurf muss gerade sein und nicht seitlich</t>
  </si>
  <si>
    <t>Ein korrekter Wurf muss gerade und nicht seitlich erfolgen.</t>
  </si>
  <si>
    <t>Wie viele Runden müssen in einem Quoits-Spiel mindestens gespielt werden?</t>
  </si>
  <si>
    <t>A. 1. Runde B. 2 Runden C. 3 Runden D. 4 Runden</t>
  </si>
  <si>
    <t>Es müssen mindestens 3 Runden gespielt werden.</t>
  </si>
  <si>
    <t>Was passiert, wenn beide Spieler denselben Punkt erzielen?</t>
  </si>
  <si>
    <t>A. Es wird eine Wiederholung gespielt B. Es gibt einen Unentschieden C. Der Spieler mit dem besseren Wurf gewinnt D. Es wird als ein geteilter Punkt bewertet</t>
  </si>
  <si>
    <t>Es gibt einen Unentschieden</t>
  </si>
  <si>
    <t>Im Fall eines Gleichstands wird ein Unentschieden erklärt.</t>
  </si>
  <si>
    <t>Kann ein Spieler während des Spiels einen Ring außerhalb des Spielfeldes werfen?</t>
  </si>
  <si>
    <t>A. Ja, aber es wird als Fehlwurf gewertet B. Ja, der Spieler darf das Spielfeld jederzeit verlassen C. Nein, der Ring muss im Spielfeld bleiben D. Ja, aber der Wurf wird wiederholt</t>
  </si>
  <si>
    <t>Der Ring muss immer im Spielfeld bleiben.</t>
  </si>
  <si>
    <t>Was ist die Regel, wenn ein Spieler den Ring ins Ziel wirft, aber das Ziel in der Luft überquert wird?</t>
  </si>
  <si>
    <t>A. Der Ring zählt nicht B. Es wird als gültiger Wurf bewertet C. Der Spieler erhält einen Bonuspunkt D. Der Wurf wird wiederholt</t>
  </si>
  <si>
    <t>Es wird als gültiger Wurf bewertet</t>
  </si>
  <si>
    <t>Ein Ring, der in der Luft überquert wird, wird als gültig bewertet.</t>
  </si>
  <si>
    <t>Welche der folgenden Aussagen ist korrekt für einen gültigen Wurf?</t>
  </si>
  <si>
    <t>A. Der Ring muss mit einer Drehbewegung geworfen werden B. Der Ring muss mindestens 10 Meter fliegen C. Der Ring muss mit der Hand geworfen werden D. Der Ring muss sich sofort im Zielbereich befinden</t>
  </si>
  <si>
    <t>Der Ring muss mit der Hand geworfen werden</t>
  </si>
  <si>
    <t>Ein gültiger Wurf muss mit der Hand ausgeführt werden.</t>
  </si>
  <si>
    <t>Was passiert, wenn ein Ring außerhalb des Zielbereichs landet?</t>
  </si>
  <si>
    <t>A. Der Wurf wird als gültig bewertet B. Der Ring zählt 0 Punkte C. Der Wurf wird wiederholt D. Der Ring wird entfernt</t>
  </si>
  <si>
    <t>Der Wurf wird als ungültig bewertet</t>
  </si>
  <si>
    <t>Ein Ring, der außerhalb des Zielbereichs landet, ist ungültig und zählt 0 Punkte.</t>
  </si>
  <si>
    <t>Was ist die maximale Punktzahl, die ein Spieler in einer Runde erreichen kann?</t>
  </si>
  <si>
    <t>A. 1 Punkt B. 5 Punkte C. 10 Punkte D. Unendlich Punkte</t>
  </si>
  <si>
    <t>In einer Runde kann ein Spieler nur 1 Punkt erreichen, wenn der Ring korrekt geworfen wird.</t>
  </si>
  <si>
    <t>Darf der Ring während des Wurfs die Hand des Spielers berühren?</t>
  </si>
  <si>
    <t>A. Ja, es gibt keine Einschränkungen B. Ja, aber nur einmal C. Nein, der Ring darf nicht die Hand berühren D. Ja, aber nur, wenn der Ring den Zielbereich erreicht</t>
  </si>
  <si>
    <t>Nein, der Ring darf nicht die Hand berühren</t>
  </si>
  <si>
    <t>Der Ring darf während des Wurfs nicht die Hand des Spielers berühren.</t>
  </si>
  <si>
    <t>Wie wird ein Wurf bewertet, der das Ziel überfliegt?</t>
  </si>
  <si>
    <t>A. Der Wurf wird als ungültig bewertet B. Der Ring zählt 1 Punkt C. Der Wurf wird wiederholt D. Der Wurf zählt 2 Punkte</t>
  </si>
  <si>
    <t>Ein Wurf, der das Ziel überfliegt, zählt als ungültig.</t>
  </si>
  <si>
    <t>Wie viele Runden müssen mindestens gespielt werden, um ein Quoits-Spiel zu beenden?</t>
  </si>
  <si>
    <t>A. 1. Runde B. 3 Runden C. 5 Runden D. 7 Runden</t>
  </si>
  <si>
    <t>Ein Quoits-Spiel muss mindestens 3 Runden umfassen.</t>
  </si>
  <si>
    <t>Kann ein Spieler den Ring zurückziehen, nachdem er ihn geworfen hat?</t>
  </si>
  <si>
    <t>A. Ja, er kann den Ring zurückziehen, wenn der Wurf ungültig ist B. Ja, aber nur in der ersten Runde C. Nein, der Ring bleibt nach dem Wurf an seinem Platz D. Ja, aber nur mit Genehmigung des Gegners</t>
  </si>
  <si>
    <t>Nein, der Ring bleibt nach dem Wurf an seinem Platz</t>
  </si>
  <si>
    <t>Der Ring bleibt nach dem Wurf an seiner Position und kann nicht mehr bewegt werden.</t>
  </si>
  <si>
    <t>Was passiert, wenn beide Spieler den gleichen Punkt erzielen?</t>
  </si>
  <si>
    <t>A. Es wird eine Wiederholung durchgeführt B. Es wird als Unentschieden gewertet C. Der Spieler mit den besseren Ergebnissen in der nächsten Runde gewinnt D. Der Spieler mit dem besseren Wurf gewinnt</t>
  </si>
  <si>
    <t>Es wird als Unentschieden gewertet</t>
  </si>
  <si>
    <t>Ein Unentschieden wird erklärt, wenn beide Spieler den gleichen Punkt erzielen.</t>
  </si>
  <si>
    <t>Was passiert, wenn ein Spieler den Ring außerhalb des Spielfelds wirft?</t>
  </si>
  <si>
    <t>A. Der Wurf wird als ungültig bewertet B. Es wird ein Punkt für den Gegner vergeben C. Der Spieler darf den Ring zurückwerfen D. Der Wurf wird wiederholt</t>
  </si>
  <si>
    <t>Ein Wurf, der außerhalb des Spielfelds landet, wird als ungültig gewertet.</t>
  </si>
  <si>
    <t>Wie wird die Wurfentfernung im Quoits-Spiel gemessen?</t>
  </si>
  <si>
    <t>A. Es wird mit dem Augenmaß des Schiedsrichters gemessen B. Mit einem Maßband, das am Spielfeldrand platziert wird C. Es gibt keine festgelegte Messung D. Die Entfernung wird nach dem Wurf manuell berechnet</t>
  </si>
  <si>
    <t>Mit einem Maßband, das am Spielfeldrand platziert wird</t>
  </si>
  <si>
    <t>Die Entfernung des Wurfs wird mit einem Maßband gemessen, das am Spielfeldrand platziert wird.</t>
  </si>
  <si>
    <t>Was passiert, wenn ein Spieler einen Ring mit einer unregelmäßigen Form wirft?</t>
  </si>
  <si>
    <t>A. Der Wurf wird als ungültig bewertet B. Es wird eine Strafe für den Spieler verhängen C. Der Ring wird erneut geworfen D. Es gibt keinen Einfluss auf den Wurf</t>
  </si>
  <si>
    <t>Ein unregelmäßig geformter Ring wird als ungültig geworfen.</t>
  </si>
  <si>
    <t>Wie viele Wurfversuche hat ein Spieler pro Runde?</t>
  </si>
  <si>
    <t>A. 1 Versuch B. 2 Versuche C. 3 Versuche D. Unbegrenzt viele Versuche</t>
  </si>
  <si>
    <t>Ein Spieler hat pro Runde 3 Wurfversuche.</t>
  </si>
  <si>
    <t>Wie weit muss ein Spieler vom Ziel entfernt sein, um zu werfen?</t>
  </si>
  <si>
    <t>A. Mindestens 2 Meter B. Mindestens 3 Meter C. Mindestens 5 Meter D. Es gibt keine festgelegte Entfernung</t>
  </si>
  <si>
    <t>Mindestens 2 Meter</t>
  </si>
  <si>
    <t>Ein Spieler muss mindestens 2 Meter vom Ziel entfernt sein, um zu werfen.</t>
  </si>
  <si>
    <t>A. Ja, es ist erlaubt, solange er das Ziel noch erreicht B. Nein, der Ring darf das Ziel nicht berühren C. Ja, aber nur in der ersten Runde D. Es hängt von der Spielregel ab</t>
  </si>
  <si>
    <t>Ja, es ist erlaubt, solange er das Ziel noch erreicht</t>
  </si>
  <si>
    <t>Der Ring darf den Boden berühren, solange er das Ziel noch erreicht.</t>
  </si>
  <si>
    <t>Was passiert, wenn ein Ring während des Wurfs den Boden berührt?</t>
  </si>
  <si>
    <t>A. Der Wurf wird wiederholt B. Der Ring wird als ungültig bewertet C. Der Wurf gilt als gültig, wenn das Ziel erreicht wird D. Es wird ein Punkt für den Gegner vergeben</t>
  </si>
  <si>
    <t>Der Wurf gilt als gültig, wenn das Ziel erreicht wird</t>
  </si>
  <si>
    <t>Ein Ring, der den Boden berührt, gilt als gültig, wenn er das Ziel erreicht.</t>
  </si>
  <si>
    <t>Wann ist ein Wurf im Quoits-Spiel ein Punkt?</t>
  </si>
  <si>
    <t>A. Wenn der Ring das Ziel erreicht B. Wenn der Ring im Zielbereich landet C. Wenn der Ring den Boden berührt D. Wenn der Ring das Spielfeld verlässt</t>
  </si>
  <si>
    <t>Wenn der Ring im Zielbereich landet</t>
  </si>
  <si>
    <t>Ein Ring zählt nur als Punkt, wenn er im Zielbereich landet.</t>
  </si>
  <si>
    <t>Kann ein Spieler einen Ring während einer Runde mehrfach werfen?</t>
  </si>
  <si>
    <t>A. Ja, aber nur nach Genehmigung des Schiedsrichters B. Ja, aber nur während des ersten Versuchs C. Nein, jeder Spieler darf nur einmal werfen D. Ja, jeder Spieler darf mehrmals werfen, wenn der Wurf ungültig ist</t>
  </si>
  <si>
    <t>Ja, jeder Spieler darf mehrmals werfen, wenn der Wurf ungültig ist</t>
  </si>
  <si>
    <t>Ein Spieler kann einen Ring während einer Runde mehrfach werfen, wenn der Wurf ungültig ist.</t>
  </si>
  <si>
    <t>Wie werden die Ergebnisse eines Spielers nach einer Runde berechnet?</t>
  </si>
  <si>
    <t>A. Es werden alle gültigen Ringe gezählt B. Nur die Ringe, die das Ziel erreichen, zählen C. Nur die Ringe, die den Boden berühren, zählen D. Alle geworfenen Ringe zählen als Punkte</t>
  </si>
  <si>
    <t>Es werden alle gültigen Ringe gezählt</t>
  </si>
  <si>
    <t>Die Empfehlungen basieren auf der Anzahl der gültigen Ringe, die das Ziel erreichen.</t>
  </si>
  <si>
    <t>Was passiert, wenn ein Spieler während seines Wurfs das Ziel trifft?</t>
  </si>
  <si>
    <t>A. Der Wurf wird wiederholt B. Der Spieler erhält eine Strafe C. Der Wurf zählt als gültig D. Der Spieler erhält zusätzliche Punkte</t>
  </si>
  <si>
    <t>Der Wurf zählt als gültig</t>
  </si>
  <si>
    <t>Ein Wurf, der das Ziel trifft, zählt als gültig.</t>
  </si>
  <si>
    <t>Was passiert, wenn der Ring das Ziel verfehlt?</t>
  </si>
  <si>
    <t>A. Der Ring wird wiederholt geworfen B. Der Wurf wird als ungültig bewertet C. Der Wurf zählt 0 Punkte D. Der Wurf wird als gültig bewertet, aber der Spieler erhält keine Punkte</t>
  </si>
  <si>
    <t>Der Wurf zählt 0 Punkte</t>
  </si>
  <si>
    <t>Ein Wurf, der das Ziel verfehlt, zählt als ungültig und 0 Punkte.</t>
  </si>
  <si>
    <t>Darf der Ring beim Wurf an einen anderen Ring abprallen?</t>
  </si>
  <si>
    <t>A. Ja, der Wurf wird wiederholt B. Ja, der Wurf zählt, wenn der Ring das Ziel erreicht C. Nein, der Ring muss direkt ins Ziel gelangen D. Ja, aber nur in der ersten Runde</t>
  </si>
  <si>
    <t>Ja, der Wurf zählt, wenn der Ring das Ziel erreicht</t>
  </si>
  <si>
    <t>Ein Ring, der an einen anderen Ring abprallt, zählt, wenn er das Ziel erreicht.</t>
  </si>
  <si>
    <t>Was passiert, wenn ein Spieler den Ring ohne Schwung wirft?</t>
  </si>
  <si>
    <t>A. Der Wurf wird ungültig B. Der Wurf zählt als gültig C. Der Ring landet immer im Ziel D. Der Spieler wird disqualifiziert</t>
  </si>
  <si>
    <t>Der Wurf wird ungültig</t>
  </si>
  <si>
    <t>Ein Wurf ohne Schwung wird als ungültig gewertet, da der Ring nicht die richtige Geschwindigkeit hat.</t>
  </si>
  <si>
    <t>Wie viele Spieler können gleichzeitig an einem Quoits-Spiel teilnehmen?</t>
  </si>
  <si>
    <t>A. Nur 2 Spieler B. Es können bis zu 4 Spieler teilnehmen C. Es können bis zu 6 Spieler teilnehmen D. Es gibt keine festgelegte Teilnehmerzahl</t>
  </si>
  <si>
    <t>Es können bis zu 4 Spieler teilnehmen</t>
  </si>
  <si>
    <t>In einem Quoits-Spiel können bis zu 4 Spieler gleichzeitig teilnehmen.</t>
  </si>
  <si>
    <t>Welche Form muss der Ring im Quoits-Spiel haben?</t>
  </si>
  <si>
    <t>A. Er muss quadratisch sein B. Er muss rechteckig sein C. Er muss rund sein D. Er muss oval sein</t>
  </si>
  <si>
    <t>Er muss rund sein</t>
  </si>
  <si>
    <t>Der Ring muss rund sein, um im Spiel gültig zu sein.</t>
  </si>
  <si>
    <t>Darf der Ring während des Wurfs vom Wind beeinflusst werden?</t>
  </si>
  <si>
    <t>A. Ja, es ist erlaubt B. Nein, der Wind darf den Ring nicht beeinflussen C. Ja, aber nur in den ersten 3 Minuten D. Es hängt vom Wetter ab</t>
  </si>
  <si>
    <t>Nein, der Wind darf den Ring nicht beeinflussen</t>
  </si>
  <si>
    <t>Der Wind darf den Ring nicht beeinflussen, der Wurf bleibt ungültig.</t>
  </si>
  <si>
    <t>Wann wird ein Quoits-Wurf als gültig bewertet?</t>
  </si>
  <si>
    <t>A. Wenn der Ring ins Ziel gelangt und dort bleibt B. Wenn der Ring das Ziel erreicht und zurückspringt C. Wenn der Ring den Boden berührt, aber das Ziel verfehlt D. Wenn der Ring in der Nähe des Ziels landet</t>
  </si>
  <si>
    <t>Wenn der Ring ins Ziel gelangt und dort bleibt</t>
  </si>
  <si>
    <t>Ein Wurf wird als gültig bewertet, wenn der Ring das Ziel erreicht und dort bleibt.</t>
  </si>
  <si>
    <t>Wie viele Punkte gibt es für einen Treffer ins Zentrum des Ziels?</t>
  </si>
  <si>
    <t>A. 0 Punkte B. 1 Punkt C. 3 Punkte D. 5 Punkte</t>
  </si>
  <si>
    <t>5 Punkte</t>
  </si>
  <si>
    <t>Ein Treffer ins Zentrum des Ziels bringt 5 Punkte.</t>
  </si>
  <si>
    <t>Was passiert, wenn ein Spieler während des Wurfs den Ring fallen lässt?</t>
  </si>
  <si>
    <t>A. Der Wurf wird als ungültig bewertet B. Der Wurf wird wiederholt C. Der Spieler muss eine Strafe zahlen D. Der Ring wird wieder zurückgesetzt</t>
  </si>
  <si>
    <t>Wenn der Ring während des Wurfs fallen gelassen wird, ist der Wurf ungültig.</t>
  </si>
  <si>
    <t>Wie viele Runden müssen mindestens gespielt werden, um das Spiel zu gewinnen?</t>
  </si>
  <si>
    <t>5 Runden</t>
  </si>
  <si>
    <t>Um das Quoits-Spiel zu gewinnen, müssen mindestens 5 Runden gespielt werden.</t>
  </si>
  <si>
    <t>Wie viele Ringe kann ein Spieler in einer Runde werfen?</t>
  </si>
  <si>
    <t>A. 1 Ring B. 2 Ringe C. 3 Ringe D. Es gibt keine Begrenzung</t>
  </si>
  <si>
    <t>3 Ringe</t>
  </si>
  <si>
    <t>Ein Spieler darf in einer Runde 3 Ringe werfen.</t>
  </si>
  <si>
    <t>Was passiert, wenn der Ring den Rand des Ziels berührt?</t>
  </si>
  <si>
    <t>A. Der Wurf wird als gültig bewertet B. Der Ring zählt 1 Punkt C. Der Wurf wird wiederholt D. Es wird eine Strafe verhängt</t>
  </si>
  <si>
    <t>Ein Ring, der den Rand des Ziels berührt, wird als gültig bewertet.</t>
  </si>
  <si>
    <t>Darf der Spieler den Ring vor dem Wurf in der Hand drehen?</t>
  </si>
  <si>
    <t>A. Ja, es ist erlaubt B. Nein, der Ring darf nicht in der Hand gedreht werden C. Ja, aber nur für 5 Sekunden D. Ja, aber nur, wenn der Schiedsrichter zustimmt</t>
  </si>
  <si>
    <t>Ja, es ist erlaubt</t>
  </si>
  <si>
    <t>Es ist erlaubt, den Ring vor dem Wurf in der Hand zu drehen.</t>
  </si>
  <si>
    <t>Was passiert, wenn der Ring über das Ziel hinausfliegt?</t>
  </si>
  <si>
    <t>A. Der Wurf wird wiederholt B. Der Ring wird entfernt C. Es gibt keine Punkte D. Der Wurf wird als ungültig bewertet</t>
  </si>
  <si>
    <t>Wenn der Ring über das Ziel hinausfliegt, wird der Wurf als ungültig bewertet.</t>
  </si>
  <si>
    <t>Wie wird die Distanz zum Ziel gemessen?</t>
  </si>
  <si>
    <t>A. Mit einem Maßband B. Mit einem Lineal C. Mit den Augen des Schiedsrichters D. Es wird keine Distanzmessung durchgeführt</t>
  </si>
  <si>
    <t>Die Distanz zum Ziel wird mit einem Maßband gemessen.</t>
  </si>
  <si>
    <t>Was passiert, wenn der Ring das Ziel nicht erreicht?</t>
  </si>
  <si>
    <t>A. Der Wurf zählt als ungültig B. Der Ring zählt 1 Punkt C. Der Wurf wird als gültig bewertet D. Der Wurf wird wiederholt</t>
  </si>
  <si>
    <t>Der Wurf zählt als ungültig</t>
  </si>
  <si>
    <t>Ein Wurf, der das Ziel nicht erreicht, zählt als ungültig.</t>
  </si>
  <si>
    <t>Was passiert, wenn ein Spieler während des Wurfs aus der Reihe springt?</t>
  </si>
  <si>
    <t>A. Der Wurf wird als ungültig bewertet B. Der Spieler erhält eine Strafe C. Der Wurf wird wiederholt D. Es gibt keine Strafe</t>
  </si>
  <si>
    <t>Ein Spieler darf nicht aus der Reihe springen; der Wurf wird ungültig.</t>
  </si>
  <si>
    <t>Was passiert, wenn der Ring nach dem Wurf den Boden berührt?</t>
  </si>
  <si>
    <t>A. Der Wurf wird als gültig bewertet, wenn das Ziel erreicht wird B. Der Wurf wird als ungültig bewertet C. Es gibt keine Konsequenz D. Der Ring wird zurückgesetzt</t>
  </si>
  <si>
    <t>Der Wurf wird als gültig bewertet, wenn das Ziel erreicht wird</t>
  </si>
  <si>
    <t>Darf ein Spieler den Ring im letzten Moment werfen?</t>
  </si>
  <si>
    <t>A. Ja, es gibt keine Einschränkung B. Nein, der Ring muss rechtzeitig geworfen werden C. Ja, aber der Spieler muss den Schiedsrichter fragen D. Nein, der Spieler wird disqualifiziert</t>
  </si>
  <si>
    <t>Ja, es gibt keine Einschränkung</t>
  </si>
  <si>
    <t>Ein Spieler darf den Ring jederzeit im Spiel werfen, solange er rechtzeitig agiert.</t>
  </si>
  <si>
    <t>Was passiert, wenn der Ring während des Wurfs von einem anderen Spieler abgelenkt wird?</t>
  </si>
  <si>
    <t>A. Der Wurf wird als ungültig bewertet B. Der Wurf wird wiederholt C. Es wird eine Strafe verhängt D. Der Wurf zählt, wenn das Ziel erreicht wird</t>
  </si>
  <si>
    <t>Ein abgelenkter Wurf wird als ungültig gewertet.</t>
  </si>
  <si>
    <t>Kann ein Spieler den Ring während des Spiels ändern?</t>
  </si>
  <si>
    <t>A. Ja, es ist erlaubt, den Ring zu ändern B. Nein, der Ring muss unverändert bleiben C. Ja, aber nur, wenn der Ring beschädigt ist D. Ja, aber nur mit Zustimmung des Schiedsrichters</t>
  </si>
  <si>
    <t>Nein, der Ring muss unverändert bleiben</t>
  </si>
  <si>
    <t>Ein Spieler darf den Ring während des Spiels nicht ändern, er muss unverändert bleiben.</t>
  </si>
  <si>
    <t>Was passiert, wenn ein Spieler den Ring ohne Erfolg wirft?</t>
  </si>
  <si>
    <t>A. Der Wurf wird wiederholt B. Es wird keine Strafe verhängt C. Der Wurf zählt 0 Punkte D. Der Spieler verliert 1 Punkt</t>
  </si>
  <si>
    <t>Ein erfolgreicher Wurf zählt 0 Punkte.</t>
  </si>
  <si>
    <t>Was passiert, wenn der Ring das Ziel nicht berührt, aber innerhalb des Zielbereichs landet?</t>
  </si>
  <si>
    <t>A. Der Wurf zählt als gültig B. Der Wurf wird ungültig C. Der Wurf zählt als 1 Punkt D. Der Wurf wird als unentschieden bewertet</t>
  </si>
  <si>
    <t>Der Wurf zählt als 1 Punkt</t>
  </si>
  <si>
    <t>Ein Ring, der das Ziel nicht berührt, aber im Zielbereich landet, zählt als 1 Punkt.</t>
  </si>
  <si>
    <t>Darf ein Spieler den Ring mit der Hand fangen und erneut werfen?</t>
  </si>
  <si>
    <t>A. Ja, es ist erlaubt B. Nein, es ist nicht erlaubt C. Ja, aber nur bei einem Fehlschlag D. Ja, aber nur nach Rücksprache mit dem Schiedsrichter</t>
  </si>
  <si>
    <t>Nein, es ist nicht erlaubt</t>
  </si>
  <si>
    <t>Ein Spieler darf den Ring nicht mit der Hand fangen und erneut werfen.</t>
  </si>
  <si>
    <t>Wie viele Runden müssen mindestens gespielt werden, um das Quoits-Spiel zu gewinnen?</t>
  </si>
  <si>
    <t>A. 1. Runde B. 2 Runden C. 5 Runden D. 7 Runden</t>
  </si>
  <si>
    <t>Es müssen mindestens 5 Runden gespielt werden, um das Quoits-Spiel zu gewinnen.</t>
  </si>
  <si>
    <t>Kann ein Spieler während des Spiels den Ring von einem anderen Spieler ablenken?</t>
  </si>
  <si>
    <t>A. Ja, es ist erlaubt B. Nein, es ist nicht erlaubt C. Ja, aber nur während des ersten Wurfs D. Ja, aber nur im Fall eines Fehlschlags</t>
  </si>
  <si>
    <t>Ein Spieler darf den Ring eines anderen Spielers nicht ablenken.</t>
  </si>
  <si>
    <t>Wie wird der Abstand zum Ziel gemessen, wenn der Ring im Zielbereich landet?</t>
  </si>
  <si>
    <t>A. Mit einem Maßband B. Mit dem Auge des Schiedsrichters C. Mit einem Lineal D. Mit einem Lasermessgerät</t>
  </si>
  <si>
    <t>Der Abstand zum Ziel wird mit einem Maßband gemessen.</t>
  </si>
  <si>
    <t>Wann muss der Wurf eines Spielers durchgeführt werden?</t>
  </si>
  <si>
    <t>A. Innerhalb von 10 Sekunden B. Innerhalb von 30 Sekunden C. Innerhalb von 1 Minute D. Der Wurf muss innerhalb von 5 Sekunden durchgeführt werden</t>
  </si>
  <si>
    <t>Innerhalb von 30 Sekunden</t>
  </si>
  <si>
    <t>Der Spieler hat 30 Sekunden Zeit, um seinen Wurf zu machen.</t>
  </si>
  <si>
    <t>Darf ein Spieler während seines Wurfs die Wurfzone verlassen?</t>
  </si>
  <si>
    <t>A. Ja, es ist erlaubt B. Nein, der Spieler muss in der Wurfzone bleiben C. Ja, aber nur mit Zustimmung des Schiedsrichters D. Ja, aber der Spieler muss den Wurf wiederholen</t>
  </si>
  <si>
    <t>Nein, der Spieler muss in der Wurfzone bleiben</t>
  </si>
  <si>
    <t>Der Spieler muss während des Wurfs in der Wurfzone bleiben.</t>
  </si>
  <si>
    <t>Was passiert, wenn der Ring das Ziel berührt, aber nicht ganz darin landet?</t>
  </si>
  <si>
    <t>A. Der Wurf wird als ungültig bewertet B. Der Wurf zählt als gültig, aber mit weniger Punkten C. Der Wurf wird als 1 Punkt bewertet D. Der Wurf wird als gültig bewertet</t>
  </si>
  <si>
    <t>Wenn der Ring das Ziel berührt, aber nicht vollständig landet, wird er als gültig bewertet.</t>
  </si>
  <si>
    <t>Darf ein Spieler seinen Ring nach dem Wurf an einem anderen Zielort landen lassen?</t>
  </si>
  <si>
    <t>A. Ja, es ist erlaubt B. Nein, der Ring muss das Ziel erreichen C. Ja, aber nur mit Schiedsrichtererlaubnis D. Ja, wenn der Wurf fehlschlägt</t>
  </si>
  <si>
    <t>Nein, der Ring muss das Ziel erreichen</t>
  </si>
  <si>
    <t>Ein Wurf ist ungültig, wenn der Ring nicht das Ziel erreicht.</t>
  </si>
  <si>
    <t>Kann der Wurf eines Spielers erneut bewertet werden, wenn er von einem anderen Spieler abgelenkt wird?</t>
  </si>
  <si>
    <t>A. Ja, der Wurf wird erneut bewertet B. Nein, der Wurf bleibt unverändert C. Ja, aber nur, wenn der Schiedsrichter zustimmt D. Der Spieler muss einen neuen Wurf machen</t>
  </si>
  <si>
    <t>Nein, der Wurf bleibt unverändert</t>
  </si>
  <si>
    <t>Wenn der Wurf durch einen anderen Spieler abgelenkt wird, bleibt der Wurf unverändert.</t>
  </si>
  <si>
    <t>Wie viele Punkte erhält ein Spieler, wenn der Ring in den äußeren Rand des Ziels landet?</t>
  </si>
  <si>
    <t>2 Punkte</t>
  </si>
  <si>
    <t>Ein Ring, der im äußeren Rand des Ziels landet, zählt 2 Punkte.</t>
  </si>
  <si>
    <t>Was passiert, wenn der Ring den Boden vor dem Ziel berührt?</t>
  </si>
  <si>
    <t>A. Der Wurf wird als ungültig bewertet B. Der Wurf zählt als gültig C. Der Wurf zählt als 1 Punkt D. Der Wurf wird wiederholt</t>
  </si>
  <si>
    <t>Wenn der Ring den Boden berührt, bevor er das Ziel erreicht, wird der Wurf als ungültig gewertet.</t>
  </si>
  <si>
    <t>Wie viele Runden sind erforderlich, um das Spiel zu beenden, wenn kein Spieler eine bestimmte Punktzahl erreicht?</t>
  </si>
  <si>
    <t>A. 1. Runde B. 3 Runden C. 5 Runden D. Es gibt keine festgelegte Anzahl an Runden</t>
  </si>
  <si>
    <t>Das Spiel endet nach 5 Runden, wenn kein Spieler eine festgelegte Punktzahl erreicht hat.</t>
  </si>
  <si>
    <t>Was passiert, wenn ein Spieler den Ring zu früh wirft, bevor der Schiedsrichter das Signal gibt?</t>
  </si>
  <si>
    <t>A. Der Wurf wird als ungültig bewertet B. Der Spieler muss eine Strafe zahlen C. Der Wurf wird wiederholt D. Der Spieler wird disqualifiziert</t>
  </si>
  <si>
    <t>Ein zu früher Wurf wird als ungültig gewertet.</t>
  </si>
  <si>
    <t>Wie wird der Spieler festgelegt, der zuerst wirft?</t>
  </si>
  <si>
    <t>A. Der bestimmte Schiedsrichter den ersten Werfer B. Die Spieler werfen gleichzeitig C. Der Spieler mit der höchsten Punktzahl gewinnt zuerst D. Der Spieler, der die meisten Punkte erzielt hat, wirft zuerst</t>
  </si>
  <si>
    <t>Der bestimmte Schiedsrichter den ersten Werfer</t>
  </si>
  <si>
    <t>Der Schiedsrichter legt fest, wer zuerst wirft.</t>
  </si>
  <si>
    <t>Wie viele Ringe darf ein Spieler in einer Runde werfen?</t>
  </si>
  <si>
    <t>A. Nur 1 Ring B. 2 Ringe C. 3 Ringe D. Es gibt keine Begrenzung</t>
  </si>
  <si>
    <t>Ein Spieler darf 3 Ringe in einer Runde werfen.</t>
  </si>
  <si>
    <t>Was passiert, wenn der Ring in einem anderen Spielfeld landet?</t>
  </si>
  <si>
    <t>A. Der Wurf wird als ungültig bewertet B. Der Wurf zählt als gültig C. Der Spieler erhält keine Punkte D. Der Spieler muss den Wurf wiederholen</t>
  </si>
  <si>
    <t>Ein Ring, der in einem anderen Spielfeld landet, ist ungültig.</t>
  </si>
  <si>
    <t>Was passiert, wenn der Spieler den Ring zu spät wirft?</t>
  </si>
  <si>
    <t>A. Der Wurf wird als ungültig bewertet B. Der Spieler verliert eine Runde C. Der Wurf wird wiederholt D. Der Wurf zählt als 1 Punkt</t>
  </si>
  <si>
    <t>Ein zu späterer Wurf wird als ungültig gewertet.</t>
  </si>
  <si>
    <t>Kann der Schiedsrichter eine Entscheidung ändern, wenn er einen Fehler gemacht hat?</t>
  </si>
  <si>
    <t>A. Ja, der Schiedsrichter kann die Entscheidung ändern B. Nein, die Entscheidung des Schiedsrichters ist endgültig C. Ja, aber nur nach Rücksprache mit den Spielern D. Ja, aber nur während der ersten Runde</t>
  </si>
  <si>
    <t>Ja, der Schiedsrichter kann die Entscheidung ändern</t>
  </si>
  <si>
    <t>Der Schiedsrichter kann eine Entscheidung ändern, wenn ein Fehler gemacht wurde.</t>
  </si>
  <si>
    <t>Wie viele Punkte erhält ein Spieler, wenn der Ring im inneren Zielbereich landet?</t>
  </si>
  <si>
    <t>A. 1 Punkt B. 3 Punkte C. 5 Punkte D. 7 Punkte</t>
  </si>
  <si>
    <t>Ein Ring im inneren Zielbereich zählt 5 Punkte.</t>
  </si>
  <si>
    <t>Wie viele Punkte erhält ein Spieler, wenn der Ring die Mitte des Ziels trifft?</t>
  </si>
  <si>
    <t>A. 5 Punkte B. 3 Punkte C. 2 Punkte D. 1 Punkt</t>
  </si>
  <si>
    <t>Ein Ring, der das Zentrum des Ziels trifft, zählt 5 Punkte.</t>
  </si>
  <si>
    <t>Was passiert, wenn der Ring eines Spielers den Boden berührt, bevor er das Ziel erreicht?</t>
  </si>
  <si>
    <t>A. Der Wurf wird als ungültig bewertet B. Der Wurf wird wiederholt C. Der Wurf zählt als 1 Punkt D. Der Spieler erhält 2 Punkte</t>
  </si>
  <si>
    <t>Ein Wurf ist ungültig, wenn der Ring den Boden berührt, bevor er das Ziel erreicht.</t>
  </si>
  <si>
    <t>Kann ein Spieler den Ring während seines Wurfs mehr als einmal berühren?</t>
  </si>
  <si>
    <t>A. Ja, es ist erlaubt B. Nein, es ist nicht erlaubt C. Ja, aber nur mit Zustimmung des Schiedsrichters D. Ja, wenn der Wurf fehlschlägt</t>
  </si>
  <si>
    <t>Ein Spieler darf den Ring während des Wurfs nicht mehrmals berühren.</t>
  </si>
  <si>
    <t>Wie viele Runden muss ein Spieler gewinnen, um das Quoits-Spiel zu gewinnen?</t>
  </si>
  <si>
    <t>Ein Spieler muss mindestens 3 Runden gewinnen, um das Spiel zu gewinnen.</t>
  </si>
  <si>
    <t>Darf ein Spieler während eines Spiels einen Ring gezielt ablenken, um seine Gegner zu stören?</t>
  </si>
  <si>
    <t>A. Ja, es ist erlaubt B. Nein, es ist nicht erlaubt C. Ja, aber nur wenn der Gegner bereits geworfen hat D. Ja, aber nur nach einer Warnung des Schiedsrichters</t>
  </si>
  <si>
    <t>Ein gezieltes Ablenken eines Rings ist während des Spiels nicht erlaubt.</t>
  </si>
  <si>
    <t>Wie wird der Abstand des Rings zum Ziel gemessen, wenn der Ring den Zielbereich berührt?</t>
  </si>
  <si>
    <t>A. Mit einem Maßband B. Mit einem Lineal C. Mit dem Auge des Schiedsrichters D. Mit einem Lasermessgerät</t>
  </si>
  <si>
    <t>Darf der Spieler den Ring während des Wurfs in der Hand drehen oder bewegen?</t>
  </si>
  <si>
    <t>A. Ja, es ist erlaubt B. Nein, es ist nicht erlaubt C. Ja, aber nur bei einem Fehlschlag D. Ja, wenn der Ring das Ziel erreicht</t>
  </si>
  <si>
    <t>Ein Spieler darf den Ring während des Wurfs nicht drehen oder bewegen.</t>
  </si>
  <si>
    <t>Was passiert, wenn ein Spieler den Ring versehentlich fallen lässt, bevor er wirft?</t>
  </si>
  <si>
    <t>A. Der Wurf wird als ungültig bewertet B. Der Spieler muss den Wurf wiederholen C. Der Spieler verliert einen Punkt D. Der Spieler erhält 1 Punkt</t>
  </si>
  <si>
    <t>Ein fallen gelassener Ring vor dem Wurf wird als ungültig bewertet.</t>
  </si>
  <si>
    <t>Darf ein Spieler seinen Ring während des Wurfs über einen anderen Ring werfen?</t>
  </si>
  <si>
    <t>A. Ja, es ist erlaubt B. Nein, es ist nicht erlaubt C. Ja, aber nur bei einem Fehlschlag D. Ja, aber nur mit Zustimmung des Schiedsrichters</t>
  </si>
  <si>
    <t>Ein Spieler darf seinen Ring über einen anderen Ring werfen, solange es das Ziel erreicht.</t>
  </si>
  <si>
    <t>Was passiert, wenn der Ring während des Wurfs aus dem Spielfeld herausfliegt?</t>
  </si>
  <si>
    <t>A. Der Wurf wird als ungültig bewertet B. Der Spieler erhält 1 Punkt C. Der Spieler muss den Wurf wiederholen D. Der Wurf zählt als 3 Punkte</t>
  </si>
  <si>
    <t>Ein Ring, der aus dem Spielfeld fliegt, wird als ungültig bewertet.</t>
  </si>
  <si>
    <t>Wie viele Wurfringe darf jeder Spieler pro Runde verwenden?</t>
  </si>
  <si>
    <t>Ein Spieler darf 3 Ringe pro Runde verwenden.</t>
  </si>
  <si>
    <t>Kann ein Spieler während des Wurfs die Wurfzone verlassen?</t>
  </si>
  <si>
    <t>A. Ja, es ist erlaubt B. Nein, der Spieler muss in der Wurfzone bleiben C. Ja, aber nur wenn der Ring das Ziel erreicht D. Ja, aber der Spieler muss einen neuen Wurf machen</t>
  </si>
  <si>
    <t>Ein Spieler muss während des Wurfs in der Wurfzone bleiben.</t>
  </si>
  <si>
    <t>Was passiert, wenn ein Spieler einen Ring zu fest wirft?</t>
  </si>
  <si>
    <t>A. Der Ring zählt als B. Der Spieler erhält 1 Punkt C. Der Spieler erhält 2 Punkte D. Der Wurf wird wiederholt</t>
  </si>
  <si>
    <t>Der Ring zählt als</t>
  </si>
  <si>
    <t>Ein zu fest geworfener Ring wird als ungültig gewertet.</t>
  </si>
  <si>
    <t>A. Ja, es ist erlaubt B. Nein, es ist nicht erlaubt C. Ja, aber nur bei einem Fehlschlag D. Ja, aber nur, wenn der Ring das Ziel erreicht</t>
  </si>
  <si>
    <t>Ein Spieler darf den Ring nur mit einer Hand werfen.</t>
  </si>
  <si>
    <t>Was passiert, wenn der Ring das Ziel berührt, aber nicht vollständig darin landet?</t>
  </si>
  <si>
    <t>A. Der Wurf zählt als 1 Punkt B. Der Wurf zählt als 2 Punkte C. Der Wurf wird als ungültig bewertet D. Der Wurf wird wiederholt</t>
  </si>
  <si>
    <t>Der Wurf zählt als 2 Punkte</t>
  </si>
  <si>
    <t>Ein Ring, der das Ziel berührt, aber nicht vollständig landet, zählt als 2 Punkte.</t>
  </si>
  <si>
    <t>Wie wird der Sieger eines Quoits-Spiels bestimmt?</t>
  </si>
  <si>
    <t>A. Der Spieler mit den meisten Punkten gewinnt B. Der Spieler, der die meisten Runden gewinnt, gewinnt C. Der Spieler, der zuerst 10 Punkte erreicht, gewinnt D. Der Spieler mit dem höchsten Wurf gewinnt</t>
  </si>
  <si>
    <t>Der Spieler, der zuerst 10 Punkte erreicht, gewinnt</t>
  </si>
  <si>
    <t>Der Spieler, der zuerst 10 Punkte erreicht, gewinnt.</t>
  </si>
  <si>
    <t>Was passiert, wenn beide Spieler nach einer Runde die gleichen Punkte haben?</t>
  </si>
  <si>
    <t>A. Die Runde wird wiederholt B. Der Schiedsrichter entscheidet über den Gewinner C. Es gibt keine weiteren Runden D. Die Spieler müssen eine Entscheidung treffen</t>
  </si>
  <si>
    <t>Wenn beide Spieler die gleichen Ergebnisse haben, wird die Runde wiederholt.</t>
  </si>
  <si>
    <t>Darf ein Spieler den Ring nach dem Wurf berühren, um seine Position zu ändern?</t>
  </si>
  <si>
    <t>A. Ja, es ist erlaubt B. Nein, es ist nicht erlaubt C. Ja, aber nur, wenn der Ring das Ziel nicht erreicht hat D. Ja, aber nur mit Schiedsrichtererlaubnis</t>
  </si>
  <si>
    <t>Ein Spieler darf den Ring nach dem Wurf nicht mehr berühren.</t>
  </si>
  <si>
    <t>Kann ein Spieler den Ring während des Wurfs in die Luft werfen?</t>
  </si>
  <si>
    <t>A. Ja, es ist erlaubt B. Nein, der Ring muss den Boden berühren C. Ja, aber nur in bestimmten Fällen D. Ja, aber der Wurf muss korrekt ausgeführt werden</t>
  </si>
  <si>
    <t>Ein Spieler darf den Ring während des Wurfs in die Luft werfen, wenn er das Ziel erreicht.</t>
  </si>
  <si>
    <t>Was passiert, wenn ein Spieler den Ring wirft und dieser außerhalb des Zielbereichs landet?</t>
  </si>
  <si>
    <t>A. Der Ring gilt als außer Gefecht. B. Der Spieler erhält eine Strafe. C. Der Spieler muss es erneut versuchen. D. Der Wurf zählt als 1 Punkt.</t>
  </si>
  <si>
    <t>Der Ring gilt als außer Gefecht.</t>
  </si>
  <si>
    <t>Ein Ring, der außerhalb des Zielbereichs landet, scheidet aus dem Spiel aus und zählt nicht.</t>
  </si>
  <si>
    <t>Darf ein Spieler während eines Wurfs die Hand wechseln?</t>
  </si>
  <si>
    <t>A. Ja, solange der Ring innerhalb des Zielbereichs landet. B. Nein, der Spieler muss durchgehend dieselbe Hand benutzen. C. Ja, aber nur, wenn der erste Wurf erfolglos war. D. Ja, nur mit Zustimmung des Schiedsrichters.</t>
  </si>
  <si>
    <t>Nein, der Spieler muss durchgehend dieselbe Hand benutzen.</t>
  </si>
  <si>
    <t>Ein Spieler muss während einer Runde für alle Würfe dieselbe Hand benutzen.</t>
  </si>
  <si>
    <t>Wie viele Punkte erhält ein Spieler, wenn der Ring innerhalb der Wertungszone landet, aber den Mittelpunkt nicht berührt?</t>
  </si>
  <si>
    <t>Ein Ring, der innerhalb der Punktezone, aber nicht in der Mitte landet, bringt 2 Punkte.</t>
  </si>
  <si>
    <t>Was passiert, wenn der Ring eines Spielers einen anderen Ring trifft und diesen aus der Wertungszone befördert?</t>
  </si>
  <si>
    <t>A. Der Spieler erhält zusätzliche Punkte B. Der Ring wird in seine ursprüngliche Position zurückgebracht. C. Der Spieler wird bestraft. D. Der bewegte Ring wird in die Punktezone gelegt.</t>
  </si>
  <si>
    <t>Der Ring wird in seine ursprüngliche Position zurückgebracht.</t>
  </si>
  <si>
    <t>Wird ein Ring aus der Zone gestoßen, kehrt er in seine ursprüngliche Position zurück.</t>
  </si>
  <si>
    <t>Ist es einem Spieler erlaubt, seinen eigenen Ring während des Wurfs zu berühren?</t>
  </si>
  <si>
    <t>A. Ja, falls der Spieler den Winkel anpassen muss. B. Nein, der Spieler darf den Ring beim Werfen nicht berühren. C. Ja, aber nur als letztes Mittel. D. Ja, aber nur mit Erlaubnis des Gegners.</t>
  </si>
  <si>
    <t>Nein, der Spieler darf den Ring beim Werfen nicht berühren.</t>
  </si>
  <si>
    <t>Es ist dem Spieler nicht erlaubt, den Ring während des Wurfs zu berühren.</t>
  </si>
  <si>
    <t>Was passiert, wenn zwei Spieler nach allen Runden unentschieden stehen?</t>
  </si>
  <si>
    <t>A. Sie spielen eine Entscheidungsrunde. B. Der Spieler, der das erste Tor erzielt, gewinnt. C. Sie teilen den Sieg D. Dem Gegner wird der Sieg zugesprochen.</t>
  </si>
  <si>
    <t>Sie spielen eine Entscheidungsrunde.</t>
  </si>
  <si>
    <t>Im Falle eines Gleichstands wird eine Stichrunde gespielt.</t>
  </si>
  <si>
    <t>Darf ein Spieler seinen Ring werfen, während er außerhalb des dafür vorgesehenen Wurfbereichs steht?</t>
  </si>
  <si>
    <t>A. Ja, wenn sie es eilig haben. B. Nein, der Spieler muss innerhalb des Wurfbereichs bleiben. C. Ja, aber nur einmal während des Spiels. D. Ja, wenn beide Spieler zustimmen.</t>
  </si>
  <si>
    <t>Nein, der Spieler muss innerhalb des Wurfbereichs bleiben.</t>
  </si>
  <si>
    <t>Ein Spieler muss sich während seines Wurfs innerhalb des festgelegten Wurfbereichs aufhalten.</t>
  </si>
  <si>
    <t>Wie ist die Torzone markiert?</t>
  </si>
  <si>
    <t>A. Mit einer Kreideumrisslinie B. Mit einer Seilbegrenzung C. Mit Kegeln oder Markierungen D. Es ist nicht gekennzeichnet</t>
  </si>
  <si>
    <t>Mit Kegeln oder Markierungen</t>
  </si>
  <si>
    <t>Die Torzone wird üblicherweise mit Kegeln oder anderen Markierungen gekennzeichnet.</t>
  </si>
  <si>
    <t>Darf ein Spieler den Ring mehr als einmal pro Zug werfen?</t>
  </si>
  <si>
    <t>A. Nein, nur ein Klingeln pro Umdrehung B. Ja, wenn der erste Wurf daneben geht. C. Ja, aber nur unter besonderen Umständen D. Ja, wenn sie im Spiel zurückliegen.</t>
  </si>
  <si>
    <t>Nein, nur ein Klingeln pro Umdrehung</t>
  </si>
  <si>
    <t>Ein Spieler darf pro Zug nur einen Ring werfen.</t>
  </si>
  <si>
    <t>Gilt ein Wurf als gültig, wenn ein Ring neben dem Ziel landet?</t>
  </si>
  <si>
    <t>A. Ja, es zählt als 1 Punkt. B. Ja, wenn es nahe am Ziel landet. C. Nein, der Ball ist aus dem Spiel. D. Ja, wenn beide Spieler zustimmen.</t>
  </si>
  <si>
    <t>Nein, der Ball ist aus dem Spiel.</t>
  </si>
  <si>
    <t>Ein Ring, der außerhalb des Ziels landet, ist aus dem Spiel und zählt nicht.</t>
  </si>
  <si>
    <t>Wie ermittelt man den Sieger, wenn es in der letzten Runde zu Gleichstand kommt?</t>
  </si>
  <si>
    <t>A. Anhand der Anzahl der geworfenen Ringe B. Durch den Abstand vom Zentrum C. Durch einen Münzwurf D. Vom ersten Spieler, der wirft</t>
  </si>
  <si>
    <t>Durch den Abstand vom Zentrum</t>
  </si>
  <si>
    <t>Im Falle eines Gleichstands wird der Abstand der Ringe vom Mittelpunkt zur Ermittlung des Gewinners herangezogen.</t>
  </si>
  <si>
    <t>Kann ein Spieler während seines Zuges einen Ring aus der vorherigen Runde verwenden?</t>
  </si>
  <si>
    <t>A. Ja, sofern sie erlaubt sind. B. Nein, nur die in der aktuellen Runde geworfenen Ringe zählen. C. Ja, aber nur mit Erlaubnis. D. Ja, wenn sich der Ring in der Punktezone befindet.</t>
  </si>
  <si>
    <t>Nein, nur die in der aktuellen Runde geworfenen Ringe zählen.</t>
  </si>
  <si>
    <t>Nur die in der aktuellen Runde geworfenen Ringe zählen für die Wertung.</t>
  </si>
  <si>
    <t>Wie viele Spieler können an einem Standard-Quoits-Spiel teilnehmen?</t>
  </si>
  <si>
    <t>A. 1-2 Spieler B. 2-4 Spieler C. 3-5 Spieler D. 5-10 Spieler</t>
  </si>
  <si>
    <t>1-2 Spieler</t>
  </si>
  <si>
    <t>Ein Standard-Quoits-Spiel wird typischerweise mit 1 oder 2 Spielern gespielt.</t>
  </si>
  <si>
    <t>Welcher Mindestabstand muss zwischen der Wurflinie und dem Zielbereich eingehalten werden?</t>
  </si>
  <si>
    <t>A. 2 Fuß B. 3 Fuß C. 4 Fuß D. 5 Fuß</t>
  </si>
  <si>
    <t>3 Fuß</t>
  </si>
  <si>
    <t>Der Mindestabstand zwischen Wurflinie und Zielbereich beträgt 3 Fuß.</t>
  </si>
  <si>
    <t>Was passiert, wenn ein Ring vor dem Aufprall einen Pfosten berührt?</t>
  </si>
  <si>
    <t>A. Es zählt als 1 Punkt B. Der Spieler muss einen weiteren Zug machen. C. Der Wurf wird als ungültig betrachtet. D. Der Ring wird in seine ursprüngliche Position zurückgebracht.</t>
  </si>
  <si>
    <t>Der Wurf wird als ungültig betrachtet.</t>
  </si>
  <si>
    <t>Wenn ein Ring vor dem Aufprall einen Pfosten berührt, gilt der Wurf als ungültig.</t>
  </si>
  <si>
    <t>Wie viele Ringe dürfen während eines Spiels maximal gleichzeitig in der Luft sein?</t>
  </si>
  <si>
    <t>A. 1 Ring B. 2 Ringe C. 3 Ringe D. Es gibt keine Grenzen</t>
  </si>
  <si>
    <t>Es gibt keine Grenzen</t>
  </si>
  <si>
    <t>Die Anzahl der Ringe, die während eines Spiels in der Luft sind, ist unbegrenzt.</t>
  </si>
  <si>
    <t>Kann ein Spieler einen Ring erneut versuchen, wenn er nicht richtig landet?</t>
  </si>
  <si>
    <t>A. Ja, wenn der Ring falsch ausgerichtet ist. B. Ja, aber nur einmal. C. Nein, sobald der Ring geworfen ist, ist es endgültig. D. Ja, wenn beide Spieler zustimmen.</t>
  </si>
  <si>
    <t>Nein, sobald der Ring geworfen ist, ist es endgültig.</t>
  </si>
  <si>
    <t>Sobald der Ring geworfen wurde, kann der Wurf nicht wiederholt werden; er zählt so, wie er ist.</t>
  </si>
  <si>
    <t>Welche Strafe droht, wenn ein Spieler das Ziel innerhalb einer bestimmten Anzahl von Versuchen nicht trifft?</t>
  </si>
  <si>
    <t>A. Sie verlieren einen Punkt B. Sie müssen einen Strafstoß ausführen. C. Sie verlieren die Runde. D. Sie erhalten eine Warnung</t>
  </si>
  <si>
    <t>Sie verlieren die Runde.</t>
  </si>
  <si>
    <t>Wenn ein Spieler das Ziel innerhalb der vorgegebenen Anzahl von Versuchen nicht trifft, verliert er die Runde.</t>
  </si>
  <si>
    <t>Gibt es eine festgelegte Anzahl an Versuchen, den Ring in jeder Runde zu werfen?</t>
  </si>
  <si>
    <t>A. Ja, üblicherweise 3 Versuche pro Runde. B. Nein, es gibt keine Grenze. C. Ja, üblicherweise 5 Versuche pro Runde. D. Ja, üblicherweise ein Versuch pro Runde.</t>
  </si>
  <si>
    <t>Ja, üblicherweise 3 Versuche pro Runde.</t>
  </si>
  <si>
    <t>Die Spieler haben in der Regel 3 Versuche pro Runde, ihren Ring zu werfen.</t>
  </si>
  <si>
    <t>Darf der Gegner während des Spiels den Ring eines Spielers berühren?</t>
  </si>
  <si>
    <t>A. Ja, wenn sie versuchen zu helfen. B. Ja, wenn sich der Ring innerhalb der Punktezone befindet. C. Nein, sie dürfen es nicht berühren. D. Ja, aber nur, wenn sich der Ring bewegt.</t>
  </si>
  <si>
    <t>Nein, sie dürfen es nicht berühren.</t>
  </si>
  <si>
    <t>Ein Gegner darf während des Spiels den Ring eines Spielers nicht berühren.</t>
  </si>
  <si>
    <t>Wie viele Runden kann ein Spieler maximal bestreiten?</t>
  </si>
  <si>
    <t>A. 3 Runden B. 5 Runden C. Unbegrenzte Runden D. 10 Runden</t>
  </si>
  <si>
    <t>Unbegrenzte Runden</t>
  </si>
  <si>
    <t>Es gibt keine Begrenzung hinsichtlich der Anzahl der Runden, an denen ein Spieler teilnehmen kann.</t>
  </si>
  <si>
    <t>Was passiert, wenn ein Ring die Mitte des Ziels berührt?</t>
  </si>
  <si>
    <t>A. Es zählt als 3 Punkte B. Es zählt als 5 Punkte. C. Es zählt als 2 Punkte D. Es wird nicht mitgezählt.</t>
  </si>
  <si>
    <t>Es zählt als 5 Punkte.</t>
  </si>
  <si>
    <t>Ein Ring, der die Mitte der Zielscheibe berührt, zählt als 5 Punkte.</t>
  </si>
  <si>
    <t>Wie wird der Gewinner ermittelt, wenn beide Spieler nach allen Runden die gleiche Punktzahl erreicht haben?</t>
  </si>
  <si>
    <t>A. Vom Spieler mit den meisten Center-Treffern B. Durch einen Münzwurf C. Der erste Spieler, der einen Punkt erzielt D. Durch den dem Ziel nächstgelegenen Ring</t>
  </si>
  <si>
    <t>Vom Spieler mit den meisten Center-Treffern</t>
  </si>
  <si>
    <t>Bei Punktgleichheit entscheidet die Anzahl der Treffer in die Mitte.</t>
  </si>
  <si>
    <t>Darf ein Spieler seine Wurftechnik während des Spiels ändern?</t>
  </si>
  <si>
    <t>A. Ja, aber nur, wenn sie verlieren. B. Nein, sie müssen dieselbe Technik anwenden. C. Ja, aber nur einmal. D. Ja, wenn das Spiel unentschieden steht.</t>
  </si>
  <si>
    <t>Nein, sie müssen dieselbe Technik anwenden.</t>
  </si>
  <si>
    <t>Ein Spieler muss während des gesamten Spiels dieselbe Wurftechnik anwenden.</t>
  </si>
  <si>
    <t>Wie viel Zeit hat ein Spieler, um einen Ring zu werfen, sobald er an der Reihe ist?</t>
  </si>
  <si>
    <t>A. 10 Sekunden B. 15 Sekunden C. 20 Sekunden D. Es gibt kein Zeitlimit</t>
  </si>
  <si>
    <t>20 Sekunden</t>
  </si>
  <si>
    <t>Die Spieler haben in der Regel 20 Sekunden Zeit, den Ring zu werfen, nachdem sie an der Reihe sind.</t>
  </si>
  <si>
    <t>Was passiert, wenn ein Ring teilweise innerhalb der Wertungszone landet?</t>
  </si>
  <si>
    <t>A. Es zählt als 1 Punkt B. Es zählt als 2 Punkte C. Es zählt als 3 Punkte D. Es wird nicht mitgezählt.</t>
  </si>
  <si>
    <t>Es zählt als 1 Punkt</t>
  </si>
  <si>
    <t>Ein nur teilweise gelandeter Ring zählt als 1 Punkt.</t>
  </si>
  <si>
    <t>Darf ein Spieler seinen Ring von unten werfen?</t>
  </si>
  <si>
    <t>A. Ja, solange die Regeln eingehalten werden. B. Nein, es muss ein Überhandwurf sein. C. Ja, aber nur, wenn der Gegner zustimmt. D. Nein, Unterhandwürfe sind nicht erlaubt.</t>
  </si>
  <si>
    <t>Ja, solange die Regeln eingehalten werden.</t>
  </si>
  <si>
    <t>Ein Spieler darf den Ring auch von unten werfen, solange er die allgemeinen Regeln einhält.</t>
  </si>
  <si>
    <t>Kann ein Spieler seinen Ring gleichzeitig mit seinem Gegner werfen?</t>
  </si>
  <si>
    <t>A. Ja, wenn beide Spieler zustimmen. B. Ja, aber nur einmal pro Spiel. C. Nein, der Spieler muss warten, bis er an der Reihe ist. D. Ja, in der Finalrunde.</t>
  </si>
  <si>
    <t>Nein, der Spieler muss warten, bis er an der Reihe ist.</t>
  </si>
  <si>
    <t>Ein Spieler muss warten, bis er an der Reihe ist, seinen Ring zu werfen.</t>
  </si>
  <si>
    <t>Was passiert, wenn ein Spieler den Ring wirft und dieser aus dem Zielbereich abprallt?</t>
  </si>
  <si>
    <t>A. Der Ring wird weiterhin als gültig betrachtet. B. Der Spieler erhält für diesen Wurf keine Punkte. C. Der Spieler erhält 2 Punkte D. Der Wurf zählt als 1 Punkt.</t>
  </si>
  <si>
    <t>Der Spieler erhält für diesen Wurf keine Punkte.</t>
  </si>
  <si>
    <t>Wenn der Ring aus dem Zielbereich abprallt, wird er als ungültig betrachtet.</t>
  </si>
  <si>
    <t>Kann ein Spieler während des Spiels eine Pause beantragen?</t>
  </si>
  <si>
    <t>A. Ja, aber nur einmal pro Spiel. B. Nein, das Spiel muss ohne Unterbrechungen fortgesetzt werden. C. Ja, wenn beide Spieler zustimmen. D. Ja, wenn es ein langfristiges Spiel ist.</t>
  </si>
  <si>
    <t>Ja, wenn beide Spieler zustimmen.</t>
  </si>
  <si>
    <t>Eine Pause kann nur beantragt werden, wenn beide Spieler zustimmen.</t>
  </si>
  <si>
    <t>How many players are in a curling team?</t>
  </si>
  <si>
    <t>A team consists of 4 players, each of whom throws a curling stone.</t>
  </si>
  <si>
    <t>Wie viele Spieler sind in einem Eisstockschießen-Team?</t>
  </si>
  <si>
    <t>Ein Team besteht aus 4 Spielern, die jeweils einen Eisstock werfen.</t>
  </si>
  <si>
    <t>What happens if the stick falls onto the ice before it is thrown?</t>
  </si>
  <si>
    <t>A. The stick is thrown as invalid. B. The stick is reset. C. The stick is thrown again. D. The stick remains in play.</t>
  </si>
  <si>
    <t>The stick is reset</t>
  </si>
  <si>
    <t>If the stick falls onto the ice, it is reset and must be thrown again.</t>
  </si>
  <si>
    <t>Was passiert, wenn der Stock auf das Eis fällt, bevor er geworfen wird?</t>
  </si>
  <si>
    <t>A. Der Stock wird als ungültig geworfen B. Der Stock wird zurückgesetzt C. Der Stock wird neu geworfen D. Der Stock bleibt im Spiel</t>
  </si>
  <si>
    <t>Der Stock wird zurückgesetzt</t>
  </si>
  <si>
    <t>Wenn der Stock auf das Eis fällt, wird er zurückgesetzt und muss erneut geworfen werden.</t>
  </si>
  <si>
    <t>What shape does the curling stone have?</t>
  </si>
  <si>
    <t>A. Square B. Round C. Rectangular D. Oval</t>
  </si>
  <si>
    <t>An ice stock has a round shape to allow it to glide smoothly on the ice.</t>
  </si>
  <si>
    <t>Welche Form hat der Eisstock?</t>
  </si>
  <si>
    <t>A. Quadratisch B. Rund C. Rechteckig D. Oval</t>
  </si>
  <si>
    <t>Ein Eisstock hat eine runde Form, um reibungslos auf dem Eis zu gleiten.</t>
  </si>
  <si>
    <t>What color is the target marker in curling?</t>
  </si>
  <si>
    <t>A. Rotting B. Blue C. Yellow D. White</t>
  </si>
  <si>
    <t>Rot</t>
  </si>
  <si>
    <t>The target marker is usually red to be clearly visible on the ice.</t>
  </si>
  <si>
    <t>Welche Farbe hat die Zielmarkierung beim Eisstockschießen?</t>
  </si>
  <si>
    <t>A. Verrotten B. Blau C. Gelb D. Weiß</t>
  </si>
  <si>
    <t>Verrotten</t>
  </si>
  <si>
    <t>Die Zielmarkierung ist in der Regel rot, um gut sichtbar auf dem Eis zu sein.</t>
  </si>
  <si>
    <t>What is the purpose of a 'rebound' in curling?</t>
  </si>
  <si>
    <t>A. To hit an opponent's stick B. To improve one's own position C. To get the stick into the goal D. To block the opponent</t>
  </si>
  <si>
    <t>To improve one's own position</t>
  </si>
  <si>
    <t>The bounce is used to move one's own stock into a more advantageous position.</t>
  </si>
  <si>
    <t>Was ist der Zweck eines 'Abprallens' im Eisstockschießen?</t>
  </si>
  <si>
    <t>A. Den Stock von einem Gegner zu treffen B. Den eigenen Bestand in eine bessere Position zu bringen C. Den Stock ins Ziel zu bringen D. Den Gegner zu blockieren</t>
  </si>
  <si>
    <t>Den eigenen Bestand in eine bessere Position zu bringen</t>
  </si>
  <si>
    <t>Das Abprallen wird genutzt, um den eigenen Bestand in eine vorteilhaftere Position zu bringen.</t>
  </si>
  <si>
    <t>What happens if a player throws the stick too late?</t>
  </si>
  <si>
    <t>A. There is a time penalty. B. The throw is not counted. C. He loses the next throw. D. The stick is thrown again.</t>
  </si>
  <si>
    <t>A late throw will be considered invalid and will not count.</t>
  </si>
  <si>
    <t>Was passiert, wenn ein Spieler den Stock zu spät wirft?</t>
  </si>
  <si>
    <t>A. Es gibt eine Zeitstrafe B. Der Wurf wird nicht gewertet C. Er verliert den nächsten Wurf D. Der Stock wird neu geworfen</t>
  </si>
  <si>
    <t>Der Wurf wird nicht gewertet</t>
  </si>
  <si>
    <t>Ein verspäteter Wurf wird als ungültig gewertet und zählt nicht.</t>
  </si>
  <si>
    <t>What do you call the point where the stick lands on the ice?</t>
  </si>
  <si>
    <t>A. Shot B. Target C. Throw D. Out</t>
  </si>
  <si>
    <t>Goal</t>
  </si>
  <si>
    <t>The point where the stick lands is called the target.</t>
  </si>
  <si>
    <t>Wie nennt man den Punkt, an dem der Stock auf dem Eis landet?</t>
  </si>
  <si>
    <t>A. Schuss B. Ziel C. Wurf D. Aus</t>
  </si>
  <si>
    <t>Ziel</t>
  </si>
  <si>
    <t>Der Punkt, an dem der Stock landet, wird als Ziel bezeichnet.</t>
  </si>
  <si>
    <t>How long does a round of curling last?</t>
  </si>
  <si>
    <t>A. 3 minutes B. 5 minutes C. 10 minutes D. No time limit</t>
  </si>
  <si>
    <t>No time limit</t>
  </si>
  <si>
    <t>There is no fixed time limit for a round; the duration depends on the number of throws.</t>
  </si>
  <si>
    <t>Wie lange dauert eine Runde im Eisstockschießen?</t>
  </si>
  <si>
    <t>A. 3 Minuten B. 5 Minuten C. 10 Minuten D. Keine Zeitbegrenzung</t>
  </si>
  <si>
    <t>Keine Zeitbegrenzung</t>
  </si>
  <si>
    <t>Es gibt keine feste Zeitbegrenzung für eine Runde, die Dauer hängt von den Würfen ab.</t>
  </si>
  <si>
    <t>How many rounds are there usually in a curling competition?</t>
  </si>
  <si>
    <t>A. 2 B. 3 C. 5 D. 7</t>
  </si>
  <si>
    <t>A competition usually consists of 3 rounds.</t>
  </si>
  <si>
    <t>Wie viele Runden gibt es normalerweise in einem Eisstockschießen-Wettkampf?</t>
  </si>
  <si>
    <t>Ein Wettkampf besteht üblicherweise aus 3 Runden.</t>
  </si>
  <si>
    <t>What technique is commonly used to shoot the stick into the target in a controlled manner?</t>
  </si>
  <si>
    <t>A. Direct shot B. Rolling shot C. Curved shot D. Rebound shot</t>
  </si>
  <si>
    <t>Rolling shot</t>
  </si>
  <si>
    <t>The rolling shot is used to bring the stick to the target with a gentle arcing motion.</t>
  </si>
  <si>
    <t>Welche Technik wird häufig verwendet, um den Stock kontrolliert in das Ziel zu schießen?</t>
  </si>
  <si>
    <t>A. Direktschuss B. Rollschuss C. Bogensprung D. Abprallschuss</t>
  </si>
  <si>
    <t>Rollschuss</t>
  </si>
  <si>
    <t>Der Rollschuss wird verwendet, um den Stock mit einer sanften Bogenbewegung ins Ziel zu bringen.</t>
  </si>
  <si>
    <t>What does it mean when a player makes a 'final throw'?</t>
  </si>
  <si>
    <t>A. He ends the game. B. He makes the final throw. C. He has achieved the highest score. D. He can repeat the next throw.</t>
  </si>
  <si>
    <t>He makes the final throw.</t>
  </si>
  <si>
    <t>The final throw is the last throw in a round and can decide the game.</t>
  </si>
  <si>
    <t>Was bedeutet es, wenn ein Spieler einen 'Schlusswurf' macht?</t>
  </si>
  <si>
    <t>A. Er beendet das Spiel B. Er gibt den finalen Wurf ab C. Er hat die höchste Punktzahl erreicht D. Er kann den nächsten Wurf wiederholen</t>
  </si>
  <si>
    <t>Er gibt den finalen Wurf ab</t>
  </si>
  <si>
    <t>Der Schlusswurf ist der letzte Wurf in einer Runde und kann das Spiel entscheiden.</t>
  </si>
  <si>
    <t>What happens if the stick doesn't reach the target?</t>
  </si>
  <si>
    <t>A. The stick is thrown again. B. The score is considered invalid. C. The player receives no points. D. The stick is removed from the game.</t>
  </si>
  <si>
    <t>The inventory is considered invalid.</t>
  </si>
  <si>
    <t>A stick that does not reach the target is considered invalid.</t>
  </si>
  <si>
    <t>Was passiert, wenn der Stock das Ziel nicht erreicht?</t>
  </si>
  <si>
    <t>A. Der Stock wird erneut geworfen B. Der Bestand gilt als ungültig C. Der Spieler bekommt keine Punkte D. Der Stock wird aus dem Spiel entfernt</t>
  </si>
  <si>
    <t>Der Bestand gilt als ungültig</t>
  </si>
  <si>
    <t>Ein Stock, der das Ziel nicht erreicht, wird als ungültig betrachtet.</t>
  </si>
  <si>
    <t>What happens if the curling stone crosses the target area?</t>
  </si>
  <si>
    <t>A. The stick is removed from the scoring. B. No points are awarded for the stick. C. The stick remains valid. D. The stick is thrown again.</t>
  </si>
  <si>
    <t>The stock will be removed from the evaluation.</t>
  </si>
  <si>
    <t>A stick that crosses the target area will not be scored.</t>
  </si>
  <si>
    <t>Was passiert, wenn der Eisstock den Zielbereich überquert?</t>
  </si>
  <si>
    <t>A. Der Bestand wird aus der Wertung genommen B. Es gibt keine Punkte für den Stock C. Der Stock bleibt gültig D. Der Stock wird wieder geworfen</t>
  </si>
  <si>
    <t>Der Bestand wird aus der Wertung genommen</t>
  </si>
  <si>
    <t>Ein Stock, der den Zielbereich überquert, wird nicht bewertet.</t>
  </si>
  <si>
    <t>How many people can make up a team in curling?</t>
  </si>
  <si>
    <t>A team usually consists of 4 players.</t>
  </si>
  <si>
    <t>Wie viele Personen können ein Team im Eisstockschießen ausmachen?</t>
  </si>
  <si>
    <t>Ein Team besteht normalerweise aus 4 Spielern.</t>
  </si>
  <si>
    <t>What is the area called where players place their sticks?</t>
  </si>
  <si>
    <t>A. Drop zone B. Target zone C. Player zone D. Storage zone</t>
  </si>
  <si>
    <t>Drop zone</t>
  </si>
  <si>
    <t>The throwing zone is the area where players place and throw their sticks.</t>
  </si>
  <si>
    <t>Wie nennt man den Bereich, in dem die Spieler ihre Stöcke ablegen?</t>
  </si>
  <si>
    <t>A. Abwurfzone B. Zielzone C. Spielerzone D. Lagerzone</t>
  </si>
  <si>
    <t>Abwurfzone</t>
  </si>
  <si>
    <t>Die Abwurfzone ist der Bereich, in dem die Spieler ihre Stöcke ablegen und werfen.</t>
  </si>
  <si>
    <t>Which throw is used to precisely control the position of the stick?</t>
  </si>
  <si>
    <t>A. Roll shot B. Direct shot C. Bow shot D. Target throw</t>
  </si>
  <si>
    <t>Target throw</t>
  </si>
  <si>
    <t>The target throw is specifically designed to bring the stick precisely into the target.</t>
  </si>
  <si>
    <t>Welcher Wurf wird verwendet, um die Position des Stocks präzise zu kontrollieren?</t>
  </si>
  <si>
    <t>A. Rollschuss B. Direktschuss C. Bogensprung D. Zielwurf</t>
  </si>
  <si>
    <t>Zielwurf</t>
  </si>
  <si>
    <t>Der Zielwurf ist speziell dafür gedacht, den Stock präzise in das Ziel zu bringen.</t>
  </si>
  <si>
    <t>What happens when a player brings a 'foreign stick' onto the playing field?</t>
  </si>
  <si>
    <t>A. There is a penalty. B. The stick is removed. C. The player is disqualified. D. There is no penalty.</t>
  </si>
  <si>
    <t>There is a penalty.</t>
  </si>
  <si>
    <t>Bringing in a foreign stick will result in a penalty for the player.</t>
  </si>
  <si>
    <t>Was passiert, wenn ein Spieler einen 'Fremdstock' auf das Spielfeld bringt?</t>
  </si>
  <si>
    <t>A. Es gibt eine Strafe B. Der Stock wird entfernt C. Der Spieler wird disqualifiziert D. Es gibt keine Strafe</t>
  </si>
  <si>
    <t>Es gibt eine Strafe</t>
  </si>
  <si>
    <t>Das Einbringen eines fremden Stocks führt zu einer Strafe für den Spieler.</t>
  </si>
  <si>
    <t>What happens if a player's stick touches the ice surface during a throw?</t>
  </si>
  <si>
    <t>A. The throw does not count. B. The player is warned. C. The stick is removed from play. D. The stick remains in play.</t>
  </si>
  <si>
    <t>A stick that touches the ice surface during the throw does not count.</t>
  </si>
  <si>
    <t>Was passiert, wenn der Stock eines Spielers während des Wurfs die Eisoberfläche berührt?</t>
  </si>
  <si>
    <t>A. Der Wurf zählt nicht B. Der Spieler wird verwarnt C. Der Stock wird aus dem Spiel genommen D. Der Stock bleibt im Spiel</t>
  </si>
  <si>
    <t>Ein Stock, der während des Wurfs die Eisoberfläche berührt, zählt nicht.</t>
  </si>
  <si>
    <t>What does it mean when a player throws a 'shifter'?</t>
  </si>
  <si>
    <t>A. The stock is shifted. B. The opponent must give up a stick. C. The own stick is pushed into the goal. D. The stick is placed down for a new throw.</t>
  </si>
  <si>
    <t>The individual's own stick is pushed towards the finish line.</t>
  </si>
  <si>
    <t>A "Verschieber" is a throw in which one's own stick is pushed into the target.</t>
  </si>
  <si>
    <t>Was bedeutet es, wenn ein Spieler einen 'Verschieber' wirft?</t>
  </si>
  <si>
    <t>A. Der Bestand wird verschoben B. Der Gegner muss einen Stock abgeben C. Der eigene Stock wird ins Ziel geschoben D. Der Stock wird für einen neuen Wurf abgelegt</t>
  </si>
  <si>
    <t>Der eigene Stock wird ins Ziel geschoben</t>
  </si>
  <si>
    <t>Ein Verschieber ist ein Wurf, der bei dem der eigene Stock ins Ziel geschoben wird.</t>
  </si>
  <si>
    <t>Which of the following sticks is suitable for curling?</t>
  </si>
  <si>
    <t>A. A heavy stick B. A light stick C. A longer stick D. A short stick</t>
  </si>
  <si>
    <t>A heavy stick</t>
  </si>
  <si>
    <t>A heavier stick allows for better control and precision on the ice.</t>
  </si>
  <si>
    <t>Welcher der folgenden Stöcke ist für das Eisstockschießen geeignet?</t>
  </si>
  <si>
    <t>A. Ein schwerer Stock B. Ein leichter Stock C. Ein längerer Stock D. Ein kurzer Stock</t>
  </si>
  <si>
    <t>Ein schwerer Stock</t>
  </si>
  <si>
    <t>Ein schwerer Stock ermöglicht eine bessere Kontrolle und Präzision auf dem Eis.</t>
  </si>
  <si>
    <t>What happens if a player throws a stick using the wrong technique?</t>
  </si>
  <si>
    <t>A. He loses points. B. The throw is not counted. C. The throw is repeated. D. The stick is thrown again.</t>
  </si>
  <si>
    <t>An incorrectly thrown item will be considered invalid and will not count.</t>
  </si>
  <si>
    <t>Was passiert, wenn ein Spieler einen Stock mit der falschen Technik wirft?</t>
  </si>
  <si>
    <t>A. Er verliert Punkte B. Der Wurf wird nicht gewertet C. Der Wurf wird wiederholt D. Der Stock wird neu geworfen</t>
  </si>
  <si>
    <t>Ein fehlerhaft geworfener Artikel wird als ungültig gewertet und zählt nicht.</t>
  </si>
  <si>
    <t>What does it mean when the stick is thrown with an arc motion?</t>
  </si>
  <si>
    <t>A. The stick will be faster. B. The stick has a greater range. C. The stick has higher accuracy. D. The stick will land more softly.</t>
  </si>
  <si>
    <t>The stick will land more gently.</t>
  </si>
  <si>
    <t>A curved motion ensures that the stick lands gently and in a controlled manner at the target.</t>
  </si>
  <si>
    <t>Was bedeutet es, wenn der Stock mit einer Bogenbewegung geworfen wird?</t>
  </si>
  <si>
    <t>A. Der Stock wird schneller B. Der Stock hat eine größere Reichweite C. Der Stock hat eine höhere Genauigkeit D. Der Stock wird sanfter landen</t>
  </si>
  <si>
    <t>Der Stock wird sanfter landen</t>
  </si>
  <si>
    <t>Eine Bogenbewegung sorgt dafür, dass der Stock sanft und kontrolliert im Ziel landet.</t>
  </si>
  <si>
    <t>What happens if the curling stone overshoots the target?</t>
  </si>
  <si>
    <t>A. It counts as invalid. B. He receives a penalty point. C. He remains in the game. D. He is reset.</t>
  </si>
  <si>
    <t>It is considered invalid.</t>
  </si>
  <si>
    <t>A stick that overshoots the target is considered invalid.</t>
  </si>
  <si>
    <t>Was passiert, wenn der Eisstock das Ziel überschießt?</t>
  </si>
  <si>
    <t>A. Er zählt als ungültig B. Er erhält einen Strafpunkt C. Er bleibt im Spiel D. Er wird zurückgesetzt</t>
  </si>
  <si>
    <t>Er zählt als ungültig</t>
  </si>
  <si>
    <t>Ein Stock, der das Ziel überschießt, zählt als ungültig.</t>
  </si>
  <si>
    <t>What material is used for the traditional curling stone?</t>
  </si>
  <si>
    <t>A. Wood B. Metal C. Plastic D. Glass</t>
  </si>
  <si>
    <t>metal</t>
  </si>
  <si>
    <t>Curling stones are usually made of metal to ensure their stability and durability on the ice.</t>
  </si>
  <si>
    <t>Welches Material wird für den traditionellen Eisstock verwendet?</t>
  </si>
  <si>
    <t>A. Holz B. Metall C. Kunststoff D. Glas</t>
  </si>
  <si>
    <t>Metall</t>
  </si>
  <si>
    <t>Eisstöcke bestehen in der Regel aus Metall, um ihre Stabilität und Haltbarkeit auf dem Eis zu gewährleisten.</t>
  </si>
  <si>
    <t>What is the name given to the process by which a player positions their stick in the target area?</t>
  </si>
  <si>
    <t>A. Aiming B. Targets C. Dropping D. Placing</t>
  </si>
  <si>
    <t>Place</t>
  </si>
  <si>
    <t>Placing is the process by which a player positions their stick in the target area.</t>
  </si>
  <si>
    <t>Wie nennt man den Vorgang, bei dem ein Spieler seinen Stock im Zielbereich positioniert?</t>
  </si>
  <si>
    <t>A. Anvisieren B. Ziele C. Abwerfen D. Platzieren</t>
  </si>
  <si>
    <t>Platzieren</t>
  </si>
  <si>
    <t>Das Platzieren ist der Vorgang, bei dem ein Spieler seinen Stock im Zielbereich positioniert.</t>
  </si>
  <si>
    <t>How many points does the team that gets the stick closest to the target get?</t>
  </si>
  <si>
    <t>A. 1 point B. 2 points C. 3 points D. 4 points</t>
  </si>
  <si>
    <t>The team with the nearest stick receives 1 point.</t>
  </si>
  <si>
    <t>Wie viele Punkte gibt es für das Team, das den Stock am nächsten zum Ziel hat?</t>
  </si>
  <si>
    <t>Das Team mit dem nächstgelegenen Stock erhält 1 Punkt.</t>
  </si>
  <si>
    <t>Which stick is described as "bouncing off"?</t>
  </si>
  <si>
    <t>A. A stick that hits the target. B. A stick that hits the opponent. C. A stick that bounces on the ice. D. A stick that leaves the playing area.</t>
  </si>
  <si>
    <t>A stick that hits the opponent</t>
  </si>
  <si>
    <t>A bounced stick is a stick that hits the opponent and changes its position.</t>
  </si>
  <si>
    <t>Welcher Stock wird als „abgeprallt“ bezeichnet?</t>
  </si>
  <si>
    <t>A. Ein Stock, der auf das Ziel prallt B. Ein Stock, der den Gegner trifft C. Ein Stock, der auf dem Eis aufkommt D. Ein Stock, der das Spielfeld verlässt</t>
  </si>
  <si>
    <t>Ein Stock, der den Gegner trifft</t>
  </si>
  <si>
    <t>Ein abgeprallter Stock ist ein Stock, der den Gegner trifft und seine Position verändert.</t>
  </si>
  <si>
    <t>What do you call the place where a player puts down their stick?</t>
  </si>
  <si>
    <t>A. Throwing mound B. Throwing zone C. Playing area D. Target zone</t>
  </si>
  <si>
    <t>Throwing zone</t>
  </si>
  <si>
    <t>The throwing zone is the area where a player places their stick and throws.</t>
  </si>
  <si>
    <t>Wie nennt man den Ort, an dem ein Spieler seinen Stock ablegt?</t>
  </si>
  <si>
    <t>A. Abwurfhügel B. Wurfzone C. Spielbereich D. Zielzone</t>
  </si>
  <si>
    <t>Wurfzone</t>
  </si>
  <si>
    <t>Die Wurfzone ist der Bereich, in dem ein Spieler seinen Stock ablegt und wirft.</t>
  </si>
  <si>
    <t>What happens if a player hits the target with a 'backheel'?</t>
  </si>
  <si>
    <t>A. The stick is thrown back. B. The throw doesn't count. C. The player loses a point. D. There are bonus points.</t>
  </si>
  <si>
    <t>A retreat results in an invalid throw, which is not counted.</t>
  </si>
  <si>
    <t>Was passiert, wenn ein Spieler das Ziel mit einem 'Rückzieher' trifft?</t>
  </si>
  <si>
    <t>A. Der Stock wird zurückgeworfen B. Der Wurf zählt nicht C. Der Spieler verliert einen Punkt D. Es gibt Bonuspunkte</t>
  </si>
  <si>
    <t>Ein Rückzieher führt zu einem ungültigen Wurf, der nicht gezählt wird.</t>
  </si>
  <si>
    <t>What happens if a player throws the stick with too much force?</t>
  </si>
  <si>
    <t>A. The stick lands too far away. B. The stick stays in the target area. C. The stick is thrown back. D. The stick is deflected.</t>
  </si>
  <si>
    <t>The stick lands too far away</t>
  </si>
  <si>
    <t>Excessive momentum causes the stick to land too far from the target.</t>
  </si>
  <si>
    <t>Was passiert, wenn ein Spieler den Stock mit zu viel Schwung wirft?</t>
  </si>
  <si>
    <t>A. Der Stock landet zu weit entfernt B. Der Stock bleibt im Zielbereich C. Der Stock wird zurückgeworfen D. Der Stock wird umgeleitet</t>
  </si>
  <si>
    <t>Der Stock landet zu weit entfernt</t>
  </si>
  <si>
    <t>Ein übermäßiger Schwung führt dazu, dass der Stock zu weit vom Ziel entfernt landet.</t>
  </si>
  <si>
    <t>What happens if the player's stick is in the target area?</t>
  </si>
  <si>
    <t>A. He gains a point. B. He loses a point. C. He must take another throw. D. There is a penalty.</t>
  </si>
  <si>
    <t>He receives one point.</t>
  </si>
  <si>
    <t>If the stick lands in the target area, the player receives 1 point.</t>
  </si>
  <si>
    <t>Was passiert, wenn der Stock des Spielers im Zielbereich liegt?</t>
  </si>
  <si>
    <t>A. Er erhält einen Punkt B. Er verliert einen Punkt C. Er muss einen weiteren Wurf abgeben D. Es gibt eine Strafe</t>
  </si>
  <si>
    <t>Er erhält einen Punkt</t>
  </si>
  <si>
    <t>Wenn der Stock im Zielbereich landet, erhält der Spieler 1 Punkt.</t>
  </si>
  <si>
    <t>What happens if a player throws the stick over the boundary of the playing field?</t>
  </si>
  <si>
    <t>A. The stick is declared invalid. B. The stick is thrown again. C. The stick remains in play. D. The stick is aimed at the goal.</t>
  </si>
  <si>
    <t>The stick is declared invalid</t>
  </si>
  <si>
    <t>A stick that goes beyond the playing field is declared invalid.</t>
  </si>
  <si>
    <t>Was passiert, wenn ein Spieler den Stock über die Grenze des Spielfelds wirft?</t>
  </si>
  <si>
    <t>A. Der Stock wird für ungültig erklärt B. Der Stock wird wieder geworfen C. Der Stock bleibt im Spiel D. Der Stock wird ins Ziel gerichtet</t>
  </si>
  <si>
    <t>Der Stock wird für ungültig erklärt</t>
  </si>
  <si>
    <t>Ein Stock, der über das Spielfeld hinausgeht, wird für ungültig erklärt.</t>
  </si>
  <si>
    <t>How many throwing techniques are there in curling?</t>
  </si>
  <si>
    <t>There are two throwing techniques: the rolling shot and the direct shot.</t>
  </si>
  <si>
    <t>Wie viele Wurftechniken gibt es im Eisstockschießen?</t>
  </si>
  <si>
    <t>Es gibt zwei Wurftechniken: den Rollschuss und den Direktschuss.</t>
  </si>
  <si>
    <t>What color should the target marker be in curling?</t>
  </si>
  <si>
    <t>A. Rotting B. Blue C. Green D. Yellow</t>
  </si>
  <si>
    <t>The target marker is traditionally red to ensure a clear view of the target.</t>
  </si>
  <si>
    <t>Welche Farbe sollte die Zielmarkierung beim Eisstockschießen haben?</t>
  </si>
  <si>
    <t>A. Verrotten B. Blau C. Grün D. Gelb</t>
  </si>
  <si>
    <t>Die Zielmarkierung ist traditionell rot, um eine klare Sicht auf das Ziel zu gewährleisten.</t>
  </si>
  <si>
    <t>What happens if a player's stick hits an opponent?</t>
  </si>
  <si>
    <t>A. There is a penalty. B. The throw is invalid. C. The opponent loses a point. D. The throw is repeated.</t>
  </si>
  <si>
    <t>The throw is considered invalid.</t>
  </si>
  <si>
    <t>If a stick hits the opponent, the throw is considered invalid.</t>
  </si>
  <si>
    <t>Was passiert, wenn der Stock eines Spielers den Gegner trifft?</t>
  </si>
  <si>
    <t>A. Es gibt eine Strafe B. Der Wurf zählt als ungültig C. Der Gegner verliert einen Punkt D. Der Wurf wird wiederholt</t>
  </si>
  <si>
    <t>Wenn ein Stock den Gegner trifft, wird der Wurf als ungültig bewertet.</t>
  </si>
  <si>
    <t>What is the name given to the zone in which the stick must be thrown?</t>
  </si>
  <si>
    <t>A. Throwing zone B. Playing area C. Target area D. Throwing mound</t>
  </si>
  <si>
    <t>The throwing zone is the area where the player must throw his stick.</t>
  </si>
  <si>
    <t>Wie nennt man die Zone, in der der Stock geworfen werden muss?</t>
  </si>
  <si>
    <t>A. Wurfzone B. Spielbereich C. Zielbereich D. Abwurfhügel</t>
  </si>
  <si>
    <t>Die Wurfzone ist der Bereich, in dem der Spieler seinen Stock werfen muss.</t>
  </si>
  <si>
    <t>What material is used for the stock in curling?</t>
  </si>
  <si>
    <t>A. Metal B. Wood C. Plastic D. Glass</t>
  </si>
  <si>
    <t>Curling stones are made of metal to maximize their durability on the ice.</t>
  </si>
  <si>
    <t>Welches Material wird für den Stock beim Eisstockschießen verwendet?</t>
  </si>
  <si>
    <t>A. Metall B. Holz C. Kunststoff D. Glas</t>
  </si>
  <si>
    <t>Eisstöcke sind aus Metall gefertigt, um ihre Haltbarkeit auf dem Eis zu maximieren.</t>
  </si>
  <si>
    <t>Which movement describes a precise throw in which the stick glides smoothly into the target?</t>
  </si>
  <si>
    <t>A. Bow shot B. Roll shot C. Direct shot D. Shift shot</t>
  </si>
  <si>
    <t>The roll shot is a precise throwing technique in which the stick is gently guided towards the target.</t>
  </si>
  <si>
    <t>Welche Bewegung beschreibt einen präzisen Wurf, bei dem der Stock sanft ins Ziel gleitet?</t>
  </si>
  <si>
    <t>A. Bogensprung B. Rollschuss C. Direktschuss D. Verschieber</t>
  </si>
  <si>
    <t>Der Rollschuss ist eine präzise Wurftechnik, bei der der Stock sanft ins Ziel geleitet wird.</t>
  </si>
  <si>
    <t>What happens if a player drops the stick during the throw?</t>
  </si>
  <si>
    <t>A. The throw is repeated. B. The throw is invalid. C. The stick is thrown into the target. D. The stick is thrown again.</t>
  </si>
  <si>
    <t>If the stick is dropped during the throw, the throw is considered invalid.</t>
  </si>
  <si>
    <t>Was passiert, wenn ein Spieler den Stock während des Wurfs fallen lässt?</t>
  </si>
  <si>
    <t>A. Der Wurf wird wiederholt B. Der Wurf zählt als ungültig C. Der Stock wird ins Ziel geworfen D. Der Stock wird neu geworfen</t>
  </si>
  <si>
    <t>Wenn der Stock während des Wurfs fallen gelassen wird, gilt der Wurf als ungültig.</t>
  </si>
  <si>
    <t>How many rounds are there in a typical competition?</t>
  </si>
  <si>
    <t>A. 1 B. 2 C. 3 D. 5</t>
  </si>
  <si>
    <t>A typical competition consists of 3 rounds.</t>
  </si>
  <si>
    <t>Wie viele Runden gibt es in einem typischen Wettkampf?</t>
  </si>
  <si>
    <t>Ein typischer Wettkampf besteht aus 3 Runden.</t>
  </si>
  <si>
    <t>What happens if the stick overshoots the target?</t>
  </si>
  <si>
    <t>A. The stick is removed. B. The stick remains valid. C. The throw is repeated. D. The score is declared invalid.</t>
  </si>
  <si>
    <t>The inventory is deemed invalid.</t>
  </si>
  <si>
    <t>A stick that crosses the target is deemed invalid.</t>
  </si>
  <si>
    <t>Was passiert, wenn der Stock das Ziel überschreitet?</t>
  </si>
  <si>
    <t>A. Der Stock wird entfernt B. Der Stock bleibt gültig C. Der Wurf wird wiederholt D. Der Bestand wird als ungültig bewertet</t>
  </si>
  <si>
    <t>Der Bestand wird als ungültig bewertet</t>
  </si>
  <si>
    <t>Ein Stock, der das Ziel überschreitet, wird als ungültig bewertet.</t>
  </si>
  <si>
    <t>What happens if a player throws too late?</t>
  </si>
  <si>
    <t>A. There is a time penalty. B. The throw is ruled invalid. C. The player is disqualified. D. The throw is re-thrown.</t>
  </si>
  <si>
    <t>The stick is thrown as invalid.</t>
  </si>
  <si>
    <t>A late throw is considered invalid and does not count.</t>
  </si>
  <si>
    <t>Was passiert, wenn ein Spieler zu spät wirft?</t>
  </si>
  <si>
    <t>A. Es gibt eine Zeitstrafe B. Der Stock wird als ungültig geworfen C. Der Spieler wird disqualifiziert D. Der Wurf wird neu geworfen</t>
  </si>
  <si>
    <t>Der Stock wird als ungültig geworfen</t>
  </si>
  <si>
    <t>Ein verspäteter Wurf wird als ungültig betrachtet und zählt nicht.</t>
  </si>
  <si>
    <t>What technique is used when the stick makes a rapid turn and then lands in the target?</t>
  </si>
  <si>
    <t>A. Bow shot B. Direct shot C. Roll shot D. Shift shot</t>
  </si>
  <si>
    <t>Bow jump</t>
  </si>
  <si>
    <t>The bow jump is a technique in which the stick makes a turn and reaches the target.</t>
  </si>
  <si>
    <t>Welche Technik wird verwendet, wenn der Stock eine schnelle Drehung macht und dann im Ziel landet?</t>
  </si>
  <si>
    <t>A. Bogensprung B. Direktschuss C. Rollschuss D. Verschieber</t>
  </si>
  <si>
    <t>Bogensprung</t>
  </si>
  <si>
    <t>Der Bogensprung ist eine Technik, bei der der Stock eine Drehung macht und das Ziel erreicht.</t>
  </si>
  <si>
    <t>What happens if a player throws the stick with the wrong hand?</t>
  </si>
  <si>
    <t>A. The throw is not counted. B. The player is warned. C. The throw is repeated. D. There is a penalty.</t>
  </si>
  <si>
    <t>Was passiert, wenn ein Spieler den Stock mit der falschen Hand wirft?</t>
  </si>
  <si>
    <t>A. Der Wurf wird nicht gewertet B. Der Spieler wird verwarnt C. Der Wurf wird wiederholt D. Es gibt eine Strafe</t>
  </si>
  <si>
    <t>What is the name given to the line that marks the target area?</t>
  </si>
  <si>
    <t>A. Target marker B. Boundary line C. Throwing line D. Playing area</t>
  </si>
  <si>
    <t>Target marker</t>
  </si>
  <si>
    <t>The target marker is the line that defines the target area for the poles.</t>
  </si>
  <si>
    <t>Wie nennt man die Linie, die den Zielbereich markiert?</t>
  </si>
  <si>
    <t>A. Zielmarkierung B. Grenzlinie C. Wurflinie D. Spielzone</t>
  </si>
  <si>
    <t>Zielmarkierung</t>
  </si>
  <si>
    <t>Die Zielmarkierung ist die Linie, die den Zielbereich für die Stöcke definiert.</t>
  </si>
  <si>
    <t>What happens if a player's stick is in the target area?</t>
  </si>
  <si>
    <t>A. He scores a point. B. He loses a point. C. He has to make another throw. D. The stick is thrown back.</t>
  </si>
  <si>
    <t>A stick in the target area earns the player one point.</t>
  </si>
  <si>
    <t>Was passiert, wenn der Stock eines Spielers im Zielbereich liegt?</t>
  </si>
  <si>
    <t>A. Er erhält einen Punkt B. Er verliert einen Punkt C. Er muss einen weiteren Wurf machen D. Der Stock wird zurückgeworfen</t>
  </si>
  <si>
    <t>Ein Stock im Zielbereich bringt dem Spieler einen Punkt.</t>
  </si>
  <si>
    <t>What happens if the stick crosses the target area?</t>
  </si>
  <si>
    <t>A. He is removed from the game. B. He remains in the game. C. The throw is repeated. D. It is ruled invalid.</t>
  </si>
  <si>
    <t>It will be considered invalid.</t>
  </si>
  <si>
    <t>A stick that crosses the target area will be deemed invalid.</t>
  </si>
  <si>
    <t>Was passiert, wenn der Stock den Zielbereich überquert?</t>
  </si>
  <si>
    <t>A. Er wird aus dem Spiel entfernt B. Er bleibt im Spiel C. Der Wurf wird wiederholt D. Er wird als ungültig gewertet</t>
  </si>
  <si>
    <t>Er wird als ungültig gewertet</t>
  </si>
  <si>
    <t>Ein Stock, der den Zielbereich überquert, wird als ungültig bewertet.</t>
  </si>
  <si>
    <t>What is the name for the technique where the sticks are thrown in reverse?</t>
  </si>
  <si>
    <t>A. Changeover throw B. Round throw C. Release D. Target throw</t>
  </si>
  <si>
    <t>Change throw</t>
  </si>
  <si>
    <t>In the alternating throw, the players throw their sticks.</t>
  </si>
  <si>
    <t>Wie nennt man das Verfahren, bei dem die Stöcke umgekehrt geworfen werden?</t>
  </si>
  <si>
    <t>A. Wechselwurf B. Rundwurf C. Abwurf D. Zielwurf</t>
  </si>
  <si>
    <t>Wechselwurf</t>
  </si>
  <si>
    <t>Im Wechselwurf werfen die Spieler ihre Stöcke.</t>
  </si>
  <si>
    <t>What happens if the stick is thrown too late?</t>
  </si>
  <si>
    <t>A. There is a penalty. B. The throw is invalid. C. The stick is thrown again. D. The throw is repeated.</t>
  </si>
  <si>
    <t>A stick thrown too late is considered invalid.</t>
  </si>
  <si>
    <t>Was passiert, wenn der Stock zu spät geworfen wird?</t>
  </si>
  <si>
    <t>A. Es gibt eine Strafe B. Der Wurf zählt als ungültig C. Der Stock wird neu geworfen D. Der Wurf wird wiederholt</t>
  </si>
  <si>
    <t>Ein zu spät geworfener Stock wird als ungültig betrachtet.</t>
  </si>
  <si>
    <t>What is the area called where the stick is thrown?</t>
  </si>
  <si>
    <t>A. Launch zone B. Target area C. Playing area D. Throwing zone</t>
  </si>
  <si>
    <t>The throwing zone is the area where the player throws the stick.</t>
  </si>
  <si>
    <t>Wie nennt man den Bereich, in dem der Stock abgeworfen wird?</t>
  </si>
  <si>
    <t>A. Abwurfzone B. Zielbereich C. Spielbereich D. Wurfzone</t>
  </si>
  <si>
    <t>Die Abwurfzone ist der Bereich, in dem der Spieler den Stock abwirft.</t>
  </si>
  <si>
    <t>What happens if the player's stick doesn't reach the goal?</t>
  </si>
  <si>
    <t>A. The stick is thrown again. B. The stick remains in play. C. The score is considered invalid. D. The stick is reset.</t>
  </si>
  <si>
    <t>Was passiert, wenn der Stock des Spielers nicht das Ziel erreicht?</t>
  </si>
  <si>
    <t>A. Der Stock wird neu geworfen B. Der Stock bleibt im Spiel C. Der Bestand gilt als ungültig D. Der Stock wird zurückgesetzt</t>
  </si>
  <si>
    <t>Ein Stock, der das Ziel nicht erreicht, gilt als ungültig.</t>
  </si>
  <si>
    <t>How is a player's stick marked?</t>
  </si>
  <si>
    <t>A. With a color B. With a name tag C. With a sticker D. With a ribbon</t>
  </si>
  <si>
    <t>With a color</t>
  </si>
  <si>
    <t>The stick is marked with a color to assign it to the player.</t>
  </si>
  <si>
    <t>Wie wird der Stock eines Spielers markiert?</t>
  </si>
  <si>
    <t>A. Mit einer Farbe B. Mit einem Namensschild C. Mit einem Aufkleber D. Mit einem Band</t>
  </si>
  <si>
    <t>Mit einer Farbe</t>
  </si>
  <si>
    <t>Der Stock wird mit einer Farbe markiert, um ihn dem Spieler zuzuordnen.</t>
  </si>
  <si>
    <t>What does it mean when a player throws a 'rebounding' stick?</t>
  </si>
  <si>
    <t>A. The stick bounces off another stick. B. The stick falls onto the ice. C. The stick is aimed at the goal. D. The stick lands outside the playing area.</t>
  </si>
  <si>
    <t>The stick bounces off another stick.</t>
  </si>
  <si>
    <t>A rebounding stick hits another stick and changes its direction.</t>
  </si>
  <si>
    <t>Was bedeutet es, wenn ein Spieler einen 'abprallenden' Stock wirft?</t>
  </si>
  <si>
    <t>A. Der Stock prallt von einem anderen Stock ab B. Der Stock fällt auf das Eis C. Der Stock wird ins Ziel gerichtet D. Der Stock landet außerhalb des Spielfeldes</t>
  </si>
  <si>
    <t>Der Stock prallt von einem anderen Stock ab</t>
  </si>
  <si>
    <t>Ein abprallender Stock trifft einen anderen Stock und verändert seine Richtung.</t>
  </si>
  <si>
    <t>What do you call the end of a game?</t>
  </si>
  <si>
    <t>A. Final throw B. Final throw C. End game D. Final throw</t>
  </si>
  <si>
    <t>Final throw</t>
  </si>
  <si>
    <t>The final throw is the last throw of a game that determines the result.</t>
  </si>
  <si>
    <t>Wie nennt man den Abschluss eines Spiels?</t>
  </si>
  <si>
    <t>A. Endwurf B. Schlusswurf C. Endspiel D. Abschlusswurf</t>
  </si>
  <si>
    <t>Schlusswurf</t>
  </si>
  <si>
    <t>Der Schlusswurf ist der letzte Wurf eines Spiels, der das Ergebnis bestimmt.</t>
  </si>
  <si>
    <t>What happens if a player throws with too little momentum?</t>
  </si>
  <si>
    <t>A. The stick is thrown into the target area. B. The stick lands outside the playing area. C. The stick stays within the target area. D. The stick lands too far away.</t>
  </si>
  <si>
    <t>A throw that is too weak will cause the stick to land too far from the target.</t>
  </si>
  <si>
    <t>Was passiert, wenn ein Spieler den Wurf mit zu wenig Schwung macht?</t>
  </si>
  <si>
    <t>A. Der Stock wird ins Ziel geworfen B. Der Stock landet außerhalb des Spielfeldes C. Der Stock bleibt im Zielbereich D. Der Stock landet zu weit entfernt</t>
  </si>
  <si>
    <t>Ein zu schwacher Wurf führt dazu, dass der Stock zu weit vom Ziel entfernt landet.</t>
  </si>
  <si>
    <t>How is the result displayed after each round?</t>
  </si>
  <si>
    <t>A. With a display B. With a monitor C. With a whiteboard D. With a marker</t>
  </si>
  <si>
    <t>With an advertisement</t>
  </si>
  <si>
    <t>The result is often announced via a display on the playing field.</t>
  </si>
  <si>
    <t>Wie wird das Ergebnis nach jeder Runde angezeigt?</t>
  </si>
  <si>
    <t>A. Mit einer Anzeige B. Mit einem Monitor C. Mit einer Tafel D. Mit einem Marker</t>
  </si>
  <si>
    <t>Mit einer Anzeige</t>
  </si>
  <si>
    <t>Das Ergebnis wird häufig mit einer Anzeige auf dem Spielfeld bekannt gegeben.</t>
  </si>
  <si>
    <t>What happens if two players throw at the same time?</t>
  </si>
  <si>
    <t>A. There is a penalty. B. The throw is considered invalid. C. The throw is repeated. D. There is no penalty.</t>
  </si>
  <si>
    <t>If two players throw simultaneously, the throw is considered invalid.</t>
  </si>
  <si>
    <t>Was passiert, wenn zwei Spieler gleichzeitig werfen?</t>
  </si>
  <si>
    <t>A. Es gibt eine Strafe B. Der Wurf wird als ungültig betrachtet C. Der Wurf wird wiederholt D. Es gibt keine Strafe</t>
  </si>
  <si>
    <t>Der Wurf wird als ungültig betrachtet</t>
  </si>
  <si>
    <t>Wenn zwei Spieler gleichzeitig werfen, wird der Wurf als ungültig gewertet.</t>
  </si>
  <si>
    <t>What happens if a player accidentally rolls the stick away?</t>
  </si>
  <si>
    <t>A. The throw is repeated. B. The throw is considered invalid. C. The throw counts as valid. D. The stick is reset.</t>
  </si>
  <si>
    <t>An accidentally rolled-away stick results in an invalid throw.</t>
  </si>
  <si>
    <t>Was passiert, wenn ein Spieler den Stock aus Versehen wegrollt?</t>
  </si>
  <si>
    <t>A. Der Wurf wird wiederholt B. Der Wurf wird als ungültig betrachtet C. Der Wurf zählt als gültig D. Der Stock wird zurückgesetzt</t>
  </si>
  <si>
    <t>Ein versehentlich weggerollter Stock führt zu einem ungültigen Wurf.</t>
  </si>
  <si>
    <t>What is the name given to the area in which the stick must be located in order to count?</t>
  </si>
  <si>
    <t>A. Target area B. Playing field C. Throwing mound D. Throwing zone</t>
  </si>
  <si>
    <t>Target area</t>
  </si>
  <si>
    <t>The target area is the area in which the inventory must lie in order to be counted.</t>
  </si>
  <si>
    <t>Wie nennt man den Bereich, in dem sich der Stock befinden muss, um zu zählen?</t>
  </si>
  <si>
    <t>A. Zielbereich B. Spielfeld C. Abwurfhügel D. Wurfzone</t>
  </si>
  <si>
    <t>Zielbereich</t>
  </si>
  <si>
    <t>Der Zielbereich ist der Bereich, in dem der Bestand liegen muss, um zu zählen.</t>
  </si>
  <si>
    <t>What happens if a player doesn't hold the stick properly during a throw?</t>
  </si>
  <si>
    <t>A. The stick is thrown again. B. The throw is invalid. C. The stick is removed. D. The player is warned.</t>
  </si>
  <si>
    <t>An inaccurately held stick results in an invalid throw.</t>
  </si>
  <si>
    <t>Was passiert, wenn ein Spieler den Stock während eines Wurfs nicht richtig festhält?</t>
  </si>
  <si>
    <t>A. Der Stock wird neu geworfen B. Der Wurf zählt als ungültig C. Der Stock wird entfernt D. Der Spieler wird verwarnt</t>
  </si>
  <si>
    <t>Ein ungenau gehaltener Stock führt zu einem ungültigen Wurf.</t>
  </si>
  <si>
    <t>What happens if the stick overshoots the target mark?</t>
  </si>
  <si>
    <t>A. The stock is deemed invalid. B. The stock remains valid. C. The stock is reset. D. There is a penalty.</t>
  </si>
  <si>
    <t>A stick that shoots beyond the target mark will be deemed invalid.</t>
  </si>
  <si>
    <t>Was passiert, wenn der Stock über die Zielmarkierung hinaus schießt?</t>
  </si>
  <si>
    <t>A. Der Bestand wird als ungültig bewertet B. Der Stock bleibt gültig C. Der Stock wird zurückgesetzt D. Es gibt eine Strafe</t>
  </si>
  <si>
    <t>Ein Stock, der über die Zielmarkierung hinausschießt, wird als ungültig bewertet.</t>
  </si>
  <si>
    <t>How many players are allowed to participate in a team during curling?</t>
  </si>
  <si>
    <t>A team may consist of up to 4 players.</t>
  </si>
  <si>
    <t>Wie viele Spieler dürfen in einem Team beim Eisstockschießen teilnehmen?</t>
  </si>
  <si>
    <t>Ein Team darf aus bis zu 4 Spielern bestehen.</t>
  </si>
  <si>
    <t>What happens if a player doesn't throw the stick correctly?</t>
  </si>
  <si>
    <t>A. The throw does not count. B. The throw is made again. C. The player receives a penalty. D. No penalty is imposed.</t>
  </si>
  <si>
    <t>Incorrectly shed stock will not be valued.</t>
  </si>
  <si>
    <t>Was passiert, wenn ein Spieler den Stock nicht richtig abwirft?</t>
  </si>
  <si>
    <t>A. Der Wurf zählt nicht B. Der Wurf wird erneut geworfen C. Der Spieler bekommt eine Strafe D. Es wird keine Strafe verhängt</t>
  </si>
  <si>
    <t>Ein nicht korrekt abgeworfener Bestand wird nicht bewertet.</t>
  </si>
  <si>
    <t>What do you call the point where the stick is supposed to reach the target?</t>
  </si>
  <si>
    <t>A. Marker target B. Final target C. Target point D. Target area</t>
  </si>
  <si>
    <t>The target area is the place where the stick must land.</t>
  </si>
  <si>
    <t>Wie nennt man den Punkt, an dem der Stock ins Ziel kommen soll?</t>
  </si>
  <si>
    <t>A. Markierungsziel B. Endziel C. Zielpunkt D. Zielbereich</t>
  </si>
  <si>
    <t>Der Zielbereich ist der Ort, an dem der Stock landen muss.</t>
  </si>
  <si>
    <t>What happens when a stick touches the target marker?</t>
  </si>
  <si>
    <t>A. The score is deemed invalid. B. The throw is repeated. C. The score is counted in the target area. D. There is no penalty.</t>
  </si>
  <si>
    <t>The inventory is counted in the target area.</t>
  </si>
  <si>
    <t>A stick that touches the target marker is considered valid.</t>
  </si>
  <si>
    <t>Was passiert, wenn ein Stock die Zielmarkierung berührt?</t>
  </si>
  <si>
    <t>A. Der Bestand wird als ungültig bewertet B. Der Wurf wird wiederholt C. Der Bestand wird im Zielbereich gezählt D. Es gibt keine Strafe</t>
  </si>
  <si>
    <t>Der Bestand wird im Zielbereich gezählt</t>
  </si>
  <si>
    <t>Ein Stock, der die Zielmarkierung berührt, wird als gültig bewertet.</t>
  </si>
  <si>
    <t>How many points does a player receive for a stick that lands in the target area?</t>
  </si>
  <si>
    <t>A stick in the target area earns the player 1 point.</t>
  </si>
  <si>
    <t>Wie viele Punkte erhält ein Spieler für einen Stock, der im Zielbereich liegt?</t>
  </si>
  <si>
    <t>Ein Stock im Zielbereich bringt dem Spieler 1 Punkt.</t>
  </si>
  <si>
    <t>What technique is used in curling to steer a stick?</t>
  </si>
  <si>
    <t>A. Aims B. Deceleration C. Turning D. Rolling shot</t>
  </si>
  <si>
    <t>In a rolling shot, the stick is deliberately rolled to guide it towards the target.</t>
  </si>
  <si>
    <t>Welche Technik wird beim Eisstockschießen verwendet, um einen Stock zu lenken?</t>
  </si>
  <si>
    <t>A. Ziele B. Abbremsen C. Drehen D. Rollschuss</t>
  </si>
  <si>
    <t>Beim Rollschuss wird der Stock gezielt gerollt, um ihn ins Ziel zu lenken.</t>
  </si>
  <si>
    <t>What happens if a player's stick lands outside the playing field?</t>
  </si>
  <si>
    <t>A. The stick is removed from play. B. The throw is repeated. C. The stick remains in play. D. The stick is thrown again.</t>
  </si>
  <si>
    <t>The stick is removed from the game.</t>
  </si>
  <si>
    <t>A stick that lands outside the playing field is removed from the game.</t>
  </si>
  <si>
    <t>Was passiert, wenn der Stock eines Spielers außerhalb des Spielfelds landet?</t>
  </si>
  <si>
    <t>A. Der Stock wird aus dem Spiel entfernt B. Der Wurf wird wiederholt C. Der Stock bleibt im Spiel D. Der Stock wird neu geworfen</t>
  </si>
  <si>
    <t>Der Stock wird aus dem Spiel entfernt</t>
  </si>
  <si>
    <t>Ein Stock, der außerhalb des Spielfelds landet, wird aus dem Spiel entfernt.</t>
  </si>
  <si>
    <t>How is the throw scored if the stick hits another stick?</t>
  </si>
  <si>
    <t>A. There is no score. B. The throw is invalid. C. The throw is scored based on the stick's position. D. The throw is repeated.</t>
  </si>
  <si>
    <t>The throw is judged according to the position of the stick.</t>
  </si>
  <si>
    <t>The throw is evaluated based on the position of the stick that was hit.</t>
  </si>
  <si>
    <t>Wie wird der Wurf bewertet, wenn der Stock einen anderen Stock trifft?</t>
  </si>
  <si>
    <t>A. Es gibt keine Bewertung B. Der Wurf wird ungültig C. Der Wurf wird nach der Position des Stocks bewertet D. Der Wurf wird wiederholt</t>
  </si>
  <si>
    <t>Der Wurf wird nach der Position des Stocks bewertet</t>
  </si>
  <si>
    <t>Der Wurf wird basierend auf der Position des getroffenen Stocks bewertet.</t>
  </si>
  <si>
    <t>What is the penalty if a player breaks the rules?</t>
  </si>
  <si>
    <t>A. The player loses a point. B. The player receives a warning. C. The player is disqualified. D. There is no penalty.</t>
  </si>
  <si>
    <t>Violations of the rules result in the player losing a point.</t>
  </si>
  <si>
    <t>Welche Strafe gibt es, wenn ein Spieler gegen die Regeln verstößt?</t>
  </si>
  <si>
    <t>A. Der Spieler verliert einen Punkt B. Der Spieler erhält eine Verwarnung C. Der Spieler wird disqualifiziert D. Es gibt keine Strafe</t>
  </si>
  <si>
    <t>Verstöße gegen die Regeln führen dazu, dass der Spieler einen Punkt verliert.</t>
  </si>
  <si>
    <t>What happens if a player crosses the line during their throw?</t>
  </si>
  <si>
    <t>A. The stick is removed from play. B. The throw is ruled invalid. C. The throw is repeated. D. There is no penalty.</t>
  </si>
  <si>
    <t>The throw is deemed invalid.</t>
  </si>
  <si>
    <t>A throw where the player crosses the line will be considered invalid.</t>
  </si>
  <si>
    <t>Was passiert, wenn ein Spieler während seines Wurfs die Linie überschreitet?</t>
  </si>
  <si>
    <t>A. Der Stock wird aus dem Spiel entfernt B. Der Wurf wird als ungültig bewertet C. Der Wurf wird wiederholt D. Es gibt keine Strafe</t>
  </si>
  <si>
    <t>Ein Wurf, bei dem der Spieler die Linie überschreitet, wird als ungültig gewertet.</t>
  </si>
  <si>
    <t>How is the order of the throws in a round determined?</t>
  </si>
  <si>
    <t>A. The oldest player starts. B. It is decided randomly. C. The team captain decides. D. The player with the most points starts.</t>
  </si>
  <si>
    <t>It will be decided randomly.</t>
  </si>
  <si>
    <t>The order of the throws is chosen randomly at the beginning of each round.</t>
  </si>
  <si>
    <t>Wie wird die Reihenfolge der Würfe in einer Runde festgelegt?</t>
  </si>
  <si>
    <t>A. Der älteste Spieler beginnt B. Es wird zufällig entschieden C. Der Teamkapitän entscheidet D. Der Spieler mit den meisten Punkten beginnt</t>
  </si>
  <si>
    <t>Es wird zufällig entschieden</t>
  </si>
  <si>
    <t>Die Reihenfolge der Würfe wird zu Beginn jeder Runde zufällig gewählt.</t>
  </si>
  <si>
    <t>How long did an average round of curling last?</t>
  </si>
  <si>
    <t>An average round takes about 10 minutes.</t>
  </si>
  <si>
    <t>Wie lange dauerte eine durchschnittliche Runde im Eisstockschießen?</t>
  </si>
  <si>
    <t>Eine durchschnittliche Runde dauert etwa 10 Minuten.</t>
  </si>
  <si>
    <t>What happens if a player makes a throw within 5 seconds?</t>
  </si>
  <si>
    <t>A. The throw does not count. B. There is a penalty. C. The throw is ruled invalid. D. The throw counts as valid.</t>
  </si>
  <si>
    <t>The throw counts as valid.</t>
  </si>
  <si>
    <t>A quick throw within 5 seconds is permitted, as long as it is executed correctly.</t>
  </si>
  <si>
    <t>Was passiert, wenn ein Spieler einen Wurf innerhalb von 5 Sekunden macht?</t>
  </si>
  <si>
    <t>A. Der Wurf zählt nicht B. Es gibt eine Strafe C. Der Wurf wird als ungültig bewertet D. Der Wurf zählt als gültig</t>
  </si>
  <si>
    <t>Ein schneller Wurf innerhalb von 5 Sekunden ist zulässig, solange er korrekt durchgeführt wird.</t>
  </si>
  <si>
    <t>What happens if the stick completely crosses the target area?</t>
  </si>
  <si>
    <t>A. The throw is repeated. B. The throw is ruled invalid. C. The stick remains in the target area. D. The stick is removed from play.</t>
  </si>
  <si>
    <t>A stick that completely crosses the target area will be deemed invalid.</t>
  </si>
  <si>
    <t>Was passiert, wenn der Stock den Zielbereich vollständig überquert?</t>
  </si>
  <si>
    <t>A. Der Wurf wird wiederholt B. Der Wurf wird ungültig bewertet C. Der Stock bleibt im Zielbereich D. Der Stock wird aus dem Spiel entfernt</t>
  </si>
  <si>
    <t>Der Wurf wird ungültig bewertet</t>
  </si>
  <si>
    <t>Ein Stock, der den Zielbereich vollständig überquert, wird als ungültig bewertet.</t>
  </si>
  <si>
    <t>How is the winner of a curling game determined?</t>
  </si>
  <si>
    <t>A. The player with the most points wins. B. The player who reaches the goal first wins. C. The player who has thrown the most wins. D. The player who throws last wins.</t>
  </si>
  <si>
    <t>The player with the most points wins.</t>
  </si>
  <si>
    <t>The winner is determined by the highest total score.</t>
  </si>
  <si>
    <t>Wie wird der Sieger eines Spiels im Eisstockschießen ermittelt?</t>
  </si>
  <si>
    <t>A. Der Spieler mit den meisten Punkten gewinnt B. Der Spieler, der zuerst das Ziel erreicht, gewinnt C. Der Spieler, der am meisten geworfen hat, gewinnt D. Der Spieler, der als Letzter wirft, gewinnt</t>
  </si>
  <si>
    <t>Der Spieler mit den meisten Punkten gewinnt</t>
  </si>
  <si>
    <t>Der Sieger wird durch die höchste Gesamtpunktzahl ermittelt.</t>
  </si>
  <si>
    <t>What happens if a player accidentally drops the stick during a throw?</t>
  </si>
  <si>
    <t>A. The stick is removed from play. B. The throw is ruled invalid. C. The throw is repeated. D. The player receives a penalty.</t>
  </si>
  <si>
    <t>An accidentally dropped stick results in an invalid throw.</t>
  </si>
  <si>
    <t>Was passiert, wenn ein Spieler den Stock bei einem Wurf versehentlich fallen lässt?</t>
  </si>
  <si>
    <t>A. Der Stock wird aus dem Spiel entfernt B. Der Wurf wird als ungültig bewertet C. Der Wurf wird wiederholt D. Der Spieler bekommt eine Strafe</t>
  </si>
  <si>
    <t>Ein versehentlich fallengelassener Stock führt zu einem ungültigen Wurf.</t>
  </si>
  <si>
    <t>What is the name for the technique where the player tries to precisely place the stick in the target area?</t>
  </si>
  <si>
    <t>A. Tee shot B. Bow throw C. Target throw D. Roll throw</t>
  </si>
  <si>
    <t>The target throw is a technique in which the stick is placed precisely in the target area.</t>
  </si>
  <si>
    <t>Wie nennt man die Technik, bei der der Spieler versucht, den Stock im Zielbereich präzise zu platzieren?</t>
  </si>
  <si>
    <t>A. Abschlag B. Bogenwurf C. Zielwurf D. Rollwurf</t>
  </si>
  <si>
    <t>Der Zielwurf ist eine Technik, bei der der Stock präzise im Zielbereich platziert wird.</t>
  </si>
  <si>
    <t>How many sticks may a player throw in total per round?</t>
  </si>
  <si>
    <t>Each player may throw 2 sticks per round.</t>
  </si>
  <si>
    <t>Wie viele Stöcke darf ein Spieler insgesamt pro Runde werfen?</t>
  </si>
  <si>
    <t>Jeder Spieler darf 2 Stöcke pro Runde werfen.</t>
  </si>
  <si>
    <t>What happens if the stick lands in a different area of ​​the playing field?</t>
  </si>
  <si>
    <t>A. The throw is repeated. B. The stick is removed from play. C. The stick remains in play. D. The throw is ruled invalid.</t>
  </si>
  <si>
    <t>A stick that lands in a different area of ​​the playing field is removed from the game.</t>
  </si>
  <si>
    <t>Was passiert, wenn der Stock in einem anderen Spielfeldbereich landet?</t>
  </si>
  <si>
    <t>A. Der Wurf wird wiederholt B. Der Stock wird aus dem Spiel entfernt C. Der Stock bleibt im Spiel D. Der Wurf wird ungültig bewertet</t>
  </si>
  <si>
    <t>Ein Stock, der in einem anderen Spielfeldbereich landet, wird aus dem Spiel entfernt.</t>
  </si>
  <si>
    <t>What is the penalty if a player deliberately hits an opponent's stick?</t>
  </si>
  <si>
    <t>A. There is no penalty. B. The player loses a point. C. The player receives a warning. D. The player is disqualified.</t>
  </si>
  <si>
    <t>The player is disqualified.</t>
  </si>
  <si>
    <t>Accidentally hitting an opponent's stick will result in the player's disqualification.</t>
  </si>
  <si>
    <t>Welche Strafe gibt es, wenn ein Spieler gezielt einen Stock des Gegners trifft?</t>
  </si>
  <si>
    <t>A. Es gibt keine Strafe B. Der Spieler verliert einen Punkt C. Der Spieler erhält eine Verwarnung D. Der Spieler wird disqualifiziert</t>
  </si>
  <si>
    <t>Das zufällige Treffen eines gegnerischen Stocks führt zur Disqualifikation des Spielers.</t>
  </si>
  <si>
    <t>What happens if the stick crosses another stick in the target area?</t>
  </si>
  <si>
    <t>A. The throw is repeated. B. The throw is deemed invalid. C. The throw is deemed valid. D. The throw is scored.</t>
  </si>
  <si>
    <t>The throw is considered valid.</t>
  </si>
  <si>
    <t>A stick that surpasses another stick in the target area will still be considered valid.</t>
  </si>
  <si>
    <t>Was passiert, wenn der Stock einen anderen Stock im Zielbereich übertrifft?</t>
  </si>
  <si>
    <t>A. Der Wurf wird wiederholt B. Der Bestand wird als ungültig bewertet C. Der Wurf wird als gültig bewertet D. Der Wurf wird bewertet</t>
  </si>
  <si>
    <t>Ein Stock, der einen anderen Stock im Zielbereich übertrifft, wird weiterhin als gültig bewertet.</t>
  </si>
  <si>
    <t>What is the area called where the player practices his shots?</t>
  </si>
  <si>
    <t>A. Practice area B. Throwing zone C. Training area D. Playing zone</t>
  </si>
  <si>
    <t>Exercise area</t>
  </si>
  <si>
    <t>The practice area is where the players practice their shots.</t>
  </si>
  <si>
    <t>Wie nennt man den Bereich, in dem der Spieler seine Schüsse übt?</t>
  </si>
  <si>
    <t>A. Übungsbereich B. Wurfzone C. Trainingsbereich D. Spielzone</t>
  </si>
  <si>
    <t>Übungsbereich</t>
  </si>
  <si>
    <t>Der Übungsbereich ist der Ort, an dem die Spieler ihre Schüsse üben.</t>
  </si>
  <si>
    <t>How is the throw scored if the stick hits the target directly?</t>
  </si>
  <si>
    <t>A. The throw is valid. B. The throw is ruled invalid. C. There is a penalty. D. The throw is made again.</t>
  </si>
  <si>
    <t>The throw is valid.</t>
  </si>
  <si>
    <t>A throw that hits the target directly is considered valid.</t>
  </si>
  <si>
    <t>Wie wird der Wurf bewertet, wenn der Stock direkt auf das Ziel trifft?</t>
  </si>
  <si>
    <t>A. Der Wurf ist gültig B. Der Wurf wird als ungültig bewertet C. Es gibt eine Strafe D. Der Wurf wird erneut geworfen</t>
  </si>
  <si>
    <t>Der Wurf ist gültig</t>
  </si>
  <si>
    <t>Ein Wurf, der direkt auf das Ziel trifft, wird als gültig bewertet.</t>
  </si>
  <si>
    <t>What is the penalty if a player enters the throwing zone too early?</t>
  </si>
  <si>
    <t>A. The stick is removed. B. There is no penalty. C. The player receives a warning. D. The throw does not count.</t>
  </si>
  <si>
    <t>Entering the throwing zone too early will result in the throw not counting.</t>
  </si>
  <si>
    <t>Welche Strafe gibt es, wenn ein Spieler die Wurfzone zu früh betritt?</t>
  </si>
  <si>
    <t>A. Der Stock wird entfernt B. Es gibt keine Strafe C. Der Spieler erhält eine Verwarnung D. Der Wurf zählt nicht</t>
  </si>
  <si>
    <t>Ein zu früher Eintritt in die Wurfzone führt dazu, dass der Wurf nicht zählt.</t>
  </si>
  <si>
    <t>What happens if the stick falls to the ground in the target area?</t>
  </si>
  <si>
    <t>A. The throw is invalid. B. The stick remains in play. C. The throw is scored. D. The stick is removed.</t>
  </si>
  <si>
    <t>The throw is invalid.</t>
  </si>
  <si>
    <t>A stick that falls to the ground in the target area will be considered invalid.</t>
  </si>
  <si>
    <t>Was passiert, wenn der Stock im Zielbereich auf den Boden fällt?</t>
  </si>
  <si>
    <t>A. Der Wurf wird ungültig B. Der Stock bleibt im Spiel C. Der Wurf wird bewertet D. Der Stock wird entfernt</t>
  </si>
  <si>
    <t>Ein Stock, der im Zielbereich auf den Boden fällt, wird als ungültig bewertet.</t>
  </si>
  <si>
    <t>How is the throw scored if the stick is stopped before reaching the target area?</t>
  </si>
  <si>
    <t>A. The throw is deemed invalid. B. The stick is scored if it is in the target area. C. The throw is considered invalid. D. The stick is removed.</t>
  </si>
  <si>
    <t>The stick is evaluated when it is in the target area.</t>
  </si>
  <si>
    <t>A stick that is stopped before the target area will only be scored if it is within the target area.</t>
  </si>
  <si>
    <t>Wie wird der Wurf bewertet, wenn der Stock vor dem Zielbereich gestoppt wird?</t>
  </si>
  <si>
    <t>A. Der Bestand wird als ungültig bewertet B. Der Stock wird bewertet, wenn er sich im Zielbereich befindet C. Der Wurf zählt als ungültig D. Der Stock wird entfernt</t>
  </si>
  <si>
    <t>Der Stock wird bewertet, wenn er sich im Zielbereich befindet</t>
  </si>
  <si>
    <t>Ein Stock, der vor dem Zielbereich gestoppt wird, wird nur bewertet, wenn er im Zielbereich liegt.</t>
  </si>
  <si>
    <t>How many shots is a player allowed per round?</t>
  </si>
  <si>
    <t>A player is allowed 2 shots per round.</t>
  </si>
  <si>
    <t>Wie viele Schüsse darf ein Spieler pro Runde abgeben?</t>
  </si>
  <si>
    <t>Ein Spieler darf pro Runde 2 Schüsse abgeben.</t>
  </si>
  <si>
    <t>What happens if a player throws a stick too early?</t>
  </si>
  <si>
    <t>A. The throw is ruled invalid. B. There is no penalty. C. The player is disqualified. D. The throw is repeated.</t>
  </si>
  <si>
    <t>A crop that is shed too early will be considered invalid.</t>
  </si>
  <si>
    <t>Was passiert, wenn ein Spieler einen Stock zu früh abwirft?</t>
  </si>
  <si>
    <t>A. Der Wurf wird als ungültig bewertet B. Es gibt keine Strafe C. Der Spieler wird disqualifiziert D. Der Wurf wird wiederholt</t>
  </si>
  <si>
    <t>Ein zu früh abgeworfener Bestand wird als ungültig gewertet.</t>
  </si>
  <si>
    <t>How is the stick scored if it touches the target area but does not stay there?</t>
  </si>
  <si>
    <t>A. The throw does not count. B. The stick is removed. C. The throw counts as valid. D. A penalty is imposed.</t>
  </si>
  <si>
    <t>A stick that touches the target area but does not stay there is considered valid.</t>
  </si>
  <si>
    <t>Wie wird der Stock bewertet, wenn er das Zielfeld berührt, aber nicht bleibt?</t>
  </si>
  <si>
    <t>A. Der Wurf zählt nicht B. Der Stock wird entfernt C. Der Wurf zählt als gültig D. Es wird eine Strafe verhängt</t>
  </si>
  <si>
    <t>Ein Stock, der das Zielfeld berührt, aber nicht bleibt, gilt als gültig.</t>
  </si>
  <si>
    <t>What happens if the stick leaves the throwing zone?</t>
  </si>
  <si>
    <t>A. The stick is removed. B. The throw does not count. C. The stick is thrown again. D. There is no penalty.</t>
  </si>
  <si>
    <t>A throw where the stick leaves the throwing zone does not count.</t>
  </si>
  <si>
    <t>Was passiert, wenn der Stock die Wurfzone verlässt?</t>
  </si>
  <si>
    <t>A. Der Stock wird entfernt B. Der Wurf zählt nicht C. Der Stock wird erneut geworfen D. Es gibt keine Strafe</t>
  </si>
  <si>
    <t>Ein Wurf, bei dem der Stock die Wurfzone verlässt, zählt nicht.</t>
  </si>
  <si>
    <t>How many points are awarded for a stick that lands exactly in the target area?</t>
  </si>
  <si>
    <t>A stick that lands exactly in the target area counts as 1 point.</t>
  </si>
  <si>
    <t>Wie viele Punkte gibt es für einen Stock, der genau im Zielbereich landet?</t>
  </si>
  <si>
    <t>Ein Stock, der genau im Zielbereich landet, zählt 1 Punkt.</t>
  </si>
  <si>
    <t>What technique is used in curling to precisely place the stone?</t>
  </si>
  <si>
    <t>A. Tee shot B. Target throw C. Bow throw D. Roll shot</t>
  </si>
  <si>
    <t>The target throw is used to precisely place the stick in the target area.</t>
  </si>
  <si>
    <t>Welche Technik wird beim Eisstockschießen verwendet, um den Stock präzise zu platzieren?</t>
  </si>
  <si>
    <t>A. Abschlag B. Zielwurf C. Bogenwurf D. Rollschuss</t>
  </si>
  <si>
    <t>Der Zielwurf wird verwendet, um den Stock präzise im Zielbereich zu platzieren.</t>
  </si>
  <si>
    <t>What happens if a player crosses the line before throwing the stick?</t>
  </si>
  <si>
    <t>A. The throw is invalid. B. There is no penalty. C. The throw is repeated. D. The player is disqualified.</t>
  </si>
  <si>
    <t>A player who crosses the line before throwing the stick makes an invalid throw.</t>
  </si>
  <si>
    <t>Was passiert, wenn ein Spieler die Linie überschreitet, bevor er den Stock wirft?</t>
  </si>
  <si>
    <t>A. Der Wurf wird ungültig B. Es gibt keine Strafe C. Der Wurf wird wiederholt D. Der Spieler wird disqualifiziert</t>
  </si>
  <si>
    <t>Ein Spieler, der die Linie überschreitet, bevor er den Stock wirft, macht einen ungültigen Wurf.</t>
  </si>
  <si>
    <t>How is the throw scored if the stick lands in the target area and then slides off the ice?</t>
  </si>
  <si>
    <t>A. The throw does not count. B. The throw counts as valid. C. The throw is repeated. D. There is a penalty.</t>
  </si>
  <si>
    <t>A stick that lands in the target area and then slides off the ice is considered valid.</t>
  </si>
  <si>
    <t>Wie wird der Wurf bewertet, wenn der Stock im Zielbereich landet und dann vom Eis gleitet?</t>
  </si>
  <si>
    <t>A. Der Wurf zählt nicht B. Der Wurf zählt als gültig C. Der Wurf wird wiederholt D. Es gibt eine Strafe</t>
  </si>
  <si>
    <t>Ein Stock, der im Zielbereich landet und dann vom Eis gleitet, wird als gültig bewertet.</t>
  </si>
  <si>
    <t>How is the throw scored if the stick hits another stick in the target area?</t>
  </si>
  <si>
    <t>A. The throw is repeated. B. The stick remains in the target area. C. The throw counts as valid. D. There is no penalty.</t>
  </si>
  <si>
    <t>A stick that hits another stick in the target area remains in the target area and is scored.</t>
  </si>
  <si>
    <t>Wie wird der Wurf bewertet, wenn der Stock einen anderen Stock im Zielbereich trifft?</t>
  </si>
  <si>
    <t>A. Der Wurf wird wiederholt B. Der Stock bleibt im Zielbereich C. Der Wurf zählt als gültig D. Es gibt keine Strafe</t>
  </si>
  <si>
    <t>Ein Stock, der einen anderen Stock im Zielbereich trifft, bleibt im Zielbereich und wird bewertet.</t>
  </si>
  <si>
    <t>What happens when the stick crosses the target marker?</t>
  </si>
  <si>
    <t>A. The throw is invalid. B. The throw is scored. C. The stick is removed. D. The score is considered invalid.</t>
  </si>
  <si>
    <t>The throw will be evaluated</t>
  </si>
  <si>
    <t>A stick that crosses the target marker will be scored as long as it remains within the target area.</t>
  </si>
  <si>
    <t>Was passiert, wenn der Stock die Zielmarkierung überquert?</t>
  </si>
  <si>
    <t>A. Der Wurf wird ungültig B. Der Wurf wird bewertet C. Der Stock wird entfernt D. Der Bestand gilt als ungültig</t>
  </si>
  <si>
    <t>Der Wurf wird bewertet</t>
  </si>
  <si>
    <t>Ein Stock, der die Zielmarkierung überquert, wird bewertet, solange er im Zielbereich bleibt.</t>
  </si>
  <si>
    <t>What happens if the player puts too much pressure on the stick and it is not thrown correctly?</t>
  </si>
  <si>
    <t>A. The throw is invalid. B. The throw is repeated. C. There is no penalty. D. The player receives a warning.</t>
  </si>
  <si>
    <t>An excessively forceful throw will be considered invalid.</t>
  </si>
  <si>
    <t>Was passiert, wenn der Spieler zu viel Druck auf den Stock ausübt und er nicht korrekt abgeworfen wird?</t>
  </si>
  <si>
    <t>A. Der Wurf wird ungültig B. Der Wurf wird wiederholt C. Es gibt keine Strafe D. Der Spieler erhält eine Verwarnung</t>
  </si>
  <si>
    <t>Ein übermäßig druckvoller Wurf wird als ungültig gewertet.</t>
  </si>
  <si>
    <t>What happens if a stick crosses the boundary of the playing field?</t>
  </si>
  <si>
    <t>A. The stick is removed from play. B. The stick remains in play. C. The throw is invalid. D. There is no penalty.</t>
  </si>
  <si>
    <t>A stick that crosses the boundary of the playing field is removed from the game.</t>
  </si>
  <si>
    <t>Was passiert, wenn ein Stock die Grenze des Spielfelds überschreitet?</t>
  </si>
  <si>
    <t>A. Der Stock wird aus dem Spiel entfernt B. Der Stock bleibt im Spiel C. Der Wurf wird ungültig D. Es gibt keine Strafe</t>
  </si>
  <si>
    <t>Ein Stock, der die Grenze des Spielfelds überschreitet, wird aus dem Spiel entfernt.</t>
  </si>
  <si>
    <t>A. The player with the most points. B. The player who reaches the goal first. C. The player who scores the most hits. D. The player with the fewest penalties.</t>
  </si>
  <si>
    <t>The player with the most points</t>
  </si>
  <si>
    <t>The winner is determined by the highest score.</t>
  </si>
  <si>
    <t>A. Der Spieler mit den meisten Punkten B. Der Spieler, der zuerst das Ziel erreicht C. Der Spieler, der am meisten Treffer erzielt D. Der Spieler mit den wenigsten Strafen</t>
  </si>
  <si>
    <t>Der Spieler mit den meisten Punkten</t>
  </si>
  <si>
    <t>Der Sieger wird durch die höchste Punktzahl bestimmt.</t>
  </si>
  <si>
    <t>How is the throw scored if the stick enters the target area but then rolls back?</t>
  </si>
  <si>
    <t>A. The throw is repeated. B. The stick remains in the target area. C. The stick is removed. D. The throw counts as valid.</t>
  </si>
  <si>
    <t>A stick that enters the target area and then rolls back is considered valid.</t>
  </si>
  <si>
    <t>Wie wird der Wurf bewertet, wenn der Stock den Zielbereich betritt, aber dann zurückrollt?</t>
  </si>
  <si>
    <t>A. Der Wurf wird wiederholt B. Der Stock bleibt im Zielbereich C. Der Stock wird entfernt D. Der Wurf zählt als gültig</t>
  </si>
  <si>
    <t>Ein Stock, der das Zielfeld betritt und dann zurückrollt, wird als gültig bewertet.</t>
  </si>
  <si>
    <t>What is the area called where the stick must be thrown?</t>
  </si>
  <si>
    <t>A. Throwing zone B. Throwing area C. Target area D. Playing field zone</t>
  </si>
  <si>
    <t>The drop zone is the area where the supply must be dropped.</t>
  </si>
  <si>
    <t>Wie nennt man den Bereich, in dem der Stock abgeworfen werden muss?</t>
  </si>
  <si>
    <t>A. Abwurfzone B. Wurfbereich C. Zielbereich D. Spielfeldzone</t>
  </si>
  <si>
    <t>Die Abwurfzone ist der Bereich, in dem der Vorrat abgeworfen werden muss.</t>
  </si>
  <si>
    <t>What happens if a player loses a stick in the target area?</t>
  </si>
  <si>
    <t>A. The stick is removed from play. B. The throw is scored. C. The stick remains in the target area. D. The throw is considered invalid.</t>
  </si>
  <si>
    <t>A lost stick is removed from the game.</t>
  </si>
  <si>
    <t>Was passiert, wenn ein Spieler einen Stock im Zielbereich verliert?</t>
  </si>
  <si>
    <t>A. Der Stock wird aus dem Spiel entfernt B. Der Wurf wird bewertet C. Der Stock bleibt im Zielbereich D. Der Bestand gilt als ungültig</t>
  </si>
  <si>
    <t>Ein verlorener Stock wird aus dem Spiel entfernt.</t>
  </si>
  <si>
    <t>How is the throw scored if the stick touches the target marker after being thrown?</t>
  </si>
  <si>
    <t>A. The throw is invalid. B. The throw is scored. C. There is no penalty. D. The throw is repeated.</t>
  </si>
  <si>
    <t>A stick that touches the target marker after being thrown will be scored if it remains within the target area.</t>
  </si>
  <si>
    <t>Wie wird der Wurf bewertet, wenn der Stock nach dem Abwurf die Zielmarkierung berührt?</t>
  </si>
  <si>
    <t>A. Der Wurf zählt als ungültig B. Der Wurf wird bewertet C. Es gibt keine Strafe D. Der Wurf wird wiederholt</t>
  </si>
  <si>
    <t>Ein Stock, der nach dem Abwurf die Zielmarkierung berührt, wird bewertet, wenn er im Zielbereich bleibt.</t>
  </si>
  <si>
    <t>What happens if the stick does not cross the throwing line?</t>
  </si>
  <si>
    <t>A. The stick is removed. B. The throw is invalid. C. The throw is repeated. D. There is no penalty.</t>
  </si>
  <si>
    <t>A stick that does not cross the throwing line will be considered invalid.</t>
  </si>
  <si>
    <t>Was passiert, wenn der Stock die Abwurfmarkierung nicht überschreitet?</t>
  </si>
  <si>
    <t>A. Der Stock wird entfernt B. Der Wurf wird ungültig C. Der Wurf wird wiederholt D. Es gibt keine Strafe</t>
  </si>
  <si>
    <t>Ein Stock, der die Abwurfmarkierung nicht überschreitet, wird als ungültig gewertet.</t>
  </si>
  <si>
    <t>An average round usually lasts about 10 minutes.</t>
  </si>
  <si>
    <t>Eine durchschnittliche Runde dauert in der Regel etwa 10 Minuten.</t>
  </si>
  <si>
    <t>How many players are needed to form a team in curling?</t>
  </si>
  <si>
    <t>A team in curling usually consists of 4 players.</t>
  </si>
  <si>
    <t>Wie viele Spieler sind erforderlich, um ein Team im Eisstockschießen zu bilden?</t>
  </si>
  <si>
    <t>Ein Team im Eisstockschießen besteht in der Regel aus 4 Spielern.</t>
  </si>
  <si>
    <t>What happens if the stick hits another stick in the target area?</t>
  </si>
  <si>
    <t>A. The throw is repeated. B. There is no penalty. C. The stick remains in the target area. D. The throw is invalid.</t>
  </si>
  <si>
    <t>The stick remains in the target area</t>
  </si>
  <si>
    <t>A stick that hits another stick in the target area stays put and is scored.</t>
  </si>
  <si>
    <t>Was passiert, wenn der Stock einen anderen Stock im Zielbereich trifft?</t>
  </si>
  <si>
    <t>A. Der Wurf wird wiederholt B. Es gibt keine Strafe C. Der Stock bleibt im Zielbereich D. Der Wurf zählt als ungültig</t>
  </si>
  <si>
    <t>Der Stock bleibt im Zielbereich</t>
  </si>
  <si>
    <t>Ein Stock, der einen anderen Stock im Zielbereich trifft, bleibt und bewertet wird.</t>
  </si>
  <si>
    <t>How is the throw judged if the stick only touches the edge of the target area?</t>
  </si>
  <si>
    <t>A. The throw is invalid. B. The throw is scored. C. There is a penalty. D. The throw is repeated.</t>
  </si>
  <si>
    <t>A stick that only touches the edge of the target area will be considered valid.</t>
  </si>
  <si>
    <t>Wie wird der Wurf bewertet, wenn der Stock nur das Randgebiet des Zielbereichs berührt?</t>
  </si>
  <si>
    <t>A. Der Wurf zählt als ungültig B. Der Wurf wird bewertet C. Es gibt eine Strafe D. Der Wurf wird wiederholt</t>
  </si>
  <si>
    <t>Ein Stock, der nur das Randgebiet des Zielbereichs berührt, wird als gültig bewertet.</t>
  </si>
  <si>
    <t>What happens if the stick stays in the target area but rolls out of the playing field after being thrown?</t>
  </si>
  <si>
    <t>A. The throw is invalid. B. The stick remains in the target area. C. The stick is removed. D. There is a penalty.</t>
  </si>
  <si>
    <t>A stick that rolls out of the playing field after being thrown is considered invalid.</t>
  </si>
  <si>
    <t>Was passiert, wenn der Stock im Zielbereich bleibt, aber nach dem Wurf aus dem Spielfeld rollt?</t>
  </si>
  <si>
    <t>A. Der Wurf zählt als ungültig B. Der Stock bleibt im Zielbereich C. Der Stock wird entfernt D. Es gibt eine Strafe</t>
  </si>
  <si>
    <t>Ein Stock, der nach dem Wurf aus dem Spielfeld rollt, gilt als ungültig.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</si>
</sst>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b/>
      <color theme="1"/>
      <name val="Arial"/>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vertical="bottom"/>
    </xf>
    <xf borderId="0" fillId="0" fontId="2" numFmtId="0" xfId="0" applyAlignment="1" applyFon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3" numFmtId="0" xfId="0" applyAlignment="1" applyFont="1">
      <alignment vertical="bottom"/>
    </xf>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2" numFmtId="0" xfId="0" applyAlignment="1" applyFont="1">
      <alignment horizontal="left" readingOrder="0" shrinkToFit="0" vertical="bottom" wrapText="0"/>
    </xf>
    <xf borderId="0" fillId="0" fontId="4"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0" fillId="0" fontId="1"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4">
    <tableStyle count="4" pivot="0" name="Rowing(Rudern)-style">
      <tableStyleElement dxfId="1" type="headerRow"/>
      <tableStyleElement dxfId="2" type="firstRowStripe"/>
      <tableStyleElement dxfId="3" type="secondRowStripe"/>
      <tableStyleElement dxfId="4" size="0" type="wholeTable"/>
    </tableStyle>
    <tableStyle count="4" pivot="0" name="Rowing(Rudern)-style 2">
      <tableStyleElement dxfId="1" type="headerRow"/>
      <tableStyleElement dxfId="2" type="firstRowStripe"/>
      <tableStyleElement dxfId="3" type="secondRowStripe"/>
      <tableStyleElement dxfId="4" size="0" type="wholeTable"/>
    </tableStyle>
    <tableStyle count="4" pivot="0" name="Skat-style">
      <tableStyleElement dxfId="1" type="headerRow"/>
      <tableStyleElement dxfId="2" type="firstRowStripe"/>
      <tableStyleElement dxfId="3" type="secondRowStripe"/>
      <tableStyleElement dxfId="4" size="0" type="wholeTable"/>
    </tableStyle>
    <tableStyle count="4" pivot="0" name="Skat-style 2">
      <tableStyleElement dxfId="1" type="headerRow"/>
      <tableStyleElement dxfId="2" type="firstRowStripe"/>
      <tableStyleElement dxfId="3" type="secondRowStripe"/>
      <tableStyleElement dxfId="4" size="0" type="wholeTable"/>
    </tableStyle>
    <tableStyle count="4" pivot="0" name="Bosseln-style">
      <tableStyleElement dxfId="1" type="headerRow"/>
      <tableStyleElement dxfId="2" type="firstRowStripe"/>
      <tableStyleElement dxfId="3" type="secondRowStripe"/>
      <tableStyleElement dxfId="4" size="0" type="wholeTable"/>
    </tableStyle>
    <tableStyle count="4" pivot="0" name="Bosseln-style 2">
      <tableStyleElement dxfId="1" type="headerRow"/>
      <tableStyleElement dxfId="2" type="firstRowStripe"/>
      <tableStyleElement dxfId="3" type="secondRowStripe"/>
      <tableStyleElement dxfId="4" size="0" type="wholeTable"/>
    </tableStyle>
    <tableStyle count="4" pivot="0" name="Klootschießen-style">
      <tableStyleElement dxfId="1" type="headerRow"/>
      <tableStyleElement dxfId="2" type="firstRowStripe"/>
      <tableStyleElement dxfId="3" type="secondRowStripe"/>
      <tableStyleElement dxfId="4" size="0" type="wholeTable"/>
    </tableStyle>
    <tableStyle count="4" pivot="0" name="Klootschießen-style 2">
      <tableStyleElement dxfId="1" type="headerRow"/>
      <tableStyleElement dxfId="2" type="firstRowStripe"/>
      <tableStyleElement dxfId="3" type="secondRowStripe"/>
      <tableStyleElement dxfId="4" size="0" type="wholeTable"/>
    </tableStyle>
    <tableStyle count="4" pivot="0" name="Radball (Cycle Ball)-style">
      <tableStyleElement dxfId="1" type="headerRow"/>
      <tableStyleElement dxfId="2" type="firstRowStripe"/>
      <tableStyleElement dxfId="3" type="secondRowStripe"/>
      <tableStyleElement dxfId="4" size="0" type="wholeTable"/>
    </tableStyle>
    <tableStyle count="4" pivot="0" name="Radball (Cycle Ball)-style 2">
      <tableStyleElement dxfId="1" type="headerRow"/>
      <tableStyleElement dxfId="2" type="firstRowStripe"/>
      <tableStyleElement dxfId="3" type="secondRowStripe"/>
      <tableStyleElement dxfId="4" size="0" type="wholeTable"/>
    </tableStyle>
    <tableStyle count="4" pivot="0" name="Quoits (Ringspiel)-style">
      <tableStyleElement dxfId="1" type="headerRow"/>
      <tableStyleElement dxfId="2" type="firstRowStripe"/>
      <tableStyleElement dxfId="3" type="secondRowStripe"/>
      <tableStyleElement dxfId="4" size="0" type="wholeTable"/>
    </tableStyle>
    <tableStyle count="4" pivot="0" name="Quoits (Ringspiel)-style 2">
      <tableStyleElement dxfId="1" type="headerRow"/>
      <tableStyleElement dxfId="2" type="firstRowStripe"/>
      <tableStyleElement dxfId="3" type="secondRowStripe"/>
      <tableStyleElement dxfId="4" size="0" type="wholeTable"/>
    </tableStyle>
    <tableStyle count="4" pivot="0" name="Eisstockschießen (Ice Stock Spo-style">
      <tableStyleElement dxfId="1" type="headerRow"/>
      <tableStyleElement dxfId="2" type="firstRowStripe"/>
      <tableStyleElement dxfId="3" type="secondRowStripe"/>
      <tableStyleElement dxfId="4" size="0" type="wholeTable"/>
    </tableStyle>
    <tableStyle count="4" pivot="0" name="Eisstockschießen (Ice Stock Spo-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70" displayName="Table2" name="Table2" id="1">
  <tableColumns count="5">
    <tableColumn name="Question number" id="1"/>
    <tableColumn name="Question" id="2"/>
    <tableColumn name="Options" id="3"/>
    <tableColumn name="Correct answer" id="4"/>
    <tableColumn name="Description" id="5"/>
  </tableColumns>
  <tableStyleInfo name="Rowing(Rudern)-style" showColumnStripes="0" showFirstColumn="1" showLastColumn="1" showRowStripes="1"/>
</table>
</file>

<file path=xl/tables/table2.xml><?xml version="1.0" encoding="utf-8"?>
<table xmlns="http://schemas.openxmlformats.org/spreadsheetml/2006/main" ref="G1:K70" displayName="Table1" name="Table1" id="2">
  <tableColumns count="5">
    <tableColumn name="Fragenummer" id="1"/>
    <tableColumn name="Fragen" id="2"/>
    <tableColumn name="Options2" id="3"/>
    <tableColumn name="Richtige Antwort" id="4"/>
    <tableColumn name="Beschreibung" id="5"/>
  </tableColumns>
  <tableStyleInfo name="Rowing(Rudern)-style 2" showColumnStripes="0" showFirstColumn="1" showLastColumn="1" showRowStripes="1"/>
</table>
</file>

<file path=xl/tables/table3.xml><?xml version="1.0" encoding="utf-8"?>
<table xmlns="http://schemas.openxmlformats.org/spreadsheetml/2006/main" ref="A1:E176" displayName="Table4" name="Table4" id="3">
  <tableColumns count="5">
    <tableColumn name="Question number" id="1"/>
    <tableColumn name="Question" id="2"/>
    <tableColumn name="Options" id="3"/>
    <tableColumn name="Answer" id="4"/>
    <tableColumn name="Description" id="5"/>
  </tableColumns>
  <tableStyleInfo name="Skat-style" showColumnStripes="0" showFirstColumn="1" showLastColumn="1" showRowStripes="1"/>
</table>
</file>

<file path=xl/tables/table4.xml><?xml version="1.0" encoding="utf-8"?>
<table xmlns="http://schemas.openxmlformats.org/spreadsheetml/2006/main" ref="G1:K176" displayName="Table3" name="Table3" id="4">
  <tableColumns count="5">
    <tableColumn name="Fragenummer" id="1"/>
    <tableColumn name="Fragen" id="2"/>
    <tableColumn name="Options2" id="3"/>
    <tableColumn name="Richtige Antwort" id="4"/>
    <tableColumn name="Beschreibung" id="5"/>
  </tableColumns>
  <tableStyleInfo name="Skat-style 2" showColumnStripes="0" showFirstColumn="1" showLastColumn="1" showRowStripes="1"/>
</table>
</file>

<file path=xl/tables/table5.xml><?xml version="1.0" encoding="utf-8"?>
<table xmlns="http://schemas.openxmlformats.org/spreadsheetml/2006/main" ref="A1:E181" displayName="Table6" name="Table6" id="5">
  <tableColumns count="5">
    <tableColumn name="Question number" id="1"/>
    <tableColumn name="Question" id="2"/>
    <tableColumn name="Options" id="3"/>
    <tableColumn name="Answer" id="4"/>
    <tableColumn name="Description" id="5"/>
  </tableColumns>
  <tableStyleInfo name="Bosseln-style" showColumnStripes="0" showFirstColumn="1" showLastColumn="1" showRowStripes="1"/>
</table>
</file>

<file path=xl/tables/table6.xml><?xml version="1.0" encoding="utf-8"?>
<table xmlns="http://schemas.openxmlformats.org/spreadsheetml/2006/main" ref="G1:K181" displayName="Table5" name="Table5" id="6">
  <tableColumns count="5">
    <tableColumn name="Fragenummer" id="1"/>
    <tableColumn name="Fragen" id="2"/>
    <tableColumn name="Options2" id="3"/>
    <tableColumn name="Richtige Antwort" id="4"/>
    <tableColumn name="Beschreibung" id="5"/>
  </tableColumns>
  <tableStyleInfo name="Bosseln-style 2" showColumnStripes="0" showFirstColumn="1" showLastColumn="1" showRowStripes="1"/>
</table>
</file>

<file path=xl/tables/table7.xml><?xml version="1.0" encoding="utf-8"?>
<table xmlns="http://schemas.openxmlformats.org/spreadsheetml/2006/main" ref="A1:E177" displayName="Table8" name="Table8" id="7">
  <tableColumns count="5">
    <tableColumn name="Question number" id="1"/>
    <tableColumn name="Questions" id="2"/>
    <tableColumn name="Options" id="3"/>
    <tableColumn name="Answer" id="4"/>
    <tableColumn name="Description" id="5"/>
  </tableColumns>
  <tableStyleInfo name="Klootschießen-style" showColumnStripes="0" showFirstColumn="1" showLastColumn="1" showRowStripes="1"/>
</table>
</file>

<file path=xl/tables/table8.xml><?xml version="1.0" encoding="utf-8"?>
<table xmlns="http://schemas.openxmlformats.org/spreadsheetml/2006/main" ref="G1:K177" displayName="Table7" name="Table7" id="8">
  <tableColumns count="5">
    <tableColumn name="Fragenummer" id="1"/>
    <tableColumn name="Fragen" id="2"/>
    <tableColumn name="Options2" id="3"/>
    <tableColumn name="Richtige Antwort" id="4"/>
    <tableColumn name="Beschreibung" id="5"/>
  </tableColumns>
  <tableStyleInfo name="Klootschießen-style 2" showColumnStripes="0" showFirstColumn="1" showLastColumn="1" showRowStripes="1"/>
</table>
</file>

<file path=xl/tables/table9.xml><?xml version="1.0" encoding="utf-8"?>
<table xmlns="http://schemas.openxmlformats.org/spreadsheetml/2006/main" ref="A1:E164" displayName="Table10" name="Table10" id="9">
  <tableColumns count="5">
    <tableColumn name="Question no." id="1"/>
    <tableColumn name="Question" id="2"/>
    <tableColumn name="Options" id="3"/>
    <tableColumn name="Answer" id="4"/>
    <tableColumn name="Description" id="5"/>
  </tableColumns>
  <tableStyleInfo name="Radball (Cycle Ball)-style" showColumnStripes="0" showFirstColumn="1" showLastColumn="1" showRowStripes="1"/>
</table>
</file>

<file path=xl/tables/table10.xml><?xml version="1.0" encoding="utf-8"?>
<table xmlns="http://schemas.openxmlformats.org/spreadsheetml/2006/main" ref="G1:K164" displayName="Table9" name="Table9" id="10">
  <tableColumns count="5">
    <tableColumn name="Question no." id="1"/>
    <tableColumn name="Fragen" id="2"/>
    <tableColumn name="Options2" id="3"/>
    <tableColumn name="Richtige Antwort" id="4"/>
    <tableColumn name="Description" id="5"/>
  </tableColumns>
  <tableStyleInfo name="Radball (Cycle Ball)-style 2" showColumnStripes="0" showFirstColumn="1" showLastColumn="1" showRowStripes="1"/>
</table>
</file>

<file path=xl/tables/table11.xml><?xml version="1.0" encoding="utf-8"?>
<table xmlns="http://schemas.openxmlformats.org/spreadsheetml/2006/main" ref="A1:E171" displayName="Table11" name="Table11" id="11">
  <tableColumns count="5">
    <tableColumn name="Question Number" id="1"/>
    <tableColumn name="Question" id="2"/>
    <tableColumn name="Options" id="3"/>
    <tableColumn name="Answer" id="4"/>
    <tableColumn name="Description" id="5"/>
  </tableColumns>
  <tableStyleInfo name="Quoits (Ringspiel)-style" showColumnStripes="0" showFirstColumn="1" showLastColumn="1" showRowStripes="1"/>
</table>
</file>

<file path=xl/tables/table12.xml><?xml version="1.0" encoding="utf-8"?>
<table xmlns="http://schemas.openxmlformats.org/spreadsheetml/2006/main" ref="G1:K171" displayName="Table12" name="Table12" id="12">
  <tableColumns count="5">
    <tableColumn name="Fragenummer" id="1"/>
    <tableColumn name="Fragen" id="2"/>
    <tableColumn name="Options2" id="3"/>
    <tableColumn name="Richtige Antwort" id="4"/>
    <tableColumn name="Beschreibung" id="5"/>
  </tableColumns>
  <tableStyleInfo name="Quoits (Ringspiel)-style 2" showColumnStripes="0" showFirstColumn="1" showLastColumn="1" showRowStripes="1"/>
</table>
</file>

<file path=xl/tables/table13.xml><?xml version="1.0" encoding="utf-8"?>
<table xmlns="http://schemas.openxmlformats.org/spreadsheetml/2006/main" ref="A1:E111" displayName="Table13" name="Table13" id="13">
  <tableColumns count="5">
    <tableColumn name="Question no." id="1"/>
    <tableColumn name="Question" id="2"/>
    <tableColumn name="Options" id="3"/>
    <tableColumn name="Answer" id="4"/>
    <tableColumn name="Description" id="5"/>
  </tableColumns>
  <tableStyleInfo name="Eisstockschießen (Ice Stock Spo-style" showColumnStripes="0" showFirstColumn="1" showLastColumn="1" showRowStripes="1"/>
</table>
</file>

<file path=xl/tables/table14.xml><?xml version="1.0" encoding="utf-8"?>
<table xmlns="http://schemas.openxmlformats.org/spreadsheetml/2006/main" ref="G1:K111" displayName="Table14" name="Table14" id="14">
  <tableColumns count="5">
    <tableColumn name="Question no." id="1"/>
    <tableColumn name="Fragen" id="2"/>
    <tableColumn name="Options2" id="3"/>
    <tableColumn name="Richtige Antwort" id="4"/>
    <tableColumn name="Beschreibung" id="5"/>
  </tableColumns>
  <tableStyleInfo name="Eisstockschießen (Ice Stock Spo-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37.63"/>
    <col customWidth="1" min="3" max="4" width="30.38"/>
    <col customWidth="1" min="5" max="5" width="37.63"/>
    <col customWidth="1" min="7" max="7" width="18.25"/>
    <col customWidth="1" min="10" max="10" width="24.0"/>
  </cols>
  <sheetData>
    <row r="1" ht="22.5" customHeight="1">
      <c r="A1" s="1" t="s">
        <v>0</v>
      </c>
      <c r="B1" s="1" t="s">
        <v>1</v>
      </c>
      <c r="C1" s="1" t="s">
        <v>2</v>
      </c>
      <c r="D1" s="1" t="s">
        <v>3</v>
      </c>
      <c r="E1" s="1" t="s">
        <v>4</v>
      </c>
      <c r="F1" s="2"/>
      <c r="G1" s="3" t="s">
        <v>5</v>
      </c>
      <c r="H1" s="3" t="s">
        <v>6</v>
      </c>
      <c r="I1" s="3" t="s">
        <v>7</v>
      </c>
      <c r="J1" s="3" t="s">
        <v>8</v>
      </c>
      <c r="K1" s="3" t="s">
        <v>9</v>
      </c>
      <c r="L1" s="2"/>
      <c r="R1" s="2"/>
      <c r="S1" s="2"/>
      <c r="T1" s="2"/>
      <c r="U1" s="2"/>
    </row>
    <row r="2" ht="22.5" customHeight="1">
      <c r="A2" s="4" t="str">
        <f>IFERROR(__xludf.DUMMYFUNCTION("GOOGLETRANSLATE(G2, ""de"", ""en"")"),"1")</f>
        <v>1</v>
      </c>
      <c r="B2" s="4" t="str">
        <f>IFERROR(__xludf.DUMMYFUNCTION("GOOGLETRANSLATE(H2, ""de"", ""en"")"),"What happens if a team member misses the start?")</f>
        <v>What happens if a team member misses the start?</v>
      </c>
      <c r="C2" s="4" t="s">
        <v>10</v>
      </c>
      <c r="D2" s="4" t="str">
        <f>IFERROR(__xludf.DUMMYFUNCTION("GOOGLETRANSLATE(J2, ""de"", ""en"")"),"The team is disqualified.")</f>
        <v>The team is disqualified.</v>
      </c>
      <c r="E2" s="4" t="str">
        <f>IFERROR(__xludf.DUMMYFUNCTION("GOOGLETRANSLATE(K2, ""de"", ""en"")"),"The team loses the race due to a rules violation.")</f>
        <v>The team loses the race due to a rules violation.</v>
      </c>
      <c r="F2" s="2"/>
      <c r="G2" s="5">
        <v>1.0</v>
      </c>
      <c r="H2" s="4" t="s">
        <v>11</v>
      </c>
      <c r="I2" s="4" t="s">
        <v>12</v>
      </c>
      <c r="J2" s="4" t="s">
        <v>13</v>
      </c>
      <c r="K2" s="4" t="s">
        <v>14</v>
      </c>
      <c r="L2" s="2"/>
      <c r="R2" s="2"/>
      <c r="S2" s="2"/>
      <c r="T2" s="2"/>
      <c r="U2" s="2"/>
    </row>
    <row r="3" ht="22.5" customHeight="1">
      <c r="A3" s="4" t="str">
        <f>IFERROR(__xludf.DUMMYFUNCTION("GOOGLETRANSLATE(G3, ""de"", ""en"")"),"2")</f>
        <v>2</v>
      </c>
      <c r="B3" s="4" t="str">
        <f>IFERROR(__xludf.DUMMYFUNCTION("GOOGLETRANSLATE(H3, ""de"", ""en"")"),"What is the penalty for a false start in rowing?")</f>
        <v>What is the penalty for a false start in rowing?</v>
      </c>
      <c r="C3" s="4" t="s">
        <v>15</v>
      </c>
      <c r="D3" s="4" t="str">
        <f>IFERROR(__xludf.DUMMYFUNCTION("GOOGLETRANSLATE(J3, ""de"", ""en"")"),"Time penalty")</f>
        <v>Time penalty</v>
      </c>
      <c r="E3" s="4" t="str">
        <f>IFERROR(__xludf.DUMMYFUNCTION("GOOGLETRANSLATE(K3, ""de"", ""en"")"),"The team must serve a set time penalty before it can continue rowing.")</f>
        <v>The team must serve a set time penalty before it can continue rowing.</v>
      </c>
      <c r="F3" s="2"/>
      <c r="G3" s="5">
        <v>2.0</v>
      </c>
      <c r="H3" s="4" t="s">
        <v>16</v>
      </c>
      <c r="I3" s="4" t="s">
        <v>17</v>
      </c>
      <c r="J3" s="4" t="s">
        <v>18</v>
      </c>
      <c r="K3" s="4" t="s">
        <v>19</v>
      </c>
      <c r="L3" s="2"/>
      <c r="R3" s="2"/>
      <c r="S3" s="2"/>
      <c r="T3" s="2"/>
      <c r="U3" s="2"/>
    </row>
    <row r="4" ht="22.5" customHeight="1">
      <c r="A4" s="4" t="str">
        <f>IFERROR(__xludf.DUMMYFUNCTION("GOOGLETRANSLATE(G4, ""de"", ""en"")"),"3")</f>
        <v>3</v>
      </c>
      <c r="B4" s="4" t="str">
        <f>IFERROR(__xludf.DUMMYFUNCTION("GOOGLETRANSLATE(H4, ""de"", ""en"")"),"What is the minimum number of rowers in an eight-person boat?")</f>
        <v>What is the minimum number of rowers in an eight-person boat?</v>
      </c>
      <c r="C4" s="4" t="s">
        <v>20</v>
      </c>
      <c r="D4" s="4" t="str">
        <f>IFERROR(__xludf.DUMMYFUNCTION("GOOGLETRANSLATE(J4, ""de"", ""en"")"),"Eight rowers")</f>
        <v>Eight rowers</v>
      </c>
      <c r="E4" s="4" t="str">
        <f>IFERROR(__xludf.DUMMYFUNCTION("GOOGLETRANSLATE(K4, ""de"", ""en"")"),"A figure eight consists of eight rowers who row simultaneously.")</f>
        <v>A figure eight consists of eight rowers who row simultaneously.</v>
      </c>
      <c r="F4" s="2"/>
      <c r="G4" s="5">
        <v>3.0</v>
      </c>
      <c r="H4" s="4" t="s">
        <v>21</v>
      </c>
      <c r="I4" s="4" t="s">
        <v>22</v>
      </c>
      <c r="J4" s="4" t="s">
        <v>23</v>
      </c>
      <c r="K4" s="4" t="s">
        <v>24</v>
      </c>
      <c r="L4" s="2"/>
      <c r="R4" s="2"/>
      <c r="S4" s="2"/>
      <c r="T4" s="2"/>
      <c r="U4" s="2"/>
    </row>
    <row r="5" ht="22.5" customHeight="1">
      <c r="A5" s="4" t="str">
        <f>IFERROR(__xludf.DUMMYFUNCTION("GOOGLETRANSLATE(G5, ""de"", ""en"")"),"4")</f>
        <v>4</v>
      </c>
      <c r="B5" s="4" t="str">
        <f>IFERROR(__xludf.DUMMYFUNCTION("GOOGLETRANSLATE(H5, ""de"", ""en"")"),"What is the purpose of the helmsman in a race?")</f>
        <v>What is the purpose of the helmsman in a race?</v>
      </c>
      <c r="C5" s="4" t="s">
        <v>25</v>
      </c>
      <c r="D5" s="4" t="str">
        <f>IFERROR(__xludf.DUMMYFUNCTION("GOOGLETRANSLATE(J5, ""de"", ""en"")"),"To steer the boat")</f>
        <v>To steer the boat</v>
      </c>
      <c r="E5" s="4" t="str">
        <f>IFERROR(__xludf.DUMMYFUNCTION("GOOGLETRANSLATE(K5, ""de"", ""en"")"),"The helmsman steers the boat and gives directional commands.")</f>
        <v>The helmsman steers the boat and gives directional commands.</v>
      </c>
      <c r="F5" s="2"/>
      <c r="G5" s="5">
        <v>4.0</v>
      </c>
      <c r="H5" s="4" t="s">
        <v>26</v>
      </c>
      <c r="I5" s="4" t="s">
        <v>27</v>
      </c>
      <c r="J5" s="4" t="s">
        <v>28</v>
      </c>
      <c r="K5" s="4" t="s">
        <v>29</v>
      </c>
      <c r="L5" s="2"/>
      <c r="R5" s="2"/>
      <c r="S5" s="2"/>
      <c r="T5" s="2"/>
      <c r="U5" s="2"/>
    </row>
    <row r="6" ht="22.5" customHeight="1">
      <c r="A6" s="4" t="str">
        <f>IFERROR(__xludf.DUMMYFUNCTION("GOOGLETRANSLATE(G6, ""de"", ""en"")"),"5")</f>
        <v>5</v>
      </c>
      <c r="B6" s="4" t="str">
        <f>IFERROR(__xludf.DUMMYFUNCTION("GOOGLETRANSLATE(H6, ""de"", ""en"")"),"How should the boat be positioned before the start of the race?")</f>
        <v>How should the boat be positioned before the start of the race?</v>
      </c>
      <c r="C6" s="4" t="s">
        <v>30</v>
      </c>
      <c r="D6" s="4" t="str">
        <f>IFERROR(__xludf.DUMMYFUNCTION("GOOGLETRANSLATE(J6, ""de"", ""en"")"),"Parallel to the starting line")</f>
        <v>Parallel to the starting line</v>
      </c>
      <c r="E6" s="4" t="str">
        <f>IFERROR(__xludf.DUMMYFUNCTION("GOOGLETRANSLATE(K6, ""de"", ""en"")"),"The boat must position itself parallel to the starting line at the start.")</f>
        <v>The boat must position itself parallel to the starting line at the start.</v>
      </c>
      <c r="F6" s="2"/>
      <c r="G6" s="5">
        <v>5.0</v>
      </c>
      <c r="H6" s="4" t="s">
        <v>31</v>
      </c>
      <c r="I6" s="4" t="s">
        <v>32</v>
      </c>
      <c r="J6" s="4" t="s">
        <v>33</v>
      </c>
      <c r="K6" s="4" t="s">
        <v>34</v>
      </c>
      <c r="L6" s="2"/>
      <c r="R6" s="2"/>
      <c r="S6" s="2"/>
      <c r="T6" s="2"/>
      <c r="U6" s="2"/>
    </row>
    <row r="7" ht="22.5" customHeight="1">
      <c r="A7" s="4" t="str">
        <f>IFERROR(__xludf.DUMMYFUNCTION("GOOGLETRANSLATE(G7, ""de"", ""en"")"),"6")</f>
        <v>6</v>
      </c>
      <c r="B7" s="4" t="str">
        <f>IFERROR(__xludf.DUMMYFUNCTION("GOOGLETRANSLATE(H7, ""de"", ""en"")"),"What happens when one boat crosses the path of another?")</f>
        <v>What happens when one boat crosses the path of another?</v>
      </c>
      <c r="C7" s="4" t="s">
        <v>35</v>
      </c>
      <c r="D7" s="4" t="str">
        <f>IFERROR(__xludf.DUMMYFUNCTION("GOOGLETRANSLATE(J7, ""de"", ""en"")"),"The boat is disqualified.")</f>
        <v>The boat is disqualified.</v>
      </c>
      <c r="E7" s="4" t="str">
        <f>IFERROR(__xludf.DUMMYFUNCTION("GOOGLETRANSLATE(K7, ""de"", ""en"")"),"Due to a serious violation, the boat is excluded from the race.")</f>
        <v>Due to a serious violation, the boat is excluded from the race.</v>
      </c>
      <c r="F7" s="2"/>
      <c r="G7" s="5">
        <v>6.0</v>
      </c>
      <c r="H7" s="4" t="s">
        <v>36</v>
      </c>
      <c r="I7" s="4" t="s">
        <v>37</v>
      </c>
      <c r="J7" s="4" t="s">
        <v>38</v>
      </c>
      <c r="K7" s="4" t="s">
        <v>39</v>
      </c>
      <c r="L7" s="2"/>
      <c r="R7" s="2"/>
      <c r="S7" s="2"/>
      <c r="T7" s="2"/>
      <c r="U7" s="2"/>
    </row>
    <row r="8" ht="22.5" customHeight="1">
      <c r="A8" s="4" t="str">
        <f>IFERROR(__xludf.DUMMYFUNCTION("GOOGLETRANSLATE(G8, ""de"", ""en"")"),"7")</f>
        <v>7</v>
      </c>
      <c r="B8" s="4" t="str">
        <f>IFERROR(__xludf.DUMMYFUNCTION("GOOGLETRANSLATE(H8, ""de"", ""en"")"),"How many beats per minute are typical in a competitive race?")</f>
        <v>How many beats per minute are typical in a competitive race?</v>
      </c>
      <c r="C8" s="4" t="s">
        <v>40</v>
      </c>
      <c r="D8" s="4" t="str">
        <f>IFERROR(__xludf.DUMMYFUNCTION("GOOGLETRANSLATE(J8, ""de"", ""en"")"),"30 to 40 strokes")</f>
        <v>30 to 40 strokes</v>
      </c>
      <c r="E8" s="4" t="str">
        <f>IFERROR(__xludf.DUMMYFUNCTION("GOOGLETRANSLATE(K8, ""de"", ""en"")"),"This is the average number of strokes per minute in a rowing race.")</f>
        <v>This is the average number of strokes per minute in a rowing race.</v>
      </c>
      <c r="F8" s="2"/>
      <c r="G8" s="5">
        <v>7.0</v>
      </c>
      <c r="H8" s="4" t="s">
        <v>41</v>
      </c>
      <c r="I8" s="4" t="s">
        <v>42</v>
      </c>
      <c r="J8" s="4" t="s">
        <v>43</v>
      </c>
      <c r="K8" s="4" t="s">
        <v>44</v>
      </c>
      <c r="L8" s="2"/>
      <c r="R8" s="2"/>
      <c r="S8" s="2"/>
      <c r="T8" s="2"/>
      <c r="U8" s="2"/>
    </row>
    <row r="9" ht="22.5" customHeight="1">
      <c r="A9" s="4" t="str">
        <f>IFERROR(__xludf.DUMMYFUNCTION("GOOGLETRANSLATE(G9, ""de"", ""en"")"),"8")</f>
        <v>8</v>
      </c>
      <c r="B9" s="4" t="str">
        <f>IFERROR(__xludf.DUMMYFUNCTION("GOOGLETRANSLATE(H9, ""de"", ""en"")"),"What penalty does a boat receive if it intentionally obstructs an opponent?")</f>
        <v>What penalty does a boat receive if it intentionally obstructs an opponent?</v>
      </c>
      <c r="C9" s="4" t="s">
        <v>45</v>
      </c>
      <c r="D9" s="4" t="str">
        <f>IFERROR(__xludf.DUMMYFUNCTION("GOOGLETRANSLATE(J9, ""de"", ""en"")"),"disqualification")</f>
        <v>disqualification</v>
      </c>
      <c r="E9" s="4" t="str">
        <f>IFERROR(__xludf.DUMMYFUNCTION("GOOGLETRANSLATE(K9, ""de"", ""en"")"),"A team will be disqualified if it violates the rules.")</f>
        <v>A team will be disqualified if it violates the rules.</v>
      </c>
      <c r="F9" s="2"/>
      <c r="G9" s="5">
        <v>8.0</v>
      </c>
      <c r="H9" s="4" t="s">
        <v>46</v>
      </c>
      <c r="I9" s="4" t="s">
        <v>47</v>
      </c>
      <c r="J9" s="4" t="s">
        <v>48</v>
      </c>
      <c r="K9" s="4" t="s">
        <v>49</v>
      </c>
      <c r="L9" s="2"/>
      <c r="R9" s="2"/>
      <c r="S9" s="2"/>
      <c r="T9" s="2"/>
      <c r="U9" s="2"/>
    </row>
    <row r="10" ht="22.5" customHeight="1">
      <c r="A10" s="4" t="str">
        <f>IFERROR(__xludf.DUMMYFUNCTION("GOOGLETRANSLATE(G10, ""de"", ""en"")"),"9")</f>
        <v>9</v>
      </c>
      <c r="B10" s="4" t="str">
        <f>IFERROR(__xludf.DUMMYFUNCTION("GOOGLETRANSLATE(H10, ""de"", ""en"")"),"What is the main task of the bowman on the boat?")</f>
        <v>What is the main task of the bowman on the boat?</v>
      </c>
      <c r="C10" s="4" t="s">
        <v>50</v>
      </c>
      <c r="D10" s="4" t="str">
        <f>IFERROR(__xludf.DUMMYFUNCTION("GOOGLETRANSLATE(J10, ""de"", ""en"")"),"Set the rhythm")</f>
        <v>Set the rhythm</v>
      </c>
      <c r="E10" s="4" t="str">
        <f>IFERROR(__xludf.DUMMYFUNCTION("GOOGLETRANSLATE(K10, ""de"", ""en"")"),"The stroke rower sets the rowing rhythm and pace for the team.")</f>
        <v>The stroke rower sets the rowing rhythm and pace for the team.</v>
      </c>
      <c r="F10" s="2"/>
      <c r="G10" s="5">
        <v>9.0</v>
      </c>
      <c r="H10" s="4" t="s">
        <v>51</v>
      </c>
      <c r="I10" s="4" t="s">
        <v>52</v>
      </c>
      <c r="J10" s="4" t="s">
        <v>53</v>
      </c>
      <c r="K10" s="4" t="s">
        <v>54</v>
      </c>
      <c r="L10" s="2"/>
      <c r="R10" s="2"/>
      <c r="S10" s="2"/>
      <c r="T10" s="2"/>
      <c r="U10" s="2"/>
    </row>
    <row r="11" ht="22.5" customHeight="1">
      <c r="A11" s="4" t="str">
        <f>IFERROR(__xludf.DUMMYFUNCTION("GOOGLETRANSLATE(G11, ""de"", ""en"")"),"10")</f>
        <v>10</v>
      </c>
      <c r="B11" s="4" t="str">
        <f>IFERROR(__xludf.DUMMYFUNCTION("GOOGLETRANSLATE(H11, ""de"", ""en"")"),"What rule applies when an oar breaks?")</f>
        <v>What rule applies when an oar breaks?</v>
      </c>
      <c r="C11" s="4" t="s">
        <v>55</v>
      </c>
      <c r="D11" s="4" t="str">
        <f>IFERROR(__xludf.DUMMYFUNCTION("GOOGLETRANSLATE(J11, ""de"", ""en"")"),"The team is allowed to continue the race.")</f>
        <v>The team is allowed to continue the race.</v>
      </c>
      <c r="E11" s="4" t="str">
        <f>IFERROR(__xludf.DUMMYFUNCTION("GOOGLETRANSLATE(K11, ""de"", ""en"")"),"The team is allowed to continue the race after a penalty or interruption.")</f>
        <v>The team is allowed to continue the race after a penalty or interruption.</v>
      </c>
      <c r="F11" s="2"/>
      <c r="G11" s="5">
        <v>10.0</v>
      </c>
      <c r="H11" s="4" t="s">
        <v>56</v>
      </c>
      <c r="I11" s="4" t="s">
        <v>57</v>
      </c>
      <c r="J11" s="4" t="s">
        <v>58</v>
      </c>
      <c r="K11" s="4" t="s">
        <v>59</v>
      </c>
      <c r="L11" s="2"/>
      <c r="R11" s="2"/>
      <c r="S11" s="2"/>
      <c r="T11" s="2"/>
      <c r="U11" s="2"/>
    </row>
    <row r="12" ht="22.5" customHeight="1">
      <c r="A12" s="4" t="str">
        <f>IFERROR(__xludf.DUMMYFUNCTION("GOOGLETRANSLATE(G12, ""de"", ""en"")"),"11")</f>
        <v>11</v>
      </c>
      <c r="B12" s="4" t="str">
        <f>IFERROR(__xludf.DUMMYFUNCTION("GOOGLETRANSLATE(H12, ""de"", ""en"")"),"What is the maximum length of a skiff?")</f>
        <v>What is the maximum length of a skiff?</v>
      </c>
      <c r="C12" s="4" t="s">
        <v>60</v>
      </c>
      <c r="D12" s="4" t="str">
        <f>IFERROR(__xludf.DUMMYFUNCTION("GOOGLETRANSLATE(J12, ""de"", ""en"")"),"8.2 meters")</f>
        <v>8.2 meters</v>
      </c>
      <c r="E12" s="4" t="str">
        <f>IFERROR(__xludf.DUMMYFUNCTION("GOOGLETRANSLATE(K12, ""de"", ""en"")"),"This is the typical length of a rowing boat in a figure-eight pattern.")</f>
        <v>This is the typical length of a rowing boat in a figure-eight pattern.</v>
      </c>
      <c r="F12" s="2"/>
      <c r="G12" s="5">
        <v>11.0</v>
      </c>
      <c r="H12" s="4" t="s">
        <v>61</v>
      </c>
      <c r="I12" s="4" t="s">
        <v>62</v>
      </c>
      <c r="J12" s="4" t="s">
        <v>63</v>
      </c>
      <c r="K12" s="4" t="s">
        <v>64</v>
      </c>
      <c r="L12" s="2"/>
      <c r="R12" s="2"/>
      <c r="S12" s="2"/>
      <c r="T12" s="2"/>
      <c r="U12" s="2"/>
    </row>
    <row r="13" ht="22.5" customHeight="1">
      <c r="A13" s="4" t="str">
        <f>IFERROR(__xludf.DUMMYFUNCTION("GOOGLETRANSLATE(G13, ""de"", ""en"")"),"12")</f>
        <v>12</v>
      </c>
      <c r="B13" s="4" t="str">
        <f>IFERROR(__xludf.DUMMYFUNCTION("GOOGLETRANSLATE(H13, ""de"", ""en"")"),"What must the helmsman always wear during the race?")</f>
        <v>What must the helmsman always wear during the race?</v>
      </c>
      <c r="C13" s="4" t="s">
        <v>65</v>
      </c>
      <c r="D13" s="4" t="str">
        <f>IFERROR(__xludf.DUMMYFUNCTION("GOOGLETRANSLATE(J13, ""de"", ""en"")"),"A life jacket")</f>
        <v>A life jacket</v>
      </c>
      <c r="E13" s="4" t="str">
        <f>IFERROR(__xludf.DUMMYFUNCTION("GOOGLETRANSLATE(K13, ""de"", ""en"")"),"A life jacket is a safety precaution in case a rower falls into the water.")</f>
        <v>A life jacket is a safety precaution in case a rower falls into the water.</v>
      </c>
      <c r="F13" s="2"/>
      <c r="G13" s="5">
        <v>12.0</v>
      </c>
      <c r="H13" s="4" t="s">
        <v>66</v>
      </c>
      <c r="I13" s="4" t="s">
        <v>67</v>
      </c>
      <c r="J13" s="4" t="s">
        <v>68</v>
      </c>
      <c r="K13" s="4" t="s">
        <v>69</v>
      </c>
      <c r="L13" s="2"/>
      <c r="R13" s="2"/>
      <c r="S13" s="2"/>
      <c r="T13" s="2"/>
      <c r="U13" s="2"/>
    </row>
    <row r="14" ht="22.5" customHeight="1">
      <c r="A14" s="4" t="str">
        <f>IFERROR(__xludf.DUMMYFUNCTION("GOOGLETRANSLATE(G14, ""de"", ""en"")"),"13")</f>
        <v>13</v>
      </c>
      <c r="B14" s="4" t="str">
        <f>IFERROR(__xludf.DUMMYFUNCTION("GOOGLETRANSLATE(H14, ""de"", ""en"")"),"What happens when a boat hits the target?")</f>
        <v>What happens when a boat hits the target?</v>
      </c>
      <c r="C14" s="4" t="s">
        <v>70</v>
      </c>
      <c r="D14" s="4" t="str">
        <f>IFERROR(__xludf.DUMMYFUNCTION("GOOGLETRANSLATE(J14, ""de"", ""en"")"),"The race will be scored.")</f>
        <v>The race will be scored.</v>
      </c>
      <c r="E14" s="4" t="str">
        <f>IFERROR(__xludf.DUMMYFUNCTION("GOOGLETRANSLATE(K14, ""de"", ""en"")"),"The race will be scored according to the rules and the rankings will be determined.")</f>
        <v>The race will be scored according to the rules and the rankings will be determined.</v>
      </c>
      <c r="F14" s="2"/>
      <c r="G14" s="5">
        <v>13.0</v>
      </c>
      <c r="H14" s="4" t="s">
        <v>71</v>
      </c>
      <c r="I14" s="4" t="s">
        <v>72</v>
      </c>
      <c r="J14" s="4" t="s">
        <v>73</v>
      </c>
      <c r="K14" s="4" t="s">
        <v>74</v>
      </c>
      <c r="L14" s="2"/>
      <c r="R14" s="2"/>
      <c r="S14" s="2"/>
      <c r="T14" s="2"/>
      <c r="U14" s="2"/>
    </row>
    <row r="15" ht="22.5" customHeight="1">
      <c r="A15" s="4" t="str">
        <f>IFERROR(__xludf.DUMMYFUNCTION("GOOGLETRANSLATE(G15, ""de"", ""en"")"),"14")</f>
        <v>14</v>
      </c>
      <c r="B15" s="4" t="str">
        <f>IFERROR(__xludf.DUMMYFUNCTION("GOOGLETRANSLATE(H15, ""de"", ""en"")"),"How is it decided which boat gets the inside lane in a turn?")</f>
        <v>How is it decided which boat gets the inside lane in a turn?</v>
      </c>
      <c r="C15" s="4" t="s">
        <v>75</v>
      </c>
      <c r="D15" s="4" t="str">
        <f>IFERROR(__xludf.DUMMYFUNCTION("GOOGLETRANSLATE(J15, ""de"", ""en"")"),"Due to the starting position")</f>
        <v>Due to the starting position</v>
      </c>
      <c r="E15" s="4" t="str">
        <f>IFERROR(__xludf.DUMMYFUNCTION("GOOGLETRANSLATE(K15, ""de"", ""en"")"),"The boat's position at the start can influence the outcome of the race.")</f>
        <v>The boat's position at the start can influence the outcome of the race.</v>
      </c>
      <c r="F15" s="2"/>
      <c r="G15" s="5">
        <v>14.0</v>
      </c>
      <c r="H15" s="4" t="s">
        <v>76</v>
      </c>
      <c r="I15" s="4" t="s">
        <v>77</v>
      </c>
      <c r="J15" s="4" t="s">
        <v>78</v>
      </c>
      <c r="K15" s="4" t="s">
        <v>79</v>
      </c>
      <c r="L15" s="2"/>
      <c r="R15" s="2"/>
      <c r="S15" s="2"/>
      <c r="T15" s="2"/>
      <c r="U15" s="2"/>
    </row>
    <row r="16" ht="22.5" customHeight="1">
      <c r="A16" s="4" t="str">
        <f>IFERROR(__xludf.DUMMYFUNCTION("GOOGLETRANSLATE(G16, ""de"", ""en"")"),"15")</f>
        <v>15</v>
      </c>
      <c r="B16" s="4" t="str">
        <f>IFERROR(__xludf.DUMMYFUNCTION("GOOGLETRANSLATE(H16, ""de"", ""en"")"),"What is prohibited to increase the speed of the boat?")</f>
        <v>What is prohibited to increase the speed of the boat?</v>
      </c>
      <c r="C16" s="4" t="s">
        <v>80</v>
      </c>
      <c r="D16" s="4" t="str">
        <f>IFERROR(__xludf.DUMMYFUNCTION("GOOGLETRANSLATE(J16, ""de"", ""en"")"),"Deliberately hitting the water")</f>
        <v>Deliberately hitting the water</v>
      </c>
      <c r="E16" s="4" t="str">
        <f>IFERROR(__xludf.DUMMYFUNCTION("GOOGLETRANSLATE(K16, ""de"", ""en"")"),"Deliberately hitting the water may be considered a violation of the rules.")</f>
        <v>Deliberately hitting the water may be considered a violation of the rules.</v>
      </c>
      <c r="F16" s="2"/>
      <c r="G16" s="5">
        <v>15.0</v>
      </c>
      <c r="H16" s="4" t="s">
        <v>81</v>
      </c>
      <c r="I16" s="4" t="s">
        <v>82</v>
      </c>
      <c r="J16" s="4" t="s">
        <v>83</v>
      </c>
      <c r="K16" s="4" t="s">
        <v>84</v>
      </c>
      <c r="L16" s="2"/>
      <c r="R16" s="2"/>
      <c r="S16" s="2"/>
      <c r="T16" s="2"/>
      <c r="U16" s="2"/>
    </row>
    <row r="17" ht="22.5" customHeight="1">
      <c r="A17" s="4" t="str">
        <f>IFERROR(__xludf.DUMMYFUNCTION("GOOGLETRANSLATE(G17, ""de"", ""en"")"),"16")</f>
        <v>16</v>
      </c>
      <c r="B17" s="4" t="str">
        <f>IFERROR(__xludf.DUMMYFUNCTION("GOOGLETRANSLATE(H17, ""de"", ""en"")"),"How long is a standard single rowing boat?")</f>
        <v>How long is a standard single rowing boat?</v>
      </c>
      <c r="C17" s="4" t="s">
        <v>85</v>
      </c>
      <c r="D17" s="4" t="str">
        <f>IFERROR(__xludf.DUMMYFUNCTION("GOOGLETRANSLATE(J17, ""de"", ""en"")"),"8.2 meters")</f>
        <v>8.2 meters</v>
      </c>
      <c r="E17" s="4" t="str">
        <f>IFERROR(__xludf.DUMMYFUNCTION("GOOGLETRANSLATE(K17, ""de"", ""en"")"),"A standard single rowing boat is usually 8.2 meters long.")</f>
        <v>A standard single rowing boat is usually 8.2 meters long.</v>
      </c>
      <c r="F17" s="2"/>
      <c r="G17" s="5">
        <v>16.0</v>
      </c>
      <c r="H17" s="4" t="s">
        <v>86</v>
      </c>
      <c r="I17" s="4" t="s">
        <v>87</v>
      </c>
      <c r="J17" s="4" t="s">
        <v>63</v>
      </c>
      <c r="K17" s="4" t="s">
        <v>88</v>
      </c>
      <c r="L17" s="2"/>
      <c r="R17" s="2"/>
      <c r="S17" s="2"/>
      <c r="T17" s="2"/>
      <c r="U17" s="2"/>
    </row>
    <row r="18" ht="22.5" customHeight="1">
      <c r="A18" s="4" t="str">
        <f>IFERROR(__xludf.DUMMYFUNCTION("GOOGLETRANSLATE(G18, ""de"", ""en"")"),"17")</f>
        <v>17</v>
      </c>
      <c r="B18" s="4" t="str">
        <f>IFERROR(__xludf.DUMMYFUNCTION("GOOGLETRANSLATE(H18, ""de"", ""en"")"),"How many rowers are in an eight?")</f>
        <v>How many rowers are in an eight?</v>
      </c>
      <c r="C18" s="4" t="s">
        <v>89</v>
      </c>
      <c r="D18" s="4" t="str">
        <f>IFERROR(__xludf.DUMMYFUNCTION("GOOGLETRANSLATE(J18, ""de"", ""en"")"),"Eight")</f>
        <v>Eight</v>
      </c>
      <c r="E18" s="4" t="str">
        <f>IFERROR(__xludf.DUMMYFUNCTION("GOOGLETRANSLATE(K18, ""de"", ""en"")"),"A figure eight has eight rowers.")</f>
        <v>A figure eight has eight rowers.</v>
      </c>
      <c r="F18" s="2"/>
      <c r="G18" s="5">
        <v>17.0</v>
      </c>
      <c r="H18" s="4" t="s">
        <v>90</v>
      </c>
      <c r="I18" s="4" t="s">
        <v>91</v>
      </c>
      <c r="J18" s="4" t="s">
        <v>92</v>
      </c>
      <c r="K18" s="4" t="s">
        <v>93</v>
      </c>
      <c r="L18" s="2"/>
      <c r="R18" s="2"/>
      <c r="S18" s="2"/>
      <c r="T18" s="2"/>
      <c r="U18" s="2"/>
    </row>
    <row r="19" ht="22.5" customHeight="1">
      <c r="A19" s="4" t="str">
        <f>IFERROR(__xludf.DUMMYFUNCTION("GOOGLETRANSLATE(G19, ""de"", ""en"")"),"18")</f>
        <v>18</v>
      </c>
      <c r="B19" s="4" t="str">
        <f>IFERROR(__xludf.DUMMYFUNCTION("GOOGLETRANSLATE(H19, ""de"", ""en"")"),"Which referee will give the starting signal?")</f>
        <v>Which referee will give the starting signal?</v>
      </c>
      <c r="C19" s="4" t="s">
        <v>94</v>
      </c>
      <c r="D19" s="4" t="str">
        <f>IFERROR(__xludf.DUMMYFUNCTION("GOOGLETRANSLATE(J19, ""de"", ""en"")"),"The starter")</f>
        <v>The starter</v>
      </c>
      <c r="E19" s="4" t="str">
        <f>IFERROR(__xludf.DUMMYFUNCTION("GOOGLETRANSLATE(K19, ""de"", ""en"")"),"The starter gives the starting signal.")</f>
        <v>The starter gives the starting signal.</v>
      </c>
      <c r="F19" s="2"/>
      <c r="G19" s="5">
        <v>18.0</v>
      </c>
      <c r="H19" s="4" t="s">
        <v>95</v>
      </c>
      <c r="I19" s="4" t="s">
        <v>96</v>
      </c>
      <c r="J19" s="4" t="s">
        <v>97</v>
      </c>
      <c r="K19" s="4" t="s">
        <v>98</v>
      </c>
      <c r="L19" s="2"/>
      <c r="R19" s="2"/>
      <c r="S19" s="2"/>
      <c r="T19" s="2"/>
      <c r="U19" s="2"/>
    </row>
    <row r="20" ht="22.5" customHeight="1">
      <c r="A20" s="4" t="str">
        <f>IFERROR(__xludf.DUMMYFUNCTION("GOOGLETRANSLATE(G20, ""de"", ""en"")"),"19")</f>
        <v>19</v>
      </c>
      <c r="B20" s="4" t="str">
        <f>IFERROR(__xludf.DUMMYFUNCTION("GOOGLETRANSLATE(H20, ""de"", ""en"")"),"What do you call the stroke in the eight?")</f>
        <v>What do you call the stroke in the eight?</v>
      </c>
      <c r="C20" s="4" t="s">
        <v>99</v>
      </c>
      <c r="D20" s="4" t="str">
        <f>IFERROR(__xludf.DUMMYFUNCTION("GOOGLETRANSLATE(J20, ""de"", ""en"")"),"batsman")</f>
        <v>batsman</v>
      </c>
      <c r="E20" s="4" t="str">
        <f>IFERROR(__xludf.DUMMYFUNCTION("GOOGLETRANSLATE(K20, ""de"", ""en"")"),"The stroke sets the pace for the team.")</f>
        <v>The stroke sets the pace for the team.</v>
      </c>
      <c r="F20" s="2"/>
      <c r="G20" s="5">
        <v>19.0</v>
      </c>
      <c r="H20" s="4" t="s">
        <v>100</v>
      </c>
      <c r="I20" s="4" t="s">
        <v>101</v>
      </c>
      <c r="J20" s="4" t="s">
        <v>102</v>
      </c>
      <c r="K20" s="4" t="s">
        <v>103</v>
      </c>
      <c r="L20" s="2"/>
      <c r="R20" s="2"/>
      <c r="S20" s="2"/>
      <c r="T20" s="2"/>
      <c r="U20" s="2"/>
    </row>
    <row r="21" ht="22.5" customHeight="1">
      <c r="A21" s="4" t="str">
        <f>IFERROR(__xludf.DUMMYFUNCTION("GOOGLETRANSLATE(G21, ""de"", ""en"")"),"20")</f>
        <v>20</v>
      </c>
      <c r="B21" s="4" t="str">
        <f>IFERROR(__xludf.DUMMYFUNCTION("GOOGLETRANSLATE(H21, ""de"", ""en"")"),"What penalty does a team receive for an early start?")</f>
        <v>What penalty does a team receive for an early start?</v>
      </c>
      <c r="C21" s="4" t="s">
        <v>104</v>
      </c>
      <c r="D21" s="4" t="str">
        <f>IFERROR(__xludf.DUMMYFUNCTION("GOOGLETRANSLATE(J21, ""de"", ""en"")"),"Time penalty")</f>
        <v>Time penalty</v>
      </c>
      <c r="E21" s="4" t="str">
        <f>IFERROR(__xludf.DUMMYFUNCTION("GOOGLETRANSLATE(K21, ""de"", ""en"")"),"An early start will be penalized with a time penalty.")</f>
        <v>An early start will be penalized with a time penalty.</v>
      </c>
      <c r="F21" s="2"/>
      <c r="G21" s="5">
        <v>20.0</v>
      </c>
      <c r="H21" s="4" t="s">
        <v>105</v>
      </c>
      <c r="I21" s="4" t="s">
        <v>106</v>
      </c>
      <c r="J21" s="4" t="s">
        <v>18</v>
      </c>
      <c r="K21" s="4" t="s">
        <v>107</v>
      </c>
      <c r="L21" s="2"/>
      <c r="R21" s="2"/>
      <c r="S21" s="2"/>
      <c r="T21" s="2"/>
      <c r="U21" s="2"/>
    </row>
    <row r="22" ht="22.5" customHeight="1">
      <c r="A22" s="4" t="str">
        <f>IFERROR(__xludf.DUMMYFUNCTION("GOOGLETRANSLATE(G22, ""de"", ""en"")"),"21")</f>
        <v>21</v>
      </c>
      <c r="B22" s="4" t="str">
        <f>IFERROR(__xludf.DUMMYFUNCTION("GOOGLETRANSLATE(H22, ""de"", ""en"")"),"How many boats usually participate in a race?")</f>
        <v>How many boats usually participate in a race?</v>
      </c>
      <c r="C22" s="4" t="s">
        <v>108</v>
      </c>
      <c r="D22" s="4" t="str">
        <f>IFERROR(__xludf.DUMMYFUNCTION("GOOGLETRANSLATE(J22, ""de"", ""en"")"),"Six")</f>
        <v>Six</v>
      </c>
      <c r="E22" s="4" t="str">
        <f>IFERROR(__xludf.DUMMYFUNCTION("GOOGLETRANSLATE(K22, ""de"", ""en"")"),"Normally, six boats start in a race.")</f>
        <v>Normally, six boats start in a race.</v>
      </c>
      <c r="F22" s="2"/>
      <c r="G22" s="5">
        <v>21.0</v>
      </c>
      <c r="H22" s="4" t="s">
        <v>109</v>
      </c>
      <c r="I22" s="4" t="s">
        <v>110</v>
      </c>
      <c r="J22" s="4" t="s">
        <v>111</v>
      </c>
      <c r="K22" s="4" t="s">
        <v>112</v>
      </c>
      <c r="L22" s="2"/>
      <c r="R22" s="2"/>
      <c r="S22" s="2"/>
      <c r="T22" s="2"/>
      <c r="U22" s="2"/>
    </row>
    <row r="23" ht="22.5" customHeight="1">
      <c r="A23" s="4" t="str">
        <f>IFERROR(__xludf.DUMMYFUNCTION("GOOGLETRANSLATE(G23, ""de"", ""en"")"),"22")</f>
        <v>22</v>
      </c>
      <c r="B23" s="4" t="str">
        <f>IFERROR(__xludf.DUMMYFUNCTION("GOOGLETRANSLATE(H23, ""de"", ""en"")"),"How long is the distance in a normal rowing race?")</f>
        <v>How long is the distance in a normal rowing race?</v>
      </c>
      <c r="C23" s="4" t="s">
        <v>113</v>
      </c>
      <c r="D23" s="4" t="str">
        <f>IFERROR(__xludf.DUMMYFUNCTION("GOOGLETRANSLATE(J23, ""de"", ""en"")"),"2000 meters")</f>
        <v>2000 meters</v>
      </c>
      <c r="E23" s="4" t="str">
        <f>IFERROR(__xludf.DUMMYFUNCTION("GOOGLETRANSLATE(K23, ""de"", ""en"")"),"A standard rowing race is 2000 meters long.")</f>
        <v>A standard rowing race is 2000 meters long.</v>
      </c>
      <c r="F23" s="2"/>
      <c r="G23" s="5">
        <v>22.0</v>
      </c>
      <c r="H23" s="4" t="s">
        <v>114</v>
      </c>
      <c r="I23" s="4" t="s">
        <v>115</v>
      </c>
      <c r="J23" s="4" t="s">
        <v>116</v>
      </c>
      <c r="K23" s="4" t="s">
        <v>117</v>
      </c>
      <c r="L23" s="2"/>
      <c r="R23" s="2"/>
      <c r="S23" s="2"/>
      <c r="T23" s="2"/>
      <c r="U23" s="2"/>
    </row>
    <row r="24" ht="22.5" customHeight="1">
      <c r="A24" s="4" t="str">
        <f>IFERROR(__xludf.DUMMYFUNCTION("GOOGLETRANSLATE(G24, ""de"", ""en"")"),"23")</f>
        <v>23</v>
      </c>
      <c r="B24" s="4" t="str">
        <f>IFERROR(__xludf.DUMMYFUNCTION("GOOGLETRANSLATE(H24, ""de"", ""en"")"),"What is the name of the shortest man on board an eight-oared boat?")</f>
        <v>What is the name of the shortest man on board an eight-oared boat?</v>
      </c>
      <c r="C24" s="4" t="s">
        <v>118</v>
      </c>
      <c r="D24" s="4" t="str">
        <f>IFERROR(__xludf.DUMMYFUNCTION("GOOGLETRANSLATE(J24, ""de"", ""en"")"),"Helmsman")</f>
        <v>Helmsman</v>
      </c>
      <c r="E24" s="4" t="str">
        <f>IFERROR(__xludf.DUMMYFUNCTION("GOOGLETRANSLATE(K24, ""de"", ""en"")"),"The helmsman is the smallest man on board and steers the boat.")</f>
        <v>The helmsman is the smallest man on board and steers the boat.</v>
      </c>
      <c r="F24" s="2"/>
      <c r="G24" s="5">
        <v>23.0</v>
      </c>
      <c r="H24" s="4" t="s">
        <v>119</v>
      </c>
      <c r="I24" s="4" t="s">
        <v>120</v>
      </c>
      <c r="J24" s="4" t="s">
        <v>121</v>
      </c>
      <c r="K24" s="4" t="s">
        <v>122</v>
      </c>
      <c r="L24" s="2"/>
      <c r="R24" s="2"/>
      <c r="S24" s="2"/>
      <c r="T24" s="2"/>
      <c r="U24" s="2"/>
    </row>
    <row r="25" ht="22.5" customHeight="1">
      <c r="A25" s="4" t="str">
        <f>IFERROR(__xludf.DUMMYFUNCTION("GOOGLETRANSLATE(G25, ""de"", ""en"")"),"24")</f>
        <v>24</v>
      </c>
      <c r="B25" s="4" t="str">
        <f>IFERROR(__xludf.DUMMYFUNCTION("GOOGLETRANSLATE(H25, ""de"", ""en"")"),"Which part of the boat keeps the rudder blade in the water?")</f>
        <v>Which part of the boat keeps the rudder blade in the water?</v>
      </c>
      <c r="C25" s="4" t="s">
        <v>123</v>
      </c>
      <c r="D25" s="4" t="str">
        <f>IFERROR(__xludf.DUMMYFUNCTION("GOOGLETRANSLATE(J25, ""de"", ""en"")"),"Dollbord")</f>
        <v>Dollbord</v>
      </c>
      <c r="E25" s="4" t="str">
        <f>IFERROR(__xludf.DUMMYFUNCTION("GOOGLETRANSLATE(K25, ""de"", ""en"")"),"The gunwale ensures that the rudder blade is kept in the water.")</f>
        <v>The gunwale ensures that the rudder blade is kept in the water.</v>
      </c>
      <c r="F25" s="2"/>
      <c r="G25" s="5">
        <v>24.0</v>
      </c>
      <c r="H25" s="4" t="s">
        <v>124</v>
      </c>
      <c r="I25" s="4" t="s">
        <v>125</v>
      </c>
      <c r="J25" s="4" t="s">
        <v>126</v>
      </c>
      <c r="K25" s="4" t="s">
        <v>127</v>
      </c>
      <c r="L25" s="2"/>
      <c r="R25" s="2"/>
      <c r="S25" s="2"/>
      <c r="T25" s="2"/>
      <c r="U25" s="2"/>
    </row>
    <row r="26" ht="22.5" customHeight="1">
      <c r="A26" s="4" t="str">
        <f>IFERROR(__xludf.DUMMYFUNCTION("GOOGLETRANSLATE(G26, ""de"", ""en"")"),"25")</f>
        <v>25</v>
      </c>
      <c r="B26" s="4" t="str">
        <f>IFERROR(__xludf.DUMMYFUNCTION("GOOGLETRANSLATE(H26, ""de"", ""en"")"),"When is a race stopped?")</f>
        <v>When is a race stopped?</v>
      </c>
      <c r="C26" s="4" t="s">
        <v>128</v>
      </c>
      <c r="D26" s="4" t="str">
        <f>IFERROR(__xludf.DUMMYFUNCTION("GOOGLETRANSLATE(J26, ""de"", ""en"")"),"All of the above")</f>
        <v>All of the above</v>
      </c>
      <c r="E26" s="4" t="str">
        <f>IFERROR(__xludf.DUMMYFUNCTION("GOOGLETRANSLATE(K26, ""de"", ""en"")"),"A race can be cancelled for any of the reasons mentioned.")</f>
        <v>A race can be cancelled for any of the reasons mentioned.</v>
      </c>
      <c r="F26" s="2"/>
      <c r="G26" s="5">
        <v>25.0</v>
      </c>
      <c r="H26" s="4" t="s">
        <v>129</v>
      </c>
      <c r="I26" s="4" t="s">
        <v>130</v>
      </c>
      <c r="J26" s="4" t="s">
        <v>131</v>
      </c>
      <c r="K26" s="4" t="s">
        <v>132</v>
      </c>
      <c r="L26" s="2"/>
      <c r="R26" s="2"/>
      <c r="S26" s="2"/>
      <c r="T26" s="2"/>
      <c r="U26" s="2"/>
    </row>
    <row r="27" ht="22.5" customHeight="1">
      <c r="A27" s="4" t="str">
        <f>IFERROR(__xludf.DUMMYFUNCTION("GOOGLETRANSLATE(G27, ""de"", ""en"")"),"26")</f>
        <v>26</v>
      </c>
      <c r="B27" s="4" t="str">
        <f>IFERROR(__xludf.DUMMYFUNCTION("GOOGLETRANSLATE(H27, ""de"", ""en"")"),"What is the standard distance of an Olympic rowing competition?")</f>
        <v>What is the standard distance of an Olympic rowing competition?</v>
      </c>
      <c r="C27" s="4" t="s">
        <v>133</v>
      </c>
      <c r="D27" s="4" t="str">
        <f>IFERROR(__xludf.DUMMYFUNCTION("GOOGLETRANSLATE(J27, ""de"", ""en"")"),"2000 meters")</f>
        <v>2000 meters</v>
      </c>
      <c r="E27" s="4" t="str">
        <f>IFERROR(__xludf.DUMMYFUNCTION("GOOGLETRANSLATE(K27, ""de"", ""en"")"),"The standard distance is 2000 meters.")</f>
        <v>The standard distance is 2000 meters.</v>
      </c>
      <c r="F27" s="2"/>
      <c r="G27" s="5">
        <v>26.0</v>
      </c>
      <c r="H27" s="4" t="s">
        <v>134</v>
      </c>
      <c r="I27" s="4" t="s">
        <v>135</v>
      </c>
      <c r="J27" s="4" t="s">
        <v>116</v>
      </c>
      <c r="K27" s="4" t="s">
        <v>136</v>
      </c>
      <c r="L27" s="2"/>
      <c r="R27" s="2"/>
      <c r="S27" s="2"/>
      <c r="T27" s="2"/>
      <c r="U27" s="2"/>
    </row>
    <row r="28" ht="22.5" customHeight="1">
      <c r="A28" s="4" t="str">
        <f>IFERROR(__xludf.DUMMYFUNCTION("GOOGLETRANSLATE(G28, ""de"", ""en"")"),"27")</f>
        <v>27</v>
      </c>
      <c r="B28" s="4" t="str">
        <f>IFERROR(__xludf.DUMMYFUNCTION("GOOGLETRANSLATE(H28, ""de"", ""en"")"),"How many rowers participate in a double scull?")</f>
        <v>How many rowers participate in a double scull?</v>
      </c>
      <c r="C28" s="4" t="s">
        <v>137</v>
      </c>
      <c r="D28" s="4" t="str">
        <f>IFERROR(__xludf.DUMMYFUNCTION("GOOGLETRANSLATE(J28, ""de"", ""en"")"),"Four")</f>
        <v>Four</v>
      </c>
      <c r="E28" s="4" t="str">
        <f>IFERROR(__xludf.DUMMYFUNCTION("GOOGLETRANSLATE(K28, ""de"", ""en"")"),"A double scull has four rowers.")</f>
        <v>A double scull has four rowers.</v>
      </c>
      <c r="F28" s="2"/>
      <c r="G28" s="5">
        <v>27.0</v>
      </c>
      <c r="H28" s="4" t="s">
        <v>138</v>
      </c>
      <c r="I28" s="4" t="s">
        <v>139</v>
      </c>
      <c r="J28" s="4" t="s">
        <v>140</v>
      </c>
      <c r="K28" s="4" t="s">
        <v>141</v>
      </c>
      <c r="L28" s="2"/>
      <c r="R28" s="2"/>
      <c r="S28" s="2"/>
      <c r="T28" s="2"/>
      <c r="U28" s="2"/>
    </row>
    <row r="29" ht="22.5" customHeight="1">
      <c r="A29" s="4" t="str">
        <f>IFERROR(__xludf.DUMMYFUNCTION("GOOGLETRANSLATE(G29, ""de"", ""en"")"),"28")</f>
        <v>28</v>
      </c>
      <c r="B29" s="4" t="str">
        <f>IFERROR(__xludf.DUMMYFUNCTION("GOOGLETRANSLATE(H29, ""de"", ""en"")"),"Who is steering the boat from the stern?")</f>
        <v>Who is steering the boat from the stern?</v>
      </c>
      <c r="C29" s="4" t="s">
        <v>142</v>
      </c>
      <c r="D29" s="4" t="str">
        <f>IFERROR(__xludf.DUMMYFUNCTION("GOOGLETRANSLATE(J29, ""de"", ""en"")"),"The helmsman")</f>
        <v>The helmsman</v>
      </c>
      <c r="E29" s="4" t="str">
        <f>IFERROR(__xludf.DUMMYFUNCTION("GOOGLETRANSLATE(K29, ""de"", ""en"")"),"The helmsman steers the boat from the stern.")</f>
        <v>The helmsman steers the boat from the stern.</v>
      </c>
      <c r="F29" s="2"/>
      <c r="G29" s="5">
        <v>28.0</v>
      </c>
      <c r="H29" s="4" t="s">
        <v>143</v>
      </c>
      <c r="I29" s="4" t="s">
        <v>144</v>
      </c>
      <c r="J29" s="4" t="s">
        <v>145</v>
      </c>
      <c r="K29" s="4" t="s">
        <v>146</v>
      </c>
      <c r="L29" s="2"/>
      <c r="R29" s="2"/>
      <c r="S29" s="2"/>
      <c r="T29" s="2"/>
      <c r="U29" s="2"/>
    </row>
    <row r="30" ht="22.5" customHeight="1">
      <c r="A30" s="4" t="str">
        <f>IFERROR(__xludf.DUMMYFUNCTION("GOOGLETRANSLATE(G30, ""de"", ""en"")"),"29")</f>
        <v>29</v>
      </c>
      <c r="B30" s="4" t="str">
        <f>IFERROR(__xludf.DUMMYFUNCTION("GOOGLETRANSLATE(H30, ""de"", ""en"")"),"What is the movement of the rudder in the water called?")</f>
        <v>What is the movement of the rudder in the water called?</v>
      </c>
      <c r="C30" s="4" t="s">
        <v>147</v>
      </c>
      <c r="D30" s="4" t="str">
        <f>IFERROR(__xludf.DUMMYFUNCTION("GOOGLETRANSLATE(J30, ""de"", ""en"")"),"hit")</f>
        <v>hit</v>
      </c>
      <c r="E30" s="4" t="str">
        <f>IFERROR(__xludf.DUMMYFUNCTION("GOOGLETRANSLATE(K30, ""de"", ""en"")"),"The movement of the oar in the water is called a stroke.")</f>
        <v>The movement of the oar in the water is called a stroke.</v>
      </c>
      <c r="F30" s="2"/>
      <c r="G30" s="5">
        <v>29.0</v>
      </c>
      <c r="H30" s="4" t="s">
        <v>148</v>
      </c>
      <c r="I30" s="4" t="s">
        <v>149</v>
      </c>
      <c r="J30" s="4" t="s">
        <v>150</v>
      </c>
      <c r="K30" s="4" t="s">
        <v>151</v>
      </c>
      <c r="L30" s="2"/>
      <c r="R30" s="2"/>
      <c r="S30" s="2"/>
      <c r="T30" s="2"/>
      <c r="U30" s="2"/>
    </row>
    <row r="31" ht="22.5" customHeight="1">
      <c r="A31" s="4" t="str">
        <f>IFERROR(__xludf.DUMMYFUNCTION("GOOGLETRANSLATE(G31, ""de"", ""en"")"),"30")</f>
        <v>30</v>
      </c>
      <c r="B31" s="4" t="str">
        <f>IFERROR(__xludf.DUMMYFUNCTION("GOOGLETRANSLATE(H31, ""de"", ""en"")"),"What happens if another boat is blocked?")</f>
        <v>What happens if another boat is blocked?</v>
      </c>
      <c r="C31" s="4" t="s">
        <v>152</v>
      </c>
      <c r="D31" s="4" t="str">
        <f>IFERROR(__xludf.DUMMYFUNCTION("GOOGLETRANSLATE(J31, ""de"", ""en"")"),"disqualification")</f>
        <v>disqualification</v>
      </c>
      <c r="E31" s="4" t="str">
        <f>IFERROR(__xludf.DUMMYFUNCTION("GOOGLETRANSLATE(K31, ""de"", ""en"")"),"A disability leads to disqualification.")</f>
        <v>A disability leads to disqualification.</v>
      </c>
      <c r="F31" s="2"/>
      <c r="G31" s="5">
        <v>30.0</v>
      </c>
      <c r="H31" s="4" t="s">
        <v>153</v>
      </c>
      <c r="I31" s="4" t="s">
        <v>154</v>
      </c>
      <c r="J31" s="4" t="s">
        <v>48</v>
      </c>
      <c r="K31" s="4" t="s">
        <v>155</v>
      </c>
      <c r="L31" s="2"/>
      <c r="R31" s="2"/>
      <c r="S31" s="2"/>
      <c r="T31" s="2"/>
      <c r="U31" s="2"/>
    </row>
    <row r="32" ht="22.5" customHeight="1">
      <c r="A32" s="4" t="str">
        <f>IFERROR(__xludf.DUMMYFUNCTION("GOOGLETRANSLATE(G32, ""de"", ""en"")"),"31")</f>
        <v>31</v>
      </c>
      <c r="B32" s="4" t="str">
        <f>IFERROR(__xludf.DUMMYFUNCTION("GOOGLETRANSLATE(H32, ""de"", ""en"")"),"How many seats does a double scull have?")</f>
        <v>How many seats does a double scull have?</v>
      </c>
      <c r="C32" s="4" t="s">
        <v>156</v>
      </c>
      <c r="D32" s="4" t="str">
        <f>IFERROR(__xludf.DUMMYFUNCTION("GOOGLETRANSLATE(J32, ""de"", ""en"")"),"Two")</f>
        <v>Two</v>
      </c>
      <c r="E32" s="4" t="str">
        <f>IFERROR(__xludf.DUMMYFUNCTION("GOOGLETRANSLATE(K32, ""de"", ""en"")"),"A double scull has two seats.")</f>
        <v>A double scull has two seats.</v>
      </c>
      <c r="F32" s="2"/>
      <c r="G32" s="5">
        <v>31.0</v>
      </c>
      <c r="H32" s="4" t="s">
        <v>157</v>
      </c>
      <c r="I32" s="4" t="s">
        <v>158</v>
      </c>
      <c r="J32" s="4" t="s">
        <v>159</v>
      </c>
      <c r="K32" s="4" t="s">
        <v>160</v>
      </c>
      <c r="L32" s="2"/>
      <c r="R32" s="2"/>
      <c r="S32" s="2"/>
      <c r="T32" s="2"/>
      <c r="U32" s="2"/>
    </row>
    <row r="33" ht="22.5" customHeight="1">
      <c r="A33" s="4" t="str">
        <f>IFERROR(__xludf.DUMMYFUNCTION("GOOGLETRANSLATE(G33, ""de"", ""en"")"),"32")</f>
        <v>32</v>
      </c>
      <c r="B33" s="4" t="str">
        <f>IFERROR(__xludf.DUMMYFUNCTION("GOOGLETRANSLATE(H33, ""de"", ""en"")"),"What is the correct hand position when rowing?")</f>
        <v>What is the correct hand position when rowing?</v>
      </c>
      <c r="C33" s="4" t="s">
        <v>161</v>
      </c>
      <c r="D33" s="4" t="str">
        <f>IFERROR(__xludf.DUMMYFUNCTION("GOOGLETRANSLATE(J33, ""de"", ""en"")"),"Hands shoulder-width apart")</f>
        <v>Hands shoulder-width apart</v>
      </c>
      <c r="E33" s="4" t="str">
        <f>IFERROR(__xludf.DUMMYFUNCTION("GOOGLETRANSLATE(K33, ""de"", ""en"")"),"The hands should be shoulder-width apart.")</f>
        <v>The hands should be shoulder-width apart.</v>
      </c>
      <c r="F33" s="2"/>
      <c r="G33" s="5">
        <v>32.0</v>
      </c>
      <c r="H33" s="4" t="s">
        <v>162</v>
      </c>
      <c r="I33" s="4" t="s">
        <v>163</v>
      </c>
      <c r="J33" s="4" t="s">
        <v>164</v>
      </c>
      <c r="K33" s="4" t="s">
        <v>165</v>
      </c>
      <c r="L33" s="2"/>
      <c r="R33" s="2"/>
      <c r="S33" s="2"/>
      <c r="T33" s="2"/>
      <c r="U33" s="2"/>
    </row>
    <row r="34" ht="22.5" customHeight="1">
      <c r="A34" s="4" t="str">
        <f>IFERROR(__xludf.DUMMYFUNCTION("GOOGLETRANSLATE(G34, ""de"", ""en"")"),"33")</f>
        <v>33</v>
      </c>
      <c r="B34" s="4" t="str">
        <f>IFERROR(__xludf.DUMMYFUNCTION("GOOGLETRANSLATE(H34, ""de"", ""en"")"),"What is the purpose of the rigger?")</f>
        <v>What is the purpose of the rigger?</v>
      </c>
      <c r="C34" s="4" t="s">
        <v>166</v>
      </c>
      <c r="D34" s="4" t="str">
        <f>IFERROR(__xludf.DUMMYFUNCTION("GOOGLETRANSLATE(J34, ""de"", ""en"")"),"Stabilize the rudder")</f>
        <v>Stabilize the rudder</v>
      </c>
      <c r="E34" s="4" t="str">
        <f>IFERROR(__xludf.DUMMYFUNCTION("GOOGLETRANSLATE(K34, ""de"", ""en"")"),"The rigger stabilizes the rudder on the boat.")</f>
        <v>The rigger stabilizes the rudder on the boat.</v>
      </c>
      <c r="F34" s="2"/>
      <c r="G34" s="5">
        <v>33.0</v>
      </c>
      <c r="H34" s="4" t="s">
        <v>167</v>
      </c>
      <c r="I34" s="4" t="s">
        <v>168</v>
      </c>
      <c r="J34" s="4" t="s">
        <v>169</v>
      </c>
      <c r="K34" s="4" t="s">
        <v>170</v>
      </c>
      <c r="L34" s="2"/>
      <c r="R34" s="2"/>
      <c r="S34" s="2"/>
      <c r="T34" s="2"/>
      <c r="U34" s="2"/>
    </row>
    <row r="35" ht="22.5" customHeight="1">
      <c r="A35" s="4" t="str">
        <f>IFERROR(__xludf.DUMMYFUNCTION("GOOGLETRANSLATE(G35, ""de"", ""en"")"),"34")</f>
        <v>34</v>
      </c>
      <c r="B35" s="4" t="str">
        <f>IFERROR(__xludf.DUMMYFUNCTION("GOOGLETRANSLATE(H35, ""de"", ""en"")"),"When is a boat considered to have capsized?")</f>
        <v>When is a boat considered to have capsized?</v>
      </c>
      <c r="C35" s="4" t="s">
        <v>171</v>
      </c>
      <c r="D35" s="4" t="str">
        <f>IFERROR(__xludf.DUMMYFUNCTION("GOOGLETRANSLATE(J35, ""de"", ""en"")"),"When it's upside down in the water")</f>
        <v>When it's upside down in the water</v>
      </c>
      <c r="E35" s="4" t="str">
        <f>IFERROR(__xludf.DUMMYFUNCTION("GOOGLETRANSLATE(K35, ""de"", ""en"")"),"A boat is capsized when it is lying upside down in the water.")</f>
        <v>A boat is capsized when it is lying upside down in the water.</v>
      </c>
      <c r="F35" s="2"/>
      <c r="G35" s="5">
        <v>34.0</v>
      </c>
      <c r="H35" s="4" t="s">
        <v>172</v>
      </c>
      <c r="I35" s="4" t="s">
        <v>173</v>
      </c>
      <c r="J35" s="4" t="s">
        <v>174</v>
      </c>
      <c r="K35" s="4" t="s">
        <v>175</v>
      </c>
      <c r="L35" s="2"/>
      <c r="R35" s="2"/>
      <c r="S35" s="2"/>
      <c r="T35" s="2"/>
      <c r="U35" s="2"/>
    </row>
    <row r="36" ht="22.5" customHeight="1">
      <c r="A36" s="4" t="str">
        <f>IFERROR(__xludf.DUMMYFUNCTION("GOOGLETRANSLATE(G36, ""de"", ""en"")"),"35")</f>
        <v>35</v>
      </c>
      <c r="B36" s="4" t="str">
        <f>IFERROR(__xludf.DUMMYFUNCTION("GOOGLETRANSLATE(H36, ""de"", ""en"")"),"How many boats usually start in a race?")</f>
        <v>How many boats usually start in a race?</v>
      </c>
      <c r="C36" s="4" t="s">
        <v>176</v>
      </c>
      <c r="D36" s="4" t="str">
        <f>IFERROR(__xludf.DUMMYFUNCTION("GOOGLETRANSLATE(J36, ""de"", ""en"")"),"Six")</f>
        <v>Six</v>
      </c>
      <c r="E36" s="4" t="str">
        <f>IFERROR(__xludf.DUMMYFUNCTION("GOOGLETRANSLATE(K36, ""de"", ""en"")"),"Normally, six boats start in a race.")</f>
        <v>Normally, six boats start in a race.</v>
      </c>
      <c r="F36" s="2"/>
      <c r="G36" s="5">
        <v>35.0</v>
      </c>
      <c r="H36" s="4" t="s">
        <v>177</v>
      </c>
      <c r="I36" s="4" t="s">
        <v>178</v>
      </c>
      <c r="J36" s="4" t="s">
        <v>111</v>
      </c>
      <c r="K36" s="4" t="s">
        <v>112</v>
      </c>
      <c r="L36" s="2"/>
      <c r="R36" s="2"/>
      <c r="S36" s="2"/>
      <c r="T36" s="2"/>
      <c r="U36" s="2"/>
    </row>
    <row r="37" ht="22.5" customHeight="1">
      <c r="A37" s="4" t="str">
        <f>IFERROR(__xludf.DUMMYFUNCTION("GOOGLETRANSLATE(G37, ""de"", ""en"")"),"36")</f>
        <v>36</v>
      </c>
      <c r="B37" s="4" t="str">
        <f>IFERROR(__xludf.DUMMYFUNCTION("GOOGLETRANSLATE(H37, ""de"", ""en"")"),"What is a beat frequency?")</f>
        <v>What is a beat frequency?</v>
      </c>
      <c r="C37" s="4" t="s">
        <v>179</v>
      </c>
      <c r="D37" s="4" t="str">
        <f>IFERROR(__xludf.DUMMYFUNCTION("GOOGLETRANSLATE(J37, ""de"", ""en"")"),"Number of beats per minute")</f>
        <v>Number of beats per minute</v>
      </c>
      <c r="E37" s="4" t="str">
        <f>IFERROR(__xludf.DUMMYFUNCTION("GOOGLETRANSLATE(K37, ""de"", ""en"")"),"The stroke rate is the number of strokes per minute.")</f>
        <v>The stroke rate is the number of strokes per minute.</v>
      </c>
      <c r="F37" s="2"/>
      <c r="G37" s="5">
        <v>36.0</v>
      </c>
      <c r="H37" s="4" t="s">
        <v>180</v>
      </c>
      <c r="I37" s="4" t="s">
        <v>181</v>
      </c>
      <c r="J37" s="4" t="s">
        <v>182</v>
      </c>
      <c r="K37" s="4" t="s">
        <v>183</v>
      </c>
      <c r="L37" s="2"/>
      <c r="R37" s="2"/>
      <c r="S37" s="2"/>
      <c r="T37" s="2"/>
      <c r="U37" s="2"/>
    </row>
    <row r="38" ht="22.5" customHeight="1">
      <c r="A38" s="4" t="str">
        <f>IFERROR(__xludf.DUMMYFUNCTION("GOOGLETRANSLATE(G38, ""de"", ""en"")"),"37")</f>
        <v>37</v>
      </c>
      <c r="B38" s="4" t="str">
        <f>IFERROR(__xludf.DUMMYFUNCTION("GOOGLETRANSLATE(H38, ""de"", ""en"")"),"What clothing do rowers wear during a race?")</f>
        <v>What clothing do rowers wear during a race?</v>
      </c>
      <c r="C38" s="4" t="s">
        <v>184</v>
      </c>
      <c r="D38" s="4" t="str">
        <f>IFERROR(__xludf.DUMMYFUNCTION("GOOGLETRANSLATE(J38, ""de"", ""en"")"),"A piece")</f>
        <v>A piece</v>
      </c>
      <c r="E38" s="4" t="str">
        <f>IFERROR(__xludf.DUMMYFUNCTION("GOOGLETRANSLATE(K38, ""de"", ""en"")"),"Rowers wear a one-piece suit for maximum freedom of movement.")</f>
        <v>Rowers wear a one-piece suit for maximum freedom of movement.</v>
      </c>
      <c r="F38" s="2"/>
      <c r="G38" s="5">
        <v>37.0</v>
      </c>
      <c r="H38" s="4" t="s">
        <v>185</v>
      </c>
      <c r="I38" s="4" t="s">
        <v>186</v>
      </c>
      <c r="J38" s="4" t="s">
        <v>187</v>
      </c>
      <c r="K38" s="4" t="s">
        <v>188</v>
      </c>
      <c r="L38" s="2"/>
      <c r="R38" s="2"/>
      <c r="S38" s="2"/>
      <c r="T38" s="2"/>
      <c r="U38" s="2"/>
    </row>
    <row r="39" ht="22.5" customHeight="1">
      <c r="A39" s="4" t="str">
        <f>IFERROR(__xludf.DUMMYFUNCTION("GOOGLETRANSLATE(G39, ""de"", ""en"")"),"38")</f>
        <v>38</v>
      </c>
      <c r="B39" s="4" t="str">
        <f>IFERROR(__xludf.DUMMYFUNCTION("GOOGLETRANSLATE(H39, ""de"", ""en"")"),"How is a race started?")</f>
        <v>How is a race started?</v>
      </c>
      <c r="C39" s="4" t="s">
        <v>189</v>
      </c>
      <c r="D39" s="4" t="str">
        <f>IFERROR(__xludf.DUMMYFUNCTION("GOOGLETRANSLATE(J39, ""de"", ""en"")"),"With acoustic signal")</f>
        <v>With acoustic signal</v>
      </c>
      <c r="E39" s="4" t="str">
        <f>IFERROR(__xludf.DUMMYFUNCTION("GOOGLETRANSLATE(K39, ""de"", ""en"")"),"A race begins with an acoustic signal.")</f>
        <v>A race begins with an acoustic signal.</v>
      </c>
      <c r="F39" s="2"/>
      <c r="G39" s="5">
        <v>38.0</v>
      </c>
      <c r="H39" s="4" t="s">
        <v>190</v>
      </c>
      <c r="I39" s="4" t="s">
        <v>191</v>
      </c>
      <c r="J39" s="4" t="s">
        <v>192</v>
      </c>
      <c r="K39" s="4" t="s">
        <v>193</v>
      </c>
      <c r="L39" s="2"/>
      <c r="R39" s="2"/>
      <c r="S39" s="2"/>
      <c r="T39" s="2"/>
      <c r="U39" s="2"/>
    </row>
    <row r="40" ht="22.5" customHeight="1">
      <c r="A40" s="4" t="str">
        <f>IFERROR(__xludf.DUMMYFUNCTION("GOOGLETRANSLATE(G40, ""de"", ""en"")"),"39")</f>
        <v>39</v>
      </c>
      <c r="B40" s="4" t="str">
        <f>IFERROR(__xludf.DUMMYFUNCTION("GOOGLETRANSLATE(H40, ""de"", ""en"")"),"What is the purpose of the helmsman?")</f>
        <v>What is the purpose of the helmsman?</v>
      </c>
      <c r="C40" s="4" t="s">
        <v>194</v>
      </c>
      <c r="D40" s="4" t="str">
        <f>IFERROR(__xludf.DUMMYFUNCTION("GOOGLETRANSLATE(J40, ""de"", ""en"")"),"Steer the boat")</f>
        <v>Steer the boat</v>
      </c>
      <c r="E40" s="4" t="str">
        <f>IFERROR(__xludf.DUMMYFUNCTION("GOOGLETRANSLATE(K40, ""de"", ""en"")"),"The helmsman steers the boat and coordinates the team.")</f>
        <v>The helmsman steers the boat and coordinates the team.</v>
      </c>
      <c r="F40" s="2"/>
      <c r="G40" s="5">
        <v>39.0</v>
      </c>
      <c r="H40" s="4" t="s">
        <v>195</v>
      </c>
      <c r="I40" s="4" t="s">
        <v>196</v>
      </c>
      <c r="J40" s="4" t="s">
        <v>197</v>
      </c>
      <c r="K40" s="4" t="s">
        <v>198</v>
      </c>
      <c r="L40" s="2"/>
      <c r="R40" s="2"/>
      <c r="S40" s="2"/>
      <c r="T40" s="2"/>
      <c r="U40" s="2"/>
    </row>
    <row r="41" ht="22.5" customHeight="1">
      <c r="A41" s="4" t="str">
        <f>IFERROR(__xludf.DUMMYFUNCTION("GOOGLETRANSLATE(G41, ""de"", ""en"")"),"40")</f>
        <v>40</v>
      </c>
      <c r="B41" s="4" t="str">
        <f>IFERROR(__xludf.DUMMYFUNCTION("GOOGLETRANSLATE(H41, ""de"", ""en"")"),"What is the penalty for a false start?")</f>
        <v>What is the penalty for a false start?</v>
      </c>
      <c r="C41" s="4" t="s">
        <v>199</v>
      </c>
      <c r="D41" s="4" t="str">
        <f>IFERROR(__xludf.DUMMYFUNCTION("GOOGLETRANSLATE(J41, ""de"", ""en"")"),"Time penalty")</f>
        <v>Time penalty</v>
      </c>
      <c r="E41" s="4" t="str">
        <f>IFERROR(__xludf.DUMMYFUNCTION("GOOGLETRANSLATE(K41, ""de"", ""en"")"),"An early start will be penalized with a time penalty.")</f>
        <v>An early start will be penalized with a time penalty.</v>
      </c>
      <c r="F41" s="2"/>
      <c r="G41" s="5">
        <v>40.0</v>
      </c>
      <c r="H41" s="4" t="s">
        <v>200</v>
      </c>
      <c r="I41" s="4" t="s">
        <v>201</v>
      </c>
      <c r="J41" s="4" t="s">
        <v>18</v>
      </c>
      <c r="K41" s="4" t="s">
        <v>107</v>
      </c>
      <c r="L41" s="2"/>
      <c r="R41" s="2"/>
      <c r="S41" s="2"/>
      <c r="T41" s="2"/>
      <c r="U41" s="2"/>
    </row>
    <row r="42" ht="22.5" customHeight="1">
      <c r="A42" s="4" t="str">
        <f>IFERROR(__xludf.DUMMYFUNCTION("GOOGLETRANSLATE(G42, ""de"", ""en"")"),"41")</f>
        <v>41</v>
      </c>
      <c r="B42" s="4" t="str">
        <f>IFERROR(__xludf.DUMMYFUNCTION("GOOGLETRANSLATE(H42, ""de"", ""en"")"),"What is the standard distance of an Olympic rowing competition?")</f>
        <v>What is the standard distance of an Olympic rowing competition?</v>
      </c>
      <c r="C42" s="4" t="s">
        <v>133</v>
      </c>
      <c r="D42" s="4" t="str">
        <f>IFERROR(__xludf.DUMMYFUNCTION("GOOGLETRANSLATE(J42, ""de"", ""en"")"),"2000 meters")</f>
        <v>2000 meters</v>
      </c>
      <c r="E42" s="4" t="str">
        <f>IFERROR(__xludf.DUMMYFUNCTION("GOOGLETRANSLATE(K42, ""de"", ""en"")"),"The standard distance is 2000 meters.")</f>
        <v>The standard distance is 2000 meters.</v>
      </c>
      <c r="F42" s="2"/>
      <c r="G42" s="5">
        <v>41.0</v>
      </c>
      <c r="H42" s="4" t="s">
        <v>134</v>
      </c>
      <c r="I42" s="4" t="s">
        <v>135</v>
      </c>
      <c r="J42" s="4" t="s">
        <v>116</v>
      </c>
      <c r="K42" s="4" t="s">
        <v>136</v>
      </c>
      <c r="L42" s="2"/>
      <c r="R42" s="2"/>
      <c r="S42" s="2"/>
      <c r="T42" s="2"/>
      <c r="U42" s="2"/>
    </row>
    <row r="43" ht="22.5" customHeight="1">
      <c r="A43" s="4" t="str">
        <f>IFERROR(__xludf.DUMMYFUNCTION("GOOGLETRANSLATE(G43, ""de"", ""en"")"),"42")</f>
        <v>42</v>
      </c>
      <c r="B43" s="4" t="str">
        <f>IFERROR(__xludf.DUMMYFUNCTION("GOOGLETRANSLATE(H43, ""de"", ""en"")"),"How many rowers participate in a double scull?")</f>
        <v>How many rowers participate in a double scull?</v>
      </c>
      <c r="C43" s="4" t="s">
        <v>137</v>
      </c>
      <c r="D43" s="4" t="str">
        <f>IFERROR(__xludf.DUMMYFUNCTION("GOOGLETRANSLATE(J43, ""de"", ""en"")"),"Four")</f>
        <v>Four</v>
      </c>
      <c r="E43" s="4" t="str">
        <f>IFERROR(__xludf.DUMMYFUNCTION("GOOGLETRANSLATE(K43, ""de"", ""en"")"),"A double scull has four rowers.")</f>
        <v>A double scull has four rowers.</v>
      </c>
      <c r="F43" s="2"/>
      <c r="G43" s="5">
        <v>42.0</v>
      </c>
      <c r="H43" s="4" t="s">
        <v>138</v>
      </c>
      <c r="I43" s="4" t="s">
        <v>139</v>
      </c>
      <c r="J43" s="4" t="s">
        <v>140</v>
      </c>
      <c r="K43" s="4" t="s">
        <v>141</v>
      </c>
      <c r="L43" s="2"/>
      <c r="R43" s="2"/>
      <c r="S43" s="2"/>
      <c r="T43" s="2"/>
      <c r="U43" s="2"/>
    </row>
    <row r="44" ht="22.5" customHeight="1">
      <c r="A44" s="4" t="str">
        <f>IFERROR(__xludf.DUMMYFUNCTION("GOOGLETRANSLATE(G44, ""de"", ""en"")"),"43")</f>
        <v>43</v>
      </c>
      <c r="B44" s="4" t="str">
        <f>IFERROR(__xludf.DUMMYFUNCTION("GOOGLETRANSLATE(H44, ""de"", ""en"")"),"Who is steering the boat from the stern?")</f>
        <v>Who is steering the boat from the stern?</v>
      </c>
      <c r="C44" s="4" t="s">
        <v>142</v>
      </c>
      <c r="D44" s="4" t="str">
        <f>IFERROR(__xludf.DUMMYFUNCTION("GOOGLETRANSLATE(J44, ""de"", ""en"")"),"The helmsman")</f>
        <v>The helmsman</v>
      </c>
      <c r="E44" s="4" t="str">
        <f>IFERROR(__xludf.DUMMYFUNCTION("GOOGLETRANSLATE(K44, ""de"", ""en"")"),"The helmsman steers the boat from the stern.")</f>
        <v>The helmsman steers the boat from the stern.</v>
      </c>
      <c r="F44" s="2"/>
      <c r="G44" s="5">
        <v>43.0</v>
      </c>
      <c r="H44" s="4" t="s">
        <v>143</v>
      </c>
      <c r="I44" s="4" t="s">
        <v>144</v>
      </c>
      <c r="J44" s="4" t="s">
        <v>145</v>
      </c>
      <c r="K44" s="4" t="s">
        <v>146</v>
      </c>
      <c r="L44" s="2"/>
      <c r="R44" s="2"/>
      <c r="S44" s="2"/>
      <c r="T44" s="2"/>
      <c r="U44" s="2"/>
    </row>
    <row r="45" ht="22.5" customHeight="1">
      <c r="A45" s="4" t="str">
        <f>IFERROR(__xludf.DUMMYFUNCTION("GOOGLETRANSLATE(G45, ""de"", ""en"")"),"44")</f>
        <v>44</v>
      </c>
      <c r="B45" s="4" t="str">
        <f>IFERROR(__xludf.DUMMYFUNCTION("GOOGLETRANSLATE(H45, ""de"", ""en"")"),"What is the movement of the rudder in the water called?")</f>
        <v>What is the movement of the rudder in the water called?</v>
      </c>
      <c r="C45" s="4" t="s">
        <v>147</v>
      </c>
      <c r="D45" s="4" t="str">
        <f>IFERROR(__xludf.DUMMYFUNCTION("GOOGLETRANSLATE(J45, ""de"", ""en"")"),"hit")</f>
        <v>hit</v>
      </c>
      <c r="E45" s="4" t="str">
        <f>IFERROR(__xludf.DUMMYFUNCTION("GOOGLETRANSLATE(K45, ""de"", ""en"")"),"The movement of the oar in the water is called a stroke.")</f>
        <v>The movement of the oar in the water is called a stroke.</v>
      </c>
      <c r="F45" s="2"/>
      <c r="G45" s="5">
        <v>44.0</v>
      </c>
      <c r="H45" s="4" t="s">
        <v>148</v>
      </c>
      <c r="I45" s="4" t="s">
        <v>149</v>
      </c>
      <c r="J45" s="4" t="s">
        <v>150</v>
      </c>
      <c r="K45" s="4" t="s">
        <v>151</v>
      </c>
      <c r="L45" s="2"/>
      <c r="R45" s="2"/>
      <c r="S45" s="2"/>
      <c r="T45" s="2"/>
      <c r="U45" s="2"/>
    </row>
    <row r="46" ht="22.5" customHeight="1">
      <c r="A46" s="4" t="str">
        <f>IFERROR(__xludf.DUMMYFUNCTION("GOOGLETRANSLATE(G46, ""de"", ""en"")"),"45")</f>
        <v>45</v>
      </c>
      <c r="B46" s="4" t="str">
        <f>IFERROR(__xludf.DUMMYFUNCTION("GOOGLETRANSLATE(H46, ""de"", ""en"")"),"What happens if another boat is blocked?")</f>
        <v>What happens if another boat is blocked?</v>
      </c>
      <c r="C46" s="4" t="s">
        <v>152</v>
      </c>
      <c r="D46" s="4" t="str">
        <f>IFERROR(__xludf.DUMMYFUNCTION("GOOGLETRANSLATE(J46, ""de"", ""en"")"),"disqualification")</f>
        <v>disqualification</v>
      </c>
      <c r="E46" s="4" t="str">
        <f>IFERROR(__xludf.DUMMYFUNCTION("GOOGLETRANSLATE(K46, ""de"", ""en"")"),"A disability leads to disqualification.")</f>
        <v>A disability leads to disqualification.</v>
      </c>
      <c r="F46" s="2"/>
      <c r="G46" s="5">
        <v>45.0</v>
      </c>
      <c r="H46" s="4" t="s">
        <v>153</v>
      </c>
      <c r="I46" s="4" t="s">
        <v>154</v>
      </c>
      <c r="J46" s="4" t="s">
        <v>48</v>
      </c>
      <c r="K46" s="4" t="s">
        <v>155</v>
      </c>
      <c r="L46" s="2"/>
      <c r="R46" s="2"/>
      <c r="S46" s="2"/>
      <c r="T46" s="2"/>
      <c r="U46" s="2"/>
    </row>
    <row r="47" ht="22.5" customHeight="1">
      <c r="A47" s="4" t="str">
        <f>IFERROR(__xludf.DUMMYFUNCTION("GOOGLETRANSLATE(G47, ""de"", ""en"")"),"46")</f>
        <v>46</v>
      </c>
      <c r="B47" s="4" t="str">
        <f>IFERROR(__xludf.DUMMYFUNCTION("GOOGLETRANSLATE(H47, ""de"", ""en"")"),"How many seats does a double scull have?")</f>
        <v>How many seats does a double scull have?</v>
      </c>
      <c r="C47" s="4" t="s">
        <v>156</v>
      </c>
      <c r="D47" s="4" t="str">
        <f>IFERROR(__xludf.DUMMYFUNCTION("GOOGLETRANSLATE(J47, ""de"", ""en"")"),"Two")</f>
        <v>Two</v>
      </c>
      <c r="E47" s="4" t="str">
        <f>IFERROR(__xludf.DUMMYFUNCTION("GOOGLETRANSLATE(K47, ""de"", ""en"")"),"A double scull has two seats.")</f>
        <v>A double scull has two seats.</v>
      </c>
      <c r="F47" s="2"/>
      <c r="G47" s="5">
        <v>46.0</v>
      </c>
      <c r="H47" s="4" t="s">
        <v>157</v>
      </c>
      <c r="I47" s="4" t="s">
        <v>158</v>
      </c>
      <c r="J47" s="4" t="s">
        <v>159</v>
      </c>
      <c r="K47" s="4" t="s">
        <v>160</v>
      </c>
      <c r="L47" s="2"/>
      <c r="R47" s="2"/>
      <c r="S47" s="2"/>
      <c r="T47" s="2"/>
      <c r="U47" s="2"/>
    </row>
    <row r="48" ht="22.5" customHeight="1">
      <c r="A48" s="4" t="str">
        <f>IFERROR(__xludf.DUMMYFUNCTION("GOOGLETRANSLATE(G48, ""de"", ""en"")"),"47")</f>
        <v>47</v>
      </c>
      <c r="B48" s="4" t="str">
        <f>IFERROR(__xludf.DUMMYFUNCTION("GOOGLETRANSLATE(H48, ""de"", ""en"")"),"What is the correct hand position when rowing?")</f>
        <v>What is the correct hand position when rowing?</v>
      </c>
      <c r="C48" s="4" t="s">
        <v>161</v>
      </c>
      <c r="D48" s="4" t="str">
        <f>IFERROR(__xludf.DUMMYFUNCTION("GOOGLETRANSLATE(J48, ""de"", ""en"")"),"Hands shoulder-width apart")</f>
        <v>Hands shoulder-width apart</v>
      </c>
      <c r="E48" s="4" t="str">
        <f>IFERROR(__xludf.DUMMYFUNCTION("GOOGLETRANSLATE(K48, ""de"", ""en"")"),"The hands should be shoulder-width apart.")</f>
        <v>The hands should be shoulder-width apart.</v>
      </c>
      <c r="F48" s="2"/>
      <c r="G48" s="5">
        <v>47.0</v>
      </c>
      <c r="H48" s="4" t="s">
        <v>162</v>
      </c>
      <c r="I48" s="4" t="s">
        <v>163</v>
      </c>
      <c r="J48" s="4" t="s">
        <v>164</v>
      </c>
      <c r="K48" s="4" t="s">
        <v>165</v>
      </c>
      <c r="L48" s="2"/>
      <c r="R48" s="2"/>
      <c r="S48" s="2"/>
      <c r="T48" s="2"/>
      <c r="U48" s="2"/>
    </row>
    <row r="49" ht="22.5" customHeight="1">
      <c r="A49" s="4" t="str">
        <f>IFERROR(__xludf.DUMMYFUNCTION("GOOGLETRANSLATE(G49, ""de"", ""en"")"),"48")</f>
        <v>48</v>
      </c>
      <c r="B49" s="4" t="str">
        <f>IFERROR(__xludf.DUMMYFUNCTION("GOOGLETRANSLATE(H49, ""de"", ""en"")"),"What is the purpose of the rigger?")</f>
        <v>What is the purpose of the rigger?</v>
      </c>
      <c r="C49" s="4" t="s">
        <v>166</v>
      </c>
      <c r="D49" s="4" t="str">
        <f>IFERROR(__xludf.DUMMYFUNCTION("GOOGLETRANSLATE(J49, ""de"", ""en"")"),"Stabilize the rudder")</f>
        <v>Stabilize the rudder</v>
      </c>
      <c r="E49" s="4" t="str">
        <f>IFERROR(__xludf.DUMMYFUNCTION("GOOGLETRANSLATE(K49, ""de"", ""en"")"),"The rigger stabilizes the rudder on the boat.")</f>
        <v>The rigger stabilizes the rudder on the boat.</v>
      </c>
      <c r="F49" s="2"/>
      <c r="G49" s="5">
        <v>48.0</v>
      </c>
      <c r="H49" s="4" t="s">
        <v>167</v>
      </c>
      <c r="I49" s="4" t="s">
        <v>168</v>
      </c>
      <c r="J49" s="4" t="s">
        <v>169</v>
      </c>
      <c r="K49" s="4" t="s">
        <v>170</v>
      </c>
      <c r="L49" s="2"/>
      <c r="R49" s="2"/>
      <c r="S49" s="2"/>
      <c r="T49" s="2"/>
      <c r="U49" s="2"/>
    </row>
    <row r="50" ht="22.5" customHeight="1">
      <c r="A50" s="4" t="str">
        <f>IFERROR(__xludf.DUMMYFUNCTION("GOOGLETRANSLATE(G50, ""de"", ""en"")"),"49")</f>
        <v>49</v>
      </c>
      <c r="B50" s="4" t="str">
        <f>IFERROR(__xludf.DUMMYFUNCTION("GOOGLETRANSLATE(H50, ""de"", ""en"")"),"When is a boat considered to have capsized?")</f>
        <v>When is a boat considered to have capsized?</v>
      </c>
      <c r="C50" s="4" t="s">
        <v>171</v>
      </c>
      <c r="D50" s="4" t="str">
        <f>IFERROR(__xludf.DUMMYFUNCTION("GOOGLETRANSLATE(J50, ""de"", ""en"")"),"When it's upside down in the water")</f>
        <v>When it's upside down in the water</v>
      </c>
      <c r="E50" s="4" t="str">
        <f>IFERROR(__xludf.DUMMYFUNCTION("GOOGLETRANSLATE(K50, ""de"", ""en"")"),"A boat is capsized when it is lying upside down in the water.")</f>
        <v>A boat is capsized when it is lying upside down in the water.</v>
      </c>
      <c r="F50" s="2"/>
      <c r="G50" s="5">
        <v>49.0</v>
      </c>
      <c r="H50" s="4" t="s">
        <v>172</v>
      </c>
      <c r="I50" s="4" t="s">
        <v>173</v>
      </c>
      <c r="J50" s="4" t="s">
        <v>174</v>
      </c>
      <c r="K50" s="4" t="s">
        <v>175</v>
      </c>
      <c r="L50" s="2"/>
      <c r="R50" s="2"/>
      <c r="S50" s="2"/>
      <c r="T50" s="2"/>
      <c r="U50" s="2"/>
    </row>
    <row r="51" ht="22.5" customHeight="1">
      <c r="A51" s="4" t="str">
        <f>IFERROR(__xludf.DUMMYFUNCTION("GOOGLETRANSLATE(G51, ""de"", ""en"")"),"50")</f>
        <v>50</v>
      </c>
      <c r="B51" s="4" t="str">
        <f>IFERROR(__xludf.DUMMYFUNCTION("GOOGLETRANSLATE(H51, ""de"", ""en"")"),"How many boats usually start in a race?")</f>
        <v>How many boats usually start in a race?</v>
      </c>
      <c r="C51" s="4" t="s">
        <v>176</v>
      </c>
      <c r="D51" s="4" t="str">
        <f>IFERROR(__xludf.DUMMYFUNCTION("GOOGLETRANSLATE(J51, ""de"", ""en"")"),"Six")</f>
        <v>Six</v>
      </c>
      <c r="E51" s="4" t="str">
        <f>IFERROR(__xludf.DUMMYFUNCTION("GOOGLETRANSLATE(K51, ""de"", ""en"")"),"Normally, six boats start in a race.")</f>
        <v>Normally, six boats start in a race.</v>
      </c>
      <c r="F51" s="2"/>
      <c r="G51" s="5">
        <v>50.0</v>
      </c>
      <c r="H51" s="4" t="s">
        <v>177</v>
      </c>
      <c r="I51" s="4" t="s">
        <v>178</v>
      </c>
      <c r="J51" s="4" t="s">
        <v>111</v>
      </c>
      <c r="K51" s="4" t="s">
        <v>112</v>
      </c>
      <c r="L51" s="2"/>
      <c r="R51" s="2"/>
      <c r="S51" s="2"/>
      <c r="T51" s="2"/>
      <c r="U51" s="2"/>
    </row>
    <row r="52" ht="22.5" customHeight="1">
      <c r="A52" s="4" t="str">
        <f>IFERROR(__xludf.DUMMYFUNCTION("GOOGLETRANSLATE(G52, ""de"", ""en"")"),"51")</f>
        <v>51</v>
      </c>
      <c r="B52" s="4" t="str">
        <f>IFERROR(__xludf.DUMMYFUNCTION("GOOGLETRANSLATE(H52, ""de"", ""en"")"),"What is a beat frequency?")</f>
        <v>What is a beat frequency?</v>
      </c>
      <c r="C52" s="4" t="s">
        <v>179</v>
      </c>
      <c r="D52" s="4" t="str">
        <f>IFERROR(__xludf.DUMMYFUNCTION("GOOGLETRANSLATE(J52, ""de"", ""en"")"),"Number of beats per minute")</f>
        <v>Number of beats per minute</v>
      </c>
      <c r="E52" s="4" t="str">
        <f>IFERROR(__xludf.DUMMYFUNCTION("GOOGLETRANSLATE(K52, ""de"", ""en"")"),"The stroke rate is the number of strokes per minute.")</f>
        <v>The stroke rate is the number of strokes per minute.</v>
      </c>
      <c r="F52" s="2"/>
      <c r="G52" s="5">
        <v>51.0</v>
      </c>
      <c r="H52" s="4" t="s">
        <v>180</v>
      </c>
      <c r="I52" s="4" t="s">
        <v>181</v>
      </c>
      <c r="J52" s="4" t="s">
        <v>182</v>
      </c>
      <c r="K52" s="4" t="s">
        <v>183</v>
      </c>
      <c r="L52" s="2"/>
      <c r="R52" s="2"/>
      <c r="S52" s="2"/>
      <c r="T52" s="2"/>
      <c r="U52" s="2"/>
    </row>
    <row r="53" ht="22.5" customHeight="1">
      <c r="A53" s="4" t="str">
        <f>IFERROR(__xludf.DUMMYFUNCTION("GOOGLETRANSLATE(G53, ""de"", ""en"")"),"52")</f>
        <v>52</v>
      </c>
      <c r="B53" s="4" t="str">
        <f>IFERROR(__xludf.DUMMYFUNCTION("GOOGLETRANSLATE(H53, ""de"", ""en"")"),"What clothing do rowers wear during a race?")</f>
        <v>What clothing do rowers wear during a race?</v>
      </c>
      <c r="C53" s="4" t="s">
        <v>184</v>
      </c>
      <c r="D53" s="4" t="str">
        <f>IFERROR(__xludf.DUMMYFUNCTION("GOOGLETRANSLATE(J53, ""de"", ""en"")"),"A piece")</f>
        <v>A piece</v>
      </c>
      <c r="E53" s="4" t="str">
        <f>IFERROR(__xludf.DUMMYFUNCTION("GOOGLETRANSLATE(K53, ""de"", ""en"")"),"Rowers wear a one-piece suit for maximum freedom of movement.")</f>
        <v>Rowers wear a one-piece suit for maximum freedom of movement.</v>
      </c>
      <c r="F53" s="2"/>
      <c r="G53" s="5">
        <v>52.0</v>
      </c>
      <c r="H53" s="4" t="s">
        <v>185</v>
      </c>
      <c r="I53" s="4" t="s">
        <v>186</v>
      </c>
      <c r="J53" s="4" t="s">
        <v>187</v>
      </c>
      <c r="K53" s="4" t="s">
        <v>188</v>
      </c>
      <c r="L53" s="2"/>
      <c r="R53" s="2"/>
      <c r="S53" s="2"/>
      <c r="T53" s="2"/>
      <c r="U53" s="2"/>
    </row>
    <row r="54" ht="22.5" customHeight="1">
      <c r="A54" s="4" t="str">
        <f>IFERROR(__xludf.DUMMYFUNCTION("GOOGLETRANSLATE(G54, ""de"", ""en"")"),"53")</f>
        <v>53</v>
      </c>
      <c r="B54" s="4" t="str">
        <f>IFERROR(__xludf.DUMMYFUNCTION("GOOGLETRANSLATE(H54, ""de"", ""en"")"),"How is a race started?")</f>
        <v>How is a race started?</v>
      </c>
      <c r="C54" s="4" t="s">
        <v>189</v>
      </c>
      <c r="D54" s="4" t="str">
        <f>IFERROR(__xludf.DUMMYFUNCTION("GOOGLETRANSLATE(J54, ""de"", ""en"")"),"With acoustic signal")</f>
        <v>With acoustic signal</v>
      </c>
      <c r="E54" s="4" t="str">
        <f>IFERROR(__xludf.DUMMYFUNCTION("GOOGLETRANSLATE(K54, ""de"", ""en"")"),"A race begins with an acoustic signal.")</f>
        <v>A race begins with an acoustic signal.</v>
      </c>
      <c r="F54" s="2"/>
      <c r="G54" s="5">
        <v>53.0</v>
      </c>
      <c r="H54" s="4" t="s">
        <v>190</v>
      </c>
      <c r="I54" s="4" t="s">
        <v>191</v>
      </c>
      <c r="J54" s="4" t="s">
        <v>192</v>
      </c>
      <c r="K54" s="4" t="s">
        <v>193</v>
      </c>
      <c r="L54" s="2"/>
      <c r="R54" s="2"/>
      <c r="S54" s="2"/>
      <c r="T54" s="2"/>
      <c r="U54" s="2"/>
    </row>
    <row r="55" ht="22.5" customHeight="1">
      <c r="A55" s="4" t="str">
        <f>IFERROR(__xludf.DUMMYFUNCTION("GOOGLETRANSLATE(G55, ""de"", ""en"")"),"54")</f>
        <v>54</v>
      </c>
      <c r="B55" s="4" t="str">
        <f>IFERROR(__xludf.DUMMYFUNCTION("GOOGLETRANSLATE(H55, ""de"", ""en"")"),"What is the purpose of the helmsman?")</f>
        <v>What is the purpose of the helmsman?</v>
      </c>
      <c r="C55" s="4" t="s">
        <v>194</v>
      </c>
      <c r="D55" s="4" t="str">
        <f>IFERROR(__xludf.DUMMYFUNCTION("GOOGLETRANSLATE(J55, ""de"", ""en"")"),"Steer the boat")</f>
        <v>Steer the boat</v>
      </c>
      <c r="E55" s="4" t="str">
        <f>IFERROR(__xludf.DUMMYFUNCTION("GOOGLETRANSLATE(K55, ""de"", ""en"")"),"The helmsman steers the boat and coordinates the team.")</f>
        <v>The helmsman steers the boat and coordinates the team.</v>
      </c>
      <c r="F55" s="2"/>
      <c r="G55" s="5">
        <v>54.0</v>
      </c>
      <c r="H55" s="4" t="s">
        <v>195</v>
      </c>
      <c r="I55" s="4" t="s">
        <v>196</v>
      </c>
      <c r="J55" s="4" t="s">
        <v>197</v>
      </c>
      <c r="K55" s="4" t="s">
        <v>198</v>
      </c>
      <c r="L55" s="2"/>
      <c r="R55" s="2"/>
      <c r="S55" s="2"/>
      <c r="T55" s="2"/>
      <c r="U55" s="2"/>
    </row>
    <row r="56" ht="22.5" customHeight="1">
      <c r="A56" s="4" t="str">
        <f>IFERROR(__xludf.DUMMYFUNCTION("GOOGLETRANSLATE(G56, ""de"", ""en"")"),"55")</f>
        <v>55</v>
      </c>
      <c r="B56" s="4" t="str">
        <f>IFERROR(__xludf.DUMMYFUNCTION("GOOGLETRANSLATE(H56, ""de"", ""en"")"),"What is the penalty for a false start?")</f>
        <v>What is the penalty for a false start?</v>
      </c>
      <c r="C56" s="4" t="s">
        <v>199</v>
      </c>
      <c r="D56" s="4" t="str">
        <f>IFERROR(__xludf.DUMMYFUNCTION("GOOGLETRANSLATE(J56, ""de"", ""en"")"),"Time penalty")</f>
        <v>Time penalty</v>
      </c>
      <c r="E56" s="4" t="str">
        <f>IFERROR(__xludf.DUMMYFUNCTION("GOOGLETRANSLATE(K56, ""de"", ""en"")"),"An early start will be penalized with a time penalty.")</f>
        <v>An early start will be penalized with a time penalty.</v>
      </c>
      <c r="F56" s="2"/>
      <c r="G56" s="5">
        <v>55.0</v>
      </c>
      <c r="H56" s="4" t="s">
        <v>200</v>
      </c>
      <c r="I56" s="4" t="s">
        <v>201</v>
      </c>
      <c r="J56" s="4" t="s">
        <v>18</v>
      </c>
      <c r="K56" s="4" t="s">
        <v>107</v>
      </c>
      <c r="L56" s="2"/>
      <c r="R56" s="2"/>
      <c r="S56" s="2"/>
      <c r="T56" s="2"/>
      <c r="U56" s="2"/>
    </row>
    <row r="57" ht="22.5" customHeight="1">
      <c r="A57" s="4" t="str">
        <f>IFERROR(__xludf.DUMMYFUNCTION("GOOGLETRANSLATE(G57, ""de"", ""en"")"),"56")</f>
        <v>56</v>
      </c>
      <c r="B57" s="4" t="str">
        <f>IFERROR(__xludf.DUMMYFUNCTION("GOOGLETRANSLATE(H57, ""de"", ""en"")"),"How long is a standard single-seat racing rowing boat?")</f>
        <v>How long is a standard single-seat racing rowing boat?</v>
      </c>
      <c r="C57" s="4" t="s">
        <v>202</v>
      </c>
      <c r="D57" s="4" t="str">
        <f>IFERROR(__xludf.DUMMYFUNCTION("GOOGLETRANSLATE(J57, ""de"", ""en"")"),"8.2 meters")</f>
        <v>8.2 meters</v>
      </c>
      <c r="E57" s="4" t="str">
        <f>IFERROR(__xludf.DUMMYFUNCTION("GOOGLETRANSLATE(K57, ""de"", ""en"")"),"A standard model is 8.2 meters long.")</f>
        <v>A standard model is 8.2 meters long.</v>
      </c>
      <c r="F57" s="2"/>
      <c r="G57" s="5">
        <v>56.0</v>
      </c>
      <c r="H57" s="4" t="s">
        <v>203</v>
      </c>
      <c r="I57" s="4" t="s">
        <v>204</v>
      </c>
      <c r="J57" s="4" t="s">
        <v>63</v>
      </c>
      <c r="K57" s="4" t="s">
        <v>205</v>
      </c>
      <c r="L57" s="2"/>
      <c r="R57" s="2"/>
      <c r="S57" s="2"/>
      <c r="T57" s="2"/>
      <c r="U57" s="2"/>
    </row>
    <row r="58" ht="22.5" customHeight="1">
      <c r="A58" s="4" t="str">
        <f>IFERROR(__xludf.DUMMYFUNCTION("GOOGLETRANSLATE(G58, ""de"", ""en"")"),"57")</f>
        <v>57</v>
      </c>
      <c r="B58" s="4" t="str">
        <f>IFERROR(__xludf.DUMMYFUNCTION("GOOGLETRANSLATE(H58, ""de"", ""en"")"),"How many rowers are in a coxless four?")</f>
        <v>How many rowers are in a coxless four?</v>
      </c>
      <c r="C58" s="4" t="s">
        <v>206</v>
      </c>
      <c r="D58" s="4" t="str">
        <f>IFERROR(__xludf.DUMMYFUNCTION("GOOGLETRANSLATE(J58, ""de"", ""en"")"),"Four")</f>
        <v>Four</v>
      </c>
      <c r="E58" s="4" t="str">
        <f>IFERROR(__xludf.DUMMYFUNCTION("GOOGLETRANSLATE(K58, ""de"", ""en"")"),"A coxless four has four rowers.")</f>
        <v>A coxless four has four rowers.</v>
      </c>
      <c r="F58" s="2"/>
      <c r="G58" s="5">
        <v>57.0</v>
      </c>
      <c r="H58" s="4" t="s">
        <v>207</v>
      </c>
      <c r="I58" s="4" t="s">
        <v>208</v>
      </c>
      <c r="J58" s="4" t="s">
        <v>140</v>
      </c>
      <c r="K58" s="4" t="s">
        <v>209</v>
      </c>
      <c r="L58" s="2"/>
      <c r="R58" s="2"/>
      <c r="S58" s="2"/>
      <c r="T58" s="2"/>
      <c r="U58" s="2"/>
    </row>
    <row r="59" ht="22.5" customHeight="1">
      <c r="A59" s="4" t="str">
        <f>IFERROR(__xludf.DUMMYFUNCTION("GOOGLETRANSLATE(G59, ""de"", ""en"")"),"58")</f>
        <v>58</v>
      </c>
      <c r="B59" s="4" t="str">
        <f>IFERROR(__xludf.DUMMYFUNCTION("GOOGLETRANSLATE(H59, ""de"", ""en"")"),"What happens if a boat sails over the marker buoys?")</f>
        <v>What happens if a boat sails over the marker buoys?</v>
      </c>
      <c r="C59" s="4" t="s">
        <v>210</v>
      </c>
      <c r="D59" s="4" t="str">
        <f>IFERROR(__xludf.DUMMYFUNCTION("GOOGLETRANSLATE(J59, ""de"", ""en"")"),"disqualification")</f>
        <v>disqualification</v>
      </c>
      <c r="E59" s="4" t="str">
        <f>IFERROR(__xludf.DUMMYFUNCTION("GOOGLETRANSLATE(K59, ""de"", ""en"")"),"Driving over the marker buoys will result in disqualification.")</f>
        <v>Driving over the marker buoys will result in disqualification.</v>
      </c>
      <c r="F59" s="2"/>
      <c r="G59" s="5">
        <v>58.0</v>
      </c>
      <c r="H59" s="4" t="s">
        <v>211</v>
      </c>
      <c r="I59" s="4" t="s">
        <v>212</v>
      </c>
      <c r="J59" s="4" t="s">
        <v>48</v>
      </c>
      <c r="K59" s="4" t="s">
        <v>213</v>
      </c>
      <c r="L59" s="2"/>
      <c r="R59" s="2"/>
      <c r="S59" s="2"/>
      <c r="T59" s="2"/>
      <c r="U59" s="2"/>
    </row>
    <row r="60" ht="22.5" customHeight="1">
      <c r="A60" s="4" t="str">
        <f>IFERROR(__xludf.DUMMYFUNCTION("GOOGLETRANSLATE(G60, ""de"", ""en"")"),"59")</f>
        <v>59</v>
      </c>
      <c r="B60" s="4" t="str">
        <f>IFERROR(__xludf.DUMMYFUNCTION("GOOGLETRANSLATE(H60, ""de"", ""en"")"),"What is called ""sculling""?")</f>
        <v>What is called "sculling"?</v>
      </c>
      <c r="C60" s="4" t="s">
        <v>214</v>
      </c>
      <c r="D60" s="4" t="str">
        <f>IFERROR(__xludf.DUMMYFUNCTION("GOOGLETRANSLATE(J60, ""de"", ""en"")"),"Rowing with two oars")</f>
        <v>Rowing with two oars</v>
      </c>
      <c r="E60" s="4" t="str">
        <f>IFERROR(__xludf.DUMMYFUNCTION("GOOGLETRANSLATE(K60, ""de"", ""en"")"),"In rowing, the rower uses two oars.")</f>
        <v>In rowing, the rower uses two oars.</v>
      </c>
      <c r="F60" s="2"/>
      <c r="G60" s="5">
        <v>59.0</v>
      </c>
      <c r="H60" s="4" t="s">
        <v>215</v>
      </c>
      <c r="I60" s="4" t="s">
        <v>216</v>
      </c>
      <c r="J60" s="4" t="s">
        <v>217</v>
      </c>
      <c r="K60" s="4" t="s">
        <v>218</v>
      </c>
      <c r="L60" s="2"/>
      <c r="R60" s="2"/>
      <c r="S60" s="2"/>
      <c r="T60" s="2"/>
      <c r="U60" s="2"/>
    </row>
    <row r="61" ht="22.5" customHeight="1">
      <c r="A61" s="4" t="str">
        <f>IFERROR(__xludf.DUMMYFUNCTION("GOOGLETRANSLATE(G61, ""de"", ""en"")"),"60")</f>
        <v>60</v>
      </c>
      <c r="B61" s="4" t="str">
        <f>IFERROR(__xludf.DUMMYFUNCTION("GOOGLETRANSLATE(H61, ""de"", ""en"")"),"What are the seats in a rowing boat called?")</f>
        <v>What are the seats in a rowing boat called?</v>
      </c>
      <c r="C61" s="4" t="s">
        <v>219</v>
      </c>
      <c r="D61" s="4" t="str">
        <f>IFERROR(__xludf.DUMMYFUNCTION("GOOGLETRANSLATE(J61, ""de"", ""en"")"),"Wheelchairs")</f>
        <v>Wheelchairs</v>
      </c>
      <c r="E61" s="4" t="str">
        <f>IFERROR(__xludf.DUMMYFUNCTION("GOOGLETRANSLATE(K61, ""de"", ""en"")"),"The seats in the rowing boat are sliding seats that can be moved.")</f>
        <v>The seats in the rowing boat are sliding seats that can be moved.</v>
      </c>
      <c r="F61" s="2"/>
      <c r="G61" s="5">
        <v>60.0</v>
      </c>
      <c r="H61" s="4" t="s">
        <v>220</v>
      </c>
      <c r="I61" s="4" t="s">
        <v>221</v>
      </c>
      <c r="J61" s="4" t="s">
        <v>222</v>
      </c>
      <c r="K61" s="4" t="s">
        <v>223</v>
      </c>
      <c r="L61" s="2"/>
      <c r="R61" s="2"/>
      <c r="S61" s="2"/>
      <c r="T61" s="2"/>
      <c r="U61" s="2"/>
    </row>
    <row r="62" ht="22.5" customHeight="1">
      <c r="A62" s="4" t="str">
        <f>IFERROR(__xludf.DUMMYFUNCTION("GOOGLETRANSLATE(G62, ""de"", ""en"")"),"61")</f>
        <v>61</v>
      </c>
      <c r="B62" s="4" t="str">
        <f>IFERROR(__xludf.DUMMYFUNCTION("GOOGLETRANSLATE(H62, ""de"", ""en"")"),"What does it mean when a race is decided ""by time""?")</f>
        <v>What does it mean when a race is decided "by time"?</v>
      </c>
      <c r="C62" s="4" t="s">
        <v>224</v>
      </c>
      <c r="D62" s="4" t="str">
        <f>IFERROR(__xludf.DUMMYFUNCTION("GOOGLETRANSLATE(J62, ""de"", ""en"")"),"The fastest boat wins.")</f>
        <v>The fastest boat wins.</v>
      </c>
      <c r="E62" s="4" t="str">
        <f>IFERROR(__xludf.DUMMYFUNCTION("GOOGLETRANSLATE(K62, ""de"", ""en"")"),"In a time trial, the fastest boat wins.")</f>
        <v>In a time trial, the fastest boat wins.</v>
      </c>
      <c r="F62" s="2"/>
      <c r="G62" s="5">
        <v>61.0</v>
      </c>
      <c r="H62" s="4" t="s">
        <v>225</v>
      </c>
      <c r="I62" s="4" t="s">
        <v>226</v>
      </c>
      <c r="J62" s="4" t="s">
        <v>227</v>
      </c>
      <c r="K62" s="4" t="s">
        <v>228</v>
      </c>
      <c r="L62" s="2"/>
      <c r="R62" s="2"/>
      <c r="S62" s="2"/>
      <c r="T62" s="2"/>
      <c r="U62" s="2"/>
    </row>
    <row r="63" ht="22.5" customHeight="1">
      <c r="A63" s="4" t="str">
        <f>IFERROR(__xludf.DUMMYFUNCTION("GOOGLETRANSLATE(G63, ""de"", ""en"")"),"62")</f>
        <v>62</v>
      </c>
      <c r="B63" s="4" t="str">
        <f>IFERROR(__xludf.DUMMYFUNCTION("GOOGLETRANSLATE(H63, ""de"", ""en"")"),"How many oars does a rower have, not including a pair?")</f>
        <v>How many oars does a rower have, not including a pair?</v>
      </c>
      <c r="C63" s="4" t="s">
        <v>229</v>
      </c>
      <c r="D63" s="4" t="str">
        <f>IFERROR(__xludf.DUMMYFUNCTION("GOOGLETRANSLATE(J63, ""de"", ""en"")"),"A")</f>
        <v>A</v>
      </c>
      <c r="E63" s="4" t="str">
        <f>IFERROR(__xludf.DUMMYFUNCTION("GOOGLETRANSLATE(K63, ""de"", ""en"")"),"In a pair without oars, each rower has only one oar.")</f>
        <v>In a pair without oars, each rower has only one oar.</v>
      </c>
      <c r="F63" s="2"/>
      <c r="G63" s="5">
        <v>62.0</v>
      </c>
      <c r="H63" s="4" t="s">
        <v>230</v>
      </c>
      <c r="I63" s="4" t="s">
        <v>231</v>
      </c>
      <c r="J63" s="4" t="s">
        <v>232</v>
      </c>
      <c r="K63" s="4" t="s">
        <v>233</v>
      </c>
      <c r="L63" s="2"/>
      <c r="R63" s="2"/>
      <c r="S63" s="2"/>
      <c r="T63" s="2"/>
      <c r="U63" s="2"/>
    </row>
    <row r="64" ht="22.5" customHeight="1">
      <c r="A64" s="4" t="str">
        <f>IFERROR(__xludf.DUMMYFUNCTION("GOOGLETRANSLATE(G64, ""de"", ""en"")"),"63")</f>
        <v>63</v>
      </c>
      <c r="B64" s="4" t="str">
        <f>IFERROR(__xludf.DUMMYFUNCTION("GOOGLETRANSLATE(H64, ""de"", ""en"")"),"What is checked on a checkweigher?")</f>
        <v>What is checked on a checkweigher?</v>
      </c>
      <c r="C64" s="4" t="s">
        <v>234</v>
      </c>
      <c r="D64" s="4" t="str">
        <f>IFERROR(__xludf.DUMMYFUNCTION("GOOGLETRANSLATE(J64, ""de"", ""en"")"),"The weight of the rowers")</f>
        <v>The weight of the rowers</v>
      </c>
      <c r="E64" s="4" t="str">
        <f>IFERROR(__xludf.DUMMYFUNCTION("GOOGLETRANSLATE(K64, ""de"", ""en"")"),"The weight of the rowers is checked on the control scale.")</f>
        <v>The weight of the rowers is checked on the control scale.</v>
      </c>
      <c r="F64" s="2"/>
      <c r="G64" s="5">
        <v>63.0</v>
      </c>
      <c r="H64" s="4" t="s">
        <v>235</v>
      </c>
      <c r="I64" s="4" t="s">
        <v>236</v>
      </c>
      <c r="J64" s="4" t="s">
        <v>237</v>
      </c>
      <c r="K64" s="4" t="s">
        <v>238</v>
      </c>
      <c r="L64" s="2"/>
      <c r="R64" s="2"/>
      <c r="S64" s="2"/>
      <c r="T64" s="2"/>
      <c r="U64" s="2"/>
    </row>
    <row r="65" ht="22.5" customHeight="1">
      <c r="A65" s="4" t="str">
        <f>IFERROR(__xludf.DUMMYFUNCTION("GOOGLETRANSLATE(G65, ""de"", ""en"")"),"64")</f>
        <v>64</v>
      </c>
      <c r="B65" s="4" t="str">
        <f>IFERROR(__xludf.DUMMYFUNCTION("GOOGLETRANSLATE(H65, ""de"", ""en"")"),"What material is commonly used for racing rowing boats nowadays?")</f>
        <v>What material is commonly used for racing rowing boats nowadays?</v>
      </c>
      <c r="C65" s="4" t="s">
        <v>239</v>
      </c>
      <c r="D65" s="4" t="str">
        <f>IFERROR(__xludf.DUMMYFUNCTION("GOOGLETRANSLATE(J65, ""de"", ""en"")"),"carbon fiber")</f>
        <v>carbon fiber</v>
      </c>
      <c r="E65" s="4" t="str">
        <f>IFERROR(__xludf.DUMMYFUNCTION("GOOGLETRANSLATE(K65, ""de"", ""en"")"),"Racing rowing boats are usually made of carbon fiber.")</f>
        <v>Racing rowing boats are usually made of carbon fiber.</v>
      </c>
      <c r="F65" s="2"/>
      <c r="G65" s="5">
        <v>64.0</v>
      </c>
      <c r="H65" s="4" t="s">
        <v>240</v>
      </c>
      <c r="I65" s="4" t="s">
        <v>241</v>
      </c>
      <c r="J65" s="4" t="s">
        <v>242</v>
      </c>
      <c r="K65" s="4" t="s">
        <v>243</v>
      </c>
      <c r="L65" s="2"/>
      <c r="R65" s="2"/>
      <c r="S65" s="2"/>
      <c r="T65" s="2"/>
      <c r="U65" s="2"/>
    </row>
    <row r="66" ht="22.5" customHeight="1">
      <c r="A66" s="4" t="str">
        <f>IFERROR(__xludf.DUMMYFUNCTION("GOOGLETRANSLATE(G66, ""de"", ""en"")"),"65")</f>
        <v>65</v>
      </c>
      <c r="B66" s="4" t="str">
        <f>IFERROR(__xludf.DUMMYFUNCTION("GOOGLETRANSLATE(H66, ""de"", ""en"")"),"What is the role of the batsman?")</f>
        <v>What is the role of the batsman?</v>
      </c>
      <c r="C66" s="4" t="s">
        <v>244</v>
      </c>
      <c r="D66" s="4" t="str">
        <f>IFERROR(__xludf.DUMMYFUNCTION("GOOGLETRANSLATE(J66, ""de"", ""en"")"),"Set the pace")</f>
        <v>Set the pace</v>
      </c>
      <c r="E66" s="4" t="str">
        <f>IFERROR(__xludf.DUMMYFUNCTION("GOOGLETRANSLATE(K66, ""de"", ""en"")"),"The stroke sets the pace for the team.")</f>
        <v>The stroke sets the pace for the team.</v>
      </c>
      <c r="F66" s="2"/>
      <c r="G66" s="5">
        <v>65.0</v>
      </c>
      <c r="H66" s="4" t="s">
        <v>245</v>
      </c>
      <c r="I66" s="4" t="s">
        <v>246</v>
      </c>
      <c r="J66" s="4" t="s">
        <v>247</v>
      </c>
      <c r="K66" s="4" t="s">
        <v>103</v>
      </c>
      <c r="L66" s="2"/>
      <c r="R66" s="2"/>
      <c r="S66" s="2"/>
      <c r="T66" s="2"/>
      <c r="U66" s="2"/>
    </row>
    <row r="67" ht="22.5" customHeight="1">
      <c r="A67" s="4" t="str">
        <f>IFERROR(__xludf.DUMMYFUNCTION("GOOGLETRANSLATE(G67, ""de"", ""en"")"),"66")</f>
        <v>66</v>
      </c>
      <c r="B67" s="4" t="str">
        <f>IFERROR(__xludf.DUMMYFUNCTION("GOOGLETRANSLATE(H67, ""de"", ""en"")"),"How many people can fit in a figure eight?")</f>
        <v>How many people can fit in a figure eight?</v>
      </c>
      <c r="C67" s="4" t="s">
        <v>248</v>
      </c>
      <c r="D67" s="4" t="str">
        <f>IFERROR(__xludf.DUMMYFUNCTION("GOOGLETRANSLATE(J67, ""de"", ""en"")"),"Nine")</f>
        <v>Nine</v>
      </c>
      <c r="E67" s="4" t="str">
        <f>IFERROR(__xludf.DUMMYFUNCTION("GOOGLETRANSLATE(K67, ""de"", ""en"")"),"A figure eight has eight rowers and one coxswain.")</f>
        <v>A figure eight has eight rowers and one coxswain.</v>
      </c>
      <c r="F67" s="2"/>
      <c r="G67" s="5">
        <v>66.0</v>
      </c>
      <c r="H67" s="4" t="s">
        <v>249</v>
      </c>
      <c r="I67" s="4" t="s">
        <v>250</v>
      </c>
      <c r="J67" s="4" t="s">
        <v>251</v>
      </c>
      <c r="K67" s="4" t="s">
        <v>252</v>
      </c>
      <c r="L67" s="2"/>
      <c r="R67" s="2"/>
      <c r="S67" s="2"/>
      <c r="T67" s="2"/>
      <c r="U67" s="2"/>
    </row>
    <row r="68" ht="22.5" customHeight="1">
      <c r="A68" s="4" t="str">
        <f>IFERROR(__xludf.DUMMYFUNCTION("GOOGLETRANSLATE(G68, ""de"", ""en"")"),"67")</f>
        <v>67</v>
      </c>
      <c r="B68" s="4" t="str">
        <f>IFERROR(__xludf.DUMMYFUNCTION("GOOGLETRANSLATE(H68, ""de"", ""en"")"),"What happens if you start early?")</f>
        <v>What happens if you start early?</v>
      </c>
      <c r="C68" s="4" t="s">
        <v>253</v>
      </c>
      <c r="D68" s="4" t="str">
        <f>IFERROR(__xludf.DUMMYFUNCTION("GOOGLETRANSLATE(J68, ""de"", ""en"")"),"Time penalty")</f>
        <v>Time penalty</v>
      </c>
      <c r="E68" s="4" t="str">
        <f>IFERROR(__xludf.DUMMYFUNCTION("GOOGLETRANSLATE(K68, ""de"", ""en"")"),"An early start will be penalized with a time penalty.")</f>
        <v>An early start will be penalized with a time penalty.</v>
      </c>
      <c r="F68" s="2"/>
      <c r="G68" s="5">
        <v>67.0</v>
      </c>
      <c r="H68" s="4" t="s">
        <v>254</v>
      </c>
      <c r="I68" s="4" t="s">
        <v>255</v>
      </c>
      <c r="J68" s="4" t="s">
        <v>18</v>
      </c>
      <c r="K68" s="4" t="s">
        <v>107</v>
      </c>
      <c r="L68" s="2"/>
      <c r="R68" s="2"/>
      <c r="S68" s="2"/>
      <c r="T68" s="2"/>
      <c r="U68" s="2"/>
    </row>
    <row r="69" ht="22.5" customHeight="1">
      <c r="A69" s="4" t="str">
        <f>IFERROR(__xludf.DUMMYFUNCTION("GOOGLETRANSLATE(G69, ""de"", ""en"")"),"68")</f>
        <v>68</v>
      </c>
      <c r="B69" s="4" t="str">
        <f>IFERROR(__xludf.DUMMYFUNCTION("GOOGLETRANSLATE(H69, ""de"", ""en"")"),"What is a ""hook"" in rowing?")</f>
        <v>What is a "hook" in rowing?</v>
      </c>
      <c r="C69" s="4" t="s">
        <v>256</v>
      </c>
      <c r="D69" s="4" t="str">
        <f>IFERROR(__xludf.DUMMYFUNCTION("GOOGLETRANSLATE(J69, ""de"", ""en"")"),"The moment the rudder enters the water")</f>
        <v>The moment the rudder enters the water</v>
      </c>
      <c r="E69" s="4" t="str">
        <f>IFERROR(__xludf.DUMMYFUNCTION("GOOGLETRANSLATE(K69, ""de"", ""en"")"),"The catch is the moment when the oar enters the water.")</f>
        <v>The catch is the moment when the oar enters the water.</v>
      </c>
      <c r="F69" s="2"/>
      <c r="G69" s="5">
        <v>68.0</v>
      </c>
      <c r="H69" s="4" t="s">
        <v>257</v>
      </c>
      <c r="I69" s="4" t="s">
        <v>258</v>
      </c>
      <c r="J69" s="4" t="s">
        <v>259</v>
      </c>
      <c r="K69" s="4" t="s">
        <v>260</v>
      </c>
      <c r="L69" s="2"/>
      <c r="R69" s="2"/>
      <c r="S69" s="2"/>
      <c r="T69" s="2"/>
      <c r="U69" s="2"/>
    </row>
    <row r="70" ht="22.5" customHeight="1">
      <c r="A70" s="4" t="str">
        <f>IFERROR(__xludf.DUMMYFUNCTION("GOOGLETRANSLATE(G70, ""de"", ""en"")"),"69")</f>
        <v>69</v>
      </c>
      <c r="B70" s="4" t="str">
        <f>IFERROR(__xludf.DUMMYFUNCTION("GOOGLETRANSLATE(H70, ""de"", ""en"")"),"What distance is typically used in international rowing competitions?")</f>
        <v>What distance is typically used in international rowing competitions?</v>
      </c>
      <c r="C70" s="4" t="s">
        <v>113</v>
      </c>
      <c r="D70" s="4" t="str">
        <f>IFERROR(__xludf.DUMMYFUNCTION("GOOGLETRANSLATE(J70, ""de"", ""en"")"),"2000 meters")</f>
        <v>2000 meters</v>
      </c>
      <c r="E70" s="4" t="str">
        <f>IFERROR(__xludf.DUMMYFUNCTION("GOOGLETRANSLATE(K70, ""de"", ""en"")"),"The standard distance is 2000 meters.")</f>
        <v>The standard distance is 2000 meters.</v>
      </c>
      <c r="F70" s="2"/>
      <c r="G70" s="5">
        <v>69.0</v>
      </c>
      <c r="H70" s="4" t="s">
        <v>261</v>
      </c>
      <c r="I70" s="4" t="s">
        <v>115</v>
      </c>
      <c r="J70" s="4" t="s">
        <v>116</v>
      </c>
      <c r="K70" s="4" t="s">
        <v>136</v>
      </c>
      <c r="L70" s="2"/>
      <c r="R70" s="2"/>
      <c r="S70" s="2"/>
      <c r="T70" s="2"/>
      <c r="U70" s="2"/>
    </row>
    <row r="71">
      <c r="A71" s="2"/>
      <c r="B71" s="2"/>
      <c r="C71" s="2"/>
      <c r="D71" s="2"/>
      <c r="E71" s="2"/>
      <c r="F71" s="2"/>
      <c r="G71" s="2"/>
      <c r="H71" s="2"/>
      <c r="I71" s="2"/>
      <c r="J71" s="2"/>
      <c r="K71" s="2"/>
      <c r="L71" s="2"/>
      <c r="M71" s="2"/>
      <c r="N71" s="2"/>
      <c r="O71" s="2"/>
      <c r="P71" s="2"/>
      <c r="Q71" s="2"/>
      <c r="R71" s="2"/>
      <c r="S71" s="2"/>
      <c r="T71" s="2"/>
      <c r="U71" s="2"/>
    </row>
    <row r="72">
      <c r="A72" s="2"/>
      <c r="B72" s="2"/>
      <c r="C72" s="2"/>
      <c r="D72" s="2"/>
      <c r="E72" s="2"/>
      <c r="F72" s="2"/>
      <c r="G72" s="2"/>
      <c r="H72" s="2"/>
      <c r="I72" s="2"/>
      <c r="J72" s="2"/>
      <c r="K72" s="2"/>
      <c r="L72" s="2"/>
      <c r="M72" s="2"/>
      <c r="N72" s="2"/>
      <c r="O72" s="2"/>
      <c r="P72" s="2"/>
      <c r="Q72" s="2"/>
      <c r="R72" s="2"/>
      <c r="S72" s="2"/>
      <c r="T72" s="2"/>
      <c r="U72" s="2"/>
    </row>
    <row r="73">
      <c r="A73" s="2"/>
      <c r="B73" s="2"/>
      <c r="C73" s="2"/>
      <c r="D73" s="2"/>
      <c r="E73" s="2"/>
      <c r="F73" s="2"/>
      <c r="G73" s="2"/>
      <c r="H73" s="2"/>
      <c r="I73" s="2"/>
      <c r="J73" s="2"/>
      <c r="K73" s="2"/>
      <c r="L73" s="2"/>
      <c r="M73" s="2"/>
      <c r="N73" s="2"/>
      <c r="O73" s="2"/>
      <c r="P73" s="2"/>
      <c r="Q73" s="2"/>
      <c r="R73" s="2"/>
      <c r="S73" s="2"/>
      <c r="T73" s="2"/>
      <c r="U73" s="2"/>
    </row>
    <row r="74">
      <c r="A74" s="2"/>
      <c r="B74" s="2"/>
      <c r="C74" s="2"/>
      <c r="D74" s="2"/>
      <c r="E74" s="2"/>
      <c r="F74" s="2"/>
      <c r="G74" s="2"/>
      <c r="H74" s="2"/>
      <c r="I74" s="2"/>
      <c r="J74" s="2"/>
      <c r="K74" s="2"/>
      <c r="L74" s="2"/>
      <c r="M74" s="2"/>
      <c r="N74" s="2"/>
      <c r="O74" s="2"/>
      <c r="P74" s="2"/>
      <c r="Q74" s="2"/>
      <c r="R74" s="2"/>
      <c r="S74" s="2"/>
      <c r="T74" s="2"/>
      <c r="U74" s="2"/>
    </row>
    <row r="75">
      <c r="A75" s="2"/>
      <c r="B75" s="2"/>
      <c r="C75" s="2"/>
      <c r="D75" s="2"/>
      <c r="E75" s="2"/>
      <c r="F75" s="2"/>
      <c r="G75" s="2"/>
      <c r="H75" s="2"/>
      <c r="I75" s="2"/>
      <c r="J75" s="2"/>
      <c r="K75" s="2"/>
      <c r="L75" s="2"/>
      <c r="M75" s="2"/>
      <c r="N75" s="2"/>
      <c r="O75" s="2"/>
      <c r="P75" s="2"/>
      <c r="Q75" s="2"/>
      <c r="R75" s="2"/>
      <c r="S75" s="2"/>
      <c r="T75" s="2"/>
      <c r="U75" s="2"/>
    </row>
    <row r="76">
      <c r="A76" s="2"/>
      <c r="B76" s="2"/>
      <c r="C76" s="2"/>
      <c r="D76" s="2"/>
      <c r="E76" s="2"/>
      <c r="F76" s="2"/>
      <c r="G76" s="2"/>
      <c r="H76" s="2"/>
      <c r="I76" s="2"/>
      <c r="J76" s="2"/>
      <c r="K76" s="2"/>
      <c r="L76" s="2"/>
      <c r="M76" s="2"/>
      <c r="N76" s="2"/>
      <c r="O76" s="2"/>
      <c r="P76" s="2"/>
      <c r="Q76" s="2"/>
      <c r="R76" s="2"/>
      <c r="S76" s="2"/>
      <c r="T76" s="2"/>
      <c r="U76" s="2"/>
    </row>
    <row r="77">
      <c r="A77" s="2"/>
      <c r="B77" s="2"/>
      <c r="C77" s="2"/>
      <c r="D77" s="2"/>
      <c r="E77" s="2"/>
      <c r="F77" s="2"/>
      <c r="G77" s="2"/>
      <c r="H77" s="2"/>
      <c r="I77" s="2"/>
      <c r="J77" s="2"/>
      <c r="K77" s="2"/>
      <c r="L77" s="2"/>
      <c r="M77" s="2"/>
      <c r="N77" s="2"/>
      <c r="O77" s="2"/>
      <c r="P77" s="2"/>
      <c r="Q77" s="2"/>
      <c r="R77" s="2"/>
      <c r="S77" s="2"/>
      <c r="T77" s="2"/>
      <c r="U77" s="2"/>
    </row>
    <row r="78">
      <c r="A78" s="2"/>
      <c r="B78" s="2"/>
      <c r="C78" s="2"/>
      <c r="D78" s="2"/>
      <c r="E78" s="2"/>
      <c r="F78" s="2"/>
      <c r="G78" s="2"/>
      <c r="H78" s="2"/>
      <c r="I78" s="2"/>
      <c r="J78" s="2"/>
      <c r="K78" s="2"/>
      <c r="L78" s="2"/>
      <c r="M78" s="2"/>
      <c r="N78" s="2"/>
      <c r="O78" s="2"/>
      <c r="P78" s="2"/>
      <c r="Q78" s="2"/>
      <c r="R78" s="2"/>
      <c r="S78" s="2"/>
      <c r="T78" s="2"/>
      <c r="U78" s="2"/>
    </row>
    <row r="79">
      <c r="A79" s="2"/>
      <c r="B79" s="2"/>
      <c r="C79" s="2"/>
      <c r="D79" s="2"/>
      <c r="E79" s="2"/>
      <c r="F79" s="2"/>
      <c r="G79" s="2"/>
      <c r="H79" s="2"/>
      <c r="I79" s="2"/>
      <c r="J79" s="2"/>
      <c r="K79" s="2"/>
      <c r="L79" s="2"/>
      <c r="M79" s="2"/>
      <c r="N79" s="2"/>
      <c r="O79" s="2"/>
      <c r="P79" s="2"/>
      <c r="Q79" s="2"/>
      <c r="R79" s="2"/>
      <c r="S79" s="2"/>
      <c r="T79" s="2"/>
      <c r="U79" s="2"/>
    </row>
    <row r="80">
      <c r="A80" s="2"/>
      <c r="B80" s="2"/>
      <c r="C80" s="2"/>
      <c r="D80" s="2"/>
      <c r="E80" s="2"/>
      <c r="F80" s="2"/>
      <c r="G80" s="2"/>
      <c r="H80" s="2"/>
      <c r="I80" s="2"/>
      <c r="J80" s="2"/>
      <c r="K80" s="2"/>
      <c r="L80" s="2"/>
      <c r="M80" s="2"/>
      <c r="N80" s="2"/>
      <c r="O80" s="2"/>
      <c r="P80" s="2"/>
      <c r="Q80" s="2"/>
      <c r="R80" s="2"/>
      <c r="S80" s="2"/>
      <c r="T80" s="2"/>
      <c r="U80" s="2"/>
    </row>
    <row r="81">
      <c r="A81" s="2"/>
      <c r="B81" s="2"/>
      <c r="C81" s="2"/>
      <c r="D81" s="2"/>
      <c r="E81" s="2"/>
      <c r="F81" s="2"/>
      <c r="G81" s="2"/>
      <c r="H81" s="2"/>
      <c r="I81" s="2"/>
      <c r="J81" s="2"/>
      <c r="K81" s="2"/>
      <c r="L81" s="2"/>
      <c r="M81" s="2"/>
      <c r="N81" s="2"/>
      <c r="O81" s="2"/>
      <c r="P81" s="2"/>
      <c r="Q81" s="2"/>
      <c r="R81" s="2"/>
      <c r="S81" s="2"/>
      <c r="T81" s="2"/>
      <c r="U81" s="2"/>
    </row>
    <row r="82">
      <c r="A82" s="2"/>
      <c r="B82" s="2"/>
      <c r="C82" s="2"/>
      <c r="D82" s="2"/>
      <c r="E82" s="2"/>
      <c r="F82" s="2"/>
      <c r="G82" s="2"/>
      <c r="H82" s="2"/>
      <c r="I82" s="2"/>
      <c r="J82" s="2"/>
      <c r="K82" s="2"/>
      <c r="L82" s="2"/>
      <c r="M82" s="2"/>
      <c r="N82" s="2"/>
      <c r="O82" s="2"/>
      <c r="P82" s="2"/>
      <c r="Q82" s="2"/>
      <c r="R82" s="2"/>
      <c r="S82" s="2"/>
      <c r="T82" s="2"/>
      <c r="U82" s="2"/>
    </row>
    <row r="83">
      <c r="A83" s="2"/>
      <c r="B83" s="2"/>
      <c r="C83" s="2"/>
      <c r="D83" s="2"/>
      <c r="E83" s="2"/>
      <c r="F83" s="2"/>
      <c r="G83" s="2"/>
      <c r="H83" s="2"/>
      <c r="I83" s="2"/>
      <c r="J83" s="2"/>
      <c r="K83" s="2"/>
      <c r="L83" s="2"/>
      <c r="M83" s="2"/>
      <c r="N83" s="2"/>
      <c r="O83" s="2"/>
      <c r="P83" s="2"/>
      <c r="Q83" s="2"/>
      <c r="R83" s="2"/>
      <c r="S83" s="2"/>
      <c r="T83" s="2"/>
      <c r="U83" s="2"/>
    </row>
    <row r="84">
      <c r="A84" s="2"/>
      <c r="B84" s="2"/>
      <c r="C84" s="2"/>
      <c r="D84" s="2"/>
      <c r="E84" s="2"/>
      <c r="F84" s="2"/>
      <c r="G84" s="2"/>
      <c r="H84" s="2"/>
      <c r="I84" s="2"/>
      <c r="J84" s="2"/>
      <c r="K84" s="2"/>
      <c r="L84" s="2"/>
      <c r="M84" s="2"/>
      <c r="N84" s="2"/>
      <c r="O84" s="2"/>
      <c r="P84" s="2"/>
      <c r="Q84" s="2"/>
      <c r="R84" s="2"/>
      <c r="S84" s="2"/>
      <c r="T84" s="2"/>
      <c r="U84" s="2"/>
    </row>
    <row r="85">
      <c r="A85" s="2"/>
      <c r="B85" s="2"/>
      <c r="C85" s="2"/>
      <c r="D85" s="2"/>
      <c r="E85" s="2"/>
      <c r="F85" s="2"/>
      <c r="G85" s="2"/>
      <c r="H85" s="2"/>
      <c r="I85" s="2"/>
      <c r="J85" s="2"/>
      <c r="K85" s="2"/>
      <c r="L85" s="2"/>
      <c r="M85" s="2"/>
      <c r="N85" s="2"/>
      <c r="O85" s="2"/>
      <c r="P85" s="2"/>
      <c r="Q85" s="2"/>
      <c r="R85" s="2"/>
      <c r="S85" s="2"/>
      <c r="T85" s="2"/>
      <c r="U85" s="2"/>
    </row>
    <row r="86">
      <c r="A86" s="2"/>
      <c r="B86" s="2"/>
      <c r="C86" s="2"/>
      <c r="D86" s="2"/>
      <c r="E86" s="2"/>
      <c r="F86" s="2"/>
      <c r="G86" s="2"/>
      <c r="H86" s="2"/>
      <c r="I86" s="2"/>
      <c r="J86" s="2"/>
      <c r="K86" s="2"/>
      <c r="L86" s="2"/>
      <c r="M86" s="2"/>
      <c r="N86" s="2"/>
      <c r="O86" s="2"/>
      <c r="P86" s="2"/>
      <c r="Q86" s="2"/>
      <c r="R86" s="2"/>
      <c r="S86" s="2"/>
      <c r="T86" s="2"/>
      <c r="U86" s="2"/>
    </row>
    <row r="87">
      <c r="A87" s="2"/>
      <c r="B87" s="2"/>
      <c r="C87" s="2"/>
      <c r="D87" s="2"/>
      <c r="E87" s="2"/>
      <c r="F87" s="2"/>
      <c r="G87" s="2"/>
      <c r="H87" s="2"/>
      <c r="I87" s="2"/>
      <c r="J87" s="2"/>
      <c r="K87" s="2"/>
      <c r="L87" s="2"/>
      <c r="M87" s="2"/>
      <c r="N87" s="2"/>
      <c r="O87" s="2"/>
      <c r="P87" s="2"/>
      <c r="Q87" s="2"/>
      <c r="R87" s="2"/>
      <c r="S87" s="2"/>
      <c r="T87" s="2"/>
      <c r="U87" s="2"/>
    </row>
    <row r="88">
      <c r="A88" s="2"/>
      <c r="B88" s="2"/>
      <c r="C88" s="2"/>
      <c r="D88" s="2"/>
      <c r="E88" s="2"/>
      <c r="F88" s="2"/>
      <c r="G88" s="2"/>
      <c r="H88" s="2"/>
      <c r="I88" s="2"/>
      <c r="J88" s="2"/>
      <c r="K88" s="2"/>
      <c r="L88" s="2"/>
      <c r="M88" s="2"/>
      <c r="N88" s="2"/>
      <c r="O88" s="2"/>
      <c r="P88" s="2"/>
      <c r="Q88" s="2"/>
      <c r="R88" s="2"/>
      <c r="S88" s="2"/>
      <c r="T88" s="2"/>
      <c r="U88" s="2"/>
    </row>
    <row r="89">
      <c r="A89" s="2"/>
      <c r="B89" s="2"/>
      <c r="C89" s="2"/>
      <c r="D89" s="2"/>
      <c r="E89" s="2"/>
      <c r="F89" s="2"/>
      <c r="G89" s="2"/>
      <c r="H89" s="2"/>
      <c r="I89" s="2"/>
      <c r="J89" s="2"/>
      <c r="K89" s="2"/>
      <c r="L89" s="2"/>
      <c r="M89" s="2"/>
      <c r="N89" s="2"/>
      <c r="O89" s="2"/>
      <c r="P89" s="2"/>
      <c r="Q89" s="2"/>
      <c r="R89" s="2"/>
      <c r="S89" s="2"/>
      <c r="T89" s="2"/>
      <c r="U89" s="2"/>
    </row>
    <row r="90">
      <c r="A90" s="2"/>
      <c r="B90" s="2"/>
      <c r="C90" s="2"/>
      <c r="D90" s="2"/>
      <c r="E90" s="2"/>
      <c r="F90" s="2"/>
      <c r="G90" s="2"/>
      <c r="H90" s="2"/>
      <c r="I90" s="2"/>
      <c r="J90" s="2"/>
      <c r="K90" s="2"/>
      <c r="L90" s="2"/>
      <c r="M90" s="2"/>
      <c r="N90" s="2"/>
      <c r="O90" s="2"/>
      <c r="P90" s="2"/>
      <c r="Q90" s="2"/>
      <c r="R90" s="2"/>
      <c r="S90" s="2"/>
      <c r="T90" s="2"/>
      <c r="U90" s="2"/>
    </row>
    <row r="91">
      <c r="A91" s="2"/>
      <c r="B91" s="2"/>
      <c r="C91" s="2"/>
      <c r="D91" s="2"/>
      <c r="E91" s="2"/>
      <c r="F91" s="2"/>
      <c r="G91" s="2"/>
      <c r="H91" s="2"/>
      <c r="I91" s="2"/>
      <c r="J91" s="2"/>
      <c r="K91" s="2"/>
      <c r="L91" s="2"/>
      <c r="M91" s="2"/>
      <c r="N91" s="2"/>
      <c r="O91" s="2"/>
      <c r="P91" s="2"/>
      <c r="Q91" s="2"/>
      <c r="R91" s="2"/>
      <c r="S91" s="2"/>
      <c r="T91" s="2"/>
      <c r="U91" s="2"/>
    </row>
    <row r="92">
      <c r="A92" s="2"/>
      <c r="B92" s="2"/>
      <c r="C92" s="2"/>
      <c r="D92" s="2"/>
      <c r="E92" s="2"/>
      <c r="F92" s="2"/>
      <c r="G92" s="2"/>
      <c r="H92" s="2"/>
      <c r="I92" s="2"/>
      <c r="J92" s="2"/>
      <c r="K92" s="2"/>
      <c r="L92" s="2"/>
      <c r="M92" s="2"/>
      <c r="N92" s="2"/>
      <c r="O92" s="2"/>
      <c r="P92" s="2"/>
      <c r="Q92" s="2"/>
      <c r="R92" s="2"/>
      <c r="S92" s="2"/>
      <c r="T92" s="2"/>
      <c r="U92" s="2"/>
    </row>
    <row r="93">
      <c r="A93" s="2"/>
      <c r="B93" s="2"/>
      <c r="C93" s="2"/>
      <c r="D93" s="2"/>
      <c r="E93" s="2"/>
      <c r="F93" s="2"/>
      <c r="G93" s="2"/>
      <c r="H93" s="2"/>
      <c r="I93" s="2"/>
      <c r="J93" s="2"/>
      <c r="K93" s="2"/>
      <c r="L93" s="2"/>
      <c r="M93" s="2"/>
      <c r="N93" s="2"/>
      <c r="O93" s="2"/>
      <c r="P93" s="2"/>
      <c r="Q93" s="2"/>
      <c r="R93" s="2"/>
      <c r="S93" s="2"/>
      <c r="T93" s="2"/>
      <c r="U93" s="2"/>
    </row>
    <row r="94">
      <c r="A94" s="2"/>
      <c r="B94" s="2"/>
      <c r="C94" s="2"/>
      <c r="D94" s="2"/>
      <c r="E94" s="2"/>
      <c r="F94" s="2"/>
      <c r="G94" s="2"/>
      <c r="H94" s="2"/>
      <c r="I94" s="2"/>
      <c r="J94" s="2"/>
      <c r="K94" s="2"/>
      <c r="L94" s="2"/>
      <c r="M94" s="2"/>
      <c r="N94" s="2"/>
      <c r="O94" s="2"/>
      <c r="P94" s="2"/>
      <c r="Q94" s="2"/>
      <c r="R94" s="2"/>
      <c r="S94" s="2"/>
      <c r="T94" s="2"/>
      <c r="U94" s="2"/>
    </row>
    <row r="95">
      <c r="A95" s="2"/>
      <c r="B95" s="2"/>
      <c r="C95" s="2"/>
      <c r="D95" s="2"/>
      <c r="E95" s="2"/>
      <c r="F95" s="2"/>
      <c r="G95" s="2"/>
      <c r="H95" s="2"/>
      <c r="I95" s="2"/>
      <c r="J95" s="2"/>
      <c r="K95" s="2"/>
      <c r="L95" s="2"/>
      <c r="M95" s="2"/>
      <c r="N95" s="2"/>
      <c r="O95" s="2"/>
      <c r="P95" s="2"/>
      <c r="Q95" s="2"/>
      <c r="R95" s="2"/>
      <c r="S95" s="2"/>
      <c r="T95" s="2"/>
      <c r="U95" s="2"/>
    </row>
    <row r="96">
      <c r="A96" s="2"/>
      <c r="B96" s="2"/>
      <c r="C96" s="2"/>
      <c r="D96" s="2"/>
      <c r="E96" s="2"/>
      <c r="F96" s="2"/>
      <c r="G96" s="2"/>
      <c r="H96" s="2"/>
      <c r="I96" s="2"/>
      <c r="J96" s="2"/>
      <c r="K96" s="2"/>
      <c r="L96" s="2"/>
      <c r="M96" s="2"/>
      <c r="N96" s="2"/>
      <c r="O96" s="2"/>
      <c r="P96" s="2"/>
      <c r="Q96" s="2"/>
      <c r="R96" s="2"/>
      <c r="S96" s="2"/>
      <c r="T96" s="2"/>
      <c r="U96" s="2"/>
    </row>
    <row r="97">
      <c r="A97" s="2"/>
      <c r="B97" s="2"/>
      <c r="C97" s="2"/>
      <c r="D97" s="2"/>
      <c r="E97" s="2"/>
      <c r="F97" s="2"/>
      <c r="G97" s="2"/>
      <c r="H97" s="2"/>
      <c r="I97" s="2"/>
      <c r="J97" s="2"/>
      <c r="K97" s="2"/>
      <c r="L97" s="2"/>
      <c r="M97" s="2"/>
      <c r="N97" s="2"/>
      <c r="O97" s="2"/>
      <c r="P97" s="2"/>
      <c r="Q97" s="2"/>
      <c r="R97" s="2"/>
      <c r="S97" s="2"/>
      <c r="T97" s="2"/>
      <c r="U97" s="2"/>
    </row>
    <row r="98">
      <c r="A98" s="2"/>
      <c r="B98" s="2"/>
      <c r="C98" s="2"/>
      <c r="D98" s="2"/>
      <c r="E98" s="2"/>
      <c r="F98" s="2"/>
      <c r="G98" s="2"/>
      <c r="H98" s="2"/>
      <c r="I98" s="2"/>
      <c r="J98" s="2"/>
      <c r="K98" s="2"/>
      <c r="L98" s="2"/>
      <c r="M98" s="2"/>
      <c r="N98" s="2"/>
      <c r="O98" s="2"/>
      <c r="P98" s="2"/>
      <c r="Q98" s="2"/>
      <c r="R98" s="2"/>
      <c r="S98" s="2"/>
      <c r="T98" s="2"/>
      <c r="U98" s="2"/>
    </row>
    <row r="99">
      <c r="A99" s="2"/>
      <c r="B99" s="2"/>
      <c r="C99" s="2"/>
      <c r="D99" s="2"/>
      <c r="E99" s="2"/>
      <c r="F99" s="2"/>
      <c r="G99" s="2"/>
      <c r="H99" s="2"/>
      <c r="I99" s="2"/>
      <c r="J99" s="2"/>
      <c r="K99" s="2"/>
      <c r="L99" s="2"/>
      <c r="M99" s="2"/>
      <c r="N99" s="2"/>
      <c r="O99" s="2"/>
      <c r="P99" s="2"/>
      <c r="Q99" s="2"/>
      <c r="R99" s="2"/>
      <c r="S99" s="2"/>
      <c r="T99" s="2"/>
      <c r="U99" s="2"/>
    </row>
    <row r="100">
      <c r="A100" s="2"/>
      <c r="B100" s="2"/>
      <c r="C100" s="2"/>
      <c r="D100" s="2"/>
      <c r="E100" s="2"/>
      <c r="F100" s="2"/>
      <c r="G100" s="2"/>
      <c r="H100" s="2"/>
      <c r="I100" s="2"/>
      <c r="J100" s="2"/>
      <c r="K100" s="2"/>
      <c r="L100" s="2"/>
      <c r="M100" s="2"/>
      <c r="N100" s="2"/>
      <c r="O100" s="2"/>
      <c r="P100" s="2"/>
      <c r="Q100" s="2"/>
      <c r="R100" s="2"/>
      <c r="S100" s="2"/>
      <c r="T100" s="2"/>
      <c r="U100" s="2"/>
    </row>
    <row r="101">
      <c r="A101" s="2"/>
      <c r="B101" s="2"/>
      <c r="C101" s="2"/>
      <c r="D101" s="2"/>
      <c r="E101" s="2"/>
      <c r="F101" s="2"/>
      <c r="G101" s="2"/>
      <c r="H101" s="2"/>
      <c r="I101" s="2"/>
      <c r="J101" s="2"/>
      <c r="K101" s="2"/>
      <c r="L101" s="2"/>
      <c r="M101" s="2"/>
      <c r="N101" s="2"/>
      <c r="O101" s="2"/>
      <c r="P101" s="2"/>
      <c r="Q101" s="2"/>
      <c r="R101" s="2"/>
      <c r="S101" s="2"/>
      <c r="T101" s="2"/>
      <c r="U101" s="2"/>
    </row>
    <row r="102">
      <c r="A102" s="2"/>
      <c r="B102" s="2"/>
      <c r="C102" s="2"/>
      <c r="D102" s="2"/>
      <c r="E102" s="2"/>
      <c r="F102" s="2"/>
      <c r="G102" s="2"/>
      <c r="H102" s="2"/>
      <c r="I102" s="2"/>
      <c r="J102" s="2"/>
      <c r="K102" s="2"/>
      <c r="L102" s="2"/>
      <c r="M102" s="2"/>
      <c r="N102" s="2"/>
      <c r="O102" s="2"/>
      <c r="P102" s="2"/>
      <c r="Q102" s="2"/>
      <c r="R102" s="2"/>
      <c r="S102" s="2"/>
      <c r="T102" s="2"/>
      <c r="U102" s="2"/>
    </row>
    <row r="103">
      <c r="A103" s="2"/>
      <c r="B103" s="2"/>
      <c r="C103" s="2"/>
      <c r="D103" s="2"/>
      <c r="E103" s="2"/>
      <c r="F103" s="2"/>
      <c r="G103" s="2"/>
      <c r="H103" s="2"/>
      <c r="I103" s="2"/>
      <c r="J103" s="2"/>
      <c r="K103" s="2"/>
      <c r="L103" s="2"/>
      <c r="M103" s="2"/>
      <c r="N103" s="2"/>
      <c r="O103" s="2"/>
      <c r="P103" s="2"/>
      <c r="Q103" s="2"/>
      <c r="R103" s="2"/>
      <c r="S103" s="2"/>
      <c r="T103" s="2"/>
      <c r="U103" s="2"/>
    </row>
    <row r="104">
      <c r="A104" s="2"/>
      <c r="B104" s="2"/>
      <c r="C104" s="2"/>
      <c r="D104" s="2"/>
      <c r="E104" s="2"/>
      <c r="F104" s="2"/>
      <c r="G104" s="2"/>
      <c r="H104" s="2"/>
      <c r="I104" s="2"/>
      <c r="J104" s="2"/>
      <c r="K104" s="2"/>
      <c r="L104" s="2"/>
      <c r="M104" s="2"/>
      <c r="N104" s="2"/>
      <c r="O104" s="2"/>
      <c r="P104" s="2"/>
      <c r="Q104" s="2"/>
      <c r="R104" s="2"/>
      <c r="S104" s="2"/>
      <c r="T104" s="2"/>
      <c r="U104" s="2"/>
    </row>
    <row r="105">
      <c r="A105" s="2"/>
      <c r="B105" s="2"/>
      <c r="C105" s="2"/>
      <c r="D105" s="2"/>
      <c r="E105" s="2"/>
      <c r="F105" s="2"/>
      <c r="G105" s="2"/>
      <c r="H105" s="2"/>
      <c r="I105" s="2"/>
      <c r="J105" s="2"/>
      <c r="K105" s="2"/>
      <c r="L105" s="2"/>
      <c r="M105" s="2"/>
      <c r="N105" s="2"/>
      <c r="O105" s="2"/>
      <c r="P105" s="2"/>
      <c r="Q105" s="2"/>
      <c r="R105" s="2"/>
      <c r="S105" s="2"/>
      <c r="T105" s="2"/>
      <c r="U105" s="2"/>
    </row>
    <row r="106">
      <c r="A106" s="2"/>
      <c r="B106" s="2"/>
      <c r="C106" s="2"/>
      <c r="D106" s="2"/>
      <c r="E106" s="2"/>
      <c r="F106" s="2"/>
      <c r="G106" s="2"/>
      <c r="H106" s="2"/>
      <c r="I106" s="2"/>
      <c r="J106" s="2"/>
      <c r="K106" s="2"/>
      <c r="L106" s="2"/>
      <c r="M106" s="2"/>
      <c r="N106" s="2"/>
      <c r="O106" s="2"/>
      <c r="P106" s="2"/>
      <c r="Q106" s="2"/>
      <c r="R106" s="2"/>
      <c r="S106" s="2"/>
      <c r="T106" s="2"/>
      <c r="U106" s="2"/>
    </row>
    <row r="107">
      <c r="A107" s="2"/>
      <c r="B107" s="2"/>
      <c r="C107" s="2"/>
      <c r="D107" s="2"/>
      <c r="E107" s="2"/>
      <c r="F107" s="2"/>
      <c r="G107" s="2"/>
      <c r="H107" s="2"/>
      <c r="I107" s="2"/>
      <c r="J107" s="2"/>
      <c r="K107" s="2"/>
      <c r="L107" s="2"/>
      <c r="M107" s="2"/>
      <c r="N107" s="2"/>
      <c r="O107" s="2"/>
      <c r="P107" s="2"/>
      <c r="Q107" s="2"/>
      <c r="R107" s="2"/>
      <c r="S107" s="2"/>
      <c r="T107" s="2"/>
      <c r="U107" s="2"/>
    </row>
    <row r="108">
      <c r="A108" s="2"/>
      <c r="B108" s="2"/>
      <c r="C108" s="2"/>
      <c r="D108" s="2"/>
      <c r="E108" s="2"/>
      <c r="F108" s="2"/>
      <c r="G108" s="2"/>
      <c r="H108" s="2"/>
      <c r="I108" s="2"/>
      <c r="J108" s="2"/>
      <c r="K108" s="2"/>
      <c r="L108" s="2"/>
      <c r="M108" s="2"/>
      <c r="N108" s="2"/>
      <c r="O108" s="2"/>
      <c r="P108" s="2"/>
      <c r="Q108" s="2"/>
      <c r="R108" s="2"/>
      <c r="S108" s="2"/>
      <c r="T108" s="2"/>
      <c r="U108" s="2"/>
    </row>
    <row r="109">
      <c r="A109" s="2"/>
      <c r="B109" s="2"/>
      <c r="C109" s="2"/>
      <c r="D109" s="2"/>
      <c r="E109" s="2"/>
      <c r="F109" s="2"/>
      <c r="G109" s="2"/>
      <c r="H109" s="2"/>
      <c r="I109" s="2"/>
      <c r="J109" s="2"/>
      <c r="K109" s="2"/>
      <c r="L109" s="2"/>
      <c r="M109" s="2"/>
      <c r="N109" s="2"/>
      <c r="O109" s="2"/>
      <c r="P109" s="2"/>
      <c r="Q109" s="2"/>
      <c r="R109" s="2"/>
      <c r="S109" s="2"/>
      <c r="T109" s="2"/>
      <c r="U109" s="2"/>
    </row>
    <row r="110">
      <c r="A110" s="2"/>
      <c r="B110" s="2"/>
      <c r="C110" s="2"/>
      <c r="D110" s="2"/>
      <c r="E110" s="2"/>
      <c r="F110" s="2"/>
      <c r="G110" s="2"/>
      <c r="H110" s="2"/>
      <c r="I110" s="2"/>
      <c r="J110" s="2"/>
      <c r="K110" s="2"/>
      <c r="L110" s="2"/>
      <c r="M110" s="2"/>
      <c r="N110" s="2"/>
      <c r="O110" s="2"/>
      <c r="P110" s="2"/>
      <c r="Q110" s="2"/>
      <c r="R110" s="2"/>
      <c r="S110" s="2"/>
      <c r="T110" s="2"/>
      <c r="U110" s="2"/>
    </row>
    <row r="111">
      <c r="A111" s="2"/>
      <c r="B111" s="2"/>
      <c r="C111" s="2"/>
      <c r="D111" s="2"/>
      <c r="E111" s="2"/>
      <c r="F111" s="2"/>
      <c r="G111" s="2"/>
      <c r="H111" s="2"/>
      <c r="I111" s="2"/>
      <c r="J111" s="2"/>
      <c r="K111" s="2"/>
      <c r="L111" s="2"/>
      <c r="M111" s="2"/>
      <c r="N111" s="2"/>
      <c r="O111" s="2"/>
      <c r="P111" s="2"/>
      <c r="Q111" s="2"/>
      <c r="R111" s="2"/>
      <c r="S111" s="2"/>
      <c r="T111" s="2"/>
      <c r="U111" s="2"/>
    </row>
    <row r="112">
      <c r="A112" s="2"/>
      <c r="B112" s="2"/>
      <c r="C112" s="2"/>
      <c r="D112" s="2"/>
      <c r="E112" s="2"/>
      <c r="F112" s="2"/>
      <c r="G112" s="2"/>
      <c r="H112" s="2"/>
      <c r="I112" s="2"/>
      <c r="J112" s="2"/>
      <c r="K112" s="2"/>
      <c r="L112" s="2"/>
      <c r="M112" s="2"/>
      <c r="N112" s="2"/>
      <c r="O112" s="2"/>
      <c r="P112" s="2"/>
      <c r="Q112" s="2"/>
      <c r="R112" s="2"/>
      <c r="S112" s="2"/>
      <c r="T112" s="2"/>
      <c r="U112" s="2"/>
    </row>
    <row r="113">
      <c r="A113" s="2"/>
      <c r="B113" s="2"/>
      <c r="C113" s="2"/>
      <c r="D113" s="2"/>
      <c r="E113" s="2"/>
      <c r="F113" s="2"/>
      <c r="G113" s="2"/>
      <c r="H113" s="2"/>
      <c r="I113" s="2"/>
      <c r="J113" s="2"/>
      <c r="K113" s="2"/>
      <c r="L113" s="2"/>
      <c r="M113" s="2"/>
      <c r="N113" s="2"/>
      <c r="O113" s="2"/>
      <c r="P113" s="2"/>
      <c r="Q113" s="2"/>
      <c r="R113" s="2"/>
      <c r="S113" s="2"/>
      <c r="T113" s="2"/>
      <c r="U113" s="2"/>
    </row>
    <row r="114">
      <c r="A114" s="2"/>
      <c r="B114" s="2"/>
      <c r="C114" s="2"/>
      <c r="D114" s="2"/>
      <c r="E114" s="2"/>
      <c r="F114" s="2"/>
      <c r="G114" s="2"/>
      <c r="H114" s="2"/>
      <c r="I114" s="2"/>
      <c r="J114" s="2"/>
      <c r="K114" s="2"/>
      <c r="L114" s="2"/>
      <c r="M114" s="2"/>
      <c r="N114" s="2"/>
      <c r="O114" s="2"/>
      <c r="P114" s="2"/>
      <c r="Q114" s="2"/>
      <c r="R114" s="2"/>
      <c r="S114" s="2"/>
      <c r="T114" s="2"/>
      <c r="U114" s="2"/>
    </row>
    <row r="115">
      <c r="A115" s="2"/>
      <c r="B115" s="2"/>
      <c r="C115" s="2"/>
      <c r="D115" s="2"/>
      <c r="E115" s="2"/>
      <c r="F115" s="2"/>
      <c r="G115" s="2"/>
      <c r="H115" s="2"/>
      <c r="I115" s="2"/>
      <c r="J115" s="2"/>
      <c r="K115" s="2"/>
      <c r="L115" s="2"/>
      <c r="M115" s="2"/>
      <c r="N115" s="2"/>
      <c r="O115" s="2"/>
      <c r="P115" s="2"/>
      <c r="Q115" s="2"/>
      <c r="R115" s="2"/>
      <c r="S115" s="2"/>
      <c r="T115" s="2"/>
      <c r="U115" s="2"/>
    </row>
    <row r="116">
      <c r="A116" s="2"/>
      <c r="B116" s="2"/>
      <c r="C116" s="2"/>
      <c r="D116" s="2"/>
      <c r="E116" s="2"/>
      <c r="F116" s="2"/>
      <c r="G116" s="2"/>
      <c r="H116" s="2"/>
      <c r="I116" s="2"/>
      <c r="J116" s="2"/>
      <c r="K116" s="2"/>
      <c r="L116" s="2"/>
      <c r="M116" s="2"/>
      <c r="N116" s="2"/>
      <c r="O116" s="2"/>
      <c r="P116" s="2"/>
      <c r="Q116" s="2"/>
      <c r="R116" s="2"/>
      <c r="S116" s="2"/>
      <c r="T116" s="2"/>
      <c r="U116" s="2"/>
    </row>
    <row r="117">
      <c r="A117" s="2"/>
      <c r="B117" s="2"/>
      <c r="C117" s="2"/>
      <c r="D117" s="2"/>
      <c r="E117" s="2"/>
      <c r="F117" s="2"/>
      <c r="G117" s="2"/>
      <c r="H117" s="2"/>
      <c r="I117" s="2"/>
      <c r="J117" s="2"/>
      <c r="K117" s="2"/>
      <c r="L117" s="2"/>
      <c r="M117" s="2"/>
      <c r="N117" s="2"/>
      <c r="O117" s="2"/>
      <c r="P117" s="2"/>
      <c r="Q117" s="2"/>
      <c r="R117" s="2"/>
      <c r="S117" s="2"/>
      <c r="T117" s="2"/>
      <c r="U117" s="2"/>
    </row>
    <row r="118">
      <c r="A118" s="2"/>
      <c r="B118" s="2"/>
      <c r="C118" s="2"/>
      <c r="D118" s="2"/>
      <c r="E118" s="2"/>
      <c r="F118" s="2"/>
      <c r="G118" s="2"/>
      <c r="H118" s="2"/>
      <c r="I118" s="2"/>
      <c r="J118" s="2"/>
      <c r="K118" s="2"/>
      <c r="L118" s="2"/>
      <c r="M118" s="2"/>
      <c r="N118" s="2"/>
      <c r="O118" s="2"/>
      <c r="P118" s="2"/>
      <c r="Q118" s="2"/>
      <c r="R118" s="2"/>
      <c r="S118" s="2"/>
      <c r="T118" s="2"/>
      <c r="U118" s="2"/>
    </row>
    <row r="119">
      <c r="A119" s="2"/>
      <c r="B119" s="2"/>
      <c r="C119" s="2"/>
      <c r="D119" s="2"/>
      <c r="E119" s="2"/>
      <c r="F119" s="2"/>
      <c r="G119" s="2"/>
      <c r="H119" s="2"/>
      <c r="I119" s="2"/>
      <c r="J119" s="2"/>
      <c r="K119" s="2"/>
      <c r="L119" s="2"/>
      <c r="M119" s="2"/>
      <c r="N119" s="2"/>
      <c r="O119" s="2"/>
      <c r="P119" s="2"/>
      <c r="Q119" s="2"/>
      <c r="R119" s="2"/>
      <c r="S119" s="2"/>
      <c r="T119" s="2"/>
      <c r="U119" s="2"/>
    </row>
    <row r="120">
      <c r="A120" s="2"/>
      <c r="B120" s="2"/>
      <c r="C120" s="2"/>
      <c r="D120" s="2"/>
      <c r="E120" s="2"/>
      <c r="F120" s="2"/>
      <c r="G120" s="2"/>
      <c r="H120" s="2"/>
      <c r="I120" s="2"/>
      <c r="J120" s="2"/>
      <c r="K120" s="2"/>
      <c r="L120" s="2"/>
      <c r="M120" s="2"/>
      <c r="N120" s="2"/>
      <c r="O120" s="2"/>
      <c r="P120" s="2"/>
      <c r="Q120" s="2"/>
      <c r="R120" s="2"/>
      <c r="S120" s="2"/>
      <c r="T120" s="2"/>
      <c r="U120" s="2"/>
    </row>
    <row r="121">
      <c r="A121" s="2"/>
      <c r="B121" s="2"/>
      <c r="C121" s="2"/>
      <c r="D121" s="2"/>
      <c r="E121" s="2"/>
      <c r="F121" s="2"/>
      <c r="G121" s="2"/>
      <c r="H121" s="2"/>
      <c r="I121" s="2"/>
      <c r="J121" s="2"/>
      <c r="K121" s="2"/>
      <c r="L121" s="2"/>
      <c r="M121" s="2"/>
      <c r="N121" s="2"/>
      <c r="O121" s="2"/>
      <c r="P121" s="2"/>
      <c r="Q121" s="2"/>
      <c r="R121" s="2"/>
      <c r="S121" s="2"/>
      <c r="T121" s="2"/>
      <c r="U121" s="2"/>
    </row>
    <row r="122">
      <c r="A122" s="2"/>
      <c r="B122" s="2"/>
      <c r="C122" s="2"/>
      <c r="D122" s="2"/>
      <c r="E122" s="2"/>
      <c r="F122" s="2"/>
      <c r="G122" s="2"/>
      <c r="H122" s="2"/>
      <c r="I122" s="2"/>
      <c r="J122" s="2"/>
      <c r="K122" s="2"/>
      <c r="L122" s="2"/>
      <c r="M122" s="2"/>
      <c r="N122" s="2"/>
      <c r="O122" s="2"/>
      <c r="P122" s="2"/>
      <c r="Q122" s="2"/>
      <c r="R122" s="2"/>
      <c r="S122" s="2"/>
      <c r="T122" s="2"/>
      <c r="U122" s="2"/>
    </row>
    <row r="123">
      <c r="A123" s="2"/>
      <c r="B123" s="2"/>
      <c r="C123" s="2"/>
      <c r="D123" s="2"/>
      <c r="E123" s="2"/>
      <c r="F123" s="2"/>
      <c r="G123" s="2"/>
      <c r="H123" s="2"/>
      <c r="I123" s="2"/>
      <c r="J123" s="2"/>
      <c r="K123" s="2"/>
      <c r="L123" s="2"/>
      <c r="M123" s="2"/>
      <c r="N123" s="2"/>
      <c r="O123" s="2"/>
      <c r="P123" s="2"/>
      <c r="Q123" s="2"/>
      <c r="R123" s="2"/>
      <c r="S123" s="2"/>
      <c r="T123" s="2"/>
      <c r="U123" s="2"/>
    </row>
    <row r="124">
      <c r="A124" s="2"/>
      <c r="B124" s="2"/>
      <c r="C124" s="2"/>
      <c r="D124" s="2"/>
      <c r="E124" s="2"/>
      <c r="F124" s="2"/>
      <c r="G124" s="2"/>
      <c r="H124" s="2"/>
      <c r="I124" s="2"/>
      <c r="J124" s="2"/>
      <c r="K124" s="2"/>
      <c r="L124" s="2"/>
      <c r="M124" s="2"/>
      <c r="N124" s="2"/>
      <c r="O124" s="2"/>
      <c r="P124" s="2"/>
      <c r="Q124" s="2"/>
      <c r="R124" s="2"/>
      <c r="S124" s="2"/>
      <c r="T124" s="2"/>
      <c r="U124" s="2"/>
    </row>
    <row r="125">
      <c r="A125" s="2"/>
      <c r="B125" s="2"/>
      <c r="C125" s="2"/>
      <c r="D125" s="2"/>
      <c r="E125" s="2"/>
      <c r="F125" s="2"/>
      <c r="G125" s="2"/>
      <c r="H125" s="2"/>
      <c r="I125" s="2"/>
      <c r="J125" s="2"/>
      <c r="K125" s="2"/>
      <c r="L125" s="2"/>
      <c r="M125" s="2"/>
      <c r="N125" s="2"/>
      <c r="O125" s="2"/>
      <c r="P125" s="2"/>
      <c r="Q125" s="2"/>
      <c r="R125" s="2"/>
      <c r="S125" s="2"/>
      <c r="T125" s="2"/>
      <c r="U125" s="2"/>
    </row>
    <row r="126">
      <c r="A126" s="2"/>
      <c r="B126" s="2"/>
      <c r="C126" s="2"/>
      <c r="D126" s="2"/>
      <c r="E126" s="2"/>
      <c r="F126" s="2"/>
      <c r="G126" s="2"/>
      <c r="H126" s="2"/>
      <c r="I126" s="2"/>
      <c r="J126" s="2"/>
      <c r="K126" s="2"/>
      <c r="L126" s="2"/>
      <c r="M126" s="2"/>
      <c r="N126" s="2"/>
      <c r="O126" s="2"/>
      <c r="P126" s="2"/>
      <c r="Q126" s="2"/>
      <c r="R126" s="2"/>
      <c r="S126" s="2"/>
      <c r="T126" s="2"/>
      <c r="U126" s="2"/>
    </row>
    <row r="127">
      <c r="A127" s="2"/>
      <c r="B127" s="2"/>
      <c r="C127" s="2"/>
      <c r="D127" s="2"/>
      <c r="E127" s="2"/>
      <c r="F127" s="2"/>
      <c r="G127" s="2"/>
      <c r="H127" s="2"/>
      <c r="I127" s="2"/>
      <c r="J127" s="2"/>
      <c r="K127" s="2"/>
      <c r="L127" s="2"/>
      <c r="M127" s="2"/>
      <c r="N127" s="2"/>
      <c r="O127" s="2"/>
      <c r="P127" s="2"/>
      <c r="Q127" s="2"/>
      <c r="R127" s="2"/>
      <c r="S127" s="2"/>
      <c r="T127" s="2"/>
      <c r="U127" s="2"/>
    </row>
    <row r="128">
      <c r="A128" s="2"/>
      <c r="B128" s="2"/>
      <c r="C128" s="2"/>
      <c r="D128" s="2"/>
      <c r="E128" s="2"/>
      <c r="F128" s="2"/>
      <c r="G128" s="2"/>
      <c r="H128" s="2"/>
      <c r="I128" s="2"/>
      <c r="J128" s="2"/>
      <c r="K128" s="2"/>
      <c r="L128" s="2"/>
      <c r="M128" s="2"/>
      <c r="N128" s="2"/>
      <c r="O128" s="2"/>
      <c r="P128" s="2"/>
      <c r="Q128" s="2"/>
      <c r="R128" s="2"/>
      <c r="S128" s="2"/>
      <c r="T128" s="2"/>
      <c r="U128" s="2"/>
    </row>
    <row r="129">
      <c r="A129" s="2"/>
      <c r="B129" s="2"/>
      <c r="C129" s="2"/>
      <c r="D129" s="2"/>
      <c r="E129" s="2"/>
      <c r="F129" s="2"/>
      <c r="G129" s="2"/>
      <c r="H129" s="2"/>
      <c r="I129" s="2"/>
      <c r="J129" s="2"/>
      <c r="K129" s="2"/>
      <c r="L129" s="2"/>
      <c r="M129" s="2"/>
      <c r="N129" s="2"/>
      <c r="O129" s="2"/>
      <c r="P129" s="2"/>
      <c r="Q129" s="2"/>
      <c r="R129" s="2"/>
      <c r="S129" s="2"/>
      <c r="T129" s="2"/>
      <c r="U129" s="2"/>
    </row>
    <row r="130">
      <c r="A130" s="2"/>
      <c r="B130" s="2"/>
      <c r="C130" s="2"/>
      <c r="D130" s="2"/>
      <c r="E130" s="2"/>
      <c r="F130" s="2"/>
      <c r="G130" s="2"/>
      <c r="H130" s="2"/>
      <c r="I130" s="2"/>
      <c r="J130" s="2"/>
      <c r="K130" s="2"/>
      <c r="L130" s="2"/>
      <c r="M130" s="2"/>
      <c r="N130" s="2"/>
      <c r="O130" s="2"/>
      <c r="P130" s="2"/>
      <c r="Q130" s="2"/>
      <c r="R130" s="2"/>
      <c r="S130" s="2"/>
      <c r="T130" s="2"/>
      <c r="U130" s="2"/>
    </row>
    <row r="131">
      <c r="A131" s="2"/>
      <c r="B131" s="2"/>
      <c r="C131" s="2"/>
      <c r="D131" s="2"/>
      <c r="E131" s="2"/>
      <c r="F131" s="2"/>
      <c r="G131" s="2"/>
      <c r="H131" s="2"/>
      <c r="I131" s="2"/>
      <c r="J131" s="2"/>
      <c r="K131" s="2"/>
      <c r="L131" s="2"/>
      <c r="M131" s="2"/>
      <c r="N131" s="2"/>
      <c r="O131" s="2"/>
      <c r="P131" s="2"/>
      <c r="Q131" s="2"/>
      <c r="R131" s="2"/>
      <c r="S131" s="2"/>
      <c r="T131" s="2"/>
      <c r="U131" s="2"/>
    </row>
    <row r="132">
      <c r="A132" s="2"/>
      <c r="B132" s="2"/>
      <c r="C132" s="2"/>
      <c r="D132" s="2"/>
      <c r="E132" s="2"/>
      <c r="F132" s="2"/>
      <c r="G132" s="2"/>
      <c r="H132" s="2"/>
      <c r="I132" s="2"/>
      <c r="J132" s="2"/>
      <c r="K132" s="2"/>
      <c r="L132" s="2"/>
      <c r="M132" s="2"/>
      <c r="N132" s="2"/>
      <c r="O132" s="2"/>
      <c r="P132" s="2"/>
      <c r="Q132" s="2"/>
      <c r="R132" s="2"/>
      <c r="S132" s="2"/>
      <c r="T132" s="2"/>
      <c r="U132" s="2"/>
    </row>
    <row r="133">
      <c r="A133" s="2"/>
      <c r="B133" s="2"/>
      <c r="C133" s="2"/>
      <c r="D133" s="2"/>
      <c r="E133" s="2"/>
      <c r="F133" s="2"/>
      <c r="G133" s="2"/>
      <c r="H133" s="2"/>
      <c r="I133" s="2"/>
      <c r="J133" s="2"/>
      <c r="K133" s="2"/>
      <c r="L133" s="2"/>
      <c r="M133" s="2"/>
      <c r="N133" s="2"/>
      <c r="O133" s="2"/>
      <c r="P133" s="2"/>
      <c r="Q133" s="2"/>
      <c r="R133" s="2"/>
      <c r="S133" s="2"/>
      <c r="T133" s="2"/>
      <c r="U133" s="2"/>
    </row>
    <row r="134">
      <c r="A134" s="2"/>
      <c r="B134" s="2"/>
      <c r="C134" s="2"/>
      <c r="D134" s="2"/>
      <c r="E134" s="2"/>
      <c r="F134" s="2"/>
      <c r="G134" s="2"/>
      <c r="H134" s="2"/>
      <c r="I134" s="2"/>
      <c r="J134" s="2"/>
      <c r="K134" s="2"/>
      <c r="L134" s="2"/>
      <c r="M134" s="2"/>
      <c r="N134" s="2"/>
      <c r="O134" s="2"/>
      <c r="P134" s="2"/>
      <c r="Q134" s="2"/>
      <c r="R134" s="2"/>
      <c r="S134" s="2"/>
      <c r="T134" s="2"/>
      <c r="U134" s="2"/>
    </row>
    <row r="135">
      <c r="A135" s="2"/>
      <c r="B135" s="2"/>
      <c r="C135" s="2"/>
      <c r="D135" s="2"/>
      <c r="E135" s="2"/>
      <c r="F135" s="2"/>
      <c r="G135" s="2"/>
      <c r="H135" s="2"/>
      <c r="I135" s="2"/>
      <c r="J135" s="2"/>
      <c r="K135" s="2"/>
      <c r="L135" s="2"/>
      <c r="M135" s="2"/>
      <c r="N135" s="2"/>
      <c r="O135" s="2"/>
      <c r="P135" s="2"/>
      <c r="Q135" s="2"/>
      <c r="R135" s="2"/>
      <c r="S135" s="2"/>
      <c r="T135" s="2"/>
      <c r="U135" s="2"/>
    </row>
    <row r="136">
      <c r="A136" s="2"/>
      <c r="B136" s="2"/>
      <c r="C136" s="2"/>
      <c r="D136" s="2"/>
      <c r="E136" s="2"/>
      <c r="F136" s="2"/>
      <c r="G136" s="2"/>
      <c r="H136" s="2"/>
      <c r="I136" s="2"/>
      <c r="J136" s="2"/>
      <c r="K136" s="2"/>
      <c r="L136" s="2"/>
      <c r="M136" s="2"/>
      <c r="N136" s="2"/>
      <c r="O136" s="2"/>
      <c r="P136" s="2"/>
      <c r="Q136" s="2"/>
      <c r="R136" s="2"/>
      <c r="S136" s="2"/>
      <c r="T136" s="2"/>
      <c r="U136" s="2"/>
    </row>
    <row r="137">
      <c r="A137" s="2"/>
      <c r="B137" s="2"/>
      <c r="C137" s="2"/>
      <c r="D137" s="2"/>
      <c r="E137" s="2"/>
      <c r="F137" s="2"/>
      <c r="G137" s="2"/>
      <c r="H137" s="2"/>
      <c r="I137" s="2"/>
      <c r="J137" s="2"/>
      <c r="K137" s="2"/>
      <c r="L137" s="2"/>
      <c r="M137" s="2"/>
      <c r="N137" s="2"/>
      <c r="O137" s="2"/>
      <c r="P137" s="2"/>
      <c r="Q137" s="2"/>
      <c r="R137" s="2"/>
      <c r="S137" s="2"/>
      <c r="T137" s="2"/>
      <c r="U137" s="2"/>
    </row>
    <row r="138">
      <c r="A138" s="2"/>
      <c r="B138" s="2"/>
      <c r="C138" s="2"/>
      <c r="D138" s="2"/>
      <c r="E138" s="2"/>
      <c r="F138" s="2"/>
      <c r="G138" s="2"/>
      <c r="H138" s="2"/>
      <c r="I138" s="2"/>
      <c r="J138" s="2"/>
      <c r="K138" s="2"/>
      <c r="L138" s="2"/>
      <c r="M138" s="2"/>
      <c r="N138" s="2"/>
      <c r="O138" s="2"/>
      <c r="P138" s="2"/>
      <c r="Q138" s="2"/>
      <c r="R138" s="2"/>
      <c r="S138" s="2"/>
      <c r="T138" s="2"/>
      <c r="U138" s="2"/>
    </row>
    <row r="139">
      <c r="A139" s="2"/>
      <c r="B139" s="2"/>
      <c r="C139" s="2"/>
      <c r="D139" s="2"/>
      <c r="E139" s="2"/>
      <c r="F139" s="2"/>
      <c r="G139" s="2"/>
      <c r="H139" s="2"/>
      <c r="I139" s="2"/>
      <c r="J139" s="2"/>
      <c r="K139" s="2"/>
      <c r="L139" s="2"/>
      <c r="M139" s="2"/>
      <c r="N139" s="2"/>
      <c r="O139" s="2"/>
      <c r="P139" s="2"/>
      <c r="Q139" s="2"/>
      <c r="R139" s="2"/>
      <c r="S139" s="2"/>
      <c r="T139" s="2"/>
      <c r="U139" s="2"/>
    </row>
    <row r="140">
      <c r="A140" s="2"/>
      <c r="B140" s="2"/>
      <c r="C140" s="2"/>
      <c r="D140" s="2"/>
      <c r="E140" s="2"/>
      <c r="F140" s="2"/>
      <c r="G140" s="2"/>
      <c r="H140" s="2"/>
      <c r="I140" s="2"/>
      <c r="J140" s="2"/>
      <c r="K140" s="2"/>
      <c r="L140" s="2"/>
      <c r="M140" s="2"/>
      <c r="N140" s="2"/>
      <c r="O140" s="2"/>
      <c r="P140" s="2"/>
      <c r="Q140" s="2"/>
      <c r="R140" s="2"/>
      <c r="S140" s="2"/>
      <c r="T140" s="2"/>
      <c r="U140" s="2"/>
    </row>
    <row r="141">
      <c r="A141" s="2"/>
      <c r="B141" s="2"/>
      <c r="C141" s="2"/>
      <c r="D141" s="2"/>
      <c r="E141" s="2"/>
      <c r="F141" s="2"/>
      <c r="G141" s="2"/>
      <c r="H141" s="2"/>
      <c r="I141" s="2"/>
      <c r="J141" s="2"/>
      <c r="K141" s="2"/>
      <c r="L141" s="2"/>
      <c r="M141" s="2"/>
      <c r="N141" s="2"/>
      <c r="O141" s="2"/>
      <c r="P141" s="2"/>
      <c r="Q141" s="2"/>
      <c r="R141" s="2"/>
      <c r="S141" s="2"/>
      <c r="T141" s="2"/>
      <c r="U141" s="2"/>
    </row>
    <row r="142">
      <c r="A142" s="2"/>
      <c r="B142" s="2"/>
      <c r="C142" s="2"/>
      <c r="D142" s="2"/>
      <c r="E142" s="2"/>
      <c r="F142" s="2"/>
      <c r="G142" s="2"/>
      <c r="H142" s="2"/>
      <c r="I142" s="2"/>
      <c r="J142" s="2"/>
      <c r="K142" s="2"/>
      <c r="L142" s="2"/>
      <c r="M142" s="2"/>
      <c r="N142" s="2"/>
      <c r="O142" s="2"/>
      <c r="P142" s="2"/>
      <c r="Q142" s="2"/>
      <c r="R142" s="2"/>
      <c r="S142" s="2"/>
      <c r="T142" s="2"/>
      <c r="U142" s="2"/>
    </row>
    <row r="143">
      <c r="A143" s="2"/>
      <c r="B143" s="2"/>
      <c r="C143" s="2"/>
      <c r="D143" s="2"/>
      <c r="E143" s="2"/>
      <c r="F143" s="2"/>
      <c r="G143" s="2"/>
      <c r="H143" s="2"/>
      <c r="I143" s="2"/>
      <c r="J143" s="2"/>
      <c r="K143" s="2"/>
      <c r="L143" s="2"/>
      <c r="M143" s="2"/>
      <c r="N143" s="2"/>
      <c r="O143" s="2"/>
      <c r="P143" s="2"/>
      <c r="Q143" s="2"/>
      <c r="R143" s="2"/>
      <c r="S143" s="2"/>
      <c r="T143" s="2"/>
      <c r="U143" s="2"/>
    </row>
    <row r="144">
      <c r="A144" s="2"/>
      <c r="B144" s="2"/>
      <c r="C144" s="2"/>
      <c r="D144" s="2"/>
      <c r="E144" s="2"/>
      <c r="F144" s="2"/>
      <c r="G144" s="2"/>
      <c r="H144" s="2"/>
      <c r="I144" s="2"/>
      <c r="J144" s="2"/>
      <c r="K144" s="2"/>
      <c r="L144" s="2"/>
      <c r="M144" s="2"/>
      <c r="N144" s="2"/>
      <c r="O144" s="2"/>
      <c r="P144" s="2"/>
      <c r="Q144" s="2"/>
      <c r="R144" s="2"/>
      <c r="S144" s="2"/>
      <c r="T144" s="2"/>
      <c r="U144" s="2"/>
    </row>
    <row r="145">
      <c r="A145" s="2"/>
      <c r="B145" s="2"/>
      <c r="C145" s="2"/>
      <c r="D145" s="2"/>
      <c r="E145" s="2"/>
      <c r="F145" s="2"/>
      <c r="G145" s="2"/>
      <c r="H145" s="2"/>
      <c r="I145" s="2"/>
      <c r="J145" s="2"/>
      <c r="K145" s="2"/>
      <c r="L145" s="2"/>
      <c r="M145" s="2"/>
      <c r="N145" s="2"/>
      <c r="O145" s="2"/>
      <c r="P145" s="2"/>
      <c r="Q145" s="2"/>
      <c r="R145" s="2"/>
      <c r="S145" s="2"/>
      <c r="T145" s="2"/>
      <c r="U145" s="2"/>
    </row>
    <row r="146">
      <c r="A146" s="2"/>
      <c r="B146" s="2"/>
      <c r="C146" s="2"/>
      <c r="D146" s="2"/>
      <c r="E146" s="2"/>
      <c r="F146" s="2"/>
      <c r="G146" s="2"/>
      <c r="H146" s="2"/>
      <c r="I146" s="2"/>
      <c r="J146" s="2"/>
      <c r="K146" s="2"/>
      <c r="L146" s="2"/>
      <c r="M146" s="2"/>
      <c r="N146" s="2"/>
      <c r="O146" s="2"/>
      <c r="P146" s="2"/>
      <c r="Q146" s="2"/>
      <c r="R146" s="2"/>
      <c r="S146" s="2"/>
      <c r="T146" s="2"/>
      <c r="U146" s="2"/>
    </row>
    <row r="147">
      <c r="A147" s="2"/>
      <c r="B147" s="2"/>
      <c r="C147" s="2"/>
      <c r="D147" s="2"/>
      <c r="E147" s="2"/>
      <c r="F147" s="2"/>
      <c r="G147" s="2"/>
      <c r="H147" s="2"/>
      <c r="I147" s="2"/>
      <c r="J147" s="2"/>
      <c r="K147" s="2"/>
      <c r="L147" s="2"/>
      <c r="M147" s="2"/>
      <c r="N147" s="2"/>
      <c r="O147" s="2"/>
      <c r="P147" s="2"/>
      <c r="Q147" s="2"/>
      <c r="R147" s="2"/>
      <c r="S147" s="2"/>
      <c r="T147" s="2"/>
      <c r="U147" s="2"/>
    </row>
    <row r="148">
      <c r="A148" s="2"/>
      <c r="B148" s="2"/>
      <c r="C148" s="2"/>
      <c r="D148" s="2"/>
      <c r="E148" s="2"/>
      <c r="F148" s="2"/>
      <c r="G148" s="2"/>
      <c r="H148" s="2"/>
      <c r="I148" s="2"/>
      <c r="J148" s="2"/>
      <c r="K148" s="2"/>
      <c r="L148" s="2"/>
      <c r="M148" s="2"/>
      <c r="N148" s="2"/>
      <c r="O148" s="2"/>
      <c r="P148" s="2"/>
      <c r="Q148" s="2"/>
      <c r="R148" s="2"/>
      <c r="S148" s="2"/>
      <c r="T148" s="2"/>
      <c r="U148" s="2"/>
    </row>
    <row r="149">
      <c r="A149" s="2"/>
      <c r="B149" s="2"/>
      <c r="C149" s="2"/>
      <c r="D149" s="2"/>
      <c r="E149" s="2"/>
      <c r="F149" s="2"/>
      <c r="G149" s="2"/>
      <c r="H149" s="2"/>
      <c r="I149" s="2"/>
      <c r="J149" s="2"/>
      <c r="K149" s="2"/>
      <c r="L149" s="2"/>
      <c r="M149" s="2"/>
      <c r="N149" s="2"/>
      <c r="O149" s="2"/>
      <c r="P149" s="2"/>
      <c r="Q149" s="2"/>
      <c r="R149" s="2"/>
      <c r="S149" s="2"/>
      <c r="T149" s="2"/>
      <c r="U149" s="2"/>
    </row>
    <row r="150">
      <c r="A150" s="2"/>
      <c r="B150" s="2"/>
      <c r="C150" s="2"/>
      <c r="D150" s="2"/>
      <c r="E150" s="2"/>
      <c r="F150" s="2"/>
      <c r="G150" s="2"/>
      <c r="H150" s="2"/>
      <c r="I150" s="2"/>
      <c r="J150" s="2"/>
      <c r="K150" s="2"/>
      <c r="L150" s="2"/>
      <c r="M150" s="2"/>
      <c r="N150" s="2"/>
      <c r="O150" s="2"/>
      <c r="P150" s="2"/>
      <c r="Q150" s="2"/>
      <c r="R150" s="2"/>
      <c r="S150" s="2"/>
      <c r="T150" s="2"/>
      <c r="U150" s="2"/>
    </row>
    <row r="151">
      <c r="A151" s="2"/>
      <c r="B151" s="2"/>
      <c r="C151" s="2"/>
      <c r="D151" s="2"/>
      <c r="E151" s="2"/>
      <c r="F151" s="2"/>
      <c r="G151" s="2"/>
      <c r="H151" s="2"/>
      <c r="I151" s="2"/>
      <c r="J151" s="2"/>
      <c r="K151" s="2"/>
      <c r="L151" s="2"/>
      <c r="M151" s="2"/>
      <c r="N151" s="2"/>
      <c r="O151" s="2"/>
      <c r="P151" s="2"/>
      <c r="Q151" s="2"/>
      <c r="R151" s="2"/>
      <c r="S151" s="2"/>
      <c r="T151" s="2"/>
      <c r="U151" s="2"/>
    </row>
    <row r="152">
      <c r="A152" s="2"/>
      <c r="B152" s="2"/>
      <c r="C152" s="2"/>
      <c r="D152" s="2"/>
      <c r="E152" s="2"/>
      <c r="F152" s="2"/>
      <c r="G152" s="2"/>
      <c r="H152" s="2"/>
      <c r="I152" s="2"/>
      <c r="J152" s="2"/>
      <c r="K152" s="2"/>
      <c r="L152" s="2"/>
      <c r="M152" s="2"/>
      <c r="N152" s="2"/>
      <c r="O152" s="2"/>
      <c r="P152" s="2"/>
      <c r="Q152" s="2"/>
      <c r="R152" s="2"/>
      <c r="S152" s="2"/>
      <c r="T152" s="2"/>
      <c r="U152" s="2"/>
    </row>
    <row r="153">
      <c r="A153" s="2"/>
      <c r="B153" s="2"/>
      <c r="C153" s="2"/>
      <c r="D153" s="2"/>
      <c r="E153" s="2"/>
      <c r="F153" s="2"/>
      <c r="G153" s="2"/>
      <c r="H153" s="2"/>
      <c r="I153" s="2"/>
      <c r="J153" s="2"/>
      <c r="K153" s="2"/>
      <c r="L153" s="2"/>
      <c r="M153" s="2"/>
      <c r="N153" s="2"/>
      <c r="O153" s="2"/>
      <c r="P153" s="2"/>
      <c r="Q153" s="2"/>
      <c r="R153" s="2"/>
      <c r="S153" s="2"/>
      <c r="T153" s="2"/>
      <c r="U153" s="2"/>
    </row>
    <row r="154">
      <c r="A154" s="2"/>
      <c r="B154" s="2"/>
      <c r="C154" s="2"/>
      <c r="D154" s="2"/>
      <c r="E154" s="2"/>
      <c r="F154" s="2"/>
      <c r="G154" s="2"/>
      <c r="H154" s="2"/>
      <c r="I154" s="2"/>
      <c r="J154" s="2"/>
      <c r="K154" s="2"/>
      <c r="L154" s="2"/>
      <c r="M154" s="2"/>
      <c r="N154" s="2"/>
      <c r="O154" s="2"/>
      <c r="P154" s="2"/>
      <c r="Q154" s="2"/>
      <c r="R154" s="2"/>
      <c r="S154" s="2"/>
      <c r="T154" s="2"/>
      <c r="U154" s="2"/>
    </row>
    <row r="155">
      <c r="A155" s="2"/>
      <c r="B155" s="2"/>
      <c r="C155" s="2"/>
      <c r="D155" s="2"/>
      <c r="E155" s="2"/>
      <c r="F155" s="2"/>
      <c r="G155" s="2"/>
      <c r="H155" s="2"/>
      <c r="I155" s="2"/>
      <c r="J155" s="2"/>
      <c r="K155" s="2"/>
      <c r="L155" s="2"/>
      <c r="M155" s="2"/>
      <c r="N155" s="2"/>
      <c r="O155" s="2"/>
      <c r="P155" s="2"/>
      <c r="Q155" s="2"/>
      <c r="R155" s="2"/>
      <c r="S155" s="2"/>
      <c r="T155" s="2"/>
      <c r="U155" s="2"/>
    </row>
    <row r="156">
      <c r="A156" s="2"/>
      <c r="B156" s="2"/>
      <c r="C156" s="2"/>
      <c r="D156" s="2"/>
      <c r="E156" s="2"/>
      <c r="F156" s="2"/>
      <c r="G156" s="2"/>
      <c r="H156" s="2"/>
      <c r="I156" s="2"/>
      <c r="J156" s="2"/>
      <c r="K156" s="2"/>
      <c r="L156" s="2"/>
      <c r="M156" s="2"/>
      <c r="N156" s="2"/>
      <c r="O156" s="2"/>
      <c r="P156" s="2"/>
      <c r="Q156" s="2"/>
      <c r="R156" s="2"/>
      <c r="S156" s="2"/>
      <c r="T156" s="2"/>
      <c r="U156" s="2"/>
    </row>
    <row r="157">
      <c r="A157" s="2"/>
      <c r="B157" s="2"/>
      <c r="C157" s="2"/>
      <c r="D157" s="2"/>
      <c r="E157" s="2"/>
      <c r="F157" s="2"/>
      <c r="G157" s="2"/>
      <c r="H157" s="2"/>
      <c r="I157" s="2"/>
      <c r="J157" s="2"/>
      <c r="K157" s="2"/>
      <c r="L157" s="2"/>
      <c r="M157" s="2"/>
      <c r="N157" s="2"/>
      <c r="O157" s="2"/>
      <c r="P157" s="2"/>
      <c r="Q157" s="2"/>
      <c r="R157" s="2"/>
      <c r="S157" s="2"/>
      <c r="T157" s="2"/>
      <c r="U157" s="2"/>
    </row>
    <row r="158">
      <c r="A158" s="2"/>
      <c r="B158" s="2"/>
      <c r="C158" s="2"/>
      <c r="D158" s="2"/>
      <c r="E158" s="2"/>
      <c r="J158" s="2"/>
      <c r="K158" s="2"/>
      <c r="L158" s="2"/>
      <c r="M158" s="2"/>
      <c r="N158" s="2"/>
      <c r="O158" s="2"/>
      <c r="P158" s="2"/>
      <c r="Q158" s="2"/>
      <c r="R158" s="2"/>
      <c r="S158" s="2"/>
      <c r="T158" s="2"/>
      <c r="U158" s="2"/>
    </row>
    <row r="159">
      <c r="A159" s="2"/>
      <c r="B159" s="2"/>
      <c r="C159" s="2"/>
      <c r="D159" s="2"/>
      <c r="E159" s="2"/>
      <c r="I159" s="2"/>
      <c r="J159" s="2"/>
      <c r="K159" s="2"/>
      <c r="L159" s="2"/>
      <c r="M159" s="2"/>
      <c r="N159" s="2"/>
      <c r="O159" s="2"/>
      <c r="P159" s="2"/>
      <c r="Q159" s="2"/>
      <c r="R159" s="2"/>
      <c r="S159" s="2"/>
      <c r="T159" s="2"/>
      <c r="U159" s="2"/>
    </row>
    <row r="160">
      <c r="A160" s="2"/>
      <c r="B160" s="2"/>
      <c r="C160" s="2"/>
      <c r="D160" s="2"/>
      <c r="E160" s="2"/>
      <c r="J160" s="2"/>
      <c r="K160" s="2"/>
      <c r="L160" s="2"/>
      <c r="M160" s="2"/>
      <c r="N160" s="2"/>
      <c r="O160" s="2"/>
      <c r="P160" s="2"/>
      <c r="Q160" s="2"/>
      <c r="R160" s="2"/>
      <c r="S160" s="2"/>
      <c r="T160" s="2"/>
      <c r="U160" s="2"/>
    </row>
    <row r="161">
      <c r="A161" s="2"/>
      <c r="B161" s="2"/>
      <c r="C161" s="2"/>
      <c r="D161" s="2"/>
      <c r="E161" s="2"/>
      <c r="J161" s="2"/>
      <c r="K161" s="2"/>
      <c r="L161" s="2"/>
      <c r="M161" s="2"/>
      <c r="N161" s="2"/>
      <c r="O161" s="2"/>
      <c r="P161" s="2"/>
      <c r="Q161" s="2"/>
      <c r="R161" s="2"/>
      <c r="S161" s="2"/>
      <c r="T161" s="2"/>
      <c r="U161" s="2"/>
    </row>
    <row r="162">
      <c r="A162" s="2"/>
      <c r="B162" s="2"/>
      <c r="C162" s="2"/>
      <c r="D162" s="2"/>
      <c r="E162" s="2"/>
      <c r="J162" s="2"/>
      <c r="K162" s="2"/>
      <c r="L162" s="2"/>
      <c r="M162" s="2"/>
      <c r="N162" s="2"/>
      <c r="O162" s="2"/>
      <c r="P162" s="2"/>
      <c r="Q162" s="2"/>
      <c r="R162" s="2"/>
      <c r="S162" s="2"/>
      <c r="T162" s="2"/>
      <c r="U162" s="2"/>
    </row>
    <row r="163">
      <c r="A163" s="2"/>
      <c r="B163" s="2"/>
      <c r="C163" s="2"/>
      <c r="D163" s="2"/>
      <c r="E163" s="2"/>
      <c r="I163" s="2"/>
      <c r="J163" s="2"/>
      <c r="K163" s="2"/>
      <c r="L163" s="2"/>
      <c r="M163" s="2"/>
      <c r="N163" s="2"/>
      <c r="O163" s="2"/>
      <c r="P163" s="2"/>
      <c r="Q163" s="2"/>
      <c r="R163" s="2"/>
      <c r="S163" s="2"/>
      <c r="T163" s="2"/>
      <c r="U163" s="2"/>
    </row>
    <row r="164">
      <c r="A164" s="2"/>
      <c r="B164" s="2"/>
      <c r="C164" s="2"/>
      <c r="D164" s="2"/>
      <c r="E164" s="2"/>
      <c r="J164" s="2"/>
      <c r="K164" s="2"/>
      <c r="L164" s="2"/>
      <c r="M164" s="2"/>
      <c r="N164" s="2"/>
      <c r="O164" s="2"/>
      <c r="P164" s="2"/>
      <c r="Q164" s="2"/>
      <c r="R164" s="2"/>
      <c r="S164" s="2"/>
      <c r="T164" s="2"/>
      <c r="U164" s="2"/>
    </row>
    <row r="165">
      <c r="A165" s="2"/>
      <c r="B165" s="2"/>
      <c r="C165" s="2"/>
      <c r="D165" s="2"/>
      <c r="E165" s="2"/>
      <c r="J165" s="2"/>
      <c r="K165" s="2"/>
      <c r="L165" s="2"/>
      <c r="M165" s="2"/>
      <c r="N165" s="2"/>
      <c r="O165" s="2"/>
      <c r="P165" s="2"/>
      <c r="Q165" s="2"/>
      <c r="R165" s="2"/>
      <c r="S165" s="2"/>
      <c r="T165" s="2"/>
      <c r="U165" s="2"/>
    </row>
    <row r="166">
      <c r="A166" s="2"/>
      <c r="B166" s="2"/>
      <c r="C166" s="2"/>
      <c r="D166" s="2"/>
      <c r="E166" s="2"/>
      <c r="J166" s="2"/>
      <c r="K166" s="2"/>
      <c r="L166" s="2"/>
      <c r="M166" s="2"/>
      <c r="N166" s="2"/>
      <c r="O166" s="2"/>
      <c r="P166" s="2"/>
      <c r="Q166" s="2"/>
      <c r="R166" s="2"/>
      <c r="S166" s="2"/>
      <c r="T166" s="2"/>
      <c r="U166" s="2"/>
    </row>
    <row r="167">
      <c r="A167" s="2"/>
      <c r="B167" s="2"/>
      <c r="C167" s="2"/>
      <c r="D167" s="2"/>
      <c r="E167" s="2"/>
      <c r="I167" s="2"/>
      <c r="J167" s="2"/>
      <c r="K167" s="2"/>
      <c r="L167" s="2"/>
      <c r="M167" s="2"/>
      <c r="N167" s="2"/>
      <c r="O167" s="2"/>
      <c r="P167" s="2"/>
      <c r="Q167" s="2"/>
      <c r="R167" s="2"/>
      <c r="S167" s="2"/>
      <c r="T167" s="2"/>
      <c r="U167" s="2"/>
    </row>
    <row r="168">
      <c r="A168" s="2"/>
      <c r="B168" s="2"/>
      <c r="C168" s="2"/>
      <c r="D168" s="2"/>
      <c r="E168" s="2"/>
      <c r="J168" s="2"/>
      <c r="K168" s="2"/>
      <c r="L168" s="2"/>
      <c r="M168" s="2"/>
      <c r="N168" s="2"/>
      <c r="O168" s="2"/>
      <c r="P168" s="2"/>
      <c r="Q168" s="2"/>
      <c r="R168" s="2"/>
      <c r="S168" s="2"/>
      <c r="T168" s="2"/>
      <c r="U168" s="2"/>
    </row>
    <row r="169">
      <c r="A169" s="2"/>
      <c r="B169" s="2"/>
      <c r="C169" s="2"/>
      <c r="D169" s="2"/>
      <c r="E169" s="2"/>
      <c r="J169" s="2"/>
      <c r="K169" s="2"/>
      <c r="L169" s="2"/>
      <c r="M169" s="2"/>
      <c r="N169" s="2"/>
      <c r="O169" s="2"/>
      <c r="P169" s="2"/>
      <c r="Q169" s="2"/>
      <c r="R169" s="2"/>
      <c r="S169" s="2"/>
      <c r="T169" s="2"/>
      <c r="U169" s="2"/>
    </row>
    <row r="170">
      <c r="A170" s="2"/>
      <c r="B170" s="2"/>
      <c r="C170" s="2"/>
      <c r="D170" s="2"/>
      <c r="E170" s="2"/>
      <c r="J170" s="2"/>
      <c r="K170" s="2"/>
      <c r="L170" s="2"/>
      <c r="M170" s="2"/>
      <c r="N170" s="2"/>
      <c r="O170" s="2"/>
      <c r="P170" s="2"/>
      <c r="Q170" s="2"/>
      <c r="R170" s="2"/>
      <c r="S170" s="2"/>
      <c r="T170" s="2"/>
      <c r="U170" s="2"/>
    </row>
    <row r="171">
      <c r="A171" s="2"/>
      <c r="B171" s="2"/>
      <c r="C171" s="2"/>
      <c r="D171" s="2"/>
      <c r="E171" s="2"/>
      <c r="J171" s="2"/>
      <c r="K171" s="2"/>
      <c r="L171" s="2"/>
      <c r="M171" s="2"/>
      <c r="N171" s="2"/>
      <c r="O171" s="2"/>
      <c r="P171" s="2"/>
      <c r="Q171" s="2"/>
      <c r="R171" s="2"/>
      <c r="S171" s="2"/>
      <c r="T171" s="2"/>
      <c r="U171" s="2"/>
    </row>
    <row r="172">
      <c r="A172" s="2"/>
      <c r="B172" s="2"/>
      <c r="C172" s="2"/>
      <c r="D172" s="2"/>
      <c r="E172" s="2"/>
      <c r="I172" s="2"/>
      <c r="J172" s="2"/>
      <c r="K172" s="2"/>
      <c r="L172" s="2"/>
      <c r="M172" s="2"/>
      <c r="N172" s="2"/>
      <c r="O172" s="2"/>
      <c r="P172" s="2"/>
      <c r="Q172" s="2"/>
      <c r="R172" s="2"/>
      <c r="S172" s="2"/>
      <c r="T172" s="2"/>
      <c r="U172" s="2"/>
    </row>
    <row r="173">
      <c r="A173" s="2"/>
      <c r="B173" s="2"/>
      <c r="C173" s="2"/>
      <c r="D173" s="2"/>
      <c r="E173" s="2"/>
      <c r="J173" s="2"/>
      <c r="K173" s="2"/>
      <c r="L173" s="2"/>
      <c r="M173" s="2"/>
      <c r="N173" s="2"/>
      <c r="O173" s="2"/>
      <c r="P173" s="2"/>
      <c r="Q173" s="2"/>
      <c r="R173" s="2"/>
      <c r="S173" s="2"/>
      <c r="T173" s="2"/>
      <c r="U173" s="2"/>
    </row>
    <row r="174">
      <c r="A174" s="2"/>
      <c r="B174" s="2"/>
      <c r="C174" s="2"/>
      <c r="D174" s="2"/>
      <c r="E174" s="2"/>
      <c r="J174" s="2"/>
      <c r="K174" s="2"/>
      <c r="L174" s="2"/>
      <c r="M174" s="2"/>
      <c r="N174" s="2"/>
      <c r="O174" s="2"/>
      <c r="P174" s="2"/>
      <c r="Q174" s="2"/>
      <c r="R174" s="2"/>
      <c r="S174" s="2"/>
      <c r="T174" s="2"/>
      <c r="U174" s="2"/>
    </row>
    <row r="175">
      <c r="A175" s="2"/>
      <c r="B175" s="2"/>
      <c r="C175" s="2"/>
      <c r="D175" s="2"/>
      <c r="E175" s="2"/>
      <c r="I175" s="2"/>
      <c r="J175" s="2"/>
      <c r="K175" s="2"/>
      <c r="L175" s="2"/>
      <c r="M175" s="2"/>
      <c r="N175" s="2"/>
      <c r="O175" s="2"/>
      <c r="P175" s="2"/>
      <c r="Q175" s="2"/>
      <c r="R175" s="2"/>
      <c r="S175" s="2"/>
      <c r="T175" s="2"/>
      <c r="U175" s="2"/>
    </row>
    <row r="176">
      <c r="A176" s="2"/>
      <c r="B176" s="2"/>
      <c r="C176" s="2"/>
      <c r="D176" s="2"/>
      <c r="E176" s="2"/>
      <c r="J176" s="2"/>
      <c r="K176" s="2"/>
      <c r="L176" s="2"/>
      <c r="M176" s="2"/>
      <c r="N176" s="2"/>
      <c r="O176" s="2"/>
      <c r="P176" s="2"/>
      <c r="Q176" s="2"/>
      <c r="R176" s="2"/>
      <c r="S176" s="2"/>
      <c r="T176" s="2"/>
      <c r="U176" s="2"/>
    </row>
    <row r="177">
      <c r="A177" s="2"/>
      <c r="B177" s="2"/>
      <c r="C177" s="2"/>
      <c r="D177" s="2"/>
      <c r="E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2"/>
      <c r="B180" s="2"/>
      <c r="C180" s="2"/>
      <c r="D180" s="2"/>
      <c r="E180" s="2"/>
      <c r="F180" s="2"/>
      <c r="G180" s="2"/>
      <c r="H180" s="2"/>
      <c r="I180" s="2"/>
      <c r="J180" s="2"/>
      <c r="K180" s="2"/>
      <c r="L180" s="2"/>
      <c r="M180" s="2"/>
      <c r="N180" s="2"/>
      <c r="O180" s="2"/>
      <c r="P180" s="2"/>
      <c r="Q180" s="2"/>
      <c r="R180" s="2"/>
      <c r="S180" s="2"/>
      <c r="T180" s="2"/>
      <c r="U180" s="2"/>
    </row>
    <row r="181">
      <c r="A181" s="2"/>
      <c r="B181" s="2"/>
      <c r="C181" s="2"/>
      <c r="D181" s="2"/>
      <c r="E181" s="2"/>
      <c r="F181" s="2"/>
      <c r="G181" s="2"/>
      <c r="H181" s="2"/>
      <c r="I181" s="2"/>
      <c r="J181" s="2"/>
      <c r="K181" s="2"/>
      <c r="L181" s="2"/>
      <c r="M181" s="2"/>
      <c r="N181" s="2"/>
      <c r="O181" s="2"/>
      <c r="P181" s="2"/>
      <c r="Q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row r="301">
      <c r="A301" s="2"/>
      <c r="B301" s="2"/>
      <c r="C301" s="2"/>
      <c r="D301" s="2"/>
      <c r="E301" s="2"/>
      <c r="F301" s="2"/>
      <c r="G301" s="2"/>
      <c r="H301" s="2"/>
      <c r="I301" s="2"/>
      <c r="J301" s="2"/>
      <c r="K301" s="2"/>
      <c r="L301" s="2"/>
      <c r="M301" s="2"/>
      <c r="N301" s="2"/>
      <c r="O301" s="2"/>
      <c r="P301" s="2"/>
      <c r="Q301" s="2"/>
      <c r="R301" s="2"/>
      <c r="S301" s="2"/>
      <c r="T301" s="2"/>
      <c r="U301" s="2"/>
    </row>
    <row r="302">
      <c r="A302" s="2"/>
      <c r="B302" s="2"/>
      <c r="C302" s="2"/>
      <c r="D302" s="2"/>
      <c r="E302" s="2"/>
      <c r="F302" s="2"/>
      <c r="G302" s="2"/>
      <c r="H302" s="2"/>
      <c r="I302" s="2"/>
      <c r="J302" s="2"/>
      <c r="K302" s="2"/>
      <c r="L302" s="2"/>
      <c r="M302" s="2"/>
      <c r="N302" s="2"/>
      <c r="O302" s="2"/>
      <c r="P302" s="2"/>
      <c r="Q302" s="2"/>
      <c r="R302" s="2"/>
      <c r="S302" s="2"/>
      <c r="T302" s="2"/>
      <c r="U302" s="2"/>
    </row>
    <row r="303">
      <c r="A303" s="2"/>
      <c r="B303" s="2"/>
      <c r="C303" s="2"/>
      <c r="D303" s="2"/>
      <c r="E303" s="2"/>
      <c r="F303" s="2"/>
      <c r="G303" s="2"/>
      <c r="H303" s="2"/>
      <c r="I303" s="2"/>
      <c r="J303" s="2"/>
      <c r="K303" s="2"/>
      <c r="L303" s="2"/>
      <c r="M303" s="2"/>
      <c r="N303" s="2"/>
      <c r="O303" s="2"/>
      <c r="P303" s="2"/>
      <c r="Q303" s="2"/>
      <c r="R303" s="2"/>
      <c r="S303" s="2"/>
      <c r="T303" s="2"/>
      <c r="U303" s="2"/>
    </row>
    <row r="304">
      <c r="A304" s="2"/>
      <c r="B304" s="2"/>
      <c r="C304" s="2"/>
      <c r="D304" s="2"/>
      <c r="E304" s="2"/>
      <c r="F304" s="2"/>
      <c r="G304" s="2"/>
      <c r="H304" s="2"/>
      <c r="I304" s="2"/>
      <c r="J304" s="2"/>
      <c r="K304" s="2"/>
      <c r="L304" s="2"/>
      <c r="M304" s="2"/>
      <c r="N304" s="2"/>
      <c r="O304" s="2"/>
      <c r="P304" s="2"/>
      <c r="Q304" s="2"/>
      <c r="R304" s="2"/>
      <c r="S304" s="2"/>
      <c r="T304" s="2"/>
      <c r="U304" s="2"/>
    </row>
    <row r="305">
      <c r="A305" s="2"/>
      <c r="B305" s="2"/>
      <c r="C305" s="2"/>
      <c r="D305" s="2"/>
      <c r="E305" s="2"/>
      <c r="F305" s="2"/>
      <c r="G305" s="2"/>
      <c r="H305" s="2"/>
      <c r="I305" s="2"/>
      <c r="J305" s="2"/>
      <c r="K305" s="2"/>
      <c r="L305" s="2"/>
      <c r="M305" s="2"/>
      <c r="N305" s="2"/>
      <c r="O305" s="2"/>
      <c r="P305" s="2"/>
      <c r="Q305" s="2"/>
      <c r="R305" s="2"/>
      <c r="S305" s="2"/>
      <c r="T305" s="2"/>
      <c r="U305" s="2"/>
    </row>
    <row r="306">
      <c r="A306" s="2"/>
      <c r="B306" s="2"/>
      <c r="C306" s="2"/>
      <c r="D306" s="2"/>
      <c r="E306" s="2"/>
      <c r="F306" s="2"/>
      <c r="G306" s="2"/>
      <c r="H306" s="2"/>
      <c r="I306" s="2"/>
      <c r="J306" s="2"/>
      <c r="K306" s="2"/>
      <c r="L306" s="2"/>
      <c r="M306" s="2"/>
      <c r="N306" s="2"/>
      <c r="O306" s="2"/>
      <c r="P306" s="2"/>
      <c r="Q306" s="2"/>
      <c r="R306" s="2"/>
      <c r="S306" s="2"/>
      <c r="T306" s="2"/>
      <c r="U306" s="2"/>
    </row>
    <row r="307">
      <c r="A307" s="2"/>
      <c r="B307" s="2"/>
      <c r="C307" s="2"/>
      <c r="D307" s="2"/>
      <c r="E307" s="2"/>
      <c r="F307" s="2"/>
      <c r="G307" s="2"/>
      <c r="H307" s="2"/>
      <c r="I307" s="2"/>
      <c r="J307" s="2"/>
      <c r="K307" s="2"/>
      <c r="L307" s="2"/>
      <c r="M307" s="2"/>
      <c r="N307" s="2"/>
      <c r="O307" s="2"/>
      <c r="P307" s="2"/>
      <c r="Q307" s="2"/>
      <c r="R307" s="2"/>
      <c r="S307" s="2"/>
      <c r="T307" s="2"/>
      <c r="U307" s="2"/>
    </row>
    <row r="308">
      <c r="A308" s="2"/>
      <c r="B308" s="2"/>
      <c r="C308" s="2"/>
      <c r="D308" s="2"/>
      <c r="E308" s="2"/>
      <c r="F308" s="2"/>
      <c r="G308" s="2"/>
      <c r="H308" s="2"/>
      <c r="I308" s="2"/>
      <c r="J308" s="2"/>
      <c r="K308" s="2"/>
      <c r="L308" s="2"/>
      <c r="M308" s="2"/>
      <c r="N308" s="2"/>
      <c r="O308" s="2"/>
      <c r="P308" s="2"/>
      <c r="Q308" s="2"/>
      <c r="R308" s="2"/>
      <c r="S308" s="2"/>
      <c r="T308" s="2"/>
      <c r="U308" s="2"/>
    </row>
    <row r="309">
      <c r="A309" s="2"/>
      <c r="B309" s="2"/>
      <c r="C309" s="2"/>
      <c r="D309" s="2"/>
      <c r="E309" s="2"/>
      <c r="F309" s="2"/>
      <c r="G309" s="2"/>
      <c r="H309" s="2"/>
      <c r="I309" s="2"/>
      <c r="J309" s="2"/>
      <c r="K309" s="2"/>
      <c r="L309" s="2"/>
      <c r="M309" s="2"/>
      <c r="N309" s="2"/>
      <c r="O309" s="2"/>
      <c r="P309" s="2"/>
      <c r="Q309" s="2"/>
      <c r="R309" s="2"/>
      <c r="S309" s="2"/>
      <c r="T309" s="2"/>
      <c r="U309" s="2"/>
    </row>
    <row r="310">
      <c r="A310" s="2"/>
      <c r="B310" s="2"/>
      <c r="C310" s="2"/>
      <c r="D310" s="2"/>
      <c r="E310" s="2"/>
      <c r="F310" s="2"/>
      <c r="G310" s="2"/>
      <c r="H310" s="2"/>
      <c r="I310" s="2"/>
      <c r="J310" s="2"/>
      <c r="K310" s="2"/>
      <c r="L310" s="2"/>
      <c r="M310" s="2"/>
      <c r="N310" s="2"/>
      <c r="O310" s="2"/>
      <c r="P310" s="2"/>
      <c r="Q310" s="2"/>
      <c r="R310" s="2"/>
      <c r="S310" s="2"/>
      <c r="T310" s="2"/>
      <c r="U310" s="2"/>
    </row>
    <row r="311">
      <c r="A311" s="2"/>
      <c r="B311" s="2"/>
      <c r="C311" s="2"/>
      <c r="D311" s="2"/>
      <c r="E311" s="2"/>
      <c r="F311" s="2"/>
      <c r="G311" s="2"/>
      <c r="H311" s="2"/>
      <c r="I311" s="2"/>
      <c r="J311" s="2"/>
      <c r="K311" s="2"/>
      <c r="L311" s="2"/>
      <c r="M311" s="2"/>
      <c r="N311" s="2"/>
      <c r="O311" s="2"/>
      <c r="P311" s="2"/>
      <c r="Q311" s="2"/>
      <c r="R311" s="2"/>
      <c r="S311" s="2"/>
      <c r="T311" s="2"/>
      <c r="U311" s="2"/>
    </row>
    <row r="312">
      <c r="A312" s="2"/>
      <c r="B312" s="2"/>
      <c r="C312" s="2"/>
      <c r="D312" s="2"/>
      <c r="E312" s="2"/>
      <c r="F312" s="2"/>
      <c r="G312" s="2"/>
      <c r="H312" s="2"/>
      <c r="I312" s="2"/>
      <c r="J312" s="2"/>
      <c r="K312" s="2"/>
      <c r="L312" s="2"/>
      <c r="M312" s="2"/>
      <c r="N312" s="2"/>
      <c r="O312" s="2"/>
      <c r="P312" s="2"/>
      <c r="Q312" s="2"/>
      <c r="R312" s="2"/>
      <c r="S312" s="2"/>
      <c r="T312" s="2"/>
      <c r="U312" s="2"/>
    </row>
    <row r="313">
      <c r="A313" s="2"/>
      <c r="B313" s="2"/>
      <c r="C313" s="2"/>
      <c r="D313" s="2"/>
      <c r="E313" s="2"/>
      <c r="F313" s="2"/>
      <c r="G313" s="2"/>
      <c r="H313" s="2"/>
      <c r="I313" s="2"/>
      <c r="J313" s="2"/>
      <c r="K313" s="2"/>
      <c r="L313" s="2"/>
      <c r="M313" s="2"/>
      <c r="N313" s="2"/>
      <c r="O313" s="2"/>
      <c r="P313" s="2"/>
      <c r="Q313" s="2"/>
      <c r="R313" s="2"/>
      <c r="S313" s="2"/>
      <c r="T313" s="2"/>
      <c r="U313" s="2"/>
    </row>
    <row r="314">
      <c r="A314" s="2"/>
      <c r="B314" s="2"/>
      <c r="C314" s="2"/>
      <c r="D314" s="2"/>
      <c r="E314" s="2"/>
      <c r="F314" s="2"/>
      <c r="G314" s="2"/>
      <c r="H314" s="2"/>
      <c r="I314" s="2"/>
      <c r="J314" s="2"/>
      <c r="K314" s="2"/>
      <c r="L314" s="2"/>
      <c r="M314" s="2"/>
      <c r="N314" s="2"/>
      <c r="O314" s="2"/>
      <c r="P314" s="2"/>
      <c r="Q314" s="2"/>
      <c r="R314" s="2"/>
      <c r="S314" s="2"/>
      <c r="T314" s="2"/>
      <c r="U314" s="2"/>
    </row>
    <row r="315">
      <c r="A315" s="2"/>
      <c r="B315" s="2"/>
      <c r="C315" s="2"/>
      <c r="D315" s="2"/>
      <c r="E315" s="2"/>
      <c r="F315" s="2"/>
      <c r="G315" s="2"/>
      <c r="H315" s="2"/>
      <c r="I315" s="2"/>
      <c r="J315" s="2"/>
      <c r="K315" s="2"/>
      <c r="L315" s="2"/>
      <c r="M315" s="2"/>
      <c r="N315" s="2"/>
      <c r="O315" s="2"/>
      <c r="P315" s="2"/>
      <c r="Q315" s="2"/>
      <c r="R315" s="2"/>
      <c r="S315" s="2"/>
      <c r="T315" s="2"/>
      <c r="U315" s="2"/>
    </row>
    <row r="316">
      <c r="A316" s="2"/>
      <c r="B316" s="2"/>
      <c r="C316" s="2"/>
      <c r="D316" s="2"/>
      <c r="E316" s="2"/>
      <c r="F316" s="2"/>
      <c r="G316" s="2"/>
      <c r="H316" s="2"/>
      <c r="I316" s="2"/>
      <c r="J316" s="2"/>
      <c r="K316" s="2"/>
      <c r="L316" s="2"/>
      <c r="M316" s="2"/>
      <c r="N316" s="2"/>
      <c r="O316" s="2"/>
      <c r="P316" s="2"/>
      <c r="Q316" s="2"/>
      <c r="R316" s="2"/>
      <c r="S316" s="2"/>
      <c r="T316" s="2"/>
      <c r="U316" s="2"/>
    </row>
    <row r="317">
      <c r="A317" s="2"/>
      <c r="B317" s="2"/>
      <c r="C317" s="2"/>
      <c r="D317" s="2"/>
      <c r="E317" s="2"/>
      <c r="F317" s="2"/>
      <c r="G317" s="2"/>
      <c r="H317" s="2"/>
      <c r="I317" s="2"/>
      <c r="J317" s="2"/>
      <c r="K317" s="2"/>
      <c r="L317" s="2"/>
      <c r="M317" s="2"/>
      <c r="N317" s="2"/>
      <c r="O317" s="2"/>
      <c r="P317" s="2"/>
      <c r="Q317" s="2"/>
      <c r="R317" s="2"/>
      <c r="S317" s="2"/>
      <c r="T317" s="2"/>
      <c r="U317" s="2"/>
    </row>
    <row r="318">
      <c r="A318" s="2"/>
      <c r="B318" s="2"/>
      <c r="C318" s="2"/>
      <c r="D318" s="2"/>
      <c r="E318" s="2"/>
      <c r="F318" s="2"/>
      <c r="G318" s="2"/>
      <c r="H318" s="2"/>
      <c r="I318" s="2"/>
      <c r="J318" s="2"/>
      <c r="K318" s="2"/>
      <c r="L318" s="2"/>
      <c r="M318" s="2"/>
      <c r="N318" s="2"/>
      <c r="O318" s="2"/>
      <c r="P318" s="2"/>
      <c r="Q318" s="2"/>
      <c r="R318" s="2"/>
      <c r="S318" s="2"/>
      <c r="T318" s="2"/>
      <c r="U318" s="2"/>
    </row>
    <row r="319">
      <c r="A319" s="2"/>
      <c r="B319" s="2"/>
      <c r="C319" s="2"/>
      <c r="D319" s="2"/>
      <c r="E319" s="2"/>
      <c r="F319" s="2"/>
      <c r="G319" s="2"/>
      <c r="H319" s="2"/>
      <c r="I319" s="2"/>
      <c r="J319" s="2"/>
      <c r="K319" s="2"/>
      <c r="L319" s="2"/>
      <c r="M319" s="2"/>
      <c r="N319" s="2"/>
      <c r="O319" s="2"/>
      <c r="P319" s="2"/>
      <c r="Q319" s="2"/>
      <c r="R319" s="2"/>
      <c r="S319" s="2"/>
      <c r="T319" s="2"/>
      <c r="U319" s="2"/>
    </row>
    <row r="320">
      <c r="A320" s="2"/>
      <c r="B320" s="2"/>
      <c r="C320" s="2"/>
      <c r="D320" s="2"/>
      <c r="E320" s="2"/>
      <c r="F320" s="2"/>
      <c r="G320" s="2"/>
      <c r="H320" s="2"/>
      <c r="I320" s="2"/>
      <c r="J320" s="2"/>
      <c r="K320" s="2"/>
      <c r="L320" s="2"/>
      <c r="M320" s="2"/>
      <c r="N320" s="2"/>
      <c r="O320" s="2"/>
      <c r="P320" s="2"/>
      <c r="Q320" s="2"/>
      <c r="R320" s="2"/>
      <c r="S320" s="2"/>
      <c r="T320" s="2"/>
      <c r="U320" s="2"/>
    </row>
    <row r="321">
      <c r="A321" s="2"/>
      <c r="B321" s="2"/>
      <c r="C321" s="2"/>
      <c r="D321" s="2"/>
      <c r="E321" s="2"/>
      <c r="F321" s="2"/>
      <c r="G321" s="2"/>
      <c r="H321" s="2"/>
      <c r="I321" s="2"/>
      <c r="J321" s="2"/>
      <c r="K321" s="2"/>
      <c r="L321" s="2"/>
      <c r="M321" s="2"/>
      <c r="N321" s="2"/>
      <c r="O321" s="2"/>
      <c r="P321" s="2"/>
      <c r="Q321" s="2"/>
      <c r="R321" s="2"/>
      <c r="S321" s="2"/>
      <c r="T321" s="2"/>
      <c r="U321" s="2"/>
    </row>
    <row r="322">
      <c r="A322" s="2"/>
      <c r="B322" s="2"/>
      <c r="C322" s="2"/>
      <c r="D322" s="2"/>
      <c r="E322" s="2"/>
      <c r="F322" s="2"/>
      <c r="G322" s="2"/>
      <c r="H322" s="2"/>
      <c r="I322" s="2"/>
      <c r="J322" s="2"/>
      <c r="K322" s="2"/>
      <c r="L322" s="2"/>
      <c r="M322" s="2"/>
      <c r="N322" s="2"/>
      <c r="O322" s="2"/>
      <c r="P322" s="2"/>
      <c r="Q322" s="2"/>
      <c r="R322" s="2"/>
      <c r="S322" s="2"/>
      <c r="T322" s="2"/>
      <c r="U322" s="2"/>
    </row>
    <row r="323">
      <c r="A323" s="2"/>
      <c r="B323" s="2"/>
      <c r="C323" s="2"/>
      <c r="D323" s="2"/>
      <c r="E323" s="2"/>
      <c r="F323" s="2"/>
      <c r="G323" s="2"/>
      <c r="H323" s="2"/>
      <c r="I323" s="2"/>
      <c r="J323" s="2"/>
      <c r="K323" s="2"/>
      <c r="L323" s="2"/>
      <c r="M323" s="2"/>
      <c r="N323" s="2"/>
      <c r="O323" s="2"/>
      <c r="P323" s="2"/>
      <c r="Q323" s="2"/>
      <c r="R323" s="2"/>
      <c r="S323" s="2"/>
      <c r="T323" s="2"/>
      <c r="U323" s="2"/>
    </row>
    <row r="324">
      <c r="A324" s="2"/>
      <c r="B324" s="2"/>
      <c r="C324" s="2"/>
      <c r="D324" s="2"/>
      <c r="E324" s="2"/>
      <c r="F324" s="2"/>
      <c r="G324" s="2"/>
      <c r="H324" s="2"/>
      <c r="I324" s="2"/>
      <c r="J324" s="2"/>
      <c r="K324" s="2"/>
      <c r="L324" s="2"/>
      <c r="M324" s="2"/>
      <c r="N324" s="2"/>
      <c r="O324" s="2"/>
      <c r="P324" s="2"/>
      <c r="Q324" s="2"/>
      <c r="R324" s="2"/>
      <c r="S324" s="2"/>
      <c r="T324" s="2"/>
      <c r="U324" s="2"/>
    </row>
    <row r="325">
      <c r="A325" s="2"/>
      <c r="B325" s="2"/>
      <c r="C325" s="2"/>
      <c r="D325" s="2"/>
      <c r="E325" s="2"/>
      <c r="F325" s="2"/>
      <c r="G325" s="2"/>
      <c r="H325" s="2"/>
      <c r="I325" s="2"/>
      <c r="J325" s="2"/>
      <c r="K325" s="2"/>
      <c r="L325" s="2"/>
      <c r="M325" s="2"/>
      <c r="N325" s="2"/>
      <c r="O325" s="2"/>
      <c r="P325" s="2"/>
      <c r="Q325" s="2"/>
      <c r="R325" s="2"/>
      <c r="S325" s="2"/>
      <c r="T325" s="2"/>
      <c r="U325" s="2"/>
    </row>
    <row r="326">
      <c r="A326" s="2"/>
      <c r="B326" s="2"/>
      <c r="C326" s="2"/>
      <c r="D326" s="2"/>
      <c r="E326" s="2"/>
      <c r="F326" s="2"/>
      <c r="G326" s="2"/>
      <c r="H326" s="2"/>
      <c r="I326" s="2"/>
      <c r="J326" s="2"/>
      <c r="K326" s="2"/>
      <c r="L326" s="2"/>
      <c r="M326" s="2"/>
      <c r="N326" s="2"/>
      <c r="O326" s="2"/>
      <c r="P326" s="2"/>
      <c r="Q326" s="2"/>
      <c r="R326" s="2"/>
      <c r="S326" s="2"/>
      <c r="T326" s="2"/>
      <c r="U326" s="2"/>
    </row>
    <row r="327">
      <c r="A327" s="2"/>
      <c r="B327" s="2"/>
      <c r="C327" s="2"/>
      <c r="D327" s="2"/>
      <c r="E327" s="2"/>
      <c r="F327" s="2"/>
      <c r="G327" s="2"/>
      <c r="H327" s="2"/>
      <c r="I327" s="2"/>
      <c r="J327" s="2"/>
      <c r="K327" s="2"/>
      <c r="L327" s="2"/>
      <c r="M327" s="2"/>
      <c r="N327" s="2"/>
      <c r="O327" s="2"/>
      <c r="P327" s="2"/>
      <c r="Q327" s="2"/>
      <c r="R327" s="2"/>
      <c r="S327" s="2"/>
      <c r="T327" s="2"/>
      <c r="U327" s="2"/>
    </row>
    <row r="328">
      <c r="A328" s="2"/>
      <c r="B328" s="2"/>
      <c r="C328" s="2"/>
      <c r="D328" s="2"/>
      <c r="E328" s="2"/>
      <c r="F328" s="2"/>
      <c r="G328" s="2"/>
      <c r="H328" s="2"/>
      <c r="I328" s="2"/>
      <c r="J328" s="2"/>
      <c r="K328" s="2"/>
      <c r="L328" s="2"/>
      <c r="M328" s="2"/>
      <c r="N328" s="2"/>
      <c r="O328" s="2"/>
      <c r="P328" s="2"/>
      <c r="Q328" s="2"/>
      <c r="R328" s="2"/>
      <c r="S328" s="2"/>
      <c r="T328" s="2"/>
      <c r="U328" s="2"/>
    </row>
    <row r="329">
      <c r="A329" s="2"/>
      <c r="B329" s="2"/>
      <c r="C329" s="2"/>
      <c r="D329" s="2"/>
      <c r="E329" s="2"/>
      <c r="F329" s="2"/>
      <c r="G329" s="2"/>
      <c r="H329" s="2"/>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2"/>
      <c r="B332" s="2"/>
      <c r="C332" s="2"/>
      <c r="D332" s="2"/>
      <c r="E332" s="2"/>
      <c r="F332" s="2"/>
      <c r="G332" s="2"/>
      <c r="H332" s="2"/>
      <c r="I332" s="2"/>
      <c r="J332" s="2"/>
      <c r="K332" s="2"/>
      <c r="L332" s="2"/>
      <c r="M332" s="2"/>
      <c r="N332" s="2"/>
      <c r="O332" s="2"/>
      <c r="P332" s="2"/>
      <c r="Q332" s="2"/>
      <c r="R332" s="2"/>
      <c r="S332" s="2"/>
      <c r="T332" s="2"/>
      <c r="U332" s="2"/>
    </row>
    <row r="333">
      <c r="A333" s="2"/>
      <c r="B333" s="2"/>
      <c r="C333" s="2"/>
      <c r="D333" s="2"/>
      <c r="E333" s="2"/>
      <c r="F333" s="2"/>
      <c r="G333" s="2"/>
      <c r="H333" s="2"/>
      <c r="I333" s="2"/>
      <c r="J333" s="2"/>
      <c r="K333" s="2"/>
      <c r="L333" s="2"/>
      <c r="M333" s="2"/>
      <c r="N333" s="2"/>
      <c r="O333" s="2"/>
      <c r="P333" s="2"/>
      <c r="Q333" s="2"/>
      <c r="R333" s="2"/>
      <c r="S333" s="2"/>
      <c r="T333" s="2"/>
      <c r="U333" s="2"/>
    </row>
    <row r="334">
      <c r="A334" s="2"/>
      <c r="B334" s="2"/>
      <c r="C334" s="2"/>
      <c r="D334" s="2"/>
      <c r="E334" s="2"/>
      <c r="F334" s="2"/>
      <c r="G334" s="2"/>
      <c r="H334" s="2"/>
      <c r="I334" s="2"/>
      <c r="J334" s="2"/>
      <c r="K334" s="2"/>
      <c r="L334" s="2"/>
      <c r="M334" s="2"/>
      <c r="N334" s="2"/>
      <c r="O334" s="2"/>
      <c r="P334" s="2"/>
      <c r="Q334" s="2"/>
      <c r="R334" s="2"/>
      <c r="S334" s="2"/>
      <c r="T334" s="2"/>
      <c r="U334" s="2"/>
    </row>
    <row r="335">
      <c r="A335" s="2"/>
      <c r="B335" s="2"/>
      <c r="C335" s="2"/>
      <c r="D335" s="2"/>
      <c r="E335" s="2"/>
      <c r="F335" s="2"/>
      <c r="G335" s="2"/>
      <c r="H335" s="2"/>
      <c r="I335" s="2"/>
      <c r="J335" s="2"/>
      <c r="K335" s="2"/>
      <c r="L335" s="2"/>
      <c r="M335" s="2"/>
      <c r="N335" s="2"/>
      <c r="O335" s="2"/>
      <c r="P335" s="2"/>
      <c r="Q335" s="2"/>
      <c r="R335" s="2"/>
      <c r="S335" s="2"/>
      <c r="T335" s="2"/>
      <c r="U335" s="2"/>
    </row>
    <row r="336">
      <c r="A336" s="2"/>
      <c r="B336" s="2"/>
      <c r="C336" s="2"/>
      <c r="D336" s="2"/>
      <c r="E336" s="2"/>
      <c r="F336" s="2"/>
      <c r="G336" s="2"/>
      <c r="H336" s="2"/>
      <c r="I336" s="2"/>
      <c r="J336" s="2"/>
      <c r="K336" s="2"/>
      <c r="L336" s="2"/>
      <c r="M336" s="2"/>
      <c r="N336" s="2"/>
      <c r="O336" s="2"/>
      <c r="P336" s="2"/>
      <c r="Q336" s="2"/>
      <c r="R336" s="2"/>
      <c r="S336" s="2"/>
      <c r="T336" s="2"/>
      <c r="U336" s="2"/>
    </row>
    <row r="337">
      <c r="A337" s="2"/>
      <c r="B337" s="2"/>
      <c r="C337" s="2"/>
      <c r="D337" s="2"/>
      <c r="E337" s="2"/>
      <c r="F337" s="2"/>
      <c r="G337" s="2"/>
      <c r="H337" s="2"/>
      <c r="I337" s="2"/>
      <c r="J337" s="2"/>
      <c r="K337" s="2"/>
      <c r="L337" s="2"/>
      <c r="M337" s="2"/>
      <c r="N337" s="2"/>
      <c r="O337" s="2"/>
      <c r="P337" s="2"/>
      <c r="Q337" s="2"/>
      <c r="R337" s="2"/>
      <c r="S337" s="2"/>
      <c r="T337" s="2"/>
      <c r="U337" s="2"/>
    </row>
    <row r="338">
      <c r="A338" s="2"/>
      <c r="B338" s="2"/>
      <c r="C338" s="2"/>
      <c r="D338" s="2"/>
      <c r="E338" s="2"/>
      <c r="F338" s="2"/>
      <c r="G338" s="2"/>
      <c r="H338" s="2"/>
      <c r="I338" s="2"/>
      <c r="J338" s="2"/>
      <c r="K338" s="2"/>
      <c r="L338" s="2"/>
      <c r="M338" s="2"/>
      <c r="N338" s="2"/>
      <c r="O338" s="2"/>
      <c r="P338" s="2"/>
      <c r="Q338" s="2"/>
      <c r="R338" s="2"/>
      <c r="S338" s="2"/>
      <c r="T338" s="2"/>
      <c r="U338" s="2"/>
    </row>
    <row r="339">
      <c r="A339" s="2"/>
      <c r="B339" s="2"/>
      <c r="C339" s="2"/>
      <c r="D339" s="2"/>
      <c r="E339" s="2"/>
      <c r="F339" s="2"/>
      <c r="G339" s="2"/>
      <c r="H339" s="2"/>
      <c r="I339" s="2"/>
      <c r="J339" s="2"/>
      <c r="K339" s="2"/>
      <c r="L339" s="2"/>
      <c r="M339" s="2"/>
      <c r="N339" s="2"/>
      <c r="O339" s="2"/>
      <c r="P339" s="2"/>
      <c r="Q339" s="2"/>
      <c r="R339" s="2"/>
      <c r="S339" s="2"/>
      <c r="T339" s="2"/>
      <c r="U339" s="2"/>
    </row>
    <row r="340">
      <c r="A340" s="2"/>
      <c r="B340" s="2"/>
      <c r="C340" s="2"/>
      <c r="D340" s="2"/>
      <c r="E340" s="2"/>
      <c r="F340" s="2"/>
      <c r="G340" s="2"/>
      <c r="H340" s="2"/>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2"/>
      <c r="B343" s="2"/>
      <c r="C343" s="2"/>
      <c r="D343" s="2"/>
      <c r="E343" s="2"/>
      <c r="F343" s="2"/>
      <c r="G343" s="2"/>
      <c r="H343" s="2"/>
      <c r="I343" s="2"/>
      <c r="J343" s="2"/>
      <c r="K343" s="2"/>
      <c r="L343" s="2"/>
      <c r="M343" s="2"/>
      <c r="N343" s="2"/>
      <c r="O343" s="2"/>
      <c r="P343" s="2"/>
      <c r="Q343" s="2"/>
      <c r="R343" s="2"/>
      <c r="S343" s="2"/>
      <c r="T343" s="2"/>
      <c r="U343" s="2"/>
    </row>
    <row r="344">
      <c r="A344" s="2"/>
      <c r="B344" s="2"/>
      <c r="C344" s="2"/>
      <c r="D344" s="2"/>
      <c r="E344" s="2"/>
      <c r="F344" s="2"/>
      <c r="G344" s="2"/>
      <c r="H344" s="2"/>
      <c r="I344" s="2"/>
      <c r="J344" s="2"/>
      <c r="K344" s="2"/>
      <c r="L344" s="2"/>
      <c r="M344" s="2"/>
      <c r="N344" s="2"/>
      <c r="O344" s="2"/>
      <c r="P344" s="2"/>
      <c r="Q344" s="2"/>
      <c r="R344" s="2"/>
      <c r="S344" s="2"/>
      <c r="T344" s="2"/>
      <c r="U344" s="2"/>
    </row>
    <row r="345">
      <c r="A345" s="2"/>
      <c r="B345" s="2"/>
      <c r="C345" s="2"/>
      <c r="D345" s="2"/>
      <c r="E345" s="2"/>
      <c r="F345" s="2"/>
      <c r="G345" s="2"/>
      <c r="H345" s="2"/>
      <c r="I345" s="2"/>
      <c r="J345" s="2"/>
      <c r="K345" s="2"/>
      <c r="L345" s="2"/>
      <c r="M345" s="2"/>
      <c r="N345" s="2"/>
      <c r="O345" s="2"/>
      <c r="P345" s="2"/>
      <c r="Q345" s="2"/>
      <c r="R345" s="2"/>
      <c r="S345" s="2"/>
      <c r="T345" s="2"/>
      <c r="U345" s="2"/>
    </row>
    <row r="346">
      <c r="A346" s="2"/>
      <c r="B346" s="2"/>
      <c r="C346" s="2"/>
      <c r="D346" s="2"/>
      <c r="E346" s="2"/>
      <c r="F346" s="2"/>
      <c r="G346" s="2"/>
      <c r="H346" s="2"/>
      <c r="I346" s="2"/>
      <c r="J346" s="2"/>
      <c r="K346" s="2"/>
      <c r="L346" s="2"/>
      <c r="M346" s="2"/>
      <c r="N346" s="2"/>
      <c r="O346" s="2"/>
      <c r="P346" s="2"/>
      <c r="Q346" s="2"/>
      <c r="R346" s="2"/>
      <c r="S346" s="2"/>
      <c r="T346" s="2"/>
      <c r="U346" s="2"/>
    </row>
    <row r="347">
      <c r="A347" s="2"/>
      <c r="B347" s="2"/>
      <c r="C347" s="2"/>
      <c r="D347" s="2"/>
      <c r="E347" s="2"/>
      <c r="F347" s="2"/>
      <c r="G347" s="2"/>
      <c r="H347" s="2"/>
      <c r="I347" s="2"/>
      <c r="J347" s="2"/>
      <c r="K347" s="2"/>
      <c r="L347" s="2"/>
      <c r="M347" s="2"/>
      <c r="N347" s="2"/>
      <c r="O347" s="2"/>
      <c r="P347" s="2"/>
      <c r="Q347" s="2"/>
      <c r="R347" s="2"/>
      <c r="S347" s="2"/>
      <c r="T347" s="2"/>
      <c r="U347" s="2"/>
    </row>
    <row r="348">
      <c r="A348" s="2"/>
      <c r="B348" s="2"/>
      <c r="C348" s="2"/>
      <c r="D348" s="2"/>
      <c r="E348" s="2"/>
      <c r="F348" s="2"/>
      <c r="G348" s="2"/>
      <c r="H348" s="2"/>
      <c r="I348" s="2"/>
      <c r="J348" s="2"/>
      <c r="K348" s="2"/>
      <c r="L348" s="2"/>
      <c r="M348" s="2"/>
      <c r="N348" s="2"/>
      <c r="O348" s="2"/>
      <c r="P348" s="2"/>
      <c r="Q348" s="2"/>
      <c r="R348" s="2"/>
      <c r="S348" s="2"/>
      <c r="T348" s="2"/>
      <c r="U348" s="2"/>
    </row>
    <row r="349">
      <c r="A349" s="2"/>
      <c r="B349" s="2"/>
      <c r="C349" s="2"/>
      <c r="D349" s="2"/>
      <c r="E349" s="2"/>
      <c r="F349" s="2"/>
      <c r="G349" s="2"/>
      <c r="H349" s="2"/>
      <c r="I349" s="2"/>
      <c r="J349" s="2"/>
      <c r="K349" s="2"/>
      <c r="L349" s="2"/>
      <c r="M349" s="2"/>
      <c r="N349" s="2"/>
      <c r="O349" s="2"/>
      <c r="P349" s="2"/>
      <c r="Q349" s="2"/>
      <c r="R349" s="2"/>
      <c r="S349" s="2"/>
      <c r="T349" s="2"/>
      <c r="U349" s="2"/>
    </row>
    <row r="350">
      <c r="A350" s="2"/>
      <c r="B350" s="2"/>
      <c r="C350" s="2"/>
      <c r="D350" s="2"/>
      <c r="E350" s="2"/>
      <c r="F350" s="2"/>
      <c r="G350" s="2"/>
      <c r="H350" s="2"/>
      <c r="I350" s="2"/>
      <c r="J350" s="2"/>
      <c r="K350" s="2"/>
      <c r="L350" s="2"/>
      <c r="M350" s="2"/>
      <c r="N350" s="2"/>
      <c r="O350" s="2"/>
      <c r="P350" s="2"/>
      <c r="Q350" s="2"/>
      <c r="R350" s="2"/>
      <c r="S350" s="2"/>
      <c r="T350" s="2"/>
      <c r="U350" s="2"/>
    </row>
    <row r="351">
      <c r="A351" s="2"/>
      <c r="B351" s="2"/>
      <c r="C351" s="2"/>
      <c r="D351" s="2"/>
      <c r="E351" s="2"/>
      <c r="F351" s="2"/>
      <c r="G351" s="2"/>
      <c r="H351" s="2"/>
      <c r="I351" s="2"/>
      <c r="J351" s="2"/>
      <c r="K351" s="2"/>
      <c r="L351" s="2"/>
      <c r="M351" s="2"/>
      <c r="N351" s="2"/>
      <c r="O351" s="2"/>
      <c r="P351" s="2"/>
      <c r="Q351" s="2"/>
      <c r="R351" s="2"/>
      <c r="S351" s="2"/>
      <c r="T351" s="2"/>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2"/>
      <c r="B354" s="2"/>
      <c r="C354" s="2"/>
      <c r="D354" s="2"/>
      <c r="E354" s="2"/>
      <c r="F354" s="2"/>
      <c r="G354" s="2"/>
      <c r="H354" s="2"/>
      <c r="I354" s="2"/>
      <c r="J354" s="2"/>
      <c r="K354" s="2"/>
      <c r="L354" s="2"/>
      <c r="M354" s="2"/>
      <c r="N354" s="2"/>
      <c r="O354" s="2"/>
      <c r="P354" s="2"/>
      <c r="Q354" s="2"/>
      <c r="R354" s="2"/>
      <c r="S354" s="2"/>
      <c r="T354" s="2"/>
      <c r="U354" s="2"/>
    </row>
    <row r="355">
      <c r="A355" s="2"/>
      <c r="B355" s="2"/>
      <c r="C355" s="2"/>
      <c r="D355" s="2"/>
      <c r="E355" s="2"/>
      <c r="F355" s="2"/>
      <c r="G355" s="2"/>
      <c r="H355" s="2"/>
      <c r="I355" s="2"/>
      <c r="J355" s="2"/>
      <c r="K355" s="2"/>
      <c r="L355" s="2"/>
      <c r="M355" s="2"/>
      <c r="N355" s="2"/>
      <c r="O355" s="2"/>
      <c r="P355" s="2"/>
      <c r="Q355" s="2"/>
      <c r="R355" s="2"/>
      <c r="S355" s="2"/>
      <c r="T355" s="2"/>
      <c r="U355" s="2"/>
    </row>
    <row r="356">
      <c r="A356" s="2"/>
      <c r="B356" s="2"/>
      <c r="C356" s="2"/>
      <c r="D356" s="2"/>
      <c r="E356" s="2"/>
      <c r="F356" s="2"/>
      <c r="G356" s="2"/>
      <c r="H356" s="2"/>
      <c r="I356" s="2"/>
      <c r="J356" s="2"/>
      <c r="K356" s="2"/>
      <c r="L356" s="2"/>
      <c r="M356" s="2"/>
      <c r="N356" s="2"/>
      <c r="O356" s="2"/>
      <c r="P356" s="2"/>
      <c r="Q356" s="2"/>
      <c r="R356" s="2"/>
      <c r="S356" s="2"/>
      <c r="T356" s="2"/>
      <c r="U356" s="2"/>
    </row>
    <row r="357">
      <c r="A357" s="2"/>
      <c r="B357" s="2"/>
      <c r="C357" s="2"/>
      <c r="D357" s="2"/>
      <c r="E357" s="2"/>
      <c r="F357" s="2"/>
      <c r="G357" s="2"/>
      <c r="H357" s="2"/>
      <c r="I357" s="2"/>
      <c r="J357" s="2"/>
      <c r="K357" s="2"/>
      <c r="L357" s="2"/>
      <c r="M357" s="2"/>
      <c r="N357" s="2"/>
      <c r="O357" s="2"/>
      <c r="P357" s="2"/>
      <c r="Q357" s="2"/>
      <c r="R357" s="2"/>
      <c r="S357" s="2"/>
      <c r="T357" s="2"/>
      <c r="U357" s="2"/>
    </row>
    <row r="358">
      <c r="A358" s="2"/>
      <c r="B358" s="2"/>
      <c r="C358" s="2"/>
      <c r="D358" s="2"/>
      <c r="E358" s="2"/>
      <c r="F358" s="2"/>
      <c r="G358" s="2"/>
      <c r="H358" s="2"/>
      <c r="I358" s="2"/>
      <c r="J358" s="2"/>
      <c r="K358" s="2"/>
      <c r="L358" s="2"/>
      <c r="M358" s="2"/>
      <c r="N358" s="2"/>
      <c r="O358" s="2"/>
      <c r="P358" s="2"/>
      <c r="Q358" s="2"/>
      <c r="R358" s="2"/>
      <c r="S358" s="2"/>
      <c r="T358" s="2"/>
      <c r="U358" s="2"/>
    </row>
    <row r="359">
      <c r="A359" s="2"/>
      <c r="B359" s="2"/>
      <c r="C359" s="2"/>
      <c r="D359" s="2"/>
      <c r="E359" s="2"/>
      <c r="F359" s="2"/>
      <c r="G359" s="2"/>
      <c r="H359" s="2"/>
      <c r="I359" s="2"/>
      <c r="J359" s="2"/>
      <c r="K359" s="2"/>
      <c r="L359" s="2"/>
      <c r="M359" s="2"/>
      <c r="N359" s="2"/>
      <c r="O359" s="2"/>
      <c r="P359" s="2"/>
      <c r="Q359" s="2"/>
      <c r="R359" s="2"/>
      <c r="S359" s="2"/>
      <c r="T359" s="2"/>
      <c r="U359" s="2"/>
    </row>
    <row r="360">
      <c r="A360" s="2"/>
      <c r="B360" s="2"/>
      <c r="C360" s="2"/>
      <c r="D360" s="2"/>
      <c r="E360" s="2"/>
      <c r="F360" s="2"/>
      <c r="G360" s="2"/>
      <c r="H360" s="2"/>
      <c r="I360" s="2"/>
      <c r="J360" s="2"/>
      <c r="K360" s="2"/>
      <c r="L360" s="2"/>
      <c r="M360" s="2"/>
      <c r="N360" s="2"/>
      <c r="O360" s="2"/>
      <c r="P360" s="2"/>
      <c r="Q360" s="2"/>
      <c r="R360" s="2"/>
      <c r="S360" s="2"/>
      <c r="T360" s="2"/>
      <c r="U360" s="2"/>
    </row>
    <row r="361">
      <c r="A361" s="2"/>
      <c r="B361" s="2"/>
      <c r="C361" s="2"/>
      <c r="D361" s="2"/>
      <c r="E361" s="2"/>
      <c r="F361" s="2"/>
      <c r="G361" s="2"/>
      <c r="H361" s="2"/>
      <c r="I361" s="2"/>
      <c r="J361" s="2"/>
      <c r="K361" s="2"/>
      <c r="L361" s="2"/>
      <c r="M361" s="2"/>
      <c r="N361" s="2"/>
      <c r="O361" s="2"/>
      <c r="P361" s="2"/>
      <c r="Q361" s="2"/>
      <c r="R361" s="2"/>
      <c r="S361" s="2"/>
      <c r="T361" s="2"/>
      <c r="U361" s="2"/>
    </row>
    <row r="362">
      <c r="A362" s="2"/>
      <c r="B362" s="2"/>
      <c r="C362" s="2"/>
      <c r="D362" s="2"/>
      <c r="E362" s="2"/>
      <c r="F362" s="2"/>
      <c r="G362" s="2"/>
      <c r="H362" s="2"/>
      <c r="I362" s="2"/>
      <c r="J362" s="2"/>
      <c r="K362" s="2"/>
      <c r="L362" s="2"/>
      <c r="M362" s="2"/>
      <c r="N362" s="2"/>
      <c r="O362" s="2"/>
      <c r="P362" s="2"/>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2"/>
      <c r="C364" s="2"/>
      <c r="D364" s="2"/>
      <c r="E364" s="2"/>
      <c r="F364" s="2"/>
      <c r="G364" s="2"/>
      <c r="H364" s="2"/>
      <c r="I364" s="2"/>
      <c r="J364" s="2"/>
      <c r="K364" s="2"/>
      <c r="L364" s="2"/>
      <c r="M364" s="2"/>
      <c r="N364" s="2"/>
      <c r="O364" s="2"/>
      <c r="P364" s="2"/>
      <c r="Q364" s="2"/>
      <c r="R364" s="2"/>
      <c r="S364" s="2"/>
      <c r="T364" s="2"/>
      <c r="U364" s="2"/>
    </row>
    <row r="365">
      <c r="A365" s="2"/>
      <c r="B365" s="2"/>
      <c r="C365" s="2"/>
      <c r="D365" s="2"/>
      <c r="E365" s="2"/>
      <c r="F365" s="2"/>
      <c r="G365" s="2"/>
      <c r="H365" s="2"/>
      <c r="I365" s="2"/>
      <c r="J365" s="2"/>
      <c r="K365" s="2"/>
      <c r="L365" s="2"/>
      <c r="M365" s="2"/>
      <c r="N365" s="2"/>
      <c r="O365" s="2"/>
      <c r="P365" s="2"/>
      <c r="Q365" s="2"/>
      <c r="R365" s="2"/>
      <c r="S365" s="2"/>
      <c r="T365" s="2"/>
      <c r="U365" s="2"/>
    </row>
    <row r="366">
      <c r="A366" s="2"/>
      <c r="B366" s="2"/>
      <c r="C366" s="2"/>
      <c r="D366" s="2"/>
      <c r="E366" s="2"/>
      <c r="F366" s="2"/>
      <c r="G366" s="2"/>
      <c r="H366" s="2"/>
      <c r="I366" s="2"/>
      <c r="J366" s="2"/>
      <c r="K366" s="2"/>
      <c r="L366" s="2"/>
      <c r="M366" s="2"/>
      <c r="N366" s="2"/>
      <c r="O366" s="2"/>
      <c r="P366" s="2"/>
      <c r="Q366" s="2"/>
      <c r="R366" s="2"/>
      <c r="S366" s="2"/>
      <c r="T366" s="2"/>
      <c r="U366" s="2"/>
    </row>
    <row r="367">
      <c r="A367" s="2"/>
      <c r="B367" s="2"/>
      <c r="C367" s="2"/>
      <c r="D367" s="2"/>
      <c r="E367" s="2"/>
      <c r="F367" s="2"/>
      <c r="G367" s="2"/>
      <c r="H367" s="2"/>
      <c r="I367" s="2"/>
      <c r="J367" s="2"/>
      <c r="K367" s="2"/>
      <c r="L367" s="2"/>
      <c r="M367" s="2"/>
      <c r="N367" s="2"/>
      <c r="O367" s="2"/>
      <c r="P367" s="2"/>
      <c r="Q367" s="2"/>
      <c r="R367" s="2"/>
      <c r="S367" s="2"/>
      <c r="T367" s="2"/>
      <c r="U367" s="2"/>
    </row>
    <row r="368">
      <c r="A368" s="2"/>
      <c r="B368" s="2"/>
      <c r="C368" s="2"/>
      <c r="D368" s="2"/>
      <c r="E368" s="2"/>
      <c r="F368" s="2"/>
      <c r="G368" s="2"/>
      <c r="H368" s="2"/>
      <c r="I368" s="2"/>
      <c r="J368" s="2"/>
      <c r="K368" s="2"/>
      <c r="L368" s="2"/>
      <c r="M368" s="2"/>
      <c r="N368" s="2"/>
      <c r="O368" s="2"/>
      <c r="P368" s="2"/>
      <c r="Q368" s="2"/>
      <c r="R368" s="2"/>
      <c r="S368" s="2"/>
      <c r="T368" s="2"/>
      <c r="U368" s="2"/>
    </row>
    <row r="369">
      <c r="A369" s="2"/>
      <c r="B369" s="2"/>
      <c r="C369" s="2"/>
      <c r="D369" s="2"/>
      <c r="E369" s="2"/>
      <c r="F369" s="2"/>
      <c r="G369" s="2"/>
      <c r="H369" s="2"/>
      <c r="I369" s="2"/>
      <c r="J369" s="2"/>
      <c r="K369" s="2"/>
      <c r="L369" s="2"/>
      <c r="M369" s="2"/>
      <c r="N369" s="2"/>
      <c r="O369" s="2"/>
      <c r="P369" s="2"/>
      <c r="Q369" s="2"/>
      <c r="R369" s="2"/>
      <c r="S369" s="2"/>
      <c r="T369" s="2"/>
      <c r="U369" s="2"/>
    </row>
    <row r="370">
      <c r="A370" s="2"/>
      <c r="B370" s="2"/>
      <c r="C370" s="2"/>
      <c r="D370" s="2"/>
      <c r="E370" s="2"/>
      <c r="F370" s="2"/>
      <c r="G370" s="2"/>
      <c r="H370" s="2"/>
      <c r="I370" s="2"/>
      <c r="J370" s="2"/>
      <c r="K370" s="2"/>
      <c r="L370" s="2"/>
      <c r="M370" s="2"/>
      <c r="N370" s="2"/>
      <c r="O370" s="2"/>
      <c r="P370" s="2"/>
      <c r="Q370" s="2"/>
      <c r="R370" s="2"/>
      <c r="S370" s="2"/>
      <c r="T370" s="2"/>
      <c r="U370" s="2"/>
    </row>
    <row r="371">
      <c r="A371" s="2"/>
      <c r="B371" s="2"/>
      <c r="C371" s="2"/>
      <c r="D371" s="2"/>
      <c r="E371" s="2"/>
      <c r="F371" s="2"/>
      <c r="G371" s="2"/>
      <c r="H371" s="2"/>
      <c r="I371" s="2"/>
      <c r="J371" s="2"/>
      <c r="K371" s="2"/>
      <c r="L371" s="2"/>
      <c r="M371" s="2"/>
      <c r="N371" s="2"/>
      <c r="O371" s="2"/>
      <c r="P371" s="2"/>
      <c r="Q371" s="2"/>
      <c r="R371" s="2"/>
      <c r="S371" s="2"/>
      <c r="T371" s="2"/>
      <c r="U371" s="2"/>
    </row>
    <row r="372">
      <c r="A372" s="2"/>
      <c r="B372" s="2"/>
      <c r="C372" s="2"/>
      <c r="D372" s="2"/>
      <c r="E372" s="2"/>
      <c r="F372" s="2"/>
      <c r="G372" s="2"/>
      <c r="H372" s="2"/>
      <c r="I372" s="2"/>
      <c r="J372" s="2"/>
      <c r="K372" s="2"/>
      <c r="L372" s="2"/>
      <c r="M372" s="2"/>
      <c r="N372" s="2"/>
      <c r="O372" s="2"/>
      <c r="P372" s="2"/>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2"/>
      <c r="B375" s="2"/>
      <c r="C375" s="2"/>
      <c r="D375" s="2"/>
      <c r="E375" s="2"/>
      <c r="F375" s="2"/>
      <c r="G375" s="2"/>
      <c r="H375" s="2"/>
      <c r="I375" s="2"/>
      <c r="J375" s="2"/>
      <c r="K375" s="2"/>
      <c r="L375" s="2"/>
      <c r="M375" s="2"/>
      <c r="N375" s="2"/>
      <c r="O375" s="2"/>
      <c r="P375" s="2"/>
      <c r="Q375" s="2"/>
      <c r="R375" s="2"/>
      <c r="S375" s="2"/>
      <c r="T375" s="2"/>
      <c r="U375" s="2"/>
    </row>
    <row r="376">
      <c r="A376" s="2"/>
      <c r="B376" s="2"/>
      <c r="C376" s="2"/>
      <c r="D376" s="2"/>
      <c r="E376" s="2"/>
      <c r="F376" s="2"/>
      <c r="G376" s="2"/>
      <c r="H376" s="2"/>
      <c r="I376" s="2"/>
      <c r="J376" s="2"/>
      <c r="K376" s="2"/>
      <c r="L376" s="2"/>
      <c r="M376" s="2"/>
      <c r="N376" s="2"/>
      <c r="O376" s="2"/>
      <c r="P376" s="2"/>
      <c r="Q376" s="2"/>
      <c r="R376" s="2"/>
      <c r="S376" s="2"/>
      <c r="T376" s="2"/>
      <c r="U376" s="2"/>
    </row>
    <row r="377">
      <c r="A377" s="2"/>
      <c r="B377" s="2"/>
      <c r="C377" s="2"/>
      <c r="D377" s="2"/>
      <c r="E377" s="2"/>
      <c r="F377" s="2"/>
      <c r="G377" s="2"/>
      <c r="H377" s="2"/>
      <c r="I377" s="2"/>
      <c r="J377" s="2"/>
      <c r="K377" s="2"/>
      <c r="L377" s="2"/>
      <c r="M377" s="2"/>
      <c r="N377" s="2"/>
      <c r="O377" s="2"/>
      <c r="P377" s="2"/>
      <c r="Q377" s="2"/>
      <c r="R377" s="2"/>
      <c r="S377" s="2"/>
      <c r="T377" s="2"/>
      <c r="U377" s="2"/>
    </row>
    <row r="378">
      <c r="A378" s="2"/>
      <c r="B378" s="2"/>
      <c r="C378" s="2"/>
      <c r="D378" s="2"/>
      <c r="E378" s="2"/>
      <c r="F378" s="2"/>
      <c r="G378" s="2"/>
      <c r="H378" s="2"/>
      <c r="I378" s="2"/>
      <c r="J378" s="2"/>
      <c r="K378" s="2"/>
      <c r="L378" s="2"/>
      <c r="M378" s="2"/>
      <c r="N378" s="2"/>
      <c r="O378" s="2"/>
      <c r="P378" s="2"/>
      <c r="Q378" s="2"/>
      <c r="R378" s="2"/>
      <c r="S378" s="2"/>
      <c r="T378" s="2"/>
      <c r="U378" s="2"/>
    </row>
    <row r="379">
      <c r="A379" s="2"/>
      <c r="B379" s="2"/>
      <c r="C379" s="2"/>
      <c r="D379" s="2"/>
      <c r="E379" s="2"/>
      <c r="F379" s="2"/>
      <c r="G379" s="2"/>
      <c r="H379" s="2"/>
      <c r="I379" s="2"/>
      <c r="J379" s="2"/>
      <c r="K379" s="2"/>
      <c r="L379" s="2"/>
      <c r="M379" s="2"/>
      <c r="N379" s="2"/>
      <c r="O379" s="2"/>
      <c r="P379" s="2"/>
      <c r="Q379" s="2"/>
      <c r="R379" s="2"/>
      <c r="S379" s="2"/>
      <c r="T379" s="2"/>
      <c r="U379" s="2"/>
    </row>
    <row r="380">
      <c r="A380" s="2"/>
      <c r="B380" s="2"/>
      <c r="C380" s="2"/>
      <c r="D380" s="2"/>
      <c r="E380" s="2"/>
      <c r="F380" s="2"/>
      <c r="G380" s="2"/>
      <c r="H380" s="2"/>
      <c r="I380" s="2"/>
      <c r="J380" s="2"/>
      <c r="K380" s="2"/>
      <c r="L380" s="2"/>
      <c r="M380" s="2"/>
      <c r="N380" s="2"/>
      <c r="O380" s="2"/>
      <c r="P380" s="2"/>
      <c r="Q380" s="2"/>
      <c r="R380" s="2"/>
      <c r="S380" s="2"/>
      <c r="T380" s="2"/>
      <c r="U380" s="2"/>
    </row>
    <row r="381">
      <c r="A381" s="2"/>
      <c r="B381" s="2"/>
      <c r="C381" s="2"/>
      <c r="D381" s="2"/>
      <c r="E381" s="2"/>
      <c r="F381" s="2"/>
      <c r="G381" s="2"/>
      <c r="H381" s="2"/>
      <c r="I381" s="2"/>
      <c r="J381" s="2"/>
      <c r="K381" s="2"/>
      <c r="L381" s="2"/>
      <c r="M381" s="2"/>
      <c r="N381" s="2"/>
      <c r="O381" s="2"/>
      <c r="P381" s="2"/>
      <c r="Q381" s="2"/>
      <c r="R381" s="2"/>
      <c r="S381" s="2"/>
      <c r="T381" s="2"/>
      <c r="U381" s="2"/>
    </row>
    <row r="382">
      <c r="A382" s="2"/>
      <c r="B382" s="2"/>
      <c r="C382" s="2"/>
      <c r="D382" s="2"/>
      <c r="E382" s="2"/>
      <c r="F382" s="2"/>
      <c r="G382" s="2"/>
      <c r="H382" s="2"/>
      <c r="I382" s="2"/>
      <c r="J382" s="2"/>
      <c r="K382" s="2"/>
      <c r="L382" s="2"/>
      <c r="M382" s="2"/>
      <c r="N382" s="2"/>
      <c r="O382" s="2"/>
      <c r="P382" s="2"/>
      <c r="Q382" s="2"/>
      <c r="R382" s="2"/>
      <c r="S382" s="2"/>
      <c r="T382" s="2"/>
      <c r="U382" s="2"/>
    </row>
    <row r="383">
      <c r="A383" s="2"/>
      <c r="B383" s="2"/>
      <c r="C383" s="2"/>
      <c r="D383" s="2"/>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row r="549">
      <c r="A549" s="2"/>
      <c r="B549" s="2"/>
      <c r="C549" s="2"/>
      <c r="D549" s="2"/>
      <c r="E549" s="2"/>
      <c r="F549" s="2"/>
      <c r="G549" s="2"/>
      <c r="H549" s="2"/>
      <c r="I549" s="2"/>
      <c r="J549" s="2"/>
      <c r="K549" s="2"/>
      <c r="L549" s="2"/>
      <c r="M549" s="2"/>
      <c r="N549" s="2"/>
      <c r="O549" s="2"/>
      <c r="P549" s="2"/>
      <c r="Q549" s="2"/>
      <c r="R549" s="2"/>
      <c r="S549" s="2"/>
      <c r="T549" s="2"/>
      <c r="U549" s="2"/>
    </row>
    <row r="550">
      <c r="A550" s="2"/>
      <c r="B550" s="2"/>
      <c r="C550" s="2"/>
      <c r="D550" s="2"/>
      <c r="E550" s="2"/>
      <c r="F550" s="2"/>
      <c r="G550" s="2"/>
      <c r="H550" s="2"/>
      <c r="I550" s="2"/>
      <c r="J550" s="2"/>
      <c r="K550" s="2"/>
      <c r="L550" s="2"/>
      <c r="M550" s="2"/>
      <c r="N550" s="2"/>
      <c r="O550" s="2"/>
      <c r="P550" s="2"/>
      <c r="Q550" s="2"/>
      <c r="R550" s="2"/>
      <c r="S550" s="2"/>
      <c r="T550" s="2"/>
      <c r="U550" s="2"/>
    </row>
    <row r="551">
      <c r="A551" s="2"/>
      <c r="B551" s="2"/>
      <c r="C551" s="2"/>
      <c r="D551" s="2"/>
      <c r="E551" s="2"/>
      <c r="F551" s="2"/>
      <c r="G551" s="2"/>
      <c r="H551" s="2"/>
      <c r="I551" s="2"/>
      <c r="J551" s="2"/>
      <c r="K551" s="2"/>
      <c r="L551" s="2"/>
      <c r="M551" s="2"/>
      <c r="N551" s="2"/>
      <c r="O551" s="2"/>
      <c r="P551" s="2"/>
      <c r="Q551" s="2"/>
      <c r="R551" s="2"/>
      <c r="S551" s="2"/>
      <c r="T551" s="2"/>
      <c r="U551" s="2"/>
    </row>
    <row r="552">
      <c r="A552" s="2"/>
      <c r="B552" s="2"/>
      <c r="C552" s="2"/>
      <c r="D552" s="2"/>
      <c r="E552" s="2"/>
      <c r="F552" s="2"/>
      <c r="G552" s="2"/>
      <c r="H552" s="2"/>
      <c r="I552" s="2"/>
      <c r="J552" s="2"/>
      <c r="K552" s="2"/>
      <c r="L552" s="2"/>
      <c r="M552" s="2"/>
      <c r="N552" s="2"/>
      <c r="O552" s="2"/>
      <c r="P552" s="2"/>
      <c r="Q552" s="2"/>
      <c r="R552" s="2"/>
      <c r="S552" s="2"/>
      <c r="T552" s="2"/>
      <c r="U552" s="2"/>
    </row>
    <row r="553">
      <c r="A553" s="2"/>
      <c r="B553" s="2"/>
      <c r="C553" s="2"/>
      <c r="D553" s="2"/>
      <c r="E553" s="2"/>
      <c r="F553" s="2"/>
      <c r="G553" s="2"/>
      <c r="H553" s="2"/>
      <c r="I553" s="2"/>
      <c r="J553" s="2"/>
      <c r="K553" s="2"/>
      <c r="L553" s="2"/>
      <c r="M553" s="2"/>
      <c r="N553" s="2"/>
      <c r="O553" s="2"/>
      <c r="P553" s="2"/>
      <c r="Q553" s="2"/>
      <c r="R553" s="2"/>
      <c r="S553" s="2"/>
      <c r="T553" s="2"/>
      <c r="U553" s="2"/>
    </row>
    <row r="554">
      <c r="A554" s="2"/>
      <c r="B554" s="2"/>
      <c r="C554" s="2"/>
      <c r="D554" s="2"/>
      <c r="E554" s="2"/>
      <c r="F554" s="2"/>
      <c r="G554" s="2"/>
      <c r="H554" s="2"/>
      <c r="I554" s="2"/>
      <c r="J554" s="2"/>
      <c r="K554" s="2"/>
      <c r="L554" s="2"/>
      <c r="M554" s="2"/>
      <c r="N554" s="2"/>
      <c r="O554" s="2"/>
      <c r="P554" s="2"/>
      <c r="Q554" s="2"/>
      <c r="R554" s="2"/>
      <c r="S554" s="2"/>
      <c r="T554" s="2"/>
      <c r="U554" s="2"/>
    </row>
    <row r="555">
      <c r="A555" s="2"/>
      <c r="B555" s="2"/>
      <c r="C555" s="2"/>
      <c r="D555" s="2"/>
      <c r="E555" s="2"/>
      <c r="F555" s="2"/>
      <c r="G555" s="2"/>
      <c r="H555" s="2"/>
      <c r="I555" s="2"/>
      <c r="J555" s="2"/>
      <c r="K555" s="2"/>
      <c r="L555" s="2"/>
      <c r="M555" s="2"/>
      <c r="N555" s="2"/>
      <c r="O555" s="2"/>
      <c r="P555" s="2"/>
      <c r="Q555" s="2"/>
      <c r="R555" s="2"/>
      <c r="S555" s="2"/>
      <c r="T555" s="2"/>
      <c r="U555" s="2"/>
    </row>
    <row r="556">
      <c r="A556" s="2"/>
      <c r="B556" s="2"/>
      <c r="C556" s="2"/>
      <c r="D556" s="2"/>
      <c r="E556" s="2"/>
      <c r="F556" s="2"/>
      <c r="G556" s="2"/>
      <c r="H556" s="2"/>
      <c r="I556" s="2"/>
      <c r="J556" s="2"/>
      <c r="K556" s="2"/>
      <c r="L556" s="2"/>
      <c r="M556" s="2"/>
      <c r="N556" s="2"/>
      <c r="O556" s="2"/>
      <c r="P556" s="2"/>
      <c r="Q556" s="2"/>
      <c r="R556" s="2"/>
      <c r="S556" s="2"/>
      <c r="T556" s="2"/>
      <c r="U556" s="2"/>
    </row>
    <row r="557">
      <c r="A557" s="2"/>
      <c r="B557" s="2"/>
      <c r="C557" s="2"/>
      <c r="D557" s="2"/>
      <c r="E557" s="2"/>
      <c r="F557" s="2"/>
      <c r="G557" s="2"/>
      <c r="H557" s="2"/>
      <c r="I557" s="2"/>
      <c r="J557" s="2"/>
      <c r="K557" s="2"/>
      <c r="L557" s="2"/>
      <c r="M557" s="2"/>
      <c r="N557" s="2"/>
      <c r="O557" s="2"/>
      <c r="P557" s="2"/>
      <c r="Q557" s="2"/>
      <c r="R557" s="2"/>
      <c r="S557" s="2"/>
      <c r="T557" s="2"/>
      <c r="U557" s="2"/>
    </row>
    <row r="558">
      <c r="A558" s="2"/>
      <c r="B558" s="2"/>
      <c r="C558" s="2"/>
      <c r="D558" s="2"/>
      <c r="E558" s="2"/>
      <c r="F558" s="2"/>
      <c r="G558" s="2"/>
      <c r="H558" s="2"/>
      <c r="I558" s="2"/>
      <c r="J558" s="2"/>
      <c r="K558" s="2"/>
      <c r="L558" s="2"/>
      <c r="M558" s="2"/>
      <c r="N558" s="2"/>
      <c r="O558" s="2"/>
      <c r="P558" s="2"/>
      <c r="Q558" s="2"/>
      <c r="R558" s="2"/>
      <c r="S558" s="2"/>
      <c r="T558" s="2"/>
      <c r="U558" s="2"/>
    </row>
    <row r="559">
      <c r="A559" s="2"/>
      <c r="B559" s="2"/>
      <c r="C559" s="2"/>
      <c r="D559" s="2"/>
      <c r="E559" s="2"/>
      <c r="F559" s="2"/>
      <c r="G559" s="2"/>
      <c r="H559" s="2"/>
      <c r="I559" s="2"/>
      <c r="J559" s="2"/>
      <c r="K559" s="2"/>
      <c r="L559" s="2"/>
      <c r="M559" s="2"/>
      <c r="N559" s="2"/>
      <c r="O559" s="2"/>
      <c r="P559" s="2"/>
      <c r="Q559" s="2"/>
      <c r="R559" s="2"/>
      <c r="S559" s="2"/>
      <c r="T559" s="2"/>
      <c r="U559" s="2"/>
    </row>
    <row r="560">
      <c r="A560" s="2"/>
      <c r="B560" s="2"/>
      <c r="C560" s="2"/>
      <c r="D560" s="2"/>
      <c r="E560" s="2"/>
      <c r="F560" s="2"/>
      <c r="G560" s="2"/>
      <c r="H560" s="2"/>
      <c r="I560" s="2"/>
      <c r="J560" s="2"/>
      <c r="K560" s="2"/>
      <c r="L560" s="2"/>
      <c r="M560" s="2"/>
      <c r="N560" s="2"/>
      <c r="O560" s="2"/>
      <c r="P560" s="2"/>
      <c r="Q560" s="2"/>
      <c r="R560" s="2"/>
      <c r="S560" s="2"/>
      <c r="T560" s="2"/>
      <c r="U560" s="2"/>
    </row>
    <row r="561">
      <c r="A561" s="2"/>
      <c r="B561" s="2"/>
      <c r="C561" s="2"/>
      <c r="D561" s="2"/>
      <c r="E561" s="2"/>
      <c r="F561" s="2"/>
      <c r="G561" s="2"/>
      <c r="H561" s="2"/>
      <c r="I561" s="2"/>
      <c r="J561" s="2"/>
      <c r="K561" s="2"/>
      <c r="L561" s="2"/>
      <c r="M561" s="2"/>
      <c r="N561" s="2"/>
      <c r="O561" s="2"/>
      <c r="P561" s="2"/>
      <c r="Q561" s="2"/>
      <c r="R561" s="2"/>
      <c r="S561" s="2"/>
      <c r="T561" s="2"/>
      <c r="U561" s="2"/>
    </row>
    <row r="562">
      <c r="A562" s="2"/>
      <c r="B562" s="2"/>
      <c r="C562" s="2"/>
      <c r="D562" s="2"/>
      <c r="E562" s="2"/>
      <c r="F562" s="2"/>
      <c r="G562" s="2"/>
      <c r="H562" s="2"/>
      <c r="I562" s="2"/>
      <c r="J562" s="2"/>
      <c r="K562" s="2"/>
      <c r="L562" s="2"/>
      <c r="M562" s="2"/>
      <c r="N562" s="2"/>
      <c r="O562" s="2"/>
      <c r="P562" s="2"/>
      <c r="Q562" s="2"/>
      <c r="R562" s="2"/>
      <c r="S562" s="2"/>
      <c r="T562" s="2"/>
      <c r="U562" s="2"/>
    </row>
    <row r="563">
      <c r="A563" s="2"/>
      <c r="B563" s="2"/>
      <c r="C563" s="2"/>
      <c r="D563" s="2"/>
      <c r="E563" s="2"/>
      <c r="F563" s="2"/>
      <c r="G563" s="2"/>
      <c r="H563" s="2"/>
      <c r="I563" s="2"/>
      <c r="J563" s="2"/>
      <c r="K563" s="2"/>
      <c r="L563" s="2"/>
      <c r="M563" s="2"/>
      <c r="N563" s="2"/>
      <c r="O563" s="2"/>
      <c r="P563" s="2"/>
      <c r="Q563" s="2"/>
      <c r="R563" s="2"/>
      <c r="S563" s="2"/>
      <c r="T563" s="2"/>
      <c r="U563" s="2"/>
    </row>
    <row r="564">
      <c r="A564" s="2"/>
      <c r="B564" s="2"/>
      <c r="C564" s="2"/>
      <c r="D564" s="2"/>
      <c r="E564" s="2"/>
      <c r="F564" s="2"/>
      <c r="G564" s="2"/>
      <c r="H564" s="2"/>
      <c r="I564" s="2"/>
      <c r="J564" s="2"/>
      <c r="K564" s="2"/>
      <c r="L564" s="2"/>
      <c r="M564" s="2"/>
      <c r="N564" s="2"/>
      <c r="O564" s="2"/>
      <c r="P564" s="2"/>
      <c r="Q564" s="2"/>
      <c r="R564" s="2"/>
      <c r="S564" s="2"/>
      <c r="T564" s="2"/>
      <c r="U564" s="2"/>
    </row>
    <row r="565">
      <c r="A565" s="2"/>
      <c r="B565" s="2"/>
      <c r="C565" s="2"/>
      <c r="D565" s="2"/>
      <c r="E565" s="2"/>
      <c r="F565" s="2"/>
      <c r="G565" s="2"/>
      <c r="H565" s="2"/>
      <c r="I565" s="2"/>
      <c r="J565" s="2"/>
      <c r="K565" s="2"/>
      <c r="L565" s="2"/>
      <c r="M565" s="2"/>
      <c r="N565" s="2"/>
      <c r="O565" s="2"/>
      <c r="P565" s="2"/>
      <c r="Q565" s="2"/>
      <c r="R565" s="2"/>
      <c r="S565" s="2"/>
      <c r="T565" s="2"/>
      <c r="U565" s="2"/>
    </row>
    <row r="566">
      <c r="A566" s="2"/>
      <c r="B566" s="2"/>
      <c r="C566" s="2"/>
      <c r="D566" s="2"/>
      <c r="E566" s="2"/>
      <c r="F566" s="2"/>
      <c r="G566" s="2"/>
      <c r="H566" s="2"/>
      <c r="I566" s="2"/>
      <c r="J566" s="2"/>
      <c r="K566" s="2"/>
      <c r="L566" s="2"/>
      <c r="M566" s="2"/>
      <c r="N566" s="2"/>
      <c r="O566" s="2"/>
      <c r="P566" s="2"/>
      <c r="Q566" s="2"/>
      <c r="R566" s="2"/>
      <c r="S566" s="2"/>
      <c r="T566" s="2"/>
      <c r="U566" s="2"/>
    </row>
    <row r="567">
      <c r="A567" s="2"/>
      <c r="B567" s="2"/>
      <c r="C567" s="2"/>
      <c r="D567" s="2"/>
      <c r="E567" s="2"/>
      <c r="F567" s="2"/>
      <c r="G567" s="2"/>
      <c r="H567" s="2"/>
      <c r="I567" s="2"/>
      <c r="J567" s="2"/>
      <c r="K567" s="2"/>
      <c r="L567" s="2"/>
      <c r="M567" s="2"/>
      <c r="N567" s="2"/>
      <c r="O567" s="2"/>
      <c r="P567" s="2"/>
      <c r="Q567" s="2"/>
      <c r="R567" s="2"/>
      <c r="S567" s="2"/>
      <c r="T567" s="2"/>
      <c r="U567" s="2"/>
    </row>
    <row r="568">
      <c r="A568" s="2"/>
      <c r="B568" s="2"/>
      <c r="C568" s="2"/>
      <c r="D568" s="2"/>
      <c r="E568" s="2"/>
      <c r="F568" s="2"/>
      <c r="G568" s="2"/>
      <c r="H568" s="2"/>
      <c r="I568" s="2"/>
      <c r="J568" s="2"/>
      <c r="K568" s="2"/>
      <c r="L568" s="2"/>
      <c r="M568" s="2"/>
      <c r="N568" s="2"/>
      <c r="O568" s="2"/>
      <c r="P568" s="2"/>
      <c r="Q568" s="2"/>
      <c r="R568" s="2"/>
      <c r="S568" s="2"/>
      <c r="T568" s="2"/>
      <c r="U568" s="2"/>
    </row>
    <row r="569">
      <c r="A569" s="2"/>
      <c r="B569" s="2"/>
      <c r="C569" s="2"/>
      <c r="D569" s="2"/>
      <c r="E569" s="2"/>
      <c r="F569" s="2"/>
      <c r="G569" s="2"/>
      <c r="H569" s="2"/>
      <c r="I569" s="2"/>
      <c r="J569" s="2"/>
      <c r="K569" s="2"/>
      <c r="L569" s="2"/>
      <c r="M569" s="2"/>
      <c r="N569" s="2"/>
      <c r="O569" s="2"/>
      <c r="P569" s="2"/>
      <c r="Q569" s="2"/>
      <c r="R569" s="2"/>
      <c r="S569" s="2"/>
      <c r="T569" s="2"/>
      <c r="U569" s="2"/>
    </row>
    <row r="570">
      <c r="A570" s="2"/>
      <c r="B570" s="2"/>
      <c r="C570" s="2"/>
      <c r="D570" s="2"/>
      <c r="E570" s="2"/>
      <c r="F570" s="2"/>
      <c r="G570" s="2"/>
      <c r="H570" s="2"/>
      <c r="I570" s="2"/>
      <c r="J570" s="2"/>
      <c r="K570" s="2"/>
      <c r="L570" s="2"/>
      <c r="M570" s="2"/>
      <c r="N570" s="2"/>
      <c r="O570" s="2"/>
      <c r="P570" s="2"/>
      <c r="Q570" s="2"/>
      <c r="R570" s="2"/>
      <c r="S570" s="2"/>
      <c r="T570" s="2"/>
      <c r="U570" s="2"/>
    </row>
    <row r="571">
      <c r="A571" s="2"/>
      <c r="B571" s="2"/>
      <c r="C571" s="2"/>
      <c r="D571" s="2"/>
      <c r="E571" s="2"/>
      <c r="F571" s="2"/>
      <c r="G571" s="2"/>
      <c r="H571" s="2"/>
      <c r="I571" s="2"/>
      <c r="J571" s="2"/>
      <c r="K571" s="2"/>
      <c r="L571" s="2"/>
      <c r="M571" s="2"/>
      <c r="N571" s="2"/>
      <c r="O571" s="2"/>
      <c r="P571" s="2"/>
      <c r="Q571" s="2"/>
      <c r="R571" s="2"/>
      <c r="S571" s="2"/>
      <c r="T571" s="2"/>
      <c r="U571" s="2"/>
    </row>
    <row r="572">
      <c r="A572" s="2"/>
      <c r="B572" s="2"/>
      <c r="C572" s="2"/>
      <c r="D572" s="2"/>
      <c r="E572" s="2"/>
      <c r="F572" s="2"/>
      <c r="G572" s="2"/>
      <c r="H572" s="2"/>
      <c r="I572" s="2"/>
      <c r="J572" s="2"/>
      <c r="K572" s="2"/>
      <c r="L572" s="2"/>
      <c r="M572" s="2"/>
      <c r="N572" s="2"/>
      <c r="O572" s="2"/>
      <c r="P572" s="2"/>
      <c r="Q572" s="2"/>
      <c r="R572" s="2"/>
      <c r="S572" s="2"/>
      <c r="T572" s="2"/>
      <c r="U572" s="2"/>
    </row>
    <row r="573">
      <c r="A573" s="2"/>
      <c r="B573" s="2"/>
      <c r="C573" s="2"/>
      <c r="D573" s="2"/>
      <c r="E573" s="2"/>
      <c r="F573" s="2"/>
      <c r="G573" s="2"/>
      <c r="H573" s="2"/>
      <c r="I573" s="2"/>
      <c r="J573" s="2"/>
      <c r="K573" s="2"/>
      <c r="L573" s="2"/>
      <c r="M573" s="2"/>
      <c r="N573" s="2"/>
      <c r="O573" s="2"/>
      <c r="P573" s="2"/>
      <c r="Q573" s="2"/>
      <c r="R573" s="2"/>
      <c r="S573" s="2"/>
      <c r="T573" s="2"/>
      <c r="U573" s="2"/>
    </row>
    <row r="574">
      <c r="A574" s="2"/>
      <c r="B574" s="2"/>
      <c r="C574" s="2"/>
      <c r="D574" s="2"/>
      <c r="E574" s="2"/>
      <c r="F574" s="2"/>
      <c r="G574" s="2"/>
      <c r="H574" s="2"/>
      <c r="I574" s="2"/>
      <c r="J574" s="2"/>
      <c r="K574" s="2"/>
      <c r="L574" s="2"/>
      <c r="M574" s="2"/>
      <c r="N574" s="2"/>
      <c r="O574" s="2"/>
      <c r="P574" s="2"/>
      <c r="Q574" s="2"/>
      <c r="R574" s="2"/>
      <c r="S574" s="2"/>
      <c r="T574" s="2"/>
      <c r="U574" s="2"/>
    </row>
    <row r="575">
      <c r="A575" s="2"/>
      <c r="B575" s="2"/>
      <c r="C575" s="2"/>
      <c r="D575" s="2"/>
      <c r="E575" s="2"/>
      <c r="F575" s="2"/>
      <c r="G575" s="2"/>
      <c r="H575" s="2"/>
      <c r="I575" s="2"/>
      <c r="J575" s="2"/>
      <c r="K575" s="2"/>
      <c r="L575" s="2"/>
      <c r="M575" s="2"/>
      <c r="N575" s="2"/>
      <c r="O575" s="2"/>
      <c r="P575" s="2"/>
      <c r="Q575" s="2"/>
      <c r="R575" s="2"/>
      <c r="S575" s="2"/>
      <c r="T575" s="2"/>
      <c r="U575" s="2"/>
    </row>
    <row r="576">
      <c r="A576" s="2"/>
      <c r="B576" s="2"/>
      <c r="C576" s="2"/>
      <c r="D576" s="2"/>
      <c r="E576" s="2"/>
      <c r="F576" s="2"/>
      <c r="G576" s="2"/>
      <c r="H576" s="2"/>
      <c r="I576" s="2"/>
      <c r="J576" s="2"/>
      <c r="K576" s="2"/>
      <c r="L576" s="2"/>
      <c r="M576" s="2"/>
      <c r="N576" s="2"/>
      <c r="O576" s="2"/>
      <c r="P576" s="2"/>
      <c r="Q576" s="2"/>
      <c r="R576" s="2"/>
      <c r="S576" s="2"/>
      <c r="T576" s="2"/>
      <c r="U576" s="2"/>
    </row>
    <row r="577">
      <c r="A577" s="2"/>
      <c r="B577" s="2"/>
      <c r="C577" s="2"/>
      <c r="D577" s="2"/>
      <c r="E577" s="2"/>
      <c r="F577" s="2"/>
      <c r="G577" s="2"/>
      <c r="H577" s="2"/>
      <c r="I577" s="2"/>
      <c r="J577" s="2"/>
      <c r="K577" s="2"/>
      <c r="L577" s="2"/>
      <c r="M577" s="2"/>
      <c r="N577" s="2"/>
      <c r="O577" s="2"/>
      <c r="P577" s="2"/>
      <c r="Q577" s="2"/>
      <c r="R577" s="2"/>
      <c r="S577" s="2"/>
      <c r="T577" s="2"/>
      <c r="U577" s="2"/>
    </row>
    <row r="578">
      <c r="A578" s="2"/>
      <c r="B578" s="2"/>
      <c r="C578" s="2"/>
      <c r="D578" s="2"/>
      <c r="E578" s="2"/>
      <c r="F578" s="2"/>
      <c r="G578" s="2"/>
      <c r="H578" s="2"/>
      <c r="I578" s="2"/>
      <c r="J578" s="2"/>
      <c r="K578" s="2"/>
      <c r="L578" s="2"/>
      <c r="M578" s="2"/>
      <c r="N578" s="2"/>
      <c r="O578" s="2"/>
      <c r="P578" s="2"/>
      <c r="Q578" s="2"/>
      <c r="R578" s="2"/>
      <c r="S578" s="2"/>
      <c r="T578" s="2"/>
      <c r="U578" s="2"/>
    </row>
    <row r="579">
      <c r="A579" s="2"/>
      <c r="B579" s="2"/>
      <c r="C579" s="2"/>
      <c r="D579" s="2"/>
      <c r="E579" s="2"/>
      <c r="F579" s="2"/>
      <c r="G579" s="2"/>
      <c r="H579" s="2"/>
      <c r="I579" s="2"/>
      <c r="J579" s="2"/>
      <c r="K579" s="2"/>
      <c r="L579" s="2"/>
      <c r="M579" s="2"/>
      <c r="N579" s="2"/>
      <c r="O579" s="2"/>
      <c r="P579" s="2"/>
      <c r="Q579" s="2"/>
      <c r="R579" s="2"/>
      <c r="S579" s="2"/>
      <c r="T579" s="2"/>
      <c r="U579" s="2"/>
    </row>
    <row r="580">
      <c r="A580" s="2"/>
      <c r="B580" s="2"/>
      <c r="C580" s="2"/>
      <c r="D580" s="2"/>
      <c r="E580" s="2"/>
      <c r="F580" s="2"/>
      <c r="G580" s="2"/>
      <c r="H580" s="2"/>
      <c r="I580" s="2"/>
      <c r="J580" s="2"/>
      <c r="K580" s="2"/>
      <c r="L580" s="2"/>
      <c r="M580" s="2"/>
      <c r="N580" s="2"/>
      <c r="O580" s="2"/>
      <c r="P580" s="2"/>
      <c r="Q580" s="2"/>
      <c r="R580" s="2"/>
      <c r="S580" s="2"/>
      <c r="T580" s="2"/>
      <c r="U580" s="2"/>
    </row>
    <row r="581">
      <c r="A581" s="2"/>
      <c r="B581" s="2"/>
      <c r="C581" s="2"/>
      <c r="D581" s="2"/>
      <c r="E581" s="2"/>
      <c r="F581" s="2"/>
      <c r="G581" s="2"/>
      <c r="H581" s="2"/>
      <c r="I581" s="2"/>
      <c r="J581" s="2"/>
      <c r="K581" s="2"/>
      <c r="L581" s="2"/>
      <c r="M581" s="2"/>
      <c r="N581" s="2"/>
      <c r="O581" s="2"/>
      <c r="P581" s="2"/>
      <c r="Q581" s="2"/>
      <c r="R581" s="2"/>
      <c r="S581" s="2"/>
      <c r="T581" s="2"/>
      <c r="U581" s="2"/>
    </row>
    <row r="582">
      <c r="A582" s="2"/>
      <c r="B582" s="2"/>
      <c r="C582" s="2"/>
      <c r="D582" s="2"/>
      <c r="E582" s="2"/>
      <c r="F582" s="2"/>
      <c r="G582" s="2"/>
      <c r="H582" s="2"/>
      <c r="I582" s="2"/>
      <c r="J582" s="2"/>
      <c r="K582" s="2"/>
      <c r="L582" s="2"/>
      <c r="M582" s="2"/>
      <c r="N582" s="2"/>
      <c r="O582" s="2"/>
      <c r="P582" s="2"/>
      <c r="Q582" s="2"/>
      <c r="R582" s="2"/>
      <c r="S582" s="2"/>
      <c r="T582" s="2"/>
      <c r="U582" s="2"/>
    </row>
    <row r="583">
      <c r="A583" s="2"/>
      <c r="B583" s="2"/>
      <c r="C583" s="2"/>
      <c r="D583" s="2"/>
      <c r="E583" s="2"/>
      <c r="F583" s="2"/>
      <c r="G583" s="2"/>
      <c r="H583" s="2"/>
      <c r="I583" s="2"/>
      <c r="J583" s="2"/>
      <c r="K583" s="2"/>
      <c r="L583" s="2"/>
      <c r="M583" s="2"/>
      <c r="N583" s="2"/>
      <c r="O583" s="2"/>
      <c r="P583" s="2"/>
      <c r="Q583" s="2"/>
      <c r="R583" s="2"/>
      <c r="S583" s="2"/>
      <c r="T583" s="2"/>
      <c r="U583" s="2"/>
    </row>
    <row r="584">
      <c r="A584" s="2"/>
      <c r="B584" s="2"/>
      <c r="C584" s="2"/>
      <c r="D584" s="2"/>
      <c r="E584" s="2"/>
      <c r="F584" s="2"/>
      <c r="G584" s="2"/>
      <c r="H584" s="2"/>
      <c r="I584" s="2"/>
      <c r="J584" s="2"/>
      <c r="K584" s="2"/>
      <c r="L584" s="2"/>
      <c r="M584" s="2"/>
      <c r="N584" s="2"/>
      <c r="O584" s="2"/>
      <c r="P584" s="2"/>
      <c r="Q584" s="2"/>
      <c r="R584" s="2"/>
      <c r="S584" s="2"/>
      <c r="T584" s="2"/>
      <c r="U584" s="2"/>
    </row>
    <row r="585">
      <c r="A585" s="2"/>
      <c r="B585" s="2"/>
      <c r="C585" s="2"/>
      <c r="D585" s="2"/>
      <c r="E585" s="2"/>
      <c r="F585" s="2"/>
      <c r="G585" s="2"/>
      <c r="H585" s="2"/>
      <c r="I585" s="2"/>
      <c r="J585" s="2"/>
      <c r="K585" s="2"/>
      <c r="L585" s="2"/>
      <c r="M585" s="2"/>
      <c r="N585" s="2"/>
      <c r="O585" s="2"/>
      <c r="P585" s="2"/>
      <c r="Q585" s="2"/>
      <c r="R585" s="2"/>
      <c r="S585" s="2"/>
      <c r="T585" s="2"/>
      <c r="U585" s="2"/>
    </row>
    <row r="586">
      <c r="A586" s="2"/>
      <c r="B586" s="2"/>
      <c r="C586" s="2"/>
      <c r="D586" s="2"/>
      <c r="E586" s="2"/>
      <c r="F586" s="2"/>
      <c r="G586" s="2"/>
      <c r="H586" s="2"/>
      <c r="I586" s="2"/>
      <c r="J586" s="2"/>
      <c r="K586" s="2"/>
      <c r="L586" s="2"/>
      <c r="M586" s="2"/>
      <c r="N586" s="2"/>
      <c r="O586" s="2"/>
      <c r="P586" s="2"/>
      <c r="Q586" s="2"/>
      <c r="R586" s="2"/>
      <c r="S586" s="2"/>
      <c r="T586" s="2"/>
      <c r="U586" s="2"/>
    </row>
    <row r="587">
      <c r="A587" s="2"/>
      <c r="B587" s="2"/>
      <c r="C587" s="2"/>
      <c r="D587" s="2"/>
      <c r="E587" s="2"/>
      <c r="F587" s="2"/>
      <c r="G587" s="2"/>
      <c r="H587" s="2"/>
      <c r="I587" s="2"/>
      <c r="J587" s="2"/>
      <c r="K587" s="2"/>
      <c r="L587" s="2"/>
      <c r="M587" s="2"/>
      <c r="N587" s="2"/>
      <c r="O587" s="2"/>
      <c r="P587" s="2"/>
      <c r="Q587" s="2"/>
      <c r="R587" s="2"/>
      <c r="S587" s="2"/>
      <c r="T587" s="2"/>
      <c r="U587" s="2"/>
    </row>
    <row r="588">
      <c r="A588" s="2"/>
      <c r="B588" s="2"/>
      <c r="C588" s="2"/>
      <c r="D588" s="2"/>
      <c r="E588" s="2"/>
      <c r="F588" s="2"/>
      <c r="G588" s="2"/>
      <c r="H588" s="2"/>
      <c r="I588" s="2"/>
      <c r="J588" s="2"/>
      <c r="K588" s="2"/>
      <c r="L588" s="2"/>
      <c r="M588" s="2"/>
      <c r="N588" s="2"/>
      <c r="O588" s="2"/>
      <c r="P588" s="2"/>
      <c r="Q588" s="2"/>
      <c r="R588" s="2"/>
      <c r="S588" s="2"/>
      <c r="T588" s="2"/>
      <c r="U588" s="2"/>
    </row>
    <row r="589">
      <c r="A589" s="2"/>
      <c r="B589" s="2"/>
      <c r="C589" s="2"/>
      <c r="D589" s="2"/>
      <c r="E589" s="2"/>
      <c r="F589" s="2"/>
      <c r="G589" s="2"/>
      <c r="H589" s="2"/>
      <c r="I589" s="2"/>
      <c r="J589" s="2"/>
      <c r="K589" s="2"/>
      <c r="L589" s="2"/>
      <c r="M589" s="2"/>
      <c r="N589" s="2"/>
      <c r="O589" s="2"/>
      <c r="P589" s="2"/>
      <c r="Q589" s="2"/>
      <c r="R589" s="2"/>
      <c r="S589" s="2"/>
      <c r="T589" s="2"/>
      <c r="U589" s="2"/>
    </row>
    <row r="590">
      <c r="A590" s="2"/>
      <c r="B590" s="2"/>
      <c r="C590" s="2"/>
      <c r="D590" s="2"/>
      <c r="E590" s="2"/>
      <c r="F590" s="2"/>
      <c r="G590" s="2"/>
      <c r="H590" s="2"/>
      <c r="I590" s="2"/>
      <c r="J590" s="2"/>
      <c r="K590" s="2"/>
      <c r="L590" s="2"/>
      <c r="M590" s="2"/>
      <c r="N590" s="2"/>
      <c r="O590" s="2"/>
      <c r="P590" s="2"/>
      <c r="Q590" s="2"/>
      <c r="R590" s="2"/>
      <c r="S590" s="2"/>
      <c r="T590" s="2"/>
      <c r="U590" s="2"/>
    </row>
    <row r="591">
      <c r="A591" s="2"/>
      <c r="B591" s="2"/>
      <c r="C591" s="2"/>
      <c r="D591" s="2"/>
      <c r="E591" s="2"/>
      <c r="F591" s="2"/>
      <c r="G591" s="2"/>
      <c r="H591" s="2"/>
      <c r="I591" s="2"/>
      <c r="J591" s="2"/>
      <c r="K591" s="2"/>
      <c r="L591" s="2"/>
      <c r="M591" s="2"/>
      <c r="N591" s="2"/>
      <c r="O591" s="2"/>
      <c r="P591" s="2"/>
      <c r="Q591" s="2"/>
      <c r="R591" s="2"/>
      <c r="S591" s="2"/>
      <c r="T591" s="2"/>
      <c r="U591" s="2"/>
    </row>
    <row r="592">
      <c r="A592" s="2"/>
      <c r="B592" s="2"/>
      <c r="C592" s="2"/>
      <c r="D592" s="2"/>
      <c r="E592" s="2"/>
      <c r="F592" s="2"/>
      <c r="G592" s="2"/>
      <c r="H592" s="2"/>
      <c r="I592" s="2"/>
      <c r="J592" s="2"/>
      <c r="K592" s="2"/>
      <c r="L592" s="2"/>
      <c r="M592" s="2"/>
      <c r="N592" s="2"/>
      <c r="O592" s="2"/>
      <c r="P592" s="2"/>
      <c r="Q592" s="2"/>
      <c r="R592" s="2"/>
      <c r="S592" s="2"/>
      <c r="T592" s="2"/>
      <c r="U592" s="2"/>
    </row>
    <row r="593">
      <c r="A593" s="2"/>
      <c r="B593" s="2"/>
      <c r="C593" s="2"/>
      <c r="D593" s="2"/>
      <c r="E593" s="2"/>
      <c r="F593" s="2"/>
      <c r="G593" s="2"/>
      <c r="H593" s="2"/>
      <c r="I593" s="2"/>
      <c r="J593" s="2"/>
      <c r="K593" s="2"/>
      <c r="L593" s="2"/>
      <c r="M593" s="2"/>
      <c r="N593" s="2"/>
      <c r="O593" s="2"/>
      <c r="P593" s="2"/>
      <c r="Q593" s="2"/>
      <c r="R593" s="2"/>
      <c r="S593" s="2"/>
      <c r="T593" s="2"/>
      <c r="U593" s="2"/>
    </row>
    <row r="594">
      <c r="A594" s="2"/>
      <c r="B594" s="2"/>
      <c r="C594" s="2"/>
      <c r="D594" s="2"/>
      <c r="E594" s="2"/>
      <c r="F594" s="2"/>
      <c r="G594" s="2"/>
      <c r="H594" s="2"/>
      <c r="I594" s="2"/>
      <c r="J594" s="2"/>
      <c r="K594" s="2"/>
      <c r="L594" s="2"/>
      <c r="M594" s="2"/>
      <c r="N594" s="2"/>
      <c r="O594" s="2"/>
      <c r="P594" s="2"/>
      <c r="Q594" s="2"/>
      <c r="R594" s="2"/>
      <c r="S594" s="2"/>
      <c r="T594" s="2"/>
      <c r="U594" s="2"/>
    </row>
    <row r="595">
      <c r="A595" s="2"/>
      <c r="B595" s="2"/>
      <c r="C595" s="2"/>
      <c r="D595" s="2"/>
      <c r="E595" s="2"/>
      <c r="F595" s="2"/>
      <c r="G595" s="2"/>
      <c r="H595" s="2"/>
      <c r="I595" s="2"/>
      <c r="J595" s="2"/>
      <c r="K595" s="2"/>
      <c r="L595" s="2"/>
      <c r="M595" s="2"/>
      <c r="N595" s="2"/>
      <c r="O595" s="2"/>
      <c r="P595" s="2"/>
      <c r="Q595" s="2"/>
      <c r="R595" s="2"/>
      <c r="S595" s="2"/>
      <c r="T595" s="2"/>
      <c r="U595" s="2"/>
    </row>
    <row r="596">
      <c r="A596" s="2"/>
      <c r="B596" s="2"/>
      <c r="C596" s="2"/>
      <c r="D596" s="2"/>
      <c r="E596" s="2"/>
      <c r="F596" s="2"/>
      <c r="G596" s="2"/>
      <c r="H596" s="2"/>
      <c r="I596" s="2"/>
      <c r="J596" s="2"/>
      <c r="K596" s="2"/>
      <c r="L596" s="2"/>
      <c r="M596" s="2"/>
      <c r="N596" s="2"/>
      <c r="O596" s="2"/>
      <c r="P596" s="2"/>
      <c r="Q596" s="2"/>
      <c r="R596" s="2"/>
      <c r="S596" s="2"/>
      <c r="T596" s="2"/>
      <c r="U596" s="2"/>
    </row>
    <row r="597">
      <c r="A597" s="2"/>
      <c r="B597" s="2"/>
      <c r="C597" s="2"/>
      <c r="D597" s="2"/>
      <c r="E597" s="2"/>
      <c r="F597" s="2"/>
      <c r="G597" s="2"/>
      <c r="H597" s="2"/>
      <c r="I597" s="2"/>
      <c r="J597" s="2"/>
      <c r="K597" s="2"/>
      <c r="L597" s="2"/>
      <c r="M597" s="2"/>
      <c r="N597" s="2"/>
      <c r="O597" s="2"/>
      <c r="P597" s="2"/>
      <c r="Q597" s="2"/>
      <c r="R597" s="2"/>
      <c r="S597" s="2"/>
      <c r="T597" s="2"/>
      <c r="U597" s="2"/>
    </row>
    <row r="598">
      <c r="A598" s="2"/>
      <c r="B598" s="2"/>
      <c r="C598" s="2"/>
      <c r="D598" s="2"/>
      <c r="E598" s="2"/>
      <c r="F598" s="2"/>
      <c r="G598" s="2"/>
      <c r="H598" s="2"/>
      <c r="I598" s="2"/>
      <c r="J598" s="2"/>
      <c r="K598" s="2"/>
      <c r="L598" s="2"/>
      <c r="M598" s="2"/>
      <c r="N598" s="2"/>
      <c r="O598" s="2"/>
      <c r="P598" s="2"/>
      <c r="Q598" s="2"/>
      <c r="R598" s="2"/>
      <c r="S598" s="2"/>
      <c r="T598" s="2"/>
      <c r="U598" s="2"/>
    </row>
    <row r="599">
      <c r="A599" s="2"/>
      <c r="B599" s="2"/>
      <c r="C599" s="2"/>
      <c r="D599" s="2"/>
      <c r="E599" s="2"/>
      <c r="F599" s="2"/>
      <c r="G599" s="2"/>
      <c r="H599" s="2"/>
      <c r="I599" s="2"/>
      <c r="J599" s="2"/>
      <c r="K599" s="2"/>
      <c r="L599" s="2"/>
      <c r="M599" s="2"/>
      <c r="N599" s="2"/>
      <c r="O599" s="2"/>
      <c r="P599" s="2"/>
      <c r="Q599" s="2"/>
      <c r="R599" s="2"/>
      <c r="S599" s="2"/>
      <c r="T599" s="2"/>
      <c r="U599" s="2"/>
    </row>
    <row r="600">
      <c r="A600" s="2"/>
      <c r="B600" s="2"/>
      <c r="C600" s="2"/>
      <c r="D600" s="2"/>
      <c r="E600" s="2"/>
      <c r="F600" s="2"/>
      <c r="G600" s="2"/>
      <c r="H600" s="2"/>
      <c r="I600" s="2"/>
      <c r="J600" s="2"/>
      <c r="K600" s="2"/>
      <c r="L600" s="2"/>
      <c r="M600" s="2"/>
      <c r="N600" s="2"/>
      <c r="O600" s="2"/>
      <c r="P600" s="2"/>
      <c r="Q600" s="2"/>
      <c r="R600" s="2"/>
      <c r="S600" s="2"/>
      <c r="T600" s="2"/>
      <c r="U600" s="2"/>
    </row>
    <row r="601">
      <c r="A601" s="2"/>
      <c r="B601" s="2"/>
      <c r="C601" s="2"/>
      <c r="D601" s="2"/>
      <c r="E601" s="2"/>
      <c r="F601" s="2"/>
      <c r="G601" s="2"/>
      <c r="H601" s="2"/>
      <c r="I601" s="2"/>
      <c r="J601" s="2"/>
      <c r="K601" s="2"/>
      <c r="L601" s="2"/>
      <c r="M601" s="2"/>
      <c r="N601" s="2"/>
      <c r="O601" s="2"/>
      <c r="P601" s="2"/>
      <c r="Q601" s="2"/>
      <c r="R601" s="2"/>
      <c r="S601" s="2"/>
      <c r="T601" s="2"/>
      <c r="U601" s="2"/>
    </row>
    <row r="602">
      <c r="A602" s="2"/>
      <c r="B602" s="2"/>
      <c r="C602" s="2"/>
      <c r="D602" s="2"/>
      <c r="E602" s="2"/>
      <c r="F602" s="2"/>
      <c r="G602" s="2"/>
      <c r="H602" s="2"/>
      <c r="I602" s="2"/>
      <c r="J602" s="2"/>
      <c r="K602" s="2"/>
      <c r="L602" s="2"/>
      <c r="M602" s="2"/>
      <c r="N602" s="2"/>
      <c r="O602" s="2"/>
      <c r="P602" s="2"/>
      <c r="Q602" s="2"/>
      <c r="R602" s="2"/>
      <c r="S602" s="2"/>
      <c r="T602" s="2"/>
      <c r="U602" s="2"/>
    </row>
    <row r="603">
      <c r="A603" s="2"/>
      <c r="B603" s="2"/>
      <c r="C603" s="2"/>
      <c r="D603" s="2"/>
      <c r="E603" s="2"/>
      <c r="F603" s="2"/>
      <c r="G603" s="2"/>
      <c r="H603" s="2"/>
      <c r="I603" s="2"/>
      <c r="J603" s="2"/>
      <c r="K603" s="2"/>
      <c r="L603" s="2"/>
      <c r="M603" s="2"/>
      <c r="N603" s="2"/>
      <c r="O603" s="2"/>
      <c r="P603" s="2"/>
      <c r="Q603" s="2"/>
      <c r="R603" s="2"/>
      <c r="S603" s="2"/>
      <c r="T603" s="2"/>
      <c r="U603" s="2"/>
    </row>
    <row r="604">
      <c r="A604" s="2"/>
      <c r="B604" s="2"/>
      <c r="C604" s="2"/>
      <c r="D604" s="2"/>
      <c r="E604" s="2"/>
      <c r="F604" s="2"/>
      <c r="G604" s="2"/>
      <c r="H604" s="2"/>
      <c r="I604" s="2"/>
      <c r="J604" s="2"/>
      <c r="K604" s="2"/>
      <c r="L604" s="2"/>
      <c r="M604" s="2"/>
      <c r="N604" s="2"/>
      <c r="O604" s="2"/>
      <c r="P604" s="2"/>
      <c r="Q604" s="2"/>
      <c r="R604" s="2"/>
      <c r="S604" s="2"/>
      <c r="T604" s="2"/>
      <c r="U604" s="2"/>
    </row>
    <row r="605">
      <c r="A605" s="2"/>
      <c r="B605" s="2"/>
      <c r="C605" s="2"/>
      <c r="D605" s="2"/>
      <c r="E605" s="2"/>
      <c r="F605" s="2"/>
      <c r="G605" s="2"/>
      <c r="H605" s="2"/>
      <c r="I605" s="2"/>
      <c r="J605" s="2"/>
      <c r="K605" s="2"/>
      <c r="L605" s="2"/>
      <c r="M605" s="2"/>
      <c r="N605" s="2"/>
      <c r="O605" s="2"/>
      <c r="P605" s="2"/>
      <c r="Q605" s="2"/>
      <c r="R605" s="2"/>
      <c r="S605" s="2"/>
      <c r="T605" s="2"/>
      <c r="U605" s="2"/>
    </row>
    <row r="606">
      <c r="A606" s="2"/>
      <c r="B606" s="2"/>
      <c r="C606" s="2"/>
      <c r="D606" s="2"/>
      <c r="E606" s="2"/>
      <c r="F606" s="2"/>
      <c r="G606" s="2"/>
      <c r="H606" s="2"/>
      <c r="I606" s="2"/>
      <c r="J606" s="2"/>
      <c r="K606" s="2"/>
      <c r="L606" s="2"/>
      <c r="M606" s="2"/>
      <c r="N606" s="2"/>
      <c r="O606" s="2"/>
      <c r="P606" s="2"/>
      <c r="Q606" s="2"/>
      <c r="R606" s="2"/>
      <c r="S606" s="2"/>
      <c r="T606" s="2"/>
      <c r="U606" s="2"/>
    </row>
    <row r="607">
      <c r="A607" s="2"/>
      <c r="B607" s="2"/>
      <c r="C607" s="2"/>
      <c r="D607" s="2"/>
      <c r="E607" s="2"/>
      <c r="F607" s="2"/>
      <c r="G607" s="2"/>
      <c r="H607" s="2"/>
      <c r="I607" s="2"/>
      <c r="J607" s="2"/>
      <c r="K607" s="2"/>
      <c r="L607" s="2"/>
      <c r="M607" s="2"/>
      <c r="N607" s="2"/>
      <c r="O607" s="2"/>
      <c r="P607" s="2"/>
      <c r="Q607" s="2"/>
      <c r="R607" s="2"/>
      <c r="S607" s="2"/>
      <c r="T607" s="2"/>
      <c r="U607" s="2"/>
    </row>
    <row r="608">
      <c r="A608" s="2"/>
      <c r="B608" s="2"/>
      <c r="C608" s="2"/>
      <c r="D608" s="2"/>
      <c r="E608" s="2"/>
      <c r="F608" s="2"/>
      <c r="G608" s="2"/>
      <c r="H608" s="2"/>
      <c r="I608" s="2"/>
      <c r="J608" s="2"/>
      <c r="K608" s="2"/>
      <c r="L608" s="2"/>
      <c r="M608" s="2"/>
      <c r="N608" s="2"/>
      <c r="O608" s="2"/>
      <c r="P608" s="2"/>
      <c r="Q608" s="2"/>
      <c r="R608" s="2"/>
      <c r="S608" s="2"/>
      <c r="T608" s="2"/>
      <c r="U608" s="2"/>
    </row>
    <row r="609">
      <c r="A609" s="2"/>
      <c r="B609" s="2"/>
      <c r="C609" s="2"/>
      <c r="D609" s="2"/>
      <c r="E609" s="2"/>
      <c r="F609" s="2"/>
      <c r="G609" s="2"/>
      <c r="H609" s="2"/>
      <c r="I609" s="2"/>
      <c r="J609" s="2"/>
      <c r="K609" s="2"/>
      <c r="L609" s="2"/>
      <c r="M609" s="2"/>
      <c r="N609" s="2"/>
      <c r="O609" s="2"/>
      <c r="P609" s="2"/>
      <c r="Q609" s="2"/>
      <c r="R609" s="2"/>
      <c r="S609" s="2"/>
      <c r="T609" s="2"/>
      <c r="U609" s="2"/>
    </row>
    <row r="610">
      <c r="A610" s="2"/>
      <c r="B610" s="2"/>
      <c r="C610" s="2"/>
      <c r="D610" s="2"/>
      <c r="E610" s="2"/>
      <c r="F610" s="2"/>
      <c r="G610" s="2"/>
      <c r="H610" s="2"/>
      <c r="I610" s="2"/>
      <c r="J610" s="2"/>
      <c r="K610" s="2"/>
      <c r="L610" s="2"/>
      <c r="M610" s="2"/>
      <c r="N610" s="2"/>
      <c r="O610" s="2"/>
      <c r="P610" s="2"/>
      <c r="Q610" s="2"/>
      <c r="R610" s="2"/>
      <c r="S610" s="2"/>
      <c r="T610" s="2"/>
      <c r="U610" s="2"/>
    </row>
    <row r="611">
      <c r="A611" s="2"/>
      <c r="B611" s="2"/>
      <c r="C611" s="2"/>
      <c r="D611" s="2"/>
      <c r="E611" s="2"/>
      <c r="F611" s="2"/>
      <c r="G611" s="2"/>
      <c r="H611" s="2"/>
      <c r="I611" s="2"/>
      <c r="J611" s="2"/>
      <c r="K611" s="2"/>
      <c r="L611" s="2"/>
      <c r="M611" s="2"/>
      <c r="N611" s="2"/>
      <c r="O611" s="2"/>
      <c r="P611" s="2"/>
      <c r="Q611" s="2"/>
      <c r="R611" s="2"/>
      <c r="S611" s="2"/>
      <c r="T611" s="2"/>
      <c r="U611" s="2"/>
    </row>
    <row r="612">
      <c r="A612" s="2"/>
      <c r="B612" s="2"/>
      <c r="C612" s="2"/>
      <c r="D612" s="2"/>
      <c r="E612" s="2"/>
      <c r="F612" s="2"/>
      <c r="G612" s="2"/>
      <c r="H612" s="2"/>
      <c r="I612" s="2"/>
      <c r="J612" s="2"/>
      <c r="K612" s="2"/>
      <c r="L612" s="2"/>
      <c r="M612" s="2"/>
      <c r="N612" s="2"/>
      <c r="O612" s="2"/>
      <c r="P612" s="2"/>
      <c r="Q612" s="2"/>
      <c r="R612" s="2"/>
      <c r="S612" s="2"/>
      <c r="T612" s="2"/>
      <c r="U612" s="2"/>
    </row>
    <row r="613">
      <c r="A613" s="2"/>
      <c r="B613" s="2"/>
      <c r="C613" s="2"/>
      <c r="D613" s="2"/>
      <c r="E613" s="2"/>
      <c r="F613" s="2"/>
      <c r="G613" s="2"/>
      <c r="H613" s="2"/>
      <c r="I613" s="2"/>
      <c r="J613" s="2"/>
      <c r="K613" s="2"/>
      <c r="L613" s="2"/>
      <c r="M613" s="2"/>
      <c r="N613" s="2"/>
      <c r="O613" s="2"/>
      <c r="P613" s="2"/>
      <c r="Q613" s="2"/>
      <c r="R613" s="2"/>
      <c r="S613" s="2"/>
      <c r="T613" s="2"/>
      <c r="U613" s="2"/>
    </row>
    <row r="614">
      <c r="A614" s="2"/>
      <c r="B614" s="2"/>
      <c r="C614" s="2"/>
      <c r="D614" s="2"/>
      <c r="E614" s="2"/>
      <c r="F614" s="2"/>
      <c r="G614" s="2"/>
      <c r="H614" s="2"/>
      <c r="I614" s="2"/>
      <c r="J614" s="2"/>
      <c r="K614" s="2"/>
      <c r="L614" s="2"/>
      <c r="M614" s="2"/>
      <c r="N614" s="2"/>
      <c r="O614" s="2"/>
      <c r="P614" s="2"/>
      <c r="Q614" s="2"/>
      <c r="R614" s="2"/>
      <c r="S614" s="2"/>
      <c r="T614" s="2"/>
      <c r="U614" s="2"/>
    </row>
    <row r="615">
      <c r="A615" s="2"/>
      <c r="B615" s="2"/>
      <c r="C615" s="2"/>
      <c r="D615" s="2"/>
      <c r="E615" s="2"/>
      <c r="F615" s="2"/>
      <c r="G615" s="2"/>
      <c r="H615" s="2"/>
      <c r="I615" s="2"/>
      <c r="J615" s="2"/>
      <c r="K615" s="2"/>
      <c r="L615" s="2"/>
      <c r="M615" s="2"/>
      <c r="N615" s="2"/>
      <c r="O615" s="2"/>
      <c r="P615" s="2"/>
      <c r="Q615" s="2"/>
      <c r="R615" s="2"/>
      <c r="S615" s="2"/>
      <c r="T615" s="2"/>
      <c r="U615" s="2"/>
    </row>
    <row r="616">
      <c r="A616" s="2"/>
      <c r="B616" s="2"/>
      <c r="C616" s="2"/>
      <c r="D616" s="2"/>
      <c r="E616" s="2"/>
      <c r="F616" s="2"/>
      <c r="G616" s="2"/>
      <c r="H616" s="2"/>
      <c r="I616" s="2"/>
      <c r="J616" s="2"/>
      <c r="K616" s="2"/>
      <c r="L616" s="2"/>
      <c r="M616" s="2"/>
      <c r="N616" s="2"/>
      <c r="O616" s="2"/>
      <c r="P616" s="2"/>
      <c r="Q616" s="2"/>
      <c r="R616" s="2"/>
      <c r="S616" s="2"/>
      <c r="T616" s="2"/>
      <c r="U616" s="2"/>
    </row>
    <row r="617">
      <c r="A617" s="2"/>
      <c r="B617" s="2"/>
      <c r="C617" s="2"/>
      <c r="D617" s="2"/>
      <c r="E617" s="2"/>
      <c r="F617" s="2"/>
      <c r="G617" s="2"/>
      <c r="H617" s="2"/>
      <c r="I617" s="2"/>
      <c r="J617" s="2"/>
      <c r="K617" s="2"/>
      <c r="L617" s="2"/>
      <c r="M617" s="2"/>
      <c r="N617" s="2"/>
      <c r="O617" s="2"/>
      <c r="P617" s="2"/>
      <c r="Q617" s="2"/>
      <c r="R617" s="2"/>
      <c r="S617" s="2"/>
      <c r="T617" s="2"/>
      <c r="U617" s="2"/>
    </row>
    <row r="618">
      <c r="A618" s="2"/>
      <c r="B618" s="2"/>
      <c r="C618" s="2"/>
      <c r="D618" s="2"/>
      <c r="E618" s="2"/>
      <c r="F618" s="2"/>
      <c r="G618" s="2"/>
      <c r="H618" s="2"/>
      <c r="I618" s="2"/>
      <c r="J618" s="2"/>
      <c r="K618" s="2"/>
      <c r="L618" s="2"/>
      <c r="M618" s="2"/>
      <c r="N618" s="2"/>
      <c r="O618" s="2"/>
      <c r="P618" s="2"/>
      <c r="Q618" s="2"/>
      <c r="R618" s="2"/>
      <c r="S618" s="2"/>
      <c r="T618" s="2"/>
      <c r="U618" s="2"/>
    </row>
    <row r="619">
      <c r="A619" s="2"/>
      <c r="B619" s="2"/>
      <c r="C619" s="2"/>
      <c r="D619" s="2"/>
      <c r="E619" s="2"/>
      <c r="F619" s="2"/>
      <c r="G619" s="2"/>
      <c r="H619" s="2"/>
      <c r="I619" s="2"/>
      <c r="J619" s="2"/>
      <c r="K619" s="2"/>
      <c r="L619" s="2"/>
      <c r="M619" s="2"/>
      <c r="N619" s="2"/>
      <c r="O619" s="2"/>
      <c r="P619" s="2"/>
      <c r="Q619" s="2"/>
      <c r="R619" s="2"/>
      <c r="S619" s="2"/>
      <c r="T619" s="2"/>
      <c r="U619" s="2"/>
    </row>
    <row r="620">
      <c r="A620" s="2"/>
      <c r="B620" s="2"/>
      <c r="C620" s="2"/>
      <c r="D620" s="2"/>
      <c r="E620" s="2"/>
      <c r="F620" s="2"/>
      <c r="G620" s="2"/>
      <c r="H620" s="2"/>
      <c r="I620" s="2"/>
      <c r="J620" s="2"/>
      <c r="K620" s="2"/>
      <c r="L620" s="2"/>
      <c r="M620" s="2"/>
      <c r="N620" s="2"/>
      <c r="O620" s="2"/>
      <c r="P620" s="2"/>
      <c r="Q620" s="2"/>
      <c r="R620" s="2"/>
      <c r="S620" s="2"/>
      <c r="T620" s="2"/>
      <c r="U620" s="2"/>
    </row>
    <row r="621">
      <c r="A621" s="2"/>
      <c r="B621" s="2"/>
      <c r="C621" s="2"/>
      <c r="D621" s="2"/>
      <c r="E621" s="2"/>
      <c r="F621" s="2"/>
      <c r="G621" s="2"/>
      <c r="H621" s="2"/>
      <c r="I621" s="2"/>
      <c r="J621" s="2"/>
      <c r="K621" s="2"/>
      <c r="L621" s="2"/>
      <c r="M621" s="2"/>
      <c r="N621" s="2"/>
      <c r="O621" s="2"/>
      <c r="P621" s="2"/>
      <c r="Q621" s="2"/>
      <c r="R621" s="2"/>
      <c r="S621" s="2"/>
      <c r="T621" s="2"/>
      <c r="U621" s="2"/>
    </row>
    <row r="622">
      <c r="A622" s="2"/>
      <c r="B622" s="2"/>
      <c r="C622" s="2"/>
      <c r="D622" s="2"/>
      <c r="E622" s="2"/>
      <c r="F622" s="2"/>
      <c r="G622" s="2"/>
      <c r="H622" s="2"/>
      <c r="I622" s="2"/>
      <c r="J622" s="2"/>
      <c r="K622" s="2"/>
      <c r="L622" s="2"/>
      <c r="M622" s="2"/>
      <c r="N622" s="2"/>
      <c r="O622" s="2"/>
      <c r="P622" s="2"/>
      <c r="Q622" s="2"/>
      <c r="R622" s="2"/>
      <c r="S622" s="2"/>
      <c r="T622" s="2"/>
      <c r="U622" s="2"/>
    </row>
    <row r="623">
      <c r="A623" s="2"/>
      <c r="B623" s="2"/>
      <c r="C623" s="2"/>
      <c r="D623" s="2"/>
      <c r="E623" s="2"/>
      <c r="F623" s="2"/>
      <c r="G623" s="2"/>
      <c r="H623" s="2"/>
      <c r="I623" s="2"/>
      <c r="J623" s="2"/>
      <c r="K623" s="2"/>
      <c r="L623" s="2"/>
      <c r="M623" s="2"/>
      <c r="N623" s="2"/>
      <c r="O623" s="2"/>
      <c r="P623" s="2"/>
      <c r="Q623" s="2"/>
      <c r="R623" s="2"/>
      <c r="S623" s="2"/>
      <c r="T623" s="2"/>
      <c r="U623" s="2"/>
    </row>
    <row r="624">
      <c r="A624" s="2"/>
      <c r="B624" s="2"/>
      <c r="C624" s="2"/>
      <c r="D624" s="2"/>
      <c r="E624" s="2"/>
      <c r="F624" s="2"/>
      <c r="G624" s="2"/>
      <c r="H624" s="2"/>
      <c r="I624" s="2"/>
      <c r="J624" s="2"/>
      <c r="K624" s="2"/>
      <c r="L624" s="2"/>
      <c r="M624" s="2"/>
      <c r="N624" s="2"/>
      <c r="O624" s="2"/>
      <c r="P624" s="2"/>
      <c r="Q624" s="2"/>
      <c r="R624" s="2"/>
      <c r="S624" s="2"/>
      <c r="T624" s="2"/>
      <c r="U624" s="2"/>
    </row>
    <row r="625">
      <c r="A625" s="2"/>
      <c r="B625" s="2"/>
      <c r="C625" s="2"/>
      <c r="D625" s="2"/>
      <c r="E625" s="2"/>
      <c r="F625" s="2"/>
      <c r="G625" s="2"/>
      <c r="H625" s="2"/>
      <c r="I625" s="2"/>
      <c r="J625" s="2"/>
      <c r="K625" s="2"/>
      <c r="L625" s="2"/>
      <c r="M625" s="2"/>
      <c r="N625" s="2"/>
      <c r="O625" s="2"/>
      <c r="P625" s="2"/>
      <c r="Q625" s="2"/>
      <c r="R625" s="2"/>
      <c r="S625" s="2"/>
      <c r="T625" s="2"/>
      <c r="U625" s="2"/>
    </row>
    <row r="626">
      <c r="A626" s="2"/>
      <c r="B626" s="2"/>
      <c r="C626" s="2"/>
      <c r="D626" s="2"/>
      <c r="E626" s="2"/>
      <c r="F626" s="2"/>
      <c r="G626" s="2"/>
      <c r="H626" s="2"/>
      <c r="I626" s="2"/>
      <c r="J626" s="2"/>
      <c r="K626" s="2"/>
      <c r="L626" s="2"/>
      <c r="M626" s="2"/>
      <c r="N626" s="2"/>
      <c r="O626" s="2"/>
      <c r="P626" s="2"/>
      <c r="Q626" s="2"/>
      <c r="R626" s="2"/>
      <c r="S626" s="2"/>
      <c r="T626" s="2"/>
      <c r="U626" s="2"/>
    </row>
    <row r="627">
      <c r="A627" s="2"/>
      <c r="B627" s="2"/>
      <c r="C627" s="2"/>
      <c r="D627" s="2"/>
      <c r="E627" s="2"/>
      <c r="F627" s="2"/>
      <c r="G627" s="2"/>
      <c r="H627" s="2"/>
      <c r="I627" s="2"/>
      <c r="J627" s="2"/>
      <c r="K627" s="2"/>
      <c r="L627" s="2"/>
      <c r="M627" s="2"/>
      <c r="N627" s="2"/>
      <c r="O627" s="2"/>
      <c r="P627" s="2"/>
      <c r="Q627" s="2"/>
      <c r="R627" s="2"/>
      <c r="S627" s="2"/>
      <c r="T627" s="2"/>
      <c r="U627" s="2"/>
    </row>
    <row r="628">
      <c r="A628" s="2"/>
      <c r="B628" s="2"/>
      <c r="C628" s="2"/>
      <c r="D628" s="2"/>
      <c r="E628" s="2"/>
      <c r="F628" s="2"/>
      <c r="G628" s="2"/>
      <c r="H628" s="2"/>
      <c r="I628" s="2"/>
      <c r="J628" s="2"/>
      <c r="K628" s="2"/>
      <c r="L628" s="2"/>
      <c r="M628" s="2"/>
      <c r="N628" s="2"/>
      <c r="O628" s="2"/>
      <c r="P628" s="2"/>
      <c r="Q628" s="2"/>
      <c r="R628" s="2"/>
      <c r="S628" s="2"/>
      <c r="T628" s="2"/>
      <c r="U628" s="2"/>
    </row>
    <row r="629">
      <c r="A629" s="2"/>
      <c r="B629" s="2"/>
      <c r="C629" s="2"/>
      <c r="D629" s="2"/>
      <c r="E629" s="2"/>
      <c r="F629" s="2"/>
      <c r="G629" s="2"/>
      <c r="H629" s="2"/>
      <c r="I629" s="2"/>
      <c r="J629" s="2"/>
      <c r="K629" s="2"/>
      <c r="L629" s="2"/>
      <c r="M629" s="2"/>
      <c r="N629" s="2"/>
      <c r="O629" s="2"/>
      <c r="P629" s="2"/>
      <c r="Q629" s="2"/>
      <c r="R629" s="2"/>
      <c r="S629" s="2"/>
      <c r="T629" s="2"/>
      <c r="U629" s="2"/>
    </row>
    <row r="630">
      <c r="A630" s="2"/>
      <c r="B630" s="2"/>
      <c r="C630" s="2"/>
      <c r="D630" s="2"/>
      <c r="E630" s="2"/>
      <c r="F630" s="2"/>
      <c r="G630" s="2"/>
      <c r="H630" s="2"/>
      <c r="I630" s="2"/>
      <c r="J630" s="2"/>
      <c r="K630" s="2"/>
      <c r="L630" s="2"/>
      <c r="M630" s="2"/>
      <c r="N630" s="2"/>
      <c r="O630" s="2"/>
      <c r="P630" s="2"/>
      <c r="Q630" s="2"/>
      <c r="R630" s="2"/>
      <c r="S630" s="2"/>
      <c r="T630" s="2"/>
      <c r="U630" s="2"/>
    </row>
    <row r="631">
      <c r="A631" s="2"/>
      <c r="B631" s="2"/>
      <c r="C631" s="2"/>
      <c r="D631" s="2"/>
      <c r="E631" s="2"/>
      <c r="F631" s="2"/>
      <c r="G631" s="2"/>
      <c r="H631" s="2"/>
      <c r="I631" s="2"/>
      <c r="J631" s="2"/>
      <c r="K631" s="2"/>
      <c r="L631" s="2"/>
      <c r="M631" s="2"/>
      <c r="N631" s="2"/>
      <c r="O631" s="2"/>
      <c r="P631" s="2"/>
      <c r="Q631" s="2"/>
      <c r="R631" s="2"/>
      <c r="S631" s="2"/>
      <c r="T631" s="2"/>
      <c r="U631" s="2"/>
    </row>
    <row r="632">
      <c r="A632" s="2"/>
      <c r="B632" s="2"/>
      <c r="C632" s="2"/>
      <c r="D632" s="2"/>
      <c r="E632" s="2"/>
      <c r="F632" s="2"/>
      <c r="G632" s="2"/>
      <c r="H632" s="2"/>
      <c r="I632" s="2"/>
      <c r="J632" s="2"/>
      <c r="K632" s="2"/>
      <c r="L632" s="2"/>
      <c r="M632" s="2"/>
      <c r="N632" s="2"/>
      <c r="O632" s="2"/>
      <c r="P632" s="2"/>
      <c r="Q632" s="2"/>
      <c r="R632" s="2"/>
      <c r="S632" s="2"/>
      <c r="T632" s="2"/>
      <c r="U632" s="2"/>
    </row>
    <row r="633">
      <c r="A633" s="2"/>
      <c r="B633" s="2"/>
      <c r="C633" s="2"/>
      <c r="D633" s="2"/>
      <c r="E633" s="2"/>
      <c r="F633" s="2"/>
      <c r="G633" s="2"/>
      <c r="H633" s="2"/>
      <c r="I633" s="2"/>
      <c r="J633" s="2"/>
      <c r="K633" s="2"/>
      <c r="L633" s="2"/>
      <c r="M633" s="2"/>
      <c r="N633" s="2"/>
      <c r="O633" s="2"/>
      <c r="P633" s="2"/>
      <c r="Q633" s="2"/>
      <c r="R633" s="2"/>
      <c r="S633" s="2"/>
      <c r="T633" s="2"/>
      <c r="U633" s="2"/>
    </row>
    <row r="634">
      <c r="A634" s="2"/>
      <c r="B634" s="2"/>
      <c r="C634" s="2"/>
      <c r="D634" s="2"/>
      <c r="E634" s="2"/>
      <c r="F634" s="2"/>
      <c r="G634" s="2"/>
      <c r="H634" s="2"/>
      <c r="I634" s="2"/>
      <c r="J634" s="2"/>
      <c r="K634" s="2"/>
      <c r="L634" s="2"/>
      <c r="M634" s="2"/>
      <c r="N634" s="2"/>
      <c r="O634" s="2"/>
      <c r="P634" s="2"/>
      <c r="Q634" s="2"/>
      <c r="R634" s="2"/>
      <c r="S634" s="2"/>
      <c r="T634" s="2"/>
      <c r="U634" s="2"/>
    </row>
    <row r="635">
      <c r="A635" s="2"/>
      <c r="B635" s="2"/>
      <c r="C635" s="2"/>
      <c r="D635" s="2"/>
      <c r="E635" s="2"/>
      <c r="F635" s="2"/>
      <c r="G635" s="2"/>
      <c r="H635" s="2"/>
      <c r="I635" s="2"/>
      <c r="J635" s="2"/>
      <c r="K635" s="2"/>
      <c r="L635" s="2"/>
      <c r="M635" s="2"/>
      <c r="N635" s="2"/>
      <c r="O635" s="2"/>
      <c r="P635" s="2"/>
      <c r="Q635" s="2"/>
      <c r="R635" s="2"/>
      <c r="S635" s="2"/>
      <c r="T635" s="2"/>
      <c r="U635" s="2"/>
    </row>
    <row r="636">
      <c r="A636" s="2"/>
      <c r="B636" s="2"/>
      <c r="C636" s="2"/>
      <c r="D636" s="2"/>
      <c r="E636" s="2"/>
      <c r="F636" s="2"/>
      <c r="G636" s="2"/>
      <c r="H636" s="2"/>
      <c r="I636" s="2"/>
      <c r="J636" s="2"/>
      <c r="K636" s="2"/>
      <c r="L636" s="2"/>
      <c r="M636" s="2"/>
      <c r="N636" s="2"/>
      <c r="O636" s="2"/>
      <c r="P636" s="2"/>
      <c r="Q636" s="2"/>
      <c r="R636" s="2"/>
      <c r="S636" s="2"/>
      <c r="T636" s="2"/>
      <c r="U636" s="2"/>
    </row>
    <row r="637">
      <c r="A637" s="2"/>
      <c r="B637" s="2"/>
      <c r="C637" s="2"/>
      <c r="D637" s="2"/>
      <c r="E637" s="2"/>
      <c r="F637" s="2"/>
      <c r="G637" s="2"/>
      <c r="H637" s="2"/>
      <c r="I637" s="2"/>
      <c r="J637" s="2"/>
      <c r="K637" s="2"/>
      <c r="L637" s="2"/>
      <c r="M637" s="2"/>
      <c r="N637" s="2"/>
      <c r="O637" s="2"/>
      <c r="P637" s="2"/>
      <c r="Q637" s="2"/>
      <c r="R637" s="2"/>
      <c r="S637" s="2"/>
      <c r="T637" s="2"/>
      <c r="U637" s="2"/>
    </row>
    <row r="638">
      <c r="A638" s="2"/>
      <c r="B638" s="2"/>
      <c r="C638" s="2"/>
      <c r="D638" s="2"/>
      <c r="E638" s="2"/>
      <c r="F638" s="2"/>
      <c r="G638" s="2"/>
      <c r="H638" s="2"/>
      <c r="I638" s="2"/>
      <c r="J638" s="2"/>
      <c r="K638" s="2"/>
      <c r="L638" s="2"/>
      <c r="M638" s="2"/>
      <c r="N638" s="2"/>
      <c r="O638" s="2"/>
      <c r="P638" s="2"/>
      <c r="Q638" s="2"/>
      <c r="R638" s="2"/>
      <c r="S638" s="2"/>
      <c r="T638" s="2"/>
      <c r="U638" s="2"/>
    </row>
    <row r="639">
      <c r="A639" s="2"/>
      <c r="B639" s="2"/>
      <c r="C639" s="2"/>
      <c r="D639" s="2"/>
      <c r="E639" s="2"/>
      <c r="F639" s="2"/>
      <c r="G639" s="2"/>
      <c r="H639" s="2"/>
      <c r="I639" s="2"/>
      <c r="J639" s="2"/>
      <c r="K639" s="2"/>
      <c r="L639" s="2"/>
      <c r="M639" s="2"/>
      <c r="N639" s="2"/>
      <c r="O639" s="2"/>
      <c r="P639" s="2"/>
      <c r="Q639" s="2"/>
      <c r="R639" s="2"/>
      <c r="S639" s="2"/>
      <c r="T639" s="2"/>
      <c r="U639" s="2"/>
    </row>
    <row r="640">
      <c r="A640" s="2"/>
      <c r="B640" s="2"/>
      <c r="C640" s="2"/>
      <c r="D640" s="2"/>
      <c r="E640" s="2"/>
      <c r="F640" s="2"/>
      <c r="G640" s="2"/>
      <c r="H640" s="2"/>
      <c r="I640" s="2"/>
      <c r="J640" s="2"/>
      <c r="K640" s="2"/>
      <c r="L640" s="2"/>
      <c r="M640" s="2"/>
      <c r="N640" s="2"/>
      <c r="O640" s="2"/>
      <c r="P640" s="2"/>
      <c r="Q640" s="2"/>
      <c r="R640" s="2"/>
      <c r="S640" s="2"/>
      <c r="T640" s="2"/>
      <c r="U640" s="2"/>
    </row>
    <row r="641">
      <c r="A641" s="2"/>
      <c r="B641" s="2"/>
      <c r="C641" s="2"/>
      <c r="D641" s="2"/>
      <c r="E641" s="2"/>
      <c r="F641" s="2"/>
      <c r="G641" s="2"/>
      <c r="H641" s="2"/>
      <c r="I641" s="2"/>
      <c r="J641" s="2"/>
      <c r="K641" s="2"/>
      <c r="L641" s="2"/>
      <c r="M641" s="2"/>
      <c r="N641" s="2"/>
      <c r="O641" s="2"/>
      <c r="P641" s="2"/>
      <c r="Q641" s="2"/>
      <c r="R641" s="2"/>
      <c r="S641" s="2"/>
      <c r="T641" s="2"/>
      <c r="U641" s="2"/>
    </row>
    <row r="642">
      <c r="A642" s="2"/>
      <c r="B642" s="2"/>
      <c r="C642" s="2"/>
      <c r="D642" s="2"/>
      <c r="E642" s="2"/>
      <c r="F642" s="2"/>
      <c r="G642" s="2"/>
      <c r="H642" s="2"/>
      <c r="I642" s="2"/>
      <c r="J642" s="2"/>
      <c r="K642" s="2"/>
      <c r="L642" s="2"/>
      <c r="M642" s="2"/>
      <c r="N642" s="2"/>
      <c r="O642" s="2"/>
      <c r="P642" s="2"/>
      <c r="Q642" s="2"/>
      <c r="R642" s="2"/>
      <c r="S642" s="2"/>
      <c r="T642" s="2"/>
      <c r="U642" s="2"/>
    </row>
    <row r="643">
      <c r="A643" s="2"/>
      <c r="B643" s="2"/>
      <c r="C643" s="2"/>
      <c r="D643" s="2"/>
      <c r="E643" s="2"/>
      <c r="F643" s="2"/>
      <c r="G643" s="2"/>
      <c r="H643" s="2"/>
      <c r="I643" s="2"/>
      <c r="J643" s="2"/>
      <c r="K643" s="2"/>
      <c r="L643" s="2"/>
      <c r="M643" s="2"/>
      <c r="N643" s="2"/>
      <c r="O643" s="2"/>
      <c r="P643" s="2"/>
      <c r="Q643" s="2"/>
      <c r="R643" s="2"/>
      <c r="S643" s="2"/>
      <c r="T643" s="2"/>
      <c r="U643" s="2"/>
    </row>
    <row r="644">
      <c r="A644" s="2"/>
      <c r="B644" s="2"/>
      <c r="C644" s="2"/>
      <c r="D644" s="2"/>
      <c r="E644" s="2"/>
      <c r="F644" s="2"/>
      <c r="G644" s="2"/>
      <c r="H644" s="2"/>
      <c r="I644" s="2"/>
      <c r="J644" s="2"/>
      <c r="K644" s="2"/>
      <c r="L644" s="2"/>
      <c r="M644" s="2"/>
      <c r="N644" s="2"/>
      <c r="O644" s="2"/>
      <c r="P644" s="2"/>
      <c r="Q644" s="2"/>
      <c r="R644" s="2"/>
      <c r="S644" s="2"/>
      <c r="T644" s="2"/>
      <c r="U644" s="2"/>
    </row>
    <row r="645">
      <c r="A645" s="2"/>
      <c r="B645" s="2"/>
      <c r="C645" s="2"/>
      <c r="D645" s="2"/>
      <c r="E645" s="2"/>
      <c r="F645" s="2"/>
      <c r="G645" s="2"/>
      <c r="H645" s="2"/>
      <c r="I645" s="2"/>
      <c r="J645" s="2"/>
      <c r="K645" s="2"/>
      <c r="L645" s="2"/>
      <c r="M645" s="2"/>
      <c r="N645" s="2"/>
      <c r="O645" s="2"/>
      <c r="P645" s="2"/>
      <c r="Q645" s="2"/>
      <c r="R645" s="2"/>
      <c r="S645" s="2"/>
      <c r="T645" s="2"/>
      <c r="U645" s="2"/>
    </row>
    <row r="646">
      <c r="A646" s="2"/>
      <c r="B646" s="2"/>
      <c r="C646" s="2"/>
      <c r="D646" s="2"/>
      <c r="E646" s="2"/>
      <c r="F646" s="2"/>
      <c r="G646" s="2"/>
      <c r="H646" s="2"/>
      <c r="I646" s="2"/>
      <c r="J646" s="2"/>
      <c r="K646" s="2"/>
      <c r="L646" s="2"/>
      <c r="M646" s="2"/>
      <c r="N646" s="2"/>
      <c r="O646" s="2"/>
      <c r="P646" s="2"/>
      <c r="Q646" s="2"/>
      <c r="R646" s="2"/>
      <c r="S646" s="2"/>
      <c r="T646" s="2"/>
      <c r="U646" s="2"/>
    </row>
    <row r="647">
      <c r="A647" s="2"/>
      <c r="B647" s="2"/>
      <c r="C647" s="2"/>
      <c r="D647" s="2"/>
      <c r="E647" s="2"/>
      <c r="F647" s="2"/>
      <c r="G647" s="2"/>
      <c r="H647" s="2"/>
      <c r="I647" s="2"/>
      <c r="J647" s="2"/>
      <c r="K647" s="2"/>
      <c r="L647" s="2"/>
      <c r="M647" s="2"/>
      <c r="N647" s="2"/>
      <c r="O647" s="2"/>
      <c r="P647" s="2"/>
      <c r="Q647" s="2"/>
      <c r="R647" s="2"/>
      <c r="S647" s="2"/>
      <c r="T647" s="2"/>
      <c r="U647" s="2"/>
    </row>
    <row r="648">
      <c r="A648" s="2"/>
      <c r="B648" s="2"/>
      <c r="C648" s="2"/>
      <c r="D648" s="2"/>
      <c r="E648" s="2"/>
      <c r="F648" s="2"/>
      <c r="G648" s="2"/>
      <c r="H648" s="2"/>
      <c r="I648" s="2"/>
      <c r="J648" s="2"/>
      <c r="K648" s="2"/>
      <c r="L648" s="2"/>
      <c r="M648" s="2"/>
      <c r="N648" s="2"/>
      <c r="O648" s="2"/>
      <c r="P648" s="2"/>
      <c r="Q648" s="2"/>
      <c r="R648" s="2"/>
      <c r="S648" s="2"/>
      <c r="T648" s="2"/>
      <c r="U648" s="2"/>
    </row>
    <row r="649">
      <c r="A649" s="2"/>
      <c r="B649" s="2"/>
      <c r="C649" s="2"/>
      <c r="D649" s="2"/>
      <c r="E649" s="2"/>
      <c r="F649" s="2"/>
      <c r="G649" s="2"/>
      <c r="H649" s="2"/>
      <c r="I649" s="2"/>
      <c r="J649" s="2"/>
      <c r="K649" s="2"/>
      <c r="L649" s="2"/>
      <c r="M649" s="2"/>
      <c r="N649" s="2"/>
      <c r="O649" s="2"/>
      <c r="P649" s="2"/>
      <c r="Q649" s="2"/>
      <c r="R649" s="2"/>
      <c r="S649" s="2"/>
      <c r="T649" s="2"/>
      <c r="U649" s="2"/>
    </row>
    <row r="650">
      <c r="A650" s="2"/>
      <c r="B650" s="2"/>
      <c r="C650" s="2"/>
      <c r="D650" s="2"/>
      <c r="E650" s="2"/>
      <c r="F650" s="2"/>
      <c r="G650" s="2"/>
      <c r="H650" s="2"/>
      <c r="I650" s="2"/>
      <c r="J650" s="2"/>
      <c r="K650" s="2"/>
      <c r="L650" s="2"/>
      <c r="M650" s="2"/>
      <c r="N650" s="2"/>
      <c r="O650" s="2"/>
      <c r="P650" s="2"/>
      <c r="Q650" s="2"/>
      <c r="R650" s="2"/>
      <c r="S650" s="2"/>
      <c r="T650" s="2"/>
      <c r="U650" s="2"/>
    </row>
    <row r="651">
      <c r="A651" s="2"/>
      <c r="B651" s="2"/>
      <c r="C651" s="2"/>
      <c r="D651" s="2"/>
      <c r="E651" s="2"/>
      <c r="F651" s="2"/>
      <c r="G651" s="2"/>
      <c r="H651" s="2"/>
      <c r="I651" s="2"/>
      <c r="J651" s="2"/>
      <c r="K651" s="2"/>
      <c r="L651" s="2"/>
      <c r="M651" s="2"/>
      <c r="N651" s="2"/>
      <c r="O651" s="2"/>
      <c r="P651" s="2"/>
      <c r="Q651" s="2"/>
      <c r="R651" s="2"/>
      <c r="S651" s="2"/>
      <c r="T651" s="2"/>
      <c r="U651" s="2"/>
    </row>
    <row r="652">
      <c r="A652" s="2"/>
      <c r="B652" s="2"/>
      <c r="C652" s="2"/>
      <c r="D652" s="2"/>
      <c r="E652" s="2"/>
      <c r="F652" s="2"/>
      <c r="G652" s="2"/>
      <c r="H652" s="2"/>
      <c r="I652" s="2"/>
      <c r="J652" s="2"/>
      <c r="K652" s="2"/>
      <c r="L652" s="2"/>
      <c r="M652" s="2"/>
      <c r="N652" s="2"/>
      <c r="O652" s="2"/>
      <c r="P652" s="2"/>
      <c r="Q652" s="2"/>
      <c r="R652" s="2"/>
      <c r="S652" s="2"/>
      <c r="T652" s="2"/>
      <c r="U652" s="2"/>
    </row>
    <row r="653">
      <c r="A653" s="2"/>
      <c r="B653" s="2"/>
      <c r="C653" s="2"/>
      <c r="D653" s="2"/>
      <c r="E653" s="2"/>
      <c r="F653" s="2"/>
      <c r="G653" s="2"/>
      <c r="H653" s="2"/>
      <c r="I653" s="2"/>
      <c r="J653" s="2"/>
      <c r="K653" s="2"/>
      <c r="L653" s="2"/>
      <c r="M653" s="2"/>
      <c r="N653" s="2"/>
      <c r="O653" s="2"/>
      <c r="P653" s="2"/>
      <c r="Q653" s="2"/>
      <c r="R653" s="2"/>
      <c r="S653" s="2"/>
      <c r="T653" s="2"/>
      <c r="U653" s="2"/>
    </row>
    <row r="654">
      <c r="A654" s="2"/>
      <c r="B654" s="2"/>
      <c r="C654" s="2"/>
      <c r="D654" s="2"/>
      <c r="E654" s="2"/>
      <c r="F654" s="2"/>
      <c r="G654" s="2"/>
      <c r="H654" s="2"/>
      <c r="I654" s="2"/>
      <c r="J654" s="2"/>
      <c r="K654" s="2"/>
      <c r="L654" s="2"/>
      <c r="M654" s="2"/>
      <c r="N654" s="2"/>
      <c r="O654" s="2"/>
      <c r="P654" s="2"/>
      <c r="Q654" s="2"/>
      <c r="R654" s="2"/>
      <c r="S654" s="2"/>
      <c r="T654" s="2"/>
      <c r="U654" s="2"/>
    </row>
    <row r="655">
      <c r="A655" s="2"/>
      <c r="B655" s="2"/>
      <c r="C655" s="2"/>
      <c r="D655" s="2"/>
      <c r="E655" s="2"/>
      <c r="F655" s="2"/>
      <c r="G655" s="2"/>
      <c r="H655" s="2"/>
      <c r="I655" s="2"/>
      <c r="J655" s="2"/>
      <c r="K655" s="2"/>
      <c r="L655" s="2"/>
      <c r="M655" s="2"/>
      <c r="N655" s="2"/>
      <c r="O655" s="2"/>
      <c r="P655" s="2"/>
      <c r="Q655" s="2"/>
      <c r="R655" s="2"/>
      <c r="S655" s="2"/>
      <c r="T655" s="2"/>
      <c r="U655" s="2"/>
    </row>
    <row r="656">
      <c r="A656" s="2"/>
      <c r="B656" s="2"/>
      <c r="C656" s="2"/>
      <c r="D656" s="2"/>
      <c r="E656" s="2"/>
      <c r="F656" s="2"/>
      <c r="G656" s="2"/>
      <c r="H656" s="2"/>
      <c r="I656" s="2"/>
      <c r="J656" s="2"/>
      <c r="K656" s="2"/>
      <c r="L656" s="2"/>
      <c r="M656" s="2"/>
      <c r="N656" s="2"/>
      <c r="O656" s="2"/>
      <c r="P656" s="2"/>
      <c r="Q656" s="2"/>
      <c r="R656" s="2"/>
      <c r="S656" s="2"/>
      <c r="T656" s="2"/>
      <c r="U656" s="2"/>
    </row>
    <row r="657">
      <c r="A657" s="2"/>
      <c r="B657" s="2"/>
      <c r="C657" s="2"/>
      <c r="D657" s="2"/>
      <c r="E657" s="2"/>
      <c r="F657" s="2"/>
      <c r="G657" s="2"/>
      <c r="H657" s="2"/>
      <c r="I657" s="2"/>
      <c r="J657" s="2"/>
      <c r="K657" s="2"/>
      <c r="L657" s="2"/>
      <c r="M657" s="2"/>
      <c r="N657" s="2"/>
      <c r="O657" s="2"/>
      <c r="P657" s="2"/>
      <c r="Q657" s="2"/>
      <c r="R657" s="2"/>
      <c r="S657" s="2"/>
      <c r="T657" s="2"/>
      <c r="U657" s="2"/>
    </row>
    <row r="658">
      <c r="A658" s="2"/>
      <c r="B658" s="2"/>
      <c r="C658" s="2"/>
      <c r="D658" s="2"/>
      <c r="E658" s="2"/>
      <c r="F658" s="2"/>
      <c r="G658" s="2"/>
      <c r="H658" s="2"/>
      <c r="I658" s="2"/>
      <c r="J658" s="2"/>
      <c r="K658" s="2"/>
      <c r="L658" s="2"/>
      <c r="M658" s="2"/>
      <c r="N658" s="2"/>
      <c r="O658" s="2"/>
      <c r="P658" s="2"/>
      <c r="Q658" s="2"/>
      <c r="R658" s="2"/>
      <c r="S658" s="2"/>
      <c r="T658" s="2"/>
      <c r="U658" s="2"/>
    </row>
    <row r="659">
      <c r="A659" s="2"/>
      <c r="B659" s="2"/>
      <c r="C659" s="2"/>
      <c r="D659" s="2"/>
      <c r="E659" s="2"/>
      <c r="F659" s="2"/>
      <c r="G659" s="2"/>
      <c r="H659" s="2"/>
      <c r="I659" s="2"/>
      <c r="J659" s="2"/>
      <c r="K659" s="2"/>
      <c r="L659" s="2"/>
      <c r="M659" s="2"/>
      <c r="N659" s="2"/>
      <c r="O659" s="2"/>
      <c r="P659" s="2"/>
      <c r="Q659" s="2"/>
      <c r="R659" s="2"/>
      <c r="S659" s="2"/>
      <c r="T659" s="2"/>
      <c r="U659" s="2"/>
    </row>
    <row r="660">
      <c r="A660" s="2"/>
      <c r="B660" s="2"/>
      <c r="C660" s="2"/>
      <c r="D660" s="2"/>
      <c r="E660" s="2"/>
      <c r="F660" s="2"/>
      <c r="G660" s="2"/>
      <c r="H660" s="2"/>
      <c r="I660" s="2"/>
      <c r="J660" s="2"/>
      <c r="K660" s="2"/>
      <c r="L660" s="2"/>
      <c r="M660" s="2"/>
      <c r="N660" s="2"/>
      <c r="O660" s="2"/>
      <c r="P660" s="2"/>
      <c r="Q660" s="2"/>
      <c r="R660" s="2"/>
      <c r="S660" s="2"/>
      <c r="T660" s="2"/>
      <c r="U660" s="2"/>
    </row>
    <row r="661">
      <c r="A661" s="2"/>
      <c r="B661" s="2"/>
      <c r="C661" s="2"/>
      <c r="D661" s="2"/>
      <c r="E661" s="2"/>
      <c r="F661" s="2"/>
      <c r="G661" s="2"/>
      <c r="H661" s="2"/>
      <c r="I661" s="2"/>
      <c r="J661" s="2"/>
      <c r="K661" s="2"/>
      <c r="L661" s="2"/>
      <c r="M661" s="2"/>
      <c r="N661" s="2"/>
      <c r="O661" s="2"/>
      <c r="P661" s="2"/>
      <c r="Q661" s="2"/>
      <c r="R661" s="2"/>
      <c r="S661" s="2"/>
      <c r="T661" s="2"/>
      <c r="U661" s="2"/>
    </row>
    <row r="662">
      <c r="A662" s="2"/>
      <c r="B662" s="2"/>
      <c r="C662" s="2"/>
      <c r="D662" s="2"/>
      <c r="E662" s="2"/>
      <c r="F662" s="2"/>
      <c r="G662" s="2"/>
      <c r="H662" s="2"/>
      <c r="I662" s="2"/>
      <c r="J662" s="2"/>
      <c r="K662" s="2"/>
      <c r="L662" s="2"/>
      <c r="M662" s="2"/>
      <c r="N662" s="2"/>
      <c r="O662" s="2"/>
      <c r="P662" s="2"/>
      <c r="Q662" s="2"/>
      <c r="R662" s="2"/>
      <c r="S662" s="2"/>
      <c r="T662" s="2"/>
      <c r="U662" s="2"/>
    </row>
    <row r="663">
      <c r="A663" s="2"/>
      <c r="B663" s="2"/>
      <c r="C663" s="2"/>
      <c r="D663" s="2"/>
      <c r="E663" s="2"/>
      <c r="F663" s="2"/>
      <c r="G663" s="2"/>
      <c r="H663" s="2"/>
      <c r="I663" s="2"/>
      <c r="J663" s="2"/>
      <c r="K663" s="2"/>
      <c r="L663" s="2"/>
      <c r="M663" s="2"/>
      <c r="N663" s="2"/>
      <c r="O663" s="2"/>
      <c r="P663" s="2"/>
      <c r="Q663" s="2"/>
      <c r="R663" s="2"/>
      <c r="S663" s="2"/>
      <c r="T663" s="2"/>
      <c r="U663" s="2"/>
    </row>
    <row r="664">
      <c r="A664" s="2"/>
      <c r="B664" s="2"/>
      <c r="C664" s="2"/>
      <c r="D664" s="2"/>
      <c r="E664" s="2"/>
      <c r="F664" s="2"/>
      <c r="G664" s="2"/>
      <c r="H664" s="2"/>
      <c r="I664" s="2"/>
      <c r="J664" s="2"/>
      <c r="K664" s="2"/>
      <c r="L664" s="2"/>
      <c r="M664" s="2"/>
      <c r="N664" s="2"/>
      <c r="O664" s="2"/>
      <c r="P664" s="2"/>
      <c r="Q664" s="2"/>
      <c r="R664" s="2"/>
      <c r="S664" s="2"/>
      <c r="T664" s="2"/>
      <c r="U664" s="2"/>
    </row>
    <row r="665">
      <c r="A665" s="2"/>
      <c r="B665" s="2"/>
      <c r="C665" s="2"/>
      <c r="D665" s="2"/>
      <c r="E665" s="2"/>
      <c r="F665" s="2"/>
      <c r="G665" s="2"/>
      <c r="H665" s="2"/>
      <c r="I665" s="2"/>
      <c r="J665" s="2"/>
      <c r="K665" s="2"/>
      <c r="L665" s="2"/>
      <c r="M665" s="2"/>
      <c r="N665" s="2"/>
      <c r="O665" s="2"/>
      <c r="P665" s="2"/>
      <c r="Q665" s="2"/>
      <c r="R665" s="2"/>
      <c r="S665" s="2"/>
      <c r="T665" s="2"/>
      <c r="U665" s="2"/>
    </row>
    <row r="666">
      <c r="A666" s="2"/>
      <c r="B666" s="2"/>
      <c r="C666" s="2"/>
      <c r="D666" s="2"/>
      <c r="E666" s="2"/>
      <c r="F666" s="2"/>
      <c r="G666" s="2"/>
      <c r="H666" s="2"/>
      <c r="I666" s="2"/>
      <c r="J666" s="2"/>
      <c r="K666" s="2"/>
      <c r="L666" s="2"/>
      <c r="M666" s="2"/>
      <c r="N666" s="2"/>
      <c r="O666" s="2"/>
      <c r="P666" s="2"/>
      <c r="Q666" s="2"/>
      <c r="R666" s="2"/>
      <c r="S666" s="2"/>
      <c r="T666" s="2"/>
      <c r="U666" s="2"/>
    </row>
    <row r="667">
      <c r="A667" s="2"/>
      <c r="B667" s="2"/>
      <c r="C667" s="2"/>
      <c r="D667" s="2"/>
      <c r="E667" s="2"/>
      <c r="F667" s="2"/>
      <c r="G667" s="2"/>
      <c r="H667" s="2"/>
      <c r="I667" s="2"/>
      <c r="J667" s="2"/>
      <c r="K667" s="2"/>
      <c r="L667" s="2"/>
      <c r="M667" s="2"/>
      <c r="N667" s="2"/>
      <c r="O667" s="2"/>
      <c r="P667" s="2"/>
      <c r="Q667" s="2"/>
      <c r="R667" s="2"/>
      <c r="S667" s="2"/>
      <c r="T667" s="2"/>
      <c r="U667" s="2"/>
    </row>
    <row r="668">
      <c r="A668" s="2"/>
      <c r="B668" s="2"/>
      <c r="C668" s="2"/>
      <c r="D668" s="2"/>
      <c r="E668" s="2"/>
      <c r="F668" s="2"/>
      <c r="G668" s="2"/>
      <c r="H668" s="2"/>
      <c r="I668" s="2"/>
      <c r="J668" s="2"/>
      <c r="K668" s="2"/>
      <c r="L668" s="2"/>
      <c r="M668" s="2"/>
      <c r="N668" s="2"/>
      <c r="O668" s="2"/>
      <c r="P668" s="2"/>
      <c r="Q668" s="2"/>
      <c r="R668" s="2"/>
      <c r="S668" s="2"/>
      <c r="T668" s="2"/>
      <c r="U668" s="2"/>
    </row>
    <row r="669">
      <c r="A669" s="2"/>
      <c r="B669" s="2"/>
      <c r="C669" s="2"/>
      <c r="D669" s="2"/>
      <c r="E669" s="2"/>
      <c r="F669" s="2"/>
      <c r="G669" s="2"/>
      <c r="H669" s="2"/>
      <c r="I669" s="2"/>
      <c r="J669" s="2"/>
      <c r="K669" s="2"/>
      <c r="L669" s="2"/>
      <c r="M669" s="2"/>
      <c r="N669" s="2"/>
      <c r="O669" s="2"/>
      <c r="P669" s="2"/>
      <c r="Q669" s="2"/>
      <c r="R669" s="2"/>
      <c r="S669" s="2"/>
      <c r="T669" s="2"/>
      <c r="U669" s="2"/>
    </row>
    <row r="670">
      <c r="A670" s="2"/>
      <c r="B670" s="2"/>
      <c r="C670" s="2"/>
      <c r="D670" s="2"/>
      <c r="E670" s="2"/>
      <c r="F670" s="2"/>
      <c r="G670" s="2"/>
      <c r="H670" s="2"/>
      <c r="I670" s="2"/>
      <c r="J670" s="2"/>
      <c r="K670" s="2"/>
      <c r="L670" s="2"/>
      <c r="M670" s="2"/>
      <c r="N670" s="2"/>
      <c r="O670" s="2"/>
      <c r="P670" s="2"/>
      <c r="Q670" s="2"/>
      <c r="R670" s="2"/>
      <c r="S670" s="2"/>
      <c r="T670" s="2"/>
      <c r="U670" s="2"/>
    </row>
    <row r="671">
      <c r="A671" s="2"/>
      <c r="B671" s="2"/>
      <c r="C671" s="2"/>
      <c r="D671" s="2"/>
      <c r="E671" s="2"/>
      <c r="F671" s="2"/>
      <c r="G671" s="2"/>
      <c r="H671" s="2"/>
      <c r="I671" s="2"/>
      <c r="J671" s="2"/>
      <c r="K671" s="2"/>
      <c r="L671" s="2"/>
      <c r="M671" s="2"/>
      <c r="N671" s="2"/>
      <c r="O671" s="2"/>
      <c r="P671" s="2"/>
      <c r="Q671" s="2"/>
      <c r="R671" s="2"/>
      <c r="S671" s="2"/>
      <c r="T671" s="2"/>
      <c r="U671" s="2"/>
    </row>
    <row r="672">
      <c r="A672" s="2"/>
      <c r="B672" s="2"/>
      <c r="C672" s="2"/>
      <c r="D672" s="2"/>
      <c r="E672" s="2"/>
      <c r="F672" s="2"/>
      <c r="G672" s="2"/>
      <c r="H672" s="2"/>
      <c r="I672" s="2"/>
      <c r="J672" s="2"/>
      <c r="K672" s="2"/>
      <c r="L672" s="2"/>
      <c r="M672" s="2"/>
      <c r="N672" s="2"/>
      <c r="O672" s="2"/>
      <c r="P672" s="2"/>
      <c r="Q672" s="2"/>
      <c r="R672" s="2"/>
      <c r="S672" s="2"/>
      <c r="T672" s="2"/>
      <c r="U672" s="2"/>
    </row>
    <row r="673">
      <c r="A673" s="2"/>
      <c r="B673" s="2"/>
      <c r="C673" s="2"/>
      <c r="D673" s="2"/>
      <c r="E673" s="2"/>
      <c r="F673" s="2"/>
      <c r="G673" s="2"/>
      <c r="H673" s="2"/>
      <c r="I673" s="2"/>
      <c r="J673" s="2"/>
      <c r="K673" s="2"/>
      <c r="L673" s="2"/>
      <c r="M673" s="2"/>
      <c r="N673" s="2"/>
      <c r="O673" s="2"/>
      <c r="P673" s="2"/>
      <c r="Q673" s="2"/>
      <c r="R673" s="2"/>
      <c r="S673" s="2"/>
      <c r="T673" s="2"/>
      <c r="U673" s="2"/>
    </row>
    <row r="674">
      <c r="A674" s="2"/>
      <c r="B674" s="2"/>
      <c r="C674" s="2"/>
      <c r="D674" s="2"/>
      <c r="E674" s="2"/>
      <c r="F674" s="2"/>
      <c r="G674" s="2"/>
      <c r="H674" s="2"/>
      <c r="I674" s="2"/>
      <c r="J674" s="2"/>
      <c r="K674" s="2"/>
      <c r="L674" s="2"/>
      <c r="M674" s="2"/>
      <c r="N674" s="2"/>
      <c r="O674" s="2"/>
      <c r="P674" s="2"/>
      <c r="Q674" s="2"/>
      <c r="R674" s="2"/>
      <c r="S674" s="2"/>
      <c r="T674" s="2"/>
      <c r="U674" s="2"/>
    </row>
    <row r="675">
      <c r="A675" s="2"/>
      <c r="B675" s="2"/>
      <c r="C675" s="2"/>
      <c r="D675" s="2"/>
      <c r="E675" s="2"/>
      <c r="F675" s="2"/>
      <c r="G675" s="2"/>
      <c r="H675" s="2"/>
      <c r="I675" s="2"/>
      <c r="J675" s="2"/>
      <c r="K675" s="2"/>
      <c r="L675" s="2"/>
      <c r="M675" s="2"/>
      <c r="N675" s="2"/>
      <c r="O675" s="2"/>
      <c r="P675" s="2"/>
      <c r="Q675" s="2"/>
      <c r="R675" s="2"/>
      <c r="S675" s="2"/>
      <c r="T675" s="2"/>
      <c r="U675" s="2"/>
    </row>
    <row r="676">
      <c r="A676" s="2"/>
      <c r="B676" s="2"/>
      <c r="C676" s="2"/>
      <c r="D676" s="2"/>
      <c r="E676" s="2"/>
      <c r="F676" s="2"/>
      <c r="G676" s="2"/>
      <c r="H676" s="2"/>
      <c r="I676" s="2"/>
      <c r="J676" s="2"/>
      <c r="K676" s="2"/>
      <c r="L676" s="2"/>
      <c r="M676" s="2"/>
      <c r="N676" s="2"/>
      <c r="O676" s="2"/>
      <c r="P676" s="2"/>
      <c r="Q676" s="2"/>
      <c r="R676" s="2"/>
      <c r="S676" s="2"/>
      <c r="T676" s="2"/>
      <c r="U676" s="2"/>
    </row>
    <row r="677">
      <c r="A677" s="2"/>
      <c r="B677" s="2"/>
      <c r="C677" s="2"/>
      <c r="D677" s="2"/>
      <c r="E677" s="2"/>
      <c r="F677" s="2"/>
      <c r="G677" s="2"/>
      <c r="H677" s="2"/>
      <c r="I677" s="2"/>
      <c r="J677" s="2"/>
      <c r="K677" s="2"/>
      <c r="L677" s="2"/>
      <c r="M677" s="2"/>
      <c r="N677" s="2"/>
      <c r="O677" s="2"/>
      <c r="P677" s="2"/>
      <c r="Q677" s="2"/>
      <c r="R677" s="2"/>
      <c r="S677" s="2"/>
      <c r="T677" s="2"/>
      <c r="U677" s="2"/>
    </row>
    <row r="678">
      <c r="A678" s="2"/>
      <c r="B678" s="2"/>
      <c r="C678" s="2"/>
      <c r="D678" s="2"/>
      <c r="E678" s="2"/>
      <c r="F678" s="2"/>
      <c r="G678" s="2"/>
      <c r="H678" s="2"/>
      <c r="I678" s="2"/>
      <c r="J678" s="2"/>
      <c r="K678" s="2"/>
      <c r="L678" s="2"/>
      <c r="M678" s="2"/>
      <c r="N678" s="2"/>
      <c r="O678" s="2"/>
      <c r="P678" s="2"/>
      <c r="Q678" s="2"/>
      <c r="R678" s="2"/>
      <c r="S678" s="2"/>
      <c r="T678" s="2"/>
      <c r="U678" s="2"/>
    </row>
    <row r="679">
      <c r="A679" s="2"/>
      <c r="B679" s="2"/>
      <c r="C679" s="2"/>
      <c r="D679" s="2"/>
      <c r="E679" s="2"/>
      <c r="F679" s="2"/>
      <c r="G679" s="2"/>
      <c r="H679" s="2"/>
      <c r="I679" s="2"/>
      <c r="J679" s="2"/>
      <c r="K679" s="2"/>
      <c r="L679" s="2"/>
      <c r="M679" s="2"/>
      <c r="N679" s="2"/>
      <c r="O679" s="2"/>
      <c r="P679" s="2"/>
      <c r="Q679" s="2"/>
      <c r="R679" s="2"/>
      <c r="S679" s="2"/>
      <c r="T679" s="2"/>
      <c r="U679" s="2"/>
    </row>
    <row r="680">
      <c r="A680" s="2"/>
      <c r="B680" s="2"/>
      <c r="C680" s="2"/>
      <c r="D680" s="2"/>
      <c r="E680" s="2"/>
      <c r="F680" s="2"/>
      <c r="G680" s="2"/>
      <c r="H680" s="2"/>
      <c r="I680" s="2"/>
      <c r="J680" s="2"/>
      <c r="K680" s="2"/>
      <c r="L680" s="2"/>
      <c r="M680" s="2"/>
      <c r="N680" s="2"/>
      <c r="O680" s="2"/>
      <c r="P680" s="2"/>
      <c r="Q680" s="2"/>
      <c r="R680" s="2"/>
      <c r="S680" s="2"/>
      <c r="T680" s="2"/>
      <c r="U680" s="2"/>
    </row>
    <row r="681">
      <c r="A681" s="2"/>
      <c r="B681" s="2"/>
      <c r="C681" s="2"/>
      <c r="D681" s="2"/>
      <c r="E681" s="2"/>
      <c r="F681" s="2"/>
      <c r="G681" s="2"/>
      <c r="H681" s="2"/>
      <c r="I681" s="2"/>
      <c r="J681" s="2"/>
      <c r="K681" s="2"/>
      <c r="L681" s="2"/>
      <c r="M681" s="2"/>
      <c r="N681" s="2"/>
      <c r="O681" s="2"/>
      <c r="P681" s="2"/>
      <c r="Q681" s="2"/>
      <c r="R681" s="2"/>
      <c r="S681" s="2"/>
      <c r="T681" s="2"/>
      <c r="U681" s="2"/>
    </row>
    <row r="682">
      <c r="A682" s="2"/>
      <c r="B682" s="2"/>
      <c r="C682" s="2"/>
      <c r="D682" s="2"/>
      <c r="E682" s="2"/>
      <c r="F682" s="2"/>
      <c r="G682" s="2"/>
      <c r="H682" s="2"/>
      <c r="I682" s="2"/>
      <c r="J682" s="2"/>
      <c r="K682" s="2"/>
      <c r="L682" s="2"/>
      <c r="M682" s="2"/>
      <c r="N682" s="2"/>
      <c r="O682" s="2"/>
      <c r="P682" s="2"/>
      <c r="Q682" s="2"/>
      <c r="R682" s="2"/>
      <c r="S682" s="2"/>
      <c r="T682" s="2"/>
      <c r="U682" s="2"/>
    </row>
    <row r="683">
      <c r="A683" s="2"/>
      <c r="B683" s="2"/>
      <c r="C683" s="2"/>
      <c r="D683" s="2"/>
      <c r="E683" s="2"/>
      <c r="F683" s="2"/>
      <c r="G683" s="2"/>
      <c r="H683" s="2"/>
      <c r="I683" s="2"/>
      <c r="J683" s="2"/>
      <c r="K683" s="2"/>
      <c r="L683" s="2"/>
      <c r="M683" s="2"/>
      <c r="N683" s="2"/>
      <c r="O683" s="2"/>
      <c r="P683" s="2"/>
      <c r="Q683" s="2"/>
      <c r="R683" s="2"/>
      <c r="S683" s="2"/>
      <c r="T683" s="2"/>
      <c r="U683" s="2"/>
    </row>
    <row r="684">
      <c r="A684" s="2"/>
      <c r="B684" s="2"/>
      <c r="C684" s="2"/>
      <c r="D684" s="2"/>
      <c r="E684" s="2"/>
      <c r="F684" s="2"/>
      <c r="G684" s="2"/>
      <c r="H684" s="2"/>
      <c r="I684" s="2"/>
      <c r="J684" s="2"/>
      <c r="K684" s="2"/>
      <c r="L684" s="2"/>
      <c r="M684" s="2"/>
      <c r="N684" s="2"/>
      <c r="O684" s="2"/>
      <c r="P684" s="2"/>
      <c r="Q684" s="2"/>
      <c r="R684" s="2"/>
      <c r="S684" s="2"/>
      <c r="T684" s="2"/>
      <c r="U684" s="2"/>
    </row>
    <row r="685">
      <c r="A685" s="2"/>
      <c r="B685" s="2"/>
      <c r="C685" s="2"/>
      <c r="D685" s="2"/>
      <c r="E685" s="2"/>
      <c r="F685" s="2"/>
      <c r="G685" s="2"/>
      <c r="H685" s="2"/>
      <c r="I685" s="2"/>
      <c r="J685" s="2"/>
      <c r="K685" s="2"/>
      <c r="L685" s="2"/>
      <c r="M685" s="2"/>
      <c r="N685" s="2"/>
      <c r="O685" s="2"/>
      <c r="P685" s="2"/>
      <c r="Q685" s="2"/>
      <c r="R685" s="2"/>
      <c r="S685" s="2"/>
      <c r="T685" s="2"/>
      <c r="U685" s="2"/>
    </row>
    <row r="686">
      <c r="A686" s="2"/>
      <c r="B686" s="2"/>
      <c r="C686" s="2"/>
      <c r="D686" s="2"/>
      <c r="E686" s="2"/>
      <c r="F686" s="2"/>
      <c r="G686" s="2"/>
      <c r="H686" s="2"/>
      <c r="I686" s="2"/>
      <c r="J686" s="2"/>
      <c r="K686" s="2"/>
      <c r="L686" s="2"/>
      <c r="M686" s="2"/>
      <c r="N686" s="2"/>
      <c r="O686" s="2"/>
      <c r="P686" s="2"/>
      <c r="Q686" s="2"/>
      <c r="R686" s="2"/>
      <c r="S686" s="2"/>
      <c r="T686" s="2"/>
      <c r="U686" s="2"/>
    </row>
    <row r="687">
      <c r="A687" s="2"/>
      <c r="B687" s="2"/>
      <c r="C687" s="2"/>
      <c r="D687" s="2"/>
      <c r="E687" s="2"/>
      <c r="F687" s="2"/>
      <c r="G687" s="2"/>
      <c r="H687" s="2"/>
      <c r="I687" s="2"/>
      <c r="J687" s="2"/>
      <c r="K687" s="2"/>
      <c r="L687" s="2"/>
      <c r="M687" s="2"/>
      <c r="N687" s="2"/>
      <c r="O687" s="2"/>
      <c r="P687" s="2"/>
      <c r="Q687" s="2"/>
      <c r="R687" s="2"/>
      <c r="S687" s="2"/>
      <c r="T687" s="2"/>
      <c r="U687" s="2"/>
    </row>
    <row r="688">
      <c r="A688" s="2"/>
      <c r="B688" s="2"/>
      <c r="C688" s="2"/>
      <c r="D688" s="2"/>
      <c r="E688" s="2"/>
      <c r="F688" s="2"/>
      <c r="G688" s="2"/>
      <c r="H688" s="2"/>
      <c r="I688" s="2"/>
      <c r="J688" s="2"/>
      <c r="K688" s="2"/>
      <c r="L688" s="2"/>
      <c r="M688" s="2"/>
      <c r="N688" s="2"/>
      <c r="O688" s="2"/>
      <c r="P688" s="2"/>
      <c r="Q688" s="2"/>
      <c r="R688" s="2"/>
      <c r="S688" s="2"/>
      <c r="T688" s="2"/>
      <c r="U688" s="2"/>
    </row>
    <row r="689">
      <c r="A689" s="2"/>
      <c r="B689" s="2"/>
      <c r="C689" s="2"/>
      <c r="D689" s="2"/>
      <c r="E689" s="2"/>
      <c r="F689" s="2"/>
      <c r="G689" s="2"/>
      <c r="H689" s="2"/>
      <c r="I689" s="2"/>
      <c r="J689" s="2"/>
      <c r="K689" s="2"/>
      <c r="L689" s="2"/>
      <c r="M689" s="2"/>
      <c r="N689" s="2"/>
      <c r="O689" s="2"/>
      <c r="P689" s="2"/>
      <c r="Q689" s="2"/>
      <c r="R689" s="2"/>
      <c r="S689" s="2"/>
      <c r="T689" s="2"/>
      <c r="U689" s="2"/>
    </row>
    <row r="690">
      <c r="A690" s="2"/>
      <c r="B690" s="2"/>
      <c r="C690" s="2"/>
      <c r="D690" s="2"/>
      <c r="E690" s="2"/>
      <c r="F690" s="2"/>
      <c r="G690" s="2"/>
      <c r="H690" s="2"/>
      <c r="I690" s="2"/>
      <c r="J690" s="2"/>
      <c r="K690" s="2"/>
      <c r="L690" s="2"/>
      <c r="M690" s="2"/>
      <c r="N690" s="2"/>
      <c r="O690" s="2"/>
      <c r="P690" s="2"/>
      <c r="Q690" s="2"/>
      <c r="R690" s="2"/>
      <c r="S690" s="2"/>
      <c r="T690" s="2"/>
      <c r="U690" s="2"/>
    </row>
    <row r="691">
      <c r="A691" s="2"/>
      <c r="B691" s="2"/>
      <c r="C691" s="2"/>
      <c r="D691" s="2"/>
      <c r="E691" s="2"/>
      <c r="F691" s="2"/>
      <c r="G691" s="2"/>
      <c r="H691" s="2"/>
      <c r="I691" s="2"/>
      <c r="J691" s="2"/>
      <c r="K691" s="2"/>
      <c r="L691" s="2"/>
      <c r="M691" s="2"/>
      <c r="N691" s="2"/>
      <c r="O691" s="2"/>
      <c r="P691" s="2"/>
      <c r="Q691" s="2"/>
      <c r="R691" s="2"/>
      <c r="S691" s="2"/>
      <c r="T691" s="2"/>
      <c r="U691" s="2"/>
    </row>
    <row r="692">
      <c r="A692" s="2"/>
      <c r="B692" s="2"/>
      <c r="C692" s="2"/>
      <c r="D692" s="2"/>
      <c r="E692" s="2"/>
      <c r="F692" s="2"/>
      <c r="G692" s="2"/>
      <c r="H692" s="2"/>
      <c r="I692" s="2"/>
      <c r="J692" s="2"/>
      <c r="K692" s="2"/>
      <c r="L692" s="2"/>
      <c r="M692" s="2"/>
      <c r="N692" s="2"/>
      <c r="O692" s="2"/>
      <c r="P692" s="2"/>
      <c r="Q692" s="2"/>
      <c r="R692" s="2"/>
      <c r="S692" s="2"/>
      <c r="T692" s="2"/>
      <c r="U692" s="2"/>
    </row>
    <row r="693">
      <c r="A693" s="2"/>
      <c r="B693" s="2"/>
      <c r="C693" s="2"/>
      <c r="D693" s="2"/>
      <c r="E693" s="2"/>
      <c r="F693" s="2"/>
      <c r="G693" s="2"/>
      <c r="H693" s="2"/>
      <c r="I693" s="2"/>
      <c r="J693" s="2"/>
      <c r="K693" s="2"/>
      <c r="L693" s="2"/>
      <c r="M693" s="2"/>
      <c r="N693" s="2"/>
      <c r="O693" s="2"/>
      <c r="P693" s="2"/>
      <c r="Q693" s="2"/>
      <c r="R693" s="2"/>
      <c r="S693" s="2"/>
      <c r="T693" s="2"/>
      <c r="U693" s="2"/>
    </row>
    <row r="694">
      <c r="A694" s="2"/>
      <c r="B694" s="2"/>
      <c r="C694" s="2"/>
      <c r="D694" s="2"/>
      <c r="E694" s="2"/>
      <c r="F694" s="2"/>
      <c r="G694" s="2"/>
      <c r="H694" s="2"/>
      <c r="I694" s="2"/>
      <c r="J694" s="2"/>
      <c r="K694" s="2"/>
      <c r="L694" s="2"/>
      <c r="M694" s="2"/>
      <c r="N694" s="2"/>
      <c r="O694" s="2"/>
      <c r="P694" s="2"/>
      <c r="Q694" s="2"/>
      <c r="R694" s="2"/>
      <c r="S694" s="2"/>
      <c r="T694" s="2"/>
      <c r="U694" s="2"/>
    </row>
    <row r="695">
      <c r="A695" s="2"/>
      <c r="B695" s="2"/>
      <c r="C695" s="2"/>
      <c r="D695" s="2"/>
      <c r="E695" s="2"/>
      <c r="F695" s="2"/>
      <c r="G695" s="2"/>
      <c r="H695" s="2"/>
      <c r="I695" s="2"/>
      <c r="J695" s="2"/>
      <c r="K695" s="2"/>
      <c r="L695" s="2"/>
      <c r="M695" s="2"/>
      <c r="N695" s="2"/>
      <c r="O695" s="2"/>
      <c r="P695" s="2"/>
      <c r="Q695" s="2"/>
      <c r="R695" s="2"/>
      <c r="S695" s="2"/>
      <c r="T695" s="2"/>
      <c r="U695" s="2"/>
    </row>
    <row r="696">
      <c r="A696" s="2"/>
      <c r="B696" s="2"/>
      <c r="C696" s="2"/>
      <c r="D696" s="2"/>
      <c r="E696" s="2"/>
      <c r="F696" s="2"/>
      <c r="G696" s="2"/>
      <c r="H696" s="2"/>
      <c r="I696" s="2"/>
      <c r="J696" s="2"/>
      <c r="K696" s="2"/>
      <c r="L696" s="2"/>
      <c r="M696" s="2"/>
      <c r="N696" s="2"/>
      <c r="O696" s="2"/>
      <c r="P696" s="2"/>
      <c r="Q696" s="2"/>
      <c r="R696" s="2"/>
      <c r="S696" s="2"/>
      <c r="T696" s="2"/>
      <c r="U696" s="2"/>
    </row>
    <row r="697">
      <c r="A697" s="2"/>
      <c r="B697" s="2"/>
      <c r="C697" s="2"/>
      <c r="D697" s="2"/>
      <c r="E697" s="2"/>
      <c r="F697" s="2"/>
      <c r="G697" s="2"/>
      <c r="H697" s="2"/>
      <c r="I697" s="2"/>
      <c r="J697" s="2"/>
      <c r="K697" s="2"/>
      <c r="L697" s="2"/>
      <c r="M697" s="2"/>
      <c r="N697" s="2"/>
      <c r="O697" s="2"/>
      <c r="P697" s="2"/>
      <c r="Q697" s="2"/>
      <c r="R697" s="2"/>
      <c r="S697" s="2"/>
      <c r="T697" s="2"/>
      <c r="U697" s="2"/>
    </row>
    <row r="698">
      <c r="A698" s="2"/>
      <c r="B698" s="2"/>
      <c r="C698" s="2"/>
      <c r="D698" s="2"/>
      <c r="E698" s="2"/>
      <c r="F698" s="2"/>
      <c r="G698" s="2"/>
      <c r="H698" s="2"/>
      <c r="I698" s="2"/>
      <c r="J698" s="2"/>
      <c r="K698" s="2"/>
      <c r="L698" s="2"/>
      <c r="M698" s="2"/>
      <c r="N698" s="2"/>
      <c r="O698" s="2"/>
      <c r="P698" s="2"/>
      <c r="Q698" s="2"/>
      <c r="R698" s="2"/>
      <c r="S698" s="2"/>
      <c r="T698" s="2"/>
      <c r="U698" s="2"/>
    </row>
    <row r="699">
      <c r="A699" s="2"/>
      <c r="B699" s="2"/>
      <c r="C699" s="2"/>
      <c r="D699" s="2"/>
      <c r="E699" s="2"/>
      <c r="F699" s="2"/>
      <c r="G699" s="2"/>
      <c r="H699" s="2"/>
      <c r="I699" s="2"/>
      <c r="J699" s="2"/>
      <c r="K699" s="2"/>
      <c r="L699" s="2"/>
      <c r="M699" s="2"/>
      <c r="N699" s="2"/>
      <c r="O699" s="2"/>
      <c r="P699" s="2"/>
      <c r="Q699" s="2"/>
      <c r="R699" s="2"/>
      <c r="S699" s="2"/>
      <c r="T699" s="2"/>
      <c r="U699" s="2"/>
    </row>
    <row r="700">
      <c r="A700" s="2"/>
      <c r="B700" s="2"/>
      <c r="C700" s="2"/>
      <c r="D700" s="2"/>
      <c r="E700" s="2"/>
      <c r="F700" s="2"/>
      <c r="G700" s="2"/>
      <c r="H700" s="2"/>
      <c r="I700" s="2"/>
      <c r="J700" s="2"/>
      <c r="K700" s="2"/>
      <c r="L700" s="2"/>
      <c r="M700" s="2"/>
      <c r="N700" s="2"/>
      <c r="O700" s="2"/>
      <c r="P700" s="2"/>
      <c r="Q700" s="2"/>
      <c r="R700" s="2"/>
      <c r="S700" s="2"/>
      <c r="T700" s="2"/>
      <c r="U700" s="2"/>
    </row>
    <row r="701">
      <c r="A701" s="2"/>
      <c r="B701" s="2"/>
      <c r="C701" s="2"/>
      <c r="D701" s="2"/>
      <c r="E701" s="2"/>
      <c r="F701" s="2"/>
      <c r="G701" s="2"/>
      <c r="H701" s="2"/>
      <c r="I701" s="2"/>
      <c r="J701" s="2"/>
      <c r="K701" s="2"/>
      <c r="L701" s="2"/>
      <c r="M701" s="2"/>
      <c r="N701" s="2"/>
      <c r="O701" s="2"/>
      <c r="P701" s="2"/>
      <c r="Q701" s="2"/>
      <c r="R701" s="2"/>
      <c r="S701" s="2"/>
      <c r="T701" s="2"/>
      <c r="U701" s="2"/>
    </row>
    <row r="702">
      <c r="A702" s="2"/>
      <c r="B702" s="2"/>
      <c r="C702" s="2"/>
      <c r="D702" s="2"/>
      <c r="E702" s="2"/>
      <c r="F702" s="2"/>
      <c r="G702" s="2"/>
      <c r="H702" s="2"/>
      <c r="I702" s="2"/>
      <c r="J702" s="2"/>
      <c r="K702" s="2"/>
      <c r="L702" s="2"/>
      <c r="M702" s="2"/>
      <c r="N702" s="2"/>
      <c r="O702" s="2"/>
      <c r="P702" s="2"/>
      <c r="Q702" s="2"/>
      <c r="R702" s="2"/>
      <c r="S702" s="2"/>
      <c r="T702" s="2"/>
      <c r="U702" s="2"/>
    </row>
    <row r="703">
      <c r="A703" s="2"/>
      <c r="B703" s="2"/>
      <c r="C703" s="2"/>
      <c r="D703" s="2"/>
      <c r="E703" s="2"/>
      <c r="F703" s="2"/>
      <c r="G703" s="2"/>
      <c r="H703" s="2"/>
      <c r="I703" s="2"/>
      <c r="J703" s="2"/>
      <c r="K703" s="2"/>
      <c r="L703" s="2"/>
      <c r="M703" s="2"/>
      <c r="N703" s="2"/>
      <c r="O703" s="2"/>
      <c r="P703" s="2"/>
      <c r="Q703" s="2"/>
      <c r="R703" s="2"/>
      <c r="S703" s="2"/>
      <c r="T703" s="2"/>
      <c r="U703" s="2"/>
    </row>
    <row r="704">
      <c r="A704" s="2"/>
      <c r="B704" s="2"/>
      <c r="C704" s="2"/>
      <c r="D704" s="2"/>
      <c r="E704" s="2"/>
      <c r="F704" s="2"/>
      <c r="G704" s="2"/>
      <c r="H704" s="2"/>
      <c r="I704" s="2"/>
      <c r="J704" s="2"/>
      <c r="K704" s="2"/>
      <c r="L704" s="2"/>
      <c r="M704" s="2"/>
      <c r="N704" s="2"/>
      <c r="O704" s="2"/>
      <c r="P704" s="2"/>
      <c r="Q704" s="2"/>
      <c r="R704" s="2"/>
      <c r="S704" s="2"/>
      <c r="T704" s="2"/>
      <c r="U704" s="2"/>
    </row>
    <row r="705">
      <c r="A705" s="2"/>
      <c r="B705" s="2"/>
      <c r="C705" s="2"/>
      <c r="D705" s="2"/>
      <c r="E705" s="2"/>
      <c r="F705" s="2"/>
      <c r="G705" s="2"/>
      <c r="H705" s="2"/>
      <c r="I705" s="2"/>
      <c r="J705" s="2"/>
      <c r="K705" s="2"/>
      <c r="L705" s="2"/>
      <c r="M705" s="2"/>
      <c r="N705" s="2"/>
      <c r="O705" s="2"/>
      <c r="P705" s="2"/>
      <c r="Q705" s="2"/>
      <c r="R705" s="2"/>
      <c r="S705" s="2"/>
      <c r="T705" s="2"/>
      <c r="U705" s="2"/>
    </row>
    <row r="706">
      <c r="A706" s="2"/>
      <c r="B706" s="2"/>
      <c r="C706" s="2"/>
      <c r="D706" s="2"/>
      <c r="E706" s="2"/>
      <c r="F706" s="2"/>
      <c r="G706" s="2"/>
      <c r="H706" s="2"/>
      <c r="I706" s="2"/>
      <c r="J706" s="2"/>
      <c r="K706" s="2"/>
      <c r="L706" s="2"/>
      <c r="M706" s="2"/>
      <c r="N706" s="2"/>
      <c r="O706" s="2"/>
      <c r="P706" s="2"/>
      <c r="Q706" s="2"/>
      <c r="R706" s="2"/>
      <c r="S706" s="2"/>
      <c r="T706" s="2"/>
      <c r="U706" s="2"/>
    </row>
    <row r="707">
      <c r="A707" s="2"/>
      <c r="B707" s="2"/>
      <c r="C707" s="2"/>
      <c r="D707" s="2"/>
      <c r="E707" s="2"/>
      <c r="F707" s="2"/>
      <c r="G707" s="2"/>
      <c r="H707" s="2"/>
      <c r="I707" s="2"/>
      <c r="J707" s="2"/>
      <c r="K707" s="2"/>
      <c r="L707" s="2"/>
      <c r="M707" s="2"/>
      <c r="N707" s="2"/>
      <c r="O707" s="2"/>
      <c r="P707" s="2"/>
      <c r="Q707" s="2"/>
      <c r="R707" s="2"/>
      <c r="S707" s="2"/>
      <c r="T707" s="2"/>
      <c r="U707" s="2"/>
    </row>
    <row r="708">
      <c r="A708" s="2"/>
      <c r="B708" s="2"/>
      <c r="C708" s="2"/>
      <c r="D708" s="2"/>
      <c r="E708" s="2"/>
      <c r="F708" s="2"/>
      <c r="G708" s="2"/>
      <c r="H708" s="2"/>
      <c r="I708" s="2"/>
      <c r="J708" s="2"/>
      <c r="K708" s="2"/>
      <c r="L708" s="2"/>
      <c r="M708" s="2"/>
      <c r="N708" s="2"/>
      <c r="O708" s="2"/>
      <c r="P708" s="2"/>
      <c r="Q708" s="2"/>
      <c r="R708" s="2"/>
      <c r="S708" s="2"/>
      <c r="T708" s="2"/>
      <c r="U708" s="2"/>
    </row>
    <row r="709">
      <c r="A709" s="2"/>
      <c r="B709" s="2"/>
      <c r="C709" s="2"/>
      <c r="D709" s="2"/>
      <c r="E709" s="2"/>
      <c r="F709" s="2"/>
      <c r="G709" s="2"/>
      <c r="H709" s="2"/>
      <c r="I709" s="2"/>
      <c r="J709" s="2"/>
      <c r="K709" s="2"/>
      <c r="L709" s="2"/>
      <c r="M709" s="2"/>
      <c r="N709" s="2"/>
      <c r="O709" s="2"/>
      <c r="P709" s="2"/>
      <c r="Q709" s="2"/>
      <c r="R709" s="2"/>
      <c r="S709" s="2"/>
      <c r="T709" s="2"/>
      <c r="U709" s="2"/>
    </row>
    <row r="710">
      <c r="A710" s="2"/>
      <c r="B710" s="2"/>
      <c r="C710" s="2"/>
      <c r="D710" s="2"/>
      <c r="E710" s="2"/>
      <c r="F710" s="2"/>
      <c r="G710" s="2"/>
      <c r="H710" s="2"/>
      <c r="I710" s="2"/>
      <c r="J710" s="2"/>
      <c r="K710" s="2"/>
      <c r="L710" s="2"/>
      <c r="M710" s="2"/>
      <c r="N710" s="2"/>
      <c r="O710" s="2"/>
      <c r="P710" s="2"/>
      <c r="Q710" s="2"/>
      <c r="R710" s="2"/>
      <c r="S710" s="2"/>
      <c r="T710" s="2"/>
      <c r="U710" s="2"/>
    </row>
    <row r="711">
      <c r="A711" s="2"/>
      <c r="B711" s="2"/>
      <c r="C711" s="2"/>
      <c r="D711" s="2"/>
      <c r="E711" s="2"/>
      <c r="F711" s="2"/>
      <c r="G711" s="2"/>
      <c r="H711" s="2"/>
      <c r="I711" s="2"/>
      <c r="J711" s="2"/>
      <c r="K711" s="2"/>
      <c r="L711" s="2"/>
      <c r="M711" s="2"/>
      <c r="N711" s="2"/>
      <c r="O711" s="2"/>
      <c r="P711" s="2"/>
      <c r="Q711" s="2"/>
      <c r="R711" s="2"/>
      <c r="S711" s="2"/>
      <c r="T711" s="2"/>
      <c r="U711" s="2"/>
    </row>
    <row r="712">
      <c r="A712" s="2"/>
      <c r="B712" s="2"/>
      <c r="C712" s="2"/>
      <c r="D712" s="2"/>
      <c r="E712" s="2"/>
      <c r="F712" s="2"/>
      <c r="G712" s="2"/>
      <c r="H712" s="2"/>
      <c r="I712" s="2"/>
      <c r="J712" s="2"/>
      <c r="K712" s="2"/>
      <c r="L712" s="2"/>
      <c r="M712" s="2"/>
      <c r="N712" s="2"/>
      <c r="O712" s="2"/>
      <c r="P712" s="2"/>
      <c r="Q712" s="2"/>
      <c r="R712" s="2"/>
      <c r="S712" s="2"/>
      <c r="T712" s="2"/>
      <c r="U712" s="2"/>
    </row>
    <row r="713">
      <c r="A713" s="2"/>
      <c r="B713" s="2"/>
      <c r="C713" s="2"/>
      <c r="D713" s="2"/>
      <c r="E713" s="2"/>
      <c r="F713" s="2"/>
      <c r="G713" s="2"/>
      <c r="H713" s="2"/>
      <c r="I713" s="2"/>
      <c r="J713" s="2"/>
      <c r="K713" s="2"/>
      <c r="L713" s="2"/>
      <c r="M713" s="2"/>
      <c r="N713" s="2"/>
      <c r="O713" s="2"/>
      <c r="P713" s="2"/>
      <c r="Q713" s="2"/>
      <c r="R713" s="2"/>
      <c r="S713" s="2"/>
      <c r="T713" s="2"/>
      <c r="U713" s="2"/>
    </row>
    <row r="714">
      <c r="A714" s="2"/>
      <c r="B714" s="2"/>
      <c r="C714" s="2"/>
      <c r="D714" s="2"/>
      <c r="E714" s="2"/>
      <c r="F714" s="2"/>
      <c r="G714" s="2"/>
      <c r="H714" s="2"/>
      <c r="I714" s="2"/>
      <c r="J714" s="2"/>
      <c r="K714" s="2"/>
      <c r="L714" s="2"/>
      <c r="M714" s="2"/>
      <c r="N714" s="2"/>
      <c r="O714" s="2"/>
      <c r="P714" s="2"/>
      <c r="Q714" s="2"/>
      <c r="R714" s="2"/>
      <c r="S714" s="2"/>
      <c r="T714" s="2"/>
      <c r="U714" s="2"/>
    </row>
    <row r="715">
      <c r="A715" s="2"/>
      <c r="B715" s="2"/>
      <c r="C715" s="2"/>
      <c r="D715" s="2"/>
      <c r="E715" s="2"/>
      <c r="F715" s="2"/>
      <c r="G715" s="2"/>
      <c r="H715" s="2"/>
      <c r="I715" s="2"/>
      <c r="J715" s="2"/>
      <c r="K715" s="2"/>
      <c r="L715" s="2"/>
      <c r="M715" s="2"/>
      <c r="N715" s="2"/>
      <c r="O715" s="2"/>
      <c r="P715" s="2"/>
      <c r="Q715" s="2"/>
      <c r="R715" s="2"/>
      <c r="S715" s="2"/>
      <c r="T715" s="2"/>
      <c r="U715" s="2"/>
    </row>
    <row r="716">
      <c r="A716" s="2"/>
      <c r="B716" s="2"/>
      <c r="C716" s="2"/>
      <c r="D716" s="2"/>
      <c r="E716" s="2"/>
      <c r="F716" s="2"/>
      <c r="G716" s="2"/>
      <c r="H716" s="2"/>
      <c r="I716" s="2"/>
      <c r="J716" s="2"/>
      <c r="K716" s="2"/>
      <c r="L716" s="2"/>
      <c r="M716" s="2"/>
      <c r="N716" s="2"/>
      <c r="O716" s="2"/>
      <c r="P716" s="2"/>
      <c r="Q716" s="2"/>
      <c r="R716" s="2"/>
      <c r="S716" s="2"/>
      <c r="T716" s="2"/>
      <c r="U716" s="2"/>
    </row>
    <row r="717">
      <c r="A717" s="2"/>
      <c r="B717" s="2"/>
      <c r="C717" s="2"/>
      <c r="D717" s="2"/>
      <c r="E717" s="2"/>
      <c r="F717" s="2"/>
      <c r="G717" s="2"/>
      <c r="H717" s="2"/>
      <c r="I717" s="2"/>
      <c r="J717" s="2"/>
      <c r="K717" s="2"/>
      <c r="L717" s="2"/>
      <c r="M717" s="2"/>
      <c r="N717" s="2"/>
      <c r="O717" s="2"/>
      <c r="P717" s="2"/>
      <c r="Q717" s="2"/>
      <c r="R717" s="2"/>
      <c r="S717" s="2"/>
      <c r="T717" s="2"/>
      <c r="U717" s="2"/>
    </row>
    <row r="718">
      <c r="A718" s="2"/>
      <c r="B718" s="2"/>
      <c r="C718" s="2"/>
      <c r="D718" s="2"/>
      <c r="E718" s="2"/>
      <c r="F718" s="2"/>
      <c r="G718" s="2"/>
      <c r="H718" s="2"/>
      <c r="I718" s="2"/>
      <c r="J718" s="2"/>
      <c r="K718" s="2"/>
      <c r="L718" s="2"/>
      <c r="M718" s="2"/>
      <c r="N718" s="2"/>
      <c r="O718" s="2"/>
      <c r="P718" s="2"/>
      <c r="Q718" s="2"/>
      <c r="R718" s="2"/>
      <c r="S718" s="2"/>
      <c r="T718" s="2"/>
      <c r="U718" s="2"/>
    </row>
    <row r="719">
      <c r="A719" s="2"/>
      <c r="B719" s="2"/>
      <c r="C719" s="2"/>
      <c r="D719" s="2"/>
      <c r="E719" s="2"/>
      <c r="F719" s="2"/>
      <c r="G719" s="2"/>
      <c r="H719" s="2"/>
      <c r="I719" s="2"/>
      <c r="J719" s="2"/>
      <c r="K719" s="2"/>
      <c r="L719" s="2"/>
      <c r="M719" s="2"/>
      <c r="N719" s="2"/>
      <c r="O719" s="2"/>
      <c r="P719" s="2"/>
      <c r="Q719" s="2"/>
      <c r="R719" s="2"/>
      <c r="S719" s="2"/>
      <c r="T719" s="2"/>
      <c r="U719" s="2"/>
    </row>
    <row r="720">
      <c r="A720" s="2"/>
      <c r="B720" s="2"/>
      <c r="C720" s="2"/>
      <c r="D720" s="2"/>
      <c r="E720" s="2"/>
      <c r="F720" s="2"/>
      <c r="G720" s="2"/>
      <c r="H720" s="2"/>
      <c r="I720" s="2"/>
      <c r="J720" s="2"/>
      <c r="K720" s="2"/>
      <c r="L720" s="2"/>
      <c r="M720" s="2"/>
      <c r="N720" s="2"/>
      <c r="O720" s="2"/>
      <c r="P720" s="2"/>
      <c r="Q720" s="2"/>
      <c r="R720" s="2"/>
      <c r="S720" s="2"/>
      <c r="T720" s="2"/>
      <c r="U720" s="2"/>
    </row>
    <row r="721">
      <c r="A721" s="2"/>
      <c r="B721" s="2"/>
      <c r="C721" s="2"/>
      <c r="D721" s="2"/>
      <c r="E721" s="2"/>
      <c r="F721" s="2"/>
      <c r="G721" s="2"/>
      <c r="H721" s="2"/>
      <c r="I721" s="2"/>
      <c r="J721" s="2"/>
      <c r="K721" s="2"/>
      <c r="L721" s="2"/>
      <c r="M721" s="2"/>
      <c r="N721" s="2"/>
      <c r="O721" s="2"/>
      <c r="P721" s="2"/>
      <c r="Q721" s="2"/>
      <c r="R721" s="2"/>
      <c r="S721" s="2"/>
      <c r="T721" s="2"/>
      <c r="U721" s="2"/>
    </row>
    <row r="722">
      <c r="A722" s="2"/>
      <c r="B722" s="2"/>
      <c r="C722" s="2"/>
      <c r="D722" s="2"/>
      <c r="E722" s="2"/>
      <c r="F722" s="2"/>
      <c r="G722" s="2"/>
      <c r="H722" s="2"/>
      <c r="I722" s="2"/>
      <c r="J722" s="2"/>
      <c r="K722" s="2"/>
      <c r="L722" s="2"/>
      <c r="M722" s="2"/>
      <c r="N722" s="2"/>
      <c r="O722" s="2"/>
      <c r="P722" s="2"/>
      <c r="Q722" s="2"/>
      <c r="R722" s="2"/>
      <c r="S722" s="2"/>
      <c r="T722" s="2"/>
      <c r="U722" s="2"/>
    </row>
    <row r="723">
      <c r="A723" s="2"/>
      <c r="B723" s="2"/>
      <c r="C723" s="2"/>
      <c r="D723" s="2"/>
      <c r="E723" s="2"/>
      <c r="F723" s="2"/>
      <c r="G723" s="2"/>
      <c r="H723" s="2"/>
      <c r="I723" s="2"/>
      <c r="J723" s="2"/>
      <c r="K723" s="2"/>
      <c r="L723" s="2"/>
      <c r="M723" s="2"/>
      <c r="N723" s="2"/>
      <c r="O723" s="2"/>
      <c r="P723" s="2"/>
      <c r="Q723" s="2"/>
      <c r="R723" s="2"/>
      <c r="S723" s="2"/>
      <c r="T723" s="2"/>
      <c r="U723" s="2"/>
    </row>
    <row r="724">
      <c r="A724" s="2"/>
      <c r="B724" s="2"/>
      <c r="C724" s="2"/>
      <c r="D724" s="2"/>
      <c r="E724" s="2"/>
      <c r="F724" s="2"/>
      <c r="G724" s="2"/>
      <c r="H724" s="2"/>
      <c r="I724" s="2"/>
      <c r="J724" s="2"/>
      <c r="K724" s="2"/>
      <c r="L724" s="2"/>
      <c r="M724" s="2"/>
      <c r="N724" s="2"/>
      <c r="O724" s="2"/>
      <c r="P724" s="2"/>
      <c r="Q724" s="2"/>
      <c r="R724" s="2"/>
      <c r="S724" s="2"/>
      <c r="T724" s="2"/>
      <c r="U724" s="2"/>
    </row>
    <row r="725">
      <c r="A725" s="2"/>
      <c r="B725" s="2"/>
      <c r="C725" s="2"/>
      <c r="D725" s="2"/>
      <c r="E725" s="2"/>
      <c r="F725" s="2"/>
      <c r="G725" s="2"/>
      <c r="H725" s="2"/>
      <c r="I725" s="2"/>
      <c r="J725" s="2"/>
      <c r="K725" s="2"/>
      <c r="L725" s="2"/>
      <c r="M725" s="2"/>
      <c r="N725" s="2"/>
      <c r="O725" s="2"/>
      <c r="P725" s="2"/>
      <c r="Q725" s="2"/>
      <c r="R725" s="2"/>
      <c r="S725" s="2"/>
      <c r="T725" s="2"/>
      <c r="U725" s="2"/>
    </row>
    <row r="726">
      <c r="A726" s="2"/>
      <c r="B726" s="2"/>
      <c r="C726" s="2"/>
      <c r="D726" s="2"/>
      <c r="E726" s="2"/>
      <c r="F726" s="2"/>
      <c r="G726" s="2"/>
      <c r="H726" s="2"/>
      <c r="I726" s="2"/>
      <c r="J726" s="2"/>
      <c r="K726" s="2"/>
      <c r="L726" s="2"/>
      <c r="M726" s="2"/>
      <c r="N726" s="2"/>
      <c r="O726" s="2"/>
      <c r="P726" s="2"/>
      <c r="Q726" s="2"/>
      <c r="R726" s="2"/>
      <c r="S726" s="2"/>
      <c r="T726" s="2"/>
      <c r="U726" s="2"/>
    </row>
    <row r="727">
      <c r="A727" s="2"/>
      <c r="B727" s="2"/>
      <c r="C727" s="2"/>
      <c r="D727" s="2"/>
      <c r="E727" s="2"/>
      <c r="F727" s="2"/>
      <c r="G727" s="2"/>
      <c r="H727" s="2"/>
      <c r="I727" s="2"/>
      <c r="J727" s="2"/>
      <c r="K727" s="2"/>
      <c r="L727" s="2"/>
      <c r="M727" s="2"/>
      <c r="N727" s="2"/>
      <c r="O727" s="2"/>
      <c r="P727" s="2"/>
      <c r="Q727" s="2"/>
      <c r="R727" s="2"/>
      <c r="S727" s="2"/>
      <c r="T727" s="2"/>
      <c r="U727" s="2"/>
    </row>
    <row r="728">
      <c r="A728" s="2"/>
      <c r="B728" s="2"/>
      <c r="C728" s="2"/>
      <c r="D728" s="2"/>
      <c r="E728" s="2"/>
      <c r="F728" s="2"/>
      <c r="G728" s="2"/>
      <c r="H728" s="2"/>
      <c r="I728" s="2"/>
      <c r="J728" s="2"/>
      <c r="K728" s="2"/>
      <c r="L728" s="2"/>
      <c r="M728" s="2"/>
      <c r="N728" s="2"/>
      <c r="O728" s="2"/>
      <c r="P728" s="2"/>
      <c r="Q728" s="2"/>
      <c r="R728" s="2"/>
      <c r="S728" s="2"/>
      <c r="T728" s="2"/>
      <c r="U728" s="2"/>
    </row>
    <row r="729">
      <c r="A729" s="2"/>
      <c r="B729" s="2"/>
      <c r="C729" s="2"/>
      <c r="D729" s="2"/>
      <c r="E729" s="2"/>
      <c r="F729" s="2"/>
      <c r="G729" s="2"/>
      <c r="H729" s="2"/>
      <c r="I729" s="2"/>
      <c r="J729" s="2"/>
      <c r="K729" s="2"/>
      <c r="L729" s="2"/>
      <c r="M729" s="2"/>
      <c r="N729" s="2"/>
      <c r="O729" s="2"/>
      <c r="P729" s="2"/>
      <c r="Q729" s="2"/>
      <c r="R729" s="2"/>
      <c r="S729" s="2"/>
      <c r="T729" s="2"/>
      <c r="U729" s="2"/>
    </row>
    <row r="730">
      <c r="A730" s="2"/>
      <c r="B730" s="2"/>
      <c r="C730" s="2"/>
      <c r="D730" s="2"/>
      <c r="E730" s="2"/>
      <c r="F730" s="2"/>
      <c r="G730" s="2"/>
      <c r="H730" s="2"/>
      <c r="I730" s="2"/>
      <c r="J730" s="2"/>
      <c r="K730" s="2"/>
      <c r="L730" s="2"/>
      <c r="M730" s="2"/>
      <c r="N730" s="2"/>
      <c r="O730" s="2"/>
      <c r="P730" s="2"/>
      <c r="Q730" s="2"/>
      <c r="R730" s="2"/>
      <c r="S730" s="2"/>
      <c r="T730" s="2"/>
      <c r="U730" s="2"/>
    </row>
    <row r="731">
      <c r="A731" s="2"/>
      <c r="B731" s="2"/>
      <c r="C731" s="2"/>
      <c r="D731" s="2"/>
      <c r="E731" s="2"/>
      <c r="F731" s="2"/>
      <c r="G731" s="2"/>
      <c r="H731" s="2"/>
      <c r="I731" s="2"/>
      <c r="J731" s="2"/>
      <c r="K731" s="2"/>
      <c r="L731" s="2"/>
      <c r="M731" s="2"/>
      <c r="N731" s="2"/>
      <c r="O731" s="2"/>
      <c r="P731" s="2"/>
      <c r="Q731" s="2"/>
      <c r="R731" s="2"/>
      <c r="S731" s="2"/>
      <c r="T731" s="2"/>
      <c r="U731" s="2"/>
    </row>
    <row r="732">
      <c r="A732" s="2"/>
      <c r="B732" s="2"/>
      <c r="C732" s="2"/>
      <c r="D732" s="2"/>
      <c r="E732" s="2"/>
      <c r="F732" s="2"/>
      <c r="G732" s="2"/>
      <c r="H732" s="2"/>
      <c r="I732" s="2"/>
      <c r="J732" s="2"/>
      <c r="K732" s="2"/>
      <c r="L732" s="2"/>
      <c r="M732" s="2"/>
      <c r="N732" s="2"/>
      <c r="O732" s="2"/>
      <c r="P732" s="2"/>
      <c r="Q732" s="2"/>
      <c r="R732" s="2"/>
      <c r="S732" s="2"/>
      <c r="T732" s="2"/>
      <c r="U732" s="2"/>
    </row>
    <row r="733">
      <c r="A733" s="2"/>
      <c r="B733" s="2"/>
      <c r="C733" s="2"/>
      <c r="D733" s="2"/>
      <c r="E733" s="2"/>
      <c r="F733" s="2"/>
      <c r="G733" s="2"/>
      <c r="H733" s="2"/>
      <c r="I733" s="2"/>
      <c r="J733" s="2"/>
      <c r="K733" s="2"/>
      <c r="L733" s="2"/>
      <c r="M733" s="2"/>
      <c r="N733" s="2"/>
      <c r="O733" s="2"/>
      <c r="P733" s="2"/>
      <c r="Q733" s="2"/>
      <c r="R733" s="2"/>
      <c r="S733" s="2"/>
      <c r="T733" s="2"/>
      <c r="U733" s="2"/>
    </row>
    <row r="734">
      <c r="A734" s="2"/>
      <c r="B734" s="2"/>
      <c r="C734" s="2"/>
      <c r="D734" s="2"/>
      <c r="E734" s="2"/>
      <c r="F734" s="2"/>
      <c r="G734" s="2"/>
      <c r="H734" s="2"/>
      <c r="I734" s="2"/>
      <c r="J734" s="2"/>
      <c r="K734" s="2"/>
      <c r="L734" s="2"/>
      <c r="M734" s="2"/>
      <c r="N734" s="2"/>
      <c r="O734" s="2"/>
      <c r="P734" s="2"/>
      <c r="Q734" s="2"/>
      <c r="R734" s="2"/>
      <c r="S734" s="2"/>
      <c r="T734" s="2"/>
      <c r="U734" s="2"/>
    </row>
    <row r="735">
      <c r="A735" s="2"/>
      <c r="B735" s="2"/>
      <c r="C735" s="2"/>
      <c r="D735" s="2"/>
      <c r="E735" s="2"/>
      <c r="F735" s="2"/>
      <c r="G735" s="2"/>
      <c r="H735" s="2"/>
      <c r="I735" s="2"/>
      <c r="J735" s="2"/>
      <c r="K735" s="2"/>
      <c r="L735" s="2"/>
      <c r="M735" s="2"/>
      <c r="N735" s="2"/>
      <c r="O735" s="2"/>
      <c r="P735" s="2"/>
      <c r="Q735" s="2"/>
      <c r="R735" s="2"/>
      <c r="S735" s="2"/>
      <c r="T735" s="2"/>
      <c r="U735" s="2"/>
    </row>
    <row r="736">
      <c r="A736" s="2"/>
      <c r="B736" s="2"/>
      <c r="C736" s="2"/>
      <c r="D736" s="2"/>
      <c r="E736" s="2"/>
      <c r="F736" s="2"/>
      <c r="G736" s="2"/>
      <c r="H736" s="2"/>
      <c r="I736" s="2"/>
      <c r="J736" s="2"/>
      <c r="K736" s="2"/>
      <c r="L736" s="2"/>
      <c r="M736" s="2"/>
      <c r="N736" s="2"/>
      <c r="O736" s="2"/>
      <c r="P736" s="2"/>
      <c r="Q736" s="2"/>
      <c r="R736" s="2"/>
      <c r="S736" s="2"/>
      <c r="T736" s="2"/>
      <c r="U736" s="2"/>
    </row>
    <row r="737">
      <c r="A737" s="2"/>
      <c r="B737" s="2"/>
      <c r="C737" s="2"/>
      <c r="D737" s="2"/>
      <c r="E737" s="2"/>
      <c r="F737" s="2"/>
      <c r="G737" s="2"/>
      <c r="H737" s="2"/>
      <c r="I737" s="2"/>
      <c r="J737" s="2"/>
      <c r="K737" s="2"/>
      <c r="L737" s="2"/>
      <c r="M737" s="2"/>
      <c r="N737" s="2"/>
      <c r="O737" s="2"/>
      <c r="P737" s="2"/>
      <c r="Q737" s="2"/>
      <c r="R737" s="2"/>
      <c r="S737" s="2"/>
      <c r="T737" s="2"/>
      <c r="U737" s="2"/>
    </row>
    <row r="738">
      <c r="A738" s="2"/>
      <c r="B738" s="2"/>
      <c r="C738" s="2"/>
      <c r="D738" s="2"/>
      <c r="E738" s="2"/>
      <c r="F738" s="2"/>
      <c r="G738" s="2"/>
      <c r="H738" s="2"/>
      <c r="I738" s="2"/>
      <c r="J738" s="2"/>
      <c r="K738" s="2"/>
      <c r="L738" s="2"/>
      <c r="M738" s="2"/>
      <c r="N738" s="2"/>
      <c r="O738" s="2"/>
      <c r="P738" s="2"/>
      <c r="Q738" s="2"/>
      <c r="R738" s="2"/>
      <c r="S738" s="2"/>
      <c r="T738" s="2"/>
      <c r="U738" s="2"/>
    </row>
    <row r="739">
      <c r="A739" s="2"/>
      <c r="B739" s="2"/>
      <c r="C739" s="2"/>
      <c r="D739" s="2"/>
      <c r="E739" s="2"/>
      <c r="F739" s="2"/>
      <c r="G739" s="2"/>
      <c r="H739" s="2"/>
      <c r="I739" s="2"/>
      <c r="J739" s="2"/>
      <c r="K739" s="2"/>
      <c r="L739" s="2"/>
      <c r="M739" s="2"/>
      <c r="N739" s="2"/>
      <c r="O739" s="2"/>
      <c r="P739" s="2"/>
      <c r="Q739" s="2"/>
      <c r="R739" s="2"/>
      <c r="S739" s="2"/>
      <c r="T739" s="2"/>
      <c r="U739" s="2"/>
    </row>
    <row r="740">
      <c r="A740" s="2"/>
      <c r="B740" s="2"/>
      <c r="C740" s="2"/>
      <c r="D740" s="2"/>
      <c r="E740" s="2"/>
      <c r="F740" s="2"/>
      <c r="G740" s="2"/>
      <c r="H740" s="2"/>
      <c r="I740" s="2"/>
      <c r="J740" s="2"/>
      <c r="K740" s="2"/>
      <c r="L740" s="2"/>
      <c r="M740" s="2"/>
      <c r="N740" s="2"/>
      <c r="O740" s="2"/>
      <c r="P740" s="2"/>
      <c r="Q740" s="2"/>
      <c r="R740" s="2"/>
      <c r="S740" s="2"/>
      <c r="T740" s="2"/>
      <c r="U740" s="2"/>
    </row>
    <row r="741">
      <c r="A741" s="2"/>
      <c r="B741" s="2"/>
      <c r="C741" s="2"/>
      <c r="D741" s="2"/>
      <c r="E741" s="2"/>
      <c r="F741" s="2"/>
      <c r="G741" s="2"/>
      <c r="H741" s="2"/>
      <c r="I741" s="2"/>
      <c r="J741" s="2"/>
      <c r="K741" s="2"/>
      <c r="L741" s="2"/>
      <c r="M741" s="2"/>
      <c r="N741" s="2"/>
      <c r="O741" s="2"/>
      <c r="P741" s="2"/>
      <c r="Q741" s="2"/>
      <c r="R741" s="2"/>
      <c r="S741" s="2"/>
      <c r="T741" s="2"/>
      <c r="U741" s="2"/>
    </row>
    <row r="742">
      <c r="A742" s="2"/>
      <c r="B742" s="2"/>
      <c r="C742" s="2"/>
      <c r="D742" s="2"/>
      <c r="E742" s="2"/>
      <c r="F742" s="2"/>
      <c r="G742" s="2"/>
      <c r="H742" s="2"/>
      <c r="I742" s="2"/>
      <c r="J742" s="2"/>
      <c r="K742" s="2"/>
      <c r="L742" s="2"/>
      <c r="M742" s="2"/>
      <c r="N742" s="2"/>
      <c r="O742" s="2"/>
      <c r="P742" s="2"/>
      <c r="Q742" s="2"/>
      <c r="R742" s="2"/>
      <c r="S742" s="2"/>
      <c r="T742" s="2"/>
      <c r="U742" s="2"/>
    </row>
    <row r="743">
      <c r="A743" s="2"/>
      <c r="B743" s="2"/>
      <c r="C743" s="2"/>
      <c r="D743" s="2"/>
      <c r="E743" s="2"/>
      <c r="F743" s="2"/>
      <c r="G743" s="2"/>
      <c r="H743" s="2"/>
      <c r="I743" s="2"/>
      <c r="J743" s="2"/>
      <c r="K743" s="2"/>
      <c r="L743" s="2"/>
      <c r="M743" s="2"/>
      <c r="N743" s="2"/>
      <c r="O743" s="2"/>
      <c r="P743" s="2"/>
      <c r="Q743" s="2"/>
      <c r="R743" s="2"/>
      <c r="S743" s="2"/>
      <c r="T743" s="2"/>
      <c r="U743" s="2"/>
    </row>
    <row r="744">
      <c r="A744" s="2"/>
      <c r="B744" s="2"/>
      <c r="C744" s="2"/>
      <c r="D744" s="2"/>
      <c r="E744" s="2"/>
      <c r="F744" s="2"/>
      <c r="G744" s="2"/>
      <c r="H744" s="2"/>
      <c r="I744" s="2"/>
      <c r="J744" s="2"/>
      <c r="K744" s="2"/>
      <c r="L744" s="2"/>
      <c r="M744" s="2"/>
      <c r="N744" s="2"/>
      <c r="O744" s="2"/>
      <c r="P744" s="2"/>
      <c r="Q744" s="2"/>
      <c r="R744" s="2"/>
      <c r="S744" s="2"/>
      <c r="T744" s="2"/>
      <c r="U744" s="2"/>
    </row>
    <row r="745">
      <c r="A745" s="2"/>
      <c r="B745" s="2"/>
      <c r="C745" s="2"/>
      <c r="D745" s="2"/>
      <c r="E745" s="2"/>
      <c r="F745" s="2"/>
      <c r="G745" s="2"/>
      <c r="H745" s="2"/>
      <c r="I745" s="2"/>
      <c r="J745" s="2"/>
      <c r="K745" s="2"/>
      <c r="L745" s="2"/>
      <c r="M745" s="2"/>
      <c r="N745" s="2"/>
      <c r="O745" s="2"/>
      <c r="P745" s="2"/>
      <c r="Q745" s="2"/>
      <c r="R745" s="2"/>
      <c r="S745" s="2"/>
      <c r="T745" s="2"/>
      <c r="U745" s="2"/>
    </row>
    <row r="746">
      <c r="A746" s="2"/>
      <c r="B746" s="2"/>
      <c r="C746" s="2"/>
      <c r="D746" s="2"/>
      <c r="E746" s="2"/>
      <c r="F746" s="2"/>
      <c r="G746" s="2"/>
      <c r="H746" s="2"/>
      <c r="I746" s="2"/>
      <c r="J746" s="2"/>
      <c r="K746" s="2"/>
      <c r="L746" s="2"/>
      <c r="M746" s="2"/>
      <c r="N746" s="2"/>
      <c r="O746" s="2"/>
      <c r="P746" s="2"/>
      <c r="Q746" s="2"/>
      <c r="R746" s="2"/>
      <c r="S746" s="2"/>
      <c r="T746" s="2"/>
      <c r="U746" s="2"/>
    </row>
    <row r="747">
      <c r="A747" s="2"/>
      <c r="B747" s="2"/>
      <c r="C747" s="2"/>
      <c r="D747" s="2"/>
      <c r="E747" s="2"/>
      <c r="F747" s="2"/>
      <c r="G747" s="2"/>
      <c r="H747" s="2"/>
      <c r="I747" s="2"/>
      <c r="J747" s="2"/>
      <c r="K747" s="2"/>
      <c r="L747" s="2"/>
      <c r="M747" s="2"/>
      <c r="N747" s="2"/>
      <c r="O747" s="2"/>
      <c r="P747" s="2"/>
      <c r="Q747" s="2"/>
      <c r="R747" s="2"/>
      <c r="S747" s="2"/>
      <c r="T747" s="2"/>
      <c r="U747" s="2"/>
    </row>
    <row r="748">
      <c r="A748" s="2"/>
      <c r="B748" s="2"/>
      <c r="C748" s="2"/>
      <c r="D748" s="2"/>
      <c r="E748" s="2"/>
      <c r="F748" s="2"/>
      <c r="G748" s="2"/>
      <c r="H748" s="2"/>
      <c r="I748" s="2"/>
      <c r="J748" s="2"/>
      <c r="K748" s="2"/>
      <c r="L748" s="2"/>
      <c r="M748" s="2"/>
      <c r="N748" s="2"/>
      <c r="O748" s="2"/>
      <c r="P748" s="2"/>
      <c r="Q748" s="2"/>
      <c r="R748" s="2"/>
      <c r="S748" s="2"/>
      <c r="T748" s="2"/>
      <c r="U748" s="2"/>
    </row>
    <row r="749">
      <c r="A749" s="2"/>
      <c r="B749" s="2"/>
      <c r="C749" s="2"/>
      <c r="D749" s="2"/>
      <c r="E749" s="2"/>
      <c r="F749" s="2"/>
      <c r="G749" s="2"/>
      <c r="H749" s="2"/>
      <c r="I749" s="2"/>
      <c r="J749" s="2"/>
      <c r="K749" s="2"/>
      <c r="L749" s="2"/>
      <c r="M749" s="2"/>
      <c r="N749" s="2"/>
      <c r="O749" s="2"/>
      <c r="P749" s="2"/>
      <c r="Q749" s="2"/>
      <c r="R749" s="2"/>
      <c r="S749" s="2"/>
      <c r="T749" s="2"/>
      <c r="U749" s="2"/>
    </row>
    <row r="750">
      <c r="A750" s="2"/>
      <c r="B750" s="2"/>
      <c r="C750" s="2"/>
      <c r="D750" s="2"/>
      <c r="E750" s="2"/>
      <c r="F750" s="2"/>
      <c r="G750" s="2"/>
      <c r="H750" s="2"/>
      <c r="I750" s="2"/>
      <c r="J750" s="2"/>
      <c r="K750" s="2"/>
      <c r="L750" s="2"/>
      <c r="M750" s="2"/>
      <c r="N750" s="2"/>
      <c r="O750" s="2"/>
      <c r="P750" s="2"/>
      <c r="Q750" s="2"/>
      <c r="R750" s="2"/>
      <c r="S750" s="2"/>
      <c r="T750" s="2"/>
      <c r="U750" s="2"/>
    </row>
    <row r="751">
      <c r="A751" s="2"/>
      <c r="B751" s="2"/>
      <c r="C751" s="2"/>
      <c r="D751" s="2"/>
      <c r="E751" s="2"/>
      <c r="F751" s="2"/>
      <c r="G751" s="2"/>
      <c r="H751" s="2"/>
      <c r="I751" s="2"/>
      <c r="J751" s="2"/>
      <c r="K751" s="2"/>
      <c r="L751" s="2"/>
      <c r="M751" s="2"/>
      <c r="N751" s="2"/>
      <c r="O751" s="2"/>
      <c r="P751" s="2"/>
      <c r="Q751" s="2"/>
      <c r="R751" s="2"/>
      <c r="S751" s="2"/>
      <c r="T751" s="2"/>
      <c r="U751" s="2"/>
    </row>
    <row r="752">
      <c r="A752" s="2"/>
      <c r="B752" s="2"/>
      <c r="C752" s="2"/>
      <c r="D752" s="2"/>
      <c r="E752" s="2"/>
      <c r="F752" s="2"/>
      <c r="G752" s="2"/>
      <c r="H752" s="2"/>
      <c r="I752" s="2"/>
      <c r="J752" s="2"/>
      <c r="K752" s="2"/>
      <c r="L752" s="2"/>
      <c r="M752" s="2"/>
      <c r="N752" s="2"/>
      <c r="O752" s="2"/>
      <c r="P752" s="2"/>
      <c r="Q752" s="2"/>
      <c r="R752" s="2"/>
      <c r="S752" s="2"/>
      <c r="T752" s="2"/>
      <c r="U752" s="2"/>
    </row>
    <row r="753">
      <c r="A753" s="2"/>
      <c r="B753" s="2"/>
      <c r="C753" s="2"/>
      <c r="D753" s="2"/>
      <c r="E753" s="2"/>
      <c r="F753" s="2"/>
      <c r="G753" s="2"/>
      <c r="H753" s="2"/>
      <c r="I753" s="2"/>
      <c r="J753" s="2"/>
      <c r="K753" s="2"/>
      <c r="L753" s="2"/>
      <c r="M753" s="2"/>
      <c r="N753" s="2"/>
      <c r="O753" s="2"/>
      <c r="P753" s="2"/>
      <c r="Q753" s="2"/>
      <c r="R753" s="2"/>
      <c r="S753" s="2"/>
      <c r="T753" s="2"/>
      <c r="U753" s="2"/>
    </row>
    <row r="754">
      <c r="A754" s="2"/>
      <c r="B754" s="2"/>
      <c r="C754" s="2"/>
      <c r="D754" s="2"/>
      <c r="E754" s="2"/>
      <c r="F754" s="2"/>
      <c r="G754" s="2"/>
      <c r="H754" s="2"/>
      <c r="I754" s="2"/>
      <c r="J754" s="2"/>
      <c r="K754" s="2"/>
      <c r="L754" s="2"/>
      <c r="M754" s="2"/>
      <c r="N754" s="2"/>
      <c r="O754" s="2"/>
      <c r="P754" s="2"/>
      <c r="Q754" s="2"/>
      <c r="R754" s="2"/>
      <c r="S754" s="2"/>
      <c r="T754" s="2"/>
      <c r="U754" s="2"/>
    </row>
    <row r="755">
      <c r="A755" s="2"/>
      <c r="B755" s="2"/>
      <c r="C755" s="2"/>
      <c r="D755" s="2"/>
      <c r="E755" s="2"/>
      <c r="F755" s="2"/>
      <c r="G755" s="2"/>
      <c r="H755" s="2"/>
      <c r="I755" s="2"/>
      <c r="J755" s="2"/>
      <c r="K755" s="2"/>
      <c r="L755" s="2"/>
      <c r="M755" s="2"/>
      <c r="N755" s="2"/>
      <c r="O755" s="2"/>
      <c r="P755" s="2"/>
      <c r="Q755" s="2"/>
      <c r="R755" s="2"/>
      <c r="S755" s="2"/>
      <c r="T755" s="2"/>
      <c r="U755" s="2"/>
    </row>
    <row r="756">
      <c r="A756" s="2"/>
      <c r="B756" s="2"/>
      <c r="C756" s="2"/>
      <c r="D756" s="2"/>
      <c r="E756" s="2"/>
      <c r="F756" s="2"/>
      <c r="G756" s="2"/>
      <c r="H756" s="2"/>
      <c r="I756" s="2"/>
      <c r="J756" s="2"/>
      <c r="K756" s="2"/>
      <c r="L756" s="2"/>
      <c r="M756" s="2"/>
      <c r="N756" s="2"/>
      <c r="O756" s="2"/>
      <c r="P756" s="2"/>
      <c r="Q756" s="2"/>
      <c r="R756" s="2"/>
      <c r="S756" s="2"/>
      <c r="T756" s="2"/>
      <c r="U756" s="2"/>
    </row>
    <row r="757">
      <c r="A757" s="2"/>
      <c r="B757" s="2"/>
      <c r="C757" s="2"/>
      <c r="D757" s="2"/>
      <c r="E757" s="2"/>
      <c r="F757" s="2"/>
      <c r="G757" s="2"/>
      <c r="H757" s="2"/>
      <c r="I757" s="2"/>
      <c r="J757" s="2"/>
      <c r="K757" s="2"/>
      <c r="L757" s="2"/>
      <c r="M757" s="2"/>
      <c r="N757" s="2"/>
      <c r="O757" s="2"/>
      <c r="P757" s="2"/>
      <c r="Q757" s="2"/>
      <c r="R757" s="2"/>
      <c r="S757" s="2"/>
      <c r="T757" s="2"/>
      <c r="U757" s="2"/>
    </row>
    <row r="758">
      <c r="A758" s="2"/>
      <c r="B758" s="2"/>
      <c r="C758" s="2"/>
      <c r="D758" s="2"/>
      <c r="E758" s="2"/>
      <c r="F758" s="2"/>
      <c r="G758" s="2"/>
      <c r="H758" s="2"/>
      <c r="I758" s="2"/>
      <c r="J758" s="2"/>
      <c r="K758" s="2"/>
      <c r="L758" s="2"/>
      <c r="M758" s="2"/>
      <c r="N758" s="2"/>
      <c r="O758" s="2"/>
      <c r="P758" s="2"/>
      <c r="Q758" s="2"/>
      <c r="R758" s="2"/>
      <c r="S758" s="2"/>
      <c r="T758" s="2"/>
      <c r="U758" s="2"/>
    </row>
    <row r="759">
      <c r="A759" s="2"/>
      <c r="B759" s="2"/>
      <c r="C759" s="2"/>
      <c r="D759" s="2"/>
      <c r="E759" s="2"/>
      <c r="F759" s="2"/>
      <c r="G759" s="2"/>
      <c r="H759" s="2"/>
      <c r="I759" s="2"/>
      <c r="J759" s="2"/>
      <c r="K759" s="2"/>
      <c r="L759" s="2"/>
      <c r="M759" s="2"/>
      <c r="N759" s="2"/>
      <c r="O759" s="2"/>
      <c r="P759" s="2"/>
      <c r="Q759" s="2"/>
      <c r="R759" s="2"/>
      <c r="S759" s="2"/>
      <c r="T759" s="2"/>
      <c r="U759" s="2"/>
    </row>
    <row r="760">
      <c r="A760" s="2"/>
      <c r="B760" s="2"/>
      <c r="C760" s="2"/>
      <c r="D760" s="2"/>
      <c r="E760" s="2"/>
      <c r="F760" s="2"/>
      <c r="G760" s="2"/>
      <c r="H760" s="2"/>
      <c r="I760" s="2"/>
      <c r="J760" s="2"/>
      <c r="K760" s="2"/>
      <c r="L760" s="2"/>
      <c r="M760" s="2"/>
      <c r="N760" s="2"/>
      <c r="O760" s="2"/>
      <c r="P760" s="2"/>
      <c r="Q760" s="2"/>
      <c r="R760" s="2"/>
      <c r="S760" s="2"/>
      <c r="T760" s="2"/>
      <c r="U760" s="2"/>
    </row>
    <row r="761">
      <c r="A761" s="2"/>
      <c r="B761" s="2"/>
      <c r="C761" s="2"/>
      <c r="D761" s="2"/>
      <c r="E761" s="2"/>
      <c r="F761" s="2"/>
      <c r="G761" s="2"/>
      <c r="H761" s="2"/>
      <c r="I761" s="2"/>
      <c r="J761" s="2"/>
      <c r="K761" s="2"/>
      <c r="L761" s="2"/>
      <c r="M761" s="2"/>
      <c r="N761" s="2"/>
      <c r="O761" s="2"/>
      <c r="P761" s="2"/>
      <c r="Q761" s="2"/>
      <c r="R761" s="2"/>
      <c r="S761" s="2"/>
      <c r="T761" s="2"/>
      <c r="U761" s="2"/>
    </row>
    <row r="762">
      <c r="A762" s="2"/>
      <c r="B762" s="2"/>
      <c r="C762" s="2"/>
      <c r="D762" s="2"/>
      <c r="E762" s="2"/>
      <c r="F762" s="2"/>
      <c r="G762" s="2"/>
      <c r="H762" s="2"/>
      <c r="I762" s="2"/>
      <c r="J762" s="2"/>
      <c r="K762" s="2"/>
      <c r="L762" s="2"/>
      <c r="M762" s="2"/>
      <c r="N762" s="2"/>
      <c r="O762" s="2"/>
      <c r="P762" s="2"/>
      <c r="Q762" s="2"/>
      <c r="R762" s="2"/>
      <c r="S762" s="2"/>
      <c r="T762" s="2"/>
      <c r="U762" s="2"/>
    </row>
    <row r="763">
      <c r="A763" s="2"/>
      <c r="B763" s="2"/>
      <c r="C763" s="2"/>
      <c r="D763" s="2"/>
      <c r="E763" s="2"/>
      <c r="F763" s="2"/>
      <c r="G763" s="2"/>
      <c r="H763" s="2"/>
      <c r="I763" s="2"/>
      <c r="J763" s="2"/>
      <c r="K763" s="2"/>
      <c r="L763" s="2"/>
      <c r="M763" s="2"/>
      <c r="N763" s="2"/>
      <c r="O763" s="2"/>
      <c r="P763" s="2"/>
      <c r="Q763" s="2"/>
      <c r="R763" s="2"/>
      <c r="S763" s="2"/>
      <c r="T763" s="2"/>
      <c r="U763" s="2"/>
    </row>
    <row r="764">
      <c r="A764" s="2"/>
      <c r="B764" s="2"/>
      <c r="C764" s="2"/>
      <c r="D764" s="2"/>
      <c r="E764" s="2"/>
      <c r="F764" s="2"/>
      <c r="G764" s="2"/>
      <c r="H764" s="2"/>
      <c r="I764" s="2"/>
      <c r="J764" s="2"/>
      <c r="K764" s="2"/>
      <c r="L764" s="2"/>
      <c r="M764" s="2"/>
      <c r="N764" s="2"/>
      <c r="O764" s="2"/>
      <c r="P764" s="2"/>
      <c r="Q764" s="2"/>
      <c r="R764" s="2"/>
      <c r="S764" s="2"/>
      <c r="T764" s="2"/>
      <c r="U764" s="2"/>
    </row>
    <row r="765">
      <c r="A765" s="2"/>
      <c r="B765" s="2"/>
      <c r="C765" s="2"/>
      <c r="D765" s="2"/>
      <c r="E765" s="2"/>
      <c r="F765" s="2"/>
      <c r="G765" s="2"/>
      <c r="H765" s="2"/>
      <c r="I765" s="2"/>
      <c r="J765" s="2"/>
      <c r="K765" s="2"/>
      <c r="L765" s="2"/>
      <c r="M765" s="2"/>
      <c r="N765" s="2"/>
      <c r="O765" s="2"/>
      <c r="P765" s="2"/>
      <c r="Q765" s="2"/>
      <c r="R765" s="2"/>
      <c r="S765" s="2"/>
      <c r="T765" s="2"/>
      <c r="U765" s="2"/>
    </row>
    <row r="766">
      <c r="A766" s="2"/>
      <c r="B766" s="2"/>
      <c r="C766" s="2"/>
      <c r="D766" s="2"/>
      <c r="E766" s="2"/>
      <c r="F766" s="2"/>
      <c r="G766" s="2"/>
      <c r="H766" s="2"/>
      <c r="I766" s="2"/>
      <c r="J766" s="2"/>
      <c r="K766" s="2"/>
      <c r="L766" s="2"/>
      <c r="M766" s="2"/>
      <c r="N766" s="2"/>
      <c r="O766" s="2"/>
      <c r="P766" s="2"/>
      <c r="Q766" s="2"/>
      <c r="R766" s="2"/>
      <c r="S766" s="2"/>
      <c r="T766" s="2"/>
      <c r="U766" s="2"/>
    </row>
    <row r="767">
      <c r="A767" s="2"/>
      <c r="B767" s="2"/>
      <c r="C767" s="2"/>
      <c r="D767" s="2"/>
      <c r="E767" s="2"/>
      <c r="F767" s="2"/>
      <c r="G767" s="2"/>
      <c r="H767" s="2"/>
      <c r="I767" s="2"/>
      <c r="J767" s="2"/>
      <c r="K767" s="2"/>
      <c r="L767" s="2"/>
      <c r="M767" s="2"/>
      <c r="N767" s="2"/>
      <c r="O767" s="2"/>
      <c r="P767" s="2"/>
      <c r="Q767" s="2"/>
      <c r="R767" s="2"/>
      <c r="S767" s="2"/>
      <c r="T767" s="2"/>
      <c r="U767" s="2"/>
    </row>
    <row r="768">
      <c r="A768" s="2"/>
      <c r="B768" s="2"/>
      <c r="C768" s="2"/>
      <c r="D768" s="2"/>
      <c r="E768" s="2"/>
      <c r="F768" s="2"/>
      <c r="G768" s="2"/>
      <c r="H768" s="2"/>
      <c r="I768" s="2"/>
      <c r="J768" s="2"/>
      <c r="K768" s="2"/>
      <c r="L768" s="2"/>
      <c r="M768" s="2"/>
      <c r="N768" s="2"/>
      <c r="O768" s="2"/>
      <c r="P768" s="2"/>
      <c r="Q768" s="2"/>
      <c r="R768" s="2"/>
      <c r="S768" s="2"/>
      <c r="T768" s="2"/>
      <c r="U768" s="2"/>
    </row>
    <row r="769">
      <c r="A769" s="2"/>
      <c r="B769" s="2"/>
      <c r="C769" s="2"/>
      <c r="D769" s="2"/>
      <c r="E769" s="2"/>
      <c r="F769" s="2"/>
      <c r="G769" s="2"/>
      <c r="H769" s="2"/>
      <c r="I769" s="2"/>
      <c r="J769" s="2"/>
      <c r="K769" s="2"/>
      <c r="L769" s="2"/>
      <c r="M769" s="2"/>
      <c r="N769" s="2"/>
      <c r="O769" s="2"/>
      <c r="P769" s="2"/>
      <c r="Q769" s="2"/>
      <c r="R769" s="2"/>
      <c r="S769" s="2"/>
      <c r="T769" s="2"/>
      <c r="U769" s="2"/>
    </row>
    <row r="770">
      <c r="A770" s="2"/>
      <c r="B770" s="2"/>
      <c r="C770" s="2"/>
      <c r="D770" s="2"/>
      <c r="E770" s="2"/>
      <c r="F770" s="2"/>
      <c r="G770" s="2"/>
      <c r="H770" s="2"/>
      <c r="I770" s="2"/>
      <c r="J770" s="2"/>
      <c r="K770" s="2"/>
      <c r="L770" s="2"/>
      <c r="M770" s="2"/>
      <c r="N770" s="2"/>
      <c r="O770" s="2"/>
      <c r="P770" s="2"/>
      <c r="Q770" s="2"/>
      <c r="R770" s="2"/>
      <c r="S770" s="2"/>
      <c r="T770" s="2"/>
      <c r="U770" s="2"/>
    </row>
    <row r="771">
      <c r="A771" s="2"/>
      <c r="B771" s="2"/>
      <c r="C771" s="2"/>
      <c r="D771" s="2"/>
      <c r="E771" s="2"/>
      <c r="F771" s="2"/>
      <c r="G771" s="2"/>
      <c r="H771" s="2"/>
      <c r="I771" s="2"/>
      <c r="J771" s="2"/>
      <c r="K771" s="2"/>
      <c r="L771" s="2"/>
      <c r="M771" s="2"/>
      <c r="N771" s="2"/>
      <c r="O771" s="2"/>
      <c r="P771" s="2"/>
      <c r="Q771" s="2"/>
      <c r="R771" s="2"/>
      <c r="S771" s="2"/>
      <c r="T771" s="2"/>
      <c r="U771" s="2"/>
    </row>
    <row r="772">
      <c r="A772" s="2"/>
      <c r="B772" s="2"/>
      <c r="C772" s="2"/>
      <c r="D772" s="2"/>
      <c r="E772" s="2"/>
      <c r="F772" s="2"/>
      <c r="G772" s="2"/>
      <c r="H772" s="2"/>
      <c r="I772" s="2"/>
      <c r="J772" s="2"/>
      <c r="K772" s="2"/>
      <c r="L772" s="2"/>
      <c r="M772" s="2"/>
      <c r="N772" s="2"/>
      <c r="O772" s="2"/>
      <c r="P772" s="2"/>
      <c r="Q772" s="2"/>
      <c r="R772" s="2"/>
      <c r="S772" s="2"/>
      <c r="T772" s="2"/>
      <c r="U772" s="2"/>
    </row>
    <row r="773">
      <c r="A773" s="2"/>
      <c r="B773" s="2"/>
      <c r="C773" s="2"/>
      <c r="D773" s="2"/>
      <c r="E773" s="2"/>
      <c r="F773" s="2"/>
      <c r="G773" s="2"/>
      <c r="H773" s="2"/>
      <c r="I773" s="2"/>
      <c r="J773" s="2"/>
      <c r="K773" s="2"/>
      <c r="L773" s="2"/>
      <c r="M773" s="2"/>
      <c r="N773" s="2"/>
      <c r="O773" s="2"/>
      <c r="P773" s="2"/>
      <c r="Q773" s="2"/>
      <c r="R773" s="2"/>
      <c r="S773" s="2"/>
      <c r="T773" s="2"/>
      <c r="U773" s="2"/>
    </row>
    <row r="774">
      <c r="A774" s="2"/>
      <c r="B774" s="2"/>
      <c r="C774" s="2"/>
      <c r="D774" s="2"/>
      <c r="E774" s="2"/>
      <c r="F774" s="2"/>
      <c r="G774" s="2"/>
      <c r="H774" s="2"/>
      <c r="I774" s="2"/>
      <c r="J774" s="2"/>
      <c r="K774" s="2"/>
      <c r="L774" s="2"/>
      <c r="M774" s="2"/>
      <c r="N774" s="2"/>
      <c r="O774" s="2"/>
      <c r="P774" s="2"/>
      <c r="Q774" s="2"/>
      <c r="R774" s="2"/>
      <c r="S774" s="2"/>
      <c r="T774" s="2"/>
      <c r="U774" s="2"/>
    </row>
    <row r="775">
      <c r="A775" s="2"/>
      <c r="B775" s="2"/>
      <c r="C775" s="2"/>
      <c r="D775" s="2"/>
      <c r="E775" s="2"/>
      <c r="F775" s="2"/>
      <c r="G775" s="2"/>
      <c r="H775" s="2"/>
      <c r="I775" s="2"/>
      <c r="J775" s="2"/>
      <c r="K775" s="2"/>
      <c r="L775" s="2"/>
      <c r="M775" s="2"/>
      <c r="N775" s="2"/>
      <c r="O775" s="2"/>
      <c r="P775" s="2"/>
      <c r="Q775" s="2"/>
      <c r="R775" s="2"/>
      <c r="S775" s="2"/>
      <c r="T775" s="2"/>
      <c r="U775" s="2"/>
    </row>
    <row r="776">
      <c r="A776" s="2"/>
      <c r="B776" s="2"/>
      <c r="C776" s="2"/>
      <c r="D776" s="2"/>
      <c r="E776" s="2"/>
      <c r="F776" s="2"/>
      <c r="G776" s="2"/>
      <c r="H776" s="2"/>
      <c r="I776" s="2"/>
      <c r="J776" s="2"/>
      <c r="K776" s="2"/>
      <c r="L776" s="2"/>
      <c r="M776" s="2"/>
      <c r="N776" s="2"/>
      <c r="O776" s="2"/>
      <c r="P776" s="2"/>
      <c r="Q776" s="2"/>
      <c r="R776" s="2"/>
      <c r="S776" s="2"/>
      <c r="T776" s="2"/>
      <c r="U776" s="2"/>
    </row>
    <row r="777">
      <c r="A777" s="2"/>
      <c r="B777" s="2"/>
      <c r="C777" s="2"/>
      <c r="D777" s="2"/>
      <c r="E777" s="2"/>
      <c r="F777" s="2"/>
      <c r="G777" s="2"/>
      <c r="H777" s="2"/>
      <c r="I777" s="2"/>
      <c r="J777" s="2"/>
      <c r="K777" s="2"/>
      <c r="L777" s="2"/>
      <c r="M777" s="2"/>
      <c r="N777" s="2"/>
      <c r="O777" s="2"/>
      <c r="P777" s="2"/>
      <c r="Q777" s="2"/>
      <c r="R777" s="2"/>
      <c r="S777" s="2"/>
      <c r="T777" s="2"/>
      <c r="U777" s="2"/>
    </row>
    <row r="778">
      <c r="A778" s="2"/>
      <c r="B778" s="2"/>
      <c r="C778" s="2"/>
      <c r="D778" s="2"/>
      <c r="E778" s="2"/>
      <c r="F778" s="2"/>
      <c r="G778" s="2"/>
      <c r="H778" s="2"/>
      <c r="I778" s="2"/>
      <c r="J778" s="2"/>
      <c r="K778" s="2"/>
      <c r="L778" s="2"/>
      <c r="M778" s="2"/>
      <c r="N778" s="2"/>
      <c r="O778" s="2"/>
      <c r="P778" s="2"/>
      <c r="Q778" s="2"/>
      <c r="R778" s="2"/>
      <c r="S778" s="2"/>
      <c r="T778" s="2"/>
      <c r="U778" s="2"/>
    </row>
    <row r="779">
      <c r="A779" s="2"/>
      <c r="B779" s="2"/>
      <c r="C779" s="2"/>
      <c r="D779" s="2"/>
      <c r="E779" s="2"/>
      <c r="F779" s="2"/>
      <c r="G779" s="2"/>
      <c r="H779" s="2"/>
      <c r="I779" s="2"/>
      <c r="J779" s="2"/>
      <c r="K779" s="2"/>
      <c r="L779" s="2"/>
      <c r="M779" s="2"/>
      <c r="N779" s="2"/>
      <c r="O779" s="2"/>
      <c r="P779" s="2"/>
      <c r="Q779" s="2"/>
      <c r="R779" s="2"/>
      <c r="S779" s="2"/>
      <c r="T779" s="2"/>
      <c r="U779" s="2"/>
    </row>
    <row r="780">
      <c r="A780" s="2"/>
      <c r="B780" s="2"/>
      <c r="C780" s="2"/>
      <c r="D780" s="2"/>
      <c r="E780" s="2"/>
      <c r="F780" s="2"/>
      <c r="G780" s="2"/>
      <c r="H780" s="2"/>
      <c r="I780" s="2"/>
      <c r="J780" s="2"/>
      <c r="K780" s="2"/>
      <c r="L780" s="2"/>
      <c r="M780" s="2"/>
      <c r="N780" s="2"/>
      <c r="O780" s="2"/>
      <c r="P780" s="2"/>
      <c r="Q780" s="2"/>
      <c r="R780" s="2"/>
      <c r="S780" s="2"/>
      <c r="T780" s="2"/>
      <c r="U780" s="2"/>
    </row>
    <row r="781">
      <c r="A781" s="2"/>
      <c r="B781" s="2"/>
      <c r="C781" s="2"/>
      <c r="D781" s="2"/>
      <c r="E781" s="2"/>
      <c r="F781" s="2"/>
      <c r="G781" s="2"/>
      <c r="H781" s="2"/>
      <c r="I781" s="2"/>
      <c r="J781" s="2"/>
      <c r="K781" s="2"/>
      <c r="L781" s="2"/>
      <c r="M781" s="2"/>
      <c r="N781" s="2"/>
      <c r="O781" s="2"/>
      <c r="P781" s="2"/>
      <c r="Q781" s="2"/>
      <c r="R781" s="2"/>
      <c r="S781" s="2"/>
      <c r="T781" s="2"/>
      <c r="U781" s="2"/>
    </row>
    <row r="782">
      <c r="A782" s="2"/>
      <c r="B782" s="2"/>
      <c r="C782" s="2"/>
      <c r="D782" s="2"/>
      <c r="E782" s="2"/>
      <c r="F782" s="2"/>
      <c r="G782" s="2"/>
      <c r="H782" s="2"/>
      <c r="I782" s="2"/>
      <c r="J782" s="2"/>
      <c r="K782" s="2"/>
      <c r="L782" s="2"/>
      <c r="M782" s="2"/>
      <c r="N782" s="2"/>
      <c r="O782" s="2"/>
      <c r="P782" s="2"/>
      <c r="Q782" s="2"/>
      <c r="R782" s="2"/>
      <c r="S782" s="2"/>
      <c r="T782" s="2"/>
      <c r="U782" s="2"/>
    </row>
    <row r="783">
      <c r="A783" s="2"/>
      <c r="B783" s="2"/>
      <c r="C783" s="2"/>
      <c r="D783" s="2"/>
      <c r="E783" s="2"/>
      <c r="F783" s="2"/>
      <c r="G783" s="2"/>
      <c r="H783" s="2"/>
      <c r="I783" s="2"/>
      <c r="J783" s="2"/>
      <c r="K783" s="2"/>
      <c r="L783" s="2"/>
      <c r="M783" s="2"/>
      <c r="N783" s="2"/>
      <c r="O783" s="2"/>
      <c r="P783" s="2"/>
      <c r="Q783" s="2"/>
      <c r="R783" s="2"/>
      <c r="S783" s="2"/>
      <c r="T783" s="2"/>
      <c r="U783" s="2"/>
    </row>
    <row r="784">
      <c r="A784" s="2"/>
      <c r="B784" s="2"/>
      <c r="C784" s="2"/>
      <c r="D784" s="2"/>
      <c r="E784" s="2"/>
      <c r="F784" s="2"/>
      <c r="G784" s="2"/>
      <c r="H784" s="2"/>
      <c r="I784" s="2"/>
      <c r="J784" s="2"/>
      <c r="K784" s="2"/>
      <c r="L784" s="2"/>
      <c r="M784" s="2"/>
      <c r="N784" s="2"/>
      <c r="O784" s="2"/>
      <c r="P784" s="2"/>
      <c r="Q784" s="2"/>
      <c r="R784" s="2"/>
      <c r="S784" s="2"/>
      <c r="T784" s="2"/>
      <c r="U784" s="2"/>
    </row>
    <row r="785">
      <c r="A785" s="2"/>
      <c r="B785" s="2"/>
      <c r="C785" s="2"/>
      <c r="D785" s="2"/>
      <c r="E785" s="2"/>
      <c r="F785" s="2"/>
      <c r="G785" s="2"/>
      <c r="H785" s="2"/>
      <c r="I785" s="2"/>
      <c r="J785" s="2"/>
      <c r="K785" s="2"/>
      <c r="L785" s="2"/>
      <c r="M785" s="2"/>
      <c r="N785" s="2"/>
      <c r="O785" s="2"/>
      <c r="P785" s="2"/>
      <c r="Q785" s="2"/>
      <c r="R785" s="2"/>
      <c r="S785" s="2"/>
      <c r="T785" s="2"/>
      <c r="U785" s="2"/>
    </row>
    <row r="786">
      <c r="A786" s="2"/>
      <c r="B786" s="2"/>
      <c r="C786" s="2"/>
      <c r="D786" s="2"/>
      <c r="E786" s="2"/>
      <c r="F786" s="2"/>
      <c r="G786" s="2"/>
      <c r="H786" s="2"/>
      <c r="I786" s="2"/>
      <c r="J786" s="2"/>
      <c r="K786" s="2"/>
      <c r="L786" s="2"/>
      <c r="M786" s="2"/>
      <c r="N786" s="2"/>
      <c r="O786" s="2"/>
      <c r="P786" s="2"/>
      <c r="Q786" s="2"/>
      <c r="R786" s="2"/>
      <c r="S786" s="2"/>
      <c r="T786" s="2"/>
      <c r="U786" s="2"/>
    </row>
    <row r="787">
      <c r="A787" s="2"/>
      <c r="B787" s="2"/>
      <c r="C787" s="2"/>
      <c r="D787" s="2"/>
      <c r="E787" s="2"/>
      <c r="F787" s="2"/>
      <c r="G787" s="2"/>
      <c r="H787" s="2"/>
      <c r="I787" s="2"/>
      <c r="J787" s="2"/>
      <c r="K787" s="2"/>
      <c r="L787" s="2"/>
      <c r="M787" s="2"/>
      <c r="N787" s="2"/>
      <c r="O787" s="2"/>
      <c r="P787" s="2"/>
      <c r="Q787" s="2"/>
      <c r="R787" s="2"/>
      <c r="S787" s="2"/>
      <c r="T787" s="2"/>
      <c r="U787" s="2"/>
    </row>
    <row r="788">
      <c r="A788" s="2"/>
      <c r="B788" s="2"/>
      <c r="C788" s="2"/>
      <c r="D788" s="2"/>
      <c r="E788" s="2"/>
      <c r="F788" s="2"/>
      <c r="G788" s="2"/>
      <c r="H788" s="2"/>
      <c r="I788" s="2"/>
      <c r="J788" s="2"/>
      <c r="K788" s="2"/>
      <c r="L788" s="2"/>
      <c r="M788" s="2"/>
      <c r="N788" s="2"/>
      <c r="O788" s="2"/>
      <c r="P788" s="2"/>
      <c r="Q788" s="2"/>
      <c r="R788" s="2"/>
      <c r="S788" s="2"/>
      <c r="T788" s="2"/>
      <c r="U788" s="2"/>
    </row>
    <row r="789">
      <c r="A789" s="2"/>
      <c r="B789" s="2"/>
      <c r="C789" s="2"/>
      <c r="D789" s="2"/>
      <c r="E789" s="2"/>
      <c r="F789" s="2"/>
      <c r="G789" s="2"/>
      <c r="H789" s="2"/>
      <c r="I789" s="2"/>
      <c r="J789" s="2"/>
      <c r="K789" s="2"/>
      <c r="L789" s="2"/>
      <c r="M789" s="2"/>
      <c r="N789" s="2"/>
      <c r="O789" s="2"/>
      <c r="P789" s="2"/>
      <c r="Q789" s="2"/>
      <c r="R789" s="2"/>
      <c r="S789" s="2"/>
      <c r="T789" s="2"/>
      <c r="U789" s="2"/>
    </row>
    <row r="790">
      <c r="A790" s="2"/>
      <c r="B790" s="2"/>
      <c r="C790" s="2"/>
      <c r="D790" s="2"/>
      <c r="E790" s="2"/>
      <c r="F790" s="2"/>
      <c r="G790" s="2"/>
      <c r="H790" s="2"/>
      <c r="I790" s="2"/>
      <c r="J790" s="2"/>
      <c r="K790" s="2"/>
      <c r="L790" s="2"/>
      <c r="M790" s="2"/>
      <c r="N790" s="2"/>
      <c r="O790" s="2"/>
      <c r="P790" s="2"/>
      <c r="Q790" s="2"/>
      <c r="R790" s="2"/>
      <c r="S790" s="2"/>
      <c r="T790" s="2"/>
      <c r="U790" s="2"/>
    </row>
    <row r="791">
      <c r="A791" s="2"/>
      <c r="B791" s="2"/>
      <c r="C791" s="2"/>
      <c r="D791" s="2"/>
      <c r="E791" s="2"/>
      <c r="F791" s="2"/>
      <c r="G791" s="2"/>
      <c r="H791" s="2"/>
      <c r="I791" s="2"/>
      <c r="J791" s="2"/>
      <c r="K791" s="2"/>
      <c r="L791" s="2"/>
      <c r="M791" s="2"/>
      <c r="N791" s="2"/>
      <c r="O791" s="2"/>
      <c r="P791" s="2"/>
      <c r="Q791" s="2"/>
      <c r="R791" s="2"/>
      <c r="S791" s="2"/>
      <c r="T791" s="2"/>
      <c r="U791" s="2"/>
    </row>
    <row r="792">
      <c r="A792" s="2"/>
      <c r="B792" s="2"/>
      <c r="C792" s="2"/>
      <c r="D792" s="2"/>
      <c r="E792" s="2"/>
      <c r="F792" s="2"/>
      <c r="G792" s="2"/>
      <c r="H792" s="2"/>
      <c r="I792" s="2"/>
      <c r="J792" s="2"/>
      <c r="K792" s="2"/>
      <c r="L792" s="2"/>
      <c r="M792" s="2"/>
      <c r="N792" s="2"/>
      <c r="O792" s="2"/>
      <c r="P792" s="2"/>
      <c r="Q792" s="2"/>
      <c r="R792" s="2"/>
      <c r="S792" s="2"/>
      <c r="T792" s="2"/>
      <c r="U792" s="2"/>
    </row>
    <row r="793">
      <c r="A793" s="2"/>
      <c r="B793" s="2"/>
      <c r="C793" s="2"/>
      <c r="D793" s="2"/>
      <c r="E793" s="2"/>
      <c r="F793" s="2"/>
      <c r="G793" s="2"/>
      <c r="H793" s="2"/>
      <c r="I793" s="2"/>
      <c r="J793" s="2"/>
      <c r="K793" s="2"/>
      <c r="L793" s="2"/>
      <c r="M793" s="2"/>
      <c r="N793" s="2"/>
      <c r="O793" s="2"/>
      <c r="P793" s="2"/>
      <c r="Q793" s="2"/>
      <c r="R793" s="2"/>
      <c r="S793" s="2"/>
      <c r="T793" s="2"/>
      <c r="U793" s="2"/>
    </row>
    <row r="794">
      <c r="A794" s="2"/>
      <c r="B794" s="2"/>
      <c r="C794" s="2"/>
      <c r="D794" s="2"/>
      <c r="E794" s="2"/>
      <c r="F794" s="2"/>
      <c r="G794" s="2"/>
      <c r="H794" s="2"/>
      <c r="I794" s="2"/>
      <c r="J794" s="2"/>
      <c r="K794" s="2"/>
      <c r="L794" s="2"/>
      <c r="M794" s="2"/>
      <c r="N794" s="2"/>
      <c r="O794" s="2"/>
      <c r="P794" s="2"/>
      <c r="Q794" s="2"/>
      <c r="R794" s="2"/>
      <c r="S794" s="2"/>
      <c r="T794" s="2"/>
      <c r="U794" s="2"/>
    </row>
    <row r="795">
      <c r="A795" s="2"/>
      <c r="B795" s="2"/>
      <c r="C795" s="2"/>
      <c r="D795" s="2"/>
      <c r="E795" s="2"/>
      <c r="F795" s="2"/>
      <c r="G795" s="2"/>
      <c r="H795" s="2"/>
      <c r="I795" s="2"/>
      <c r="J795" s="2"/>
      <c r="K795" s="2"/>
      <c r="L795" s="2"/>
      <c r="M795" s="2"/>
      <c r="N795" s="2"/>
      <c r="O795" s="2"/>
      <c r="P795" s="2"/>
      <c r="Q795" s="2"/>
      <c r="R795" s="2"/>
      <c r="S795" s="2"/>
      <c r="T795" s="2"/>
      <c r="U795" s="2"/>
    </row>
    <row r="796">
      <c r="A796" s="2"/>
      <c r="B796" s="2"/>
      <c r="C796" s="2"/>
      <c r="D796" s="2"/>
      <c r="E796" s="2"/>
      <c r="F796" s="2"/>
      <c r="G796" s="2"/>
      <c r="H796" s="2"/>
      <c r="I796" s="2"/>
      <c r="J796" s="2"/>
      <c r="K796" s="2"/>
      <c r="L796" s="2"/>
      <c r="M796" s="2"/>
      <c r="N796" s="2"/>
      <c r="O796" s="2"/>
      <c r="P796" s="2"/>
      <c r="Q796" s="2"/>
      <c r="R796" s="2"/>
      <c r="S796" s="2"/>
      <c r="T796" s="2"/>
      <c r="U796" s="2"/>
    </row>
    <row r="797">
      <c r="A797" s="2"/>
      <c r="B797" s="2"/>
      <c r="C797" s="2"/>
      <c r="D797" s="2"/>
      <c r="E797" s="2"/>
      <c r="F797" s="2"/>
      <c r="G797" s="2"/>
      <c r="H797" s="2"/>
      <c r="I797" s="2"/>
      <c r="J797" s="2"/>
      <c r="K797" s="2"/>
      <c r="L797" s="2"/>
      <c r="M797" s="2"/>
      <c r="N797" s="2"/>
      <c r="O797" s="2"/>
      <c r="P797" s="2"/>
      <c r="Q797" s="2"/>
      <c r="R797" s="2"/>
      <c r="S797" s="2"/>
      <c r="T797" s="2"/>
      <c r="U797" s="2"/>
    </row>
    <row r="798">
      <c r="A798" s="2"/>
      <c r="B798" s="2"/>
      <c r="C798" s="2"/>
      <c r="D798" s="2"/>
      <c r="E798" s="2"/>
      <c r="F798" s="2"/>
      <c r="G798" s="2"/>
      <c r="H798" s="2"/>
      <c r="I798" s="2"/>
      <c r="J798" s="2"/>
      <c r="K798" s="2"/>
      <c r="L798" s="2"/>
      <c r="M798" s="2"/>
      <c r="N798" s="2"/>
      <c r="O798" s="2"/>
      <c r="P798" s="2"/>
      <c r="Q798" s="2"/>
      <c r="R798" s="2"/>
      <c r="S798" s="2"/>
      <c r="T798" s="2"/>
      <c r="U798" s="2"/>
    </row>
    <row r="799">
      <c r="A799" s="2"/>
      <c r="B799" s="2"/>
      <c r="C799" s="2"/>
      <c r="D799" s="2"/>
      <c r="E799" s="2"/>
      <c r="F799" s="2"/>
      <c r="G799" s="2"/>
      <c r="H799" s="2"/>
      <c r="I799" s="2"/>
      <c r="J799" s="2"/>
      <c r="K799" s="2"/>
      <c r="L799" s="2"/>
      <c r="M799" s="2"/>
      <c r="N799" s="2"/>
      <c r="O799" s="2"/>
      <c r="P799" s="2"/>
      <c r="Q799" s="2"/>
      <c r="R799" s="2"/>
      <c r="S799" s="2"/>
      <c r="T799" s="2"/>
      <c r="U799" s="2"/>
    </row>
    <row r="800">
      <c r="A800" s="2"/>
      <c r="B800" s="2"/>
      <c r="C800" s="2"/>
      <c r="D800" s="2"/>
      <c r="E800" s="2"/>
      <c r="F800" s="2"/>
      <c r="G800" s="2"/>
      <c r="H800" s="2"/>
      <c r="I800" s="2"/>
      <c r="J800" s="2"/>
      <c r="K800" s="2"/>
      <c r="L800" s="2"/>
      <c r="M800" s="2"/>
      <c r="N800" s="2"/>
      <c r="O800" s="2"/>
      <c r="P800" s="2"/>
      <c r="Q800" s="2"/>
      <c r="R800" s="2"/>
      <c r="S800" s="2"/>
      <c r="T800" s="2"/>
      <c r="U800" s="2"/>
    </row>
    <row r="801">
      <c r="A801" s="2"/>
      <c r="B801" s="2"/>
      <c r="C801" s="2"/>
      <c r="D801" s="2"/>
      <c r="E801" s="2"/>
      <c r="F801" s="2"/>
      <c r="G801" s="2"/>
      <c r="H801" s="2"/>
      <c r="I801" s="2"/>
      <c r="J801" s="2"/>
      <c r="K801" s="2"/>
      <c r="L801" s="2"/>
      <c r="M801" s="2"/>
      <c r="N801" s="2"/>
      <c r="O801" s="2"/>
      <c r="P801" s="2"/>
      <c r="Q801" s="2"/>
      <c r="R801" s="2"/>
      <c r="S801" s="2"/>
      <c r="T801" s="2"/>
      <c r="U801" s="2"/>
    </row>
    <row r="802">
      <c r="A802" s="2"/>
      <c r="B802" s="2"/>
      <c r="C802" s="2"/>
      <c r="D802" s="2"/>
      <c r="E802" s="2"/>
      <c r="F802" s="2"/>
      <c r="G802" s="2"/>
      <c r="H802" s="2"/>
      <c r="I802" s="2"/>
      <c r="J802" s="2"/>
      <c r="K802" s="2"/>
      <c r="L802" s="2"/>
      <c r="M802" s="2"/>
      <c r="N802" s="2"/>
      <c r="O802" s="2"/>
      <c r="P802" s="2"/>
      <c r="Q802" s="2"/>
      <c r="R802" s="2"/>
      <c r="S802" s="2"/>
      <c r="T802" s="2"/>
      <c r="U802" s="2"/>
    </row>
    <row r="803">
      <c r="A803" s="2"/>
      <c r="B803" s="2"/>
      <c r="C803" s="2"/>
      <c r="D803" s="2"/>
      <c r="E803" s="2"/>
      <c r="F803" s="2"/>
      <c r="G803" s="2"/>
      <c r="H803" s="2"/>
      <c r="I803" s="2"/>
      <c r="J803" s="2"/>
      <c r="K803" s="2"/>
      <c r="L803" s="2"/>
      <c r="M803" s="2"/>
      <c r="N803" s="2"/>
      <c r="O803" s="2"/>
      <c r="P803" s="2"/>
      <c r="Q803" s="2"/>
      <c r="R803" s="2"/>
      <c r="S803" s="2"/>
      <c r="T803" s="2"/>
      <c r="U803" s="2"/>
    </row>
    <row r="804">
      <c r="A804" s="2"/>
      <c r="B804" s="2"/>
      <c r="C804" s="2"/>
      <c r="D804" s="2"/>
      <c r="E804" s="2"/>
      <c r="F804" s="2"/>
      <c r="G804" s="2"/>
      <c r="H804" s="2"/>
      <c r="I804" s="2"/>
      <c r="J804" s="2"/>
      <c r="K804" s="2"/>
      <c r="L804" s="2"/>
      <c r="M804" s="2"/>
      <c r="N804" s="2"/>
      <c r="O804" s="2"/>
      <c r="P804" s="2"/>
      <c r="Q804" s="2"/>
      <c r="R804" s="2"/>
      <c r="S804" s="2"/>
      <c r="T804" s="2"/>
      <c r="U804" s="2"/>
    </row>
    <row r="805">
      <c r="A805" s="2"/>
      <c r="B805" s="2"/>
      <c r="C805" s="2"/>
      <c r="D805" s="2"/>
      <c r="E805" s="2"/>
      <c r="F805" s="2"/>
      <c r="G805" s="2"/>
      <c r="H805" s="2"/>
      <c r="I805" s="2"/>
      <c r="J805" s="2"/>
      <c r="K805" s="2"/>
      <c r="L805" s="2"/>
      <c r="M805" s="2"/>
      <c r="N805" s="2"/>
      <c r="O805" s="2"/>
      <c r="P805" s="2"/>
      <c r="Q805" s="2"/>
      <c r="R805" s="2"/>
      <c r="S805" s="2"/>
      <c r="T805" s="2"/>
      <c r="U805" s="2"/>
    </row>
    <row r="806">
      <c r="A806" s="2"/>
      <c r="B806" s="2"/>
      <c r="C806" s="2"/>
      <c r="D806" s="2"/>
      <c r="E806" s="2"/>
      <c r="F806" s="2"/>
      <c r="G806" s="2"/>
      <c r="H806" s="2"/>
      <c r="I806" s="2"/>
      <c r="J806" s="2"/>
      <c r="K806" s="2"/>
      <c r="L806" s="2"/>
      <c r="M806" s="2"/>
      <c r="N806" s="2"/>
      <c r="O806" s="2"/>
      <c r="P806" s="2"/>
      <c r="Q806" s="2"/>
      <c r="R806" s="2"/>
      <c r="S806" s="2"/>
      <c r="T806" s="2"/>
      <c r="U806" s="2"/>
    </row>
    <row r="807">
      <c r="A807" s="2"/>
      <c r="B807" s="2"/>
      <c r="C807" s="2"/>
      <c r="D807" s="2"/>
      <c r="E807" s="2"/>
      <c r="F807" s="2"/>
      <c r="G807" s="2"/>
      <c r="H807" s="2"/>
      <c r="I807" s="2"/>
      <c r="J807" s="2"/>
      <c r="K807" s="2"/>
      <c r="L807" s="2"/>
      <c r="M807" s="2"/>
      <c r="N807" s="2"/>
      <c r="O807" s="2"/>
      <c r="P807" s="2"/>
      <c r="Q807" s="2"/>
      <c r="R807" s="2"/>
      <c r="S807" s="2"/>
      <c r="T807" s="2"/>
      <c r="U807" s="2"/>
    </row>
    <row r="808">
      <c r="A808" s="2"/>
      <c r="B808" s="2"/>
      <c r="C808" s="2"/>
      <c r="D808" s="2"/>
      <c r="E808" s="2"/>
      <c r="F808" s="2"/>
      <c r="G808" s="2"/>
      <c r="H808" s="2"/>
      <c r="I808" s="2"/>
      <c r="J808" s="2"/>
      <c r="K808" s="2"/>
      <c r="L808" s="2"/>
      <c r="M808" s="2"/>
      <c r="N808" s="2"/>
      <c r="O808" s="2"/>
      <c r="P808" s="2"/>
      <c r="Q808" s="2"/>
      <c r="R808" s="2"/>
      <c r="S808" s="2"/>
      <c r="T808" s="2"/>
      <c r="U808" s="2"/>
    </row>
    <row r="809">
      <c r="A809" s="2"/>
      <c r="B809" s="2"/>
      <c r="C809" s="2"/>
      <c r="D809" s="2"/>
      <c r="E809" s="2"/>
      <c r="F809" s="2"/>
      <c r="G809" s="2"/>
      <c r="H809" s="2"/>
      <c r="I809" s="2"/>
      <c r="J809" s="2"/>
      <c r="K809" s="2"/>
      <c r="L809" s="2"/>
      <c r="M809" s="2"/>
      <c r="N809" s="2"/>
      <c r="O809" s="2"/>
      <c r="P809" s="2"/>
      <c r="Q809" s="2"/>
      <c r="R809" s="2"/>
      <c r="S809" s="2"/>
      <c r="T809" s="2"/>
      <c r="U809" s="2"/>
    </row>
    <row r="810">
      <c r="A810" s="2"/>
      <c r="B810" s="2"/>
      <c r="C810" s="2"/>
      <c r="D810" s="2"/>
      <c r="E810" s="2"/>
      <c r="F810" s="2"/>
      <c r="G810" s="2"/>
      <c r="H810" s="2"/>
      <c r="I810" s="2"/>
      <c r="J810" s="2"/>
      <c r="K810" s="2"/>
      <c r="L810" s="2"/>
      <c r="M810" s="2"/>
      <c r="N810" s="2"/>
      <c r="O810" s="2"/>
      <c r="P810" s="2"/>
      <c r="Q810" s="2"/>
      <c r="R810" s="2"/>
      <c r="S810" s="2"/>
      <c r="T810" s="2"/>
      <c r="U810" s="2"/>
    </row>
    <row r="811">
      <c r="A811" s="2"/>
      <c r="B811" s="2"/>
      <c r="C811" s="2"/>
      <c r="D811" s="2"/>
      <c r="E811" s="2"/>
      <c r="F811" s="2"/>
      <c r="G811" s="2"/>
      <c r="H811" s="2"/>
      <c r="I811" s="2"/>
      <c r="J811" s="2"/>
      <c r="K811" s="2"/>
      <c r="L811" s="2"/>
      <c r="M811" s="2"/>
      <c r="N811" s="2"/>
      <c r="O811" s="2"/>
      <c r="P811" s="2"/>
      <c r="Q811" s="2"/>
      <c r="R811" s="2"/>
      <c r="S811" s="2"/>
      <c r="T811" s="2"/>
      <c r="U811" s="2"/>
    </row>
    <row r="812">
      <c r="A812" s="2"/>
      <c r="B812" s="2"/>
      <c r="C812" s="2"/>
      <c r="D812" s="2"/>
      <c r="E812" s="2"/>
      <c r="F812" s="2"/>
      <c r="G812" s="2"/>
      <c r="H812" s="2"/>
      <c r="I812" s="2"/>
      <c r="J812" s="2"/>
      <c r="K812" s="2"/>
      <c r="L812" s="2"/>
      <c r="M812" s="2"/>
      <c r="N812" s="2"/>
      <c r="O812" s="2"/>
      <c r="P812" s="2"/>
      <c r="Q812" s="2"/>
      <c r="R812" s="2"/>
      <c r="S812" s="2"/>
      <c r="T812" s="2"/>
      <c r="U812" s="2"/>
    </row>
    <row r="813">
      <c r="A813" s="2"/>
      <c r="B813" s="2"/>
      <c r="C813" s="2"/>
      <c r="D813" s="2"/>
      <c r="E813" s="2"/>
      <c r="F813" s="2"/>
      <c r="G813" s="2"/>
      <c r="H813" s="2"/>
      <c r="I813" s="2"/>
      <c r="J813" s="2"/>
      <c r="K813" s="2"/>
      <c r="L813" s="2"/>
      <c r="M813" s="2"/>
      <c r="N813" s="2"/>
      <c r="O813" s="2"/>
      <c r="P813" s="2"/>
      <c r="Q813" s="2"/>
      <c r="R813" s="2"/>
      <c r="S813" s="2"/>
      <c r="T813" s="2"/>
      <c r="U813" s="2"/>
    </row>
    <row r="814">
      <c r="A814" s="2"/>
      <c r="B814" s="2"/>
      <c r="C814" s="2"/>
      <c r="D814" s="2"/>
      <c r="E814" s="2"/>
      <c r="F814" s="2"/>
      <c r="G814" s="2"/>
      <c r="H814" s="2"/>
      <c r="I814" s="2"/>
      <c r="J814" s="2"/>
      <c r="K814" s="2"/>
      <c r="L814" s="2"/>
      <c r="M814" s="2"/>
      <c r="N814" s="2"/>
      <c r="O814" s="2"/>
      <c r="P814" s="2"/>
      <c r="Q814" s="2"/>
      <c r="R814" s="2"/>
      <c r="S814" s="2"/>
      <c r="T814" s="2"/>
      <c r="U814" s="2"/>
    </row>
    <row r="815">
      <c r="A815" s="2"/>
      <c r="B815" s="2"/>
      <c r="C815" s="2"/>
      <c r="D815" s="2"/>
      <c r="E815" s="2"/>
      <c r="F815" s="2"/>
      <c r="G815" s="2"/>
      <c r="H815" s="2"/>
      <c r="I815" s="2"/>
      <c r="J815" s="2"/>
      <c r="K815" s="2"/>
      <c r="L815" s="2"/>
      <c r="M815" s="2"/>
      <c r="N815" s="2"/>
      <c r="O815" s="2"/>
      <c r="P815" s="2"/>
      <c r="Q815" s="2"/>
      <c r="R815" s="2"/>
      <c r="S815" s="2"/>
      <c r="T815" s="2"/>
      <c r="U815" s="2"/>
    </row>
    <row r="816">
      <c r="A816" s="2"/>
      <c r="B816" s="2"/>
      <c r="C816" s="2"/>
      <c r="D816" s="2"/>
      <c r="E816" s="2"/>
      <c r="F816" s="2"/>
      <c r="G816" s="2"/>
      <c r="H816" s="2"/>
      <c r="I816" s="2"/>
      <c r="J816" s="2"/>
      <c r="K816" s="2"/>
      <c r="L816" s="2"/>
      <c r="M816" s="2"/>
      <c r="N816" s="2"/>
      <c r="O816" s="2"/>
      <c r="P816" s="2"/>
      <c r="Q816" s="2"/>
      <c r="R816" s="2"/>
      <c r="S816" s="2"/>
      <c r="T816" s="2"/>
      <c r="U816" s="2"/>
    </row>
    <row r="817">
      <c r="A817" s="2"/>
      <c r="B817" s="2"/>
      <c r="C817" s="2"/>
      <c r="D817" s="2"/>
      <c r="E817" s="2"/>
      <c r="F817" s="2"/>
      <c r="G817" s="2"/>
      <c r="H817" s="2"/>
      <c r="I817" s="2"/>
      <c r="J817" s="2"/>
      <c r="K817" s="2"/>
      <c r="L817" s="2"/>
      <c r="M817" s="2"/>
      <c r="N817" s="2"/>
      <c r="O817" s="2"/>
      <c r="P817" s="2"/>
      <c r="Q817" s="2"/>
      <c r="R817" s="2"/>
      <c r="S817" s="2"/>
      <c r="T817" s="2"/>
      <c r="U817" s="2"/>
    </row>
    <row r="818">
      <c r="A818" s="2"/>
      <c r="B818" s="2"/>
      <c r="C818" s="2"/>
      <c r="D818" s="2"/>
      <c r="E818" s="2"/>
      <c r="F818" s="2"/>
      <c r="G818" s="2"/>
      <c r="H818" s="2"/>
      <c r="I818" s="2"/>
      <c r="J818" s="2"/>
      <c r="K818" s="2"/>
      <c r="L818" s="2"/>
      <c r="M818" s="2"/>
      <c r="N818" s="2"/>
      <c r="O818" s="2"/>
      <c r="P818" s="2"/>
      <c r="Q818" s="2"/>
      <c r="R818" s="2"/>
      <c r="S818" s="2"/>
      <c r="T818" s="2"/>
      <c r="U818" s="2"/>
    </row>
    <row r="819">
      <c r="A819" s="2"/>
      <c r="B819" s="2"/>
      <c r="C819" s="2"/>
      <c r="D819" s="2"/>
      <c r="E819" s="2"/>
      <c r="F819" s="2"/>
      <c r="G819" s="2"/>
      <c r="H819" s="2"/>
      <c r="I819" s="2"/>
      <c r="J819" s="2"/>
      <c r="K819" s="2"/>
      <c r="L819" s="2"/>
      <c r="M819" s="2"/>
      <c r="N819" s="2"/>
      <c r="O819" s="2"/>
      <c r="P819" s="2"/>
      <c r="Q819" s="2"/>
      <c r="R819" s="2"/>
      <c r="S819" s="2"/>
      <c r="T819" s="2"/>
      <c r="U819" s="2"/>
    </row>
    <row r="820">
      <c r="A820" s="2"/>
      <c r="B820" s="2"/>
      <c r="C820" s="2"/>
      <c r="D820" s="2"/>
      <c r="E820" s="2"/>
      <c r="F820" s="2"/>
      <c r="G820" s="2"/>
      <c r="H820" s="2"/>
      <c r="I820" s="2"/>
      <c r="J820" s="2"/>
      <c r="K820" s="2"/>
      <c r="L820" s="2"/>
      <c r="M820" s="2"/>
      <c r="N820" s="2"/>
      <c r="O820" s="2"/>
      <c r="P820" s="2"/>
      <c r="Q820" s="2"/>
      <c r="R820" s="2"/>
      <c r="S820" s="2"/>
      <c r="T820" s="2"/>
      <c r="U820" s="2"/>
    </row>
    <row r="821">
      <c r="A821" s="2"/>
      <c r="B821" s="2"/>
      <c r="C821" s="2"/>
      <c r="D821" s="2"/>
      <c r="E821" s="2"/>
      <c r="F821" s="2"/>
      <c r="G821" s="2"/>
      <c r="H821" s="2"/>
      <c r="I821" s="2"/>
      <c r="J821" s="2"/>
      <c r="K821" s="2"/>
      <c r="L821" s="2"/>
      <c r="M821" s="2"/>
      <c r="N821" s="2"/>
      <c r="O821" s="2"/>
      <c r="P821" s="2"/>
      <c r="Q821" s="2"/>
      <c r="R821" s="2"/>
      <c r="S821" s="2"/>
      <c r="T821" s="2"/>
      <c r="U821" s="2"/>
    </row>
    <row r="822">
      <c r="A822" s="2"/>
      <c r="B822" s="2"/>
      <c r="C822" s="2"/>
      <c r="D822" s="2"/>
      <c r="E822" s="2"/>
      <c r="F822" s="2"/>
      <c r="G822" s="2"/>
      <c r="H822" s="2"/>
      <c r="I822" s="2"/>
      <c r="J822" s="2"/>
      <c r="K822" s="2"/>
      <c r="L822" s="2"/>
      <c r="M822" s="2"/>
      <c r="N822" s="2"/>
      <c r="O822" s="2"/>
      <c r="P822" s="2"/>
      <c r="Q822" s="2"/>
      <c r="R822" s="2"/>
      <c r="S822" s="2"/>
      <c r="T822" s="2"/>
      <c r="U822" s="2"/>
    </row>
    <row r="823">
      <c r="A823" s="2"/>
      <c r="B823" s="2"/>
      <c r="C823" s="2"/>
      <c r="D823" s="2"/>
      <c r="E823" s="2"/>
      <c r="F823" s="2"/>
      <c r="G823" s="2"/>
      <c r="H823" s="2"/>
      <c r="I823" s="2"/>
      <c r="J823" s="2"/>
      <c r="K823" s="2"/>
      <c r="L823" s="2"/>
      <c r="M823" s="2"/>
      <c r="N823" s="2"/>
      <c r="O823" s="2"/>
      <c r="P823" s="2"/>
      <c r="Q823" s="2"/>
      <c r="R823" s="2"/>
      <c r="S823" s="2"/>
      <c r="T823" s="2"/>
      <c r="U823" s="2"/>
    </row>
    <row r="824">
      <c r="A824" s="2"/>
      <c r="B824" s="2"/>
      <c r="C824" s="2"/>
      <c r="D824" s="2"/>
      <c r="E824" s="2"/>
      <c r="F824" s="2"/>
      <c r="G824" s="2"/>
      <c r="H824" s="2"/>
      <c r="I824" s="2"/>
      <c r="J824" s="2"/>
      <c r="K824" s="2"/>
      <c r="L824" s="2"/>
      <c r="M824" s="2"/>
      <c r="N824" s="2"/>
      <c r="O824" s="2"/>
      <c r="P824" s="2"/>
      <c r="Q824" s="2"/>
      <c r="R824" s="2"/>
      <c r="S824" s="2"/>
      <c r="T824" s="2"/>
      <c r="U824" s="2"/>
    </row>
    <row r="825">
      <c r="A825" s="2"/>
      <c r="B825" s="2"/>
      <c r="C825" s="2"/>
      <c r="D825" s="2"/>
      <c r="E825" s="2"/>
      <c r="F825" s="2"/>
      <c r="G825" s="2"/>
      <c r="H825" s="2"/>
      <c r="I825" s="2"/>
      <c r="J825" s="2"/>
      <c r="K825" s="2"/>
      <c r="L825" s="2"/>
      <c r="M825" s="2"/>
      <c r="N825" s="2"/>
      <c r="O825" s="2"/>
      <c r="P825" s="2"/>
      <c r="Q825" s="2"/>
      <c r="R825" s="2"/>
      <c r="S825" s="2"/>
      <c r="T825" s="2"/>
      <c r="U825" s="2"/>
    </row>
    <row r="826">
      <c r="A826" s="2"/>
      <c r="B826" s="2"/>
      <c r="C826" s="2"/>
      <c r="D826" s="2"/>
      <c r="E826" s="2"/>
      <c r="F826" s="2"/>
      <c r="G826" s="2"/>
      <c r="H826" s="2"/>
      <c r="I826" s="2"/>
      <c r="J826" s="2"/>
      <c r="K826" s="2"/>
      <c r="L826" s="2"/>
      <c r="M826" s="2"/>
      <c r="N826" s="2"/>
      <c r="O826" s="2"/>
      <c r="P826" s="2"/>
      <c r="Q826" s="2"/>
      <c r="R826" s="2"/>
      <c r="S826" s="2"/>
      <c r="T826" s="2"/>
      <c r="U826" s="2"/>
    </row>
    <row r="827">
      <c r="A827" s="2"/>
      <c r="B827" s="2"/>
      <c r="C827" s="2"/>
      <c r="D827" s="2"/>
      <c r="E827" s="2"/>
      <c r="F827" s="2"/>
      <c r="G827" s="2"/>
      <c r="H827" s="2"/>
      <c r="I827" s="2"/>
      <c r="J827" s="2"/>
      <c r="K827" s="2"/>
      <c r="L827" s="2"/>
      <c r="M827" s="2"/>
      <c r="N827" s="2"/>
      <c r="O827" s="2"/>
      <c r="P827" s="2"/>
      <c r="Q827" s="2"/>
      <c r="R827" s="2"/>
      <c r="S827" s="2"/>
      <c r="T827" s="2"/>
      <c r="U827" s="2"/>
    </row>
    <row r="828">
      <c r="A828" s="2"/>
      <c r="B828" s="2"/>
      <c r="C828" s="2"/>
      <c r="D828" s="2"/>
      <c r="E828" s="2"/>
      <c r="F828" s="2"/>
      <c r="G828" s="2"/>
      <c r="H828" s="2"/>
      <c r="I828" s="2"/>
      <c r="J828" s="2"/>
      <c r="K828" s="2"/>
      <c r="L828" s="2"/>
      <c r="M828" s="2"/>
      <c r="N828" s="2"/>
      <c r="O828" s="2"/>
      <c r="P828" s="2"/>
      <c r="Q828" s="2"/>
      <c r="R828" s="2"/>
      <c r="S828" s="2"/>
      <c r="T828" s="2"/>
      <c r="U828" s="2"/>
    </row>
    <row r="829">
      <c r="A829" s="2"/>
      <c r="B829" s="2"/>
      <c r="C829" s="2"/>
      <c r="D829" s="2"/>
      <c r="E829" s="2"/>
      <c r="F829" s="2"/>
      <c r="G829" s="2"/>
      <c r="H829" s="2"/>
      <c r="I829" s="2"/>
      <c r="J829" s="2"/>
      <c r="K829" s="2"/>
      <c r="L829" s="2"/>
      <c r="M829" s="2"/>
      <c r="N829" s="2"/>
      <c r="O829" s="2"/>
      <c r="P829" s="2"/>
      <c r="Q829" s="2"/>
      <c r="R829" s="2"/>
      <c r="S829" s="2"/>
      <c r="T829" s="2"/>
      <c r="U829" s="2"/>
    </row>
    <row r="830">
      <c r="A830" s="2"/>
      <c r="B830" s="2"/>
      <c r="C830" s="2"/>
      <c r="D830" s="2"/>
      <c r="E830" s="2"/>
      <c r="F830" s="2"/>
      <c r="G830" s="2"/>
      <c r="H830" s="2"/>
      <c r="I830" s="2"/>
      <c r="J830" s="2"/>
      <c r="K830" s="2"/>
      <c r="L830" s="2"/>
      <c r="M830" s="2"/>
      <c r="N830" s="2"/>
      <c r="O830" s="2"/>
      <c r="P830" s="2"/>
      <c r="Q830" s="2"/>
      <c r="R830" s="2"/>
      <c r="S830" s="2"/>
      <c r="T830" s="2"/>
      <c r="U830" s="2"/>
    </row>
    <row r="831">
      <c r="A831" s="2"/>
      <c r="B831" s="2"/>
      <c r="C831" s="2"/>
      <c r="D831" s="2"/>
      <c r="E831" s="2"/>
      <c r="F831" s="2"/>
      <c r="G831" s="2"/>
      <c r="H831" s="2"/>
      <c r="I831" s="2"/>
      <c r="J831" s="2"/>
      <c r="K831" s="2"/>
      <c r="L831" s="2"/>
      <c r="M831" s="2"/>
      <c r="N831" s="2"/>
      <c r="O831" s="2"/>
      <c r="P831" s="2"/>
      <c r="Q831" s="2"/>
      <c r="R831" s="2"/>
      <c r="S831" s="2"/>
      <c r="T831" s="2"/>
      <c r="U831" s="2"/>
    </row>
    <row r="832">
      <c r="A832" s="2"/>
      <c r="B832" s="2"/>
      <c r="C832" s="2"/>
      <c r="D832" s="2"/>
      <c r="E832" s="2"/>
      <c r="F832" s="2"/>
      <c r="G832" s="2"/>
      <c r="H832" s="2"/>
      <c r="I832" s="2"/>
      <c r="J832" s="2"/>
      <c r="K832" s="2"/>
      <c r="L832" s="2"/>
      <c r="M832" s="2"/>
      <c r="N832" s="2"/>
      <c r="O832" s="2"/>
      <c r="P832" s="2"/>
      <c r="Q832" s="2"/>
      <c r="R832" s="2"/>
      <c r="S832" s="2"/>
      <c r="T832" s="2"/>
      <c r="U832" s="2"/>
    </row>
    <row r="833">
      <c r="A833" s="2"/>
      <c r="B833" s="2"/>
      <c r="C833" s="2"/>
      <c r="D833" s="2"/>
      <c r="E833" s="2"/>
      <c r="F833" s="2"/>
      <c r="G833" s="2"/>
      <c r="H833" s="2"/>
      <c r="I833" s="2"/>
      <c r="J833" s="2"/>
      <c r="K833" s="2"/>
      <c r="L833" s="2"/>
      <c r="M833" s="2"/>
      <c r="N833" s="2"/>
      <c r="O833" s="2"/>
      <c r="P833" s="2"/>
      <c r="Q833" s="2"/>
      <c r="R833" s="2"/>
      <c r="S833" s="2"/>
      <c r="T833" s="2"/>
      <c r="U833" s="2"/>
    </row>
    <row r="834">
      <c r="A834" s="2"/>
      <c r="B834" s="2"/>
      <c r="C834" s="2"/>
      <c r="D834" s="2"/>
      <c r="E834" s="2"/>
      <c r="F834" s="2"/>
      <c r="G834" s="2"/>
      <c r="H834" s="2"/>
      <c r="I834" s="2"/>
      <c r="J834" s="2"/>
      <c r="K834" s="2"/>
      <c r="L834" s="2"/>
      <c r="M834" s="2"/>
      <c r="N834" s="2"/>
      <c r="O834" s="2"/>
      <c r="P834" s="2"/>
      <c r="Q834" s="2"/>
      <c r="R834" s="2"/>
      <c r="S834" s="2"/>
      <c r="T834" s="2"/>
      <c r="U834" s="2"/>
    </row>
    <row r="835">
      <c r="A835" s="2"/>
      <c r="B835" s="2"/>
      <c r="C835" s="2"/>
      <c r="D835" s="2"/>
      <c r="E835" s="2"/>
      <c r="F835" s="2"/>
      <c r="G835" s="2"/>
      <c r="H835" s="2"/>
      <c r="I835" s="2"/>
      <c r="J835" s="2"/>
      <c r="K835" s="2"/>
      <c r="L835" s="2"/>
      <c r="M835" s="2"/>
      <c r="N835" s="2"/>
      <c r="O835" s="2"/>
      <c r="P835" s="2"/>
      <c r="Q835" s="2"/>
      <c r="R835" s="2"/>
      <c r="S835" s="2"/>
      <c r="T835" s="2"/>
      <c r="U835" s="2"/>
    </row>
    <row r="836">
      <c r="A836" s="2"/>
      <c r="B836" s="2"/>
      <c r="C836" s="2"/>
      <c r="D836" s="2"/>
      <c r="E836" s="2"/>
      <c r="F836" s="2"/>
      <c r="G836" s="2"/>
      <c r="H836" s="2"/>
      <c r="I836" s="2"/>
      <c r="J836" s="2"/>
      <c r="K836" s="2"/>
      <c r="L836" s="2"/>
      <c r="M836" s="2"/>
      <c r="N836" s="2"/>
      <c r="O836" s="2"/>
      <c r="P836" s="2"/>
      <c r="Q836" s="2"/>
      <c r="R836" s="2"/>
      <c r="S836" s="2"/>
      <c r="T836" s="2"/>
      <c r="U836" s="2"/>
    </row>
    <row r="837">
      <c r="A837" s="2"/>
      <c r="B837" s="2"/>
      <c r="C837" s="2"/>
      <c r="D837" s="2"/>
      <c r="E837" s="2"/>
      <c r="F837" s="2"/>
      <c r="G837" s="2"/>
      <c r="H837" s="2"/>
      <c r="I837" s="2"/>
      <c r="J837" s="2"/>
      <c r="K837" s="2"/>
      <c r="L837" s="2"/>
      <c r="M837" s="2"/>
      <c r="N837" s="2"/>
      <c r="O837" s="2"/>
      <c r="P837" s="2"/>
      <c r="Q837" s="2"/>
      <c r="R837" s="2"/>
      <c r="S837" s="2"/>
      <c r="T837" s="2"/>
      <c r="U837" s="2"/>
    </row>
    <row r="838">
      <c r="A838" s="2"/>
      <c r="B838" s="2"/>
      <c r="C838" s="2"/>
      <c r="D838" s="2"/>
      <c r="E838" s="2"/>
      <c r="F838" s="2"/>
      <c r="G838" s="2"/>
      <c r="H838" s="2"/>
      <c r="I838" s="2"/>
      <c r="J838" s="2"/>
      <c r="K838" s="2"/>
      <c r="L838" s="2"/>
      <c r="M838" s="2"/>
      <c r="N838" s="2"/>
      <c r="O838" s="2"/>
      <c r="P838" s="2"/>
      <c r="Q838" s="2"/>
      <c r="R838" s="2"/>
      <c r="S838" s="2"/>
      <c r="T838" s="2"/>
      <c r="U838" s="2"/>
    </row>
    <row r="839">
      <c r="A839" s="2"/>
      <c r="B839" s="2"/>
      <c r="C839" s="2"/>
      <c r="D839" s="2"/>
      <c r="E839" s="2"/>
      <c r="F839" s="2"/>
      <c r="G839" s="2"/>
      <c r="H839" s="2"/>
      <c r="I839" s="2"/>
      <c r="J839" s="2"/>
      <c r="K839" s="2"/>
      <c r="L839" s="2"/>
      <c r="M839" s="2"/>
      <c r="N839" s="2"/>
      <c r="O839" s="2"/>
      <c r="P839" s="2"/>
      <c r="Q839" s="2"/>
      <c r="R839" s="2"/>
      <c r="S839" s="2"/>
      <c r="T839" s="2"/>
      <c r="U839" s="2"/>
    </row>
    <row r="840">
      <c r="A840" s="2"/>
      <c r="B840" s="2"/>
      <c r="C840" s="2"/>
      <c r="D840" s="2"/>
      <c r="E840" s="2"/>
      <c r="F840" s="2"/>
      <c r="G840" s="2"/>
      <c r="H840" s="2"/>
      <c r="I840" s="2"/>
      <c r="J840" s="2"/>
      <c r="K840" s="2"/>
      <c r="L840" s="2"/>
      <c r="M840" s="2"/>
      <c r="N840" s="2"/>
      <c r="O840" s="2"/>
      <c r="P840" s="2"/>
      <c r="Q840" s="2"/>
      <c r="R840" s="2"/>
      <c r="S840" s="2"/>
      <c r="T840" s="2"/>
      <c r="U840" s="2"/>
    </row>
    <row r="841">
      <c r="A841" s="2"/>
      <c r="B841" s="2"/>
      <c r="C841" s="2"/>
      <c r="D841" s="2"/>
      <c r="E841" s="2"/>
      <c r="F841" s="2"/>
      <c r="G841" s="2"/>
      <c r="H841" s="2"/>
      <c r="I841" s="2"/>
      <c r="J841" s="2"/>
      <c r="K841" s="2"/>
      <c r="L841" s="2"/>
      <c r="M841" s="2"/>
      <c r="N841" s="2"/>
      <c r="O841" s="2"/>
      <c r="P841" s="2"/>
      <c r="Q841" s="2"/>
      <c r="R841" s="2"/>
      <c r="S841" s="2"/>
      <c r="T841" s="2"/>
      <c r="U841" s="2"/>
    </row>
    <row r="842">
      <c r="A842" s="2"/>
      <c r="B842" s="2"/>
      <c r="C842" s="2"/>
      <c r="D842" s="2"/>
      <c r="E842" s="2"/>
      <c r="F842" s="2"/>
      <c r="G842" s="2"/>
      <c r="H842" s="2"/>
      <c r="I842" s="2"/>
      <c r="J842" s="2"/>
      <c r="K842" s="2"/>
      <c r="L842" s="2"/>
      <c r="M842" s="2"/>
      <c r="N842" s="2"/>
      <c r="O842" s="2"/>
      <c r="P842" s="2"/>
      <c r="Q842" s="2"/>
      <c r="R842" s="2"/>
      <c r="S842" s="2"/>
      <c r="T842" s="2"/>
      <c r="U842" s="2"/>
    </row>
    <row r="843">
      <c r="A843" s="2"/>
      <c r="B843" s="2"/>
      <c r="C843" s="2"/>
      <c r="D843" s="2"/>
      <c r="E843" s="2"/>
      <c r="F843" s="2"/>
      <c r="G843" s="2"/>
      <c r="H843" s="2"/>
      <c r="I843" s="2"/>
      <c r="J843" s="2"/>
      <c r="K843" s="2"/>
      <c r="L843" s="2"/>
      <c r="M843" s="2"/>
      <c r="N843" s="2"/>
      <c r="O843" s="2"/>
      <c r="P843" s="2"/>
      <c r="Q843" s="2"/>
      <c r="R843" s="2"/>
      <c r="S843" s="2"/>
      <c r="T843" s="2"/>
      <c r="U843" s="2"/>
    </row>
    <row r="844">
      <c r="A844" s="2"/>
      <c r="B844" s="2"/>
      <c r="C844" s="2"/>
      <c r="D844" s="2"/>
      <c r="E844" s="2"/>
      <c r="F844" s="2"/>
      <c r="G844" s="2"/>
      <c r="H844" s="2"/>
      <c r="I844" s="2"/>
      <c r="J844" s="2"/>
      <c r="K844" s="2"/>
      <c r="L844" s="2"/>
      <c r="M844" s="2"/>
      <c r="N844" s="2"/>
      <c r="O844" s="2"/>
      <c r="P844" s="2"/>
      <c r="Q844" s="2"/>
      <c r="R844" s="2"/>
      <c r="S844" s="2"/>
      <c r="T844" s="2"/>
      <c r="U844" s="2"/>
    </row>
    <row r="845">
      <c r="A845" s="2"/>
      <c r="B845" s="2"/>
      <c r="C845" s="2"/>
      <c r="D845" s="2"/>
      <c r="E845" s="2"/>
      <c r="F845" s="2"/>
      <c r="G845" s="2"/>
      <c r="H845" s="2"/>
      <c r="I845" s="2"/>
      <c r="J845" s="2"/>
      <c r="K845" s="2"/>
      <c r="L845" s="2"/>
      <c r="M845" s="2"/>
      <c r="N845" s="2"/>
      <c r="O845" s="2"/>
      <c r="P845" s="2"/>
      <c r="Q845" s="2"/>
      <c r="R845" s="2"/>
      <c r="S845" s="2"/>
      <c r="T845" s="2"/>
      <c r="U845" s="2"/>
    </row>
    <row r="846">
      <c r="A846" s="2"/>
      <c r="B846" s="2"/>
      <c r="C846" s="2"/>
      <c r="D846" s="2"/>
      <c r="E846" s="2"/>
      <c r="F846" s="2"/>
      <c r="G846" s="2"/>
      <c r="H846" s="2"/>
      <c r="I846" s="2"/>
      <c r="J846" s="2"/>
      <c r="K846" s="2"/>
      <c r="L846" s="2"/>
      <c r="M846" s="2"/>
      <c r="N846" s="2"/>
      <c r="O846" s="2"/>
      <c r="P846" s="2"/>
      <c r="Q846" s="2"/>
      <c r="R846" s="2"/>
      <c r="S846" s="2"/>
      <c r="T846" s="2"/>
      <c r="U846" s="2"/>
    </row>
    <row r="847">
      <c r="A847" s="2"/>
      <c r="B847" s="2"/>
      <c r="C847" s="2"/>
      <c r="D847" s="2"/>
      <c r="E847" s="2"/>
      <c r="F847" s="2"/>
      <c r="G847" s="2"/>
      <c r="H847" s="2"/>
      <c r="I847" s="2"/>
      <c r="J847" s="2"/>
      <c r="K847" s="2"/>
      <c r="L847" s="2"/>
      <c r="M847" s="2"/>
      <c r="N847" s="2"/>
      <c r="O847" s="2"/>
      <c r="P847" s="2"/>
      <c r="Q847" s="2"/>
      <c r="R847" s="2"/>
      <c r="S847" s="2"/>
      <c r="T847" s="2"/>
      <c r="U847" s="2"/>
    </row>
    <row r="848">
      <c r="A848" s="2"/>
      <c r="B848" s="2"/>
      <c r="C848" s="2"/>
      <c r="D848" s="2"/>
      <c r="E848" s="2"/>
      <c r="F848" s="2"/>
      <c r="G848" s="2"/>
      <c r="H848" s="2"/>
      <c r="I848" s="2"/>
      <c r="J848" s="2"/>
      <c r="K848" s="2"/>
      <c r="L848" s="2"/>
      <c r="M848" s="2"/>
      <c r="N848" s="2"/>
      <c r="O848" s="2"/>
      <c r="P848" s="2"/>
      <c r="Q848" s="2"/>
      <c r="R848" s="2"/>
      <c r="S848" s="2"/>
      <c r="T848" s="2"/>
      <c r="U848" s="2"/>
    </row>
    <row r="849">
      <c r="A849" s="2"/>
      <c r="B849" s="2"/>
      <c r="C849" s="2"/>
      <c r="D849" s="2"/>
      <c r="E849" s="2"/>
      <c r="F849" s="2"/>
      <c r="G849" s="2"/>
      <c r="H849" s="2"/>
      <c r="I849" s="2"/>
      <c r="J849" s="2"/>
      <c r="K849" s="2"/>
      <c r="L849" s="2"/>
      <c r="M849" s="2"/>
      <c r="N849" s="2"/>
      <c r="O849" s="2"/>
      <c r="P849" s="2"/>
      <c r="Q849" s="2"/>
      <c r="R849" s="2"/>
      <c r="S849" s="2"/>
      <c r="T849" s="2"/>
      <c r="U849" s="2"/>
    </row>
    <row r="850">
      <c r="A850" s="2"/>
      <c r="B850" s="2"/>
      <c r="C850" s="2"/>
      <c r="D850" s="2"/>
      <c r="E850" s="2"/>
      <c r="F850" s="2"/>
      <c r="G850" s="2"/>
      <c r="H850" s="2"/>
      <c r="I850" s="2"/>
      <c r="J850" s="2"/>
      <c r="K850" s="2"/>
      <c r="L850" s="2"/>
      <c r="M850" s="2"/>
      <c r="N850" s="2"/>
      <c r="O850" s="2"/>
      <c r="P850" s="2"/>
      <c r="Q850" s="2"/>
      <c r="R850" s="2"/>
      <c r="S850" s="2"/>
      <c r="T850" s="2"/>
      <c r="U850" s="2"/>
    </row>
    <row r="851">
      <c r="A851" s="2"/>
      <c r="B851" s="2"/>
      <c r="C851" s="2"/>
      <c r="D851" s="2"/>
      <c r="E851" s="2"/>
      <c r="F851" s="2"/>
      <c r="G851" s="2"/>
      <c r="H851" s="2"/>
      <c r="I851" s="2"/>
      <c r="J851" s="2"/>
      <c r="K851" s="2"/>
      <c r="L851" s="2"/>
      <c r="M851" s="2"/>
      <c r="N851" s="2"/>
      <c r="O851" s="2"/>
      <c r="P851" s="2"/>
      <c r="Q851" s="2"/>
      <c r="R851" s="2"/>
      <c r="S851" s="2"/>
      <c r="T851" s="2"/>
      <c r="U851" s="2"/>
    </row>
    <row r="852">
      <c r="A852" s="2"/>
      <c r="B852" s="2"/>
      <c r="C852" s="2"/>
      <c r="D852" s="2"/>
      <c r="E852" s="2"/>
      <c r="F852" s="2"/>
      <c r="G852" s="2"/>
      <c r="H852" s="2"/>
      <c r="I852" s="2"/>
      <c r="J852" s="2"/>
      <c r="K852" s="2"/>
      <c r="L852" s="2"/>
      <c r="M852" s="2"/>
      <c r="N852" s="2"/>
      <c r="O852" s="2"/>
      <c r="P852" s="2"/>
      <c r="Q852" s="2"/>
      <c r="R852" s="2"/>
      <c r="S852" s="2"/>
      <c r="T852" s="2"/>
      <c r="U852" s="2"/>
    </row>
    <row r="853">
      <c r="A853" s="2"/>
      <c r="B853" s="2"/>
      <c r="C853" s="2"/>
      <c r="D853" s="2"/>
      <c r="E853" s="2"/>
      <c r="F853" s="2"/>
      <c r="G853" s="2"/>
      <c r="H853" s="2"/>
      <c r="I853" s="2"/>
      <c r="J853" s="2"/>
      <c r="K853" s="2"/>
      <c r="L853" s="2"/>
      <c r="M853" s="2"/>
      <c r="N853" s="2"/>
      <c r="O853" s="2"/>
      <c r="P853" s="2"/>
      <c r="Q853" s="2"/>
      <c r="R853" s="2"/>
      <c r="S853" s="2"/>
      <c r="T853" s="2"/>
      <c r="U853" s="2"/>
    </row>
    <row r="854">
      <c r="A854" s="2"/>
      <c r="B854" s="2"/>
      <c r="C854" s="2"/>
      <c r="D854" s="2"/>
      <c r="E854" s="2"/>
      <c r="F854" s="2"/>
      <c r="G854" s="2"/>
      <c r="H854" s="2"/>
      <c r="I854" s="2"/>
      <c r="J854" s="2"/>
      <c r="K854" s="2"/>
      <c r="L854" s="2"/>
      <c r="M854" s="2"/>
      <c r="N854" s="2"/>
      <c r="O854" s="2"/>
      <c r="P854" s="2"/>
      <c r="Q854" s="2"/>
      <c r="R854" s="2"/>
      <c r="S854" s="2"/>
      <c r="T854" s="2"/>
      <c r="U854" s="2"/>
    </row>
    <row r="855">
      <c r="A855" s="2"/>
      <c r="B855" s="2"/>
      <c r="C855" s="2"/>
      <c r="D855" s="2"/>
      <c r="E855" s="2"/>
      <c r="F855" s="2"/>
      <c r="G855" s="2"/>
      <c r="H855" s="2"/>
      <c r="I855" s="2"/>
      <c r="J855" s="2"/>
      <c r="K855" s="2"/>
      <c r="L855" s="2"/>
      <c r="M855" s="2"/>
      <c r="N855" s="2"/>
      <c r="O855" s="2"/>
      <c r="P855" s="2"/>
      <c r="Q855" s="2"/>
      <c r="R855" s="2"/>
      <c r="S855" s="2"/>
      <c r="T855" s="2"/>
      <c r="U855" s="2"/>
    </row>
    <row r="856">
      <c r="A856" s="2"/>
      <c r="B856" s="2"/>
      <c r="C856" s="2"/>
      <c r="D856" s="2"/>
      <c r="E856" s="2"/>
      <c r="F856" s="2"/>
      <c r="G856" s="2"/>
      <c r="H856" s="2"/>
      <c r="I856" s="2"/>
      <c r="J856" s="2"/>
      <c r="K856" s="2"/>
      <c r="L856" s="2"/>
      <c r="M856" s="2"/>
      <c r="N856" s="2"/>
      <c r="O856" s="2"/>
      <c r="P856" s="2"/>
      <c r="Q856" s="2"/>
      <c r="R856" s="2"/>
      <c r="S856" s="2"/>
      <c r="T856" s="2"/>
      <c r="U856" s="2"/>
    </row>
    <row r="857">
      <c r="A857" s="2"/>
      <c r="B857" s="2"/>
      <c r="C857" s="2"/>
      <c r="D857" s="2"/>
      <c r="E857" s="2"/>
      <c r="F857" s="2"/>
      <c r="G857" s="2"/>
      <c r="H857" s="2"/>
      <c r="I857" s="2"/>
      <c r="J857" s="2"/>
      <c r="K857" s="2"/>
      <c r="L857" s="2"/>
      <c r="M857" s="2"/>
      <c r="N857" s="2"/>
      <c r="O857" s="2"/>
      <c r="P857" s="2"/>
      <c r="Q857" s="2"/>
      <c r="R857" s="2"/>
      <c r="S857" s="2"/>
      <c r="T857" s="2"/>
      <c r="U857" s="2"/>
    </row>
    <row r="858">
      <c r="A858" s="2"/>
      <c r="B858" s="2"/>
      <c r="C858" s="2"/>
      <c r="D858" s="2"/>
      <c r="E858" s="2"/>
      <c r="F858" s="2"/>
      <c r="G858" s="2"/>
      <c r="H858" s="2"/>
      <c r="I858" s="2"/>
      <c r="J858" s="2"/>
      <c r="K858" s="2"/>
      <c r="L858" s="2"/>
      <c r="M858" s="2"/>
      <c r="N858" s="2"/>
      <c r="O858" s="2"/>
      <c r="P858" s="2"/>
      <c r="Q858" s="2"/>
      <c r="R858" s="2"/>
      <c r="S858" s="2"/>
      <c r="T858" s="2"/>
      <c r="U858" s="2"/>
    </row>
    <row r="859">
      <c r="A859" s="2"/>
      <c r="B859" s="2"/>
      <c r="C859" s="2"/>
      <c r="D859" s="2"/>
      <c r="E859" s="2"/>
      <c r="F859" s="2"/>
      <c r="G859" s="2"/>
      <c r="H859" s="2"/>
      <c r="I859" s="2"/>
      <c r="J859" s="2"/>
      <c r="K859" s="2"/>
      <c r="L859" s="2"/>
      <c r="M859" s="2"/>
      <c r="N859" s="2"/>
      <c r="O859" s="2"/>
      <c r="P859" s="2"/>
      <c r="Q859" s="2"/>
      <c r="R859" s="2"/>
      <c r="S859" s="2"/>
      <c r="T859" s="2"/>
      <c r="U859" s="2"/>
    </row>
    <row r="860">
      <c r="A860" s="2"/>
      <c r="B860" s="2"/>
      <c r="C860" s="2"/>
      <c r="D860" s="2"/>
      <c r="E860" s="2"/>
      <c r="F860" s="2"/>
      <c r="G860" s="2"/>
      <c r="H860" s="2"/>
      <c r="I860" s="2"/>
      <c r="J860" s="2"/>
      <c r="K860" s="2"/>
      <c r="L860" s="2"/>
      <c r="M860" s="2"/>
      <c r="N860" s="2"/>
      <c r="O860" s="2"/>
      <c r="P860" s="2"/>
      <c r="Q860" s="2"/>
      <c r="R860" s="2"/>
      <c r="S860" s="2"/>
      <c r="T860" s="2"/>
      <c r="U860" s="2"/>
    </row>
    <row r="861">
      <c r="A861" s="2"/>
      <c r="B861" s="2"/>
      <c r="C861" s="2"/>
      <c r="D861" s="2"/>
      <c r="E861" s="2"/>
      <c r="F861" s="2"/>
      <c r="G861" s="2"/>
      <c r="H861" s="2"/>
      <c r="I861" s="2"/>
      <c r="J861" s="2"/>
      <c r="K861" s="2"/>
      <c r="L861" s="2"/>
      <c r="M861" s="2"/>
      <c r="N861" s="2"/>
      <c r="O861" s="2"/>
      <c r="P861" s="2"/>
      <c r="Q861" s="2"/>
      <c r="R861" s="2"/>
      <c r="S861" s="2"/>
      <c r="T861" s="2"/>
      <c r="U861" s="2"/>
    </row>
    <row r="862">
      <c r="A862" s="2"/>
      <c r="B862" s="2"/>
      <c r="C862" s="2"/>
      <c r="D862" s="2"/>
      <c r="E862" s="2"/>
      <c r="F862" s="2"/>
      <c r="G862" s="2"/>
      <c r="H862" s="2"/>
      <c r="I862" s="2"/>
      <c r="J862" s="2"/>
      <c r="K862" s="2"/>
      <c r="L862" s="2"/>
      <c r="M862" s="2"/>
      <c r="N862" s="2"/>
      <c r="O862" s="2"/>
      <c r="P862" s="2"/>
      <c r="Q862" s="2"/>
      <c r="R862" s="2"/>
      <c r="S862" s="2"/>
      <c r="T862" s="2"/>
      <c r="U862" s="2"/>
    </row>
    <row r="863">
      <c r="A863" s="2"/>
      <c r="B863" s="2"/>
      <c r="C863" s="2"/>
      <c r="D863" s="2"/>
      <c r="E863" s="2"/>
      <c r="F863" s="2"/>
      <c r="G863" s="2"/>
      <c r="H863" s="2"/>
      <c r="I863" s="2"/>
      <c r="J863" s="2"/>
      <c r="K863" s="2"/>
      <c r="L863" s="2"/>
      <c r="M863" s="2"/>
      <c r="N863" s="2"/>
      <c r="O863" s="2"/>
      <c r="P863" s="2"/>
      <c r="Q863" s="2"/>
      <c r="R863" s="2"/>
      <c r="S863" s="2"/>
      <c r="T863" s="2"/>
      <c r="U863" s="2"/>
    </row>
    <row r="864">
      <c r="A864" s="2"/>
      <c r="B864" s="2"/>
      <c r="C864" s="2"/>
      <c r="D864" s="2"/>
      <c r="E864" s="2"/>
      <c r="F864" s="2"/>
      <c r="G864" s="2"/>
      <c r="H864" s="2"/>
      <c r="I864" s="2"/>
      <c r="J864" s="2"/>
      <c r="K864" s="2"/>
      <c r="L864" s="2"/>
      <c r="M864" s="2"/>
      <c r="N864" s="2"/>
      <c r="O864" s="2"/>
      <c r="P864" s="2"/>
      <c r="Q864" s="2"/>
      <c r="R864" s="2"/>
      <c r="S864" s="2"/>
      <c r="T864" s="2"/>
      <c r="U864" s="2"/>
    </row>
    <row r="865">
      <c r="A865" s="2"/>
      <c r="B865" s="2"/>
      <c r="C865" s="2"/>
      <c r="D865" s="2"/>
      <c r="E865" s="2"/>
      <c r="F865" s="2"/>
      <c r="G865" s="2"/>
      <c r="H865" s="2"/>
      <c r="I865" s="2"/>
      <c r="J865" s="2"/>
      <c r="K865" s="2"/>
      <c r="L865" s="2"/>
      <c r="M865" s="2"/>
      <c r="N865" s="2"/>
      <c r="O865" s="2"/>
      <c r="P865" s="2"/>
      <c r="Q865" s="2"/>
      <c r="R865" s="2"/>
      <c r="S865" s="2"/>
      <c r="T865" s="2"/>
      <c r="U865" s="2"/>
    </row>
    <row r="866">
      <c r="A866" s="2"/>
      <c r="B866" s="2"/>
      <c r="C866" s="2"/>
      <c r="D866" s="2"/>
      <c r="E866" s="2"/>
      <c r="F866" s="2"/>
      <c r="G866" s="2"/>
      <c r="H866" s="2"/>
      <c r="I866" s="2"/>
      <c r="J866" s="2"/>
      <c r="K866" s="2"/>
      <c r="L866" s="2"/>
      <c r="M866" s="2"/>
      <c r="N866" s="2"/>
      <c r="O866" s="2"/>
      <c r="P866" s="2"/>
      <c r="Q866" s="2"/>
      <c r="R866" s="2"/>
      <c r="S866" s="2"/>
      <c r="T866" s="2"/>
      <c r="U866" s="2"/>
    </row>
    <row r="867">
      <c r="A867" s="2"/>
      <c r="B867" s="2"/>
      <c r="C867" s="2"/>
      <c r="D867" s="2"/>
      <c r="E867" s="2"/>
      <c r="F867" s="2"/>
      <c r="G867" s="2"/>
      <c r="H867" s="2"/>
      <c r="I867" s="2"/>
      <c r="J867" s="2"/>
      <c r="K867" s="2"/>
      <c r="L867" s="2"/>
      <c r="M867" s="2"/>
      <c r="N867" s="2"/>
      <c r="O867" s="2"/>
      <c r="P867" s="2"/>
      <c r="Q867" s="2"/>
      <c r="R867" s="2"/>
      <c r="S867" s="2"/>
      <c r="T867" s="2"/>
      <c r="U867" s="2"/>
    </row>
    <row r="868">
      <c r="A868" s="2"/>
      <c r="B868" s="2"/>
      <c r="C868" s="2"/>
      <c r="D868" s="2"/>
      <c r="E868" s="2"/>
      <c r="F868" s="2"/>
      <c r="G868" s="2"/>
      <c r="H868" s="2"/>
      <c r="I868" s="2"/>
      <c r="J868" s="2"/>
      <c r="K868" s="2"/>
      <c r="L868" s="2"/>
      <c r="M868" s="2"/>
      <c r="N868" s="2"/>
      <c r="O868" s="2"/>
      <c r="P868" s="2"/>
      <c r="Q868" s="2"/>
      <c r="R868" s="2"/>
      <c r="S868" s="2"/>
      <c r="T868" s="2"/>
      <c r="U868" s="2"/>
    </row>
    <row r="869">
      <c r="A869" s="2"/>
      <c r="B869" s="2"/>
      <c r="C869" s="2"/>
      <c r="D869" s="2"/>
      <c r="E869" s="2"/>
      <c r="F869" s="2"/>
      <c r="G869" s="2"/>
      <c r="H869" s="2"/>
      <c r="I869" s="2"/>
      <c r="J869" s="2"/>
      <c r="K869" s="2"/>
      <c r="L869" s="2"/>
      <c r="M869" s="2"/>
      <c r="N869" s="2"/>
      <c r="O869" s="2"/>
      <c r="P869" s="2"/>
      <c r="Q869" s="2"/>
      <c r="R869" s="2"/>
      <c r="S869" s="2"/>
      <c r="T869" s="2"/>
      <c r="U869" s="2"/>
    </row>
    <row r="870">
      <c r="A870" s="2"/>
      <c r="B870" s="2"/>
      <c r="C870" s="2"/>
      <c r="D870" s="2"/>
      <c r="E870" s="2"/>
      <c r="F870" s="2"/>
      <c r="G870" s="2"/>
      <c r="H870" s="2"/>
      <c r="I870" s="2"/>
      <c r="J870" s="2"/>
      <c r="K870" s="2"/>
      <c r="L870" s="2"/>
      <c r="M870" s="2"/>
      <c r="N870" s="2"/>
      <c r="O870" s="2"/>
      <c r="P870" s="2"/>
      <c r="Q870" s="2"/>
      <c r="R870" s="2"/>
      <c r="S870" s="2"/>
      <c r="T870" s="2"/>
      <c r="U870" s="2"/>
    </row>
    <row r="871">
      <c r="A871" s="2"/>
      <c r="B871" s="2"/>
      <c r="C871" s="2"/>
      <c r="D871" s="2"/>
      <c r="E871" s="2"/>
      <c r="F871" s="2"/>
      <c r="G871" s="2"/>
      <c r="H871" s="2"/>
      <c r="I871" s="2"/>
      <c r="J871" s="2"/>
      <c r="K871" s="2"/>
      <c r="L871" s="2"/>
      <c r="M871" s="2"/>
      <c r="N871" s="2"/>
      <c r="O871" s="2"/>
      <c r="P871" s="2"/>
      <c r="Q871" s="2"/>
      <c r="R871" s="2"/>
      <c r="S871" s="2"/>
      <c r="T871" s="2"/>
      <c r="U871" s="2"/>
    </row>
    <row r="872">
      <c r="A872" s="2"/>
      <c r="B872" s="2"/>
      <c r="C872" s="2"/>
      <c r="D872" s="2"/>
      <c r="E872" s="2"/>
      <c r="F872" s="2"/>
      <c r="G872" s="2"/>
      <c r="H872" s="2"/>
      <c r="I872" s="2"/>
      <c r="J872" s="2"/>
      <c r="K872" s="2"/>
      <c r="L872" s="2"/>
      <c r="M872" s="2"/>
      <c r="N872" s="2"/>
      <c r="O872" s="2"/>
      <c r="P872" s="2"/>
      <c r="Q872" s="2"/>
      <c r="R872" s="2"/>
      <c r="S872" s="2"/>
      <c r="T872" s="2"/>
      <c r="U872" s="2"/>
    </row>
    <row r="873">
      <c r="A873" s="2"/>
      <c r="B873" s="2"/>
      <c r="C873" s="2"/>
      <c r="D873" s="2"/>
      <c r="E873" s="2"/>
      <c r="F873" s="2"/>
      <c r="G873" s="2"/>
      <c r="H873" s="2"/>
      <c r="I873" s="2"/>
      <c r="J873" s="2"/>
      <c r="K873" s="2"/>
      <c r="L873" s="2"/>
      <c r="M873" s="2"/>
      <c r="N873" s="2"/>
      <c r="O873" s="2"/>
      <c r="P873" s="2"/>
      <c r="Q873" s="2"/>
      <c r="R873" s="2"/>
      <c r="S873" s="2"/>
      <c r="T873" s="2"/>
      <c r="U873" s="2"/>
    </row>
    <row r="874">
      <c r="A874" s="2"/>
      <c r="B874" s="2"/>
      <c r="C874" s="2"/>
      <c r="D874" s="2"/>
      <c r="E874" s="2"/>
      <c r="F874" s="2"/>
      <c r="G874" s="2"/>
      <c r="H874" s="2"/>
      <c r="I874" s="2"/>
      <c r="J874" s="2"/>
      <c r="K874" s="2"/>
      <c r="L874" s="2"/>
      <c r="M874" s="2"/>
      <c r="N874" s="2"/>
      <c r="O874" s="2"/>
      <c r="P874" s="2"/>
      <c r="Q874" s="2"/>
      <c r="R874" s="2"/>
      <c r="S874" s="2"/>
      <c r="T874" s="2"/>
      <c r="U874" s="2"/>
    </row>
    <row r="875">
      <c r="A875" s="2"/>
      <c r="B875" s="2"/>
      <c r="C875" s="2"/>
      <c r="D875" s="2"/>
      <c r="E875" s="2"/>
      <c r="F875" s="2"/>
      <c r="G875" s="2"/>
      <c r="H875" s="2"/>
      <c r="I875" s="2"/>
      <c r="J875" s="2"/>
      <c r="K875" s="2"/>
      <c r="L875" s="2"/>
      <c r="M875" s="2"/>
      <c r="N875" s="2"/>
      <c r="O875" s="2"/>
      <c r="P875" s="2"/>
      <c r="Q875" s="2"/>
      <c r="R875" s="2"/>
      <c r="S875" s="2"/>
      <c r="T875" s="2"/>
      <c r="U875" s="2"/>
    </row>
    <row r="876">
      <c r="A876" s="2"/>
      <c r="B876" s="2"/>
      <c r="C876" s="2"/>
      <c r="D876" s="2"/>
      <c r="E876" s="2"/>
      <c r="F876" s="2"/>
      <c r="G876" s="2"/>
      <c r="H876" s="2"/>
      <c r="I876" s="2"/>
      <c r="J876" s="2"/>
      <c r="K876" s="2"/>
      <c r="L876" s="2"/>
      <c r="M876" s="2"/>
      <c r="N876" s="2"/>
      <c r="O876" s="2"/>
      <c r="P876" s="2"/>
      <c r="Q876" s="2"/>
      <c r="R876" s="2"/>
      <c r="S876" s="2"/>
      <c r="T876" s="2"/>
      <c r="U876" s="2"/>
    </row>
    <row r="877">
      <c r="A877" s="2"/>
      <c r="B877" s="2"/>
      <c r="C877" s="2"/>
      <c r="D877" s="2"/>
      <c r="E877" s="2"/>
      <c r="F877" s="2"/>
      <c r="G877" s="2"/>
      <c r="H877" s="2"/>
      <c r="I877" s="2"/>
      <c r="J877" s="2"/>
      <c r="K877" s="2"/>
      <c r="L877" s="2"/>
      <c r="M877" s="2"/>
      <c r="N877" s="2"/>
      <c r="O877" s="2"/>
      <c r="P877" s="2"/>
      <c r="Q877" s="2"/>
      <c r="R877" s="2"/>
      <c r="S877" s="2"/>
      <c r="T877" s="2"/>
      <c r="U877" s="2"/>
    </row>
    <row r="878">
      <c r="A878" s="2"/>
      <c r="B878" s="2"/>
      <c r="C878" s="2"/>
      <c r="D878" s="2"/>
      <c r="E878" s="2"/>
      <c r="F878" s="2"/>
      <c r="G878" s="2"/>
      <c r="H878" s="2"/>
      <c r="I878" s="2"/>
      <c r="J878" s="2"/>
      <c r="K878" s="2"/>
      <c r="L878" s="2"/>
      <c r="M878" s="2"/>
      <c r="N878" s="2"/>
      <c r="O878" s="2"/>
      <c r="P878" s="2"/>
      <c r="Q878" s="2"/>
      <c r="R878" s="2"/>
      <c r="S878" s="2"/>
      <c r="T878" s="2"/>
      <c r="U878" s="2"/>
    </row>
    <row r="879">
      <c r="A879" s="2"/>
      <c r="B879" s="2"/>
      <c r="C879" s="2"/>
      <c r="D879" s="2"/>
      <c r="E879" s="2"/>
      <c r="F879" s="2"/>
      <c r="G879" s="2"/>
      <c r="H879" s="2"/>
      <c r="I879" s="2"/>
      <c r="J879" s="2"/>
      <c r="K879" s="2"/>
      <c r="L879" s="2"/>
      <c r="M879" s="2"/>
      <c r="N879" s="2"/>
      <c r="O879" s="2"/>
      <c r="P879" s="2"/>
      <c r="Q879" s="2"/>
      <c r="R879" s="2"/>
      <c r="S879" s="2"/>
      <c r="T879" s="2"/>
      <c r="U879" s="2"/>
    </row>
    <row r="880">
      <c r="A880" s="2"/>
      <c r="B880" s="2"/>
      <c r="C880" s="2"/>
      <c r="D880" s="2"/>
      <c r="E880" s="2"/>
      <c r="F880" s="2"/>
      <c r="G880" s="2"/>
      <c r="H880" s="2"/>
      <c r="I880" s="2"/>
      <c r="J880" s="2"/>
      <c r="K880" s="2"/>
      <c r="L880" s="2"/>
      <c r="M880" s="2"/>
      <c r="N880" s="2"/>
      <c r="O880" s="2"/>
      <c r="P880" s="2"/>
      <c r="Q880" s="2"/>
      <c r="R880" s="2"/>
      <c r="S880" s="2"/>
      <c r="T880" s="2"/>
      <c r="U880" s="2"/>
    </row>
    <row r="881">
      <c r="A881" s="2"/>
      <c r="B881" s="2"/>
      <c r="C881" s="2"/>
      <c r="D881" s="2"/>
      <c r="E881" s="2"/>
      <c r="F881" s="2"/>
      <c r="G881" s="2"/>
      <c r="H881" s="2"/>
      <c r="I881" s="2"/>
      <c r="J881" s="2"/>
      <c r="K881" s="2"/>
      <c r="L881" s="2"/>
      <c r="M881" s="2"/>
      <c r="N881" s="2"/>
      <c r="O881" s="2"/>
      <c r="P881" s="2"/>
      <c r="Q881" s="2"/>
      <c r="R881" s="2"/>
      <c r="S881" s="2"/>
      <c r="T881" s="2"/>
      <c r="U881" s="2"/>
    </row>
    <row r="882">
      <c r="A882" s="2"/>
      <c r="B882" s="2"/>
      <c r="C882" s="2"/>
      <c r="D882" s="2"/>
      <c r="E882" s="2"/>
      <c r="F882" s="2"/>
      <c r="G882" s="2"/>
      <c r="H882" s="2"/>
      <c r="I882" s="2"/>
      <c r="J882" s="2"/>
      <c r="K882" s="2"/>
      <c r="L882" s="2"/>
      <c r="M882" s="2"/>
      <c r="N882" s="2"/>
      <c r="O882" s="2"/>
      <c r="P882" s="2"/>
      <c r="Q882" s="2"/>
      <c r="R882" s="2"/>
      <c r="S882" s="2"/>
      <c r="T882" s="2"/>
      <c r="U882" s="2"/>
    </row>
    <row r="883">
      <c r="A883" s="2"/>
      <c r="B883" s="2"/>
      <c r="C883" s="2"/>
      <c r="D883" s="2"/>
      <c r="E883" s="2"/>
      <c r="F883" s="2"/>
      <c r="G883" s="2"/>
      <c r="H883" s="2"/>
      <c r="I883" s="2"/>
      <c r="J883" s="2"/>
      <c r="K883" s="2"/>
      <c r="L883" s="2"/>
      <c r="M883" s="2"/>
      <c r="N883" s="2"/>
      <c r="O883" s="2"/>
      <c r="P883" s="2"/>
      <c r="Q883" s="2"/>
      <c r="R883" s="2"/>
      <c r="S883" s="2"/>
      <c r="T883" s="2"/>
      <c r="U883" s="2"/>
    </row>
    <row r="884">
      <c r="A884" s="2"/>
      <c r="B884" s="2"/>
      <c r="C884" s="2"/>
      <c r="D884" s="2"/>
      <c r="E884" s="2"/>
      <c r="F884" s="2"/>
      <c r="G884" s="2"/>
      <c r="H884" s="2"/>
      <c r="I884" s="2"/>
      <c r="J884" s="2"/>
      <c r="K884" s="2"/>
      <c r="L884" s="2"/>
      <c r="M884" s="2"/>
      <c r="N884" s="2"/>
      <c r="O884" s="2"/>
      <c r="P884" s="2"/>
      <c r="Q884" s="2"/>
      <c r="R884" s="2"/>
      <c r="S884" s="2"/>
      <c r="T884" s="2"/>
      <c r="U884" s="2"/>
    </row>
    <row r="885">
      <c r="A885" s="2"/>
      <c r="B885" s="2"/>
      <c r="C885" s="2"/>
      <c r="D885" s="2"/>
      <c r="E885" s="2"/>
      <c r="F885" s="2"/>
      <c r="G885" s="2"/>
      <c r="H885" s="2"/>
      <c r="I885" s="2"/>
      <c r="J885" s="2"/>
      <c r="K885" s="2"/>
      <c r="L885" s="2"/>
      <c r="M885" s="2"/>
      <c r="N885" s="2"/>
      <c r="O885" s="2"/>
      <c r="P885" s="2"/>
      <c r="Q885" s="2"/>
      <c r="R885" s="2"/>
      <c r="S885" s="2"/>
      <c r="T885" s="2"/>
      <c r="U885" s="2"/>
    </row>
    <row r="886">
      <c r="A886" s="2"/>
      <c r="B886" s="2"/>
      <c r="C886" s="2"/>
      <c r="D886" s="2"/>
      <c r="E886" s="2"/>
      <c r="F886" s="2"/>
      <c r="G886" s="2"/>
      <c r="H886" s="2"/>
      <c r="I886" s="2"/>
      <c r="J886" s="2"/>
      <c r="K886" s="2"/>
      <c r="L886" s="2"/>
      <c r="M886" s="2"/>
      <c r="N886" s="2"/>
      <c r="O886" s="2"/>
      <c r="P886" s="2"/>
      <c r="Q886" s="2"/>
      <c r="R886" s="2"/>
      <c r="S886" s="2"/>
      <c r="T886" s="2"/>
      <c r="U886" s="2"/>
    </row>
    <row r="887">
      <c r="A887" s="2"/>
      <c r="B887" s="2"/>
      <c r="C887" s="2"/>
      <c r="D887" s="2"/>
      <c r="E887" s="2"/>
      <c r="F887" s="2"/>
      <c r="G887" s="2"/>
      <c r="H887" s="2"/>
      <c r="I887" s="2"/>
      <c r="J887" s="2"/>
      <c r="K887" s="2"/>
      <c r="L887" s="2"/>
      <c r="M887" s="2"/>
      <c r="N887" s="2"/>
      <c r="O887" s="2"/>
      <c r="P887" s="2"/>
      <c r="Q887" s="2"/>
      <c r="R887" s="2"/>
      <c r="S887" s="2"/>
      <c r="T887" s="2"/>
      <c r="U887" s="2"/>
    </row>
    <row r="888">
      <c r="A888" s="2"/>
      <c r="B888" s="2"/>
      <c r="C888" s="2"/>
      <c r="D888" s="2"/>
      <c r="E888" s="2"/>
      <c r="F888" s="2"/>
      <c r="G888" s="2"/>
      <c r="H888" s="2"/>
      <c r="I888" s="2"/>
      <c r="J888" s="2"/>
      <c r="K888" s="2"/>
      <c r="L888" s="2"/>
      <c r="M888" s="2"/>
      <c r="N888" s="2"/>
      <c r="O888" s="2"/>
      <c r="P888" s="2"/>
      <c r="Q888" s="2"/>
      <c r="R888" s="2"/>
      <c r="S888" s="2"/>
      <c r="T888" s="2"/>
      <c r="U888" s="2"/>
    </row>
    <row r="889">
      <c r="A889" s="2"/>
      <c r="B889" s="2"/>
      <c r="C889" s="2"/>
      <c r="D889" s="2"/>
      <c r="E889" s="2"/>
      <c r="F889" s="2"/>
      <c r="G889" s="2"/>
      <c r="H889" s="2"/>
      <c r="I889" s="2"/>
      <c r="J889" s="2"/>
      <c r="K889" s="2"/>
      <c r="L889" s="2"/>
      <c r="M889" s="2"/>
      <c r="N889" s="2"/>
      <c r="O889" s="2"/>
      <c r="P889" s="2"/>
      <c r="Q889" s="2"/>
      <c r="R889" s="2"/>
      <c r="S889" s="2"/>
      <c r="T889" s="2"/>
      <c r="U889" s="2"/>
    </row>
    <row r="890">
      <c r="A890" s="2"/>
      <c r="B890" s="2"/>
      <c r="C890" s="2"/>
      <c r="D890" s="2"/>
      <c r="E890" s="2"/>
      <c r="F890" s="2"/>
      <c r="G890" s="2"/>
      <c r="H890" s="2"/>
      <c r="I890" s="2"/>
      <c r="J890" s="2"/>
      <c r="K890" s="2"/>
      <c r="L890" s="2"/>
      <c r="M890" s="2"/>
      <c r="N890" s="2"/>
      <c r="O890" s="2"/>
      <c r="P890" s="2"/>
      <c r="Q890" s="2"/>
      <c r="R890" s="2"/>
      <c r="S890" s="2"/>
      <c r="T890" s="2"/>
      <c r="U890" s="2"/>
    </row>
    <row r="891">
      <c r="A891" s="2"/>
      <c r="B891" s="2"/>
      <c r="C891" s="2"/>
      <c r="D891" s="2"/>
      <c r="E891" s="2"/>
      <c r="F891" s="2"/>
      <c r="G891" s="2"/>
      <c r="H891" s="2"/>
      <c r="I891" s="2"/>
      <c r="J891" s="2"/>
      <c r="K891" s="2"/>
      <c r="L891" s="2"/>
      <c r="M891" s="2"/>
      <c r="N891" s="2"/>
      <c r="O891" s="2"/>
      <c r="P891" s="2"/>
      <c r="Q891" s="2"/>
      <c r="R891" s="2"/>
      <c r="S891" s="2"/>
      <c r="T891" s="2"/>
      <c r="U891" s="2"/>
    </row>
    <row r="892">
      <c r="A892" s="2"/>
      <c r="B892" s="2"/>
      <c r="C892" s="2"/>
      <c r="D892" s="2"/>
      <c r="E892" s="2"/>
      <c r="F892" s="2"/>
      <c r="G892" s="2"/>
      <c r="H892" s="2"/>
      <c r="I892" s="2"/>
      <c r="J892" s="2"/>
      <c r="K892" s="2"/>
      <c r="L892" s="2"/>
      <c r="M892" s="2"/>
      <c r="N892" s="2"/>
      <c r="O892" s="2"/>
      <c r="P892" s="2"/>
      <c r="Q892" s="2"/>
      <c r="R892" s="2"/>
      <c r="S892" s="2"/>
      <c r="T892" s="2"/>
      <c r="U892" s="2"/>
    </row>
    <row r="893">
      <c r="A893" s="2"/>
      <c r="B893" s="2"/>
      <c r="C893" s="2"/>
      <c r="D893" s="2"/>
      <c r="E893" s="2"/>
      <c r="F893" s="2"/>
      <c r="G893" s="2"/>
      <c r="H893" s="2"/>
      <c r="I893" s="2"/>
      <c r="J893" s="2"/>
      <c r="K893" s="2"/>
      <c r="L893" s="2"/>
      <c r="M893" s="2"/>
      <c r="N893" s="2"/>
      <c r="O893" s="2"/>
      <c r="P893" s="2"/>
      <c r="Q893" s="2"/>
      <c r="R893" s="2"/>
      <c r="S893" s="2"/>
      <c r="T893" s="2"/>
      <c r="U893" s="2"/>
    </row>
    <row r="894">
      <c r="A894" s="2"/>
      <c r="B894" s="2"/>
      <c r="C894" s="2"/>
      <c r="D894" s="2"/>
      <c r="E894" s="2"/>
      <c r="F894" s="2"/>
      <c r="G894" s="2"/>
      <c r="H894" s="2"/>
      <c r="I894" s="2"/>
      <c r="J894" s="2"/>
      <c r="K894" s="2"/>
      <c r="L894" s="2"/>
      <c r="M894" s="2"/>
      <c r="N894" s="2"/>
      <c r="O894" s="2"/>
      <c r="P894" s="2"/>
      <c r="Q894" s="2"/>
      <c r="R894" s="2"/>
      <c r="S894" s="2"/>
      <c r="T894" s="2"/>
      <c r="U894" s="2"/>
    </row>
    <row r="895">
      <c r="A895" s="2"/>
      <c r="B895" s="2"/>
      <c r="C895" s="2"/>
      <c r="D895" s="2"/>
      <c r="E895" s="2"/>
      <c r="F895" s="2"/>
      <c r="G895" s="2"/>
      <c r="H895" s="2"/>
      <c r="I895" s="2"/>
      <c r="J895" s="2"/>
      <c r="K895" s="2"/>
      <c r="L895" s="2"/>
      <c r="M895" s="2"/>
      <c r="N895" s="2"/>
      <c r="O895" s="2"/>
      <c r="P895" s="2"/>
      <c r="Q895" s="2"/>
      <c r="R895" s="2"/>
      <c r="S895" s="2"/>
      <c r="T895" s="2"/>
      <c r="U895" s="2"/>
    </row>
    <row r="896">
      <c r="A896" s="2"/>
      <c r="B896" s="2"/>
      <c r="C896" s="2"/>
      <c r="D896" s="2"/>
      <c r="E896" s="2"/>
      <c r="F896" s="2"/>
      <c r="G896" s="2"/>
      <c r="H896" s="2"/>
      <c r="I896" s="2"/>
      <c r="J896" s="2"/>
      <c r="K896" s="2"/>
      <c r="L896" s="2"/>
      <c r="M896" s="2"/>
      <c r="N896" s="2"/>
      <c r="O896" s="2"/>
      <c r="P896" s="2"/>
      <c r="Q896" s="2"/>
      <c r="R896" s="2"/>
      <c r="S896" s="2"/>
      <c r="T896" s="2"/>
      <c r="U896" s="2"/>
    </row>
    <row r="897">
      <c r="A897" s="2"/>
      <c r="B897" s="2"/>
      <c r="C897" s="2"/>
      <c r="D897" s="2"/>
      <c r="E897" s="2"/>
      <c r="F897" s="2"/>
      <c r="G897" s="2"/>
      <c r="H897" s="2"/>
      <c r="I897" s="2"/>
      <c r="J897" s="2"/>
      <c r="K897" s="2"/>
      <c r="L897" s="2"/>
      <c r="M897" s="2"/>
      <c r="N897" s="2"/>
      <c r="O897" s="2"/>
      <c r="P897" s="2"/>
      <c r="Q897" s="2"/>
      <c r="R897" s="2"/>
      <c r="S897" s="2"/>
      <c r="T897" s="2"/>
      <c r="U897" s="2"/>
    </row>
    <row r="898">
      <c r="A898" s="2"/>
      <c r="B898" s="2"/>
      <c r="C898" s="2"/>
      <c r="D898" s="2"/>
      <c r="E898" s="2"/>
      <c r="F898" s="2"/>
      <c r="G898" s="2"/>
      <c r="H898" s="2"/>
      <c r="I898" s="2"/>
      <c r="J898" s="2"/>
      <c r="K898" s="2"/>
      <c r="L898" s="2"/>
      <c r="M898" s="2"/>
      <c r="N898" s="2"/>
      <c r="O898" s="2"/>
      <c r="P898" s="2"/>
      <c r="Q898" s="2"/>
      <c r="R898" s="2"/>
      <c r="S898" s="2"/>
      <c r="T898" s="2"/>
      <c r="U898" s="2"/>
    </row>
    <row r="899">
      <c r="A899" s="2"/>
      <c r="B899" s="2"/>
      <c r="C899" s="2"/>
      <c r="D899" s="2"/>
      <c r="E899" s="2"/>
      <c r="F899" s="2"/>
      <c r="G899" s="2"/>
      <c r="H899" s="2"/>
      <c r="I899" s="2"/>
      <c r="J899" s="2"/>
      <c r="K899" s="2"/>
      <c r="L899" s="2"/>
      <c r="M899" s="2"/>
      <c r="N899" s="2"/>
      <c r="O899" s="2"/>
      <c r="P899" s="2"/>
      <c r="Q899" s="2"/>
      <c r="R899" s="2"/>
      <c r="S899" s="2"/>
      <c r="T899" s="2"/>
      <c r="U899" s="2"/>
    </row>
    <row r="900">
      <c r="A900" s="2"/>
      <c r="B900" s="2"/>
      <c r="C900" s="2"/>
      <c r="D900" s="2"/>
      <c r="E900" s="2"/>
      <c r="F900" s="2"/>
      <c r="G900" s="2"/>
      <c r="H900" s="2"/>
      <c r="I900" s="2"/>
      <c r="J900" s="2"/>
      <c r="K900" s="2"/>
      <c r="L900" s="2"/>
      <c r="M900" s="2"/>
      <c r="N900" s="2"/>
      <c r="O900" s="2"/>
      <c r="P900" s="2"/>
      <c r="Q900" s="2"/>
      <c r="R900" s="2"/>
      <c r="S900" s="2"/>
      <c r="T900" s="2"/>
      <c r="U900" s="2"/>
    </row>
    <row r="901">
      <c r="A901" s="2"/>
      <c r="B901" s="2"/>
      <c r="C901" s="2"/>
      <c r="D901" s="2"/>
      <c r="E901" s="2"/>
      <c r="F901" s="2"/>
      <c r="G901" s="2"/>
      <c r="H901" s="2"/>
      <c r="I901" s="2"/>
      <c r="J901" s="2"/>
      <c r="K901" s="2"/>
      <c r="L901" s="2"/>
      <c r="M901" s="2"/>
      <c r="N901" s="2"/>
      <c r="O901" s="2"/>
      <c r="P901" s="2"/>
      <c r="Q901" s="2"/>
      <c r="R901" s="2"/>
      <c r="S901" s="2"/>
      <c r="T901" s="2"/>
      <c r="U901" s="2"/>
    </row>
    <row r="902">
      <c r="A902" s="2"/>
      <c r="B902" s="2"/>
      <c r="C902" s="2"/>
      <c r="D902" s="2"/>
      <c r="E902" s="2"/>
      <c r="F902" s="2"/>
      <c r="G902" s="2"/>
      <c r="H902" s="2"/>
      <c r="I902" s="2"/>
      <c r="J902" s="2"/>
      <c r="K902" s="2"/>
      <c r="L902" s="2"/>
      <c r="M902" s="2"/>
      <c r="N902" s="2"/>
      <c r="O902" s="2"/>
      <c r="P902" s="2"/>
      <c r="Q902" s="2"/>
      <c r="R902" s="2"/>
      <c r="S902" s="2"/>
      <c r="T902" s="2"/>
      <c r="U902" s="2"/>
    </row>
    <row r="903">
      <c r="A903" s="2"/>
      <c r="B903" s="2"/>
      <c r="C903" s="2"/>
      <c r="D903" s="2"/>
      <c r="E903" s="2"/>
      <c r="F903" s="2"/>
      <c r="G903" s="2"/>
      <c r="H903" s="2"/>
      <c r="I903" s="2"/>
      <c r="J903" s="2"/>
      <c r="K903" s="2"/>
      <c r="L903" s="2"/>
      <c r="M903" s="2"/>
      <c r="N903" s="2"/>
      <c r="O903" s="2"/>
      <c r="P903" s="2"/>
      <c r="Q903" s="2"/>
      <c r="R903" s="2"/>
      <c r="S903" s="2"/>
      <c r="T903" s="2"/>
      <c r="U903" s="2"/>
    </row>
    <row r="904">
      <c r="A904" s="2"/>
      <c r="B904" s="2"/>
      <c r="C904" s="2"/>
      <c r="D904" s="2"/>
      <c r="E904" s="2"/>
      <c r="F904" s="2"/>
      <c r="G904" s="2"/>
      <c r="H904" s="2"/>
      <c r="I904" s="2"/>
      <c r="J904" s="2"/>
      <c r="K904" s="2"/>
      <c r="L904" s="2"/>
      <c r="M904" s="2"/>
      <c r="N904" s="2"/>
      <c r="O904" s="2"/>
      <c r="P904" s="2"/>
      <c r="Q904" s="2"/>
      <c r="R904" s="2"/>
      <c r="S904" s="2"/>
      <c r="T904" s="2"/>
      <c r="U904" s="2"/>
    </row>
    <row r="905">
      <c r="A905" s="2"/>
      <c r="B905" s="2"/>
      <c r="C905" s="2"/>
      <c r="D905" s="2"/>
      <c r="E905" s="2"/>
      <c r="F905" s="2"/>
      <c r="G905" s="2"/>
      <c r="H905" s="2"/>
      <c r="I905" s="2"/>
      <c r="J905" s="2"/>
      <c r="K905" s="2"/>
      <c r="L905" s="2"/>
      <c r="M905" s="2"/>
      <c r="N905" s="2"/>
      <c r="O905" s="2"/>
      <c r="P905" s="2"/>
      <c r="Q905" s="2"/>
      <c r="R905" s="2"/>
      <c r="S905" s="2"/>
      <c r="T905" s="2"/>
      <c r="U905" s="2"/>
    </row>
    <row r="906">
      <c r="A906" s="2"/>
      <c r="B906" s="2"/>
      <c r="C906" s="2"/>
      <c r="D906" s="2"/>
      <c r="E906" s="2"/>
      <c r="F906" s="2"/>
      <c r="G906" s="2"/>
      <c r="H906" s="2"/>
      <c r="I906" s="2"/>
      <c r="J906" s="2"/>
      <c r="K906" s="2"/>
      <c r="L906" s="2"/>
      <c r="M906" s="2"/>
      <c r="N906" s="2"/>
      <c r="O906" s="2"/>
      <c r="P906" s="2"/>
      <c r="Q906" s="2"/>
      <c r="R906" s="2"/>
      <c r="S906" s="2"/>
      <c r="T906" s="2"/>
      <c r="U906" s="2"/>
    </row>
    <row r="907">
      <c r="A907" s="2"/>
      <c r="B907" s="2"/>
      <c r="C907" s="2"/>
      <c r="D907" s="2"/>
      <c r="E907" s="2"/>
      <c r="F907" s="2"/>
      <c r="G907" s="2"/>
      <c r="H907" s="2"/>
      <c r="I907" s="2"/>
      <c r="J907" s="2"/>
      <c r="K907" s="2"/>
      <c r="L907" s="2"/>
      <c r="M907" s="2"/>
      <c r="N907" s="2"/>
      <c r="O907" s="2"/>
      <c r="P907" s="2"/>
      <c r="Q907" s="2"/>
      <c r="R907" s="2"/>
      <c r="S907" s="2"/>
      <c r="T907" s="2"/>
      <c r="U907" s="2"/>
    </row>
    <row r="908">
      <c r="A908" s="2"/>
      <c r="B908" s="2"/>
      <c r="C908" s="2"/>
      <c r="D908" s="2"/>
      <c r="E908" s="2"/>
      <c r="F908" s="2"/>
      <c r="G908" s="2"/>
      <c r="H908" s="2"/>
      <c r="I908" s="2"/>
      <c r="J908" s="2"/>
      <c r="K908" s="2"/>
      <c r="L908" s="2"/>
      <c r="M908" s="2"/>
      <c r="N908" s="2"/>
      <c r="O908" s="2"/>
      <c r="P908" s="2"/>
      <c r="Q908" s="2"/>
      <c r="R908" s="2"/>
      <c r="S908" s="2"/>
      <c r="T908" s="2"/>
      <c r="U908" s="2"/>
    </row>
    <row r="909">
      <c r="A909" s="2"/>
      <c r="B909" s="2"/>
      <c r="C909" s="2"/>
      <c r="D909" s="2"/>
      <c r="E909" s="2"/>
      <c r="F909" s="2"/>
      <c r="G909" s="2"/>
      <c r="H909" s="2"/>
      <c r="I909" s="2"/>
      <c r="J909" s="2"/>
      <c r="K909" s="2"/>
      <c r="L909" s="2"/>
      <c r="M909" s="2"/>
      <c r="N909" s="2"/>
      <c r="O909" s="2"/>
      <c r="P909" s="2"/>
      <c r="Q909" s="2"/>
      <c r="R909" s="2"/>
      <c r="S909" s="2"/>
      <c r="T909" s="2"/>
      <c r="U909" s="2"/>
    </row>
    <row r="910">
      <c r="A910" s="2"/>
      <c r="B910" s="2"/>
      <c r="C910" s="2"/>
      <c r="D910" s="2"/>
      <c r="E910" s="2"/>
      <c r="F910" s="2"/>
      <c r="G910" s="2"/>
      <c r="H910" s="2"/>
      <c r="I910" s="2"/>
      <c r="J910" s="2"/>
      <c r="K910" s="2"/>
      <c r="L910" s="2"/>
      <c r="M910" s="2"/>
      <c r="N910" s="2"/>
      <c r="O910" s="2"/>
      <c r="P910" s="2"/>
      <c r="Q910" s="2"/>
      <c r="R910" s="2"/>
      <c r="S910" s="2"/>
      <c r="T910" s="2"/>
      <c r="U910" s="2"/>
    </row>
    <row r="911">
      <c r="A911" s="2"/>
      <c r="B911" s="2"/>
      <c r="C911" s="2"/>
      <c r="D911" s="2"/>
      <c r="E911" s="2"/>
      <c r="F911" s="2"/>
      <c r="G911" s="2"/>
      <c r="H911" s="2"/>
      <c r="I911" s="2"/>
      <c r="J911" s="2"/>
      <c r="K911" s="2"/>
      <c r="L911" s="2"/>
      <c r="M911" s="2"/>
      <c r="N911" s="2"/>
      <c r="O911" s="2"/>
      <c r="P911" s="2"/>
      <c r="Q911" s="2"/>
      <c r="R911" s="2"/>
      <c r="S911" s="2"/>
      <c r="T911" s="2"/>
      <c r="U911" s="2"/>
    </row>
    <row r="912">
      <c r="A912" s="2"/>
      <c r="B912" s="2"/>
      <c r="C912" s="2"/>
      <c r="D912" s="2"/>
      <c r="E912" s="2"/>
      <c r="F912" s="2"/>
      <c r="G912" s="2"/>
      <c r="H912" s="2"/>
      <c r="I912" s="2"/>
      <c r="J912" s="2"/>
      <c r="K912" s="2"/>
      <c r="L912" s="2"/>
      <c r="M912" s="2"/>
      <c r="N912" s="2"/>
      <c r="O912" s="2"/>
      <c r="P912" s="2"/>
      <c r="Q912" s="2"/>
      <c r="R912" s="2"/>
      <c r="S912" s="2"/>
      <c r="T912" s="2"/>
      <c r="U912" s="2"/>
    </row>
    <row r="913">
      <c r="A913" s="2"/>
      <c r="B913" s="2"/>
      <c r="C913" s="2"/>
      <c r="D913" s="2"/>
      <c r="E913" s="2"/>
      <c r="F913" s="2"/>
      <c r="G913" s="2"/>
      <c r="H913" s="2"/>
      <c r="I913" s="2"/>
      <c r="J913" s="2"/>
      <c r="K913" s="2"/>
      <c r="L913" s="2"/>
      <c r="M913" s="2"/>
      <c r="N913" s="2"/>
      <c r="O913" s="2"/>
      <c r="P913" s="2"/>
      <c r="Q913" s="2"/>
      <c r="R913" s="2"/>
      <c r="S913" s="2"/>
      <c r="T913" s="2"/>
      <c r="U913" s="2"/>
    </row>
    <row r="914">
      <c r="A914" s="2"/>
      <c r="B914" s="2"/>
      <c r="C914" s="2"/>
      <c r="D914" s="2"/>
      <c r="E914" s="2"/>
      <c r="F914" s="2"/>
      <c r="G914" s="2"/>
      <c r="H914" s="2"/>
      <c r="I914" s="2"/>
      <c r="J914" s="2"/>
      <c r="K914" s="2"/>
      <c r="L914" s="2"/>
      <c r="M914" s="2"/>
      <c r="N914" s="2"/>
      <c r="O914" s="2"/>
      <c r="P914" s="2"/>
      <c r="Q914" s="2"/>
      <c r="R914" s="2"/>
      <c r="S914" s="2"/>
      <c r="T914" s="2"/>
      <c r="U914" s="2"/>
    </row>
    <row r="915">
      <c r="A915" s="2"/>
      <c r="B915" s="2"/>
      <c r="C915" s="2"/>
      <c r="D915" s="2"/>
      <c r="E915" s="2"/>
      <c r="F915" s="2"/>
      <c r="G915" s="2"/>
      <c r="H915" s="2"/>
      <c r="I915" s="2"/>
      <c r="J915" s="2"/>
      <c r="K915" s="2"/>
      <c r="L915" s="2"/>
      <c r="M915" s="2"/>
      <c r="N915" s="2"/>
      <c r="O915" s="2"/>
      <c r="P915" s="2"/>
      <c r="Q915" s="2"/>
      <c r="R915" s="2"/>
      <c r="S915" s="2"/>
      <c r="T915" s="2"/>
      <c r="U915" s="2"/>
    </row>
    <row r="916">
      <c r="A916" s="2"/>
      <c r="B916" s="2"/>
      <c r="C916" s="2"/>
      <c r="D916" s="2"/>
      <c r="E916" s="2"/>
      <c r="F916" s="2"/>
      <c r="G916" s="2"/>
      <c r="H916" s="2"/>
      <c r="I916" s="2"/>
      <c r="J916" s="2"/>
      <c r="K916" s="2"/>
      <c r="L916" s="2"/>
      <c r="M916" s="2"/>
      <c r="N916" s="2"/>
      <c r="O916" s="2"/>
      <c r="P916" s="2"/>
      <c r="Q916" s="2"/>
      <c r="R916" s="2"/>
      <c r="S916" s="2"/>
      <c r="T916" s="2"/>
      <c r="U916" s="2"/>
    </row>
    <row r="917">
      <c r="A917" s="2"/>
      <c r="B917" s="2"/>
      <c r="C917" s="2"/>
      <c r="D917" s="2"/>
      <c r="E917" s="2"/>
      <c r="F917" s="2"/>
      <c r="G917" s="2"/>
      <c r="H917" s="2"/>
      <c r="I917" s="2"/>
      <c r="J917" s="2"/>
      <c r="K917" s="2"/>
      <c r="L917" s="2"/>
      <c r="M917" s="2"/>
      <c r="N917" s="2"/>
      <c r="O917" s="2"/>
      <c r="P917" s="2"/>
      <c r="Q917" s="2"/>
      <c r="R917" s="2"/>
      <c r="S917" s="2"/>
      <c r="T917" s="2"/>
      <c r="U917" s="2"/>
    </row>
    <row r="918">
      <c r="A918" s="2"/>
      <c r="B918" s="2"/>
      <c r="C918" s="2"/>
      <c r="D918" s="2"/>
      <c r="E918" s="2"/>
      <c r="F918" s="2"/>
      <c r="G918" s="2"/>
      <c r="H918" s="2"/>
      <c r="I918" s="2"/>
      <c r="J918" s="2"/>
      <c r="K918" s="2"/>
      <c r="L918" s="2"/>
      <c r="M918" s="2"/>
      <c r="N918" s="2"/>
      <c r="O918" s="2"/>
      <c r="P918" s="2"/>
      <c r="Q918" s="2"/>
      <c r="R918" s="2"/>
      <c r="S918" s="2"/>
      <c r="T918" s="2"/>
      <c r="U918" s="2"/>
    </row>
    <row r="919">
      <c r="A919" s="2"/>
      <c r="B919" s="2"/>
      <c r="C919" s="2"/>
      <c r="D919" s="2"/>
      <c r="E919" s="2"/>
      <c r="F919" s="2"/>
      <c r="G919" s="2"/>
      <c r="H919" s="2"/>
      <c r="I919" s="2"/>
      <c r="J919" s="2"/>
      <c r="K919" s="2"/>
      <c r="L919" s="2"/>
      <c r="M919" s="2"/>
      <c r="N919" s="2"/>
      <c r="O919" s="2"/>
      <c r="P919" s="2"/>
      <c r="Q919" s="2"/>
      <c r="R919" s="2"/>
      <c r="S919" s="2"/>
      <c r="T919" s="2"/>
      <c r="U919" s="2"/>
    </row>
    <row r="920">
      <c r="A920" s="2"/>
      <c r="B920" s="2"/>
      <c r="C920" s="2"/>
      <c r="D920" s="2"/>
      <c r="E920" s="2"/>
      <c r="F920" s="2"/>
      <c r="G920" s="2"/>
      <c r="H920" s="2"/>
      <c r="I920" s="2"/>
      <c r="J920" s="2"/>
      <c r="K920" s="2"/>
      <c r="L920" s="2"/>
      <c r="M920" s="2"/>
      <c r="N920" s="2"/>
      <c r="O920" s="2"/>
      <c r="P920" s="2"/>
      <c r="Q920" s="2"/>
      <c r="R920" s="2"/>
      <c r="S920" s="2"/>
      <c r="T920" s="2"/>
      <c r="U920" s="2"/>
    </row>
    <row r="921">
      <c r="A921" s="2"/>
      <c r="B921" s="2"/>
      <c r="C921" s="2"/>
      <c r="D921" s="2"/>
      <c r="E921" s="2"/>
      <c r="F921" s="2"/>
      <c r="G921" s="2"/>
      <c r="H921" s="2"/>
      <c r="I921" s="2"/>
      <c r="J921" s="2"/>
      <c r="K921" s="2"/>
      <c r="L921" s="2"/>
      <c r="M921" s="2"/>
      <c r="N921" s="2"/>
      <c r="O921" s="2"/>
      <c r="P921" s="2"/>
      <c r="Q921" s="2"/>
      <c r="R921" s="2"/>
      <c r="S921" s="2"/>
      <c r="T921" s="2"/>
      <c r="U921" s="2"/>
    </row>
    <row r="922">
      <c r="A922" s="2"/>
      <c r="B922" s="2"/>
      <c r="C922" s="2"/>
      <c r="D922" s="2"/>
      <c r="E922" s="2"/>
      <c r="F922" s="2"/>
      <c r="G922" s="2"/>
      <c r="H922" s="2"/>
      <c r="I922" s="2"/>
      <c r="J922" s="2"/>
      <c r="K922" s="2"/>
      <c r="L922" s="2"/>
      <c r="M922" s="2"/>
      <c r="N922" s="2"/>
      <c r="O922" s="2"/>
      <c r="P922" s="2"/>
      <c r="Q922" s="2"/>
      <c r="R922" s="2"/>
      <c r="S922" s="2"/>
      <c r="T922" s="2"/>
      <c r="U922" s="2"/>
    </row>
    <row r="923">
      <c r="A923" s="2"/>
      <c r="B923" s="2"/>
      <c r="C923" s="2"/>
      <c r="D923" s="2"/>
      <c r="E923" s="2"/>
      <c r="F923" s="2"/>
      <c r="G923" s="2"/>
      <c r="H923" s="2"/>
      <c r="I923" s="2"/>
      <c r="J923" s="2"/>
      <c r="K923" s="2"/>
      <c r="L923" s="2"/>
      <c r="M923" s="2"/>
      <c r="N923" s="2"/>
      <c r="O923" s="2"/>
      <c r="P923" s="2"/>
      <c r="Q923" s="2"/>
      <c r="R923" s="2"/>
      <c r="S923" s="2"/>
      <c r="T923" s="2"/>
      <c r="U923" s="2"/>
    </row>
    <row r="924">
      <c r="A924" s="2"/>
      <c r="B924" s="2"/>
      <c r="C924" s="2"/>
      <c r="D924" s="2"/>
      <c r="E924" s="2"/>
      <c r="F924" s="2"/>
      <c r="G924" s="2"/>
      <c r="H924" s="2"/>
      <c r="I924" s="2"/>
      <c r="J924" s="2"/>
      <c r="K924" s="2"/>
      <c r="L924" s="2"/>
      <c r="M924" s="2"/>
      <c r="N924" s="2"/>
      <c r="O924" s="2"/>
      <c r="P924" s="2"/>
      <c r="Q924" s="2"/>
      <c r="R924" s="2"/>
      <c r="S924" s="2"/>
      <c r="T924" s="2"/>
      <c r="U924" s="2"/>
    </row>
    <row r="925">
      <c r="A925" s="2"/>
      <c r="B925" s="2"/>
      <c r="C925" s="2"/>
      <c r="D925" s="2"/>
      <c r="E925" s="2"/>
      <c r="F925" s="2"/>
      <c r="G925" s="2"/>
      <c r="H925" s="2"/>
      <c r="I925" s="2"/>
      <c r="J925" s="2"/>
      <c r="K925" s="2"/>
      <c r="L925" s="2"/>
      <c r="M925" s="2"/>
      <c r="N925" s="2"/>
      <c r="O925" s="2"/>
      <c r="P925" s="2"/>
      <c r="Q925" s="2"/>
      <c r="R925" s="2"/>
      <c r="S925" s="2"/>
      <c r="T925" s="2"/>
      <c r="U925" s="2"/>
    </row>
    <row r="926">
      <c r="A926" s="2"/>
      <c r="B926" s="2"/>
      <c r="C926" s="2"/>
      <c r="D926" s="2"/>
      <c r="E926" s="2"/>
      <c r="F926" s="2"/>
      <c r="G926" s="2"/>
      <c r="H926" s="2"/>
      <c r="I926" s="2"/>
      <c r="J926" s="2"/>
      <c r="K926" s="2"/>
      <c r="L926" s="2"/>
      <c r="M926" s="2"/>
      <c r="N926" s="2"/>
      <c r="O926" s="2"/>
      <c r="P926" s="2"/>
      <c r="Q926" s="2"/>
      <c r="R926" s="2"/>
      <c r="S926" s="2"/>
      <c r="T926" s="2"/>
      <c r="U926" s="2"/>
    </row>
    <row r="927">
      <c r="A927" s="2"/>
      <c r="B927" s="2"/>
      <c r="C927" s="2"/>
      <c r="D927" s="2"/>
      <c r="E927" s="2"/>
      <c r="F927" s="2"/>
      <c r="G927" s="2"/>
      <c r="H927" s="2"/>
      <c r="I927" s="2"/>
      <c r="J927" s="2"/>
      <c r="K927" s="2"/>
      <c r="L927" s="2"/>
      <c r="M927" s="2"/>
      <c r="N927" s="2"/>
      <c r="O927" s="2"/>
      <c r="P927" s="2"/>
      <c r="Q927" s="2"/>
      <c r="R927" s="2"/>
      <c r="S927" s="2"/>
      <c r="T927" s="2"/>
      <c r="U927" s="2"/>
    </row>
    <row r="928">
      <c r="A928" s="2"/>
      <c r="B928" s="2"/>
      <c r="C928" s="2"/>
      <c r="D928" s="2"/>
      <c r="E928" s="2"/>
      <c r="F928" s="2"/>
      <c r="G928" s="2"/>
      <c r="H928" s="2"/>
      <c r="I928" s="2"/>
      <c r="J928" s="2"/>
      <c r="K928" s="2"/>
      <c r="L928" s="2"/>
      <c r="M928" s="2"/>
      <c r="N928" s="2"/>
      <c r="O928" s="2"/>
      <c r="P928" s="2"/>
      <c r="Q928" s="2"/>
      <c r="R928" s="2"/>
      <c r="S928" s="2"/>
      <c r="T928" s="2"/>
      <c r="U928" s="2"/>
    </row>
    <row r="929">
      <c r="A929" s="2"/>
      <c r="B929" s="2"/>
      <c r="C929" s="2"/>
      <c r="D929" s="2"/>
      <c r="E929" s="2"/>
      <c r="F929" s="2"/>
      <c r="G929" s="2"/>
      <c r="H929" s="2"/>
      <c r="I929" s="2"/>
      <c r="J929" s="2"/>
      <c r="K929" s="2"/>
      <c r="L929" s="2"/>
      <c r="M929" s="2"/>
      <c r="N929" s="2"/>
      <c r="O929" s="2"/>
      <c r="P929" s="2"/>
      <c r="Q929" s="2"/>
      <c r="R929" s="2"/>
      <c r="S929" s="2"/>
      <c r="T929" s="2"/>
      <c r="U929" s="2"/>
    </row>
    <row r="930">
      <c r="A930" s="2"/>
      <c r="B930" s="2"/>
      <c r="C930" s="2"/>
      <c r="D930" s="2"/>
      <c r="E930" s="2"/>
      <c r="F930" s="2"/>
      <c r="G930" s="2"/>
      <c r="H930" s="2"/>
      <c r="I930" s="2"/>
      <c r="J930" s="2"/>
      <c r="K930" s="2"/>
      <c r="L930" s="2"/>
      <c r="M930" s="2"/>
      <c r="N930" s="2"/>
      <c r="O930" s="2"/>
      <c r="P930" s="2"/>
      <c r="Q930" s="2"/>
      <c r="R930" s="2"/>
      <c r="S930" s="2"/>
      <c r="T930" s="2"/>
      <c r="U930" s="2"/>
    </row>
    <row r="931">
      <c r="A931" s="2"/>
      <c r="B931" s="2"/>
      <c r="C931" s="2"/>
      <c r="D931" s="2"/>
      <c r="E931" s="2"/>
      <c r="F931" s="2"/>
      <c r="G931" s="2"/>
      <c r="H931" s="2"/>
      <c r="I931" s="2"/>
      <c r="J931" s="2"/>
      <c r="K931" s="2"/>
      <c r="L931" s="2"/>
      <c r="M931" s="2"/>
      <c r="N931" s="2"/>
      <c r="O931" s="2"/>
      <c r="P931" s="2"/>
      <c r="Q931" s="2"/>
      <c r="R931" s="2"/>
      <c r="S931" s="2"/>
      <c r="T931" s="2"/>
      <c r="U931" s="2"/>
    </row>
    <row r="932">
      <c r="A932" s="2"/>
      <c r="B932" s="2"/>
      <c r="C932" s="2"/>
      <c r="D932" s="2"/>
      <c r="E932" s="2"/>
      <c r="F932" s="2"/>
      <c r="G932" s="2"/>
      <c r="H932" s="2"/>
      <c r="I932" s="2"/>
      <c r="J932" s="2"/>
      <c r="K932" s="2"/>
      <c r="L932" s="2"/>
      <c r="M932" s="2"/>
      <c r="N932" s="2"/>
      <c r="O932" s="2"/>
      <c r="P932" s="2"/>
      <c r="Q932" s="2"/>
      <c r="R932" s="2"/>
      <c r="S932" s="2"/>
      <c r="T932" s="2"/>
      <c r="U932" s="2"/>
    </row>
    <row r="933">
      <c r="A933" s="2"/>
      <c r="B933" s="2"/>
      <c r="C933" s="2"/>
      <c r="D933" s="2"/>
      <c r="E933" s="2"/>
      <c r="F933" s="2"/>
      <c r="G933" s="2"/>
      <c r="H933" s="2"/>
      <c r="I933" s="2"/>
      <c r="J933" s="2"/>
      <c r="K933" s="2"/>
      <c r="L933" s="2"/>
      <c r="M933" s="2"/>
      <c r="N933" s="2"/>
      <c r="O933" s="2"/>
      <c r="P933" s="2"/>
      <c r="Q933" s="2"/>
      <c r="R933" s="2"/>
      <c r="S933" s="2"/>
      <c r="T933" s="2"/>
      <c r="U933" s="2"/>
    </row>
    <row r="934">
      <c r="A934" s="2"/>
      <c r="B934" s="2"/>
      <c r="C934" s="2"/>
      <c r="D934" s="2"/>
      <c r="E934" s="2"/>
      <c r="F934" s="2"/>
      <c r="G934" s="2"/>
      <c r="H934" s="2"/>
      <c r="I934" s="2"/>
      <c r="J934" s="2"/>
      <c r="K934" s="2"/>
      <c r="L934" s="2"/>
      <c r="M934" s="2"/>
      <c r="N934" s="2"/>
      <c r="O934" s="2"/>
      <c r="P934" s="2"/>
      <c r="Q934" s="2"/>
      <c r="R934" s="2"/>
      <c r="S934" s="2"/>
      <c r="T934" s="2"/>
      <c r="U934" s="2"/>
    </row>
    <row r="935">
      <c r="A935" s="2"/>
      <c r="B935" s="2"/>
      <c r="C935" s="2"/>
      <c r="D935" s="2"/>
      <c r="E935" s="2"/>
      <c r="F935" s="2"/>
      <c r="G935" s="2"/>
      <c r="H935" s="2"/>
      <c r="I935" s="2"/>
      <c r="J935" s="2"/>
      <c r="K935" s="2"/>
      <c r="L935" s="2"/>
      <c r="M935" s="2"/>
      <c r="N935" s="2"/>
      <c r="O935" s="2"/>
      <c r="P935" s="2"/>
      <c r="Q935" s="2"/>
      <c r="R935" s="2"/>
      <c r="S935" s="2"/>
      <c r="T935" s="2"/>
      <c r="U935" s="2"/>
    </row>
    <row r="936">
      <c r="A936" s="2"/>
      <c r="B936" s="2"/>
      <c r="C936" s="2"/>
      <c r="D936" s="2"/>
      <c r="E936" s="2"/>
      <c r="F936" s="2"/>
      <c r="G936" s="2"/>
      <c r="H936" s="2"/>
      <c r="I936" s="2"/>
      <c r="J936" s="2"/>
      <c r="K936" s="2"/>
      <c r="L936" s="2"/>
      <c r="M936" s="2"/>
      <c r="N936" s="2"/>
      <c r="O936" s="2"/>
      <c r="P936" s="2"/>
      <c r="Q936" s="2"/>
      <c r="R936" s="2"/>
      <c r="S936" s="2"/>
      <c r="T936" s="2"/>
      <c r="U936" s="2"/>
    </row>
    <row r="937">
      <c r="A937" s="2"/>
      <c r="B937" s="2"/>
      <c r="C937" s="2"/>
      <c r="D937" s="2"/>
      <c r="E937" s="2"/>
      <c r="F937" s="2"/>
      <c r="G937" s="2"/>
      <c r="H937" s="2"/>
      <c r="I937" s="2"/>
      <c r="J937" s="2"/>
      <c r="K937" s="2"/>
      <c r="L937" s="2"/>
      <c r="M937" s="2"/>
      <c r="N937" s="2"/>
      <c r="O937" s="2"/>
      <c r="P937" s="2"/>
      <c r="Q937" s="2"/>
      <c r="R937" s="2"/>
      <c r="S937" s="2"/>
      <c r="T937" s="2"/>
      <c r="U937" s="2"/>
    </row>
    <row r="938">
      <c r="A938" s="2"/>
      <c r="B938" s="2"/>
      <c r="C938" s="2"/>
      <c r="D938" s="2"/>
      <c r="E938" s="2"/>
      <c r="F938" s="2"/>
      <c r="G938" s="2"/>
      <c r="H938" s="2"/>
      <c r="I938" s="2"/>
      <c r="J938" s="2"/>
      <c r="K938" s="2"/>
      <c r="L938" s="2"/>
      <c r="M938" s="2"/>
      <c r="N938" s="2"/>
      <c r="O938" s="2"/>
      <c r="P938" s="2"/>
      <c r="Q938" s="2"/>
      <c r="R938" s="2"/>
      <c r="S938" s="2"/>
      <c r="T938" s="2"/>
      <c r="U938" s="2"/>
    </row>
    <row r="939">
      <c r="A939" s="2"/>
      <c r="B939" s="2"/>
      <c r="C939" s="2"/>
      <c r="D939" s="2"/>
      <c r="E939" s="2"/>
      <c r="F939" s="2"/>
      <c r="G939" s="2"/>
      <c r="H939" s="2"/>
      <c r="I939" s="2"/>
      <c r="J939" s="2"/>
      <c r="K939" s="2"/>
      <c r="L939" s="2"/>
      <c r="M939" s="2"/>
      <c r="N939" s="2"/>
      <c r="O939" s="2"/>
      <c r="P939" s="2"/>
      <c r="Q939" s="2"/>
      <c r="R939" s="2"/>
      <c r="S939" s="2"/>
      <c r="T939" s="2"/>
      <c r="U939" s="2"/>
    </row>
    <row r="940">
      <c r="A940" s="2"/>
      <c r="B940" s="2"/>
      <c r="C940" s="2"/>
      <c r="D940" s="2"/>
      <c r="E940" s="2"/>
      <c r="F940" s="2"/>
      <c r="G940" s="2"/>
      <c r="H940" s="2"/>
      <c r="I940" s="2"/>
      <c r="J940" s="2"/>
      <c r="K940" s="2"/>
      <c r="L940" s="2"/>
      <c r="M940" s="2"/>
      <c r="N940" s="2"/>
      <c r="O940" s="2"/>
      <c r="P940" s="2"/>
      <c r="Q940" s="2"/>
      <c r="R940" s="2"/>
      <c r="S940" s="2"/>
      <c r="T940" s="2"/>
      <c r="U940" s="2"/>
    </row>
    <row r="941">
      <c r="A941" s="2"/>
      <c r="B941" s="2"/>
      <c r="C941" s="2"/>
      <c r="D941" s="2"/>
      <c r="E941" s="2"/>
      <c r="F941" s="2"/>
      <c r="G941" s="2"/>
      <c r="H941" s="2"/>
      <c r="I941" s="2"/>
      <c r="J941" s="2"/>
      <c r="K941" s="2"/>
      <c r="L941" s="2"/>
      <c r="M941" s="2"/>
      <c r="N941" s="2"/>
      <c r="O941" s="2"/>
      <c r="P941" s="2"/>
      <c r="Q941" s="2"/>
      <c r="R941" s="2"/>
      <c r="S941" s="2"/>
      <c r="T941" s="2"/>
      <c r="U941" s="2"/>
    </row>
    <row r="942">
      <c r="A942" s="2"/>
      <c r="B942" s="2"/>
      <c r="C942" s="2"/>
      <c r="D942" s="2"/>
      <c r="E942" s="2"/>
      <c r="F942" s="2"/>
      <c r="G942" s="2"/>
      <c r="H942" s="2"/>
      <c r="I942" s="2"/>
      <c r="J942" s="2"/>
      <c r="K942" s="2"/>
      <c r="L942" s="2"/>
      <c r="M942" s="2"/>
      <c r="N942" s="2"/>
      <c r="O942" s="2"/>
      <c r="P942" s="2"/>
      <c r="Q942" s="2"/>
      <c r="R942" s="2"/>
      <c r="S942" s="2"/>
      <c r="T942" s="2"/>
      <c r="U942" s="2"/>
    </row>
    <row r="943">
      <c r="A943" s="2"/>
      <c r="B943" s="2"/>
      <c r="C943" s="2"/>
      <c r="D943" s="2"/>
      <c r="E943" s="2"/>
      <c r="F943" s="2"/>
      <c r="G943" s="2"/>
      <c r="H943" s="2"/>
      <c r="I943" s="2"/>
      <c r="J943" s="2"/>
      <c r="K943" s="2"/>
      <c r="L943" s="2"/>
      <c r="M943" s="2"/>
      <c r="N943" s="2"/>
      <c r="O943" s="2"/>
      <c r="P943" s="2"/>
      <c r="Q943" s="2"/>
      <c r="R943" s="2"/>
      <c r="S943" s="2"/>
      <c r="T943" s="2"/>
      <c r="U943" s="2"/>
    </row>
    <row r="944">
      <c r="A944" s="2"/>
      <c r="B944" s="2"/>
      <c r="C944" s="2"/>
      <c r="D944" s="2"/>
      <c r="E944" s="2"/>
      <c r="F944" s="2"/>
      <c r="G944" s="2"/>
      <c r="H944" s="2"/>
      <c r="I944" s="2"/>
      <c r="J944" s="2"/>
      <c r="K944" s="2"/>
      <c r="L944" s="2"/>
      <c r="M944" s="2"/>
      <c r="N944" s="2"/>
      <c r="O944" s="2"/>
      <c r="P944" s="2"/>
      <c r="Q944" s="2"/>
      <c r="R944" s="2"/>
      <c r="S944" s="2"/>
      <c r="T944" s="2"/>
      <c r="U944" s="2"/>
    </row>
    <row r="945">
      <c r="A945" s="2"/>
      <c r="B945" s="2"/>
      <c r="C945" s="2"/>
      <c r="D945" s="2"/>
      <c r="E945" s="2"/>
      <c r="F945" s="2"/>
      <c r="G945" s="2"/>
      <c r="H945" s="2"/>
      <c r="I945" s="2"/>
      <c r="J945" s="2"/>
      <c r="K945" s="2"/>
      <c r="L945" s="2"/>
      <c r="M945" s="2"/>
      <c r="N945" s="2"/>
      <c r="O945" s="2"/>
      <c r="P945" s="2"/>
      <c r="Q945" s="2"/>
      <c r="R945" s="2"/>
      <c r="S945" s="2"/>
      <c r="T945" s="2"/>
      <c r="U945" s="2"/>
    </row>
    <row r="946">
      <c r="A946" s="2"/>
      <c r="B946" s="2"/>
      <c r="C946" s="2"/>
      <c r="D946" s="2"/>
      <c r="E946" s="2"/>
      <c r="F946" s="2"/>
      <c r="G946" s="2"/>
      <c r="H946" s="2"/>
      <c r="I946" s="2"/>
      <c r="J946" s="2"/>
      <c r="K946" s="2"/>
      <c r="L946" s="2"/>
      <c r="M946" s="2"/>
      <c r="N946" s="2"/>
      <c r="O946" s="2"/>
      <c r="P946" s="2"/>
      <c r="Q946" s="2"/>
      <c r="R946" s="2"/>
      <c r="S946" s="2"/>
      <c r="T946" s="2"/>
      <c r="U946" s="2"/>
    </row>
    <row r="947">
      <c r="A947" s="2"/>
      <c r="B947" s="2"/>
      <c r="C947" s="2"/>
      <c r="D947" s="2"/>
      <c r="E947" s="2"/>
      <c r="F947" s="2"/>
      <c r="G947" s="2"/>
      <c r="H947" s="2"/>
      <c r="I947" s="2"/>
      <c r="J947" s="2"/>
      <c r="K947" s="2"/>
      <c r="L947" s="2"/>
      <c r="M947" s="2"/>
      <c r="N947" s="2"/>
      <c r="O947" s="2"/>
      <c r="P947" s="2"/>
      <c r="Q947" s="2"/>
      <c r="R947" s="2"/>
      <c r="S947" s="2"/>
      <c r="T947" s="2"/>
      <c r="U947" s="2"/>
    </row>
    <row r="948">
      <c r="A948" s="2"/>
      <c r="B948" s="2"/>
      <c r="C948" s="2"/>
      <c r="D948" s="2"/>
      <c r="E948" s="2"/>
      <c r="F948" s="2"/>
      <c r="G948" s="2"/>
      <c r="H948" s="2"/>
      <c r="I948" s="2"/>
      <c r="J948" s="2"/>
      <c r="K948" s="2"/>
      <c r="L948" s="2"/>
      <c r="M948" s="2"/>
      <c r="N948" s="2"/>
      <c r="O948" s="2"/>
      <c r="P948" s="2"/>
      <c r="Q948" s="2"/>
      <c r="R948" s="2"/>
      <c r="S948" s="2"/>
      <c r="T948" s="2"/>
      <c r="U948" s="2"/>
    </row>
    <row r="949">
      <c r="A949" s="2"/>
      <c r="B949" s="2"/>
      <c r="C949" s="2"/>
      <c r="D949" s="2"/>
      <c r="E949" s="2"/>
      <c r="F949" s="2"/>
      <c r="G949" s="2"/>
      <c r="H949" s="2"/>
      <c r="I949" s="2"/>
      <c r="J949" s="2"/>
      <c r="K949" s="2"/>
      <c r="L949" s="2"/>
      <c r="M949" s="2"/>
      <c r="N949" s="2"/>
      <c r="O949" s="2"/>
      <c r="P949" s="2"/>
      <c r="Q949" s="2"/>
      <c r="R949" s="2"/>
      <c r="S949" s="2"/>
      <c r="T949" s="2"/>
      <c r="U949" s="2"/>
    </row>
    <row r="950">
      <c r="A950" s="2"/>
      <c r="B950" s="2"/>
      <c r="C950" s="2"/>
      <c r="D950" s="2"/>
      <c r="E950" s="2"/>
      <c r="F950" s="2"/>
      <c r="G950" s="2"/>
      <c r="H950" s="2"/>
      <c r="I950" s="2"/>
      <c r="J950" s="2"/>
      <c r="K950" s="2"/>
      <c r="L950" s="2"/>
      <c r="M950" s="2"/>
      <c r="N950" s="2"/>
      <c r="O950" s="2"/>
      <c r="P950" s="2"/>
      <c r="Q950" s="2"/>
      <c r="R950" s="2"/>
      <c r="S950" s="2"/>
      <c r="T950" s="2"/>
      <c r="U950" s="2"/>
    </row>
    <row r="951">
      <c r="A951" s="2"/>
      <c r="B951" s="2"/>
      <c r="C951" s="2"/>
      <c r="D951" s="2"/>
      <c r="E951" s="2"/>
      <c r="F951" s="2"/>
      <c r="G951" s="2"/>
      <c r="H951" s="2"/>
      <c r="I951" s="2"/>
      <c r="J951" s="2"/>
      <c r="K951" s="2"/>
      <c r="L951" s="2"/>
      <c r="M951" s="2"/>
      <c r="N951" s="2"/>
      <c r="O951" s="2"/>
      <c r="P951" s="2"/>
      <c r="Q951" s="2"/>
      <c r="R951" s="2"/>
      <c r="S951" s="2"/>
      <c r="T951" s="2"/>
      <c r="U951" s="2"/>
    </row>
    <row r="952">
      <c r="A952" s="2"/>
      <c r="B952" s="2"/>
      <c r="C952" s="2"/>
      <c r="D952" s="2"/>
      <c r="E952" s="2"/>
      <c r="F952" s="2"/>
      <c r="G952" s="2"/>
      <c r="H952" s="2"/>
      <c r="I952" s="2"/>
      <c r="J952" s="2"/>
      <c r="K952" s="2"/>
      <c r="L952" s="2"/>
      <c r="M952" s="2"/>
      <c r="N952" s="2"/>
      <c r="O952" s="2"/>
      <c r="P952" s="2"/>
      <c r="Q952" s="2"/>
      <c r="R952" s="2"/>
      <c r="S952" s="2"/>
      <c r="T952" s="2"/>
      <c r="U952" s="2"/>
    </row>
    <row r="953">
      <c r="A953" s="2"/>
      <c r="B953" s="2"/>
      <c r="C953" s="2"/>
      <c r="D953" s="2"/>
      <c r="E953" s="2"/>
      <c r="F953" s="2"/>
      <c r="G953" s="2"/>
      <c r="H953" s="2"/>
      <c r="I953" s="2"/>
      <c r="J953" s="2"/>
      <c r="K953" s="2"/>
      <c r="L953" s="2"/>
      <c r="M953" s="2"/>
      <c r="N953" s="2"/>
      <c r="O953" s="2"/>
      <c r="P953" s="2"/>
      <c r="Q953" s="2"/>
      <c r="R953" s="2"/>
      <c r="S953" s="2"/>
      <c r="T953" s="2"/>
      <c r="U953" s="2"/>
    </row>
    <row r="954">
      <c r="A954" s="2"/>
      <c r="B954" s="2"/>
      <c r="C954" s="2"/>
      <c r="D954" s="2"/>
      <c r="E954" s="2"/>
      <c r="F954" s="2"/>
      <c r="G954" s="2"/>
      <c r="H954" s="2"/>
      <c r="I954" s="2"/>
      <c r="J954" s="2"/>
      <c r="K954" s="2"/>
      <c r="L954" s="2"/>
      <c r="M954" s="2"/>
      <c r="N954" s="2"/>
      <c r="O954" s="2"/>
      <c r="P954" s="2"/>
      <c r="Q954" s="2"/>
      <c r="R954" s="2"/>
      <c r="S954" s="2"/>
      <c r="T954" s="2"/>
      <c r="U954" s="2"/>
    </row>
    <row r="955">
      <c r="A955" s="2"/>
      <c r="B955" s="2"/>
      <c r="C955" s="2"/>
      <c r="D955" s="2"/>
      <c r="E955" s="2"/>
      <c r="F955" s="2"/>
      <c r="G955" s="2"/>
      <c r="H955" s="2"/>
      <c r="I955" s="2"/>
      <c r="J955" s="2"/>
      <c r="K955" s="2"/>
      <c r="L955" s="2"/>
      <c r="M955" s="2"/>
      <c r="N955" s="2"/>
      <c r="O955" s="2"/>
      <c r="P955" s="2"/>
      <c r="Q955" s="2"/>
      <c r="R955" s="2"/>
      <c r="S955" s="2"/>
      <c r="T955" s="2"/>
      <c r="U955" s="2"/>
    </row>
    <row r="956">
      <c r="A956" s="2"/>
      <c r="B956" s="2"/>
      <c r="C956" s="2"/>
      <c r="D956" s="2"/>
      <c r="E956" s="2"/>
      <c r="F956" s="2"/>
      <c r="G956" s="2"/>
      <c r="H956" s="2"/>
      <c r="I956" s="2"/>
      <c r="J956" s="2"/>
      <c r="K956" s="2"/>
      <c r="L956" s="2"/>
      <c r="M956" s="2"/>
      <c r="N956" s="2"/>
      <c r="O956" s="2"/>
      <c r="P956" s="2"/>
      <c r="Q956" s="2"/>
      <c r="R956" s="2"/>
      <c r="S956" s="2"/>
      <c r="T956" s="2"/>
      <c r="U956" s="2"/>
    </row>
    <row r="957">
      <c r="A957" s="2"/>
      <c r="B957" s="2"/>
      <c r="C957" s="2"/>
      <c r="D957" s="2"/>
      <c r="E957" s="2"/>
      <c r="F957" s="2"/>
      <c r="G957" s="2"/>
      <c r="H957" s="2"/>
      <c r="I957" s="2"/>
      <c r="J957" s="2"/>
      <c r="K957" s="2"/>
      <c r="L957" s="2"/>
      <c r="M957" s="2"/>
      <c r="N957" s="2"/>
      <c r="O957" s="2"/>
      <c r="P957" s="2"/>
      <c r="Q957" s="2"/>
      <c r="R957" s="2"/>
      <c r="S957" s="2"/>
      <c r="T957" s="2"/>
      <c r="U957" s="2"/>
    </row>
    <row r="958">
      <c r="A958" s="2"/>
      <c r="B958" s="2"/>
      <c r="C958" s="2"/>
      <c r="D958" s="2"/>
      <c r="E958" s="2"/>
      <c r="F958" s="2"/>
      <c r="G958" s="2"/>
      <c r="H958" s="2"/>
      <c r="I958" s="2"/>
      <c r="J958" s="2"/>
      <c r="K958" s="2"/>
      <c r="L958" s="2"/>
      <c r="M958" s="2"/>
      <c r="N958" s="2"/>
      <c r="O958" s="2"/>
      <c r="P958" s="2"/>
      <c r="Q958" s="2"/>
      <c r="R958" s="2"/>
      <c r="S958" s="2"/>
      <c r="T958" s="2"/>
      <c r="U958" s="2"/>
    </row>
    <row r="959">
      <c r="A959" s="2"/>
      <c r="B959" s="2"/>
      <c r="C959" s="2"/>
      <c r="D959" s="2"/>
      <c r="E959" s="2"/>
      <c r="F959" s="2"/>
      <c r="G959" s="2"/>
      <c r="H959" s="2"/>
      <c r="I959" s="2"/>
      <c r="J959" s="2"/>
      <c r="K959" s="2"/>
      <c r="L959" s="2"/>
      <c r="M959" s="2"/>
      <c r="N959" s="2"/>
      <c r="O959" s="2"/>
      <c r="P959" s="2"/>
      <c r="Q959" s="2"/>
      <c r="R959" s="2"/>
      <c r="S959" s="2"/>
      <c r="T959" s="2"/>
      <c r="U959" s="2"/>
    </row>
    <row r="960">
      <c r="A960" s="2"/>
      <c r="B960" s="2"/>
      <c r="C960" s="2"/>
      <c r="D960" s="2"/>
      <c r="E960" s="2"/>
      <c r="F960" s="2"/>
      <c r="G960" s="2"/>
      <c r="H960" s="2"/>
      <c r="I960" s="2"/>
      <c r="J960" s="2"/>
      <c r="K960" s="2"/>
      <c r="L960" s="2"/>
      <c r="M960" s="2"/>
      <c r="N960" s="2"/>
      <c r="O960" s="2"/>
      <c r="P960" s="2"/>
      <c r="Q960" s="2"/>
      <c r="R960" s="2"/>
      <c r="S960" s="2"/>
      <c r="T960" s="2"/>
      <c r="U960" s="2"/>
    </row>
    <row r="961">
      <c r="A961" s="2"/>
      <c r="B961" s="2"/>
      <c r="C961" s="2"/>
      <c r="D961" s="2"/>
      <c r="E961" s="2"/>
      <c r="F961" s="2"/>
      <c r="G961" s="2"/>
      <c r="H961" s="2"/>
      <c r="I961" s="2"/>
      <c r="J961" s="2"/>
      <c r="K961" s="2"/>
      <c r="L961" s="2"/>
      <c r="M961" s="2"/>
      <c r="N961" s="2"/>
      <c r="O961" s="2"/>
      <c r="P961" s="2"/>
      <c r="Q961" s="2"/>
      <c r="R961" s="2"/>
      <c r="S961" s="2"/>
      <c r="T961" s="2"/>
      <c r="U961" s="2"/>
    </row>
    <row r="962">
      <c r="A962" s="2"/>
      <c r="B962" s="2"/>
      <c r="C962" s="2"/>
      <c r="D962" s="2"/>
      <c r="E962" s="2"/>
      <c r="F962" s="2"/>
      <c r="G962" s="2"/>
      <c r="H962" s="2"/>
      <c r="I962" s="2"/>
      <c r="J962" s="2"/>
      <c r="K962" s="2"/>
      <c r="L962" s="2"/>
      <c r="M962" s="2"/>
      <c r="N962" s="2"/>
      <c r="O962" s="2"/>
      <c r="P962" s="2"/>
      <c r="Q962" s="2"/>
      <c r="R962" s="2"/>
      <c r="S962" s="2"/>
      <c r="T962" s="2"/>
      <c r="U962" s="2"/>
    </row>
    <row r="963">
      <c r="A963" s="2"/>
      <c r="B963" s="2"/>
      <c r="C963" s="2"/>
      <c r="D963" s="2"/>
      <c r="E963" s="2"/>
      <c r="F963" s="2"/>
      <c r="G963" s="2"/>
      <c r="H963" s="2"/>
      <c r="I963" s="2"/>
      <c r="J963" s="2"/>
      <c r="K963" s="2"/>
      <c r="L963" s="2"/>
      <c r="M963" s="2"/>
      <c r="N963" s="2"/>
      <c r="O963" s="2"/>
      <c r="P963" s="2"/>
      <c r="Q963" s="2"/>
      <c r="R963" s="2"/>
      <c r="S963" s="2"/>
      <c r="T963" s="2"/>
      <c r="U963" s="2"/>
    </row>
    <row r="964">
      <c r="A964" s="2"/>
      <c r="B964" s="2"/>
      <c r="C964" s="2"/>
      <c r="D964" s="2"/>
      <c r="E964" s="2"/>
      <c r="F964" s="2"/>
      <c r="G964" s="2"/>
      <c r="H964" s="2"/>
      <c r="I964" s="2"/>
      <c r="J964" s="2"/>
      <c r="K964" s="2"/>
      <c r="L964" s="2"/>
      <c r="M964" s="2"/>
      <c r="N964" s="2"/>
      <c r="O964" s="2"/>
      <c r="P964" s="2"/>
      <c r="Q964" s="2"/>
      <c r="R964" s="2"/>
      <c r="S964" s="2"/>
      <c r="T964" s="2"/>
      <c r="U964" s="2"/>
    </row>
    <row r="965">
      <c r="A965" s="2"/>
      <c r="B965" s="2"/>
      <c r="C965" s="2"/>
      <c r="D965" s="2"/>
      <c r="E965" s="2"/>
      <c r="F965" s="2"/>
      <c r="G965" s="2"/>
      <c r="H965" s="2"/>
      <c r="I965" s="2"/>
      <c r="J965" s="2"/>
      <c r="K965" s="2"/>
      <c r="L965" s="2"/>
      <c r="M965" s="2"/>
      <c r="N965" s="2"/>
      <c r="O965" s="2"/>
      <c r="P965" s="2"/>
      <c r="Q965" s="2"/>
      <c r="R965" s="2"/>
      <c r="S965" s="2"/>
      <c r="T965" s="2"/>
      <c r="U965" s="2"/>
    </row>
    <row r="966">
      <c r="A966" s="2"/>
      <c r="B966" s="2"/>
      <c r="C966" s="2"/>
      <c r="D966" s="2"/>
      <c r="E966" s="2"/>
      <c r="F966" s="2"/>
      <c r="G966" s="2"/>
      <c r="H966" s="2"/>
      <c r="I966" s="2"/>
      <c r="J966" s="2"/>
      <c r="K966" s="2"/>
      <c r="L966" s="2"/>
      <c r="M966" s="2"/>
      <c r="N966" s="2"/>
      <c r="O966" s="2"/>
      <c r="P966" s="2"/>
      <c r="Q966" s="2"/>
      <c r="R966" s="2"/>
      <c r="S966" s="2"/>
      <c r="T966" s="2"/>
      <c r="U966" s="2"/>
    </row>
    <row r="967">
      <c r="A967" s="2"/>
      <c r="B967" s="2"/>
      <c r="C967" s="2"/>
      <c r="D967" s="2"/>
      <c r="E967" s="2"/>
      <c r="F967" s="2"/>
      <c r="G967" s="2"/>
      <c r="H967" s="2"/>
      <c r="I967" s="2"/>
      <c r="J967" s="2"/>
      <c r="K967" s="2"/>
      <c r="L967" s="2"/>
      <c r="M967" s="2"/>
      <c r="N967" s="2"/>
      <c r="O967" s="2"/>
      <c r="P967" s="2"/>
      <c r="Q967" s="2"/>
      <c r="R967" s="2"/>
      <c r="S967" s="2"/>
      <c r="T967" s="2"/>
      <c r="U967" s="2"/>
    </row>
    <row r="968">
      <c r="A968" s="2"/>
      <c r="B968" s="2"/>
      <c r="C968" s="2"/>
      <c r="D968" s="2"/>
      <c r="E968" s="2"/>
      <c r="F968" s="2"/>
      <c r="G968" s="2"/>
      <c r="H968" s="2"/>
      <c r="I968" s="2"/>
      <c r="J968" s="2"/>
      <c r="K968" s="2"/>
      <c r="L968" s="2"/>
      <c r="M968" s="2"/>
      <c r="N968" s="2"/>
      <c r="O968" s="2"/>
      <c r="P968" s="2"/>
      <c r="Q968" s="2"/>
      <c r="R968" s="2"/>
      <c r="S968" s="2"/>
      <c r="T968" s="2"/>
      <c r="U968" s="2"/>
    </row>
    <row r="969">
      <c r="A969" s="2"/>
      <c r="B969" s="2"/>
      <c r="C969" s="2"/>
      <c r="D969" s="2"/>
      <c r="E969" s="2"/>
      <c r="F969" s="2"/>
      <c r="G969" s="2"/>
      <c r="H969" s="2"/>
      <c r="I969" s="2"/>
      <c r="J969" s="2"/>
      <c r="K969" s="2"/>
      <c r="L969" s="2"/>
      <c r="M969" s="2"/>
      <c r="N969" s="2"/>
      <c r="O969" s="2"/>
      <c r="P969" s="2"/>
      <c r="Q969" s="2"/>
      <c r="R969" s="2"/>
      <c r="S969" s="2"/>
      <c r="T969" s="2"/>
      <c r="U969" s="2"/>
    </row>
    <row r="970">
      <c r="A970" s="2"/>
      <c r="B970" s="2"/>
      <c r="C970" s="2"/>
      <c r="D970" s="2"/>
      <c r="E970" s="2"/>
      <c r="F970" s="2"/>
      <c r="G970" s="2"/>
      <c r="H970" s="2"/>
      <c r="I970" s="2"/>
      <c r="J970" s="2"/>
      <c r="K970" s="2"/>
      <c r="L970" s="2"/>
      <c r="M970" s="2"/>
      <c r="N970" s="2"/>
      <c r="O970" s="2"/>
      <c r="P970" s="2"/>
      <c r="Q970" s="2"/>
      <c r="R970" s="2"/>
      <c r="S970" s="2"/>
      <c r="T970" s="2"/>
      <c r="U970" s="2"/>
    </row>
    <row r="971">
      <c r="A971" s="2"/>
      <c r="B971" s="2"/>
      <c r="C971" s="2"/>
      <c r="D971" s="2"/>
      <c r="E971" s="2"/>
      <c r="F971" s="2"/>
      <c r="G971" s="2"/>
      <c r="H971" s="2"/>
      <c r="I971" s="2"/>
      <c r="J971" s="2"/>
      <c r="K971" s="2"/>
      <c r="L971" s="2"/>
      <c r="M971" s="2"/>
      <c r="N971" s="2"/>
      <c r="O971" s="2"/>
      <c r="P971" s="2"/>
      <c r="Q971" s="2"/>
      <c r="R971" s="2"/>
      <c r="S971" s="2"/>
      <c r="T971" s="2"/>
      <c r="U971" s="2"/>
    </row>
    <row r="972">
      <c r="A972" s="2"/>
      <c r="B972" s="2"/>
      <c r="C972" s="2"/>
      <c r="D972" s="2"/>
      <c r="E972" s="2"/>
      <c r="F972" s="2"/>
      <c r="G972" s="2"/>
      <c r="H972" s="2"/>
      <c r="I972" s="2"/>
      <c r="J972" s="2"/>
      <c r="K972" s="2"/>
      <c r="L972" s="2"/>
      <c r="M972" s="2"/>
      <c r="N972" s="2"/>
      <c r="O972" s="2"/>
      <c r="P972" s="2"/>
      <c r="Q972" s="2"/>
      <c r="R972" s="2"/>
      <c r="S972" s="2"/>
      <c r="T972" s="2"/>
      <c r="U972" s="2"/>
    </row>
    <row r="973">
      <c r="A973" s="2"/>
      <c r="B973" s="2"/>
      <c r="C973" s="2"/>
      <c r="D973" s="2"/>
      <c r="E973" s="2"/>
      <c r="F973" s="2"/>
      <c r="G973" s="2"/>
      <c r="H973" s="2"/>
      <c r="I973" s="2"/>
      <c r="J973" s="2"/>
      <c r="K973" s="2"/>
      <c r="L973" s="2"/>
      <c r="M973" s="2"/>
      <c r="N973" s="2"/>
      <c r="O973" s="2"/>
      <c r="P973" s="2"/>
      <c r="Q973" s="2"/>
      <c r="R973" s="2"/>
      <c r="S973" s="2"/>
      <c r="T973" s="2"/>
      <c r="U973" s="2"/>
    </row>
    <row r="974">
      <c r="A974" s="2"/>
      <c r="B974" s="2"/>
      <c r="C974" s="2"/>
      <c r="D974" s="2"/>
      <c r="E974" s="2"/>
      <c r="F974" s="2"/>
      <c r="G974" s="2"/>
      <c r="H974" s="2"/>
      <c r="I974" s="2"/>
      <c r="J974" s="2"/>
      <c r="K974" s="2"/>
      <c r="L974" s="2"/>
      <c r="M974" s="2"/>
      <c r="N974" s="2"/>
      <c r="O974" s="2"/>
      <c r="P974" s="2"/>
      <c r="Q974" s="2"/>
      <c r="R974" s="2"/>
      <c r="S974" s="2"/>
      <c r="T974" s="2"/>
      <c r="U974" s="2"/>
    </row>
    <row r="975">
      <c r="A975" s="2"/>
      <c r="B975" s="2"/>
      <c r="C975" s="2"/>
      <c r="D975" s="2"/>
      <c r="E975" s="2"/>
      <c r="F975" s="2"/>
      <c r="G975" s="2"/>
      <c r="H975" s="2"/>
      <c r="I975" s="2"/>
      <c r="J975" s="2"/>
      <c r="K975" s="2"/>
      <c r="L975" s="2"/>
      <c r="M975" s="2"/>
      <c r="N975" s="2"/>
      <c r="O975" s="2"/>
      <c r="P975" s="2"/>
      <c r="Q975" s="2"/>
      <c r="R975" s="2"/>
      <c r="S975" s="2"/>
      <c r="T975" s="2"/>
      <c r="U975" s="2"/>
    </row>
    <row r="976">
      <c r="A976" s="2"/>
      <c r="B976" s="2"/>
      <c r="C976" s="2"/>
      <c r="D976" s="2"/>
      <c r="E976" s="2"/>
      <c r="F976" s="2"/>
      <c r="G976" s="2"/>
      <c r="H976" s="2"/>
      <c r="I976" s="2"/>
      <c r="J976" s="2"/>
      <c r="K976" s="2"/>
      <c r="L976" s="2"/>
      <c r="M976" s="2"/>
      <c r="N976" s="2"/>
      <c r="O976" s="2"/>
      <c r="P976" s="2"/>
      <c r="Q976" s="2"/>
      <c r="R976" s="2"/>
      <c r="S976" s="2"/>
      <c r="T976" s="2"/>
      <c r="U976" s="2"/>
    </row>
    <row r="977">
      <c r="A977" s="2"/>
      <c r="B977" s="2"/>
      <c r="C977" s="2"/>
      <c r="D977" s="2"/>
      <c r="E977" s="2"/>
      <c r="F977" s="2"/>
      <c r="G977" s="2"/>
      <c r="H977" s="2"/>
      <c r="I977" s="2"/>
      <c r="J977" s="2"/>
      <c r="K977" s="2"/>
      <c r="L977" s="2"/>
      <c r="M977" s="2"/>
      <c r="N977" s="2"/>
      <c r="O977" s="2"/>
      <c r="P977" s="2"/>
      <c r="Q977" s="2"/>
      <c r="R977" s="2"/>
      <c r="S977" s="2"/>
      <c r="T977" s="2"/>
      <c r="U977" s="2"/>
    </row>
    <row r="978">
      <c r="A978" s="2"/>
      <c r="B978" s="2"/>
      <c r="C978" s="2"/>
      <c r="D978" s="2"/>
      <c r="E978" s="2"/>
      <c r="F978" s="2"/>
      <c r="G978" s="2"/>
      <c r="H978" s="2"/>
      <c r="I978" s="2"/>
      <c r="J978" s="2"/>
      <c r="K978" s="2"/>
      <c r="L978" s="2"/>
      <c r="M978" s="2"/>
      <c r="N978" s="2"/>
      <c r="O978" s="2"/>
      <c r="P978" s="2"/>
      <c r="Q978" s="2"/>
      <c r="R978" s="2"/>
      <c r="S978" s="2"/>
      <c r="T978" s="2"/>
      <c r="U978" s="2"/>
    </row>
    <row r="979">
      <c r="A979" s="2"/>
      <c r="B979" s="2"/>
      <c r="C979" s="2"/>
      <c r="D979" s="2"/>
      <c r="E979" s="2"/>
      <c r="F979" s="2"/>
      <c r="G979" s="2"/>
      <c r="H979" s="2"/>
      <c r="I979" s="2"/>
      <c r="J979" s="2"/>
      <c r="K979" s="2"/>
      <c r="L979" s="2"/>
      <c r="M979" s="2"/>
      <c r="N979" s="2"/>
      <c r="O979" s="2"/>
      <c r="P979" s="2"/>
      <c r="Q979" s="2"/>
      <c r="R979" s="2"/>
      <c r="S979" s="2"/>
      <c r="T979" s="2"/>
      <c r="U979" s="2"/>
    </row>
    <row r="980">
      <c r="A980" s="2"/>
      <c r="B980" s="2"/>
      <c r="C980" s="2"/>
      <c r="D980" s="2"/>
      <c r="E980" s="2"/>
      <c r="F980" s="2"/>
      <c r="G980" s="2"/>
      <c r="H980" s="2"/>
      <c r="I980" s="2"/>
      <c r="J980" s="2"/>
      <c r="K980" s="2"/>
      <c r="L980" s="2"/>
      <c r="M980" s="2"/>
      <c r="N980" s="2"/>
      <c r="O980" s="2"/>
      <c r="P980" s="2"/>
      <c r="Q980" s="2"/>
      <c r="R980" s="2"/>
      <c r="S980" s="2"/>
      <c r="T980" s="2"/>
      <c r="U980" s="2"/>
    </row>
    <row r="981">
      <c r="A981" s="2"/>
      <c r="B981" s="2"/>
      <c r="C981" s="2"/>
      <c r="D981" s="2"/>
      <c r="E981" s="2"/>
      <c r="F981" s="2"/>
      <c r="G981" s="2"/>
      <c r="H981" s="2"/>
      <c r="I981" s="2"/>
      <c r="J981" s="2"/>
      <c r="K981" s="2"/>
      <c r="L981" s="2"/>
      <c r="M981" s="2"/>
      <c r="N981" s="2"/>
      <c r="O981" s="2"/>
      <c r="P981" s="2"/>
      <c r="Q981" s="2"/>
      <c r="R981" s="2"/>
      <c r="S981" s="2"/>
      <c r="T981" s="2"/>
      <c r="U981" s="2"/>
    </row>
    <row r="982">
      <c r="A982" s="2"/>
      <c r="B982" s="2"/>
      <c r="C982" s="2"/>
      <c r="D982" s="2"/>
      <c r="E982" s="2"/>
      <c r="F982" s="2"/>
      <c r="G982" s="2"/>
      <c r="H982" s="2"/>
      <c r="I982" s="2"/>
      <c r="J982" s="2"/>
      <c r="K982" s="2"/>
      <c r="L982" s="2"/>
      <c r="M982" s="2"/>
      <c r="N982" s="2"/>
      <c r="O982" s="2"/>
      <c r="P982" s="2"/>
      <c r="Q982" s="2"/>
      <c r="R982" s="2"/>
      <c r="S982" s="2"/>
      <c r="T982" s="2"/>
      <c r="U982" s="2"/>
    </row>
    <row r="983">
      <c r="A983" s="2"/>
      <c r="B983" s="2"/>
      <c r="C983" s="2"/>
      <c r="D983" s="2"/>
      <c r="E983" s="2"/>
      <c r="F983" s="2"/>
      <c r="G983" s="2"/>
      <c r="H983" s="2"/>
      <c r="I983" s="2"/>
      <c r="J983" s="2"/>
      <c r="K983" s="2"/>
      <c r="L983" s="2"/>
      <c r="M983" s="2"/>
      <c r="N983" s="2"/>
      <c r="O983" s="2"/>
      <c r="P983" s="2"/>
      <c r="Q983" s="2"/>
      <c r="R983" s="2"/>
      <c r="S983" s="2"/>
      <c r="T983" s="2"/>
      <c r="U983" s="2"/>
    </row>
    <row r="984">
      <c r="A984" s="2"/>
      <c r="B984" s="2"/>
      <c r="C984" s="2"/>
      <c r="D984" s="2"/>
      <c r="E984" s="2"/>
      <c r="F984" s="2"/>
      <c r="G984" s="2"/>
      <c r="H984" s="2"/>
      <c r="I984" s="2"/>
      <c r="J984" s="2"/>
      <c r="K984" s="2"/>
      <c r="L984" s="2"/>
      <c r="M984" s="2"/>
      <c r="N984" s="2"/>
      <c r="O984" s="2"/>
      <c r="P984" s="2"/>
      <c r="Q984" s="2"/>
      <c r="R984" s="2"/>
      <c r="S984" s="2"/>
      <c r="T984" s="2"/>
      <c r="U984" s="2"/>
    </row>
    <row r="985">
      <c r="A985" s="2"/>
      <c r="B985" s="2"/>
      <c r="C985" s="2"/>
      <c r="D985" s="2"/>
      <c r="E985" s="2"/>
      <c r="F985" s="2"/>
      <c r="G985" s="2"/>
      <c r="H985" s="2"/>
      <c r="I985" s="2"/>
      <c r="J985" s="2"/>
      <c r="K985" s="2"/>
      <c r="L985" s="2"/>
      <c r="M985" s="2"/>
      <c r="N985" s="2"/>
      <c r="O985" s="2"/>
      <c r="P985" s="2"/>
      <c r="Q985" s="2"/>
      <c r="R985" s="2"/>
      <c r="S985" s="2"/>
      <c r="T985" s="2"/>
      <c r="U985" s="2"/>
    </row>
    <row r="986">
      <c r="A986" s="2"/>
      <c r="B986" s="2"/>
      <c r="C986" s="2"/>
      <c r="D986" s="2"/>
      <c r="E986" s="2"/>
      <c r="F986" s="2"/>
      <c r="G986" s="2"/>
      <c r="H986" s="2"/>
      <c r="I986" s="2"/>
      <c r="J986" s="2"/>
      <c r="K986" s="2"/>
      <c r="L986" s="2"/>
      <c r="M986" s="2"/>
      <c r="N986" s="2"/>
      <c r="O986" s="2"/>
      <c r="P986" s="2"/>
      <c r="Q986" s="2"/>
      <c r="R986" s="2"/>
      <c r="S986" s="2"/>
      <c r="T986" s="2"/>
      <c r="U986" s="2"/>
    </row>
    <row r="987">
      <c r="A987" s="2"/>
      <c r="B987" s="2"/>
      <c r="C987" s="2"/>
      <c r="D987" s="2"/>
      <c r="E987" s="2"/>
      <c r="F987" s="2"/>
      <c r="G987" s="2"/>
      <c r="H987" s="2"/>
      <c r="I987" s="2"/>
      <c r="J987" s="2"/>
      <c r="K987" s="2"/>
      <c r="L987" s="2"/>
      <c r="M987" s="2"/>
      <c r="N987" s="2"/>
      <c r="O987" s="2"/>
      <c r="P987" s="2"/>
      <c r="Q987" s="2"/>
      <c r="R987" s="2"/>
      <c r="S987" s="2"/>
      <c r="T987" s="2"/>
      <c r="U987" s="2"/>
    </row>
    <row r="988">
      <c r="A988" s="2"/>
      <c r="B988" s="2"/>
      <c r="C988" s="2"/>
      <c r="D988" s="2"/>
      <c r="E988" s="2"/>
      <c r="F988" s="2"/>
      <c r="G988" s="2"/>
      <c r="H988" s="2"/>
      <c r="I988" s="2"/>
      <c r="J988" s="2"/>
      <c r="K988" s="2"/>
      <c r="L988" s="2"/>
      <c r="M988" s="2"/>
      <c r="N988" s="2"/>
      <c r="O988" s="2"/>
      <c r="P988" s="2"/>
      <c r="Q988" s="2"/>
      <c r="R988" s="2"/>
      <c r="S988" s="2"/>
      <c r="T988" s="2"/>
      <c r="U988" s="2"/>
    </row>
    <row r="989">
      <c r="A989" s="2"/>
      <c r="B989" s="2"/>
      <c r="C989" s="2"/>
      <c r="D989" s="2"/>
      <c r="E989" s="2"/>
      <c r="F989" s="2"/>
      <c r="G989" s="2"/>
      <c r="H989" s="2"/>
      <c r="I989" s="2"/>
      <c r="J989" s="2"/>
      <c r="K989" s="2"/>
      <c r="L989" s="2"/>
      <c r="M989" s="2"/>
      <c r="N989" s="2"/>
      <c r="O989" s="2"/>
      <c r="P989" s="2"/>
      <c r="Q989" s="2"/>
      <c r="R989" s="2"/>
      <c r="S989" s="2"/>
      <c r="T989" s="2"/>
      <c r="U989" s="2"/>
    </row>
    <row r="990">
      <c r="A990" s="2"/>
      <c r="B990" s="2"/>
      <c r="C990" s="2"/>
      <c r="D990" s="2"/>
      <c r="E990" s="2"/>
      <c r="F990" s="2"/>
      <c r="G990" s="2"/>
      <c r="H990" s="2"/>
      <c r="I990" s="2"/>
      <c r="J990" s="2"/>
      <c r="K990" s="2"/>
      <c r="L990" s="2"/>
      <c r="M990" s="2"/>
      <c r="N990" s="2"/>
      <c r="O990" s="2"/>
      <c r="P990" s="2"/>
      <c r="Q990" s="2"/>
      <c r="R990" s="2"/>
      <c r="S990" s="2"/>
      <c r="T990" s="2"/>
      <c r="U990" s="2"/>
    </row>
    <row r="991">
      <c r="A991" s="2"/>
      <c r="B991" s="2"/>
      <c r="C991" s="2"/>
      <c r="D991" s="2"/>
      <c r="E991" s="2"/>
      <c r="F991" s="2"/>
      <c r="G991" s="2"/>
      <c r="H991" s="2"/>
      <c r="I991" s="2"/>
      <c r="J991" s="2"/>
      <c r="K991" s="2"/>
      <c r="L991" s="2"/>
      <c r="M991" s="2"/>
      <c r="N991" s="2"/>
      <c r="O991" s="2"/>
      <c r="P991" s="2"/>
      <c r="Q991" s="2"/>
      <c r="R991" s="2"/>
      <c r="S991" s="2"/>
      <c r="T991" s="2"/>
      <c r="U991" s="2"/>
    </row>
    <row r="992">
      <c r="A992" s="2"/>
      <c r="B992" s="2"/>
      <c r="C992" s="2"/>
      <c r="D992" s="2"/>
      <c r="E992" s="2"/>
      <c r="F992" s="2"/>
      <c r="G992" s="2"/>
      <c r="H992" s="2"/>
      <c r="I992" s="2"/>
      <c r="J992" s="2"/>
      <c r="K992" s="2"/>
      <c r="L992" s="2"/>
      <c r="M992" s="2"/>
      <c r="N992" s="2"/>
      <c r="O992" s="2"/>
      <c r="P992" s="2"/>
      <c r="Q992" s="2"/>
      <c r="R992" s="2"/>
      <c r="S992" s="2"/>
      <c r="T992" s="2"/>
      <c r="U992" s="2"/>
    </row>
    <row r="993">
      <c r="A993" s="2"/>
      <c r="B993" s="2"/>
      <c r="C993" s="2"/>
      <c r="D993" s="2"/>
      <c r="E993" s="2"/>
      <c r="F993" s="2"/>
      <c r="G993" s="2"/>
      <c r="H993" s="2"/>
      <c r="I993" s="2"/>
      <c r="J993" s="2"/>
      <c r="K993" s="2"/>
      <c r="L993" s="2"/>
      <c r="M993" s="2"/>
      <c r="N993" s="2"/>
      <c r="O993" s="2"/>
      <c r="P993" s="2"/>
      <c r="Q993" s="2"/>
      <c r="R993" s="2"/>
      <c r="S993" s="2"/>
      <c r="T993" s="2"/>
      <c r="U993" s="2"/>
    </row>
    <row r="994">
      <c r="A994" s="2"/>
      <c r="B994" s="2"/>
      <c r="C994" s="2"/>
      <c r="D994" s="2"/>
      <c r="E994" s="2"/>
      <c r="F994" s="2"/>
      <c r="G994" s="2"/>
      <c r="H994" s="2"/>
      <c r="I994" s="2"/>
      <c r="J994" s="2"/>
      <c r="K994" s="2"/>
      <c r="L994" s="2"/>
      <c r="M994" s="2"/>
      <c r="N994" s="2"/>
      <c r="O994" s="2"/>
      <c r="P994" s="2"/>
      <c r="Q994" s="2"/>
      <c r="R994" s="2"/>
      <c r="S994" s="2"/>
      <c r="T994" s="2"/>
      <c r="U994" s="2"/>
    </row>
    <row r="995">
      <c r="A995" s="2"/>
      <c r="B995" s="2"/>
      <c r="C995" s="2"/>
      <c r="D995" s="2"/>
      <c r="E995" s="2"/>
      <c r="F995" s="2"/>
      <c r="G995" s="2"/>
      <c r="H995" s="2"/>
      <c r="I995" s="2"/>
      <c r="J995" s="2"/>
      <c r="K995" s="2"/>
      <c r="L995" s="2"/>
      <c r="M995" s="2"/>
      <c r="N995" s="2"/>
      <c r="O995" s="2"/>
      <c r="P995" s="2"/>
      <c r="Q995" s="2"/>
      <c r="R995" s="2"/>
      <c r="S995" s="2"/>
      <c r="T995" s="2"/>
      <c r="U995" s="2"/>
    </row>
    <row r="996">
      <c r="A996" s="2"/>
      <c r="B996" s="2"/>
      <c r="C996" s="2"/>
      <c r="D996" s="2"/>
      <c r="E996" s="2"/>
      <c r="F996" s="2"/>
      <c r="G996" s="2"/>
      <c r="H996" s="2"/>
      <c r="I996" s="2"/>
      <c r="J996" s="2"/>
      <c r="K996" s="2"/>
      <c r="L996" s="2"/>
      <c r="M996" s="2"/>
      <c r="N996" s="2"/>
      <c r="O996" s="2"/>
      <c r="P996" s="2"/>
      <c r="Q996" s="2"/>
      <c r="R996" s="2"/>
      <c r="S996" s="2"/>
      <c r="T996" s="2"/>
      <c r="U996" s="2"/>
    </row>
    <row r="997">
      <c r="A997" s="2"/>
      <c r="B997" s="2"/>
      <c r="C997" s="2"/>
      <c r="D997" s="2"/>
      <c r="E997" s="2"/>
      <c r="F997" s="2"/>
      <c r="G997" s="2"/>
      <c r="H997" s="2"/>
      <c r="I997" s="2"/>
      <c r="J997" s="2"/>
      <c r="K997" s="2"/>
      <c r="L997" s="2"/>
      <c r="M997" s="2"/>
      <c r="N997" s="2"/>
      <c r="O997" s="2"/>
      <c r="P997" s="2"/>
      <c r="Q997" s="2"/>
      <c r="R997" s="2"/>
      <c r="S997" s="2"/>
      <c r="T997" s="2"/>
      <c r="U997" s="2"/>
    </row>
    <row r="998">
      <c r="A998" s="2"/>
      <c r="B998" s="2"/>
      <c r="C998" s="2"/>
      <c r="D998" s="2"/>
      <c r="E998" s="2"/>
      <c r="F998" s="2"/>
      <c r="G998" s="2"/>
      <c r="H998" s="2"/>
      <c r="I998" s="2"/>
      <c r="J998" s="2"/>
      <c r="K998" s="2"/>
      <c r="L998" s="2"/>
      <c r="M998" s="2"/>
      <c r="N998" s="2"/>
      <c r="O998" s="2"/>
      <c r="P998" s="2"/>
      <c r="Q998" s="2"/>
      <c r="R998" s="2"/>
      <c r="S998" s="2"/>
      <c r="T998" s="2"/>
      <c r="U998" s="2"/>
    </row>
    <row r="999">
      <c r="A999" s="2"/>
      <c r="B999" s="2"/>
      <c r="C999" s="2"/>
      <c r="D999" s="2"/>
      <c r="E999" s="2"/>
      <c r="F999" s="2"/>
      <c r="G999" s="2"/>
      <c r="H999" s="2"/>
      <c r="I999" s="2"/>
      <c r="J999" s="2"/>
      <c r="K999" s="2"/>
      <c r="L999" s="2"/>
      <c r="M999" s="2"/>
      <c r="N999" s="2"/>
      <c r="O999" s="2"/>
      <c r="P999" s="2"/>
      <c r="Q999" s="2"/>
      <c r="R999" s="2"/>
      <c r="S999" s="2"/>
      <c r="T999" s="2"/>
      <c r="U999" s="2"/>
    </row>
    <row r="1000">
      <c r="A1000" s="2"/>
      <c r="B1000" s="2"/>
      <c r="C1000" s="2"/>
      <c r="D1000" s="2"/>
      <c r="E1000" s="2"/>
      <c r="F1000" s="2"/>
      <c r="G1000" s="2"/>
      <c r="H1000" s="2"/>
      <c r="I1000" s="2"/>
      <c r="J1000" s="2"/>
      <c r="K1000" s="2"/>
      <c r="L1000" s="2"/>
      <c r="M1000" s="2"/>
      <c r="N1000" s="2"/>
      <c r="O1000" s="2"/>
      <c r="P1000" s="2"/>
      <c r="Q1000" s="2"/>
      <c r="R1000" s="2"/>
      <c r="S1000" s="2"/>
      <c r="T1000" s="2"/>
      <c r="U1000" s="2"/>
    </row>
    <row r="1001">
      <c r="A1001" s="2"/>
      <c r="B1001" s="2"/>
      <c r="C1001" s="2"/>
      <c r="D1001" s="2"/>
      <c r="E1001" s="2"/>
      <c r="F1001" s="2"/>
      <c r="G1001" s="2"/>
      <c r="H1001" s="2"/>
      <c r="I1001" s="2"/>
      <c r="J1001" s="2"/>
      <c r="K1001" s="2"/>
      <c r="L1001" s="2"/>
      <c r="M1001" s="2"/>
      <c r="N1001" s="2"/>
      <c r="O1001" s="2"/>
      <c r="P1001" s="2"/>
      <c r="Q1001" s="2"/>
      <c r="R1001" s="2"/>
      <c r="S1001" s="2"/>
      <c r="T1001" s="2"/>
      <c r="U1001" s="2"/>
    </row>
  </sheetData>
  <mergeCells count="20">
    <mergeCell ref="E158:I158"/>
    <mergeCell ref="E159:H159"/>
    <mergeCell ref="E160:I160"/>
    <mergeCell ref="E161:I161"/>
    <mergeCell ref="E162:I162"/>
    <mergeCell ref="E163:H163"/>
    <mergeCell ref="E164:I164"/>
    <mergeCell ref="E172:H172"/>
    <mergeCell ref="E173:I173"/>
    <mergeCell ref="E174:I174"/>
    <mergeCell ref="E175:H175"/>
    <mergeCell ref="E176:I176"/>
    <mergeCell ref="E177:I177"/>
    <mergeCell ref="E165:I165"/>
    <mergeCell ref="E166:I166"/>
    <mergeCell ref="E167:H167"/>
    <mergeCell ref="E168:I168"/>
    <mergeCell ref="E169:I169"/>
    <mergeCell ref="E170:I170"/>
    <mergeCell ref="E171:I171"/>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5" width="37.63"/>
    <col customWidth="1" min="7" max="7" width="18.25"/>
    <col customWidth="1" min="8" max="10" width="37.63"/>
  </cols>
  <sheetData>
    <row r="1" ht="22.5" customHeight="1">
      <c r="A1" s="1" t="s">
        <v>0</v>
      </c>
      <c r="B1" s="1" t="s">
        <v>1</v>
      </c>
      <c r="C1" s="1" t="s">
        <v>2</v>
      </c>
      <c r="D1" s="1" t="s">
        <v>262</v>
      </c>
      <c r="E1" s="1" t="s">
        <v>4</v>
      </c>
      <c r="F1" s="2"/>
      <c r="G1" s="3" t="s">
        <v>5</v>
      </c>
      <c r="H1" s="3" t="s">
        <v>6</v>
      </c>
      <c r="I1" s="3" t="s">
        <v>7</v>
      </c>
      <c r="J1" s="3" t="s">
        <v>8</v>
      </c>
      <c r="K1" s="3" t="s">
        <v>9</v>
      </c>
      <c r="L1" s="2"/>
      <c r="R1" s="2"/>
      <c r="S1" s="2"/>
      <c r="T1" s="2"/>
      <c r="U1" s="2"/>
    </row>
    <row r="2" ht="22.5" customHeight="1">
      <c r="A2" s="4" t="s">
        <v>263</v>
      </c>
      <c r="B2" s="4" t="s">
        <v>264</v>
      </c>
      <c r="C2" s="4" t="s">
        <v>265</v>
      </c>
      <c r="D2" s="4" t="s">
        <v>266</v>
      </c>
      <c r="E2" s="4" t="s">
        <v>267</v>
      </c>
      <c r="F2" s="2"/>
      <c r="G2" s="5">
        <v>1.0</v>
      </c>
      <c r="H2" s="4" t="s">
        <v>268</v>
      </c>
      <c r="I2" s="4" t="str">
        <f>IFERROR(__xludf.DUMMYFUNCTION("GOOGLETRANSLATE(C2, ""en"", ""de"")"),"A. Ziel ist es, mehr Punkte als der Gegner zu erzielen. B. Ziel ist es, die meisten Karten zu sammeln. C. Ziel ist es, das Skat-Spiel zu gewinnen. D. Ziel ist es, das Spiel zu beenden.")</f>
        <v>A. Ziel ist es, mehr Punkte als der Gegner zu erzielen. B. Ziel ist es, die meisten Karten zu sammeln. C. Ziel ist es, das Skat-Spiel zu gewinnen. D. Ziel ist es, das Spiel zu beenden.</v>
      </c>
      <c r="J2" s="4" t="s">
        <v>269</v>
      </c>
      <c r="K2" s="4" t="s">
        <v>270</v>
      </c>
      <c r="L2" s="2"/>
      <c r="R2" s="2"/>
      <c r="S2" s="2"/>
      <c r="T2" s="2"/>
      <c r="U2" s="2"/>
    </row>
    <row r="3" ht="22.5" customHeight="1">
      <c r="A3" s="4" t="s">
        <v>271</v>
      </c>
      <c r="B3" s="4" t="s">
        <v>272</v>
      </c>
      <c r="C3" s="4" t="s">
        <v>273</v>
      </c>
      <c r="D3" s="4" t="s">
        <v>274</v>
      </c>
      <c r="E3" s="4" t="s">
        <v>275</v>
      </c>
      <c r="F3" s="2"/>
      <c r="G3" s="5">
        <v>2.0</v>
      </c>
      <c r="H3" s="4" t="s">
        <v>276</v>
      </c>
      <c r="I3" s="4" t="str">
        <f>IFERROR(__xludf.DUMMYFUNCTION("GOOGLETRANSLATE(C3, ""en"", ""de"")"),"A. 10 Karten B. 8 Karten C. 12 Karten D. 15 Karten")</f>
        <v>A. 10 Karten B. 8 Karten C. 12 Karten D. 15 Karten</v>
      </c>
      <c r="J3" s="4" t="s">
        <v>277</v>
      </c>
      <c r="K3" s="4" t="s">
        <v>278</v>
      </c>
      <c r="L3" s="2"/>
      <c r="R3" s="2"/>
      <c r="S3" s="2"/>
      <c r="T3" s="2"/>
      <c r="U3" s="2"/>
    </row>
    <row r="4" ht="22.5" customHeight="1">
      <c r="A4" s="4" t="s">
        <v>279</v>
      </c>
      <c r="B4" s="4" t="s">
        <v>280</v>
      </c>
      <c r="C4" s="4" t="s">
        <v>281</v>
      </c>
      <c r="D4" s="4" t="s">
        <v>282</v>
      </c>
      <c r="E4" s="4" t="s">
        <v>283</v>
      </c>
      <c r="F4" s="2"/>
      <c r="G4" s="5">
        <v>3.0</v>
      </c>
      <c r="H4" s="4" t="s">
        <v>284</v>
      </c>
      <c r="I4" s="4" t="str">
        <f>IFERROR(__xludf.DUMMYFUNCTION("GOOGLETRANSLATE(C4, ""en"", ""de"")"),"A. Ein zusätzlicher Kartenstapel B. Eine spezielle Karte, die immer gewinnt C. Ein Joker D. Der Kartenstapel, den jeder Spieler nach dem Austeilen sieht.")</f>
        <v>A. Ein zusätzlicher Kartenstapel B. Eine spezielle Karte, die immer gewinnt C. Ein Joker D. Der Kartenstapel, den jeder Spieler nach dem Austeilen sieht.</v>
      </c>
      <c r="J4" s="4" t="s">
        <v>285</v>
      </c>
      <c r="K4" s="4" t="s">
        <v>286</v>
      </c>
      <c r="L4" s="2"/>
      <c r="R4" s="2"/>
      <c r="S4" s="2"/>
      <c r="T4" s="2"/>
      <c r="U4" s="2"/>
    </row>
    <row r="5" ht="22.5" customHeight="1">
      <c r="A5" s="4" t="s">
        <v>287</v>
      </c>
      <c r="B5" s="4" t="s">
        <v>288</v>
      </c>
      <c r="C5" s="4" t="s">
        <v>289</v>
      </c>
      <c r="D5" s="4" t="s">
        <v>290</v>
      </c>
      <c r="E5" s="4" t="s">
        <v>291</v>
      </c>
      <c r="F5" s="2"/>
      <c r="G5" s="5">
        <v>4.0</v>
      </c>
      <c r="H5" s="4" t="s">
        <v>292</v>
      </c>
      <c r="I5" s="4" t="str">
        <f>IFERROR(__xludf.DUMMYFUNCTION("GOOGLETRANSLATE(C5, ""en"", ""de"")"),"A. Der Spieler links vom Geber. B. Der Geber selbst. C. Der Spieler rechts vom Geber. D. Der Spieler mit den meisten Punkten.")</f>
        <v>A. Der Spieler links vom Geber. B. Der Geber selbst. C. Der Spieler rechts vom Geber. D. Der Spieler mit den meisten Punkten.</v>
      </c>
      <c r="J5" s="4" t="s">
        <v>293</v>
      </c>
      <c r="K5" s="4" t="s">
        <v>294</v>
      </c>
      <c r="L5" s="2"/>
      <c r="R5" s="2"/>
      <c r="S5" s="2"/>
      <c r="T5" s="2"/>
      <c r="U5" s="2"/>
    </row>
    <row r="6" ht="22.5" customHeight="1">
      <c r="A6" s="4" t="s">
        <v>295</v>
      </c>
      <c r="B6" s="4" t="s">
        <v>296</v>
      </c>
      <c r="C6" s="4" t="s">
        <v>297</v>
      </c>
      <c r="D6" s="4" t="s">
        <v>298</v>
      </c>
      <c r="E6" s="4" t="s">
        <v>299</v>
      </c>
      <c r="F6" s="2"/>
      <c r="G6" s="5">
        <v>5.0</v>
      </c>
      <c r="H6" s="4" t="s">
        <v>300</v>
      </c>
      <c r="I6" s="4" t="str">
        <f>IFERROR(__xludf.DUMMYFUNCTION("GOOGLETRANSLATE(C6, ""en"", ""de"")"),"A. Großartig B. Anregen C. Null D. Müll")</f>
        <v>A. Großartig B. Anregen C. Null D. Müll</v>
      </c>
      <c r="J6" s="4" t="s">
        <v>301</v>
      </c>
      <c r="K6" s="4" t="s">
        <v>302</v>
      </c>
      <c r="L6" s="2"/>
      <c r="R6" s="2"/>
      <c r="S6" s="2"/>
      <c r="T6" s="2"/>
      <c r="U6" s="2"/>
    </row>
    <row r="7" ht="22.5" customHeight="1">
      <c r="A7" s="4" t="s">
        <v>303</v>
      </c>
      <c r="B7" s="4" t="s">
        <v>304</v>
      </c>
      <c r="C7" s="4" t="s">
        <v>305</v>
      </c>
      <c r="D7" s="4" t="s">
        <v>306</v>
      </c>
      <c r="E7" s="4" t="s">
        <v>307</v>
      </c>
      <c r="F7" s="2"/>
      <c r="G7" s="5">
        <v>6.0</v>
      </c>
      <c r="H7" s="4" t="s">
        <v>308</v>
      </c>
      <c r="I7" s="4" t="str">
        <f>IFERROR(__xludf.DUMMYFUNCTION("GOOGLETRANSLATE(C7, ""en"", ""de"")"),"A. Wenn der Spieler mindestens 60 Punkte hat. B. Wenn der Spieler 100 Punkte erreicht. C. Wenn der Spieler alle Karten abgelegt hat. D. Wenn der Spieler die meisten Stiche gewinnt.")</f>
        <v>A. Wenn der Spieler mindestens 60 Punkte hat. B. Wenn der Spieler 100 Punkte erreicht. C. Wenn der Spieler alle Karten abgelegt hat. D. Wenn der Spieler die meisten Stiche gewinnt.</v>
      </c>
      <c r="J7" s="4" t="s">
        <v>309</v>
      </c>
      <c r="K7" s="4" t="s">
        <v>310</v>
      </c>
      <c r="L7" s="2"/>
      <c r="R7" s="2"/>
      <c r="S7" s="2"/>
      <c r="T7" s="2"/>
      <c r="U7" s="2"/>
    </row>
    <row r="8" ht="22.5" customHeight="1">
      <c r="A8" s="4" t="s">
        <v>311</v>
      </c>
      <c r="B8" s="4" t="s">
        <v>312</v>
      </c>
      <c r="C8" s="4" t="s">
        <v>313</v>
      </c>
      <c r="D8" s="4" t="s">
        <v>314</v>
      </c>
      <c r="E8" s="4" t="s">
        <v>315</v>
      </c>
      <c r="F8" s="2"/>
      <c r="G8" s="5">
        <v>7.0</v>
      </c>
      <c r="H8" s="4" t="s">
        <v>316</v>
      </c>
      <c r="I8" s="4" t="str">
        <f>IFERROR(__xludf.DUMMYFUNCTION("GOOGLETRANSLATE(C8, ""en"", ""de"")"),"A. Trumpfkarten anbieten B. Die Punkte des Gegners schätzen C. Auf die Spielart bieten D. Ein Skat-Spiel registrieren")</f>
        <v>A. Trumpfkarten anbieten B. Die Punkte des Gegners schätzen C. Auf die Spielart bieten D. Ein Skat-Spiel registrieren</v>
      </c>
      <c r="J8" s="4" t="s">
        <v>317</v>
      </c>
      <c r="K8" s="4" t="s">
        <v>318</v>
      </c>
      <c r="L8" s="2"/>
      <c r="R8" s="2"/>
      <c r="S8" s="2"/>
      <c r="T8" s="2"/>
      <c r="U8" s="2"/>
    </row>
    <row r="9" ht="22.5" customHeight="1">
      <c r="A9" s="4" t="s">
        <v>319</v>
      </c>
      <c r="B9" s="4" t="s">
        <v>320</v>
      </c>
      <c r="C9" s="4" t="s">
        <v>321</v>
      </c>
      <c r="D9" s="4" t="s">
        <v>322</v>
      </c>
      <c r="E9" s="4" t="s">
        <v>323</v>
      </c>
      <c r="F9" s="2"/>
      <c r="G9" s="5">
        <v>8.0</v>
      </c>
      <c r="H9" s="4" t="s">
        <v>324</v>
      </c>
      <c r="I9" s="4" t="str">
        <f>IFERROR(__xludf.DUMMYFUNCTION("GOOGLETRANSLATE(C9, ""en"", ""de"")"),"A. 12 B. 20 C. 15 D. 24")</f>
        <v>A. 12 B. 20 C. 15 D. 24</v>
      </c>
      <c r="J9" s="5">
        <v>12.0</v>
      </c>
      <c r="K9" s="4" t="s">
        <v>325</v>
      </c>
      <c r="L9" s="2"/>
      <c r="R9" s="2"/>
      <c r="S9" s="2"/>
      <c r="T9" s="2"/>
      <c r="U9" s="2"/>
    </row>
    <row r="10" ht="22.5" customHeight="1">
      <c r="A10" s="4" t="s">
        <v>326</v>
      </c>
      <c r="B10" s="4" t="s">
        <v>327</v>
      </c>
      <c r="C10" s="4" t="s">
        <v>328</v>
      </c>
      <c r="D10" s="4" t="s">
        <v>329</v>
      </c>
      <c r="E10" s="4" t="s">
        <v>330</v>
      </c>
      <c r="F10" s="2"/>
      <c r="G10" s="5">
        <v>9.0</v>
      </c>
      <c r="H10" s="4" t="s">
        <v>331</v>
      </c>
      <c r="I10" s="4" t="str">
        <f>IFERROR(__xludf.DUMMYFUNCTION("GOOGLETRANSLATE(C10, ""en"", ""de"")"),"A. Ein Spiel ohne Trumpf. B. Ein Spiel, bei dem keine Stiche erlaubt sind. C. Ein Spiel, bei dem der Gegner gewinnt. D. Ein Spiel, bei dem der Geber automatisch gewinnt.")</f>
        <v>A. Ein Spiel ohne Trumpf. B. Ein Spiel, bei dem keine Stiche erlaubt sind. C. Ein Spiel, bei dem der Gegner gewinnt. D. Ein Spiel, bei dem der Geber automatisch gewinnt.</v>
      </c>
      <c r="J10" s="4" t="s">
        <v>332</v>
      </c>
      <c r="K10" s="4" t="s">
        <v>333</v>
      </c>
      <c r="L10" s="2"/>
      <c r="R10" s="2"/>
      <c r="S10" s="2"/>
      <c r="T10" s="2"/>
      <c r="U10" s="2"/>
    </row>
    <row r="11" ht="22.5" customHeight="1">
      <c r="A11" s="4" t="s">
        <v>334</v>
      </c>
      <c r="B11" s="4" t="s">
        <v>335</v>
      </c>
      <c r="C11" s="4" t="s">
        <v>336</v>
      </c>
      <c r="D11" s="4" t="s">
        <v>337</v>
      </c>
      <c r="E11" s="4" t="s">
        <v>338</v>
      </c>
      <c r="F11" s="2"/>
      <c r="G11" s="5">
        <v>10.0</v>
      </c>
      <c r="H11" s="4" t="s">
        <v>339</v>
      </c>
      <c r="I11" s="4" t="str">
        <f>IFERROR(__xludf.DUMMYFUNCTION("GOOGLETRANSLATE(C11, ""en"", ""de"")"),"A. 11 B. 13 C. 8 D. 9")</f>
        <v>A. 11 B. 13 C. 8 D. 9</v>
      </c>
      <c r="J11" s="5">
        <v>11.0</v>
      </c>
      <c r="K11" s="4" t="s">
        <v>340</v>
      </c>
      <c r="L11" s="2"/>
      <c r="R11" s="2"/>
      <c r="S11" s="2"/>
      <c r="T11" s="2"/>
      <c r="U11" s="2"/>
    </row>
    <row r="12" ht="22.5" customHeight="1">
      <c r="A12" s="4" t="s">
        <v>337</v>
      </c>
      <c r="B12" s="4" t="s">
        <v>341</v>
      </c>
      <c r="C12" s="4" t="s">
        <v>342</v>
      </c>
      <c r="D12" s="4" t="s">
        <v>343</v>
      </c>
      <c r="E12" s="4" t="s">
        <v>344</v>
      </c>
      <c r="F12" s="2"/>
      <c r="G12" s="5">
        <v>11.0</v>
      </c>
      <c r="H12" s="4" t="s">
        <v>345</v>
      </c>
      <c r="I12" s="4" t="str">
        <f>IFERROR(__xludf.DUMMYFUNCTION("GOOGLETRANSLATE(C12, ""en"", ""de"")"),"A. Er muss die Karten neu mischen. B. Er verliert Punkte. C. Er muss seinen Einsatz verdoppeln. D. Er gibt dem Gegner einen Bonus.")</f>
        <v>A. Er muss die Karten neu mischen. B. Er verliert Punkte. C. Er muss seinen Einsatz verdoppeln. D. Er gibt dem Gegner einen Bonus.</v>
      </c>
      <c r="J12" s="4" t="s">
        <v>346</v>
      </c>
      <c r="K12" s="4" t="s">
        <v>347</v>
      </c>
      <c r="L12" s="2"/>
      <c r="R12" s="2"/>
      <c r="S12" s="2"/>
      <c r="T12" s="2"/>
      <c r="U12" s="2"/>
    </row>
    <row r="13" ht="22.5" customHeight="1">
      <c r="A13" s="4" t="s">
        <v>322</v>
      </c>
      <c r="B13" s="4" t="s">
        <v>348</v>
      </c>
      <c r="C13" s="4" t="s">
        <v>349</v>
      </c>
      <c r="D13" s="4" t="s">
        <v>271</v>
      </c>
      <c r="E13" s="4" t="s">
        <v>350</v>
      </c>
      <c r="F13" s="2"/>
      <c r="G13" s="5">
        <v>12.0</v>
      </c>
      <c r="H13" s="4" t="s">
        <v>351</v>
      </c>
      <c r="I13" s="4" t="str">
        <f>IFERROR(__xludf.DUMMYFUNCTION("GOOGLETRANSLATE(C13, ""en"", ""de"")"),"A. 2 B. 4 C. 6 D. 1")</f>
        <v>A. 2 B. 4 C. 6 D. 1</v>
      </c>
      <c r="J13" s="5">
        <v>2.0</v>
      </c>
      <c r="K13" s="4" t="s">
        <v>352</v>
      </c>
      <c r="L13" s="2"/>
      <c r="R13" s="2"/>
      <c r="S13" s="2"/>
      <c r="T13" s="2"/>
      <c r="U13" s="2"/>
    </row>
    <row r="14" ht="22.5" customHeight="1">
      <c r="A14" s="4" t="s">
        <v>353</v>
      </c>
      <c r="B14" s="4" t="s">
        <v>354</v>
      </c>
      <c r="C14" s="4" t="s">
        <v>355</v>
      </c>
      <c r="D14" s="4" t="s">
        <v>356</v>
      </c>
      <c r="E14" s="4" t="s">
        <v>357</v>
      </c>
      <c r="F14" s="2"/>
      <c r="G14" s="5">
        <v>13.0</v>
      </c>
      <c r="H14" s="4" t="s">
        <v>358</v>
      </c>
      <c r="I14" s="4" t="str">
        <f>IFERROR(__xludf.DUMMYFUNCTION("GOOGLETRANSLATE(C14, ""en"", ""de"")"),"A. Die meisten Punkte sammeln. B. So wenige Punkte wie möglich haben. C. Die höchste Trumpfkarte gewinnen. D. Alle Stiche gewinnen.")</f>
        <v>A. Die meisten Punkte sammeln. B. So wenige Punkte wie möglich haben. C. Die höchste Trumpfkarte gewinnen. D. Alle Stiche gewinnen.</v>
      </c>
      <c r="J14" s="4" t="s">
        <v>359</v>
      </c>
      <c r="K14" s="4" t="s">
        <v>360</v>
      </c>
      <c r="L14" s="2"/>
      <c r="R14" s="2"/>
      <c r="S14" s="2"/>
      <c r="T14" s="2"/>
      <c r="U14" s="2"/>
    </row>
    <row r="15" ht="22.5" customHeight="1">
      <c r="A15" s="4" t="s">
        <v>361</v>
      </c>
      <c r="B15" s="4" t="s">
        <v>362</v>
      </c>
      <c r="C15" s="4" t="s">
        <v>363</v>
      </c>
      <c r="D15" s="4" t="s">
        <v>364</v>
      </c>
      <c r="E15" s="4" t="s">
        <v>365</v>
      </c>
      <c r="F15" s="2"/>
      <c r="G15" s="5">
        <v>14.0</v>
      </c>
      <c r="H15" s="4" t="s">
        <v>366</v>
      </c>
      <c r="I15" s="4" t="str">
        <f>IFERROR(__xludf.DUMMYFUNCTION("GOOGLETRANSLATE(C15, ""en"", ""de"")"),"A. Die Herz-Karten B. Die Pik-Karten C. Die Karo-Karten D. Alle Karten mit einem bestimmten Wert")</f>
        <v>A. Die Herz-Karten B. Die Pik-Karten C. Die Karo-Karten D. Alle Karten mit einem bestimmten Wert</v>
      </c>
      <c r="J15" s="4" t="s">
        <v>367</v>
      </c>
      <c r="K15" s="4" t="s">
        <v>368</v>
      </c>
      <c r="L15" s="2"/>
      <c r="R15" s="2"/>
      <c r="S15" s="2"/>
      <c r="T15" s="2"/>
      <c r="U15" s="2"/>
    </row>
    <row r="16" ht="22.5" customHeight="1">
      <c r="A16" s="4" t="s">
        <v>369</v>
      </c>
      <c r="B16" s="4" t="s">
        <v>370</v>
      </c>
      <c r="C16" s="4" t="s">
        <v>371</v>
      </c>
      <c r="D16" s="4" t="s">
        <v>314</v>
      </c>
      <c r="E16" s="4" t="s">
        <v>372</v>
      </c>
      <c r="F16" s="2"/>
      <c r="G16" s="5">
        <v>15.0</v>
      </c>
      <c r="H16" s="4" t="s">
        <v>373</v>
      </c>
      <c r="I16" s="4" t="str">
        <f>IFERROR(__xludf.DUMMYFUNCTION("GOOGLETRANSLATE(C16, ""en"", ""de"")"),"A. Die Karten des Gegners analysieren B. Eine höhere Punktzahl vergeben C. Auf den Spieltyp bieten D. Ein wertloses Spiel anbieten")</f>
        <v>A. Die Karten des Gegners analysieren B. Eine höhere Punktzahl vergeben C. Auf den Spieltyp bieten D. Ein wertloses Spiel anbieten</v>
      </c>
      <c r="J16" s="4" t="s">
        <v>317</v>
      </c>
      <c r="K16" s="4" t="s">
        <v>374</v>
      </c>
      <c r="L16" s="2"/>
      <c r="R16" s="2"/>
      <c r="S16" s="2"/>
      <c r="T16" s="2"/>
      <c r="U16" s="2"/>
    </row>
    <row r="17" ht="22.5" customHeight="1">
      <c r="A17" s="4" t="s">
        <v>375</v>
      </c>
      <c r="B17" s="4" t="s">
        <v>376</v>
      </c>
      <c r="C17" s="4" t="s">
        <v>377</v>
      </c>
      <c r="D17" s="4" t="s">
        <v>287</v>
      </c>
      <c r="E17" s="4" t="s">
        <v>378</v>
      </c>
      <c r="F17" s="2"/>
      <c r="G17" s="5">
        <v>16.0</v>
      </c>
      <c r="H17" s="4" t="s">
        <v>379</v>
      </c>
      <c r="I17" s="4" t="str">
        <f>IFERROR(__xludf.DUMMYFUNCTION("GOOGLETRANSLATE(C17, ""en"", ""de"")"),"A. 1 B. 2 C. 3 D. 4")</f>
        <v>A. 1 B. 2 C. 3 D. 4</v>
      </c>
      <c r="J17" s="5">
        <v>4.0</v>
      </c>
      <c r="K17" s="4" t="s">
        <v>380</v>
      </c>
      <c r="L17" s="2"/>
      <c r="R17" s="2"/>
      <c r="S17" s="2"/>
      <c r="T17" s="2"/>
      <c r="U17" s="2"/>
    </row>
    <row r="18" ht="22.5" customHeight="1">
      <c r="A18" s="4" t="s">
        <v>381</v>
      </c>
      <c r="B18" s="4" t="s">
        <v>382</v>
      </c>
      <c r="C18" s="4" t="s">
        <v>383</v>
      </c>
      <c r="D18" s="4" t="s">
        <v>384</v>
      </c>
      <c r="E18" s="4" t="s">
        <v>385</v>
      </c>
      <c r="F18" s="2"/>
      <c r="G18" s="5">
        <v>17.0</v>
      </c>
      <c r="H18" s="4" t="s">
        <v>386</v>
      </c>
      <c r="I18" s="4" t="str">
        <f>IFERROR(__xludf.DUMMYFUNCTION("GOOGLETRANSLATE(C18, ""en"", ""de"")"),"A. 10 Punkte B. 11 Punkte C. 12 Punkte D. 13 Punkte")</f>
        <v>A. 10 Punkte B. 11 Punkte C. 12 Punkte D. 13 Punkte</v>
      </c>
      <c r="J18" s="4" t="s">
        <v>387</v>
      </c>
      <c r="K18" s="4" t="s">
        <v>388</v>
      </c>
      <c r="L18" s="2"/>
      <c r="R18" s="2"/>
      <c r="S18" s="2"/>
      <c r="T18" s="2"/>
      <c r="U18" s="2"/>
    </row>
    <row r="19" ht="22.5" customHeight="1">
      <c r="A19" s="4" t="s">
        <v>389</v>
      </c>
      <c r="B19" s="4" t="s">
        <v>390</v>
      </c>
      <c r="C19" s="4" t="s">
        <v>391</v>
      </c>
      <c r="D19" s="4" t="s">
        <v>392</v>
      </c>
      <c r="E19" s="4" t="s">
        <v>393</v>
      </c>
      <c r="F19" s="2"/>
      <c r="G19" s="5">
        <v>18.0</v>
      </c>
      <c r="H19" s="4" t="s">
        <v>394</v>
      </c>
      <c r="I19" s="4" t="str">
        <f>IFERROR(__xludf.DUMMYFUNCTION("GOOGLETRANSLATE(C19, ""en"", ""de"")"),"A. Er verliert das Spiel. B. Er muss einen Einsatz zahlen. C. Er darf nicht weiterspielen. D. Er wird vom Spiel ausgeschlossen.")</f>
        <v>A. Er verliert das Spiel. B. Er muss einen Einsatz zahlen. C. Er darf nicht weiterspielen. D. Er wird vom Spiel ausgeschlossen.</v>
      </c>
      <c r="J19" s="4" t="s">
        <v>395</v>
      </c>
      <c r="K19" s="4" t="s">
        <v>396</v>
      </c>
      <c r="L19" s="2"/>
      <c r="R19" s="2"/>
      <c r="S19" s="2"/>
      <c r="T19" s="2"/>
      <c r="U19" s="2"/>
    </row>
    <row r="20" ht="22.5" customHeight="1">
      <c r="A20" s="4" t="s">
        <v>397</v>
      </c>
      <c r="B20" s="4" t="s">
        <v>398</v>
      </c>
      <c r="C20" s="4" t="s">
        <v>399</v>
      </c>
      <c r="D20" s="4" t="s">
        <v>400</v>
      </c>
      <c r="E20" s="4" t="s">
        <v>401</v>
      </c>
      <c r="F20" s="2"/>
      <c r="G20" s="5">
        <v>19.0</v>
      </c>
      <c r="H20" s="4" t="s">
        <v>402</v>
      </c>
      <c r="I20" s="4" t="str">
        <f>IFERROR(__xludf.DUMMYFUNCTION("GOOGLETRANSLATE(C20, ""en"", ""de"")"),"A. Als B. König C. Dame D. Jack")</f>
        <v>A. Als B. König C. Dame D. Jack</v>
      </c>
      <c r="J20" s="4" t="s">
        <v>400</v>
      </c>
      <c r="K20" s="4" t="s">
        <v>403</v>
      </c>
      <c r="L20" s="2"/>
      <c r="R20" s="2"/>
      <c r="S20" s="2"/>
      <c r="T20" s="2"/>
      <c r="U20" s="2"/>
    </row>
    <row r="21" ht="22.5" customHeight="1">
      <c r="A21" s="4" t="s">
        <v>404</v>
      </c>
      <c r="B21" s="4" t="s">
        <v>405</v>
      </c>
      <c r="C21" s="4" t="s">
        <v>406</v>
      </c>
      <c r="D21" s="4" t="s">
        <v>407</v>
      </c>
      <c r="E21" s="4" t="s">
        <v>408</v>
      </c>
      <c r="F21" s="2"/>
      <c r="G21" s="5">
        <v>20.0</v>
      </c>
      <c r="H21" s="4" t="s">
        <v>409</v>
      </c>
      <c r="I21" s="4" t="str">
        <f>IFERROR(__xludf.DUMMYFUNCTION("GOOGLETRANSLATE(C21, ""en"", ""de"")"),"A. Er wird disqualifiziert. B. Er verliert einen Punkt. C. Er wird verwarnt. D. Er verliert eine Naht.")</f>
        <v>A. Er wird disqualifiziert. B. Er verliert einen Punkt. C. Er wird verwarnt. D. Er verliert eine Naht.</v>
      </c>
      <c r="J21" s="4" t="s">
        <v>410</v>
      </c>
      <c r="K21" s="4" t="s">
        <v>411</v>
      </c>
      <c r="L21" s="2"/>
      <c r="R21" s="2"/>
      <c r="S21" s="2"/>
      <c r="T21" s="2"/>
      <c r="U21" s="2"/>
    </row>
    <row r="22" ht="22.5" customHeight="1">
      <c r="A22" s="4" t="s">
        <v>412</v>
      </c>
      <c r="B22" s="4" t="s">
        <v>413</v>
      </c>
      <c r="C22" s="4" t="s">
        <v>414</v>
      </c>
      <c r="D22" s="4" t="s">
        <v>415</v>
      </c>
      <c r="E22" s="4" t="s">
        <v>416</v>
      </c>
      <c r="F22" s="2"/>
      <c r="G22" s="5">
        <v>21.0</v>
      </c>
      <c r="H22" s="4" t="s">
        <v>417</v>
      </c>
      <c r="I22" s="4" t="str">
        <f>IFERROR(__xludf.DUMMYFUNCTION("GOOGLETRANSLATE(C22, ""en"", ""de"")"),"A. Die Anzahl der Karten in Skat. B. Die Mindestpunktzahl, die ein Spieler erreichen muss. C. Der während der Reizung gebotene Betrag. D. Die Anzahl der Stiche im Spiel.")</f>
        <v>A. Die Anzahl der Karten in Skat. B. Die Mindestpunktzahl, die ein Spieler erreichen muss. C. Der während der Reizung gebotene Betrag. D. Die Anzahl der Stiche im Spiel.</v>
      </c>
      <c r="J22" s="4" t="s">
        <v>418</v>
      </c>
      <c r="K22" s="4" t="s">
        <v>419</v>
      </c>
      <c r="L22" s="2"/>
      <c r="R22" s="2"/>
      <c r="S22" s="2"/>
      <c r="T22" s="2"/>
      <c r="U22" s="2"/>
    </row>
    <row r="23" ht="22.5" customHeight="1">
      <c r="A23" s="4" t="s">
        <v>420</v>
      </c>
      <c r="B23" s="4" t="s">
        <v>421</v>
      </c>
      <c r="C23" s="4" t="s">
        <v>422</v>
      </c>
      <c r="D23" s="4" t="s">
        <v>423</v>
      </c>
      <c r="E23" s="4" t="s">
        <v>424</v>
      </c>
      <c r="F23" s="2"/>
      <c r="G23" s="5">
        <v>22.0</v>
      </c>
      <c r="H23" s="4" t="s">
        <v>425</v>
      </c>
      <c r="I23" s="4" t="str">
        <f>IFERROR(__xludf.DUMMYFUNCTION("GOOGLETRANSLATE(C23, ""en"", ""de"")"),"A. Dem Gegner Tipps geben B. Einigung über die Spielregeln C. Ein Spiel anmelden D. Karten ausgeben")</f>
        <v>A. Dem Gegner Tipps geben B. Einigung über die Spielregeln C. Ein Spiel anmelden D. Karten ausgeben</v>
      </c>
      <c r="J23" s="4" t="s">
        <v>426</v>
      </c>
      <c r="K23" s="4" t="s">
        <v>427</v>
      </c>
      <c r="L23" s="2"/>
      <c r="R23" s="2"/>
      <c r="S23" s="2"/>
      <c r="T23" s="2"/>
      <c r="U23" s="2"/>
    </row>
    <row r="24" ht="22.5" customHeight="1">
      <c r="A24" s="4" t="s">
        <v>428</v>
      </c>
      <c r="B24" s="4" t="s">
        <v>429</v>
      </c>
      <c r="C24" s="4" t="s">
        <v>430</v>
      </c>
      <c r="D24" s="4" t="s">
        <v>431</v>
      </c>
      <c r="E24" s="4" t="s">
        <v>432</v>
      </c>
      <c r="F24" s="2"/>
      <c r="G24" s="5">
        <v>23.0</v>
      </c>
      <c r="H24" s="4" t="s">
        <v>433</v>
      </c>
      <c r="I24" s="4" t="str">
        <f>IFERROR(__xludf.DUMMYFUNCTION("GOOGLETRANSLATE(C24, ""en"", ""de"")"),"A. Das Spiel wird neu gestartet. B. Der Gewinner erhält alle Punkte. C. Der Spieler mit den meisten Punkten gewinnt. D. Das Spiel endet unentschieden.")</f>
        <v>A. Das Spiel wird neu gestartet. B. Der Gewinner erhält alle Punkte. C. Der Spieler mit den meisten Punkten gewinnt. D. Das Spiel endet unentschieden.</v>
      </c>
      <c r="J24" s="4" t="s">
        <v>434</v>
      </c>
      <c r="K24" s="4" t="s">
        <v>435</v>
      </c>
      <c r="L24" s="2"/>
      <c r="R24" s="2"/>
      <c r="S24" s="2"/>
      <c r="T24" s="2"/>
      <c r="U24" s="2"/>
    </row>
    <row r="25" ht="22.5" customHeight="1">
      <c r="A25" s="4" t="s">
        <v>436</v>
      </c>
      <c r="B25" s="4" t="s">
        <v>437</v>
      </c>
      <c r="C25" s="4" t="s">
        <v>438</v>
      </c>
      <c r="D25" s="4" t="s">
        <v>439</v>
      </c>
      <c r="E25" s="4" t="s">
        <v>440</v>
      </c>
      <c r="F25" s="2"/>
      <c r="G25" s="5">
        <v>24.0</v>
      </c>
      <c r="H25" s="4" t="s">
        <v>441</v>
      </c>
      <c r="I25" s="4" t="str">
        <f>IFERROR(__xludf.DUMMYFUNCTION("GOOGLETRANSLATE(C25, ""en"", ""de"")"),"A. Das Spiel wird abgebrochen. B. Der Bietvorgang wird wiederholt. C. Der Spieler verliert die Wette. D. Das Spiel wird fortgesetzt.")</f>
        <v>A. Das Spiel wird abgebrochen. B. Der Bietvorgang wird wiederholt. C. Der Spieler verliert die Wette. D. Das Spiel wird fortgesetzt.</v>
      </c>
      <c r="J25" s="4" t="s">
        <v>442</v>
      </c>
      <c r="K25" s="4" t="s">
        <v>443</v>
      </c>
      <c r="L25" s="2"/>
      <c r="R25" s="2"/>
      <c r="S25" s="2"/>
      <c r="T25" s="2"/>
      <c r="U25" s="2"/>
    </row>
    <row r="26" ht="22.5" customHeight="1">
      <c r="A26" s="4" t="s">
        <v>444</v>
      </c>
      <c r="B26" s="4" t="s">
        <v>445</v>
      </c>
      <c r="C26" s="4" t="s">
        <v>446</v>
      </c>
      <c r="D26" s="4" t="s">
        <v>447</v>
      </c>
      <c r="E26" s="4" t="s">
        <v>448</v>
      </c>
      <c r="F26" s="2"/>
      <c r="G26" s="5">
        <v>25.0</v>
      </c>
      <c r="H26" s="4" t="s">
        <v>449</v>
      </c>
      <c r="I26" s="4" t="str">
        <f>IFERROR(__xludf.DUMMYFUNCTION("GOOGLETRANSLATE(C26, ""en"", ""de"")"),"A. Ein Skat-Spiel, bei dem alle Karten Trumpf sind. B. Ein Skat-Spiel, bei dem der Bube die höchste Karte ist. C. Ein Spiel, bei dem nur Asse gespielt werden. D. Ein Skat-Spiel, bei dem der Spieler keine Stiche machen darf.")</f>
        <v>A. Ein Skat-Spiel, bei dem alle Karten Trumpf sind. B. Ein Skat-Spiel, bei dem der Bube die höchste Karte ist. C. Ein Spiel, bei dem nur Asse gespielt werden. D. Ein Skat-Spiel, bei dem der Spieler keine Stiche machen darf.</v>
      </c>
      <c r="J26" s="4" t="s">
        <v>450</v>
      </c>
      <c r="K26" s="4" t="s">
        <v>451</v>
      </c>
      <c r="L26" s="2"/>
      <c r="R26" s="2"/>
      <c r="S26" s="2"/>
      <c r="T26" s="2"/>
      <c r="U26" s="2"/>
    </row>
    <row r="27" ht="22.5" customHeight="1">
      <c r="A27" s="4" t="s">
        <v>452</v>
      </c>
      <c r="B27" s="4" t="s">
        <v>453</v>
      </c>
      <c r="C27" s="4" t="s">
        <v>454</v>
      </c>
      <c r="D27" s="4" t="s">
        <v>455</v>
      </c>
      <c r="E27" s="4" t="s">
        <v>456</v>
      </c>
      <c r="F27" s="2"/>
      <c r="G27" s="5">
        <v>26.0</v>
      </c>
      <c r="H27" s="4" t="s">
        <v>457</v>
      </c>
      <c r="I27" s="4" t="str">
        <f>IFERROR(__xludf.DUMMYFUNCTION("GOOGLETRANSLATE(C27, ""en"", ""de"")"),"A. Es ist die niedrigste Karte. B. Sie ersetzt eine andere Karte. C. Er ist eine Trumpfkarte. D. Er kontrolliert das Spiel.")</f>
        <v>A. Es ist die niedrigste Karte. B. Sie ersetzt eine andere Karte. C. Er ist eine Trumpfkarte. D. Er kontrolliert das Spiel.</v>
      </c>
      <c r="J27" s="4" t="s">
        <v>458</v>
      </c>
      <c r="K27" s="4" t="s">
        <v>459</v>
      </c>
      <c r="L27" s="2"/>
      <c r="R27" s="2"/>
      <c r="S27" s="2"/>
      <c r="T27" s="2"/>
      <c r="U27" s="2"/>
    </row>
    <row r="28" ht="22.5" customHeight="1">
      <c r="A28" s="4" t="s">
        <v>460</v>
      </c>
      <c r="B28" s="4" t="s">
        <v>461</v>
      </c>
      <c r="C28" s="4" t="s">
        <v>462</v>
      </c>
      <c r="D28" s="4" t="s">
        <v>463</v>
      </c>
      <c r="E28" s="4" t="s">
        <v>464</v>
      </c>
      <c r="F28" s="2"/>
      <c r="G28" s="5">
        <v>27.0</v>
      </c>
      <c r="H28" s="4" t="s">
        <v>465</v>
      </c>
      <c r="I28" s="4" t="str">
        <f>IFERROR(__xludf.DUMMYFUNCTION("GOOGLETRANSLATE(C28, ""en"", ""de"")"),"A. Kartentisch B. Spielrezension C. Kartenzähler D. Bewertung")</f>
        <v>A. Kartentisch B. Spielrezension C. Kartenzähler D. Bewertung</v>
      </c>
      <c r="J28" s="4" t="s">
        <v>466</v>
      </c>
      <c r="K28" s="4" t="s">
        <v>467</v>
      </c>
      <c r="L28" s="2"/>
      <c r="R28" s="2"/>
      <c r="S28" s="2"/>
      <c r="T28" s="2"/>
      <c r="U28" s="2"/>
    </row>
    <row r="29" ht="22.5" customHeight="1">
      <c r="A29" s="4" t="s">
        <v>468</v>
      </c>
      <c r="B29" s="4" t="s">
        <v>469</v>
      </c>
      <c r="C29" s="4" t="s">
        <v>470</v>
      </c>
      <c r="D29" s="4" t="s">
        <v>471</v>
      </c>
      <c r="E29" s="4" t="s">
        <v>472</v>
      </c>
      <c r="F29" s="2"/>
      <c r="G29" s="5">
        <v>28.0</v>
      </c>
      <c r="H29" s="4" t="s">
        <v>473</v>
      </c>
      <c r="I29" s="4" t="str">
        <f>IFERROR(__xludf.DUMMYFUNCTION("GOOGLETRANSLATE(C29, ""en"", ""de"")"),"A. Schach B. Herz C. Pik D. Keine garantierte Trumpfkarte")</f>
        <v>A. Schach B. Herz C. Pik D. Keine garantierte Trumpfkarte</v>
      </c>
      <c r="J29" s="4" t="s">
        <v>474</v>
      </c>
      <c r="K29" s="4" t="s">
        <v>475</v>
      </c>
      <c r="L29" s="2"/>
      <c r="R29" s="2"/>
      <c r="S29" s="2"/>
      <c r="T29" s="2"/>
      <c r="U29" s="2"/>
    </row>
    <row r="30" ht="22.5" customHeight="1">
      <c r="A30" s="4" t="s">
        <v>476</v>
      </c>
      <c r="B30" s="4" t="s">
        <v>477</v>
      </c>
      <c r="C30" s="4" t="s">
        <v>478</v>
      </c>
      <c r="D30" s="4" t="s">
        <v>384</v>
      </c>
      <c r="E30" s="4" t="s">
        <v>479</v>
      </c>
      <c r="F30" s="2"/>
      <c r="G30" s="5">
        <v>29.0</v>
      </c>
      <c r="H30" s="4" t="s">
        <v>480</v>
      </c>
      <c r="I30" s="4" t="str">
        <f>IFERROR(__xludf.DUMMYFUNCTION("GOOGLETRANSLATE(C30, ""en"", ""de"")"),"A. 11 Punkte B. 10 Punkte C. 9 Punkte D. 8 Punkte")</f>
        <v>A. 11 Punkte B. 10 Punkte C. 9 Punkte D. 8 Punkte</v>
      </c>
      <c r="J30" s="4" t="s">
        <v>387</v>
      </c>
      <c r="K30" s="4" t="s">
        <v>481</v>
      </c>
      <c r="L30" s="2"/>
      <c r="R30" s="2"/>
      <c r="S30" s="2"/>
      <c r="T30" s="2"/>
      <c r="U30" s="2"/>
    </row>
    <row r="31" ht="22.5" customHeight="1">
      <c r="A31" s="4" t="s">
        <v>482</v>
      </c>
      <c r="B31" s="4" t="s">
        <v>483</v>
      </c>
      <c r="C31" s="4" t="s">
        <v>484</v>
      </c>
      <c r="D31" s="4" t="s">
        <v>485</v>
      </c>
      <c r="E31" s="4" t="s">
        <v>486</v>
      </c>
      <c r="F31" s="2"/>
      <c r="G31" s="5">
        <v>30.0</v>
      </c>
      <c r="H31" s="4" t="s">
        <v>487</v>
      </c>
      <c r="I31" s="4" t="str">
        <f>IFERROR(__xludf.DUMMYFUNCTION("GOOGLETRANSLATE(C31, ""en"", ""de"")"),"A. Alle Karten zählen als Trumpf. B. Es kann kein Spiel gewonnen werden. C. Der Wert der Karten wird reduziert. D. Es gibt keine Trumpfkarten.")</f>
        <v>A. Alle Karten zählen als Trumpf. B. Es kann kein Spiel gewonnen werden. C. Der Wert der Karten wird reduziert. D. Es gibt keine Trumpfkarten.</v>
      </c>
      <c r="J31" s="4" t="s">
        <v>488</v>
      </c>
      <c r="K31" s="4" t="s">
        <v>489</v>
      </c>
      <c r="L31" s="2"/>
      <c r="R31" s="2"/>
      <c r="S31" s="2"/>
      <c r="T31" s="2"/>
      <c r="U31" s="2"/>
    </row>
    <row r="32" ht="22.5" customHeight="1">
      <c r="A32" s="4" t="s">
        <v>490</v>
      </c>
      <c r="B32" s="4" t="s">
        <v>491</v>
      </c>
      <c r="C32" s="4" t="s">
        <v>492</v>
      </c>
      <c r="D32" s="4" t="s">
        <v>493</v>
      </c>
      <c r="E32" s="4" t="s">
        <v>494</v>
      </c>
      <c r="F32" s="2"/>
      <c r="G32" s="5">
        <v>31.0</v>
      </c>
      <c r="H32" s="4" t="s">
        <v>495</v>
      </c>
      <c r="I32" s="4" t="str">
        <f>IFERROR(__xludf.DUMMYFUNCTION("GOOGLETRANSLATE(C32, ""en"", ""de"")"),"A. 2 Karten B. 4 Karten C. 3 Karten D. 5 Karten")</f>
        <v>A. 2 Karten B. 4 Karten C. 3 Karten D. 5 Karten</v>
      </c>
      <c r="J32" s="4" t="s">
        <v>496</v>
      </c>
      <c r="K32" s="4" t="s">
        <v>497</v>
      </c>
      <c r="L32" s="2"/>
      <c r="R32" s="2"/>
      <c r="S32" s="2"/>
      <c r="T32" s="2"/>
      <c r="U32" s="2"/>
    </row>
    <row r="33" ht="22.5" customHeight="1">
      <c r="A33" s="4" t="s">
        <v>498</v>
      </c>
      <c r="B33" s="4" t="s">
        <v>499</v>
      </c>
      <c r="C33" s="4" t="s">
        <v>500</v>
      </c>
      <c r="D33" s="4" t="s">
        <v>501</v>
      </c>
      <c r="E33" s="4" t="s">
        <v>502</v>
      </c>
      <c r="F33" s="2"/>
      <c r="G33" s="5">
        <v>32.0</v>
      </c>
      <c r="H33" s="4" t="s">
        <v>503</v>
      </c>
      <c r="I33" s="4" t="str">
        <f>IFERROR(__xludf.DUMMYFUNCTION("GOOGLETRANSLATE(C33, ""en"", ""de"")"),"A. Erhöhung der Trumpfkarten B. Ablehnung eines Spiels C. Ablegen von Karten D. Ein zweites Gebot während des Spiels")</f>
        <v>A. Erhöhung der Trumpfkarten B. Ablehnung eines Spiels C. Ablegen von Karten D. Ein zweites Gebot während des Spiels</v>
      </c>
      <c r="J33" s="4" t="s">
        <v>504</v>
      </c>
      <c r="K33" s="4" t="s">
        <v>505</v>
      </c>
      <c r="L33" s="2"/>
      <c r="R33" s="2"/>
      <c r="S33" s="2"/>
      <c r="T33" s="2"/>
      <c r="U33" s="2"/>
    </row>
    <row r="34" ht="22.5" customHeight="1">
      <c r="A34" s="4" t="s">
        <v>506</v>
      </c>
      <c r="B34" s="4" t="s">
        <v>507</v>
      </c>
      <c r="C34" s="4" t="s">
        <v>508</v>
      </c>
      <c r="D34" s="4" t="s">
        <v>509</v>
      </c>
      <c r="E34" s="4" t="s">
        <v>510</v>
      </c>
      <c r="F34" s="2"/>
      <c r="G34" s="5">
        <v>33.0</v>
      </c>
      <c r="H34" s="4" t="s">
        <v>511</v>
      </c>
      <c r="I34" s="4" t="str">
        <f>IFERROR(__xludf.DUMMYFUNCTION("GOOGLETRANSLATE(C34, ""en"", ""de"")"),"A. Das Spiel wird abgebrochen. B. Die Karten werden neu gemischt. C. Die Spieler können erneut bieten. D. Ein Schiedsrichter entscheidet.")</f>
        <v>A. Das Spiel wird abgebrochen. B. Die Karten werden neu gemischt. C. Die Spieler können erneut bieten. D. Ein Schiedsrichter entscheidet.</v>
      </c>
      <c r="J34" s="4" t="s">
        <v>512</v>
      </c>
      <c r="K34" s="4" t="s">
        <v>513</v>
      </c>
      <c r="L34" s="2"/>
      <c r="R34" s="2"/>
      <c r="S34" s="2"/>
      <c r="T34" s="2"/>
      <c r="U34" s="2"/>
    </row>
    <row r="35" ht="22.5" customHeight="1">
      <c r="A35" s="4" t="s">
        <v>514</v>
      </c>
      <c r="B35" s="4" t="s">
        <v>515</v>
      </c>
      <c r="C35" s="4" t="s">
        <v>516</v>
      </c>
      <c r="D35" s="4" t="s">
        <v>517</v>
      </c>
      <c r="E35" s="4" t="s">
        <v>518</v>
      </c>
      <c r="F35" s="2"/>
      <c r="G35" s="5">
        <v>34.0</v>
      </c>
      <c r="H35" s="4" t="s">
        <v>519</v>
      </c>
      <c r="I35" s="4" t="str">
        <f>IFERROR(__xludf.DUMMYFUNCTION("GOOGLETRANSLATE(C35, ""en"", ""de"")"),"A. Ein Spiel mit den höchsten Karten. B. Ein Spiel mit den niedrigsten Karten. C. Ein Spiel mit einer bestimmten Punktzahl. D. Ein Spiel ohne Trumpf.")</f>
        <v>A. Ein Spiel mit den höchsten Karten. B. Ein Spiel mit den niedrigsten Karten. C. Ein Spiel mit einer bestimmten Punktzahl. D. Ein Spiel ohne Trumpf.</v>
      </c>
      <c r="J35" s="4" t="s">
        <v>520</v>
      </c>
      <c r="K35" s="4" t="s">
        <v>521</v>
      </c>
      <c r="L35" s="2"/>
      <c r="R35" s="2"/>
      <c r="S35" s="2"/>
      <c r="T35" s="2"/>
      <c r="U35" s="2"/>
    </row>
    <row r="36" ht="22.5" customHeight="1">
      <c r="A36" s="4" t="s">
        <v>522</v>
      </c>
      <c r="B36" s="4" t="s">
        <v>523</v>
      </c>
      <c r="C36" s="4" t="s">
        <v>524</v>
      </c>
      <c r="D36" s="4" t="s">
        <v>525</v>
      </c>
      <c r="E36" s="4" t="s">
        <v>526</v>
      </c>
      <c r="F36" s="2"/>
      <c r="G36" s="5">
        <v>35.0</v>
      </c>
      <c r="H36" s="4" t="s">
        <v>527</v>
      </c>
      <c r="I36" s="4" t="str">
        <f>IFERROR(__xludf.DUMMYFUNCTION("GOOGLETRANSLATE(C36, ""en"", ""de"")"),"A. 11 Punkte B. 10 Punkte C. 12 Punkte D. 13 Punkte")</f>
        <v>A. 11 Punkte B. 10 Punkte C. 12 Punkte D. 13 Punkte</v>
      </c>
      <c r="J36" s="4" t="s">
        <v>528</v>
      </c>
      <c r="K36" s="4" t="s">
        <v>529</v>
      </c>
      <c r="L36" s="2"/>
      <c r="R36" s="2"/>
      <c r="S36" s="2"/>
      <c r="T36" s="2"/>
      <c r="U36" s="2"/>
    </row>
    <row r="37" ht="22.5" customHeight="1">
      <c r="A37" s="4" t="s">
        <v>530</v>
      </c>
      <c r="B37" s="4" t="s">
        <v>531</v>
      </c>
      <c r="C37" s="4" t="s">
        <v>532</v>
      </c>
      <c r="D37" s="4" t="s">
        <v>533</v>
      </c>
      <c r="E37" s="4" t="s">
        <v>534</v>
      </c>
      <c r="F37" s="2"/>
      <c r="G37" s="5">
        <v>36.0</v>
      </c>
      <c r="H37" s="4" t="s">
        <v>535</v>
      </c>
      <c r="I37" s="4" t="str">
        <f>IFERROR(__xludf.DUMMYFUNCTION("GOOGLETRANSLATE(C37, ""en"", ""de"")"),"A. Das Spiel endet unentschieden. B. Der Gewinner wird per Zufall ermittelt. C. Die Reizphase endet und das Spiel beginnt. D. Die Karten werden gemischt.")</f>
        <v>A. Das Spiel endet unentschieden. B. Der Gewinner wird per Zufall ermittelt. C. Die Reizphase endet und das Spiel beginnt. D. Die Karten werden gemischt.</v>
      </c>
      <c r="J37" s="4" t="s">
        <v>536</v>
      </c>
      <c r="K37" s="4" t="s">
        <v>537</v>
      </c>
      <c r="L37" s="2"/>
      <c r="R37" s="2"/>
      <c r="S37" s="2"/>
      <c r="T37" s="2"/>
      <c r="U37" s="2"/>
    </row>
    <row r="38" ht="22.5" customHeight="1">
      <c r="A38" s="4" t="s">
        <v>538</v>
      </c>
      <c r="B38" s="4" t="s">
        <v>539</v>
      </c>
      <c r="C38" s="4" t="s">
        <v>540</v>
      </c>
      <c r="D38" s="4" t="s">
        <v>541</v>
      </c>
      <c r="E38" s="4" t="s">
        <v>542</v>
      </c>
      <c r="F38" s="2"/>
      <c r="G38" s="5">
        <v>37.0</v>
      </c>
      <c r="H38" s="4" t="s">
        <v>543</v>
      </c>
      <c r="I38" s="4" t="str">
        <f>IFERROR(__xludf.DUMMYFUNCTION("GOOGLETRANSLATE(C38, ""en"", ""de"")"),"A. Ein übermäßig großes Konjunkturprogramm. B. Ein Spiel, bei dem alle Karten verwendet werden. C. Eine kleine Investition. D. Ein gescheiterter Versuch.")</f>
        <v>A. Ein übermäßig großes Konjunkturprogramm. B. Ein Spiel, bei dem alle Karten verwendet werden. C. Eine kleine Investition. D. Ein gescheiterter Versuch.</v>
      </c>
      <c r="J38" s="4" t="s">
        <v>544</v>
      </c>
      <c r="K38" s="4" t="s">
        <v>545</v>
      </c>
      <c r="L38" s="2"/>
      <c r="R38" s="2"/>
      <c r="S38" s="2"/>
      <c r="T38" s="2"/>
      <c r="U38" s="2"/>
    </row>
    <row r="39" ht="22.5" customHeight="1">
      <c r="A39" s="4" t="s">
        <v>546</v>
      </c>
      <c r="B39" s="4" t="s">
        <v>547</v>
      </c>
      <c r="C39" s="4" t="s">
        <v>548</v>
      </c>
      <c r="D39" s="4" t="s">
        <v>549</v>
      </c>
      <c r="E39" s="4" t="s">
        <v>550</v>
      </c>
      <c r="F39" s="2"/>
      <c r="G39" s="5">
        <v>38.0</v>
      </c>
      <c r="H39" s="4" t="s">
        <v>551</v>
      </c>
      <c r="I39" s="4" t="str">
        <f>IFERROR(__xludf.DUMMYFUNCTION("GOOGLETRANSLATE(C39, ""en"", ""de"")"),"A. Ein Spiel anbieten B. Einen Tipp geben C. Sich aus einem Spiel ausloggen D. Den Punktestand erhöhen")</f>
        <v>A. Ein Spiel anbieten B. Einen Tipp geben C. Sich aus einem Spiel ausloggen D. Den Punktestand erhöhen</v>
      </c>
      <c r="J39" s="4" t="s">
        <v>552</v>
      </c>
      <c r="K39" s="4" t="s">
        <v>553</v>
      </c>
      <c r="L39" s="2"/>
      <c r="R39" s="2"/>
      <c r="S39" s="2"/>
      <c r="T39" s="2"/>
      <c r="U39" s="2"/>
    </row>
    <row r="40" ht="22.5" customHeight="1">
      <c r="A40" s="4" t="s">
        <v>554</v>
      </c>
      <c r="B40" s="4" t="s">
        <v>555</v>
      </c>
      <c r="C40" s="4" t="s">
        <v>556</v>
      </c>
      <c r="D40" s="4" t="s">
        <v>557</v>
      </c>
      <c r="E40" s="4" t="s">
        <v>558</v>
      </c>
      <c r="F40" s="2"/>
      <c r="G40" s="5">
        <v>39.0</v>
      </c>
      <c r="H40" s="4" t="s">
        <v>559</v>
      </c>
      <c r="I40" s="4" t="str">
        <f>IFERROR(__xludf.DUMMYFUNCTION("GOOGLETRANSLATE(C40, ""en"", ""de"")"),"A. 12 Stiche B. 24 Stiche C. 20 Stiche D. 18 Stiche")</f>
        <v>A. 12 Stiche B. 24 Stiche C. 20 Stiche D. 18 Stiche</v>
      </c>
      <c r="J40" s="4" t="s">
        <v>560</v>
      </c>
      <c r="K40" s="4" t="s">
        <v>561</v>
      </c>
      <c r="L40" s="2"/>
      <c r="R40" s="2"/>
      <c r="S40" s="2"/>
      <c r="T40" s="2"/>
      <c r="U40" s="2"/>
    </row>
    <row r="41" ht="22.5" customHeight="1">
      <c r="A41" s="4" t="s">
        <v>562</v>
      </c>
      <c r="B41" s="4" t="s">
        <v>563</v>
      </c>
      <c r="C41" s="4" t="s">
        <v>564</v>
      </c>
      <c r="D41" s="4" t="s">
        <v>565</v>
      </c>
      <c r="E41" s="4" t="s">
        <v>566</v>
      </c>
      <c r="F41" s="2"/>
      <c r="G41" s="5">
        <v>40.0</v>
      </c>
      <c r="H41" s="4" t="s">
        <v>567</v>
      </c>
      <c r="I41" s="4" t="str">
        <f>IFERROR(__xludf.DUMMYFUNCTION("GOOGLETRANSLATE(C41, ""en"", ""de"")"),"A. Ein Spiel ohne Stiche. B. Ein Spiel ohne Trümpfe. C. Ein Spiel mit einer festen Anzahl von Reizen. D. Ein Spiel mit der höchsten Punktzahl.")</f>
        <v>A. Ein Spiel ohne Stiche. B. Ein Spiel ohne Trümpfe. C. Ein Spiel mit einer festen Anzahl von Reizen. D. Ein Spiel mit der höchsten Punktzahl.</v>
      </c>
      <c r="J41" s="4" t="s">
        <v>568</v>
      </c>
      <c r="K41" s="4" t="s">
        <v>569</v>
      </c>
      <c r="L41" s="2"/>
      <c r="R41" s="2"/>
      <c r="S41" s="2"/>
      <c r="T41" s="2"/>
      <c r="U41" s="2"/>
    </row>
    <row r="42" ht="22.5" customHeight="1">
      <c r="A42" s="4" t="s">
        <v>570</v>
      </c>
      <c r="B42" s="4" t="s">
        <v>571</v>
      </c>
      <c r="C42" s="4" t="s">
        <v>572</v>
      </c>
      <c r="D42" s="4" t="s">
        <v>384</v>
      </c>
      <c r="E42" s="4" t="s">
        <v>479</v>
      </c>
      <c r="F42" s="2"/>
      <c r="G42" s="5">
        <v>41.0</v>
      </c>
      <c r="H42" s="4" t="s">
        <v>573</v>
      </c>
      <c r="I42" s="4" t="str">
        <f>IFERROR(__xludf.DUMMYFUNCTION("GOOGLETRANSLATE(C42, ""en"", ""de"")"),"A. 10 Punkte B. 9 Punkte C. 11 Punkte D. 12 Punkte")</f>
        <v>A. 10 Punkte B. 9 Punkte C. 11 Punkte D. 12 Punkte</v>
      </c>
      <c r="J42" s="4" t="s">
        <v>387</v>
      </c>
      <c r="K42" s="4" t="s">
        <v>481</v>
      </c>
      <c r="L42" s="2"/>
      <c r="R42" s="2"/>
      <c r="S42" s="2"/>
      <c r="T42" s="2"/>
      <c r="U42" s="2"/>
    </row>
    <row r="43" ht="22.5" customHeight="1">
      <c r="A43" s="4" t="s">
        <v>574</v>
      </c>
      <c r="B43" s="4" t="s">
        <v>575</v>
      </c>
      <c r="C43" s="4" t="s">
        <v>576</v>
      </c>
      <c r="D43" s="4" t="s">
        <v>577</v>
      </c>
      <c r="E43" s="4" t="s">
        <v>518</v>
      </c>
      <c r="F43" s="2"/>
      <c r="G43" s="5">
        <v>42.0</v>
      </c>
      <c r="H43" s="4" t="s">
        <v>578</v>
      </c>
      <c r="I43" s="4" t="str">
        <f>IFERROR(__xludf.DUMMYFUNCTION("GOOGLETRANSLATE(C43, ""en"", ""de"")"),"A. Ein Spiel mit den höchsten Trumpfkarten. B. Ein Spiel mit der niedrigsten Punktzahl. C. Ein Spiel mit den meisten Assen. D. Ein Spiel ohne Trumpf.")</f>
        <v>A. Ein Spiel mit den höchsten Trumpfkarten. B. Ein Spiel mit der niedrigsten Punktzahl. C. Ein Spiel mit den meisten Assen. D. Ein Spiel ohne Trumpf.</v>
      </c>
      <c r="J43" s="4" t="s">
        <v>579</v>
      </c>
      <c r="K43" s="4" t="s">
        <v>521</v>
      </c>
      <c r="L43" s="2"/>
      <c r="R43" s="2"/>
      <c r="S43" s="2"/>
      <c r="T43" s="2"/>
      <c r="U43" s="2"/>
    </row>
    <row r="44" ht="22.5" customHeight="1">
      <c r="A44" s="4" t="s">
        <v>580</v>
      </c>
      <c r="B44" s="4" t="s">
        <v>581</v>
      </c>
      <c r="C44" s="4" t="s">
        <v>582</v>
      </c>
      <c r="D44" s="4" t="s">
        <v>583</v>
      </c>
      <c r="E44" s="4" t="s">
        <v>584</v>
      </c>
      <c r="F44" s="2"/>
      <c r="G44" s="5">
        <v>43.0</v>
      </c>
      <c r="H44" s="4" t="s">
        <v>585</v>
      </c>
      <c r="I44" s="4" t="str">
        <f>IFERROR(__xludf.DUMMYFUNCTION("GOOGLETRANSLATE(C44, ""en"", ""de"")"),"A. Er verliert das Spiel. B. Das Spiel wird abgebrochen. C. Der Gegner gewinnt automatisch. D. Das Spiel kann fortgesetzt werden.")</f>
        <v>A. Er verliert das Spiel. B. Das Spiel wird abgebrochen. C. Der Gegner gewinnt automatisch. D. Das Spiel kann fortgesetzt werden.</v>
      </c>
      <c r="J44" s="4" t="s">
        <v>586</v>
      </c>
      <c r="K44" s="4" t="s">
        <v>587</v>
      </c>
      <c r="L44" s="2"/>
      <c r="R44" s="2"/>
      <c r="S44" s="2"/>
      <c r="T44" s="2"/>
      <c r="U44" s="2"/>
    </row>
    <row r="45" ht="22.5" customHeight="1">
      <c r="A45" s="4" t="s">
        <v>588</v>
      </c>
      <c r="B45" s="4" t="s">
        <v>531</v>
      </c>
      <c r="C45" s="4" t="s">
        <v>589</v>
      </c>
      <c r="D45" s="4" t="s">
        <v>590</v>
      </c>
      <c r="E45" s="4" t="s">
        <v>591</v>
      </c>
      <c r="F45" s="2"/>
      <c r="G45" s="5">
        <v>44.0</v>
      </c>
      <c r="H45" s="4" t="s">
        <v>535</v>
      </c>
      <c r="I45" s="4" t="str">
        <f>IFERROR(__xludf.DUMMYFUNCTION("GOOGLETRANSLATE(C45, ""en"", ""de"")"),"A. Das Spiel ist beendet. B. Ein tieferes Engagement ist erforderlich. C. Das Spiel beginnt. D. Der Einsatz wird verdoppelt.")</f>
        <v>A. Das Spiel ist beendet. B. Ein tieferes Engagement ist erforderlich. C. Das Spiel beginnt. D. Der Einsatz wird verdoppelt.</v>
      </c>
      <c r="J45" s="4" t="s">
        <v>592</v>
      </c>
      <c r="K45" s="4" t="s">
        <v>593</v>
      </c>
      <c r="L45" s="2"/>
      <c r="R45" s="2"/>
      <c r="S45" s="2"/>
      <c r="T45" s="2"/>
      <c r="U45" s="2"/>
    </row>
    <row r="46" ht="22.5" customHeight="1">
      <c r="A46" s="4" t="s">
        <v>594</v>
      </c>
      <c r="B46" s="4" t="s">
        <v>595</v>
      </c>
      <c r="C46" s="4" t="s">
        <v>596</v>
      </c>
      <c r="D46" s="4" t="s">
        <v>400</v>
      </c>
      <c r="E46" s="4" t="s">
        <v>597</v>
      </c>
      <c r="F46" s="2"/>
      <c r="G46" s="5">
        <v>45.0</v>
      </c>
      <c r="H46" s="4" t="s">
        <v>598</v>
      </c>
      <c r="I46" s="4" t="str">
        <f>IFERROR(__xludf.DUMMYFUNCTION("GOOGLETRANSLATE(C46, ""en"", ""de"")"),"A. Als B. Jack C. König D. Dame")</f>
        <v>A. Als B. Jack C. König D. Dame</v>
      </c>
      <c r="J46" s="4" t="s">
        <v>400</v>
      </c>
      <c r="K46" s="4" t="s">
        <v>599</v>
      </c>
      <c r="L46" s="2"/>
      <c r="R46" s="2"/>
      <c r="S46" s="2"/>
      <c r="T46" s="2"/>
      <c r="U46" s="2"/>
    </row>
    <row r="47" ht="22.5" customHeight="1">
      <c r="A47" s="4" t="s">
        <v>600</v>
      </c>
      <c r="B47" s="4" t="s">
        <v>601</v>
      </c>
      <c r="C47" s="4" t="s">
        <v>602</v>
      </c>
      <c r="D47" s="4" t="s">
        <v>337</v>
      </c>
      <c r="E47" s="4" t="s">
        <v>526</v>
      </c>
      <c r="F47" s="2"/>
      <c r="G47" s="5">
        <v>46.0</v>
      </c>
      <c r="H47" s="4" t="s">
        <v>603</v>
      </c>
      <c r="I47" s="4" t="str">
        <f>IFERROR(__xludf.DUMMYFUNCTION("GOOGLETRANSLATE(C47, ""en"", ""de"")"),"A. 11 B. 10 C. 9 D. 12")</f>
        <v>A. 11 B. 10 C. 9 D. 12</v>
      </c>
      <c r="J47" s="5">
        <v>11.0</v>
      </c>
      <c r="K47" s="4" t="s">
        <v>529</v>
      </c>
      <c r="L47" s="2"/>
      <c r="R47" s="2"/>
      <c r="S47" s="2"/>
      <c r="T47" s="2"/>
      <c r="U47" s="2"/>
    </row>
    <row r="48" ht="22.5" customHeight="1">
      <c r="A48" s="4" t="s">
        <v>604</v>
      </c>
      <c r="B48" s="4" t="s">
        <v>605</v>
      </c>
      <c r="C48" s="4" t="s">
        <v>606</v>
      </c>
      <c r="D48" s="4" t="s">
        <v>607</v>
      </c>
      <c r="E48" s="4" t="s">
        <v>608</v>
      </c>
      <c r="F48" s="2"/>
      <c r="G48" s="5">
        <v>47.0</v>
      </c>
      <c r="H48" s="4" t="s">
        <v>609</v>
      </c>
      <c r="I48" s="4" t="str">
        <f>IFERROR(__xludf.DUMMYFUNCTION("GOOGLETRANSLATE(C48, ""en"", ""de"")"),"A. Er gewinnt das Spiel. B. Er erhält zusätzliche Karten. C. Er diktiert das Spiel. D. Er muss eine Geldstrafe zahlen.")</f>
        <v>A. Er gewinnt das Spiel. B. Er erhält zusätzliche Karten. C. Er diktiert das Spiel. D. Er muss eine Geldstrafe zahlen.</v>
      </c>
      <c r="J48" s="4" t="s">
        <v>610</v>
      </c>
      <c r="K48" s="4" t="s">
        <v>611</v>
      </c>
      <c r="L48" s="2"/>
      <c r="R48" s="2"/>
      <c r="S48" s="2"/>
      <c r="T48" s="2"/>
      <c r="U48" s="2"/>
    </row>
    <row r="49" ht="22.5" customHeight="1">
      <c r="A49" s="4" t="s">
        <v>612</v>
      </c>
      <c r="B49" s="4" t="s">
        <v>491</v>
      </c>
      <c r="C49" s="4" t="s">
        <v>613</v>
      </c>
      <c r="D49" s="4" t="s">
        <v>493</v>
      </c>
      <c r="E49" s="4" t="s">
        <v>614</v>
      </c>
      <c r="F49" s="2"/>
      <c r="G49" s="5">
        <v>48.0</v>
      </c>
      <c r="H49" s="4" t="s">
        <v>495</v>
      </c>
      <c r="I49" s="4" t="str">
        <f>IFERROR(__xludf.DUMMYFUNCTION("GOOGLETRANSLATE(C49, ""en"", ""de"")"),"A. 2 Karten B. 1 Karte C. 3 Karten D. 4 Karten")</f>
        <v>A. 2 Karten B. 1 Karte C. 3 Karten D. 4 Karten</v>
      </c>
      <c r="J49" s="4" t="s">
        <v>496</v>
      </c>
      <c r="K49" s="4" t="s">
        <v>615</v>
      </c>
      <c r="L49" s="2"/>
      <c r="R49" s="2"/>
      <c r="S49" s="2"/>
      <c r="T49" s="2"/>
      <c r="U49" s="2"/>
    </row>
    <row r="50" ht="22.5" customHeight="1">
      <c r="A50" s="4" t="s">
        <v>616</v>
      </c>
      <c r="B50" s="4" t="s">
        <v>617</v>
      </c>
      <c r="C50" s="4" t="s">
        <v>618</v>
      </c>
      <c r="D50" s="4" t="s">
        <v>619</v>
      </c>
      <c r="E50" s="4" t="s">
        <v>620</v>
      </c>
      <c r="F50" s="2"/>
      <c r="G50" s="5">
        <v>49.0</v>
      </c>
      <c r="H50" s="4" t="s">
        <v>621</v>
      </c>
      <c r="I50" s="4" t="str">
        <f>IFERROR(__xludf.DUMMYFUNCTION("GOOGLETRANSLATE(C50, ""en"", ""de"")"),"A. Er erzielt immer 10 Punkte. B. Das hängt vom Spiel ab. C. Er hat immer 11 Punkte. D. Das variiert je nach Spiel.")</f>
        <v>A. Er erzielt immer 10 Punkte. B. Das hängt vom Spiel ab. C. Er hat immer 11 Punkte. D. Das variiert je nach Spiel.</v>
      </c>
      <c r="J50" s="4" t="s">
        <v>622</v>
      </c>
      <c r="K50" s="4" t="s">
        <v>623</v>
      </c>
      <c r="L50" s="2"/>
      <c r="R50" s="2"/>
      <c r="S50" s="2"/>
      <c r="T50" s="2"/>
      <c r="U50" s="2"/>
    </row>
    <row r="51" ht="22.5" customHeight="1">
      <c r="A51" s="4" t="s">
        <v>624</v>
      </c>
      <c r="B51" s="4" t="s">
        <v>625</v>
      </c>
      <c r="C51" s="4" t="s">
        <v>626</v>
      </c>
      <c r="D51" s="4" t="s">
        <v>627</v>
      </c>
      <c r="E51" s="4" t="s">
        <v>628</v>
      </c>
      <c r="F51" s="2"/>
      <c r="G51" s="5">
        <v>50.0</v>
      </c>
      <c r="H51" s="4" t="s">
        <v>629</v>
      </c>
      <c r="I51" s="4" t="str">
        <f>IFERROR(__xludf.DUMMYFUNCTION("GOOGLETRANSLATE(C51, ""en"", ""de"")"),"A. Er erhält null Punkte. B. Er verliert automatisch. C. Er gewinnt die Runde. D. Er erhält einen Bonus.")</f>
        <v>A. Er erhält null Punkte. B. Er verliert automatisch. C. Er gewinnt die Runde. D. Er erhält einen Bonus.</v>
      </c>
      <c r="J51" s="4" t="s">
        <v>630</v>
      </c>
      <c r="K51" s="4" t="s">
        <v>631</v>
      </c>
      <c r="L51" s="2"/>
      <c r="R51" s="2"/>
      <c r="S51" s="2"/>
      <c r="T51" s="2"/>
      <c r="U51" s="2"/>
    </row>
    <row r="52" ht="22.5" customHeight="1">
      <c r="A52" s="4" t="s">
        <v>632</v>
      </c>
      <c r="B52" s="4" t="s">
        <v>312</v>
      </c>
      <c r="C52" s="4" t="s">
        <v>633</v>
      </c>
      <c r="D52" s="4" t="s">
        <v>634</v>
      </c>
      <c r="E52" s="4" t="s">
        <v>635</v>
      </c>
      <c r="F52" s="2"/>
      <c r="G52" s="5">
        <v>51.0</v>
      </c>
      <c r="H52" s="4" t="s">
        <v>316</v>
      </c>
      <c r="I52" s="4" t="str">
        <f>IFERROR(__xludf.DUMMYFUNCTION("GOOGLETRANSLATE(C52, ""en"", ""de"")"),"A. Ein Gebot abgeben B. Spielankündigung C. Die Karten mischen D. Die Punkte zählen")</f>
        <v>A. Ein Gebot abgeben B. Spielankündigung C. Die Karten mischen D. Die Punkte zählen</v>
      </c>
      <c r="J52" s="4" t="s">
        <v>636</v>
      </c>
      <c r="K52" s="4" t="s">
        <v>637</v>
      </c>
      <c r="L52" s="2"/>
      <c r="R52" s="2"/>
      <c r="S52" s="2"/>
      <c r="T52" s="2"/>
      <c r="U52" s="2"/>
    </row>
    <row r="53" ht="22.5" customHeight="1">
      <c r="A53" s="4" t="s">
        <v>638</v>
      </c>
      <c r="B53" s="4" t="s">
        <v>639</v>
      </c>
      <c r="C53" s="4" t="s">
        <v>640</v>
      </c>
      <c r="D53" s="4" t="s">
        <v>279</v>
      </c>
      <c r="E53" s="4" t="s">
        <v>641</v>
      </c>
      <c r="F53" s="2"/>
      <c r="G53" s="5">
        <v>52.0</v>
      </c>
      <c r="H53" s="4" t="s">
        <v>642</v>
      </c>
      <c r="I53" s="4" t="str">
        <f>IFERROR(__xludf.DUMMYFUNCTION("GOOGLETRANSLATE(C53, ""en"", ""de"")"),"A. 4 B. 2 C. 3 D. 5")</f>
        <v>A. 4 B. 2 C. 3 D. 5</v>
      </c>
      <c r="J53" s="5">
        <v>3.0</v>
      </c>
      <c r="K53" s="4" t="s">
        <v>643</v>
      </c>
      <c r="L53" s="2"/>
      <c r="R53" s="2"/>
      <c r="S53" s="2"/>
      <c r="T53" s="2"/>
      <c r="U53" s="2"/>
    </row>
    <row r="54" ht="22.5" customHeight="1">
      <c r="A54" s="4" t="s">
        <v>644</v>
      </c>
      <c r="B54" s="4" t="s">
        <v>645</v>
      </c>
      <c r="C54" s="4" t="s">
        <v>646</v>
      </c>
      <c r="D54" s="4" t="s">
        <v>647</v>
      </c>
      <c r="E54" s="4" t="s">
        <v>648</v>
      </c>
      <c r="F54" s="2"/>
      <c r="G54" s="5">
        <v>53.0</v>
      </c>
      <c r="H54" s="4" t="s">
        <v>649</v>
      </c>
      <c r="I54" s="4" t="str">
        <f>IFERROR(__xludf.DUMMYFUNCTION("GOOGLETRANSLATE(C54, ""en"", ""de"")"),"A. Ein Spiel, bei dem alle Karten Trumpf sind. B. Ein Spiel ohne Trumpf. C. Ein Spiel, bei dem nur die höchsten Karten verwendet werden. D. Ein Spiel, bei dem nur die niedrigsten Karten verwendet werden.")</f>
        <v>A. Ein Spiel, bei dem alle Karten Trumpf sind. B. Ein Spiel ohne Trumpf. C. Ein Spiel, bei dem nur die höchsten Karten verwendet werden. D. Ein Spiel, bei dem nur die niedrigsten Karten verwendet werden.</v>
      </c>
      <c r="J54" s="4" t="s">
        <v>650</v>
      </c>
      <c r="K54" s="4" t="s">
        <v>651</v>
      </c>
      <c r="L54" s="2"/>
      <c r="R54" s="2"/>
      <c r="S54" s="2"/>
      <c r="T54" s="2"/>
      <c r="U54" s="2"/>
    </row>
    <row r="55" ht="22.5" customHeight="1">
      <c r="A55" s="4" t="s">
        <v>652</v>
      </c>
      <c r="B55" s="4" t="s">
        <v>653</v>
      </c>
      <c r="C55" s="4" t="s">
        <v>654</v>
      </c>
      <c r="D55" s="4" t="s">
        <v>400</v>
      </c>
      <c r="E55" s="4" t="s">
        <v>655</v>
      </c>
      <c r="F55" s="2"/>
      <c r="G55" s="5">
        <v>54.0</v>
      </c>
      <c r="H55" s="4" t="s">
        <v>656</v>
      </c>
      <c r="I55" s="4" t="str">
        <f>IFERROR(__xludf.DUMMYFUNCTION("GOOGLETRANSLATE(C55, ""en"", ""de"")"),"A. Als B. König C. Jack D. Dame")</f>
        <v>A. Als B. König C. Jack D. Dame</v>
      </c>
      <c r="J55" s="4" t="s">
        <v>400</v>
      </c>
      <c r="K55" s="4" t="s">
        <v>657</v>
      </c>
      <c r="L55" s="2"/>
      <c r="R55" s="2"/>
      <c r="S55" s="2"/>
      <c r="T55" s="2"/>
      <c r="U55" s="2"/>
    </row>
    <row r="56" ht="22.5" customHeight="1">
      <c r="A56" s="4" t="s">
        <v>658</v>
      </c>
      <c r="B56" s="4" t="s">
        <v>605</v>
      </c>
      <c r="C56" s="4" t="s">
        <v>659</v>
      </c>
      <c r="D56" s="4" t="s">
        <v>660</v>
      </c>
      <c r="E56" s="4" t="s">
        <v>661</v>
      </c>
      <c r="F56" s="2"/>
      <c r="G56" s="5">
        <v>55.0</v>
      </c>
      <c r="H56" s="4" t="s">
        <v>609</v>
      </c>
      <c r="I56" s="4" t="str">
        <f>IFERROR(__xludf.DUMMYFUNCTION("GOOGLETRANSLATE(C56, ""en"", ""de"")"),"A. Er kann das Spiel diktieren. B. Er verliert das Spiel. C. Er erhält zusätzliche Karten. D. Er bestimmt die Trumpffarbe.")</f>
        <v>A. Er kann das Spiel diktieren. B. Er verliert das Spiel. C. Er erhält zusätzliche Karten. D. Er bestimmt die Trumpffarbe.</v>
      </c>
      <c r="J56" s="4" t="s">
        <v>662</v>
      </c>
      <c r="K56" s="4" t="s">
        <v>663</v>
      </c>
      <c r="L56" s="2"/>
      <c r="R56" s="2"/>
      <c r="S56" s="2"/>
      <c r="T56" s="2"/>
      <c r="U56" s="2"/>
    </row>
    <row r="57" ht="22.5" customHeight="1">
      <c r="A57" s="4" t="s">
        <v>664</v>
      </c>
      <c r="B57" s="4" t="s">
        <v>571</v>
      </c>
      <c r="C57" s="4" t="s">
        <v>665</v>
      </c>
      <c r="D57" s="4" t="s">
        <v>384</v>
      </c>
      <c r="E57" s="4" t="s">
        <v>666</v>
      </c>
      <c r="F57" s="2"/>
      <c r="G57" s="5">
        <v>56.0</v>
      </c>
      <c r="H57" s="4" t="s">
        <v>573</v>
      </c>
      <c r="I57" s="4" t="str">
        <f>IFERROR(__xludf.DUMMYFUNCTION("GOOGLETRANSLATE(C57, ""en"", ""de"")"),"A. 10 Punkte B. 11 Punkte C. 9 Punkte D. 8 Punkte")</f>
        <v>A. 10 Punkte B. 11 Punkte C. 9 Punkte D. 8 Punkte</v>
      </c>
      <c r="J57" s="4" t="s">
        <v>387</v>
      </c>
      <c r="K57" s="4" t="s">
        <v>667</v>
      </c>
      <c r="L57" s="2"/>
      <c r="R57" s="2"/>
      <c r="S57" s="2"/>
      <c r="T57" s="2"/>
      <c r="U57" s="2"/>
    </row>
    <row r="58" ht="22.5" customHeight="1">
      <c r="A58" s="4" t="s">
        <v>668</v>
      </c>
      <c r="B58" s="4" t="s">
        <v>669</v>
      </c>
      <c r="C58" s="4" t="s">
        <v>670</v>
      </c>
      <c r="D58" s="4" t="s">
        <v>671</v>
      </c>
      <c r="E58" s="4" t="s">
        <v>672</v>
      </c>
      <c r="F58" s="2"/>
      <c r="G58" s="5">
        <v>57.0</v>
      </c>
      <c r="H58" s="4" t="s">
        <v>673</v>
      </c>
      <c r="I58" s="4" t="str">
        <f>IFERROR(__xludf.DUMMYFUNCTION("GOOGLETRANSLATE(C58, ""en"", ""de"")"),"A. Das Spiel wird abgebrochen. B. Der Gegner gewinnt automatisch. C. Der Fehler wird ignoriert. D. Der Fehler wurde behoben.")</f>
        <v>A. Das Spiel wird abgebrochen. B. Der Gegner gewinnt automatisch. C. Der Fehler wird ignoriert. D. Der Fehler wurde behoben.</v>
      </c>
      <c r="J58" s="4" t="s">
        <v>674</v>
      </c>
      <c r="K58" s="4" t="s">
        <v>675</v>
      </c>
      <c r="L58" s="2"/>
      <c r="R58" s="2"/>
      <c r="S58" s="2"/>
      <c r="T58" s="2"/>
      <c r="U58" s="2"/>
    </row>
    <row r="59" ht="22.5" customHeight="1">
      <c r="A59" s="4" t="s">
        <v>676</v>
      </c>
      <c r="B59" s="4" t="s">
        <v>677</v>
      </c>
      <c r="C59" s="4" t="s">
        <v>678</v>
      </c>
      <c r="D59" s="4" t="s">
        <v>329</v>
      </c>
      <c r="E59" s="4" t="s">
        <v>679</v>
      </c>
      <c r="F59" s="2"/>
      <c r="G59" s="5">
        <v>58.0</v>
      </c>
      <c r="H59" s="4" t="s">
        <v>680</v>
      </c>
      <c r="I59" s="4" t="str">
        <f>IFERROR(__xludf.DUMMYFUNCTION("GOOGLETRANSLATE(C59, ""en"", ""de"")"),"A. Ein Spiel, bei dem keine Stiche erlaubt sind. B. Ein Spiel ohne Trumpf. C. Ein Spiel mit den höchsten Karten. D. Ein Spiel mit einer festen Punktzahl.")</f>
        <v>A. Ein Spiel, bei dem keine Stiche erlaubt sind. B. Ein Spiel ohne Trumpf. C. Ein Spiel mit den höchsten Karten. D. Ein Spiel mit einer festen Punktzahl.</v>
      </c>
      <c r="J59" s="4" t="s">
        <v>332</v>
      </c>
      <c r="K59" s="4" t="s">
        <v>681</v>
      </c>
      <c r="L59" s="2"/>
      <c r="R59" s="2"/>
      <c r="S59" s="2"/>
      <c r="T59" s="2"/>
      <c r="U59" s="2"/>
    </row>
    <row r="60" ht="22.5" customHeight="1">
      <c r="A60" s="4" t="s">
        <v>682</v>
      </c>
      <c r="B60" s="4" t="s">
        <v>507</v>
      </c>
      <c r="C60" s="4" t="s">
        <v>508</v>
      </c>
      <c r="D60" s="4" t="s">
        <v>509</v>
      </c>
      <c r="E60" s="4" t="s">
        <v>510</v>
      </c>
      <c r="F60" s="2"/>
      <c r="G60" s="5">
        <v>59.0</v>
      </c>
      <c r="H60" s="4" t="s">
        <v>511</v>
      </c>
      <c r="I60" s="4" t="str">
        <f>IFERROR(__xludf.DUMMYFUNCTION("GOOGLETRANSLATE(C60, ""en"", ""de"")"),"A. Das Spiel wird abgebrochen. B. Die Karten werden neu gemischt. C. Die Spieler können erneut bieten. D. Ein Schiedsrichter entscheidet.")</f>
        <v>A. Das Spiel wird abgebrochen. B. Die Karten werden neu gemischt. C. Die Spieler können erneut bieten. D. Ein Schiedsrichter entscheidet.</v>
      </c>
      <c r="J60" s="4" t="s">
        <v>512</v>
      </c>
      <c r="K60" s="4" t="s">
        <v>513</v>
      </c>
      <c r="L60" s="2"/>
      <c r="R60" s="2"/>
      <c r="S60" s="2"/>
      <c r="T60" s="2"/>
      <c r="U60" s="2"/>
    </row>
    <row r="61" ht="22.5" customHeight="1">
      <c r="A61" s="4" t="s">
        <v>683</v>
      </c>
      <c r="B61" s="4" t="s">
        <v>684</v>
      </c>
      <c r="C61" s="4" t="s">
        <v>685</v>
      </c>
      <c r="D61" s="4" t="s">
        <v>274</v>
      </c>
      <c r="E61" s="4" t="s">
        <v>686</v>
      </c>
      <c r="F61" s="2"/>
      <c r="G61" s="5">
        <v>60.0</v>
      </c>
      <c r="H61" s="4" t="s">
        <v>687</v>
      </c>
      <c r="I61" s="4" t="str">
        <f>IFERROR(__xludf.DUMMYFUNCTION("GOOGLETRANSLATE(C61, ""en"", ""de"")"),"A. 10 Karten B. 7 Karten C. 9 Karten D. 5 Karten")</f>
        <v>A. 10 Karten B. 7 Karten C. 9 Karten D. 5 Karten</v>
      </c>
      <c r="J61" s="4" t="s">
        <v>277</v>
      </c>
      <c r="K61" s="4" t="s">
        <v>688</v>
      </c>
      <c r="L61" s="2"/>
      <c r="R61" s="2"/>
      <c r="S61" s="2"/>
      <c r="T61" s="2"/>
      <c r="U61" s="2"/>
    </row>
    <row r="62" ht="22.5" customHeight="1">
      <c r="A62" s="4" t="s">
        <v>689</v>
      </c>
      <c r="B62" s="4" t="s">
        <v>690</v>
      </c>
      <c r="C62" s="4" t="s">
        <v>691</v>
      </c>
      <c r="D62" s="4" t="s">
        <v>583</v>
      </c>
      <c r="E62" s="4" t="s">
        <v>584</v>
      </c>
      <c r="F62" s="2"/>
      <c r="G62" s="5">
        <v>61.0</v>
      </c>
      <c r="H62" s="4" t="s">
        <v>692</v>
      </c>
      <c r="I62" s="4" t="str">
        <f>IFERROR(__xludf.DUMMYFUNCTION("GOOGLETRANSLATE(C62, ""en"", ""de"")"),"A. Das Spiel wird abgebrochen. B. Der Spieler verliert automatisch. C. Der Gegner gewinnt automatisch. D. Das Spiel kann fortgesetzt werden.")</f>
        <v>A. Das Spiel wird abgebrochen. B. Der Spieler verliert automatisch. C. Der Gegner gewinnt automatisch. D. Das Spiel kann fortgesetzt werden.</v>
      </c>
      <c r="J62" s="4" t="s">
        <v>586</v>
      </c>
      <c r="K62" s="4" t="s">
        <v>587</v>
      </c>
      <c r="L62" s="2"/>
      <c r="R62" s="2"/>
      <c r="S62" s="2"/>
      <c r="T62" s="2"/>
      <c r="U62" s="2"/>
    </row>
    <row r="63" ht="22.5" customHeight="1">
      <c r="A63" s="4" t="s">
        <v>693</v>
      </c>
      <c r="B63" s="4" t="s">
        <v>469</v>
      </c>
      <c r="C63" s="4" t="s">
        <v>470</v>
      </c>
      <c r="D63" s="4" t="s">
        <v>471</v>
      </c>
      <c r="E63" s="4" t="s">
        <v>472</v>
      </c>
      <c r="F63" s="2"/>
      <c r="G63" s="5">
        <v>62.0</v>
      </c>
      <c r="H63" s="4" t="s">
        <v>473</v>
      </c>
      <c r="I63" s="4" t="str">
        <f>IFERROR(__xludf.DUMMYFUNCTION("GOOGLETRANSLATE(C63, ""en"", ""de"")"),"A. Schach B. Herz C. Pik D. Keine garantierte Trumpfkarte")</f>
        <v>A. Schach B. Herz C. Pik D. Keine garantierte Trumpfkarte</v>
      </c>
      <c r="J63" s="4" t="s">
        <v>474</v>
      </c>
      <c r="K63" s="4" t="s">
        <v>475</v>
      </c>
      <c r="L63" s="2"/>
      <c r="R63" s="2"/>
      <c r="S63" s="2"/>
      <c r="T63" s="2"/>
      <c r="U63" s="2"/>
    </row>
    <row r="64" ht="22.5" customHeight="1">
      <c r="A64" s="4" t="s">
        <v>694</v>
      </c>
      <c r="B64" s="4" t="s">
        <v>483</v>
      </c>
      <c r="C64" s="4" t="s">
        <v>484</v>
      </c>
      <c r="D64" s="4" t="s">
        <v>485</v>
      </c>
      <c r="E64" s="4" t="s">
        <v>486</v>
      </c>
      <c r="F64" s="2"/>
      <c r="G64" s="5">
        <v>63.0</v>
      </c>
      <c r="H64" s="4" t="s">
        <v>487</v>
      </c>
      <c r="I64" s="4" t="str">
        <f>IFERROR(__xludf.DUMMYFUNCTION("GOOGLETRANSLATE(C64, ""en"", ""de"")"),"A. Alle Karten zählen als Trumpf. B. Es kann kein Spiel gewonnen werden. C. Der Wert der Karten wird reduziert. D. Es gibt keine Trumpfkarten.")</f>
        <v>A. Alle Karten zählen als Trumpf. B. Es kann kein Spiel gewonnen werden. C. Der Wert der Karten wird reduziert. D. Es gibt keine Trumpfkarten.</v>
      </c>
      <c r="J64" s="4" t="s">
        <v>488</v>
      </c>
      <c r="K64" s="4" t="s">
        <v>489</v>
      </c>
      <c r="L64" s="2"/>
      <c r="R64" s="2"/>
      <c r="S64" s="2"/>
      <c r="T64" s="2"/>
      <c r="U64" s="2"/>
    </row>
    <row r="65" ht="22.5" customHeight="1">
      <c r="A65" s="4" t="s">
        <v>695</v>
      </c>
      <c r="B65" s="4" t="s">
        <v>499</v>
      </c>
      <c r="C65" s="4" t="s">
        <v>500</v>
      </c>
      <c r="D65" s="4" t="s">
        <v>501</v>
      </c>
      <c r="E65" s="4" t="s">
        <v>502</v>
      </c>
      <c r="F65" s="2"/>
      <c r="G65" s="5">
        <v>64.0</v>
      </c>
      <c r="H65" s="4" t="s">
        <v>503</v>
      </c>
      <c r="I65" s="4" t="str">
        <f>IFERROR(__xludf.DUMMYFUNCTION("GOOGLETRANSLATE(C65, ""en"", ""de"")"),"A. Erhöhung der Trumpfkarten B. Ablehnung eines Spiels C. Ablegen von Karten D. Ein zweites Gebot während des Spiels")</f>
        <v>A. Erhöhung der Trumpfkarten B. Ablehnung eines Spiels C. Ablegen von Karten D. Ein zweites Gebot während des Spiels</v>
      </c>
      <c r="J65" s="4" t="s">
        <v>504</v>
      </c>
      <c r="K65" s="4" t="s">
        <v>505</v>
      </c>
      <c r="L65" s="2"/>
      <c r="R65" s="2"/>
      <c r="S65" s="2"/>
      <c r="T65" s="2"/>
      <c r="U65" s="2"/>
    </row>
    <row r="66" ht="22.5" customHeight="1">
      <c r="A66" s="4" t="s">
        <v>696</v>
      </c>
      <c r="B66" s="4" t="s">
        <v>555</v>
      </c>
      <c r="C66" s="4" t="s">
        <v>556</v>
      </c>
      <c r="D66" s="4" t="s">
        <v>557</v>
      </c>
      <c r="E66" s="4" t="s">
        <v>558</v>
      </c>
      <c r="F66" s="2"/>
      <c r="G66" s="5">
        <v>65.0</v>
      </c>
      <c r="H66" s="4" t="s">
        <v>559</v>
      </c>
      <c r="I66" s="4" t="str">
        <f>IFERROR(__xludf.DUMMYFUNCTION("GOOGLETRANSLATE(C66, ""en"", ""de"")"),"A. 12 Stiche B. 24 Stiche C. 20 Stiche D. 18 Stiche")</f>
        <v>A. 12 Stiche B. 24 Stiche C. 20 Stiche D. 18 Stiche</v>
      </c>
      <c r="J66" s="4" t="s">
        <v>560</v>
      </c>
      <c r="K66" s="4" t="s">
        <v>561</v>
      </c>
      <c r="L66" s="2"/>
      <c r="R66" s="2"/>
      <c r="S66" s="2"/>
      <c r="T66" s="2"/>
      <c r="U66" s="2"/>
    </row>
    <row r="67" ht="22.5" customHeight="1">
      <c r="A67" s="4" t="s">
        <v>697</v>
      </c>
      <c r="B67" s="4" t="s">
        <v>515</v>
      </c>
      <c r="C67" s="4" t="s">
        <v>516</v>
      </c>
      <c r="D67" s="4" t="s">
        <v>517</v>
      </c>
      <c r="E67" s="4" t="s">
        <v>518</v>
      </c>
      <c r="F67" s="2"/>
      <c r="G67" s="5">
        <v>66.0</v>
      </c>
      <c r="H67" s="4" t="s">
        <v>519</v>
      </c>
      <c r="I67" s="4" t="str">
        <f>IFERROR(__xludf.DUMMYFUNCTION("GOOGLETRANSLATE(C67, ""en"", ""de"")"),"A. Ein Spiel mit den höchsten Karten. B. Ein Spiel mit den niedrigsten Karten. C. Ein Spiel mit einer bestimmten Punktzahl. D. Ein Spiel ohne Trumpf.")</f>
        <v>A. Ein Spiel mit den höchsten Karten. B. Ein Spiel mit den niedrigsten Karten. C. Ein Spiel mit einer bestimmten Punktzahl. D. Ein Spiel ohne Trumpf.</v>
      </c>
      <c r="J67" s="4" t="s">
        <v>520</v>
      </c>
      <c r="K67" s="4" t="s">
        <v>521</v>
      </c>
      <c r="L67" s="2"/>
      <c r="R67" s="2"/>
      <c r="S67" s="2"/>
      <c r="T67" s="2"/>
      <c r="U67" s="2"/>
    </row>
    <row r="68" ht="22.5" customHeight="1">
      <c r="A68" s="4" t="s">
        <v>698</v>
      </c>
      <c r="B68" s="4" t="s">
        <v>523</v>
      </c>
      <c r="C68" s="4" t="s">
        <v>524</v>
      </c>
      <c r="D68" s="4" t="s">
        <v>525</v>
      </c>
      <c r="E68" s="4" t="s">
        <v>526</v>
      </c>
      <c r="F68" s="2"/>
      <c r="G68" s="5">
        <v>67.0</v>
      </c>
      <c r="H68" s="4" t="s">
        <v>527</v>
      </c>
      <c r="I68" s="4" t="str">
        <f>IFERROR(__xludf.DUMMYFUNCTION("GOOGLETRANSLATE(C68, ""en"", ""de"")"),"A. 11 Punkte B. 10 Punkte C. 12 Punkte D. 13 Punkte")</f>
        <v>A. 11 Punkte B. 10 Punkte C. 12 Punkte D. 13 Punkte</v>
      </c>
      <c r="J68" s="4" t="s">
        <v>528</v>
      </c>
      <c r="K68" s="4" t="s">
        <v>529</v>
      </c>
      <c r="L68" s="2"/>
      <c r="R68" s="2"/>
      <c r="S68" s="2"/>
      <c r="T68" s="2"/>
      <c r="U68" s="2"/>
    </row>
    <row r="69" ht="22.5" customHeight="1">
      <c r="A69" s="4" t="s">
        <v>699</v>
      </c>
      <c r="B69" s="4" t="s">
        <v>491</v>
      </c>
      <c r="C69" s="4" t="s">
        <v>492</v>
      </c>
      <c r="D69" s="4" t="s">
        <v>493</v>
      </c>
      <c r="E69" s="4" t="s">
        <v>494</v>
      </c>
      <c r="F69" s="2"/>
      <c r="G69" s="5">
        <v>68.0</v>
      </c>
      <c r="H69" s="4" t="s">
        <v>495</v>
      </c>
      <c r="I69" s="4" t="str">
        <f>IFERROR(__xludf.DUMMYFUNCTION("GOOGLETRANSLATE(C69, ""en"", ""de"")"),"A. 2 Karten B. 4 Karten C. 3 Karten D. 5 Karten")</f>
        <v>A. 2 Karten B. 4 Karten C. 3 Karten D. 5 Karten</v>
      </c>
      <c r="J69" s="4" t="s">
        <v>496</v>
      </c>
      <c r="K69" s="4" t="s">
        <v>497</v>
      </c>
      <c r="L69" s="2"/>
      <c r="R69" s="2"/>
      <c r="S69" s="2"/>
      <c r="T69" s="2"/>
      <c r="U69" s="2"/>
    </row>
    <row r="70" ht="22.5" customHeight="1">
      <c r="A70" s="4" t="s">
        <v>700</v>
      </c>
      <c r="B70" s="4" t="s">
        <v>547</v>
      </c>
      <c r="C70" s="4" t="s">
        <v>548</v>
      </c>
      <c r="D70" s="4" t="s">
        <v>549</v>
      </c>
      <c r="E70" s="4" t="s">
        <v>550</v>
      </c>
      <c r="F70" s="2"/>
      <c r="G70" s="5">
        <v>69.0</v>
      </c>
      <c r="H70" s="4" t="s">
        <v>551</v>
      </c>
      <c r="I70" s="4" t="str">
        <f>IFERROR(__xludf.DUMMYFUNCTION("GOOGLETRANSLATE(C70, ""en"", ""de"")"),"A. Ein Spiel anbieten B. Einen Tipp geben C. Sich aus einem Spiel ausloggen D. Den Punktestand erhöhen")</f>
        <v>A. Ein Spiel anbieten B. Einen Tipp geben C. Sich aus einem Spiel ausloggen D. Den Punktestand erhöhen</v>
      </c>
      <c r="J70" s="4" t="s">
        <v>552</v>
      </c>
      <c r="K70" s="4" t="s">
        <v>553</v>
      </c>
      <c r="L70" s="2"/>
      <c r="R70" s="2"/>
      <c r="S70" s="2"/>
      <c r="T70" s="2"/>
      <c r="U70" s="2"/>
    </row>
    <row r="71" ht="22.5" customHeight="1">
      <c r="A71" s="4" t="s">
        <v>701</v>
      </c>
      <c r="B71" s="4" t="s">
        <v>531</v>
      </c>
      <c r="C71" s="4" t="s">
        <v>532</v>
      </c>
      <c r="D71" s="4" t="s">
        <v>533</v>
      </c>
      <c r="E71" s="4" t="s">
        <v>534</v>
      </c>
      <c r="F71" s="2"/>
      <c r="G71" s="5">
        <v>70.0</v>
      </c>
      <c r="H71" s="4" t="s">
        <v>535</v>
      </c>
      <c r="I71" s="4" t="str">
        <f>IFERROR(__xludf.DUMMYFUNCTION("GOOGLETRANSLATE(C71, ""en"", ""de"")"),"A. Das Spiel endet unentschieden. B. Der Gewinner wird per Zufall ermittelt. C. Die Reizphase endet und das Spiel beginnt. D. Die Karten werden gemischt.")</f>
        <v>A. Das Spiel endet unentschieden. B. Der Gewinner wird per Zufall ermittelt. C. Die Reizphase endet und das Spiel beginnt. D. Die Karten werden gemischt.</v>
      </c>
      <c r="J71" s="4" t="s">
        <v>536</v>
      </c>
      <c r="K71" s="4" t="s">
        <v>537</v>
      </c>
      <c r="L71" s="2"/>
      <c r="R71" s="2"/>
      <c r="S71" s="2"/>
      <c r="T71" s="2"/>
      <c r="U71" s="2"/>
    </row>
    <row r="72" ht="22.5" customHeight="1">
      <c r="A72" s="4" t="s">
        <v>702</v>
      </c>
      <c r="B72" s="4" t="s">
        <v>539</v>
      </c>
      <c r="C72" s="4" t="s">
        <v>540</v>
      </c>
      <c r="D72" s="4" t="s">
        <v>541</v>
      </c>
      <c r="E72" s="4" t="s">
        <v>542</v>
      </c>
      <c r="F72" s="2"/>
      <c r="G72" s="5">
        <v>71.0</v>
      </c>
      <c r="H72" s="4" t="s">
        <v>543</v>
      </c>
      <c r="I72" s="4" t="str">
        <f>IFERROR(__xludf.DUMMYFUNCTION("GOOGLETRANSLATE(C72, ""en"", ""de"")"),"A. Ein übermäßig großes Konjunkturprogramm. B. Ein Spiel, bei dem alle Karten verwendet werden. C. Eine kleine Investition. D. Ein gescheiterter Versuch.")</f>
        <v>A. Ein übermäßig großes Konjunkturprogramm. B. Ein Spiel, bei dem alle Karten verwendet werden. C. Eine kleine Investition. D. Ein gescheiterter Versuch.</v>
      </c>
      <c r="J72" s="4" t="s">
        <v>544</v>
      </c>
      <c r="K72" s="4" t="s">
        <v>545</v>
      </c>
      <c r="L72" s="2"/>
      <c r="R72" s="2"/>
      <c r="S72" s="2"/>
      <c r="T72" s="2"/>
      <c r="U72" s="2"/>
    </row>
    <row r="73" ht="22.5" customHeight="1">
      <c r="A73" s="4" t="s">
        <v>703</v>
      </c>
      <c r="B73" s="4" t="s">
        <v>571</v>
      </c>
      <c r="C73" s="4" t="s">
        <v>572</v>
      </c>
      <c r="D73" s="4" t="s">
        <v>384</v>
      </c>
      <c r="E73" s="4" t="s">
        <v>479</v>
      </c>
      <c r="F73" s="2"/>
      <c r="G73" s="5">
        <v>72.0</v>
      </c>
      <c r="H73" s="4" t="s">
        <v>573</v>
      </c>
      <c r="I73" s="4" t="str">
        <f>IFERROR(__xludf.DUMMYFUNCTION("GOOGLETRANSLATE(C73, ""en"", ""de"")"),"A. 10 Punkte B. 9 Punkte C. 11 Punkte D. 12 Punkte")</f>
        <v>A. 10 Punkte B. 9 Punkte C. 11 Punkte D. 12 Punkte</v>
      </c>
      <c r="J73" s="4" t="s">
        <v>387</v>
      </c>
      <c r="K73" s="4" t="s">
        <v>481</v>
      </c>
      <c r="L73" s="2"/>
      <c r="R73" s="2"/>
      <c r="S73" s="2"/>
      <c r="T73" s="2"/>
      <c r="U73" s="2"/>
    </row>
    <row r="74" ht="22.5" customHeight="1">
      <c r="A74" s="4" t="s">
        <v>704</v>
      </c>
      <c r="B74" s="4" t="s">
        <v>705</v>
      </c>
      <c r="C74" s="4" t="s">
        <v>706</v>
      </c>
      <c r="D74" s="4" t="s">
        <v>463</v>
      </c>
      <c r="E74" s="4" t="s">
        <v>464</v>
      </c>
      <c r="F74" s="2"/>
      <c r="G74" s="5">
        <v>73.0</v>
      </c>
      <c r="H74" s="4" t="s">
        <v>707</v>
      </c>
      <c r="I74" s="4" t="str">
        <f>IFERROR(__xludf.DUMMYFUNCTION("GOOGLETRANSLATE(C74, ""en"", ""de"")"),"A. Kartenzähler B. Bewertung C. Spielrezension D. Kartentisch")</f>
        <v>A. Kartenzähler B. Bewertung C. Spielrezension D. Kartentisch</v>
      </c>
      <c r="J74" s="4" t="s">
        <v>466</v>
      </c>
      <c r="K74" s="4" t="s">
        <v>467</v>
      </c>
      <c r="L74" s="2"/>
      <c r="R74" s="2"/>
      <c r="S74" s="2"/>
      <c r="T74" s="2"/>
      <c r="U74" s="2"/>
    </row>
    <row r="75" ht="22.5" customHeight="1">
      <c r="A75" s="4" t="s">
        <v>708</v>
      </c>
      <c r="B75" s="4" t="s">
        <v>507</v>
      </c>
      <c r="C75" s="4" t="s">
        <v>508</v>
      </c>
      <c r="D75" s="4" t="s">
        <v>509</v>
      </c>
      <c r="E75" s="4" t="s">
        <v>510</v>
      </c>
      <c r="F75" s="2"/>
      <c r="G75" s="5">
        <v>74.0</v>
      </c>
      <c r="H75" s="4" t="s">
        <v>511</v>
      </c>
      <c r="I75" s="4" t="str">
        <f>IFERROR(__xludf.DUMMYFUNCTION("GOOGLETRANSLATE(C75, ""en"", ""de"")"),"A. Das Spiel wird abgebrochen. B. Die Karten werden neu gemischt. C. Die Spieler können erneut bieten. D. Ein Schiedsrichter entscheidet.")</f>
        <v>A. Das Spiel wird abgebrochen. B. Die Karten werden neu gemischt. C. Die Spieler können erneut bieten. D. Ein Schiedsrichter entscheidet.</v>
      </c>
      <c r="J75" s="4" t="s">
        <v>512</v>
      </c>
      <c r="K75" s="4" t="s">
        <v>513</v>
      </c>
      <c r="L75" s="2"/>
      <c r="R75" s="2"/>
      <c r="S75" s="2"/>
      <c r="T75" s="2"/>
      <c r="U75" s="2"/>
    </row>
    <row r="76" ht="22.5" customHeight="1">
      <c r="A76" s="4" t="s">
        <v>709</v>
      </c>
      <c r="B76" s="4" t="s">
        <v>710</v>
      </c>
      <c r="C76" s="4" t="s">
        <v>711</v>
      </c>
      <c r="D76" s="4" t="s">
        <v>671</v>
      </c>
      <c r="E76" s="4" t="s">
        <v>712</v>
      </c>
      <c r="F76" s="2"/>
      <c r="G76" s="5">
        <v>75.0</v>
      </c>
      <c r="H76" s="4" t="s">
        <v>713</v>
      </c>
      <c r="I76" s="4" t="str">
        <f>IFERROR(__xludf.DUMMYFUNCTION("GOOGLETRANSLATE(C76, ""en"", ""de"")"),"A. Das Spiel wird abgebrochen. B. Der Gegner gewinnt automatisch. C. Der Fehler wurde behoben. D. Der Fehler wird ignoriert.")</f>
        <v>A. Das Spiel wird abgebrochen. B. Der Gegner gewinnt automatisch. C. Der Fehler wurde behoben. D. Der Fehler wird ignoriert.</v>
      </c>
      <c r="J76" s="4" t="s">
        <v>674</v>
      </c>
      <c r="K76" s="4" t="s">
        <v>714</v>
      </c>
      <c r="L76" s="2"/>
      <c r="R76" s="2"/>
      <c r="S76" s="2"/>
      <c r="T76" s="2"/>
      <c r="U76" s="2"/>
    </row>
    <row r="77" ht="22.5" customHeight="1">
      <c r="A77" s="4" t="s">
        <v>715</v>
      </c>
      <c r="B77" s="4" t="s">
        <v>312</v>
      </c>
      <c r="C77" s="4" t="s">
        <v>633</v>
      </c>
      <c r="D77" s="4" t="s">
        <v>634</v>
      </c>
      <c r="E77" s="4" t="s">
        <v>635</v>
      </c>
      <c r="F77" s="2"/>
      <c r="G77" s="5">
        <v>76.0</v>
      </c>
      <c r="H77" s="4" t="s">
        <v>316</v>
      </c>
      <c r="I77" s="4" t="str">
        <f>IFERROR(__xludf.DUMMYFUNCTION("GOOGLETRANSLATE(C77, ""en"", ""de"")"),"A. Ein Gebot abgeben B. Spielankündigung C. Die Karten mischen D. Die Punkte zählen")</f>
        <v>A. Ein Gebot abgeben B. Spielankündigung C. Die Karten mischen D. Die Punkte zählen</v>
      </c>
      <c r="J77" s="4" t="s">
        <v>636</v>
      </c>
      <c r="K77" s="4" t="s">
        <v>637</v>
      </c>
      <c r="L77" s="2"/>
      <c r="R77" s="2"/>
      <c r="S77" s="2"/>
      <c r="T77" s="2"/>
      <c r="U77" s="2"/>
    </row>
    <row r="78" ht="22.5" customHeight="1">
      <c r="A78" s="4" t="s">
        <v>716</v>
      </c>
      <c r="B78" s="4" t="s">
        <v>639</v>
      </c>
      <c r="C78" s="4" t="s">
        <v>640</v>
      </c>
      <c r="D78" s="4" t="s">
        <v>279</v>
      </c>
      <c r="E78" s="4" t="s">
        <v>641</v>
      </c>
      <c r="F78" s="2"/>
      <c r="G78" s="5">
        <v>77.0</v>
      </c>
      <c r="H78" s="4" t="s">
        <v>642</v>
      </c>
      <c r="I78" s="4" t="str">
        <f>IFERROR(__xludf.DUMMYFUNCTION("GOOGLETRANSLATE(C78, ""en"", ""de"")"),"A. 4 B. 2 C. 3 D. 5")</f>
        <v>A. 4 B. 2 C. 3 D. 5</v>
      </c>
      <c r="J78" s="5">
        <v>3.0</v>
      </c>
      <c r="K78" s="4" t="s">
        <v>643</v>
      </c>
      <c r="L78" s="2"/>
      <c r="R78" s="2"/>
      <c r="S78" s="2"/>
      <c r="T78" s="2"/>
      <c r="U78" s="2"/>
    </row>
    <row r="79" ht="22.5" customHeight="1">
      <c r="A79" s="4" t="s">
        <v>717</v>
      </c>
      <c r="B79" s="4" t="s">
        <v>645</v>
      </c>
      <c r="C79" s="4" t="s">
        <v>646</v>
      </c>
      <c r="D79" s="4" t="s">
        <v>647</v>
      </c>
      <c r="E79" s="4" t="s">
        <v>648</v>
      </c>
      <c r="F79" s="2"/>
      <c r="G79" s="5">
        <v>78.0</v>
      </c>
      <c r="H79" s="4" t="s">
        <v>649</v>
      </c>
      <c r="I79" s="4" t="str">
        <f>IFERROR(__xludf.DUMMYFUNCTION("GOOGLETRANSLATE(C79, ""en"", ""de"")"),"A. Ein Spiel, bei dem alle Karten Trumpf sind. B. Ein Spiel ohne Trumpf. C. Ein Spiel, bei dem nur die höchsten Karten verwendet werden. D. Ein Spiel, bei dem nur die niedrigsten Karten verwendet werden.")</f>
        <v>A. Ein Spiel, bei dem alle Karten Trumpf sind. B. Ein Spiel ohne Trumpf. C. Ein Spiel, bei dem nur die höchsten Karten verwendet werden. D. Ein Spiel, bei dem nur die niedrigsten Karten verwendet werden.</v>
      </c>
      <c r="J79" s="4" t="s">
        <v>650</v>
      </c>
      <c r="K79" s="4" t="s">
        <v>651</v>
      </c>
      <c r="L79" s="2"/>
      <c r="R79" s="2"/>
      <c r="S79" s="2"/>
      <c r="T79" s="2"/>
      <c r="U79" s="2"/>
    </row>
    <row r="80" ht="22.5" customHeight="1">
      <c r="A80" s="4" t="s">
        <v>718</v>
      </c>
      <c r="B80" s="4" t="s">
        <v>653</v>
      </c>
      <c r="C80" s="4" t="s">
        <v>654</v>
      </c>
      <c r="D80" s="4" t="s">
        <v>400</v>
      </c>
      <c r="E80" s="4" t="s">
        <v>655</v>
      </c>
      <c r="F80" s="2"/>
      <c r="G80" s="5">
        <v>79.0</v>
      </c>
      <c r="H80" s="4" t="s">
        <v>656</v>
      </c>
      <c r="I80" s="4" t="str">
        <f>IFERROR(__xludf.DUMMYFUNCTION("GOOGLETRANSLATE(C80, ""en"", ""de"")"),"A. Als B. König C. Jack D. Dame")</f>
        <v>A. Als B. König C. Jack D. Dame</v>
      </c>
      <c r="J80" s="4" t="s">
        <v>400</v>
      </c>
      <c r="K80" s="4" t="s">
        <v>657</v>
      </c>
      <c r="L80" s="2"/>
      <c r="R80" s="2"/>
      <c r="S80" s="2"/>
      <c r="T80" s="2"/>
      <c r="U80" s="2"/>
    </row>
    <row r="81" ht="22.5" customHeight="1">
      <c r="A81" s="4" t="s">
        <v>719</v>
      </c>
      <c r="B81" s="4" t="s">
        <v>605</v>
      </c>
      <c r="C81" s="4" t="s">
        <v>659</v>
      </c>
      <c r="D81" s="4" t="s">
        <v>660</v>
      </c>
      <c r="E81" s="4" t="s">
        <v>661</v>
      </c>
      <c r="F81" s="2"/>
      <c r="G81" s="5">
        <v>80.0</v>
      </c>
      <c r="H81" s="4" t="s">
        <v>609</v>
      </c>
      <c r="I81" s="4" t="str">
        <f>IFERROR(__xludf.DUMMYFUNCTION("GOOGLETRANSLATE(C81, ""en"", ""de"")"),"A. Er kann das Spiel diktieren. B. Er verliert das Spiel. C. Er erhält zusätzliche Karten. D. Er bestimmt die Trumpffarbe.")</f>
        <v>A. Er kann das Spiel diktieren. B. Er verliert das Spiel. C. Er erhält zusätzliche Karten. D. Er bestimmt die Trumpffarbe.</v>
      </c>
      <c r="J81" s="4" t="s">
        <v>662</v>
      </c>
      <c r="K81" s="4" t="s">
        <v>663</v>
      </c>
      <c r="L81" s="2"/>
      <c r="R81" s="2"/>
      <c r="S81" s="2"/>
      <c r="T81" s="2"/>
      <c r="U81" s="2"/>
    </row>
    <row r="82" ht="22.5" customHeight="1">
      <c r="A82" s="4" t="s">
        <v>720</v>
      </c>
      <c r="B82" s="4" t="s">
        <v>571</v>
      </c>
      <c r="C82" s="4" t="s">
        <v>665</v>
      </c>
      <c r="D82" s="4" t="s">
        <v>384</v>
      </c>
      <c r="E82" s="4" t="s">
        <v>666</v>
      </c>
      <c r="F82" s="2"/>
      <c r="G82" s="5">
        <v>81.0</v>
      </c>
      <c r="H82" s="4" t="s">
        <v>573</v>
      </c>
      <c r="I82" s="4" t="str">
        <f>IFERROR(__xludf.DUMMYFUNCTION("GOOGLETRANSLATE(C82, ""en"", ""de"")"),"A. 10 Punkte B. 11 Punkte C. 9 Punkte D. 8 Punkte")</f>
        <v>A. 10 Punkte B. 11 Punkte C. 9 Punkte D. 8 Punkte</v>
      </c>
      <c r="J82" s="4" t="s">
        <v>387</v>
      </c>
      <c r="K82" s="4" t="s">
        <v>667</v>
      </c>
      <c r="L82" s="2"/>
      <c r="R82" s="2"/>
      <c r="S82" s="2"/>
      <c r="T82" s="2"/>
      <c r="U82" s="2"/>
    </row>
    <row r="83" ht="22.5" customHeight="1">
      <c r="A83" s="4" t="s">
        <v>721</v>
      </c>
      <c r="B83" s="4" t="s">
        <v>669</v>
      </c>
      <c r="C83" s="4" t="s">
        <v>670</v>
      </c>
      <c r="D83" s="4" t="s">
        <v>671</v>
      </c>
      <c r="E83" s="4" t="s">
        <v>672</v>
      </c>
      <c r="F83" s="2"/>
      <c r="G83" s="5">
        <v>82.0</v>
      </c>
      <c r="H83" s="4" t="s">
        <v>673</v>
      </c>
      <c r="I83" s="4" t="str">
        <f>IFERROR(__xludf.DUMMYFUNCTION("GOOGLETRANSLATE(C83, ""en"", ""de"")"),"A. Das Spiel wird abgebrochen. B. Der Gegner gewinnt automatisch. C. Der Fehler wird ignoriert. D. Der Fehler wurde behoben.")</f>
        <v>A. Das Spiel wird abgebrochen. B. Der Gegner gewinnt automatisch. C. Der Fehler wird ignoriert. D. Der Fehler wurde behoben.</v>
      </c>
      <c r="J83" s="4" t="s">
        <v>674</v>
      </c>
      <c r="K83" s="4" t="s">
        <v>675</v>
      </c>
      <c r="L83" s="2"/>
      <c r="R83" s="2"/>
      <c r="S83" s="2"/>
      <c r="T83" s="2"/>
      <c r="U83" s="2"/>
    </row>
    <row r="84" ht="22.5" customHeight="1">
      <c r="A84" s="4" t="s">
        <v>722</v>
      </c>
      <c r="B84" s="4" t="s">
        <v>677</v>
      </c>
      <c r="C84" s="4" t="s">
        <v>678</v>
      </c>
      <c r="D84" s="4" t="s">
        <v>329</v>
      </c>
      <c r="E84" s="4" t="s">
        <v>679</v>
      </c>
      <c r="F84" s="2"/>
      <c r="G84" s="5">
        <v>83.0</v>
      </c>
      <c r="H84" s="4" t="s">
        <v>680</v>
      </c>
      <c r="I84" s="4" t="str">
        <f>IFERROR(__xludf.DUMMYFUNCTION("GOOGLETRANSLATE(C84, ""en"", ""de"")"),"A. Ein Spiel, bei dem keine Stiche erlaubt sind. B. Ein Spiel ohne Trumpf. C. Ein Spiel mit den höchsten Karten. D. Ein Spiel mit einer festen Punktzahl.")</f>
        <v>A. Ein Spiel, bei dem keine Stiche erlaubt sind. B. Ein Spiel ohne Trumpf. C. Ein Spiel mit den höchsten Karten. D. Ein Spiel mit einer festen Punktzahl.</v>
      </c>
      <c r="J84" s="4" t="s">
        <v>332</v>
      </c>
      <c r="K84" s="4" t="s">
        <v>681</v>
      </c>
      <c r="L84" s="2"/>
      <c r="R84" s="2"/>
      <c r="S84" s="2"/>
      <c r="T84" s="2"/>
      <c r="U84" s="2"/>
    </row>
    <row r="85" ht="22.5" customHeight="1">
      <c r="A85" s="4" t="s">
        <v>723</v>
      </c>
      <c r="B85" s="4" t="s">
        <v>507</v>
      </c>
      <c r="C85" s="4" t="s">
        <v>508</v>
      </c>
      <c r="D85" s="4" t="s">
        <v>509</v>
      </c>
      <c r="E85" s="4" t="s">
        <v>510</v>
      </c>
      <c r="F85" s="2"/>
      <c r="G85" s="5">
        <v>84.0</v>
      </c>
      <c r="H85" s="4" t="s">
        <v>511</v>
      </c>
      <c r="I85" s="4" t="str">
        <f>IFERROR(__xludf.DUMMYFUNCTION("GOOGLETRANSLATE(C85, ""en"", ""de"")"),"A. Das Spiel wird abgebrochen. B. Die Karten werden neu gemischt. C. Die Spieler können erneut bieten. D. Ein Schiedsrichter entscheidet.")</f>
        <v>A. Das Spiel wird abgebrochen. B. Die Karten werden neu gemischt. C. Die Spieler können erneut bieten. D. Ein Schiedsrichter entscheidet.</v>
      </c>
      <c r="J85" s="4" t="s">
        <v>512</v>
      </c>
      <c r="K85" s="4" t="s">
        <v>513</v>
      </c>
      <c r="L85" s="2"/>
      <c r="R85" s="2"/>
      <c r="S85" s="2"/>
      <c r="T85" s="2"/>
      <c r="U85" s="2"/>
    </row>
    <row r="86" ht="22.5" customHeight="1">
      <c r="A86" s="4" t="s">
        <v>724</v>
      </c>
      <c r="B86" s="4" t="s">
        <v>684</v>
      </c>
      <c r="C86" s="4" t="s">
        <v>685</v>
      </c>
      <c r="D86" s="4" t="s">
        <v>274</v>
      </c>
      <c r="E86" s="4" t="s">
        <v>686</v>
      </c>
      <c r="F86" s="2"/>
      <c r="G86" s="5">
        <v>85.0</v>
      </c>
      <c r="H86" s="4" t="s">
        <v>687</v>
      </c>
      <c r="I86" s="4" t="str">
        <f>IFERROR(__xludf.DUMMYFUNCTION("GOOGLETRANSLATE(C86, ""en"", ""de"")"),"A. 10 Karten B. 7 Karten C. 9 Karten D. 5 Karten")</f>
        <v>A. 10 Karten B. 7 Karten C. 9 Karten D. 5 Karten</v>
      </c>
      <c r="J86" s="4" t="s">
        <v>277</v>
      </c>
      <c r="K86" s="4" t="s">
        <v>688</v>
      </c>
      <c r="L86" s="2"/>
      <c r="R86" s="2"/>
      <c r="S86" s="2"/>
      <c r="T86" s="2"/>
      <c r="U86" s="2"/>
    </row>
    <row r="87" ht="22.5" customHeight="1">
      <c r="A87" s="4" t="s">
        <v>725</v>
      </c>
      <c r="B87" s="4" t="s">
        <v>690</v>
      </c>
      <c r="C87" s="4" t="s">
        <v>691</v>
      </c>
      <c r="D87" s="4" t="s">
        <v>583</v>
      </c>
      <c r="E87" s="4" t="s">
        <v>584</v>
      </c>
      <c r="F87" s="2"/>
      <c r="G87" s="5">
        <v>86.0</v>
      </c>
      <c r="H87" s="4" t="s">
        <v>692</v>
      </c>
      <c r="I87" s="4" t="str">
        <f>IFERROR(__xludf.DUMMYFUNCTION("GOOGLETRANSLATE(C87, ""en"", ""de"")"),"A. Das Spiel wird abgebrochen. B. Der Spieler verliert automatisch. C. Der Gegner gewinnt automatisch. D. Das Spiel kann fortgesetzt werden.")</f>
        <v>A. Das Spiel wird abgebrochen. B. Der Spieler verliert automatisch. C. Der Gegner gewinnt automatisch. D. Das Spiel kann fortgesetzt werden.</v>
      </c>
      <c r="J87" s="4" t="s">
        <v>586</v>
      </c>
      <c r="K87" s="4" t="s">
        <v>587</v>
      </c>
      <c r="L87" s="2"/>
      <c r="R87" s="2"/>
      <c r="S87" s="2"/>
      <c r="T87" s="2"/>
      <c r="U87" s="2"/>
    </row>
    <row r="88" ht="22.5" customHeight="1">
      <c r="A88" s="4" t="s">
        <v>726</v>
      </c>
      <c r="B88" s="4" t="s">
        <v>469</v>
      </c>
      <c r="C88" s="4" t="s">
        <v>470</v>
      </c>
      <c r="D88" s="4" t="s">
        <v>471</v>
      </c>
      <c r="E88" s="4" t="s">
        <v>472</v>
      </c>
      <c r="F88" s="2"/>
      <c r="G88" s="5">
        <v>87.0</v>
      </c>
      <c r="H88" s="4" t="s">
        <v>473</v>
      </c>
      <c r="I88" s="4" t="str">
        <f>IFERROR(__xludf.DUMMYFUNCTION("GOOGLETRANSLATE(C88, ""en"", ""de"")"),"A. Schach B. Herz C. Pik D. Keine garantierte Trumpfkarte")</f>
        <v>A. Schach B. Herz C. Pik D. Keine garantierte Trumpfkarte</v>
      </c>
      <c r="J88" s="4" t="s">
        <v>474</v>
      </c>
      <c r="K88" s="4" t="s">
        <v>475</v>
      </c>
      <c r="L88" s="2"/>
      <c r="R88" s="2"/>
      <c r="S88" s="2"/>
      <c r="T88" s="2"/>
      <c r="U88" s="2"/>
    </row>
    <row r="89" ht="22.5" customHeight="1">
      <c r="A89" s="4" t="s">
        <v>727</v>
      </c>
      <c r="B89" s="4" t="s">
        <v>483</v>
      </c>
      <c r="C89" s="4" t="s">
        <v>484</v>
      </c>
      <c r="D89" s="4" t="s">
        <v>485</v>
      </c>
      <c r="E89" s="4" t="s">
        <v>486</v>
      </c>
      <c r="F89" s="2"/>
      <c r="G89" s="5">
        <v>88.0</v>
      </c>
      <c r="H89" s="4" t="s">
        <v>487</v>
      </c>
      <c r="I89" s="4" t="str">
        <f>IFERROR(__xludf.DUMMYFUNCTION("GOOGLETRANSLATE(C89, ""en"", ""de"")"),"A. Alle Karten zählen als Trumpf. B. Es kann kein Spiel gewonnen werden. C. Der Wert der Karten wird reduziert. D. Es gibt keine Trumpfkarten.")</f>
        <v>A. Alle Karten zählen als Trumpf. B. Es kann kein Spiel gewonnen werden. C. Der Wert der Karten wird reduziert. D. Es gibt keine Trumpfkarten.</v>
      </c>
      <c r="J89" s="4" t="s">
        <v>488</v>
      </c>
      <c r="K89" s="4" t="s">
        <v>489</v>
      </c>
      <c r="L89" s="2"/>
      <c r="R89" s="2"/>
      <c r="S89" s="2"/>
      <c r="T89" s="2"/>
      <c r="U89" s="2"/>
    </row>
    <row r="90" ht="22.5" customHeight="1">
      <c r="A90" s="4" t="s">
        <v>728</v>
      </c>
      <c r="B90" s="4" t="s">
        <v>499</v>
      </c>
      <c r="C90" s="4" t="s">
        <v>500</v>
      </c>
      <c r="D90" s="4" t="s">
        <v>501</v>
      </c>
      <c r="E90" s="4" t="s">
        <v>502</v>
      </c>
      <c r="F90" s="2"/>
      <c r="G90" s="5">
        <v>89.0</v>
      </c>
      <c r="H90" s="4" t="s">
        <v>503</v>
      </c>
      <c r="I90" s="4" t="str">
        <f>IFERROR(__xludf.DUMMYFUNCTION("GOOGLETRANSLATE(C90, ""en"", ""de"")"),"A. Erhöhung der Trumpfkarten B. Ablehnung eines Spiels C. Ablegen von Karten D. Ein zweites Gebot während des Spiels")</f>
        <v>A. Erhöhung der Trumpfkarten B. Ablehnung eines Spiels C. Ablegen von Karten D. Ein zweites Gebot während des Spiels</v>
      </c>
      <c r="J90" s="4" t="s">
        <v>504</v>
      </c>
      <c r="K90" s="4" t="s">
        <v>505</v>
      </c>
      <c r="L90" s="2"/>
      <c r="R90" s="2"/>
      <c r="S90" s="2"/>
      <c r="T90" s="2"/>
      <c r="U90" s="2"/>
    </row>
    <row r="91" ht="22.5" customHeight="1">
      <c r="A91" s="4" t="s">
        <v>729</v>
      </c>
      <c r="B91" s="4" t="s">
        <v>555</v>
      </c>
      <c r="C91" s="4" t="s">
        <v>556</v>
      </c>
      <c r="D91" s="4" t="s">
        <v>557</v>
      </c>
      <c r="E91" s="4" t="s">
        <v>558</v>
      </c>
      <c r="F91" s="2"/>
      <c r="G91" s="5">
        <v>90.0</v>
      </c>
      <c r="H91" s="4" t="s">
        <v>559</v>
      </c>
      <c r="I91" s="4" t="str">
        <f>IFERROR(__xludf.DUMMYFUNCTION("GOOGLETRANSLATE(C91, ""en"", ""de"")"),"A. 12 Stiche B. 24 Stiche C. 20 Stiche D. 18 Stiche")</f>
        <v>A. 12 Stiche B. 24 Stiche C. 20 Stiche D. 18 Stiche</v>
      </c>
      <c r="J91" s="4" t="s">
        <v>560</v>
      </c>
      <c r="K91" s="4" t="s">
        <v>561</v>
      </c>
      <c r="L91" s="2"/>
      <c r="R91" s="2"/>
      <c r="S91" s="2"/>
      <c r="T91" s="2"/>
      <c r="U91" s="2"/>
    </row>
    <row r="92" ht="22.5" customHeight="1">
      <c r="A92" s="4" t="s">
        <v>730</v>
      </c>
      <c r="B92" s="4" t="s">
        <v>515</v>
      </c>
      <c r="C92" s="4" t="s">
        <v>516</v>
      </c>
      <c r="D92" s="4" t="s">
        <v>517</v>
      </c>
      <c r="E92" s="4" t="s">
        <v>518</v>
      </c>
      <c r="F92" s="2"/>
      <c r="G92" s="5">
        <v>91.0</v>
      </c>
      <c r="H92" s="4" t="s">
        <v>519</v>
      </c>
      <c r="I92" s="4" t="str">
        <f>IFERROR(__xludf.DUMMYFUNCTION("GOOGLETRANSLATE(C92, ""en"", ""de"")"),"A. Ein Spiel mit den höchsten Karten. B. Ein Spiel mit den niedrigsten Karten. C. Ein Spiel mit einer bestimmten Punktzahl. D. Ein Spiel ohne Trumpf.")</f>
        <v>A. Ein Spiel mit den höchsten Karten. B. Ein Spiel mit den niedrigsten Karten. C. Ein Spiel mit einer bestimmten Punktzahl. D. Ein Spiel ohne Trumpf.</v>
      </c>
      <c r="J92" s="4" t="s">
        <v>520</v>
      </c>
      <c r="K92" s="4" t="s">
        <v>521</v>
      </c>
      <c r="L92" s="2"/>
      <c r="R92" s="2"/>
      <c r="S92" s="2"/>
      <c r="T92" s="2"/>
      <c r="U92" s="2"/>
    </row>
    <row r="93" ht="22.5" customHeight="1">
      <c r="A93" s="4" t="s">
        <v>731</v>
      </c>
      <c r="B93" s="4" t="s">
        <v>523</v>
      </c>
      <c r="C93" s="4" t="s">
        <v>524</v>
      </c>
      <c r="D93" s="4" t="s">
        <v>525</v>
      </c>
      <c r="E93" s="4" t="s">
        <v>526</v>
      </c>
      <c r="F93" s="2"/>
      <c r="G93" s="5">
        <v>92.0</v>
      </c>
      <c r="H93" s="4" t="s">
        <v>527</v>
      </c>
      <c r="I93" s="4" t="str">
        <f>IFERROR(__xludf.DUMMYFUNCTION("GOOGLETRANSLATE(C93, ""en"", ""de"")"),"A. 11 Punkte B. 10 Punkte C. 12 Punkte D. 13 Punkte")</f>
        <v>A. 11 Punkte B. 10 Punkte C. 12 Punkte D. 13 Punkte</v>
      </c>
      <c r="J93" s="4" t="s">
        <v>528</v>
      </c>
      <c r="K93" s="4" t="s">
        <v>529</v>
      </c>
      <c r="L93" s="2"/>
      <c r="R93" s="2"/>
      <c r="S93" s="2"/>
      <c r="T93" s="2"/>
      <c r="U93" s="2"/>
    </row>
    <row r="94" ht="22.5" customHeight="1">
      <c r="A94" s="4" t="s">
        <v>732</v>
      </c>
      <c r="B94" s="4" t="s">
        <v>491</v>
      </c>
      <c r="C94" s="4" t="s">
        <v>492</v>
      </c>
      <c r="D94" s="4" t="s">
        <v>493</v>
      </c>
      <c r="E94" s="4" t="s">
        <v>494</v>
      </c>
      <c r="F94" s="2"/>
      <c r="G94" s="5">
        <v>93.0</v>
      </c>
      <c r="H94" s="4" t="s">
        <v>495</v>
      </c>
      <c r="I94" s="4" t="str">
        <f>IFERROR(__xludf.DUMMYFUNCTION("GOOGLETRANSLATE(C94, ""en"", ""de"")"),"A. 2 Karten B. 4 Karten C. 3 Karten D. 5 Karten")</f>
        <v>A. 2 Karten B. 4 Karten C. 3 Karten D. 5 Karten</v>
      </c>
      <c r="J94" s="4" t="s">
        <v>496</v>
      </c>
      <c r="K94" s="4" t="s">
        <v>497</v>
      </c>
      <c r="L94" s="2"/>
      <c r="R94" s="2"/>
      <c r="S94" s="2"/>
      <c r="T94" s="2"/>
      <c r="U94" s="2"/>
    </row>
    <row r="95" ht="22.5" customHeight="1">
      <c r="A95" s="4" t="s">
        <v>733</v>
      </c>
      <c r="B95" s="4" t="s">
        <v>547</v>
      </c>
      <c r="C95" s="4" t="s">
        <v>548</v>
      </c>
      <c r="D95" s="4" t="s">
        <v>549</v>
      </c>
      <c r="E95" s="4" t="s">
        <v>550</v>
      </c>
      <c r="F95" s="2"/>
      <c r="G95" s="5">
        <v>94.0</v>
      </c>
      <c r="H95" s="4" t="s">
        <v>551</v>
      </c>
      <c r="I95" s="4" t="str">
        <f>IFERROR(__xludf.DUMMYFUNCTION("GOOGLETRANSLATE(C95, ""en"", ""de"")"),"A. Ein Spiel anbieten B. Einen Tipp geben C. Sich aus einem Spiel ausloggen D. Den Punktestand erhöhen")</f>
        <v>A. Ein Spiel anbieten B. Einen Tipp geben C. Sich aus einem Spiel ausloggen D. Den Punktestand erhöhen</v>
      </c>
      <c r="J95" s="4" t="s">
        <v>552</v>
      </c>
      <c r="K95" s="4" t="s">
        <v>553</v>
      </c>
      <c r="L95" s="2"/>
      <c r="R95" s="2"/>
      <c r="S95" s="2"/>
      <c r="T95" s="2"/>
      <c r="U95" s="2"/>
    </row>
    <row r="96" ht="22.5" customHeight="1">
      <c r="A96" s="4" t="s">
        <v>734</v>
      </c>
      <c r="B96" s="4" t="s">
        <v>531</v>
      </c>
      <c r="C96" s="4" t="s">
        <v>532</v>
      </c>
      <c r="D96" s="4" t="s">
        <v>533</v>
      </c>
      <c r="E96" s="4" t="s">
        <v>534</v>
      </c>
      <c r="F96" s="2"/>
      <c r="G96" s="5">
        <v>95.0</v>
      </c>
      <c r="H96" s="4" t="s">
        <v>535</v>
      </c>
      <c r="I96" s="4" t="str">
        <f>IFERROR(__xludf.DUMMYFUNCTION("GOOGLETRANSLATE(C96, ""en"", ""de"")"),"A. Das Spiel endet unentschieden. B. Der Gewinner wird per Zufall ermittelt. C. Die Reizphase endet und das Spiel beginnt. D. Die Karten werden gemischt.")</f>
        <v>A. Das Spiel endet unentschieden. B. Der Gewinner wird per Zufall ermittelt. C. Die Reizphase endet und das Spiel beginnt. D. Die Karten werden gemischt.</v>
      </c>
      <c r="J96" s="4" t="s">
        <v>536</v>
      </c>
      <c r="K96" s="4" t="s">
        <v>537</v>
      </c>
      <c r="L96" s="2"/>
      <c r="R96" s="2"/>
      <c r="S96" s="2"/>
      <c r="T96" s="2"/>
      <c r="U96" s="2"/>
    </row>
    <row r="97" ht="22.5" customHeight="1">
      <c r="A97" s="4" t="s">
        <v>735</v>
      </c>
      <c r="B97" s="4" t="s">
        <v>539</v>
      </c>
      <c r="C97" s="4" t="s">
        <v>540</v>
      </c>
      <c r="D97" s="4" t="s">
        <v>541</v>
      </c>
      <c r="E97" s="4" t="s">
        <v>542</v>
      </c>
      <c r="F97" s="2"/>
      <c r="G97" s="5">
        <v>96.0</v>
      </c>
      <c r="H97" s="4" t="s">
        <v>543</v>
      </c>
      <c r="I97" s="4" t="str">
        <f>IFERROR(__xludf.DUMMYFUNCTION("GOOGLETRANSLATE(C97, ""en"", ""de"")"),"A. Ein übermäßig großes Konjunkturprogramm. B. Ein Spiel, bei dem alle Karten verwendet werden. C. Eine kleine Investition. D. Ein gescheiterter Versuch.")</f>
        <v>A. Ein übermäßig großes Konjunkturprogramm. B. Ein Spiel, bei dem alle Karten verwendet werden. C. Eine kleine Investition. D. Ein gescheiterter Versuch.</v>
      </c>
      <c r="J97" s="4" t="s">
        <v>544</v>
      </c>
      <c r="K97" s="4" t="s">
        <v>545</v>
      </c>
      <c r="L97" s="2"/>
      <c r="R97" s="2"/>
      <c r="S97" s="2"/>
      <c r="T97" s="2"/>
      <c r="U97" s="2"/>
    </row>
    <row r="98" ht="22.5" customHeight="1">
      <c r="A98" s="4" t="s">
        <v>736</v>
      </c>
      <c r="B98" s="4" t="s">
        <v>571</v>
      </c>
      <c r="C98" s="4" t="s">
        <v>572</v>
      </c>
      <c r="D98" s="4" t="s">
        <v>384</v>
      </c>
      <c r="E98" s="4" t="s">
        <v>479</v>
      </c>
      <c r="F98" s="2"/>
      <c r="G98" s="5">
        <v>97.0</v>
      </c>
      <c r="H98" s="4" t="s">
        <v>573</v>
      </c>
      <c r="I98" s="4" t="str">
        <f>IFERROR(__xludf.DUMMYFUNCTION("GOOGLETRANSLATE(C98, ""en"", ""de"")"),"A. 10 Punkte B. 9 Punkte C. 11 Punkte D. 12 Punkte")</f>
        <v>A. 10 Punkte B. 9 Punkte C. 11 Punkte D. 12 Punkte</v>
      </c>
      <c r="J98" s="4" t="s">
        <v>387</v>
      </c>
      <c r="K98" s="4" t="s">
        <v>481</v>
      </c>
      <c r="L98" s="2"/>
      <c r="R98" s="2"/>
      <c r="S98" s="2"/>
      <c r="T98" s="2"/>
      <c r="U98" s="2"/>
    </row>
    <row r="99" ht="22.5" customHeight="1">
      <c r="A99" s="4" t="s">
        <v>737</v>
      </c>
      <c r="B99" s="4" t="s">
        <v>705</v>
      </c>
      <c r="C99" s="4" t="s">
        <v>706</v>
      </c>
      <c r="D99" s="4" t="s">
        <v>463</v>
      </c>
      <c r="E99" s="4" t="s">
        <v>464</v>
      </c>
      <c r="F99" s="2"/>
      <c r="G99" s="5">
        <v>98.0</v>
      </c>
      <c r="H99" s="4" t="s">
        <v>707</v>
      </c>
      <c r="I99" s="4" t="str">
        <f>IFERROR(__xludf.DUMMYFUNCTION("GOOGLETRANSLATE(C99, ""en"", ""de"")"),"A. Kartenzähler B. Bewertung C. Spielrezension D. Kartentisch")</f>
        <v>A. Kartenzähler B. Bewertung C. Spielrezension D. Kartentisch</v>
      </c>
      <c r="J99" s="4" t="s">
        <v>466</v>
      </c>
      <c r="K99" s="4" t="s">
        <v>467</v>
      </c>
      <c r="L99" s="2"/>
      <c r="R99" s="2"/>
      <c r="S99" s="2"/>
      <c r="T99" s="2"/>
      <c r="U99" s="2"/>
    </row>
    <row r="100" ht="22.5" customHeight="1">
      <c r="A100" s="4" t="s">
        <v>738</v>
      </c>
      <c r="B100" s="4" t="s">
        <v>507</v>
      </c>
      <c r="C100" s="4" t="s">
        <v>508</v>
      </c>
      <c r="D100" s="4" t="s">
        <v>509</v>
      </c>
      <c r="E100" s="4" t="s">
        <v>510</v>
      </c>
      <c r="F100" s="2"/>
      <c r="G100" s="5">
        <v>99.0</v>
      </c>
      <c r="H100" s="4" t="s">
        <v>511</v>
      </c>
      <c r="I100" s="4" t="str">
        <f>IFERROR(__xludf.DUMMYFUNCTION("GOOGLETRANSLATE(C100, ""en"", ""de"")"),"A. Das Spiel wird abgebrochen. B. Die Karten werden neu gemischt. C. Die Spieler können erneut bieten. D. Ein Schiedsrichter entscheidet.")</f>
        <v>A. Das Spiel wird abgebrochen. B. Die Karten werden neu gemischt. C. Die Spieler können erneut bieten. D. Ein Schiedsrichter entscheidet.</v>
      </c>
      <c r="J100" s="4" t="s">
        <v>512</v>
      </c>
      <c r="K100" s="4" t="s">
        <v>513</v>
      </c>
      <c r="L100" s="2"/>
      <c r="R100" s="2"/>
      <c r="S100" s="2"/>
      <c r="T100" s="2"/>
      <c r="U100" s="2"/>
    </row>
    <row r="101" ht="22.5" customHeight="1">
      <c r="A101" s="4" t="s">
        <v>739</v>
      </c>
      <c r="B101" s="4" t="s">
        <v>710</v>
      </c>
      <c r="C101" s="4" t="s">
        <v>711</v>
      </c>
      <c r="D101" s="4" t="s">
        <v>671</v>
      </c>
      <c r="E101" s="4" t="s">
        <v>672</v>
      </c>
      <c r="F101" s="2"/>
      <c r="G101" s="5">
        <v>100.0</v>
      </c>
      <c r="H101" s="4" t="s">
        <v>713</v>
      </c>
      <c r="I101" s="4" t="str">
        <f>IFERROR(__xludf.DUMMYFUNCTION("GOOGLETRANSLATE(C101, ""en"", ""de"")"),"A. Das Spiel wird abgebrochen. B. Der Gegner gewinnt automatisch. C. Der Fehler wurde behoben. D. Der Fehler wird ignoriert.")</f>
        <v>A. Das Spiel wird abgebrochen. B. Der Gegner gewinnt automatisch. C. Der Fehler wurde behoben. D. Der Fehler wird ignoriert.</v>
      </c>
      <c r="J101" s="4" t="s">
        <v>674</v>
      </c>
      <c r="K101" s="4" t="s">
        <v>675</v>
      </c>
      <c r="L101" s="2"/>
      <c r="R101" s="2"/>
      <c r="S101" s="2"/>
      <c r="T101" s="2"/>
      <c r="U101" s="2"/>
    </row>
    <row r="102" ht="22.5" customHeight="1">
      <c r="A102" s="4" t="s">
        <v>740</v>
      </c>
      <c r="B102" s="4" t="s">
        <v>741</v>
      </c>
      <c r="C102" s="4" t="s">
        <v>742</v>
      </c>
      <c r="D102" s="4" t="s">
        <v>400</v>
      </c>
      <c r="E102" s="4" t="s">
        <v>743</v>
      </c>
      <c r="F102" s="2"/>
      <c r="G102" s="5">
        <v>101.0</v>
      </c>
      <c r="H102" s="4" t="s">
        <v>744</v>
      </c>
      <c r="I102" s="4" t="str">
        <f>IFERROR(__xludf.DUMMYFUNCTION("GOOGLETRANSLATE(C102, ""en"", ""de"")"),"A. Als B. König C. Bube D. Zehn")</f>
        <v>A. Als B. König C. Bube D. Zehn</v>
      </c>
      <c r="J102" s="4" t="s">
        <v>400</v>
      </c>
      <c r="K102" s="4" t="s">
        <v>745</v>
      </c>
      <c r="L102" s="2"/>
      <c r="R102" s="2"/>
      <c r="S102" s="2"/>
      <c r="T102" s="2"/>
      <c r="U102" s="2"/>
    </row>
    <row r="103" ht="22.5" customHeight="1">
      <c r="A103" s="4" t="s">
        <v>746</v>
      </c>
      <c r="B103" s="4" t="s">
        <v>747</v>
      </c>
      <c r="C103" s="4" t="s">
        <v>748</v>
      </c>
      <c r="D103" s="4" t="s">
        <v>274</v>
      </c>
      <c r="E103" s="4" t="s">
        <v>686</v>
      </c>
      <c r="F103" s="2"/>
      <c r="G103" s="5">
        <v>102.0</v>
      </c>
      <c r="H103" s="4" t="s">
        <v>749</v>
      </c>
      <c r="I103" s="4" t="str">
        <f>IFERROR(__xludf.DUMMYFUNCTION("GOOGLETRANSLATE(C103, ""en"", ""de"")"),"A. 10 Karten B. 12 Karten C. 9 Karten D. 7 Karten")</f>
        <v>A. 10 Karten B. 12 Karten C. 9 Karten D. 7 Karten</v>
      </c>
      <c r="J103" s="4" t="s">
        <v>277</v>
      </c>
      <c r="K103" s="4" t="s">
        <v>688</v>
      </c>
      <c r="L103" s="2"/>
      <c r="R103" s="2"/>
      <c r="S103" s="2"/>
      <c r="T103" s="2"/>
      <c r="U103" s="2"/>
    </row>
    <row r="104" ht="22.5" customHeight="1">
      <c r="A104" s="4" t="s">
        <v>750</v>
      </c>
      <c r="B104" s="4" t="s">
        <v>677</v>
      </c>
      <c r="C104" s="4" t="s">
        <v>678</v>
      </c>
      <c r="D104" s="4" t="s">
        <v>329</v>
      </c>
      <c r="E104" s="4" t="s">
        <v>679</v>
      </c>
      <c r="F104" s="2"/>
      <c r="G104" s="5">
        <v>103.0</v>
      </c>
      <c r="H104" s="4" t="s">
        <v>680</v>
      </c>
      <c r="I104" s="4" t="str">
        <f>IFERROR(__xludf.DUMMYFUNCTION("GOOGLETRANSLATE(C104, ""en"", ""de"")"),"A. Ein Spiel, bei dem keine Stiche erlaubt sind. B. Ein Spiel ohne Trumpf. C. Ein Spiel mit den höchsten Karten. D. Ein Spiel mit einer festen Punktzahl.")</f>
        <v>A. Ein Spiel, bei dem keine Stiche erlaubt sind. B. Ein Spiel ohne Trumpf. C. Ein Spiel mit den höchsten Karten. D. Ein Spiel mit einer festen Punktzahl.</v>
      </c>
      <c r="J104" s="4" t="s">
        <v>332</v>
      </c>
      <c r="K104" s="4" t="s">
        <v>681</v>
      </c>
      <c r="L104" s="2"/>
      <c r="R104" s="2"/>
      <c r="S104" s="2"/>
      <c r="T104" s="2"/>
      <c r="U104" s="2"/>
    </row>
    <row r="105" ht="22.5" customHeight="1">
      <c r="A105" s="4" t="s">
        <v>751</v>
      </c>
      <c r="B105" s="4" t="s">
        <v>571</v>
      </c>
      <c r="C105" s="4" t="s">
        <v>665</v>
      </c>
      <c r="D105" s="4" t="s">
        <v>384</v>
      </c>
      <c r="E105" s="4" t="s">
        <v>752</v>
      </c>
      <c r="F105" s="2"/>
      <c r="G105" s="5">
        <v>104.0</v>
      </c>
      <c r="H105" s="4" t="s">
        <v>573</v>
      </c>
      <c r="I105" s="4" t="str">
        <f>IFERROR(__xludf.DUMMYFUNCTION("GOOGLETRANSLATE(C105, ""en"", ""de"")"),"A. 10 Punkte B. 11 Punkte C. 9 Punkte D. 8 Punkte")</f>
        <v>A. 10 Punkte B. 11 Punkte C. 9 Punkte D. 8 Punkte</v>
      </c>
      <c r="J105" s="4" t="s">
        <v>387</v>
      </c>
      <c r="K105" s="4" t="s">
        <v>753</v>
      </c>
      <c r="L105" s="2"/>
      <c r="R105" s="2"/>
      <c r="S105" s="2"/>
      <c r="T105" s="2"/>
      <c r="U105" s="2"/>
    </row>
    <row r="106" ht="22.5" customHeight="1">
      <c r="A106" s="4" t="s">
        <v>754</v>
      </c>
      <c r="B106" s="4" t="s">
        <v>755</v>
      </c>
      <c r="C106" s="4" t="s">
        <v>756</v>
      </c>
      <c r="D106" s="4" t="s">
        <v>298</v>
      </c>
      <c r="E106" s="4" t="s">
        <v>757</v>
      </c>
      <c r="F106" s="2"/>
      <c r="G106" s="5">
        <v>105.0</v>
      </c>
      <c r="H106" s="4" t="s">
        <v>758</v>
      </c>
      <c r="I106" s="4" t="str">
        <f>IFERROR(__xludf.DUMMYFUNCTION("GOOGLETRANSLATE(C106, ""en"", ""de"")"),"A. Großartig B. Null C. Farbenspiel D. Müll")</f>
        <v>A. Großartig B. Null C. Farbenspiel D. Müll</v>
      </c>
      <c r="J106" s="4" t="s">
        <v>301</v>
      </c>
      <c r="K106" s="4" t="s">
        <v>759</v>
      </c>
      <c r="L106" s="2"/>
      <c r="R106" s="2"/>
      <c r="S106" s="2"/>
      <c r="T106" s="2"/>
      <c r="U106" s="2"/>
    </row>
    <row r="107" ht="22.5" customHeight="1">
      <c r="A107" s="4" t="s">
        <v>760</v>
      </c>
      <c r="B107" s="4" t="s">
        <v>320</v>
      </c>
      <c r="C107" s="4" t="s">
        <v>761</v>
      </c>
      <c r="D107" s="4" t="s">
        <v>557</v>
      </c>
      <c r="E107" s="4" t="s">
        <v>762</v>
      </c>
      <c r="F107" s="2"/>
      <c r="G107" s="5">
        <v>106.0</v>
      </c>
      <c r="H107" s="4" t="s">
        <v>324</v>
      </c>
      <c r="I107" s="4" t="str">
        <f>IFERROR(__xludf.DUMMYFUNCTION("GOOGLETRANSLATE(C107, ""en"", ""de"")"),"A. 12 Stiche B. 10 Stiche C. 24 Stiche D. 20 Stiche")</f>
        <v>A. 12 Stiche B. 10 Stiche C. 24 Stiche D. 20 Stiche</v>
      </c>
      <c r="J107" s="4" t="s">
        <v>560</v>
      </c>
      <c r="K107" s="4" t="s">
        <v>763</v>
      </c>
      <c r="L107" s="2"/>
      <c r="R107" s="2"/>
      <c r="S107" s="2"/>
      <c r="T107" s="2"/>
      <c r="U107" s="2"/>
    </row>
    <row r="108" ht="22.5" customHeight="1">
      <c r="A108" s="4" t="s">
        <v>764</v>
      </c>
      <c r="B108" s="4" t="s">
        <v>765</v>
      </c>
      <c r="C108" s="4" t="s">
        <v>766</v>
      </c>
      <c r="D108" s="4" t="s">
        <v>392</v>
      </c>
      <c r="E108" s="4" t="s">
        <v>767</v>
      </c>
      <c r="F108" s="2"/>
      <c r="G108" s="5">
        <v>107.0</v>
      </c>
      <c r="H108" s="4" t="s">
        <v>768</v>
      </c>
      <c r="I108" s="4" t="str">
        <f>IFERROR(__xludf.DUMMYFUNCTION("GOOGLETRANSLATE(C108, ""en"", ""de"")"),"A. Er verliert das Spiel. B. Er gewinnt das Spiel. C. Er bestimmt die Trumpffarbe. D. Er gibt das Spiel auf.")</f>
        <v>A. Er verliert das Spiel. B. Er gewinnt das Spiel. C. Er bestimmt die Trumpffarbe. D. Er gibt das Spiel auf.</v>
      </c>
      <c r="J108" s="4" t="s">
        <v>395</v>
      </c>
      <c r="K108" s="4" t="s">
        <v>769</v>
      </c>
      <c r="L108" s="2"/>
      <c r="R108" s="2"/>
      <c r="S108" s="2"/>
      <c r="T108" s="2"/>
      <c r="U108" s="2"/>
    </row>
    <row r="109" ht="22.5" customHeight="1">
      <c r="A109" s="4" t="s">
        <v>770</v>
      </c>
      <c r="B109" s="4" t="s">
        <v>771</v>
      </c>
      <c r="C109" s="4" t="s">
        <v>772</v>
      </c>
      <c r="D109" s="4" t="s">
        <v>773</v>
      </c>
      <c r="E109" s="4" t="s">
        <v>774</v>
      </c>
      <c r="F109" s="2"/>
      <c r="G109" s="5">
        <v>108.0</v>
      </c>
      <c r="H109" s="4" t="s">
        <v>775</v>
      </c>
      <c r="I109" s="4" t="str">
        <f>IFERROR(__xludf.DUMMYFUNCTION("GOOGLETRANSLATE(C109, ""en"", ""de"")"),"A. Ein Angebot, das den Einsatz erhöht. B. Karten abziehen. C. Ein Spiel ablehnen. D. Zusätzliche Stiche geben.")</f>
        <v>A. Ein Angebot, das den Einsatz erhöht. B. Karten abziehen. C. Ein Spiel ablehnen. D. Zusätzliche Stiche geben.</v>
      </c>
      <c r="J109" s="4" t="s">
        <v>776</v>
      </c>
      <c r="K109" s="4" t="s">
        <v>777</v>
      </c>
      <c r="L109" s="2"/>
      <c r="R109" s="2"/>
      <c r="S109" s="2"/>
      <c r="T109" s="2"/>
      <c r="U109" s="2"/>
    </row>
    <row r="110" ht="22.5" customHeight="1">
      <c r="A110" s="4" t="s">
        <v>778</v>
      </c>
      <c r="B110" s="4" t="s">
        <v>779</v>
      </c>
      <c r="C110" s="4" t="s">
        <v>780</v>
      </c>
      <c r="D110" s="4" t="s">
        <v>781</v>
      </c>
      <c r="E110" s="4" t="s">
        <v>782</v>
      </c>
      <c r="F110" s="2"/>
      <c r="G110" s="5">
        <v>109.0</v>
      </c>
      <c r="H110" s="4" t="s">
        <v>783</v>
      </c>
      <c r="I110" s="4" t="str">
        <f>IFERROR(__xludf.DUMMYFUNCTION("GOOGLETRANSLATE(C110, ""en"", ""de"")"),"A. Das Spiel wird abgebrochen. B. Der Spieler verliert das Spiel. C. Der Spieler gewinnt das Spiel. D. Das Spiel wird neu gestartet.")</f>
        <v>A. Das Spiel wird abgebrochen. B. Der Spieler verliert das Spiel. C. Der Spieler gewinnt das Spiel. D. Das Spiel wird neu gestartet.</v>
      </c>
      <c r="J110" s="4" t="s">
        <v>784</v>
      </c>
      <c r="K110" s="4" t="s">
        <v>785</v>
      </c>
      <c r="L110" s="2"/>
      <c r="R110" s="2"/>
      <c r="S110" s="2"/>
      <c r="T110" s="2"/>
      <c r="U110" s="2"/>
    </row>
    <row r="111" ht="22.5" customHeight="1">
      <c r="A111" s="4" t="s">
        <v>786</v>
      </c>
      <c r="B111" s="4" t="s">
        <v>787</v>
      </c>
      <c r="C111" s="4" t="s">
        <v>492</v>
      </c>
      <c r="D111" s="4" t="s">
        <v>493</v>
      </c>
      <c r="E111" s="4" t="s">
        <v>788</v>
      </c>
      <c r="F111" s="2"/>
      <c r="G111" s="5">
        <v>110.0</v>
      </c>
      <c r="H111" s="4" t="s">
        <v>789</v>
      </c>
      <c r="I111" s="4" t="str">
        <f>IFERROR(__xludf.DUMMYFUNCTION("GOOGLETRANSLATE(C111, ""en"", ""de"")"),"A. 2 Karten B. 4 Karten C. 3 Karten D. 5 Karten")</f>
        <v>A. 2 Karten B. 4 Karten C. 3 Karten D. 5 Karten</v>
      </c>
      <c r="J111" s="4" t="s">
        <v>496</v>
      </c>
      <c r="K111" s="4" t="s">
        <v>790</v>
      </c>
      <c r="L111" s="2"/>
      <c r="R111" s="2"/>
      <c r="S111" s="2"/>
      <c r="T111" s="2"/>
      <c r="U111" s="2"/>
    </row>
    <row r="112" ht="22.5" customHeight="1">
      <c r="A112" s="4" t="s">
        <v>791</v>
      </c>
      <c r="B112" s="4" t="s">
        <v>792</v>
      </c>
      <c r="C112" s="4" t="s">
        <v>793</v>
      </c>
      <c r="D112" s="4" t="s">
        <v>794</v>
      </c>
      <c r="E112" s="4" t="s">
        <v>635</v>
      </c>
      <c r="F112" s="2"/>
      <c r="G112" s="5">
        <v>111.0</v>
      </c>
      <c r="H112" s="4" t="s">
        <v>795</v>
      </c>
      <c r="I112" s="4" t="str">
        <f>IFERROR(__xludf.DUMMYFUNCTION("GOOGLETRANSLATE(C112, ""en"", ""de"")"),"A. Abgabe eines Gebots B. Zählen der Punkte C. Mischen der Karten D. Austeilen der Karten")</f>
        <v>A. Abgabe eines Gebots B. Zählen der Punkte C. Mischen der Karten D. Austeilen der Karten</v>
      </c>
      <c r="J112" s="4" t="s">
        <v>796</v>
      </c>
      <c r="K112" s="4" t="s">
        <v>797</v>
      </c>
      <c r="L112" s="2"/>
      <c r="R112" s="2"/>
      <c r="S112" s="2"/>
      <c r="T112" s="2"/>
      <c r="U112" s="2"/>
    </row>
    <row r="113" ht="22.5" customHeight="1">
      <c r="A113" s="4" t="s">
        <v>798</v>
      </c>
      <c r="B113" s="4" t="s">
        <v>799</v>
      </c>
      <c r="C113" s="4" t="s">
        <v>800</v>
      </c>
      <c r="D113" s="4" t="s">
        <v>801</v>
      </c>
      <c r="E113" s="4" t="s">
        <v>802</v>
      </c>
      <c r="F113" s="2"/>
      <c r="G113" s="5">
        <v>112.0</v>
      </c>
      <c r="H113" s="4" t="s">
        <v>803</v>
      </c>
      <c r="I113" s="4" t="str">
        <f>IFERROR(__xludf.DUMMYFUNCTION("GOOGLETRANSLATE(C113, ""en"", ""de"")"),"A. 3 Spieler B. 2 Spieler C. 4 Spieler D. 5 Spieler")</f>
        <v>A. 3 Spieler B. 2 Spieler C. 4 Spieler D. 5 Spieler</v>
      </c>
      <c r="J113" s="4" t="s">
        <v>804</v>
      </c>
      <c r="K113" s="4" t="s">
        <v>805</v>
      </c>
      <c r="L113" s="2"/>
      <c r="R113" s="2"/>
      <c r="S113" s="2"/>
      <c r="T113" s="2"/>
      <c r="U113" s="2"/>
    </row>
    <row r="114" ht="22.5" customHeight="1">
      <c r="A114" s="4" t="s">
        <v>806</v>
      </c>
      <c r="B114" s="4" t="s">
        <v>705</v>
      </c>
      <c r="C114" s="4" t="s">
        <v>807</v>
      </c>
      <c r="D114" s="4" t="s">
        <v>463</v>
      </c>
      <c r="E114" s="4" t="s">
        <v>808</v>
      </c>
      <c r="F114" s="2"/>
      <c r="G114" s="5">
        <v>113.0</v>
      </c>
      <c r="H114" s="4" t="s">
        <v>809</v>
      </c>
      <c r="I114" s="4" t="str">
        <f>IFERROR(__xludf.DUMMYFUNCTION("GOOGLETRANSLATE(C114, ""en"", ""de"")"),"A. Bewertung B. Stichbewertung C. Spielrezension D. Kartenzähler")</f>
        <v>A. Bewertung B. Stichbewertung C. Spielrezension D. Kartenzähler</v>
      </c>
      <c r="J114" s="4" t="s">
        <v>466</v>
      </c>
      <c r="K114" s="4" t="s">
        <v>810</v>
      </c>
      <c r="L114" s="2"/>
      <c r="R114" s="2"/>
      <c r="S114" s="2"/>
      <c r="T114" s="2"/>
      <c r="U114" s="2"/>
    </row>
    <row r="115" ht="22.5" customHeight="1">
      <c r="A115" s="4" t="s">
        <v>811</v>
      </c>
      <c r="B115" s="4" t="s">
        <v>812</v>
      </c>
      <c r="C115" s="4" t="s">
        <v>813</v>
      </c>
      <c r="D115" s="4" t="s">
        <v>814</v>
      </c>
      <c r="E115" s="4" t="s">
        <v>815</v>
      </c>
      <c r="F115" s="2"/>
      <c r="G115" s="5">
        <v>114.0</v>
      </c>
      <c r="H115" s="4" t="s">
        <v>816</v>
      </c>
      <c r="I115" s="4" t="str">
        <f>IFERROR(__xludf.DUMMYFUNCTION("GOOGLETRANSLATE(C115, ""en"", ""de"")"),"A. 4 Punkte B. 10 Punkte C. 11 Punkte D. 5 Punkte")</f>
        <v>A. 4 Punkte B. 10 Punkte C. 11 Punkte D. 5 Punkte</v>
      </c>
      <c r="J115" s="4" t="s">
        <v>817</v>
      </c>
      <c r="K115" s="4" t="s">
        <v>818</v>
      </c>
      <c r="L115" s="2"/>
      <c r="R115" s="2"/>
      <c r="S115" s="2"/>
      <c r="T115" s="2"/>
      <c r="U115" s="2"/>
    </row>
    <row r="116" ht="22.5" customHeight="1">
      <c r="A116" s="4" t="s">
        <v>819</v>
      </c>
      <c r="B116" s="4" t="s">
        <v>820</v>
      </c>
      <c r="C116" s="4" t="s">
        <v>821</v>
      </c>
      <c r="D116" s="4" t="s">
        <v>822</v>
      </c>
      <c r="E116" s="4" t="s">
        <v>823</v>
      </c>
      <c r="F116" s="2"/>
      <c r="G116" s="5">
        <v>115.0</v>
      </c>
      <c r="H116" s="4" t="s">
        <v>824</v>
      </c>
      <c r="I116" s="4" t="str">
        <f>IFERROR(__xludf.DUMMYFUNCTION("GOOGLETRANSLATE(C116, ""en"", ""de"")"),"A. Alle Karten B. Nur die Jungen C. Nur die Asse D. Nur die Damen")</f>
        <v>A. Alle Karten B. Nur die Jungen C. Nur die Asse D. Nur die Damen</v>
      </c>
      <c r="J116" s="4" t="s">
        <v>825</v>
      </c>
      <c r="K116" s="4" t="s">
        <v>826</v>
      </c>
      <c r="L116" s="2"/>
      <c r="R116" s="2"/>
      <c r="S116" s="2"/>
      <c r="T116" s="2"/>
      <c r="U116" s="2"/>
    </row>
    <row r="117" ht="22.5" customHeight="1">
      <c r="A117" s="4" t="s">
        <v>827</v>
      </c>
      <c r="B117" s="4" t="s">
        <v>515</v>
      </c>
      <c r="C117" s="4" t="s">
        <v>828</v>
      </c>
      <c r="D117" s="4" t="s">
        <v>829</v>
      </c>
      <c r="E117" s="4" t="s">
        <v>830</v>
      </c>
      <c r="F117" s="2"/>
      <c r="G117" s="5">
        <v>116.0</v>
      </c>
      <c r="H117" s="4" t="s">
        <v>519</v>
      </c>
      <c r="I117" s="4" t="str">
        <f>IFERROR(__xludf.DUMMYFUNCTION("GOOGLETRANSLATE(C117, ""en"", ""de"")"),"A. Ein Spiel, bei dem der Spieler mit den wenigsten Punkten gewinnt. B. Ein Spiel mit den höchsten Karten. C. Ein Spiel ohne Trumpf. D. Ein Spiel mit einer festen Punktzahl.")</f>
        <v>A. Ein Spiel, bei dem der Spieler mit den wenigsten Punkten gewinnt. B. Ein Spiel mit den höchsten Karten. C. Ein Spiel ohne Trumpf. D. Ein Spiel mit einer festen Punktzahl.</v>
      </c>
      <c r="J117" s="4" t="s">
        <v>831</v>
      </c>
      <c r="K117" s="4" t="s">
        <v>832</v>
      </c>
      <c r="L117" s="2"/>
      <c r="R117" s="2"/>
      <c r="S117" s="2"/>
      <c r="T117" s="2"/>
      <c r="U117" s="2"/>
    </row>
    <row r="118" ht="22.5" customHeight="1">
      <c r="A118" s="4" t="s">
        <v>833</v>
      </c>
      <c r="B118" s="4" t="s">
        <v>834</v>
      </c>
      <c r="C118" s="4" t="s">
        <v>742</v>
      </c>
      <c r="D118" s="4" t="s">
        <v>400</v>
      </c>
      <c r="E118" s="4" t="s">
        <v>835</v>
      </c>
      <c r="F118" s="2"/>
      <c r="G118" s="5">
        <v>117.0</v>
      </c>
      <c r="H118" s="4" t="s">
        <v>836</v>
      </c>
      <c r="I118" s="4" t="str">
        <f>IFERROR(__xludf.DUMMYFUNCTION("GOOGLETRANSLATE(C118, ""en"", ""de"")"),"A. Als B. König C. Bube D. Zehn")</f>
        <v>A. Als B. König C. Bube D. Zehn</v>
      </c>
      <c r="J118" s="4" t="s">
        <v>400</v>
      </c>
      <c r="K118" s="4" t="s">
        <v>837</v>
      </c>
      <c r="L118" s="2"/>
      <c r="R118" s="2"/>
      <c r="S118" s="2"/>
      <c r="T118" s="2"/>
      <c r="U118" s="2"/>
    </row>
    <row r="119" ht="22.5" customHeight="1">
      <c r="A119" s="4" t="s">
        <v>838</v>
      </c>
      <c r="B119" s="4" t="s">
        <v>839</v>
      </c>
      <c r="C119" s="4" t="s">
        <v>840</v>
      </c>
      <c r="D119" s="4" t="s">
        <v>841</v>
      </c>
      <c r="E119" s="4" t="s">
        <v>842</v>
      </c>
      <c r="F119" s="2"/>
      <c r="G119" s="5">
        <v>118.0</v>
      </c>
      <c r="H119" s="4" t="s">
        <v>843</v>
      </c>
      <c r="I119" s="4" t="str">
        <f>IFERROR(__xludf.DUMMYFUNCTION("GOOGLETRANSLATE(C119, ""en"", ""de"")"),"A. Das Spiel wird unterbrochen. B. Er verliert das Gebot und das Spiel wird fortgesetzt. C. Er muss eine neue Karte ziehen. D. Er verliert automatisch.")</f>
        <v>A. Das Spiel wird unterbrochen. B. Er verliert das Gebot und das Spiel wird fortgesetzt. C. Er muss eine neue Karte ziehen. D. Er verliert automatisch.</v>
      </c>
      <c r="J119" s="4" t="s">
        <v>844</v>
      </c>
      <c r="K119" s="4" t="s">
        <v>845</v>
      </c>
      <c r="L119" s="2"/>
      <c r="R119" s="2"/>
      <c r="S119" s="2"/>
      <c r="T119" s="2"/>
      <c r="U119" s="2"/>
    </row>
    <row r="120" ht="22.5" customHeight="1">
      <c r="A120" s="4" t="s">
        <v>846</v>
      </c>
      <c r="B120" s="4" t="s">
        <v>847</v>
      </c>
      <c r="C120" s="4" t="s">
        <v>848</v>
      </c>
      <c r="D120" s="4" t="s">
        <v>849</v>
      </c>
      <c r="E120" s="4" t="s">
        <v>850</v>
      </c>
      <c r="F120" s="2"/>
      <c r="G120" s="5">
        <v>119.0</v>
      </c>
      <c r="H120" s="4" t="s">
        <v>851</v>
      </c>
      <c r="I120" s="4" t="str">
        <f>IFERROR(__xludf.DUMMYFUNCTION("GOOGLETRANSLATE(C120, ""en"", ""de"")"),"A. Das Spiel endet unentschieden. B. Der erste Spieler gewinnt. C. Der Spieler, der zuerst bietet, gewinnt. D. Es wird ein neues Angebot ausgegeben.")</f>
        <v>A. Das Spiel endet unentschieden. B. Der erste Spieler gewinnt. C. Der Spieler, der zuerst bietet, gewinnt. D. Es wird ein neues Angebot ausgegeben.</v>
      </c>
      <c r="J120" s="4" t="s">
        <v>852</v>
      </c>
      <c r="K120" s="4" t="s">
        <v>853</v>
      </c>
      <c r="L120" s="2"/>
      <c r="R120" s="2"/>
      <c r="S120" s="2"/>
      <c r="T120" s="2"/>
      <c r="U120" s="2"/>
    </row>
    <row r="121" ht="22.5" customHeight="1">
      <c r="A121" s="4" t="s">
        <v>854</v>
      </c>
      <c r="B121" s="4" t="s">
        <v>855</v>
      </c>
      <c r="C121" s="4" t="s">
        <v>856</v>
      </c>
      <c r="D121" s="4" t="s">
        <v>525</v>
      </c>
      <c r="E121" s="4" t="s">
        <v>857</v>
      </c>
      <c r="F121" s="2"/>
      <c r="G121" s="5">
        <v>120.0</v>
      </c>
      <c r="H121" s="4" t="s">
        <v>858</v>
      </c>
      <c r="I121" s="4" t="str">
        <f>IFERROR(__xludf.DUMMYFUNCTION("GOOGLETRANSLATE(C121, ""en"", ""de"")"),"A. 10 Punkte B. 11 Punkte C. 5 Punkte D. 9 Punkte")</f>
        <v>A. 10 Punkte B. 11 Punkte C. 5 Punkte D. 9 Punkte</v>
      </c>
      <c r="J121" s="4" t="s">
        <v>528</v>
      </c>
      <c r="K121" s="4" t="s">
        <v>859</v>
      </c>
      <c r="L121" s="2"/>
      <c r="R121" s="2"/>
      <c r="S121" s="2"/>
      <c r="T121" s="2"/>
      <c r="U121" s="2"/>
    </row>
    <row r="122" ht="22.5" customHeight="1">
      <c r="A122" s="4" t="s">
        <v>860</v>
      </c>
      <c r="B122" s="4" t="s">
        <v>499</v>
      </c>
      <c r="C122" s="4" t="s">
        <v>861</v>
      </c>
      <c r="D122" s="4" t="s">
        <v>862</v>
      </c>
      <c r="E122" s="4" t="s">
        <v>863</v>
      </c>
      <c r="F122" s="2"/>
      <c r="G122" s="5">
        <v>121.0</v>
      </c>
      <c r="H122" s="4" t="s">
        <v>503</v>
      </c>
      <c r="I122" s="4" t="str">
        <f>IFERROR(__xludf.DUMMYFUNCTION("GOOGLETRANSLATE(C122, ""en"", ""de"")"),"A. Den Einsatz erhöhen B. Den Einsatz verringern C. Maschen zählen D. Ein Spiel beenden")</f>
        <v>A. Den Einsatz erhöhen B. Den Einsatz verringern C. Maschen zählen D. Ein Spiel beenden</v>
      </c>
      <c r="J122" s="4" t="s">
        <v>864</v>
      </c>
      <c r="K122" s="4" t="s">
        <v>865</v>
      </c>
      <c r="L122" s="2"/>
      <c r="R122" s="2"/>
      <c r="S122" s="2"/>
      <c r="T122" s="2"/>
      <c r="U122" s="2"/>
    </row>
    <row r="123" ht="22.5" customHeight="1">
      <c r="A123" s="4" t="s">
        <v>866</v>
      </c>
      <c r="B123" s="4" t="s">
        <v>867</v>
      </c>
      <c r="C123" s="4" t="s">
        <v>868</v>
      </c>
      <c r="D123" s="4" t="s">
        <v>869</v>
      </c>
      <c r="E123" s="4" t="s">
        <v>870</v>
      </c>
      <c r="F123" s="2"/>
      <c r="G123" s="5">
        <v>122.0</v>
      </c>
      <c r="H123" s="4" t="s">
        <v>871</v>
      </c>
      <c r="I123" s="4" t="str">
        <f>IFERROR(__xludf.DUMMYFUNCTION("GOOGLETRANSLATE(C123, ""en"", ""de"")"),"A. In einem Standardspiel sind alle Karten Trumpf; in einem Nullspiel nicht. B. In einem Nullspiel gibt es Trumpf, aber nicht in einem großen Spiel. C. Grand ist das niedrigste Spiel, Zero das höchste. D. Es gibt keinen Unterschied.")</f>
        <v>A. In einem Standardspiel sind alle Karten Trumpf; in einem Nullspiel nicht. B. In einem Nullspiel gibt es Trumpf, aber nicht in einem großen Spiel. C. Grand ist das niedrigste Spiel, Zero das höchste. D. Es gibt keinen Unterschied.</v>
      </c>
      <c r="J123" s="4" t="s">
        <v>872</v>
      </c>
      <c r="K123" s="4" t="s">
        <v>873</v>
      </c>
      <c r="L123" s="2"/>
      <c r="R123" s="2"/>
      <c r="S123" s="2"/>
      <c r="T123" s="2"/>
      <c r="U123" s="2"/>
    </row>
    <row r="124" ht="22.5" customHeight="1">
      <c r="A124" s="4" t="s">
        <v>874</v>
      </c>
      <c r="B124" s="4" t="s">
        <v>875</v>
      </c>
      <c r="C124" s="4" t="s">
        <v>876</v>
      </c>
      <c r="D124" s="4" t="s">
        <v>877</v>
      </c>
      <c r="E124" s="4" t="s">
        <v>878</v>
      </c>
      <c r="F124" s="2"/>
      <c r="G124" s="5">
        <v>123.0</v>
      </c>
      <c r="H124" s="4" t="s">
        <v>879</v>
      </c>
      <c r="I124" s="4" t="str">
        <f>IFERROR(__xludf.DUMMYFUNCTION("GOOGLETRANSLATE(C124, ""en"", ""de"")"),"A. Das Spiel ohne Trumpf. B. Das Spiel mit den höchsten Karten. C. Das Spiel ohne Jungen. D. Das Spiel mit der niedrigsten Punktzahl.")</f>
        <v>A. Das Spiel ohne Trumpf. B. Das Spiel mit den höchsten Karten. C. Das Spiel ohne Jungen. D. Das Spiel mit der niedrigsten Punktzahl.</v>
      </c>
      <c r="J124" s="4" t="s">
        <v>880</v>
      </c>
      <c r="K124" s="4" t="s">
        <v>881</v>
      </c>
      <c r="L124" s="2"/>
      <c r="R124" s="2"/>
      <c r="S124" s="2"/>
      <c r="T124" s="2"/>
      <c r="U124" s="2"/>
    </row>
    <row r="125" ht="22.5" customHeight="1">
      <c r="A125" s="4" t="s">
        <v>882</v>
      </c>
      <c r="B125" s="4" t="s">
        <v>883</v>
      </c>
      <c r="C125" s="4" t="s">
        <v>884</v>
      </c>
      <c r="D125" s="4" t="s">
        <v>885</v>
      </c>
      <c r="E125" s="4" t="s">
        <v>886</v>
      </c>
      <c r="F125" s="2"/>
      <c r="G125" s="5">
        <v>124.0</v>
      </c>
      <c r="H125" s="4" t="s">
        <v>887</v>
      </c>
      <c r="I125" s="4" t="str">
        <f>IFERROR(__xludf.DUMMYFUNCTION("GOOGLETRANSLATE(C125, ""en"", ""de"")"),"A. Der Gegner erhält einen halben Punkt. B. Der Spieler muss alle Stiche gewinnen. C. Der Gegner muss alle Stiche verlieren. D. Der Spieler gewinnt, wenn er alle Stiche gewinnt.")</f>
        <v>A. Der Gegner erhält einen halben Punkt. B. Der Spieler muss alle Stiche gewinnen. C. Der Gegner muss alle Stiche verlieren. D. Der Spieler gewinnt, wenn er alle Stiche gewinnt.</v>
      </c>
      <c r="J125" s="4" t="s">
        <v>888</v>
      </c>
      <c r="K125" s="4" t="s">
        <v>889</v>
      </c>
      <c r="L125" s="2"/>
      <c r="R125" s="2"/>
      <c r="S125" s="2"/>
      <c r="T125" s="2"/>
      <c r="U125" s="2"/>
    </row>
    <row r="126" ht="22.5" customHeight="1">
      <c r="A126" s="4" t="s">
        <v>890</v>
      </c>
      <c r="B126" s="4" t="s">
        <v>891</v>
      </c>
      <c r="C126" s="4" t="s">
        <v>892</v>
      </c>
      <c r="D126" s="4" t="s">
        <v>893</v>
      </c>
      <c r="E126" s="4" t="s">
        <v>894</v>
      </c>
      <c r="F126" s="2"/>
      <c r="G126" s="5">
        <v>125.0</v>
      </c>
      <c r="H126" s="4" t="s">
        <v>895</v>
      </c>
      <c r="I126" s="4" t="str">
        <f>IFERROR(__xludf.DUMMYFUNCTION("GOOGLETRANSLATE(C126, ""en"", ""de"")"),"A. Schneider B. Handball C. Fantastisches Spiel D. Null")</f>
        <v>A. Schneider B. Handball C. Fantastisches Spiel D. Null</v>
      </c>
      <c r="J126" s="4" t="s">
        <v>893</v>
      </c>
      <c r="K126" s="4" t="s">
        <v>896</v>
      </c>
      <c r="L126" s="2"/>
      <c r="R126" s="2"/>
      <c r="S126" s="2"/>
      <c r="T126" s="2"/>
      <c r="U126" s="2"/>
    </row>
    <row r="127" ht="22.5" customHeight="1">
      <c r="A127" s="4" t="s">
        <v>897</v>
      </c>
      <c r="B127" s="4" t="s">
        <v>741</v>
      </c>
      <c r="C127" s="4" t="s">
        <v>742</v>
      </c>
      <c r="D127" s="4" t="s">
        <v>400</v>
      </c>
      <c r="E127" s="4" t="s">
        <v>898</v>
      </c>
      <c r="F127" s="2"/>
      <c r="G127" s="5">
        <v>126.0</v>
      </c>
      <c r="H127" s="4" t="s">
        <v>744</v>
      </c>
      <c r="I127" s="4" t="str">
        <f>IFERROR(__xludf.DUMMYFUNCTION("GOOGLETRANSLATE(C127, ""en"", ""de"")"),"A. Als B. König C. Bube D. Zehn")</f>
        <v>A. Als B. König C. Bube D. Zehn</v>
      </c>
      <c r="J127" s="4" t="s">
        <v>400</v>
      </c>
      <c r="K127" s="4" t="s">
        <v>899</v>
      </c>
      <c r="L127" s="2"/>
      <c r="R127" s="2"/>
      <c r="S127" s="2"/>
      <c r="T127" s="2"/>
      <c r="U127" s="2"/>
    </row>
    <row r="128" ht="22.5" customHeight="1">
      <c r="A128" s="4" t="s">
        <v>900</v>
      </c>
      <c r="B128" s="4" t="s">
        <v>684</v>
      </c>
      <c r="C128" s="4" t="s">
        <v>901</v>
      </c>
      <c r="D128" s="4" t="s">
        <v>274</v>
      </c>
      <c r="E128" s="4" t="s">
        <v>902</v>
      </c>
      <c r="F128" s="2"/>
      <c r="G128" s="5">
        <v>127.0</v>
      </c>
      <c r="H128" s="4" t="s">
        <v>687</v>
      </c>
      <c r="I128" s="4" t="str">
        <f>IFERROR(__xludf.DUMMYFUNCTION("GOOGLETRANSLATE(C128, ""en"", ""de"")"),"A. 10 Karten B. 9 Karten C. 12 Karten D. 7 Karten")</f>
        <v>A. 10 Karten B. 9 Karten C. 12 Karten D. 7 Karten</v>
      </c>
      <c r="J128" s="4" t="s">
        <v>277</v>
      </c>
      <c r="K128" s="4" t="s">
        <v>903</v>
      </c>
      <c r="L128" s="2"/>
      <c r="R128" s="2"/>
      <c r="S128" s="2"/>
      <c r="T128" s="2"/>
      <c r="U128" s="2"/>
    </row>
    <row r="129" ht="22.5" customHeight="1">
      <c r="A129" s="4" t="s">
        <v>904</v>
      </c>
      <c r="B129" s="4" t="s">
        <v>905</v>
      </c>
      <c r="C129" s="4" t="s">
        <v>906</v>
      </c>
      <c r="D129" s="4" t="s">
        <v>907</v>
      </c>
      <c r="E129" s="4" t="s">
        <v>908</v>
      </c>
      <c r="F129" s="2"/>
      <c r="G129" s="5">
        <v>128.0</v>
      </c>
      <c r="H129" s="4" t="s">
        <v>909</v>
      </c>
      <c r="I129" s="4" t="str">
        <f>IFERROR(__xludf.DUMMYFUNCTION("GOOGLETRANSLATE(C129, ""en"", ""de"")"),"A. Keine Stiche machen. B. Ein Spiel ohne Trumpf. C. Ein Spiel mit den höchsten Karten. D. Ein Spiel mit einem festgelegten Punktziel.")</f>
        <v>A. Keine Stiche machen. B. Ein Spiel ohne Trumpf. C. Ein Spiel mit den höchsten Karten. D. Ein Spiel mit einem festgelegten Punktziel.</v>
      </c>
      <c r="J129" s="4" t="s">
        <v>910</v>
      </c>
      <c r="K129" s="4" t="s">
        <v>911</v>
      </c>
      <c r="L129" s="2"/>
      <c r="R129" s="2"/>
      <c r="S129" s="2"/>
      <c r="T129" s="2"/>
      <c r="U129" s="2"/>
    </row>
    <row r="130" ht="22.5" customHeight="1">
      <c r="A130" s="4" t="s">
        <v>912</v>
      </c>
      <c r="B130" s="4" t="s">
        <v>571</v>
      </c>
      <c r="C130" s="4" t="s">
        <v>913</v>
      </c>
      <c r="D130" s="4" t="s">
        <v>384</v>
      </c>
      <c r="E130" s="4" t="s">
        <v>752</v>
      </c>
      <c r="F130" s="2"/>
      <c r="G130" s="5">
        <v>129.0</v>
      </c>
      <c r="H130" s="4" t="s">
        <v>573</v>
      </c>
      <c r="I130" s="4" t="str">
        <f>IFERROR(__xludf.DUMMYFUNCTION("GOOGLETRANSLATE(C130, ""en"", ""de"")"),"A. 10 Punkte B. 9 Punkte C. 8 Punkte D. 7 Punkte")</f>
        <v>A. 10 Punkte B. 9 Punkte C. 8 Punkte D. 7 Punkte</v>
      </c>
      <c r="J130" s="4" t="s">
        <v>387</v>
      </c>
      <c r="K130" s="4" t="s">
        <v>753</v>
      </c>
      <c r="L130" s="2"/>
      <c r="R130" s="2"/>
      <c r="S130" s="2"/>
      <c r="T130" s="2"/>
      <c r="U130" s="2"/>
    </row>
    <row r="131" ht="22.5" customHeight="1">
      <c r="A131" s="4" t="s">
        <v>914</v>
      </c>
      <c r="B131" s="4" t="s">
        <v>915</v>
      </c>
      <c r="C131" s="4" t="s">
        <v>756</v>
      </c>
      <c r="D131" s="4" t="s">
        <v>298</v>
      </c>
      <c r="E131" s="4" t="s">
        <v>916</v>
      </c>
      <c r="F131" s="2"/>
      <c r="G131" s="5">
        <v>130.0</v>
      </c>
      <c r="H131" s="4" t="s">
        <v>917</v>
      </c>
      <c r="I131" s="4" t="str">
        <f>IFERROR(__xludf.DUMMYFUNCTION("GOOGLETRANSLATE(C131, ""en"", ""de"")"),"A. Großartig B. Null C. Farbenspiel D. Müll")</f>
        <v>A. Großartig B. Null C. Farbenspiel D. Müll</v>
      </c>
      <c r="J131" s="4" t="s">
        <v>301</v>
      </c>
      <c r="K131" s="4" t="s">
        <v>918</v>
      </c>
      <c r="L131" s="2"/>
      <c r="R131" s="2"/>
      <c r="S131" s="2"/>
      <c r="T131" s="2"/>
      <c r="U131" s="2"/>
    </row>
    <row r="132" ht="22.5" customHeight="1">
      <c r="A132" s="4" t="s">
        <v>919</v>
      </c>
      <c r="B132" s="4" t="s">
        <v>320</v>
      </c>
      <c r="C132" s="4" t="s">
        <v>920</v>
      </c>
      <c r="D132" s="4" t="s">
        <v>557</v>
      </c>
      <c r="E132" s="4" t="s">
        <v>762</v>
      </c>
      <c r="F132" s="2"/>
      <c r="G132" s="5">
        <v>131.0</v>
      </c>
      <c r="H132" s="4" t="s">
        <v>324</v>
      </c>
      <c r="I132" s="4" t="str">
        <f>IFERROR(__xludf.DUMMYFUNCTION("GOOGLETRANSLATE(C132, ""en"", ""de"")"),"A. 12 Stiche B. 10 Stiche C. 15 Stiche D. 13 Stiche")</f>
        <v>A. 12 Stiche B. 10 Stiche C. 15 Stiche D. 13 Stiche</v>
      </c>
      <c r="J132" s="4" t="s">
        <v>560</v>
      </c>
      <c r="K132" s="4" t="s">
        <v>763</v>
      </c>
      <c r="L132" s="2"/>
      <c r="R132" s="2"/>
      <c r="S132" s="2"/>
      <c r="T132" s="2"/>
      <c r="U132" s="2"/>
    </row>
    <row r="133" ht="22.5" customHeight="1">
      <c r="A133" s="4" t="s">
        <v>921</v>
      </c>
      <c r="B133" s="4" t="s">
        <v>765</v>
      </c>
      <c r="C133" s="4" t="s">
        <v>922</v>
      </c>
      <c r="D133" s="4" t="s">
        <v>392</v>
      </c>
      <c r="E133" s="4" t="s">
        <v>923</v>
      </c>
      <c r="F133" s="2"/>
      <c r="G133" s="5">
        <v>132.0</v>
      </c>
      <c r="H133" s="4" t="s">
        <v>768</v>
      </c>
      <c r="I133" s="4" t="str">
        <f>IFERROR(__xludf.DUMMYFUNCTION("GOOGLETRANSLATE(C133, ""en"", ""de"")"),"A. Er verliert das Spiel. B. Er kann die Trumpffarbe wählen. C. Er bestimmt die Stiche. D. Er gibt das Spiel auf.")</f>
        <v>A. Er verliert das Spiel. B. Er kann die Trumpffarbe wählen. C. Er bestimmt die Stiche. D. Er gibt das Spiel auf.</v>
      </c>
      <c r="J133" s="4" t="s">
        <v>395</v>
      </c>
      <c r="K133" s="4" t="s">
        <v>924</v>
      </c>
      <c r="L133" s="2"/>
      <c r="R133" s="2"/>
      <c r="S133" s="2"/>
      <c r="T133" s="2"/>
      <c r="U133" s="2"/>
    </row>
    <row r="134" ht="22.5" customHeight="1">
      <c r="A134" s="4" t="s">
        <v>925</v>
      </c>
      <c r="B134" s="4" t="s">
        <v>771</v>
      </c>
      <c r="C134" s="4" t="s">
        <v>926</v>
      </c>
      <c r="D134" s="4" t="s">
        <v>862</v>
      </c>
      <c r="E134" s="4" t="s">
        <v>927</v>
      </c>
      <c r="F134" s="2"/>
      <c r="G134" s="5">
        <v>133.0</v>
      </c>
      <c r="H134" s="4" t="s">
        <v>775</v>
      </c>
      <c r="I134" s="4" t="str">
        <f>IFERROR(__xludf.DUMMYFUNCTION("GOOGLETRANSLATE(C134, ""en"", ""de"")"),"A. Den Einsatz erhöhen. B. Das Stechen verhindern. C. Als ein zusätzlicher Punkt zählen. D. Das Spiel wird abgebrochen.")</f>
        <v>A. Den Einsatz erhöhen. B. Das Stechen verhindern. C. Als ein zusätzlicher Punkt zählen. D. Das Spiel wird abgebrochen.</v>
      </c>
      <c r="J134" s="4" t="s">
        <v>928</v>
      </c>
      <c r="K134" s="4" t="s">
        <v>929</v>
      </c>
      <c r="L134" s="2"/>
      <c r="R134" s="2"/>
      <c r="S134" s="2"/>
      <c r="T134" s="2"/>
      <c r="U134" s="2"/>
    </row>
    <row r="135" ht="22.5" customHeight="1">
      <c r="A135" s="4" t="s">
        <v>930</v>
      </c>
      <c r="B135" s="4" t="s">
        <v>931</v>
      </c>
      <c r="C135" s="4" t="s">
        <v>932</v>
      </c>
      <c r="D135" s="4" t="s">
        <v>392</v>
      </c>
      <c r="E135" s="4" t="s">
        <v>782</v>
      </c>
      <c r="F135" s="2"/>
      <c r="G135" s="5">
        <v>134.0</v>
      </c>
      <c r="H135" s="4" t="s">
        <v>933</v>
      </c>
      <c r="I135" s="4" t="str">
        <f>IFERROR(__xludf.DUMMYFUNCTION("GOOGLETRANSLATE(C135, ""en"", ""de"")"),"A. Er verliert das Spiel. B. Das Spiel wird fortgesetzt. C. Der Gegner gewinnt den Stich. D. Das Spiel endet sofort.")</f>
        <v>A. Er verliert das Spiel. B. Das Spiel wird fortgesetzt. C. Der Gegner gewinnt den Stich. D. Das Spiel endet sofort.</v>
      </c>
      <c r="J135" s="4" t="s">
        <v>395</v>
      </c>
      <c r="K135" s="4" t="s">
        <v>785</v>
      </c>
      <c r="L135" s="2"/>
      <c r="R135" s="2"/>
      <c r="S135" s="2"/>
      <c r="T135" s="2"/>
      <c r="U135" s="2"/>
    </row>
    <row r="136" ht="22.5" customHeight="1">
      <c r="A136" s="4" t="s">
        <v>934</v>
      </c>
      <c r="B136" s="4" t="s">
        <v>787</v>
      </c>
      <c r="C136" s="4" t="s">
        <v>935</v>
      </c>
      <c r="D136" s="4" t="s">
        <v>493</v>
      </c>
      <c r="E136" s="4" t="s">
        <v>936</v>
      </c>
      <c r="F136" s="2"/>
      <c r="G136" s="5">
        <v>135.0</v>
      </c>
      <c r="H136" s="4" t="s">
        <v>789</v>
      </c>
      <c r="I136" s="4" t="str">
        <f>IFERROR(__xludf.DUMMYFUNCTION("GOOGLETRANSLATE(C136, ""en"", ""de"")"),"A. 2 Karten B. 4 Karten C. 1 Karte D. 3 Karten")</f>
        <v>A. 2 Karten B. 4 Karten C. 1 Karte D. 3 Karten</v>
      </c>
      <c r="J136" s="4" t="s">
        <v>496</v>
      </c>
      <c r="K136" s="4" t="s">
        <v>937</v>
      </c>
      <c r="L136" s="2"/>
      <c r="R136" s="2"/>
      <c r="S136" s="2"/>
      <c r="T136" s="2"/>
      <c r="U136" s="2"/>
    </row>
    <row r="137" ht="22.5" customHeight="1">
      <c r="A137" s="4" t="s">
        <v>938</v>
      </c>
      <c r="B137" s="4" t="s">
        <v>792</v>
      </c>
      <c r="C137" s="4" t="s">
        <v>939</v>
      </c>
      <c r="D137" s="4" t="s">
        <v>940</v>
      </c>
      <c r="E137" s="4" t="s">
        <v>941</v>
      </c>
      <c r="F137" s="2"/>
      <c r="G137" s="5">
        <v>136.0</v>
      </c>
      <c r="H137" s="4" t="s">
        <v>795</v>
      </c>
      <c r="I137" s="4" t="str">
        <f>IFERROR(__xludf.DUMMYFUNCTION("GOOGLETRANSLATE(C137, ""en"", ""de"")"),"A. Erhöhen Sie Ihr Gebot. B. Zählen Sie die Punkte. C. Mischen Sie die Karten. D. Teilen Sie die Karten.")</f>
        <v>A. Erhöhen Sie Ihr Gebot. B. Zählen Sie die Punkte. C. Mischen Sie die Karten. D. Teilen Sie die Karten.</v>
      </c>
      <c r="J137" s="4" t="s">
        <v>942</v>
      </c>
      <c r="K137" s="4" t="s">
        <v>943</v>
      </c>
      <c r="L137" s="2"/>
      <c r="R137" s="2"/>
      <c r="S137" s="2"/>
      <c r="T137" s="2"/>
      <c r="U137" s="2"/>
    </row>
    <row r="138" ht="22.5" customHeight="1">
      <c r="A138" s="4" t="s">
        <v>944</v>
      </c>
      <c r="B138" s="4" t="s">
        <v>639</v>
      </c>
      <c r="C138" s="4" t="s">
        <v>800</v>
      </c>
      <c r="D138" s="4" t="s">
        <v>801</v>
      </c>
      <c r="E138" s="4" t="s">
        <v>641</v>
      </c>
      <c r="F138" s="2"/>
      <c r="G138" s="5">
        <v>137.0</v>
      </c>
      <c r="H138" s="4" t="s">
        <v>642</v>
      </c>
      <c r="I138" s="4" t="str">
        <f>IFERROR(__xludf.DUMMYFUNCTION("GOOGLETRANSLATE(C138, ""en"", ""de"")"),"A. 3 Spieler B. 2 Spieler C. 4 Spieler D. 5 Spieler")</f>
        <v>A. 3 Spieler B. 2 Spieler C. 4 Spieler D. 5 Spieler</v>
      </c>
      <c r="J138" s="4" t="s">
        <v>804</v>
      </c>
      <c r="K138" s="4" t="s">
        <v>643</v>
      </c>
      <c r="L138" s="2"/>
      <c r="R138" s="2"/>
      <c r="S138" s="2"/>
      <c r="T138" s="2"/>
      <c r="U138" s="2"/>
    </row>
    <row r="139" ht="22.5" customHeight="1">
      <c r="A139" s="4" t="s">
        <v>945</v>
      </c>
      <c r="B139" s="4" t="s">
        <v>946</v>
      </c>
      <c r="C139" s="4" t="s">
        <v>947</v>
      </c>
      <c r="D139" s="4" t="s">
        <v>948</v>
      </c>
      <c r="E139" s="4" t="s">
        <v>949</v>
      </c>
      <c r="F139" s="2"/>
      <c r="G139" s="5">
        <v>138.0</v>
      </c>
      <c r="H139" s="4" t="s">
        <v>950</v>
      </c>
      <c r="I139" s="4" t="str">
        <f>IFERROR(__xludf.DUMMYFUNCTION("GOOGLETRANSLATE(C139, ""en"", ""de"")"),"A. Im Grand-Trumpfspiel sind alle Karten Trumpf. B. In einem Nullspiel sind alle Karten Trumpf. C. Im Grand-Trumpfspiel werden nur Buben als Trumpf verwendet. D. Es gibt keinen Unterschied.")</f>
        <v>A. Im Grand-Trumpfspiel sind alle Karten Trumpf. B. In einem Nullspiel sind alle Karten Trumpf. C. Im Grand-Trumpfspiel werden nur Buben als Trumpf verwendet. D. Es gibt keinen Unterschied.</v>
      </c>
      <c r="J139" s="4" t="s">
        <v>951</v>
      </c>
      <c r="K139" s="4" t="s">
        <v>952</v>
      </c>
      <c r="L139" s="2"/>
      <c r="R139" s="2"/>
      <c r="S139" s="2"/>
      <c r="T139" s="2"/>
      <c r="U139" s="2"/>
    </row>
    <row r="140" ht="22.5" customHeight="1">
      <c r="A140" s="4" t="s">
        <v>953</v>
      </c>
      <c r="B140" s="4" t="s">
        <v>705</v>
      </c>
      <c r="C140" s="4" t="s">
        <v>954</v>
      </c>
      <c r="D140" s="4" t="s">
        <v>463</v>
      </c>
      <c r="E140" s="4" t="s">
        <v>955</v>
      </c>
      <c r="F140" s="2"/>
      <c r="G140" s="5">
        <v>139.0</v>
      </c>
      <c r="H140" s="4" t="s">
        <v>809</v>
      </c>
      <c r="I140" s="4" t="str">
        <f>IFERROR(__xludf.DUMMYFUNCTION("GOOGLETRANSLATE(C140, ""en"", ""de"")"),"A. Bewertung B. Spielrezension C. Reizbewertung D. Stichbewertung")</f>
        <v>A. Bewertung B. Spielrezension C. Reizbewertung D. Stichbewertung</v>
      </c>
      <c r="J140" s="4" t="s">
        <v>466</v>
      </c>
      <c r="K140" s="4" t="s">
        <v>956</v>
      </c>
      <c r="L140" s="2"/>
      <c r="R140" s="2"/>
      <c r="S140" s="2"/>
      <c r="T140" s="2"/>
      <c r="U140" s="2"/>
    </row>
    <row r="141" ht="22.5" customHeight="1">
      <c r="A141" s="4" t="s">
        <v>957</v>
      </c>
      <c r="B141" s="4" t="s">
        <v>812</v>
      </c>
      <c r="C141" s="4" t="s">
        <v>958</v>
      </c>
      <c r="D141" s="4" t="s">
        <v>814</v>
      </c>
      <c r="E141" s="4" t="s">
        <v>815</v>
      </c>
      <c r="F141" s="2"/>
      <c r="G141" s="5">
        <v>140.0</v>
      </c>
      <c r="H141" s="4" t="s">
        <v>816</v>
      </c>
      <c r="I141" s="4" t="str">
        <f>IFERROR(__xludf.DUMMYFUNCTION("GOOGLETRANSLATE(C141, ""en"", ""de"")"),"A. 4 Punkte B. 3 Punkte C. 5 Punkte D. 2 Punkte")</f>
        <v>A. 4 Punkte B. 3 Punkte C. 5 Punkte D. 2 Punkte</v>
      </c>
      <c r="J141" s="4" t="s">
        <v>817</v>
      </c>
      <c r="K141" s="4" t="s">
        <v>818</v>
      </c>
      <c r="L141" s="2"/>
      <c r="R141" s="2"/>
      <c r="S141" s="2"/>
      <c r="T141" s="2"/>
      <c r="U141" s="2"/>
    </row>
    <row r="142" ht="22.5" customHeight="1">
      <c r="A142" s="4" t="s">
        <v>959</v>
      </c>
      <c r="B142" s="4" t="s">
        <v>960</v>
      </c>
      <c r="C142" s="4" t="s">
        <v>821</v>
      </c>
      <c r="D142" s="4" t="s">
        <v>822</v>
      </c>
      <c r="E142" s="4" t="s">
        <v>961</v>
      </c>
      <c r="F142" s="2"/>
      <c r="G142" s="5">
        <v>141.0</v>
      </c>
      <c r="H142" s="4" t="s">
        <v>962</v>
      </c>
      <c r="I142" s="4" t="str">
        <f>IFERROR(__xludf.DUMMYFUNCTION("GOOGLETRANSLATE(C142, ""en"", ""de"")"),"A. Alle Karten B. Nur die Jungen C. Nur die Asse D. Nur die Damen")</f>
        <v>A. Alle Karten B. Nur die Jungen C. Nur die Asse D. Nur die Damen</v>
      </c>
      <c r="J142" s="4" t="s">
        <v>825</v>
      </c>
      <c r="K142" s="4" t="s">
        <v>963</v>
      </c>
      <c r="L142" s="2"/>
      <c r="R142" s="2"/>
      <c r="S142" s="2"/>
      <c r="T142" s="2"/>
      <c r="U142" s="2"/>
    </row>
    <row r="143" ht="22.5" customHeight="1">
      <c r="A143" s="4" t="s">
        <v>964</v>
      </c>
      <c r="B143" s="4" t="s">
        <v>965</v>
      </c>
      <c r="C143" s="4" t="s">
        <v>966</v>
      </c>
      <c r="D143" s="4" t="s">
        <v>967</v>
      </c>
      <c r="E143" s="4" t="s">
        <v>830</v>
      </c>
      <c r="F143" s="2"/>
      <c r="G143" s="5">
        <v>142.0</v>
      </c>
      <c r="H143" s="4" t="s">
        <v>968</v>
      </c>
      <c r="I143" s="4" t="str">
        <f>IFERROR(__xludf.DUMMYFUNCTION("GOOGLETRANSLATE(C143, ""en"", ""de"")"),"A. Wer die wenigsten Punkte hat, gewinnt. B. Wer die meisten Punkte hat, gewinnt. C. Das Spiel endet unentschieden. D. Das Spiel wird wiederholt.")</f>
        <v>A. Wer die wenigsten Punkte hat, gewinnt. B. Wer die meisten Punkte hat, gewinnt. C. Das Spiel endet unentschieden. D. Das Spiel wird wiederholt.</v>
      </c>
      <c r="J143" s="4" t="s">
        <v>969</v>
      </c>
      <c r="K143" s="4" t="s">
        <v>970</v>
      </c>
      <c r="L143" s="2"/>
      <c r="R143" s="2"/>
      <c r="S143" s="2"/>
      <c r="T143" s="2"/>
      <c r="U143" s="2"/>
    </row>
    <row r="144" ht="22.5" customHeight="1">
      <c r="A144" s="4" t="s">
        <v>971</v>
      </c>
      <c r="B144" s="4" t="s">
        <v>972</v>
      </c>
      <c r="C144" s="4" t="s">
        <v>742</v>
      </c>
      <c r="D144" s="4" t="s">
        <v>400</v>
      </c>
      <c r="E144" s="4" t="s">
        <v>835</v>
      </c>
      <c r="F144" s="2"/>
      <c r="G144" s="5">
        <v>143.0</v>
      </c>
      <c r="H144" s="4" t="s">
        <v>973</v>
      </c>
      <c r="I144" s="4" t="str">
        <f>IFERROR(__xludf.DUMMYFUNCTION("GOOGLETRANSLATE(C144, ""en"", ""de"")"),"A. Als B. König C. Bube D. Zehn")</f>
        <v>A. Als B. König C. Bube D. Zehn</v>
      </c>
      <c r="J144" s="4" t="s">
        <v>400</v>
      </c>
      <c r="K144" s="4" t="s">
        <v>974</v>
      </c>
      <c r="L144" s="2"/>
      <c r="R144" s="2"/>
      <c r="S144" s="2"/>
      <c r="T144" s="2"/>
      <c r="U144" s="2"/>
    </row>
    <row r="145" ht="22.5" customHeight="1">
      <c r="A145" s="4" t="s">
        <v>975</v>
      </c>
      <c r="B145" s="4" t="s">
        <v>976</v>
      </c>
      <c r="C145" s="4" t="s">
        <v>977</v>
      </c>
      <c r="D145" s="4" t="s">
        <v>978</v>
      </c>
      <c r="E145" s="4" t="s">
        <v>979</v>
      </c>
      <c r="F145" s="2"/>
      <c r="G145" s="5">
        <v>144.0</v>
      </c>
      <c r="H145" s="4" t="s">
        <v>980</v>
      </c>
      <c r="I145" s="4" t="str">
        <f>IFERROR(__xludf.DUMMYFUNCTION("GOOGLETRANSLATE(C145, ""en"", ""de"")"),"A. Das Spiel wird unterbrochen. B. Sein Einspruch wird abgewiesen. C. Er erhält einen zusätzlichen Stich. D. Das Spiel wird fortgesetzt.")</f>
        <v>A. Das Spiel wird unterbrochen. B. Sein Einspruch wird abgewiesen. C. Er erhält einen zusätzlichen Stich. D. Das Spiel wird fortgesetzt.</v>
      </c>
      <c r="J145" s="4" t="s">
        <v>981</v>
      </c>
      <c r="K145" s="4" t="s">
        <v>982</v>
      </c>
      <c r="L145" s="2"/>
      <c r="R145" s="2"/>
      <c r="S145" s="2"/>
      <c r="T145" s="2"/>
      <c r="U145" s="2"/>
    </row>
    <row r="146" ht="22.5" customHeight="1">
      <c r="A146" s="4" t="s">
        <v>983</v>
      </c>
      <c r="B146" s="4" t="s">
        <v>984</v>
      </c>
      <c r="C146" s="4" t="s">
        <v>985</v>
      </c>
      <c r="D146" s="4" t="s">
        <v>986</v>
      </c>
      <c r="E146" s="4" t="s">
        <v>987</v>
      </c>
      <c r="F146" s="2"/>
      <c r="G146" s="5">
        <v>145.0</v>
      </c>
      <c r="H146" s="4" t="s">
        <v>988</v>
      </c>
      <c r="I146" s="4" t="str">
        <f>IFERROR(__xludf.DUMMYFUNCTION("GOOGLETRANSLATE(C146, ""en"", ""de"")"),"A. Ein weiterer Reiz wird angewendet. B. Das Spiel endet unentschieden. C. Der erste Spieler gewinnt. D. Der Spieler mit der höchsten Karte gewinnt.")</f>
        <v>A. Ein weiterer Reiz wird angewendet. B. Das Spiel endet unentschieden. C. Der erste Spieler gewinnt. D. Der Spieler mit der höchsten Karte gewinnt.</v>
      </c>
      <c r="J146" s="4" t="s">
        <v>989</v>
      </c>
      <c r="K146" s="4" t="s">
        <v>990</v>
      </c>
      <c r="L146" s="2"/>
      <c r="R146" s="2"/>
      <c r="S146" s="2"/>
      <c r="T146" s="2"/>
      <c r="U146" s="2"/>
    </row>
    <row r="147" ht="22.5" customHeight="1">
      <c r="A147" s="4" t="s">
        <v>991</v>
      </c>
      <c r="B147" s="4" t="s">
        <v>992</v>
      </c>
      <c r="C147" s="4" t="s">
        <v>993</v>
      </c>
      <c r="D147" s="4" t="s">
        <v>525</v>
      </c>
      <c r="E147" s="4" t="s">
        <v>994</v>
      </c>
      <c r="F147" s="2"/>
      <c r="G147" s="5">
        <v>146.0</v>
      </c>
      <c r="H147" s="4" t="s">
        <v>995</v>
      </c>
      <c r="I147" s="4" t="str">
        <f>IFERROR(__xludf.DUMMYFUNCTION("GOOGLETRANSLATE(C147, ""en"", ""de"")"),"A. 11 Punkte B. 10 Punkte C. 9 Punkte D. 12 Punkte")</f>
        <v>A. 11 Punkte B. 10 Punkte C. 9 Punkte D. 12 Punkte</v>
      </c>
      <c r="J147" s="4" t="s">
        <v>528</v>
      </c>
      <c r="K147" s="4" t="s">
        <v>996</v>
      </c>
      <c r="L147" s="2"/>
      <c r="R147" s="2"/>
      <c r="S147" s="2"/>
      <c r="T147" s="2"/>
      <c r="U147" s="2"/>
    </row>
    <row r="148" ht="22.5" customHeight="1">
      <c r="A148" s="4" t="s">
        <v>997</v>
      </c>
      <c r="B148" s="4" t="s">
        <v>771</v>
      </c>
      <c r="C148" s="4" t="s">
        <v>998</v>
      </c>
      <c r="D148" s="4" t="s">
        <v>999</v>
      </c>
      <c r="E148" s="4" t="s">
        <v>1000</v>
      </c>
      <c r="F148" s="2"/>
      <c r="G148" s="5">
        <v>147.0</v>
      </c>
      <c r="H148" s="4" t="s">
        <v>775</v>
      </c>
      <c r="I148" s="4" t="str">
        <f>IFERROR(__xludf.DUMMYFUNCTION("GOOGLETRANSLATE(C148, ""en"", ""de"")"),"A. Erhöhter Gebrauch B. Reduzierter Gebrauch C. Maschen zählen D. Die Ablehnung eines Spiels")</f>
        <v>A. Erhöhter Gebrauch B. Reduzierter Gebrauch C. Maschen zählen D. Die Ablehnung eines Spiels</v>
      </c>
      <c r="J148" s="4" t="s">
        <v>1001</v>
      </c>
      <c r="K148" s="4" t="s">
        <v>1002</v>
      </c>
      <c r="L148" s="2"/>
      <c r="R148" s="2"/>
      <c r="S148" s="2"/>
      <c r="T148" s="2"/>
      <c r="U148" s="2"/>
    </row>
    <row r="149" ht="22.5" customHeight="1">
      <c r="A149" s="4" t="s">
        <v>1003</v>
      </c>
      <c r="B149" s="4" t="s">
        <v>867</v>
      </c>
      <c r="C149" s="4" t="s">
        <v>1004</v>
      </c>
      <c r="D149" s="4" t="s">
        <v>948</v>
      </c>
      <c r="E149" s="4" t="s">
        <v>1005</v>
      </c>
      <c r="F149" s="2"/>
      <c r="G149" s="5">
        <v>148.0</v>
      </c>
      <c r="H149" s="4" t="s">
        <v>871</v>
      </c>
      <c r="I149" s="4" t="str">
        <f>IFERROR(__xludf.DUMMYFUNCTION("GOOGLETRANSLATE(C149, ""en"", ""de"")"),"A. Im Grand-Spiel sind alle Karten Trumpf. B. In einem Nullspiel sind alle Karten Trumpf. C. Grand ist das niedrigste Spiel, Zero das höchste. D. Es gibt keinen Unterschied.")</f>
        <v>A. Im Grand-Spiel sind alle Karten Trumpf. B. In einem Nullspiel sind alle Karten Trumpf. C. Grand ist das niedrigste Spiel, Zero das höchste. D. Es gibt keinen Unterschied.</v>
      </c>
      <c r="J149" s="4" t="s">
        <v>1006</v>
      </c>
      <c r="K149" s="4" t="s">
        <v>1007</v>
      </c>
      <c r="L149" s="2"/>
      <c r="R149" s="2"/>
      <c r="S149" s="2"/>
      <c r="T149" s="2"/>
      <c r="U149" s="2"/>
    </row>
    <row r="150" ht="22.5" customHeight="1">
      <c r="A150" s="4" t="s">
        <v>1008</v>
      </c>
      <c r="B150" s="4" t="s">
        <v>875</v>
      </c>
      <c r="C150" s="4" t="s">
        <v>1009</v>
      </c>
      <c r="D150" s="4" t="s">
        <v>877</v>
      </c>
      <c r="E150" s="4" t="s">
        <v>1010</v>
      </c>
      <c r="F150" s="2"/>
      <c r="G150" s="5">
        <v>149.0</v>
      </c>
      <c r="H150" s="4" t="s">
        <v>879</v>
      </c>
      <c r="I150" s="4" t="str">
        <f>IFERROR(__xludf.DUMMYFUNCTION("GOOGLETRANSLATE(C150, ""en"", ""de"")"),"A. Das Spiel ohne Trumpf B. Das Spiel mit den höchsten Karten C. Das Spiel ohne Jungen D. Das Spiel mit der niedrigsten Punktzahl")</f>
        <v>A. Das Spiel ohne Trumpf B. Das Spiel mit den höchsten Karten C. Das Spiel ohne Jungen D. Das Spiel mit der niedrigsten Punktzahl</v>
      </c>
      <c r="J150" s="4" t="s">
        <v>880</v>
      </c>
      <c r="K150" s="4" t="s">
        <v>1011</v>
      </c>
      <c r="L150" s="2"/>
      <c r="R150" s="2"/>
      <c r="S150" s="2"/>
      <c r="T150" s="2"/>
      <c r="U150" s="2"/>
    </row>
    <row r="151" ht="22.5" customHeight="1">
      <c r="A151" s="4" t="s">
        <v>1012</v>
      </c>
      <c r="B151" s="4" t="s">
        <v>883</v>
      </c>
      <c r="C151" s="4" t="s">
        <v>1013</v>
      </c>
      <c r="D151" s="4" t="s">
        <v>1014</v>
      </c>
      <c r="E151" s="4" t="s">
        <v>1015</v>
      </c>
      <c r="F151" s="2"/>
      <c r="G151" s="5">
        <v>150.0</v>
      </c>
      <c r="H151" s="4" t="s">
        <v>887</v>
      </c>
      <c r="I151" s="4" t="str">
        <f>IFERROR(__xludf.DUMMYFUNCTION("GOOGLETRANSLATE(C151, ""en"", ""de"")"),"A. Der Gegner erhält einen halben Punkt. B. Der Spieler muss alle Maschen gewinnen. C. Der Gegner muss alle Maschen verlieren. D. Der Spieler gewinnt, wenn er alle Maschen fertiggestellt hat.")</f>
        <v>A. Der Gegner erhält einen halben Punkt. B. Der Spieler muss alle Maschen gewinnen. C. Der Gegner muss alle Maschen verlieren. D. Der Spieler gewinnt, wenn er alle Maschen fertiggestellt hat.</v>
      </c>
      <c r="J151" s="4" t="s">
        <v>1016</v>
      </c>
      <c r="K151" s="4" t="s">
        <v>1017</v>
      </c>
      <c r="L151" s="2"/>
      <c r="R151" s="2"/>
      <c r="S151" s="2"/>
      <c r="T151" s="2"/>
      <c r="U151" s="2"/>
    </row>
    <row r="152" ht="22.5" customHeight="1">
      <c r="A152" s="4" t="s">
        <v>1018</v>
      </c>
      <c r="B152" s="4" t="s">
        <v>1019</v>
      </c>
      <c r="C152" s="4" t="s">
        <v>1020</v>
      </c>
      <c r="D152" s="4" t="s">
        <v>334</v>
      </c>
      <c r="E152" s="4" t="s">
        <v>1021</v>
      </c>
      <c r="F152" s="6"/>
      <c r="G152" s="5">
        <v>151.0</v>
      </c>
      <c r="H152" s="7" t="s">
        <v>1022</v>
      </c>
      <c r="I152" s="4" t="str">
        <f>IFERROR(__xludf.DUMMYFUNCTION("GOOGLETRANSLATE(C152, ""en"", ""de"")"),"A. 8 B. 10 C. 12 D. 16")</f>
        <v>A. 8 B. 10 C. 12 D. 16</v>
      </c>
      <c r="J152" s="8">
        <v>10.0</v>
      </c>
      <c r="K152" s="7" t="s">
        <v>1023</v>
      </c>
      <c r="L152" s="2"/>
      <c r="R152" s="2"/>
      <c r="S152" s="2"/>
      <c r="T152" s="2"/>
      <c r="U152" s="2"/>
    </row>
    <row r="153" ht="22.5" customHeight="1">
      <c r="A153" s="4" t="s">
        <v>1024</v>
      </c>
      <c r="B153" s="4" t="s">
        <v>1025</v>
      </c>
      <c r="C153" s="4" t="s">
        <v>1026</v>
      </c>
      <c r="D153" s="4" t="s">
        <v>1027</v>
      </c>
      <c r="E153" s="4" t="s">
        <v>1028</v>
      </c>
      <c r="F153" s="6"/>
      <c r="G153" s="5">
        <v>152.0</v>
      </c>
      <c r="H153" s="7" t="s">
        <v>1029</v>
      </c>
      <c r="I153" s="4" t="str">
        <f>IFERROR(__xludf.DUMMYFUNCTION("GOOGLETRANSLATE(C153, ""en"", ""de"")"),"A. Karten abwerfen B. Trümpfe sicher aufbewahren C. Tickets reservieren D. Zusätzliche Punkte sammeln")</f>
        <v>A. Karten abwerfen B. Trümpfe sicher aufbewahren C. Tickets reservieren D. Zusätzliche Punkte sammeln</v>
      </c>
      <c r="J153" s="7" t="s">
        <v>1030</v>
      </c>
      <c r="K153" s="7" t="s">
        <v>1031</v>
      </c>
      <c r="L153" s="2"/>
      <c r="R153" s="2"/>
      <c r="S153" s="2"/>
      <c r="T153" s="2"/>
      <c r="U153" s="2"/>
    </row>
    <row r="154" ht="22.5" customHeight="1">
      <c r="A154" s="4" t="s">
        <v>1032</v>
      </c>
      <c r="B154" s="4" t="s">
        <v>1033</v>
      </c>
      <c r="C154" s="4" t="s">
        <v>1034</v>
      </c>
      <c r="D154" s="4" t="s">
        <v>1035</v>
      </c>
      <c r="E154" s="4" t="s">
        <v>1036</v>
      </c>
      <c r="F154" s="6"/>
      <c r="G154" s="5">
        <v>153.0</v>
      </c>
      <c r="H154" s="7" t="s">
        <v>1037</v>
      </c>
      <c r="I154" s="4" t="str">
        <f>IFERROR(__xludf.DUMMYFUNCTION("GOOGLETRANSLATE(C154, ""en"", ""de"")"),"A. Pik-Ass B. Karo-Bube C. Kreuz-Bube D. Herz-Dame")</f>
        <v>A. Pik-Ass B. Karo-Bube C. Kreuz-Bube D. Herz-Dame</v>
      </c>
      <c r="J154" s="7" t="s">
        <v>1038</v>
      </c>
      <c r="K154" s="7" t="s">
        <v>1039</v>
      </c>
      <c r="L154" s="2"/>
      <c r="R154" s="2"/>
      <c r="S154" s="2"/>
      <c r="T154" s="2"/>
      <c r="U154" s="2"/>
    </row>
    <row r="155" ht="22.5" customHeight="1">
      <c r="A155" s="4" t="s">
        <v>1040</v>
      </c>
      <c r="B155" s="4" t="s">
        <v>1041</v>
      </c>
      <c r="C155" s="4" t="s">
        <v>1042</v>
      </c>
      <c r="D155" s="4" t="s">
        <v>1043</v>
      </c>
      <c r="E155" s="4" t="s">
        <v>1044</v>
      </c>
      <c r="F155" s="6"/>
      <c r="G155" s="5">
        <v>154.0</v>
      </c>
      <c r="H155" s="7" t="s">
        <v>1045</v>
      </c>
      <c r="I155" s="4" t="str">
        <f>IFERROR(__xludf.DUMMYFUNCTION("GOOGLETRANSLATE(C155, ""en"", ""de"")"),"A. Dealer B. Vorhand C. Mittelhand D. Rückhand")</f>
        <v>A. Dealer B. Vorhand C. Mittelhand D. Rückhand</v>
      </c>
      <c r="J155" s="7" t="s">
        <v>1046</v>
      </c>
      <c r="K155" s="7" t="s">
        <v>1047</v>
      </c>
      <c r="L155" s="2"/>
      <c r="R155" s="2"/>
      <c r="S155" s="2"/>
      <c r="T155" s="2"/>
      <c r="U155" s="2"/>
    </row>
    <row r="156" ht="22.5" customHeight="1">
      <c r="A156" s="4" t="s">
        <v>1048</v>
      </c>
      <c r="B156" s="4" t="s">
        <v>1049</v>
      </c>
      <c r="C156" s="4" t="s">
        <v>377</v>
      </c>
      <c r="D156" s="4" t="s">
        <v>271</v>
      </c>
      <c r="E156" s="4" t="s">
        <v>1050</v>
      </c>
      <c r="F156" s="6"/>
      <c r="G156" s="5">
        <v>155.0</v>
      </c>
      <c r="H156" s="7" t="s">
        <v>1051</v>
      </c>
      <c r="I156" s="4" t="str">
        <f>IFERROR(__xludf.DUMMYFUNCTION("GOOGLETRANSLATE(C156, ""en"", ""de"")"),"A. 1 B. 2 C. 3 D. 4")</f>
        <v>A. 1 B. 2 C. 3 D. 4</v>
      </c>
      <c r="J156" s="8">
        <v>2.0</v>
      </c>
      <c r="K156" s="7" t="s">
        <v>1052</v>
      </c>
      <c r="L156" s="2"/>
      <c r="R156" s="2"/>
      <c r="S156" s="2"/>
      <c r="T156" s="2"/>
      <c r="U156" s="2"/>
    </row>
    <row r="157" ht="22.5" customHeight="1">
      <c r="A157" s="4" t="s">
        <v>1053</v>
      </c>
      <c r="B157" s="4" t="s">
        <v>1054</v>
      </c>
      <c r="C157" s="4" t="s">
        <v>1055</v>
      </c>
      <c r="D157" s="4" t="s">
        <v>1056</v>
      </c>
      <c r="E157" s="4" t="s">
        <v>1057</v>
      </c>
      <c r="F157" s="6"/>
      <c r="G157" s="5">
        <v>156.0</v>
      </c>
      <c r="H157" s="7" t="s">
        <v>1058</v>
      </c>
      <c r="I157" s="4" t="str">
        <f>IFERROR(__xludf.DUMMYFUNCTION("GOOGLETRANSLATE(C157, ""en"", ""de"")"),"A. Punktverlust B. Stichstrafe C. Das Spiel ist beendet D. Geldstrafe zahlen")</f>
        <v>A. Punktverlust B. Stichstrafe C. Das Spiel ist beendet D. Geldstrafe zahlen</v>
      </c>
      <c r="J157" s="7" t="s">
        <v>1059</v>
      </c>
      <c r="K157" s="7" t="s">
        <v>1060</v>
      </c>
      <c r="L157" s="2"/>
      <c r="R157" s="2"/>
      <c r="S157" s="2"/>
      <c r="T157" s="2"/>
      <c r="U157" s="2"/>
    </row>
    <row r="158" ht="22.5" customHeight="1">
      <c r="A158" s="4" t="s">
        <v>1061</v>
      </c>
      <c r="B158" s="4" t="s">
        <v>1062</v>
      </c>
      <c r="C158" s="4" t="s">
        <v>1063</v>
      </c>
      <c r="D158" s="4" t="s">
        <v>1064</v>
      </c>
      <c r="E158" s="4" t="s">
        <v>1065</v>
      </c>
      <c r="F158" s="6"/>
      <c r="G158" s="5">
        <v>157.0</v>
      </c>
      <c r="H158" s="7" t="s">
        <v>1066</v>
      </c>
      <c r="I158" s="4" t="str">
        <f>IFERROR(__xludf.DUMMYFUNCTION("GOOGLETRANSLATE(C158, ""en"", ""de"")"),"A. Das Spiel ist ungültig. B. Die Punkte werden verdoppelt. C. Die Punkte werden verdreifacht. D. Verlieren Sie das Doppelte Ihres Einsatzes.")</f>
        <v>A. Das Spiel ist ungültig. B. Die Punkte werden verdoppelt. C. Die Punkte werden verdreifacht. D. Verlieren Sie das Doppelte Ihres Einsatzes.</v>
      </c>
      <c r="J158" s="7" t="s">
        <v>1067</v>
      </c>
      <c r="K158" s="7" t="s">
        <v>1068</v>
      </c>
      <c r="L158" s="2"/>
      <c r="R158" s="2"/>
      <c r="S158" s="2"/>
      <c r="T158" s="2"/>
      <c r="U158" s="2"/>
    </row>
    <row r="159" ht="22.5" customHeight="1">
      <c r="A159" s="4" t="s">
        <v>1069</v>
      </c>
      <c r="B159" s="4" t="s">
        <v>1070</v>
      </c>
      <c r="C159" s="4" t="s">
        <v>1071</v>
      </c>
      <c r="D159" s="4" t="s">
        <v>279</v>
      </c>
      <c r="E159" s="4" t="s">
        <v>1072</v>
      </c>
      <c r="F159" s="6"/>
      <c r="G159" s="5">
        <v>158.0</v>
      </c>
      <c r="H159" s="7" t="s">
        <v>1073</v>
      </c>
      <c r="I159" s="4" t="str">
        <f>IFERROR(__xludf.DUMMYFUNCTION("GOOGLETRANSLATE(C159, ""en"", ""de"")"),"A. 2 B. 3 C. 4 D. 6")</f>
        <v>A. 2 B. 3 C. 4 D. 6</v>
      </c>
      <c r="J159" s="8">
        <v>3.0</v>
      </c>
      <c r="K159" s="7" t="s">
        <v>1074</v>
      </c>
      <c r="L159" s="2"/>
      <c r="R159" s="2"/>
      <c r="S159" s="2"/>
      <c r="T159" s="2"/>
      <c r="U159" s="2"/>
    </row>
    <row r="160" ht="22.5" customHeight="1">
      <c r="A160" s="4" t="s">
        <v>1075</v>
      </c>
      <c r="B160" s="4" t="s">
        <v>1076</v>
      </c>
      <c r="C160" s="4" t="s">
        <v>1077</v>
      </c>
      <c r="D160" s="4" t="s">
        <v>1078</v>
      </c>
      <c r="E160" s="4" t="s">
        <v>1079</v>
      </c>
      <c r="F160" s="6"/>
      <c r="G160" s="5">
        <v>159.0</v>
      </c>
      <c r="H160" s="7" t="s">
        <v>1080</v>
      </c>
      <c r="I160" s="4" t="str">
        <f>IFERROR(__xludf.DUMMYFUNCTION("GOOGLETRANSLATE(C160, ""en"", ""de"")"),"A. Kreuz B. Herz C. Karo D. Pik")</f>
        <v>A. Kreuz B. Herz C. Karo D. Pik</v>
      </c>
      <c r="J160" s="7" t="s">
        <v>1081</v>
      </c>
      <c r="K160" s="7" t="s">
        <v>1082</v>
      </c>
      <c r="L160" s="2"/>
      <c r="R160" s="2"/>
      <c r="S160" s="2"/>
      <c r="T160" s="2"/>
      <c r="U160" s="2"/>
    </row>
    <row r="161" ht="22.5" customHeight="1">
      <c r="A161" s="4" t="s">
        <v>1083</v>
      </c>
      <c r="B161" s="4" t="s">
        <v>1084</v>
      </c>
      <c r="C161" s="4" t="s">
        <v>1085</v>
      </c>
      <c r="D161" s="4" t="s">
        <v>436</v>
      </c>
      <c r="E161" s="4" t="s">
        <v>1086</v>
      </c>
      <c r="F161" s="6"/>
      <c r="G161" s="5">
        <v>160.0</v>
      </c>
      <c r="H161" s="7" t="s">
        <v>1087</v>
      </c>
      <c r="I161" s="4" t="str">
        <f>IFERROR(__xludf.DUMMYFUNCTION("GOOGLETRANSLATE(C161, ""en"", ""de"")"),"A. 12 B. 10 C. 20 D. 24")</f>
        <v>A. 12 B. 10 C. 20 D. 24</v>
      </c>
      <c r="J161" s="8">
        <v>24.0</v>
      </c>
      <c r="K161" s="7" t="s">
        <v>1088</v>
      </c>
      <c r="L161" s="2"/>
      <c r="R161" s="2"/>
      <c r="S161" s="2"/>
      <c r="T161" s="2"/>
      <c r="U161" s="2"/>
    </row>
    <row r="162" ht="22.5" customHeight="1">
      <c r="A162" s="4" t="s">
        <v>1089</v>
      </c>
      <c r="B162" s="4" t="s">
        <v>1090</v>
      </c>
      <c r="C162" s="4" t="s">
        <v>1091</v>
      </c>
      <c r="D162" s="4" t="s">
        <v>1092</v>
      </c>
      <c r="E162" s="4" t="s">
        <v>1093</v>
      </c>
      <c r="F162" s="6"/>
      <c r="G162" s="5">
        <v>161.0</v>
      </c>
      <c r="H162" s="7" t="s">
        <v>1094</v>
      </c>
      <c r="I162" s="4" t="str">
        <f>IFERROR(__xludf.DUMMYFUNCTION("GOOGLETRANSLATE(C162, ""en"", ""de"")"),"A. Alle Stiche gewinnen. B. Alle Stiche vermeiden. C. Genau 61 Punkte erzielen. D. Hohe Karten vermeiden.")</f>
        <v>A. Alle Stiche gewinnen. B. Alle Stiche vermeiden. C. Genau 61 Punkte erzielen. D. Hohe Karten vermeiden.</v>
      </c>
      <c r="J162" s="7" t="s">
        <v>1095</v>
      </c>
      <c r="K162" s="7" t="s">
        <v>1096</v>
      </c>
      <c r="L162" s="2"/>
      <c r="R162" s="2"/>
      <c r="S162" s="2"/>
      <c r="T162" s="2"/>
      <c r="U162" s="2"/>
    </row>
    <row r="163" ht="22.5" customHeight="1">
      <c r="A163" s="4" t="s">
        <v>1097</v>
      </c>
      <c r="B163" s="4" t="s">
        <v>1098</v>
      </c>
      <c r="C163" s="4" t="s">
        <v>1099</v>
      </c>
      <c r="D163" s="4" t="s">
        <v>689</v>
      </c>
      <c r="E163" s="4" t="s">
        <v>1100</v>
      </c>
      <c r="F163" s="6"/>
      <c r="G163" s="5">
        <v>162.0</v>
      </c>
      <c r="H163" s="7" t="s">
        <v>1101</v>
      </c>
      <c r="I163" s="4" t="str">
        <f>IFERROR(__xludf.DUMMYFUNCTION("GOOGLETRANSLATE(C163, ""en"", ""de"")"),"A. 61 B. 71 C. 81 D. 91")</f>
        <v>A. 61 B. 71 C. 81 D. 91</v>
      </c>
      <c r="J163" s="8">
        <v>61.0</v>
      </c>
      <c r="K163" s="7" t="s">
        <v>1102</v>
      </c>
      <c r="L163" s="2"/>
      <c r="R163" s="2"/>
      <c r="S163" s="2"/>
      <c r="T163" s="2"/>
      <c r="U163" s="2"/>
    </row>
    <row r="164" ht="22.5" customHeight="1">
      <c r="A164" s="4" t="s">
        <v>1103</v>
      </c>
      <c r="B164" s="4" t="s">
        <v>1104</v>
      </c>
      <c r="C164" s="4" t="s">
        <v>1105</v>
      </c>
      <c r="D164" s="4" t="s">
        <v>1106</v>
      </c>
      <c r="E164" s="4" t="s">
        <v>1107</v>
      </c>
      <c r="F164" s="6"/>
      <c r="G164" s="5">
        <v>163.0</v>
      </c>
      <c r="H164" s="7" t="s">
        <v>1108</v>
      </c>
      <c r="I164" s="4" t="str">
        <f>IFERROR(__xludf.DUMMYFUNCTION("GOOGLETRANSLATE(C164, ""en"", ""de"")"),"A. Ein sinnloses Spiel. B. Ein reines Trumpfspiel. C. Buben sind Trumpf. D. Die Karten sind verdeckt.")</f>
        <v>A. Ein sinnloses Spiel. B. Ein reines Trumpfspiel. C. Buben sind Trumpf. D. Die Karten sind verdeckt.</v>
      </c>
      <c r="J164" s="7" t="s">
        <v>1109</v>
      </c>
      <c r="K164" s="7" t="s">
        <v>1110</v>
      </c>
      <c r="L164" s="2"/>
      <c r="R164" s="2"/>
      <c r="S164" s="2"/>
      <c r="T164" s="2"/>
      <c r="U164" s="2"/>
    </row>
    <row r="165" ht="22.5" customHeight="1">
      <c r="A165" s="4" t="s">
        <v>1111</v>
      </c>
      <c r="B165" s="4" t="s">
        <v>1112</v>
      </c>
      <c r="C165" s="4" t="s">
        <v>1113</v>
      </c>
      <c r="D165" s="4" t="s">
        <v>854</v>
      </c>
      <c r="E165" s="4" t="s">
        <v>1114</v>
      </c>
      <c r="F165" s="6"/>
      <c r="G165" s="5">
        <v>164.0</v>
      </c>
      <c r="H165" s="7" t="s">
        <v>1115</v>
      </c>
      <c r="I165" s="4" t="str">
        <f>IFERROR(__xludf.DUMMYFUNCTION("GOOGLETRANSLATE(C165, ""en"", ""de"")"),"A. 240 B. 180 C. 300 D. 120")</f>
        <v>A. 240 B. 180 C. 300 D. 120</v>
      </c>
      <c r="J165" s="8">
        <v>120.0</v>
      </c>
      <c r="K165" s="7" t="s">
        <v>1116</v>
      </c>
      <c r="L165" s="2"/>
      <c r="R165" s="2"/>
      <c r="S165" s="2"/>
      <c r="T165" s="2"/>
      <c r="U165" s="2"/>
    </row>
    <row r="166" ht="22.5" customHeight="1">
      <c r="A166" s="4" t="s">
        <v>1117</v>
      </c>
      <c r="B166" s="4" t="s">
        <v>1118</v>
      </c>
      <c r="C166" s="4" t="s">
        <v>1119</v>
      </c>
      <c r="D166" s="4" t="s">
        <v>1120</v>
      </c>
      <c r="E166" s="4" t="s">
        <v>1121</v>
      </c>
      <c r="F166" s="6"/>
      <c r="G166" s="5">
        <v>165.0</v>
      </c>
      <c r="H166" s="7" t="s">
        <v>1122</v>
      </c>
      <c r="I166" s="4" t="str">
        <f>IFERROR(__xludf.DUMMYFUNCTION("GOOGLETRANSLATE(C166, ""en"", ""de"")"),"A. Geheim halten B. Zur Hand nehmen C. Offen legen D. Zurück aufs Deck")</f>
        <v>A. Geheim halten B. Zur Hand nehmen C. Offen legen D. Zurück aufs Deck</v>
      </c>
      <c r="J166" s="7" t="s">
        <v>1123</v>
      </c>
      <c r="K166" s="7" t="s">
        <v>1124</v>
      </c>
      <c r="L166" s="2"/>
      <c r="R166" s="2"/>
      <c r="S166" s="2"/>
      <c r="T166" s="2"/>
      <c r="U166" s="2"/>
    </row>
    <row r="167" ht="22.5" customHeight="1">
      <c r="A167" s="4" t="s">
        <v>1125</v>
      </c>
      <c r="B167" s="4" t="s">
        <v>1126</v>
      </c>
      <c r="C167" s="4" t="s">
        <v>1127</v>
      </c>
      <c r="D167" s="4" t="s">
        <v>1128</v>
      </c>
      <c r="E167" s="4" t="s">
        <v>1129</v>
      </c>
      <c r="F167" s="6"/>
      <c r="G167" s="5">
        <v>166.0</v>
      </c>
      <c r="H167" s="7" t="s">
        <v>1130</v>
      </c>
      <c r="I167" s="4" t="str">
        <f>IFERROR(__xludf.DUMMYFUNCTION("GOOGLETRANSLATE(C167, ""en"", ""de"")"),"A. 0 B. 1 C. 2 D. 3")</f>
        <v>A. 0 B. 1 C. 2 D. 3</v>
      </c>
      <c r="J167" s="8">
        <v>0.0</v>
      </c>
      <c r="K167" s="7" t="s">
        <v>1131</v>
      </c>
      <c r="L167" s="2"/>
      <c r="R167" s="2"/>
      <c r="S167" s="2"/>
      <c r="T167" s="2"/>
      <c r="U167" s="2"/>
    </row>
    <row r="168" ht="22.5" customHeight="1">
      <c r="A168" s="4" t="s">
        <v>1132</v>
      </c>
      <c r="B168" s="4" t="s">
        <v>1133</v>
      </c>
      <c r="C168" s="4" t="s">
        <v>1134</v>
      </c>
      <c r="D168" s="4" t="s">
        <v>1135</v>
      </c>
      <c r="E168" s="4" t="s">
        <v>1136</v>
      </c>
      <c r="F168" s="6"/>
      <c r="G168" s="5">
        <v>167.0</v>
      </c>
      <c r="H168" s="7" t="s">
        <v>1137</v>
      </c>
      <c r="I168" s="4" t="str">
        <f>IFERROR(__xludf.DUMMYFUNCTION("GOOGLETRANSLATE(C168, ""en"", ""de"")"),"A. Trump entscheidet. B. Das Spiel gewinnen. C. Punkte sammeln. D. Die Regeln festlegen.")</f>
        <v>A. Trump entscheidet. B. Das Spiel gewinnen. C. Punkte sammeln. D. Die Regeln festlegen.</v>
      </c>
      <c r="J168" s="7" t="s">
        <v>1138</v>
      </c>
      <c r="K168" s="7" t="s">
        <v>1139</v>
      </c>
      <c r="L168" s="2"/>
      <c r="R168" s="2"/>
      <c r="S168" s="2"/>
      <c r="T168" s="2"/>
      <c r="U168" s="2"/>
    </row>
    <row r="169" ht="22.5" customHeight="1">
      <c r="A169" s="4" t="s">
        <v>1140</v>
      </c>
      <c r="B169" s="4" t="s">
        <v>1141</v>
      </c>
      <c r="C169" s="4" t="s">
        <v>1142</v>
      </c>
      <c r="D169" s="4" t="s">
        <v>1143</v>
      </c>
      <c r="E169" s="4" t="s">
        <v>1144</v>
      </c>
      <c r="F169" s="6"/>
      <c r="G169" s="5">
        <v>168.0</v>
      </c>
      <c r="H169" s="7" t="s">
        <v>1145</v>
      </c>
      <c r="I169" s="4" t="str">
        <f>IFERROR(__xludf.DUMMYFUNCTION("GOOGLETRANSLATE(C169, ""en"", ""de"")"),"A. Durch Losentscheid B. Durch das höchste Gebot C. Im Uhrzeigersinn D. Nach Wahl des Spielers")</f>
        <v>A. Durch Losentscheid B. Durch das höchste Gebot C. Im Uhrzeigersinn D. Nach Wahl des Spielers</v>
      </c>
      <c r="J169" s="7" t="s">
        <v>1146</v>
      </c>
      <c r="K169" s="7" t="s">
        <v>1147</v>
      </c>
      <c r="L169" s="2"/>
      <c r="R169" s="2"/>
      <c r="S169" s="2"/>
      <c r="T169" s="2"/>
      <c r="U169" s="2"/>
    </row>
    <row r="170" ht="22.5" customHeight="1">
      <c r="A170" s="4" t="s">
        <v>1148</v>
      </c>
      <c r="B170" s="4" t="s">
        <v>1149</v>
      </c>
      <c r="C170" s="4" t="s">
        <v>1150</v>
      </c>
      <c r="D170" s="4" t="s">
        <v>337</v>
      </c>
      <c r="E170" s="4" t="s">
        <v>1151</v>
      </c>
      <c r="F170" s="6"/>
      <c r="G170" s="5">
        <v>169.0</v>
      </c>
      <c r="H170" s="7" t="s">
        <v>1152</v>
      </c>
      <c r="I170" s="4" t="str">
        <f>IFERROR(__xludf.DUMMYFUNCTION("GOOGLETRANSLATE(C170, ""en"", ""de"")"),"A. 11 B. 15 C. 21 D. 10")</f>
        <v>A. 11 B. 15 C. 21 D. 10</v>
      </c>
      <c r="J170" s="8">
        <v>11.0</v>
      </c>
      <c r="K170" s="7" t="s">
        <v>1153</v>
      </c>
      <c r="L170" s="2"/>
      <c r="R170" s="2"/>
      <c r="S170" s="2"/>
      <c r="T170" s="2"/>
      <c r="U170" s="2"/>
    </row>
    <row r="171" ht="22.5" customHeight="1">
      <c r="A171" s="4" t="s">
        <v>1154</v>
      </c>
      <c r="B171" s="4" t="s">
        <v>1155</v>
      </c>
      <c r="C171" s="4" t="s">
        <v>1156</v>
      </c>
      <c r="D171" s="4" t="s">
        <v>1157</v>
      </c>
      <c r="E171" s="4" t="s">
        <v>1158</v>
      </c>
      <c r="F171" s="6"/>
      <c r="G171" s="5">
        <v>170.0</v>
      </c>
      <c r="H171" s="7" t="s">
        <v>1159</v>
      </c>
      <c r="I171" s="4" t="str">
        <f>IFERROR(__xludf.DUMMYFUNCTION("GOOGLETRANSLATE(C171, ""en"", ""de"")"),"A. Verlust der Kurve B. Spielverlust C. Strafpunkte D. Verwarnung")</f>
        <v>A. Verlust der Kurve B. Spielverlust C. Strafpunkte D. Verwarnung</v>
      </c>
      <c r="J171" s="7" t="s">
        <v>1160</v>
      </c>
      <c r="K171" s="7" t="s">
        <v>1161</v>
      </c>
      <c r="L171" s="2"/>
      <c r="R171" s="2"/>
      <c r="S171" s="2"/>
      <c r="T171" s="2"/>
      <c r="U171" s="2"/>
    </row>
    <row r="172" ht="22.5" customHeight="1">
      <c r="A172" s="4" t="s">
        <v>1162</v>
      </c>
      <c r="B172" s="4" t="s">
        <v>1163</v>
      </c>
      <c r="C172" s="4" t="s">
        <v>1164</v>
      </c>
      <c r="D172" s="4" t="s">
        <v>1165</v>
      </c>
      <c r="E172" s="4" t="s">
        <v>1166</v>
      </c>
      <c r="F172" s="6"/>
      <c r="G172" s="5">
        <v>171.0</v>
      </c>
      <c r="H172" s="7" t="s">
        <v>1167</v>
      </c>
      <c r="I172" s="4" t="str">
        <f>IFERROR(__xludf.DUMMYFUNCTION("GOOGLETRANSLATE(C172, ""en"", ""de"")"),"A. Nach Wahl des Spielers B. Nach Ermessen des Dealers C. Gemäß den Regeln für die Spielerauswahl D. Durch Zufallsziehung")</f>
        <v>A. Nach Wahl des Spielers B. Nach Ermessen des Dealers C. Gemäß den Regeln für die Spielerauswahl D. Durch Zufallsziehung</v>
      </c>
      <c r="J172" s="7" t="s">
        <v>1168</v>
      </c>
      <c r="K172" s="7" t="s">
        <v>1169</v>
      </c>
      <c r="L172" s="2"/>
      <c r="R172" s="2"/>
      <c r="S172" s="2"/>
      <c r="T172" s="2"/>
      <c r="U172" s="2"/>
    </row>
    <row r="173" ht="22.5" customHeight="1">
      <c r="A173" s="4" t="s">
        <v>1170</v>
      </c>
      <c r="B173" s="4" t="s">
        <v>1171</v>
      </c>
      <c r="C173" s="4" t="s">
        <v>1172</v>
      </c>
      <c r="D173" s="4" t="s">
        <v>1173</v>
      </c>
      <c r="E173" s="4" t="s">
        <v>1174</v>
      </c>
      <c r="F173" s="6"/>
      <c r="G173" s="5">
        <v>172.0</v>
      </c>
      <c r="H173" s="7" t="s">
        <v>1175</v>
      </c>
      <c r="I173" s="4" t="str">
        <f>IFERROR(__xludf.DUMMYFUNCTION("GOOGLETRANSLATE(C173, ""en"", ""de"")"),"A. Ein Gewinnbonus B. Weniger als 30 Punkte C. Über 90 Punkte D. Alle Stiche verlieren")</f>
        <v>A. Ein Gewinnbonus B. Weniger als 30 Punkte C. Über 90 Punkte D. Alle Stiche verlieren</v>
      </c>
      <c r="J173" s="7" t="s">
        <v>1176</v>
      </c>
      <c r="K173" s="7" t="s">
        <v>1177</v>
      </c>
      <c r="L173" s="2"/>
      <c r="R173" s="2"/>
      <c r="S173" s="2"/>
      <c r="T173" s="2"/>
      <c r="U173" s="2"/>
    </row>
    <row r="174" ht="22.5" customHeight="1">
      <c r="A174" s="4" t="s">
        <v>1178</v>
      </c>
      <c r="B174" s="4" t="s">
        <v>1179</v>
      </c>
      <c r="C174" s="4" t="s">
        <v>1180</v>
      </c>
      <c r="D174" s="4" t="s">
        <v>334</v>
      </c>
      <c r="E174" s="4" t="s">
        <v>1181</v>
      </c>
      <c r="F174" s="6"/>
      <c r="G174" s="5">
        <v>173.0</v>
      </c>
      <c r="H174" s="7" t="s">
        <v>1182</v>
      </c>
      <c r="I174" s="4" t="str">
        <f>IFERROR(__xludf.DUMMYFUNCTION("GOOGLETRANSLATE(C174, ""en"", ""de"")"),"A. 9 B. 10 C. 11 D. 8")</f>
        <v>A. 9 B. 10 C. 11 D. 8</v>
      </c>
      <c r="J174" s="8">
        <v>10.0</v>
      </c>
      <c r="K174" s="7" t="s">
        <v>1183</v>
      </c>
      <c r="L174" s="2"/>
      <c r="R174" s="2"/>
      <c r="S174" s="2"/>
      <c r="T174" s="2"/>
      <c r="U174" s="2"/>
    </row>
    <row r="175" ht="22.5" customHeight="1">
      <c r="A175" s="4" t="s">
        <v>1184</v>
      </c>
      <c r="B175" s="4" t="s">
        <v>1185</v>
      </c>
      <c r="C175" s="4" t="s">
        <v>1186</v>
      </c>
      <c r="D175" s="4" t="s">
        <v>729</v>
      </c>
      <c r="E175" s="4" t="s">
        <v>1187</v>
      </c>
      <c r="F175" s="6"/>
      <c r="G175" s="5">
        <v>174.0</v>
      </c>
      <c r="H175" s="7" t="s">
        <v>1188</v>
      </c>
      <c r="I175" s="4" t="str">
        <f>IFERROR(__xludf.DUMMYFUNCTION("GOOGLETRANSLATE(C175, ""en"", ""de"")"),"A. 90 B. 120 C. 150 D. 180")</f>
        <v>A. 90 B. 120 C. 150 D. 180</v>
      </c>
      <c r="J175" s="8">
        <v>90.0</v>
      </c>
      <c r="K175" s="7" t="s">
        <v>1189</v>
      </c>
      <c r="L175" s="2"/>
      <c r="R175" s="2"/>
      <c r="S175" s="2"/>
      <c r="T175" s="2"/>
      <c r="U175" s="2"/>
    </row>
    <row r="176" ht="22.5" customHeight="1">
      <c r="A176" s="4" t="s">
        <v>1190</v>
      </c>
      <c r="B176" s="4" t="s">
        <v>1191</v>
      </c>
      <c r="C176" s="4" t="s">
        <v>1192</v>
      </c>
      <c r="D176" s="4" t="s">
        <v>1193</v>
      </c>
      <c r="E176" s="4" t="s">
        <v>1194</v>
      </c>
      <c r="F176" s="6"/>
      <c r="G176" s="5">
        <v>175.0</v>
      </c>
      <c r="H176" s="7" t="s">
        <v>1195</v>
      </c>
      <c r="I176" s="4" t="str">
        <f>IFERROR(__xludf.DUMMYFUNCTION("GOOGLETRANSLATE(C176, ""en"", ""de"")"),"A. Kein Skat verwendet B. Zusätzliche Karten C. Ohne Skat spielen D. Überspringen")</f>
        <v>A. Kein Skat verwendet B. Zusätzliche Karten C. Ohne Skat spielen D. Überspringen</v>
      </c>
      <c r="J176" s="7" t="s">
        <v>1196</v>
      </c>
      <c r="K176" s="7" t="s">
        <v>1197</v>
      </c>
      <c r="L176" s="2"/>
      <c r="R176" s="2"/>
      <c r="S176" s="2"/>
      <c r="T176" s="2"/>
      <c r="U176" s="2"/>
    </row>
    <row r="177">
      <c r="A177" s="2"/>
      <c r="B177" s="2"/>
      <c r="C177" s="2"/>
      <c r="D177" s="2"/>
      <c r="E177" s="2"/>
      <c r="F177" s="2"/>
      <c r="G177" s="2"/>
      <c r="H177" s="2"/>
      <c r="I177" s="2"/>
      <c r="J177" s="2"/>
      <c r="K177" s="2"/>
      <c r="L177" s="2"/>
      <c r="M177" s="2"/>
      <c r="N177" s="2"/>
      <c r="O177" s="2"/>
      <c r="P177" s="2"/>
      <c r="Q177" s="2"/>
      <c r="R177" s="2"/>
      <c r="S177" s="2"/>
      <c r="T177" s="2"/>
      <c r="U177" s="2"/>
    </row>
    <row r="178">
      <c r="A178" s="2"/>
      <c r="B178" s="2"/>
      <c r="C178" s="2"/>
      <c r="D178" s="2"/>
      <c r="E178" s="2"/>
      <c r="F178" s="2"/>
      <c r="G178" s="2"/>
      <c r="H178" s="2"/>
      <c r="I178" s="2"/>
      <c r="J178" s="2"/>
      <c r="K178" s="2"/>
      <c r="L178" s="2"/>
      <c r="M178" s="2"/>
      <c r="N178" s="2"/>
      <c r="O178" s="2"/>
      <c r="P178" s="2"/>
      <c r="Q178" s="2"/>
      <c r="R178" s="2"/>
      <c r="S178" s="2"/>
      <c r="T178" s="2"/>
      <c r="U178" s="2"/>
    </row>
    <row r="179">
      <c r="A179" s="2"/>
      <c r="B179" s="2"/>
      <c r="C179" s="2"/>
      <c r="D179" s="2"/>
      <c r="E179" s="2"/>
      <c r="F179" s="2"/>
      <c r="G179" s="2"/>
      <c r="H179" s="2"/>
      <c r="I179" s="2"/>
      <c r="J179" s="2"/>
      <c r="K179" s="2"/>
      <c r="L179" s="2"/>
      <c r="M179" s="2"/>
      <c r="N179" s="2"/>
      <c r="O179" s="2"/>
      <c r="P179" s="2"/>
      <c r="Q179" s="2"/>
      <c r="R179" s="2"/>
      <c r="S179" s="2"/>
      <c r="T179" s="2"/>
      <c r="U179" s="2"/>
    </row>
    <row r="180">
      <c r="A180" s="2"/>
      <c r="B180" s="2"/>
      <c r="C180" s="2"/>
      <c r="D180" s="2"/>
      <c r="E180" s="2"/>
      <c r="F180" s="2"/>
      <c r="G180" s="2"/>
      <c r="H180" s="2"/>
      <c r="I180" s="2"/>
      <c r="J180" s="2"/>
      <c r="K180" s="2"/>
      <c r="L180" s="2"/>
      <c r="M180" s="2"/>
      <c r="N180" s="2"/>
      <c r="O180" s="2"/>
      <c r="P180" s="2"/>
      <c r="Q180" s="2"/>
      <c r="R180" s="2"/>
      <c r="S180" s="2"/>
      <c r="T180" s="2"/>
      <c r="U180" s="2"/>
    </row>
    <row r="181">
      <c r="A181" s="2"/>
      <c r="B181" s="2"/>
      <c r="C181" s="2"/>
      <c r="D181" s="2"/>
      <c r="E181" s="2"/>
      <c r="F181" s="2"/>
      <c r="G181" s="2"/>
      <c r="H181" s="2"/>
      <c r="I181" s="2"/>
      <c r="J181" s="2"/>
      <c r="K181" s="2"/>
      <c r="L181" s="2"/>
      <c r="M181" s="2"/>
      <c r="N181" s="2"/>
      <c r="O181" s="2"/>
      <c r="P181" s="2"/>
      <c r="Q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row r="301">
      <c r="A301" s="2"/>
      <c r="B301" s="2"/>
      <c r="C301" s="2"/>
      <c r="D301" s="2"/>
      <c r="E301" s="2"/>
      <c r="F301" s="2"/>
      <c r="G301" s="2"/>
      <c r="H301" s="2"/>
      <c r="I301" s="2"/>
      <c r="J301" s="2"/>
      <c r="K301" s="2"/>
      <c r="L301" s="2"/>
      <c r="M301" s="2"/>
      <c r="N301" s="2"/>
      <c r="O301" s="2"/>
      <c r="P301" s="2"/>
      <c r="Q301" s="2"/>
      <c r="R301" s="2"/>
      <c r="S301" s="2"/>
      <c r="T301" s="2"/>
      <c r="U301" s="2"/>
    </row>
    <row r="302">
      <c r="A302" s="2"/>
      <c r="B302" s="2"/>
      <c r="C302" s="2"/>
      <c r="D302" s="2"/>
      <c r="E302" s="2"/>
      <c r="F302" s="2"/>
      <c r="G302" s="2"/>
      <c r="H302" s="2"/>
      <c r="I302" s="2"/>
      <c r="J302" s="2"/>
      <c r="K302" s="2"/>
      <c r="L302" s="2"/>
      <c r="M302" s="2"/>
      <c r="N302" s="2"/>
      <c r="O302" s="2"/>
      <c r="P302" s="2"/>
      <c r="Q302" s="2"/>
      <c r="R302" s="2"/>
      <c r="S302" s="2"/>
      <c r="T302" s="2"/>
      <c r="U302" s="2"/>
    </row>
    <row r="303">
      <c r="A303" s="2"/>
      <c r="B303" s="2"/>
      <c r="C303" s="2"/>
      <c r="D303" s="2"/>
      <c r="E303" s="2"/>
      <c r="F303" s="2"/>
      <c r="G303" s="2"/>
      <c r="H303" s="2"/>
      <c r="I303" s="2"/>
      <c r="J303" s="2"/>
      <c r="K303" s="2"/>
      <c r="L303" s="2"/>
      <c r="M303" s="2"/>
      <c r="N303" s="2"/>
      <c r="O303" s="2"/>
      <c r="P303" s="2"/>
      <c r="Q303" s="2"/>
      <c r="R303" s="2"/>
      <c r="S303" s="2"/>
      <c r="T303" s="2"/>
      <c r="U303" s="2"/>
    </row>
    <row r="304">
      <c r="A304" s="2"/>
      <c r="B304" s="2"/>
      <c r="C304" s="2"/>
      <c r="D304" s="2"/>
      <c r="E304" s="2"/>
      <c r="F304" s="2"/>
      <c r="G304" s="2"/>
      <c r="H304" s="2"/>
      <c r="I304" s="2"/>
      <c r="J304" s="2"/>
      <c r="K304" s="2"/>
      <c r="L304" s="2"/>
      <c r="M304" s="2"/>
      <c r="N304" s="2"/>
      <c r="O304" s="2"/>
      <c r="P304" s="2"/>
      <c r="Q304" s="2"/>
      <c r="R304" s="2"/>
      <c r="S304" s="2"/>
      <c r="T304" s="2"/>
      <c r="U304" s="2"/>
    </row>
    <row r="305">
      <c r="A305" s="2"/>
      <c r="B305" s="2"/>
      <c r="C305" s="2"/>
      <c r="D305" s="2"/>
      <c r="E305" s="2"/>
      <c r="F305" s="2"/>
      <c r="G305" s="2"/>
      <c r="H305" s="2"/>
      <c r="I305" s="2"/>
      <c r="J305" s="2"/>
      <c r="K305" s="2"/>
      <c r="L305" s="2"/>
      <c r="M305" s="2"/>
      <c r="N305" s="2"/>
      <c r="O305" s="2"/>
      <c r="P305" s="2"/>
      <c r="Q305" s="2"/>
      <c r="R305" s="2"/>
      <c r="S305" s="2"/>
      <c r="T305" s="2"/>
      <c r="U305" s="2"/>
    </row>
    <row r="306">
      <c r="A306" s="2"/>
      <c r="B306" s="2"/>
      <c r="C306" s="2"/>
      <c r="D306" s="2"/>
      <c r="E306" s="2"/>
      <c r="F306" s="2"/>
      <c r="G306" s="2"/>
      <c r="H306" s="2"/>
      <c r="I306" s="2"/>
      <c r="J306" s="2"/>
      <c r="K306" s="2"/>
      <c r="L306" s="2"/>
      <c r="M306" s="2"/>
      <c r="N306" s="2"/>
      <c r="O306" s="2"/>
      <c r="P306" s="2"/>
      <c r="Q306" s="2"/>
      <c r="R306" s="2"/>
      <c r="S306" s="2"/>
      <c r="T306" s="2"/>
      <c r="U306" s="2"/>
    </row>
    <row r="307">
      <c r="A307" s="2"/>
      <c r="B307" s="2"/>
      <c r="C307" s="2"/>
      <c r="D307" s="2"/>
      <c r="E307" s="2"/>
      <c r="F307" s="2"/>
      <c r="G307" s="2"/>
      <c r="H307" s="2"/>
      <c r="I307" s="2"/>
      <c r="J307" s="2"/>
      <c r="K307" s="2"/>
      <c r="L307" s="2"/>
      <c r="M307" s="2"/>
      <c r="N307" s="2"/>
      <c r="O307" s="2"/>
      <c r="P307" s="2"/>
      <c r="Q307" s="2"/>
      <c r="R307" s="2"/>
      <c r="S307" s="2"/>
      <c r="T307" s="2"/>
      <c r="U307" s="2"/>
    </row>
    <row r="308">
      <c r="A308" s="2"/>
      <c r="B308" s="2"/>
      <c r="C308" s="2"/>
      <c r="D308" s="2"/>
      <c r="E308" s="2"/>
      <c r="F308" s="2"/>
      <c r="G308" s="2"/>
      <c r="H308" s="2"/>
      <c r="I308" s="2"/>
      <c r="J308" s="2"/>
      <c r="K308" s="2"/>
      <c r="L308" s="2"/>
      <c r="M308" s="2"/>
      <c r="N308" s="2"/>
      <c r="O308" s="2"/>
      <c r="P308" s="2"/>
      <c r="Q308" s="2"/>
      <c r="R308" s="2"/>
      <c r="S308" s="2"/>
      <c r="T308" s="2"/>
      <c r="U308" s="2"/>
    </row>
    <row r="309">
      <c r="A309" s="2"/>
      <c r="B309" s="2"/>
      <c r="C309" s="2"/>
      <c r="D309" s="2"/>
      <c r="E309" s="2"/>
      <c r="F309" s="2"/>
      <c r="G309" s="2"/>
      <c r="H309" s="2"/>
      <c r="I309" s="2"/>
      <c r="J309" s="2"/>
      <c r="K309" s="2"/>
      <c r="L309" s="2"/>
      <c r="M309" s="2"/>
      <c r="N309" s="2"/>
      <c r="O309" s="2"/>
      <c r="P309" s="2"/>
      <c r="Q309" s="2"/>
      <c r="R309" s="2"/>
      <c r="S309" s="2"/>
      <c r="T309" s="2"/>
      <c r="U309" s="2"/>
    </row>
    <row r="310">
      <c r="A310" s="2"/>
      <c r="B310" s="2"/>
      <c r="C310" s="2"/>
      <c r="D310" s="2"/>
      <c r="E310" s="2"/>
      <c r="F310" s="2"/>
      <c r="G310" s="2"/>
      <c r="H310" s="2"/>
      <c r="I310" s="2"/>
      <c r="J310" s="2"/>
      <c r="K310" s="2"/>
      <c r="L310" s="2"/>
      <c r="M310" s="2"/>
      <c r="N310" s="2"/>
      <c r="O310" s="2"/>
      <c r="P310" s="2"/>
      <c r="Q310" s="2"/>
      <c r="R310" s="2"/>
      <c r="S310" s="2"/>
      <c r="T310" s="2"/>
      <c r="U310" s="2"/>
    </row>
    <row r="311">
      <c r="A311" s="2"/>
      <c r="B311" s="2"/>
      <c r="C311" s="2"/>
      <c r="D311" s="2"/>
      <c r="E311" s="2"/>
      <c r="F311" s="2"/>
      <c r="G311" s="2"/>
      <c r="H311" s="2"/>
      <c r="I311" s="2"/>
      <c r="J311" s="2"/>
      <c r="K311" s="2"/>
      <c r="L311" s="2"/>
      <c r="M311" s="2"/>
      <c r="N311" s="2"/>
      <c r="O311" s="2"/>
      <c r="P311" s="2"/>
      <c r="Q311" s="2"/>
      <c r="R311" s="2"/>
      <c r="S311" s="2"/>
      <c r="T311" s="2"/>
      <c r="U311" s="2"/>
    </row>
    <row r="312">
      <c r="A312" s="2"/>
      <c r="B312" s="2"/>
      <c r="C312" s="2"/>
      <c r="D312" s="2"/>
      <c r="E312" s="2"/>
      <c r="F312" s="2"/>
      <c r="G312" s="2"/>
      <c r="H312" s="2"/>
      <c r="I312" s="2"/>
      <c r="J312" s="2"/>
      <c r="K312" s="2"/>
      <c r="L312" s="2"/>
      <c r="M312" s="2"/>
      <c r="N312" s="2"/>
      <c r="O312" s="2"/>
      <c r="P312" s="2"/>
      <c r="Q312" s="2"/>
      <c r="R312" s="2"/>
      <c r="S312" s="2"/>
      <c r="T312" s="2"/>
      <c r="U312" s="2"/>
    </row>
    <row r="313">
      <c r="A313" s="2"/>
      <c r="B313" s="2"/>
      <c r="C313" s="2"/>
      <c r="D313" s="2"/>
      <c r="E313" s="2"/>
      <c r="F313" s="2"/>
      <c r="G313" s="2"/>
      <c r="H313" s="2"/>
      <c r="I313" s="2"/>
      <c r="J313" s="2"/>
      <c r="K313" s="2"/>
      <c r="L313" s="2"/>
      <c r="M313" s="2"/>
      <c r="N313" s="2"/>
      <c r="O313" s="2"/>
      <c r="P313" s="2"/>
      <c r="Q313" s="2"/>
      <c r="R313" s="2"/>
      <c r="S313" s="2"/>
      <c r="T313" s="2"/>
      <c r="U313" s="2"/>
    </row>
    <row r="314">
      <c r="A314" s="2"/>
      <c r="B314" s="2"/>
      <c r="C314" s="2"/>
      <c r="D314" s="2"/>
      <c r="E314" s="2"/>
      <c r="F314" s="2"/>
      <c r="G314" s="2"/>
      <c r="H314" s="2"/>
      <c r="I314" s="2"/>
      <c r="J314" s="2"/>
      <c r="K314" s="2"/>
      <c r="L314" s="2"/>
      <c r="M314" s="2"/>
      <c r="N314" s="2"/>
      <c r="O314" s="2"/>
      <c r="P314" s="2"/>
      <c r="Q314" s="2"/>
      <c r="R314" s="2"/>
      <c r="S314" s="2"/>
      <c r="T314" s="2"/>
      <c r="U314" s="2"/>
    </row>
    <row r="315">
      <c r="A315" s="2"/>
      <c r="B315" s="2"/>
      <c r="C315" s="2"/>
      <c r="D315" s="2"/>
      <c r="E315" s="2"/>
      <c r="F315" s="2"/>
      <c r="G315" s="2"/>
      <c r="H315" s="2"/>
      <c r="I315" s="2"/>
      <c r="J315" s="2"/>
      <c r="K315" s="2"/>
      <c r="L315" s="2"/>
      <c r="M315" s="2"/>
      <c r="N315" s="2"/>
      <c r="O315" s="2"/>
      <c r="P315" s="2"/>
      <c r="Q315" s="2"/>
      <c r="R315" s="2"/>
      <c r="S315" s="2"/>
      <c r="T315" s="2"/>
      <c r="U315" s="2"/>
    </row>
    <row r="316">
      <c r="A316" s="2"/>
      <c r="B316" s="2"/>
      <c r="C316" s="2"/>
      <c r="D316" s="2"/>
      <c r="E316" s="2"/>
      <c r="F316" s="2"/>
      <c r="G316" s="2"/>
      <c r="H316" s="2"/>
      <c r="I316" s="2"/>
      <c r="J316" s="2"/>
      <c r="K316" s="2"/>
      <c r="L316" s="2"/>
      <c r="M316" s="2"/>
      <c r="N316" s="2"/>
      <c r="O316" s="2"/>
      <c r="P316" s="2"/>
      <c r="Q316" s="2"/>
      <c r="R316" s="2"/>
      <c r="S316" s="2"/>
      <c r="T316" s="2"/>
      <c r="U316" s="2"/>
    </row>
    <row r="317">
      <c r="A317" s="2"/>
      <c r="B317" s="2"/>
      <c r="C317" s="2"/>
      <c r="D317" s="2"/>
      <c r="E317" s="2"/>
      <c r="F317" s="2"/>
      <c r="G317" s="2"/>
      <c r="H317" s="2"/>
      <c r="I317" s="2"/>
      <c r="J317" s="2"/>
      <c r="K317" s="2"/>
      <c r="L317" s="2"/>
      <c r="M317" s="2"/>
      <c r="N317" s="2"/>
      <c r="O317" s="2"/>
      <c r="P317" s="2"/>
      <c r="Q317" s="2"/>
      <c r="R317" s="2"/>
      <c r="S317" s="2"/>
      <c r="T317" s="2"/>
      <c r="U317" s="2"/>
    </row>
    <row r="318">
      <c r="A318" s="2"/>
      <c r="B318" s="2"/>
      <c r="C318" s="2"/>
      <c r="D318" s="2"/>
      <c r="E318" s="2"/>
      <c r="F318" s="2"/>
      <c r="G318" s="2"/>
      <c r="H318" s="2"/>
      <c r="I318" s="2"/>
      <c r="J318" s="2"/>
      <c r="K318" s="2"/>
      <c r="L318" s="2"/>
      <c r="M318" s="2"/>
      <c r="N318" s="2"/>
      <c r="O318" s="2"/>
      <c r="P318" s="2"/>
      <c r="Q318" s="2"/>
      <c r="R318" s="2"/>
      <c r="S318" s="2"/>
      <c r="T318" s="2"/>
      <c r="U318" s="2"/>
    </row>
    <row r="319">
      <c r="A319" s="2"/>
      <c r="B319" s="2"/>
      <c r="C319" s="2"/>
      <c r="D319" s="2"/>
      <c r="E319" s="2"/>
      <c r="F319" s="2"/>
      <c r="G319" s="2"/>
      <c r="H319" s="2"/>
      <c r="I319" s="2"/>
      <c r="J319" s="2"/>
      <c r="K319" s="2"/>
      <c r="L319" s="2"/>
      <c r="M319" s="2"/>
      <c r="N319" s="2"/>
      <c r="O319" s="2"/>
      <c r="P319" s="2"/>
      <c r="Q319" s="2"/>
      <c r="R319" s="2"/>
      <c r="S319" s="2"/>
      <c r="T319" s="2"/>
      <c r="U319" s="2"/>
    </row>
    <row r="320">
      <c r="A320" s="2"/>
      <c r="B320" s="2"/>
      <c r="C320" s="2"/>
      <c r="D320" s="2"/>
      <c r="E320" s="2"/>
      <c r="F320" s="2"/>
      <c r="G320" s="2"/>
      <c r="H320" s="2"/>
      <c r="I320" s="2"/>
      <c r="J320" s="2"/>
      <c r="K320" s="2"/>
      <c r="L320" s="2"/>
      <c r="M320" s="2"/>
      <c r="N320" s="2"/>
      <c r="O320" s="2"/>
      <c r="P320" s="2"/>
      <c r="Q320" s="2"/>
      <c r="R320" s="2"/>
      <c r="S320" s="2"/>
      <c r="T320" s="2"/>
      <c r="U320" s="2"/>
    </row>
    <row r="321">
      <c r="A321" s="2"/>
      <c r="B321" s="2"/>
      <c r="C321" s="2"/>
      <c r="D321" s="2"/>
      <c r="E321" s="2"/>
      <c r="F321" s="2"/>
      <c r="G321" s="2"/>
      <c r="H321" s="2"/>
      <c r="I321" s="2"/>
      <c r="J321" s="2"/>
      <c r="K321" s="2"/>
      <c r="L321" s="2"/>
      <c r="M321" s="2"/>
      <c r="N321" s="2"/>
      <c r="O321" s="2"/>
      <c r="P321" s="2"/>
      <c r="Q321" s="2"/>
      <c r="R321" s="2"/>
      <c r="S321" s="2"/>
      <c r="T321" s="2"/>
      <c r="U321" s="2"/>
    </row>
    <row r="322">
      <c r="A322" s="2"/>
      <c r="B322" s="2"/>
      <c r="C322" s="2"/>
      <c r="D322" s="2"/>
      <c r="E322" s="2"/>
      <c r="F322" s="2"/>
      <c r="G322" s="2"/>
      <c r="H322" s="2"/>
      <c r="I322" s="2"/>
      <c r="J322" s="2"/>
      <c r="K322" s="2"/>
      <c r="L322" s="2"/>
      <c r="M322" s="2"/>
      <c r="N322" s="2"/>
      <c r="O322" s="2"/>
      <c r="P322" s="2"/>
      <c r="Q322" s="2"/>
      <c r="R322" s="2"/>
      <c r="S322" s="2"/>
      <c r="T322" s="2"/>
      <c r="U322" s="2"/>
    </row>
    <row r="323">
      <c r="A323" s="2"/>
      <c r="B323" s="2"/>
      <c r="C323" s="2"/>
      <c r="D323" s="2"/>
      <c r="E323" s="2"/>
      <c r="F323" s="2"/>
      <c r="G323" s="2"/>
      <c r="H323" s="2"/>
      <c r="I323" s="2"/>
      <c r="J323" s="2"/>
      <c r="K323" s="2"/>
      <c r="L323" s="2"/>
      <c r="M323" s="2"/>
      <c r="N323" s="2"/>
      <c r="O323" s="2"/>
      <c r="P323" s="2"/>
      <c r="Q323" s="2"/>
      <c r="R323" s="2"/>
      <c r="S323" s="2"/>
      <c r="T323" s="2"/>
      <c r="U323" s="2"/>
    </row>
    <row r="324">
      <c r="A324" s="2"/>
      <c r="B324" s="2"/>
      <c r="C324" s="2"/>
      <c r="D324" s="2"/>
      <c r="E324" s="2"/>
      <c r="F324" s="2"/>
      <c r="G324" s="2"/>
      <c r="H324" s="2"/>
      <c r="I324" s="2"/>
      <c r="J324" s="2"/>
      <c r="K324" s="2"/>
      <c r="L324" s="2"/>
      <c r="M324" s="2"/>
      <c r="N324" s="2"/>
      <c r="O324" s="2"/>
      <c r="P324" s="2"/>
      <c r="Q324" s="2"/>
      <c r="R324" s="2"/>
      <c r="S324" s="2"/>
      <c r="T324" s="2"/>
      <c r="U324" s="2"/>
    </row>
    <row r="325">
      <c r="A325" s="2"/>
      <c r="B325" s="2"/>
      <c r="C325" s="2"/>
      <c r="D325" s="2"/>
      <c r="E325" s="2"/>
      <c r="F325" s="2"/>
      <c r="G325" s="2"/>
      <c r="H325" s="2"/>
      <c r="I325" s="2"/>
      <c r="J325" s="2"/>
      <c r="K325" s="2"/>
      <c r="L325" s="2"/>
      <c r="M325" s="2"/>
      <c r="N325" s="2"/>
      <c r="O325" s="2"/>
      <c r="P325" s="2"/>
      <c r="Q325" s="2"/>
      <c r="R325" s="2"/>
      <c r="S325" s="2"/>
      <c r="T325" s="2"/>
      <c r="U325" s="2"/>
    </row>
    <row r="326">
      <c r="A326" s="2"/>
      <c r="B326" s="2"/>
      <c r="C326" s="2"/>
      <c r="D326" s="2"/>
      <c r="E326" s="2"/>
      <c r="F326" s="2"/>
      <c r="G326" s="2"/>
      <c r="H326" s="2"/>
      <c r="I326" s="2"/>
      <c r="J326" s="2"/>
      <c r="K326" s="2"/>
      <c r="L326" s="2"/>
      <c r="M326" s="2"/>
      <c r="N326" s="2"/>
      <c r="O326" s="2"/>
      <c r="P326" s="2"/>
      <c r="Q326" s="2"/>
      <c r="R326" s="2"/>
      <c r="S326" s="2"/>
      <c r="T326" s="2"/>
      <c r="U326" s="2"/>
    </row>
    <row r="327">
      <c r="A327" s="2"/>
      <c r="B327" s="2"/>
      <c r="C327" s="2"/>
      <c r="D327" s="2"/>
      <c r="E327" s="2"/>
      <c r="F327" s="2"/>
      <c r="G327" s="2"/>
      <c r="H327" s="2"/>
      <c r="I327" s="2"/>
      <c r="J327" s="2"/>
      <c r="K327" s="2"/>
      <c r="L327" s="2"/>
      <c r="M327" s="2"/>
      <c r="N327" s="2"/>
      <c r="O327" s="2"/>
      <c r="P327" s="2"/>
      <c r="Q327" s="2"/>
      <c r="R327" s="2"/>
      <c r="S327" s="2"/>
      <c r="T327" s="2"/>
      <c r="U327" s="2"/>
    </row>
    <row r="328">
      <c r="A328" s="2"/>
      <c r="B328" s="2"/>
      <c r="C328" s="2"/>
      <c r="D328" s="2"/>
      <c r="E328" s="2"/>
      <c r="F328" s="2"/>
      <c r="G328" s="2"/>
      <c r="H328" s="2"/>
      <c r="I328" s="2"/>
      <c r="J328" s="2"/>
      <c r="K328" s="2"/>
      <c r="L328" s="2"/>
      <c r="M328" s="2"/>
      <c r="N328" s="2"/>
      <c r="O328" s="2"/>
      <c r="P328" s="2"/>
      <c r="Q328" s="2"/>
      <c r="R328" s="2"/>
      <c r="S328" s="2"/>
      <c r="T328" s="2"/>
      <c r="U328" s="2"/>
    </row>
    <row r="329">
      <c r="A329" s="2"/>
      <c r="B329" s="2"/>
      <c r="C329" s="2"/>
      <c r="D329" s="2"/>
      <c r="E329" s="2"/>
      <c r="F329" s="2"/>
      <c r="G329" s="2"/>
      <c r="H329" s="2"/>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2"/>
      <c r="B332" s="2"/>
      <c r="C332" s="2"/>
      <c r="D332" s="2"/>
      <c r="E332" s="2"/>
      <c r="F332" s="2"/>
      <c r="G332" s="2"/>
      <c r="H332" s="2"/>
      <c r="I332" s="2"/>
      <c r="J332" s="2"/>
      <c r="K332" s="2"/>
      <c r="L332" s="2"/>
      <c r="M332" s="2"/>
      <c r="N332" s="2"/>
      <c r="O332" s="2"/>
      <c r="P332" s="2"/>
      <c r="Q332" s="2"/>
      <c r="R332" s="2"/>
      <c r="S332" s="2"/>
      <c r="T332" s="2"/>
      <c r="U332" s="2"/>
    </row>
    <row r="333">
      <c r="A333" s="2"/>
      <c r="B333" s="2"/>
      <c r="C333" s="2"/>
      <c r="D333" s="2"/>
      <c r="E333" s="2"/>
      <c r="F333" s="2"/>
      <c r="G333" s="2"/>
      <c r="H333" s="2"/>
      <c r="I333" s="2"/>
      <c r="J333" s="2"/>
      <c r="K333" s="2"/>
      <c r="L333" s="2"/>
      <c r="M333" s="2"/>
      <c r="N333" s="2"/>
      <c r="O333" s="2"/>
      <c r="P333" s="2"/>
      <c r="Q333" s="2"/>
      <c r="R333" s="2"/>
      <c r="S333" s="2"/>
      <c r="T333" s="2"/>
      <c r="U333" s="2"/>
    </row>
    <row r="334">
      <c r="A334" s="2"/>
      <c r="B334" s="2"/>
      <c r="C334" s="2"/>
      <c r="D334" s="2"/>
      <c r="E334" s="2"/>
      <c r="F334" s="2"/>
      <c r="G334" s="2"/>
      <c r="H334" s="2"/>
      <c r="I334" s="2"/>
      <c r="J334" s="2"/>
      <c r="K334" s="2"/>
      <c r="L334" s="2"/>
      <c r="M334" s="2"/>
      <c r="N334" s="2"/>
      <c r="O334" s="2"/>
      <c r="P334" s="2"/>
      <c r="Q334" s="2"/>
      <c r="R334" s="2"/>
      <c r="S334" s="2"/>
      <c r="T334" s="2"/>
      <c r="U334" s="2"/>
    </row>
    <row r="335">
      <c r="A335" s="2"/>
      <c r="B335" s="2"/>
      <c r="C335" s="2"/>
      <c r="D335" s="2"/>
      <c r="E335" s="2"/>
      <c r="F335" s="2"/>
      <c r="G335" s="2"/>
      <c r="H335" s="2"/>
      <c r="I335" s="2"/>
      <c r="J335" s="2"/>
      <c r="K335" s="2"/>
      <c r="L335" s="2"/>
      <c r="M335" s="2"/>
      <c r="N335" s="2"/>
      <c r="O335" s="2"/>
      <c r="P335" s="2"/>
      <c r="Q335" s="2"/>
      <c r="R335" s="2"/>
      <c r="S335" s="2"/>
      <c r="T335" s="2"/>
      <c r="U335" s="2"/>
    </row>
    <row r="336">
      <c r="A336" s="2"/>
      <c r="B336" s="2"/>
      <c r="C336" s="2"/>
      <c r="D336" s="2"/>
      <c r="E336" s="2"/>
      <c r="F336" s="2"/>
      <c r="G336" s="2"/>
      <c r="H336" s="2"/>
      <c r="I336" s="2"/>
      <c r="J336" s="2"/>
      <c r="K336" s="2"/>
      <c r="L336" s="2"/>
      <c r="M336" s="2"/>
      <c r="N336" s="2"/>
      <c r="O336" s="2"/>
      <c r="P336" s="2"/>
      <c r="Q336" s="2"/>
      <c r="R336" s="2"/>
      <c r="S336" s="2"/>
      <c r="T336" s="2"/>
      <c r="U336" s="2"/>
    </row>
    <row r="337">
      <c r="A337" s="2"/>
      <c r="B337" s="2"/>
      <c r="C337" s="2"/>
      <c r="D337" s="2"/>
      <c r="E337" s="2"/>
      <c r="F337" s="2"/>
      <c r="G337" s="2"/>
      <c r="H337" s="2"/>
      <c r="I337" s="2"/>
      <c r="J337" s="2"/>
      <c r="K337" s="2"/>
      <c r="L337" s="2"/>
      <c r="M337" s="2"/>
      <c r="N337" s="2"/>
      <c r="O337" s="2"/>
      <c r="P337" s="2"/>
      <c r="Q337" s="2"/>
      <c r="R337" s="2"/>
      <c r="S337" s="2"/>
      <c r="T337" s="2"/>
      <c r="U337" s="2"/>
    </row>
    <row r="338">
      <c r="A338" s="2"/>
      <c r="B338" s="2"/>
      <c r="C338" s="2"/>
      <c r="D338" s="2"/>
      <c r="E338" s="2"/>
      <c r="F338" s="2"/>
      <c r="G338" s="2"/>
      <c r="H338" s="2"/>
      <c r="I338" s="2"/>
      <c r="J338" s="2"/>
      <c r="K338" s="2"/>
      <c r="L338" s="2"/>
      <c r="M338" s="2"/>
      <c r="N338" s="2"/>
      <c r="O338" s="2"/>
      <c r="P338" s="2"/>
      <c r="Q338" s="2"/>
      <c r="R338" s="2"/>
      <c r="S338" s="2"/>
      <c r="T338" s="2"/>
      <c r="U338" s="2"/>
    </row>
    <row r="339">
      <c r="A339" s="2"/>
      <c r="B339" s="2"/>
      <c r="C339" s="2"/>
      <c r="D339" s="2"/>
      <c r="E339" s="2"/>
      <c r="F339" s="2"/>
      <c r="G339" s="2"/>
      <c r="H339" s="2"/>
      <c r="I339" s="2"/>
      <c r="J339" s="2"/>
      <c r="K339" s="2"/>
      <c r="L339" s="2"/>
      <c r="M339" s="2"/>
      <c r="N339" s="2"/>
      <c r="O339" s="2"/>
      <c r="P339" s="2"/>
      <c r="Q339" s="2"/>
      <c r="R339" s="2"/>
      <c r="S339" s="2"/>
      <c r="T339" s="2"/>
      <c r="U339" s="2"/>
    </row>
    <row r="340">
      <c r="A340" s="2"/>
      <c r="B340" s="2"/>
      <c r="C340" s="2"/>
      <c r="D340" s="2"/>
      <c r="E340" s="2"/>
      <c r="F340" s="2"/>
      <c r="G340" s="2"/>
      <c r="H340" s="2"/>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2"/>
      <c r="B343" s="2"/>
      <c r="C343" s="2"/>
      <c r="D343" s="2"/>
      <c r="E343" s="2"/>
      <c r="F343" s="2"/>
      <c r="G343" s="2"/>
      <c r="H343" s="2"/>
      <c r="I343" s="2"/>
      <c r="J343" s="2"/>
      <c r="K343" s="2"/>
      <c r="L343" s="2"/>
      <c r="M343" s="2"/>
      <c r="N343" s="2"/>
      <c r="O343" s="2"/>
      <c r="P343" s="2"/>
      <c r="Q343" s="2"/>
      <c r="R343" s="2"/>
      <c r="S343" s="2"/>
      <c r="T343" s="2"/>
      <c r="U343" s="2"/>
    </row>
    <row r="344">
      <c r="A344" s="2"/>
      <c r="B344" s="2"/>
      <c r="C344" s="2"/>
      <c r="D344" s="2"/>
      <c r="E344" s="2"/>
      <c r="F344" s="2"/>
      <c r="G344" s="2"/>
      <c r="H344" s="2"/>
      <c r="I344" s="2"/>
      <c r="J344" s="2"/>
      <c r="K344" s="2"/>
      <c r="L344" s="2"/>
      <c r="M344" s="2"/>
      <c r="N344" s="2"/>
      <c r="O344" s="2"/>
      <c r="P344" s="2"/>
      <c r="Q344" s="2"/>
      <c r="R344" s="2"/>
      <c r="S344" s="2"/>
      <c r="T344" s="2"/>
      <c r="U344" s="2"/>
    </row>
    <row r="345">
      <c r="A345" s="2"/>
      <c r="B345" s="2"/>
      <c r="C345" s="2"/>
      <c r="D345" s="2"/>
      <c r="E345" s="2"/>
      <c r="F345" s="2"/>
      <c r="G345" s="2"/>
      <c r="H345" s="2"/>
      <c r="I345" s="2"/>
      <c r="J345" s="2"/>
      <c r="K345" s="2"/>
      <c r="L345" s="2"/>
      <c r="M345" s="2"/>
      <c r="N345" s="2"/>
      <c r="O345" s="2"/>
      <c r="P345" s="2"/>
      <c r="Q345" s="2"/>
      <c r="R345" s="2"/>
      <c r="S345" s="2"/>
      <c r="T345" s="2"/>
      <c r="U345" s="2"/>
    </row>
    <row r="346">
      <c r="A346" s="2"/>
      <c r="B346" s="2"/>
      <c r="C346" s="2"/>
      <c r="D346" s="2"/>
      <c r="E346" s="2"/>
      <c r="F346" s="2"/>
      <c r="G346" s="2"/>
      <c r="H346" s="2"/>
      <c r="I346" s="2"/>
      <c r="J346" s="2"/>
      <c r="K346" s="2"/>
      <c r="L346" s="2"/>
      <c r="M346" s="2"/>
      <c r="N346" s="2"/>
      <c r="O346" s="2"/>
      <c r="P346" s="2"/>
      <c r="Q346" s="2"/>
      <c r="R346" s="2"/>
      <c r="S346" s="2"/>
      <c r="T346" s="2"/>
      <c r="U346" s="2"/>
    </row>
    <row r="347">
      <c r="A347" s="2"/>
      <c r="B347" s="2"/>
      <c r="C347" s="2"/>
      <c r="D347" s="2"/>
      <c r="E347" s="2"/>
      <c r="F347" s="2"/>
      <c r="G347" s="2"/>
      <c r="H347" s="2"/>
      <c r="I347" s="2"/>
      <c r="J347" s="2"/>
      <c r="K347" s="2"/>
      <c r="L347" s="2"/>
      <c r="M347" s="2"/>
      <c r="N347" s="2"/>
      <c r="O347" s="2"/>
      <c r="P347" s="2"/>
      <c r="Q347" s="2"/>
      <c r="R347" s="2"/>
      <c r="S347" s="2"/>
      <c r="T347" s="2"/>
      <c r="U347" s="2"/>
    </row>
    <row r="348">
      <c r="A348" s="2"/>
      <c r="B348" s="2"/>
      <c r="C348" s="2"/>
      <c r="D348" s="2"/>
      <c r="E348" s="2"/>
      <c r="F348" s="2"/>
      <c r="G348" s="2"/>
      <c r="H348" s="2"/>
      <c r="I348" s="2"/>
      <c r="J348" s="2"/>
      <c r="K348" s="2"/>
      <c r="L348" s="2"/>
      <c r="M348" s="2"/>
      <c r="N348" s="2"/>
      <c r="O348" s="2"/>
      <c r="P348" s="2"/>
      <c r="Q348" s="2"/>
      <c r="R348" s="2"/>
      <c r="S348" s="2"/>
      <c r="T348" s="2"/>
      <c r="U348" s="2"/>
    </row>
    <row r="349">
      <c r="A349" s="2"/>
      <c r="B349" s="2"/>
      <c r="C349" s="2"/>
      <c r="D349" s="2"/>
      <c r="E349" s="2"/>
      <c r="F349" s="2"/>
      <c r="G349" s="2"/>
      <c r="H349" s="2"/>
      <c r="I349" s="2"/>
      <c r="J349" s="2"/>
      <c r="K349" s="2"/>
      <c r="L349" s="2"/>
      <c r="M349" s="2"/>
      <c r="N349" s="2"/>
      <c r="O349" s="2"/>
      <c r="P349" s="2"/>
      <c r="Q349" s="2"/>
      <c r="R349" s="2"/>
      <c r="S349" s="2"/>
      <c r="T349" s="2"/>
      <c r="U349" s="2"/>
    </row>
    <row r="350">
      <c r="A350" s="2"/>
      <c r="B350" s="2"/>
      <c r="C350" s="2"/>
      <c r="D350" s="2"/>
      <c r="E350" s="2"/>
      <c r="F350" s="2"/>
      <c r="G350" s="2"/>
      <c r="H350" s="2"/>
      <c r="I350" s="2"/>
      <c r="J350" s="2"/>
      <c r="K350" s="2"/>
      <c r="L350" s="2"/>
      <c r="M350" s="2"/>
      <c r="N350" s="2"/>
      <c r="O350" s="2"/>
      <c r="P350" s="2"/>
      <c r="Q350" s="2"/>
      <c r="R350" s="2"/>
      <c r="S350" s="2"/>
      <c r="T350" s="2"/>
      <c r="U350" s="2"/>
    </row>
    <row r="351">
      <c r="A351" s="2"/>
      <c r="B351" s="2"/>
      <c r="C351" s="2"/>
      <c r="D351" s="2"/>
      <c r="E351" s="2"/>
      <c r="F351" s="2"/>
      <c r="G351" s="2"/>
      <c r="H351" s="2"/>
      <c r="I351" s="2"/>
      <c r="J351" s="2"/>
      <c r="K351" s="2"/>
      <c r="L351" s="2"/>
      <c r="M351" s="2"/>
      <c r="N351" s="2"/>
      <c r="O351" s="2"/>
      <c r="P351" s="2"/>
      <c r="Q351" s="2"/>
      <c r="R351" s="2"/>
      <c r="S351" s="2"/>
      <c r="T351" s="2"/>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2"/>
      <c r="B354" s="2"/>
      <c r="C354" s="2"/>
      <c r="D354" s="2"/>
      <c r="E354" s="2"/>
      <c r="F354" s="2"/>
      <c r="G354" s="2"/>
      <c r="H354" s="2"/>
      <c r="I354" s="2"/>
      <c r="J354" s="2"/>
      <c r="K354" s="2"/>
      <c r="L354" s="2"/>
      <c r="M354" s="2"/>
      <c r="N354" s="2"/>
      <c r="O354" s="2"/>
      <c r="P354" s="2"/>
      <c r="Q354" s="2"/>
      <c r="R354" s="2"/>
      <c r="S354" s="2"/>
      <c r="T354" s="2"/>
      <c r="U354" s="2"/>
    </row>
    <row r="355">
      <c r="A355" s="2"/>
      <c r="B355" s="2"/>
      <c r="C355" s="2"/>
      <c r="D355" s="2"/>
      <c r="E355" s="2"/>
      <c r="F355" s="2"/>
      <c r="G355" s="2"/>
      <c r="H355" s="2"/>
      <c r="I355" s="2"/>
      <c r="J355" s="2"/>
      <c r="K355" s="2"/>
      <c r="L355" s="2"/>
      <c r="M355" s="2"/>
      <c r="N355" s="2"/>
      <c r="O355" s="2"/>
      <c r="P355" s="2"/>
      <c r="Q355" s="2"/>
      <c r="R355" s="2"/>
      <c r="S355" s="2"/>
      <c r="T355" s="2"/>
      <c r="U355" s="2"/>
    </row>
    <row r="356">
      <c r="A356" s="2"/>
      <c r="B356" s="2"/>
      <c r="C356" s="2"/>
      <c r="D356" s="2"/>
      <c r="E356" s="2"/>
      <c r="F356" s="2"/>
      <c r="G356" s="2"/>
      <c r="H356" s="2"/>
      <c r="I356" s="2"/>
      <c r="J356" s="2"/>
      <c r="K356" s="2"/>
      <c r="L356" s="2"/>
      <c r="M356" s="2"/>
      <c r="N356" s="2"/>
      <c r="O356" s="2"/>
      <c r="P356" s="2"/>
      <c r="Q356" s="2"/>
      <c r="R356" s="2"/>
      <c r="S356" s="2"/>
      <c r="T356" s="2"/>
      <c r="U356" s="2"/>
    </row>
    <row r="357">
      <c r="A357" s="2"/>
      <c r="B357" s="2"/>
      <c r="C357" s="2"/>
      <c r="D357" s="2"/>
      <c r="E357" s="2"/>
      <c r="F357" s="2"/>
      <c r="G357" s="2"/>
      <c r="H357" s="2"/>
      <c r="I357" s="2"/>
      <c r="J357" s="2"/>
      <c r="K357" s="2"/>
      <c r="L357" s="2"/>
      <c r="M357" s="2"/>
      <c r="N357" s="2"/>
      <c r="O357" s="2"/>
      <c r="P357" s="2"/>
      <c r="Q357" s="2"/>
      <c r="R357" s="2"/>
      <c r="S357" s="2"/>
      <c r="T357" s="2"/>
      <c r="U357" s="2"/>
    </row>
    <row r="358">
      <c r="A358" s="2"/>
      <c r="B358" s="2"/>
      <c r="C358" s="2"/>
      <c r="D358" s="2"/>
      <c r="E358" s="2"/>
      <c r="F358" s="2"/>
      <c r="G358" s="2"/>
      <c r="H358" s="2"/>
      <c r="I358" s="2"/>
      <c r="J358" s="2"/>
      <c r="K358" s="2"/>
      <c r="L358" s="2"/>
      <c r="M358" s="2"/>
      <c r="N358" s="2"/>
      <c r="O358" s="2"/>
      <c r="P358" s="2"/>
      <c r="Q358" s="2"/>
      <c r="R358" s="2"/>
      <c r="S358" s="2"/>
      <c r="T358" s="2"/>
      <c r="U358" s="2"/>
    </row>
    <row r="359">
      <c r="A359" s="2"/>
      <c r="B359" s="2"/>
      <c r="C359" s="2"/>
      <c r="D359" s="2"/>
      <c r="E359" s="2"/>
      <c r="F359" s="2"/>
      <c r="G359" s="2"/>
      <c r="H359" s="2"/>
      <c r="I359" s="2"/>
      <c r="J359" s="2"/>
      <c r="K359" s="2"/>
      <c r="L359" s="2"/>
      <c r="M359" s="2"/>
      <c r="N359" s="2"/>
      <c r="O359" s="2"/>
      <c r="P359" s="2"/>
      <c r="Q359" s="2"/>
      <c r="R359" s="2"/>
      <c r="S359" s="2"/>
      <c r="T359" s="2"/>
      <c r="U359" s="2"/>
    </row>
    <row r="360">
      <c r="A360" s="2"/>
      <c r="B360" s="2"/>
      <c r="C360" s="2"/>
      <c r="D360" s="2"/>
      <c r="E360" s="2"/>
      <c r="F360" s="2"/>
      <c r="G360" s="2"/>
      <c r="H360" s="2"/>
      <c r="I360" s="2"/>
      <c r="J360" s="2"/>
      <c r="K360" s="2"/>
      <c r="L360" s="2"/>
      <c r="M360" s="2"/>
      <c r="N360" s="2"/>
      <c r="O360" s="2"/>
      <c r="P360" s="2"/>
      <c r="Q360" s="2"/>
      <c r="R360" s="2"/>
      <c r="S360" s="2"/>
      <c r="T360" s="2"/>
      <c r="U360" s="2"/>
    </row>
    <row r="361">
      <c r="A361" s="2"/>
      <c r="B361" s="2"/>
      <c r="C361" s="2"/>
      <c r="D361" s="2"/>
      <c r="E361" s="2"/>
      <c r="F361" s="2"/>
      <c r="G361" s="2"/>
      <c r="H361" s="2"/>
      <c r="I361" s="2"/>
      <c r="J361" s="2"/>
      <c r="K361" s="2"/>
      <c r="L361" s="2"/>
      <c r="M361" s="2"/>
      <c r="N361" s="2"/>
      <c r="O361" s="2"/>
      <c r="P361" s="2"/>
      <c r="Q361" s="2"/>
      <c r="R361" s="2"/>
      <c r="S361" s="2"/>
      <c r="T361" s="2"/>
      <c r="U361" s="2"/>
    </row>
    <row r="362">
      <c r="A362" s="2"/>
      <c r="B362" s="2"/>
      <c r="C362" s="2"/>
      <c r="D362" s="2"/>
      <c r="E362" s="2"/>
      <c r="F362" s="2"/>
      <c r="G362" s="2"/>
      <c r="H362" s="2"/>
      <c r="I362" s="2"/>
      <c r="J362" s="2"/>
      <c r="K362" s="2"/>
      <c r="L362" s="2"/>
      <c r="M362" s="2"/>
      <c r="N362" s="2"/>
      <c r="O362" s="2"/>
      <c r="P362" s="2"/>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2"/>
      <c r="C364" s="2"/>
      <c r="D364" s="2"/>
      <c r="E364" s="2"/>
      <c r="F364" s="2"/>
      <c r="G364" s="2"/>
      <c r="H364" s="2"/>
      <c r="I364" s="2"/>
      <c r="J364" s="2"/>
      <c r="K364" s="2"/>
      <c r="L364" s="2"/>
      <c r="M364" s="2"/>
      <c r="N364" s="2"/>
      <c r="O364" s="2"/>
      <c r="P364" s="2"/>
      <c r="Q364" s="2"/>
      <c r="R364" s="2"/>
      <c r="S364" s="2"/>
      <c r="T364" s="2"/>
      <c r="U364" s="2"/>
    </row>
    <row r="365">
      <c r="A365" s="2"/>
      <c r="B365" s="2"/>
      <c r="C365" s="2"/>
      <c r="D365" s="2"/>
      <c r="E365" s="2"/>
      <c r="F365" s="2"/>
      <c r="G365" s="2"/>
      <c r="H365" s="2"/>
      <c r="I365" s="2"/>
      <c r="J365" s="2"/>
      <c r="K365" s="2"/>
      <c r="L365" s="2"/>
      <c r="M365" s="2"/>
      <c r="N365" s="2"/>
      <c r="O365" s="2"/>
      <c r="P365" s="2"/>
      <c r="Q365" s="2"/>
      <c r="R365" s="2"/>
      <c r="S365" s="2"/>
      <c r="T365" s="2"/>
      <c r="U365" s="2"/>
    </row>
    <row r="366">
      <c r="A366" s="2"/>
      <c r="B366" s="2"/>
      <c r="C366" s="2"/>
      <c r="D366" s="2"/>
      <c r="E366" s="2"/>
      <c r="F366" s="2"/>
      <c r="G366" s="2"/>
      <c r="H366" s="2"/>
      <c r="I366" s="2"/>
      <c r="J366" s="2"/>
      <c r="K366" s="2"/>
      <c r="L366" s="2"/>
      <c r="M366" s="2"/>
      <c r="N366" s="2"/>
      <c r="O366" s="2"/>
      <c r="P366" s="2"/>
      <c r="Q366" s="2"/>
      <c r="R366" s="2"/>
      <c r="S366" s="2"/>
      <c r="T366" s="2"/>
      <c r="U366" s="2"/>
    </row>
    <row r="367">
      <c r="A367" s="2"/>
      <c r="B367" s="2"/>
      <c r="C367" s="2"/>
      <c r="D367" s="2"/>
      <c r="E367" s="2"/>
      <c r="F367" s="2"/>
      <c r="G367" s="2"/>
      <c r="H367" s="2"/>
      <c r="I367" s="2"/>
      <c r="J367" s="2"/>
      <c r="K367" s="2"/>
      <c r="L367" s="2"/>
      <c r="M367" s="2"/>
      <c r="N367" s="2"/>
      <c r="O367" s="2"/>
      <c r="P367" s="2"/>
      <c r="Q367" s="2"/>
      <c r="R367" s="2"/>
      <c r="S367" s="2"/>
      <c r="T367" s="2"/>
      <c r="U367" s="2"/>
    </row>
    <row r="368">
      <c r="A368" s="2"/>
      <c r="B368" s="2"/>
      <c r="C368" s="2"/>
      <c r="D368" s="2"/>
      <c r="E368" s="2"/>
      <c r="F368" s="2"/>
      <c r="G368" s="2"/>
      <c r="H368" s="2"/>
      <c r="I368" s="2"/>
      <c r="J368" s="2"/>
      <c r="K368" s="2"/>
      <c r="L368" s="2"/>
      <c r="M368" s="2"/>
      <c r="N368" s="2"/>
      <c r="O368" s="2"/>
      <c r="P368" s="2"/>
      <c r="Q368" s="2"/>
      <c r="R368" s="2"/>
      <c r="S368" s="2"/>
      <c r="T368" s="2"/>
      <c r="U368" s="2"/>
    </row>
    <row r="369">
      <c r="A369" s="2"/>
      <c r="B369" s="2"/>
      <c r="C369" s="2"/>
      <c r="D369" s="2"/>
      <c r="E369" s="2"/>
      <c r="F369" s="2"/>
      <c r="G369" s="2"/>
      <c r="H369" s="2"/>
      <c r="I369" s="2"/>
      <c r="J369" s="2"/>
      <c r="K369" s="2"/>
      <c r="L369" s="2"/>
      <c r="M369" s="2"/>
      <c r="N369" s="2"/>
      <c r="O369" s="2"/>
      <c r="P369" s="2"/>
      <c r="Q369" s="2"/>
      <c r="R369" s="2"/>
      <c r="S369" s="2"/>
      <c r="T369" s="2"/>
      <c r="U369" s="2"/>
    </row>
    <row r="370">
      <c r="A370" s="2"/>
      <c r="B370" s="2"/>
      <c r="C370" s="2"/>
      <c r="D370" s="2"/>
      <c r="E370" s="2"/>
      <c r="F370" s="2"/>
      <c r="G370" s="2"/>
      <c r="H370" s="2"/>
      <c r="I370" s="2"/>
      <c r="J370" s="2"/>
      <c r="K370" s="2"/>
      <c r="L370" s="2"/>
      <c r="M370" s="2"/>
      <c r="N370" s="2"/>
      <c r="O370" s="2"/>
      <c r="P370" s="2"/>
      <c r="Q370" s="2"/>
      <c r="R370" s="2"/>
      <c r="S370" s="2"/>
      <c r="T370" s="2"/>
      <c r="U370" s="2"/>
    </row>
    <row r="371">
      <c r="A371" s="2"/>
      <c r="B371" s="2"/>
      <c r="C371" s="2"/>
      <c r="D371" s="2"/>
      <c r="E371" s="2"/>
      <c r="F371" s="2"/>
      <c r="G371" s="2"/>
      <c r="H371" s="2"/>
      <c r="I371" s="2"/>
      <c r="J371" s="2"/>
      <c r="K371" s="2"/>
      <c r="L371" s="2"/>
      <c r="M371" s="2"/>
      <c r="N371" s="2"/>
      <c r="O371" s="2"/>
      <c r="P371" s="2"/>
      <c r="Q371" s="2"/>
      <c r="R371" s="2"/>
      <c r="S371" s="2"/>
      <c r="T371" s="2"/>
      <c r="U371" s="2"/>
    </row>
    <row r="372">
      <c r="A372" s="2"/>
      <c r="B372" s="2"/>
      <c r="C372" s="2"/>
      <c r="D372" s="2"/>
      <c r="E372" s="2"/>
      <c r="F372" s="2"/>
      <c r="G372" s="2"/>
      <c r="H372" s="2"/>
      <c r="I372" s="2"/>
      <c r="J372" s="2"/>
      <c r="K372" s="2"/>
      <c r="L372" s="2"/>
      <c r="M372" s="2"/>
      <c r="N372" s="2"/>
      <c r="O372" s="2"/>
      <c r="P372" s="2"/>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2"/>
      <c r="B375" s="2"/>
      <c r="C375" s="2"/>
      <c r="D375" s="2"/>
      <c r="E375" s="2"/>
      <c r="F375" s="2"/>
      <c r="G375" s="2"/>
      <c r="H375" s="2"/>
      <c r="I375" s="2"/>
      <c r="J375" s="2"/>
      <c r="K375" s="2"/>
      <c r="L375" s="2"/>
      <c r="M375" s="2"/>
      <c r="N375" s="2"/>
      <c r="O375" s="2"/>
      <c r="P375" s="2"/>
      <c r="Q375" s="2"/>
      <c r="R375" s="2"/>
      <c r="S375" s="2"/>
      <c r="T375" s="2"/>
      <c r="U375" s="2"/>
    </row>
    <row r="376">
      <c r="A376" s="2"/>
      <c r="B376" s="2"/>
      <c r="C376" s="2"/>
      <c r="D376" s="2"/>
      <c r="E376" s="2"/>
      <c r="F376" s="2"/>
      <c r="G376" s="2"/>
      <c r="H376" s="2"/>
      <c r="I376" s="2"/>
      <c r="J376" s="2"/>
      <c r="K376" s="2"/>
      <c r="L376" s="2"/>
      <c r="M376" s="2"/>
      <c r="N376" s="2"/>
      <c r="O376" s="2"/>
      <c r="P376" s="2"/>
      <c r="Q376" s="2"/>
      <c r="R376" s="2"/>
      <c r="S376" s="2"/>
      <c r="T376" s="2"/>
      <c r="U376" s="2"/>
    </row>
    <row r="377">
      <c r="A377" s="2"/>
      <c r="B377" s="2"/>
      <c r="C377" s="2"/>
      <c r="D377" s="2"/>
      <c r="E377" s="2"/>
      <c r="F377" s="2"/>
      <c r="G377" s="2"/>
      <c r="H377" s="2"/>
      <c r="I377" s="2"/>
      <c r="J377" s="2"/>
      <c r="K377" s="2"/>
      <c r="L377" s="2"/>
      <c r="M377" s="2"/>
      <c r="N377" s="2"/>
      <c r="O377" s="2"/>
      <c r="P377" s="2"/>
      <c r="Q377" s="2"/>
      <c r="R377" s="2"/>
      <c r="S377" s="2"/>
      <c r="T377" s="2"/>
      <c r="U377" s="2"/>
    </row>
    <row r="378">
      <c r="A378" s="2"/>
      <c r="B378" s="2"/>
      <c r="C378" s="2"/>
      <c r="D378" s="2"/>
      <c r="E378" s="2"/>
      <c r="F378" s="2"/>
      <c r="G378" s="2"/>
      <c r="H378" s="2"/>
      <c r="I378" s="2"/>
      <c r="J378" s="2"/>
      <c r="K378" s="2"/>
      <c r="L378" s="2"/>
      <c r="M378" s="2"/>
      <c r="N378" s="2"/>
      <c r="O378" s="2"/>
      <c r="P378" s="2"/>
      <c r="Q378" s="2"/>
      <c r="R378" s="2"/>
      <c r="S378" s="2"/>
      <c r="T378" s="2"/>
      <c r="U378" s="2"/>
    </row>
    <row r="379">
      <c r="A379" s="2"/>
      <c r="B379" s="2"/>
      <c r="C379" s="2"/>
      <c r="D379" s="2"/>
      <c r="E379" s="2"/>
      <c r="F379" s="2"/>
      <c r="G379" s="2"/>
      <c r="H379" s="2"/>
      <c r="I379" s="2"/>
      <c r="J379" s="2"/>
      <c r="K379" s="2"/>
      <c r="L379" s="2"/>
      <c r="M379" s="2"/>
      <c r="N379" s="2"/>
      <c r="O379" s="2"/>
      <c r="P379" s="2"/>
      <c r="Q379" s="2"/>
      <c r="R379" s="2"/>
      <c r="S379" s="2"/>
      <c r="T379" s="2"/>
      <c r="U379" s="2"/>
    </row>
    <row r="380">
      <c r="A380" s="2"/>
      <c r="B380" s="2"/>
      <c r="C380" s="2"/>
      <c r="D380" s="2"/>
      <c r="E380" s="2"/>
      <c r="F380" s="2"/>
      <c r="G380" s="2"/>
      <c r="H380" s="2"/>
      <c r="I380" s="2"/>
      <c r="J380" s="2"/>
      <c r="K380" s="2"/>
      <c r="L380" s="2"/>
      <c r="M380" s="2"/>
      <c r="N380" s="2"/>
      <c r="O380" s="2"/>
      <c r="P380" s="2"/>
      <c r="Q380" s="2"/>
      <c r="R380" s="2"/>
      <c r="S380" s="2"/>
      <c r="T380" s="2"/>
      <c r="U380" s="2"/>
    </row>
    <row r="381">
      <c r="A381" s="2"/>
      <c r="B381" s="2"/>
      <c r="C381" s="2"/>
      <c r="D381" s="2"/>
      <c r="E381" s="2"/>
      <c r="F381" s="2"/>
      <c r="G381" s="2"/>
      <c r="H381" s="2"/>
      <c r="I381" s="2"/>
      <c r="J381" s="2"/>
      <c r="K381" s="2"/>
      <c r="L381" s="2"/>
      <c r="M381" s="2"/>
      <c r="N381" s="2"/>
      <c r="O381" s="2"/>
      <c r="P381" s="2"/>
      <c r="Q381" s="2"/>
      <c r="R381" s="2"/>
      <c r="S381" s="2"/>
      <c r="T381" s="2"/>
      <c r="U381" s="2"/>
    </row>
    <row r="382">
      <c r="A382" s="2"/>
      <c r="B382" s="2"/>
      <c r="C382" s="2"/>
      <c r="D382" s="2"/>
      <c r="E382" s="2"/>
      <c r="F382" s="2"/>
      <c r="G382" s="2"/>
      <c r="H382" s="2"/>
      <c r="I382" s="2"/>
      <c r="J382" s="2"/>
      <c r="K382" s="2"/>
      <c r="L382" s="2"/>
      <c r="M382" s="2"/>
      <c r="N382" s="2"/>
      <c r="O382" s="2"/>
      <c r="P382" s="2"/>
      <c r="Q382" s="2"/>
      <c r="R382" s="2"/>
      <c r="S382" s="2"/>
      <c r="T382" s="2"/>
      <c r="U382" s="2"/>
    </row>
    <row r="383">
      <c r="A383" s="2"/>
      <c r="B383" s="2"/>
      <c r="C383" s="2"/>
      <c r="D383" s="2"/>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row r="549">
      <c r="A549" s="2"/>
      <c r="B549" s="2"/>
      <c r="C549" s="2"/>
      <c r="D549" s="2"/>
      <c r="E549" s="2"/>
      <c r="F549" s="2"/>
      <c r="G549" s="2"/>
      <c r="H549" s="2"/>
      <c r="I549" s="2"/>
      <c r="J549" s="2"/>
      <c r="K549" s="2"/>
      <c r="L549" s="2"/>
      <c r="M549" s="2"/>
      <c r="N549" s="2"/>
      <c r="O549" s="2"/>
      <c r="P549" s="2"/>
      <c r="Q549" s="2"/>
      <c r="R549" s="2"/>
      <c r="S549" s="2"/>
      <c r="T549" s="2"/>
      <c r="U549" s="2"/>
    </row>
    <row r="550">
      <c r="A550" s="2"/>
      <c r="B550" s="2"/>
      <c r="C550" s="2"/>
      <c r="D550" s="2"/>
      <c r="E550" s="2"/>
      <c r="F550" s="2"/>
      <c r="G550" s="2"/>
      <c r="H550" s="2"/>
      <c r="I550" s="2"/>
      <c r="J550" s="2"/>
      <c r="K550" s="2"/>
      <c r="L550" s="2"/>
      <c r="M550" s="2"/>
      <c r="N550" s="2"/>
      <c r="O550" s="2"/>
      <c r="P550" s="2"/>
      <c r="Q550" s="2"/>
      <c r="R550" s="2"/>
      <c r="S550" s="2"/>
      <c r="T550" s="2"/>
      <c r="U550" s="2"/>
    </row>
    <row r="551">
      <c r="A551" s="2"/>
      <c r="B551" s="2"/>
      <c r="C551" s="2"/>
      <c r="D551" s="2"/>
      <c r="E551" s="2"/>
      <c r="F551" s="2"/>
      <c r="G551" s="2"/>
      <c r="H551" s="2"/>
      <c r="I551" s="2"/>
      <c r="J551" s="2"/>
      <c r="K551" s="2"/>
      <c r="L551" s="2"/>
      <c r="M551" s="2"/>
      <c r="N551" s="2"/>
      <c r="O551" s="2"/>
      <c r="P551" s="2"/>
      <c r="Q551" s="2"/>
      <c r="R551" s="2"/>
      <c r="S551" s="2"/>
      <c r="T551" s="2"/>
      <c r="U551" s="2"/>
    </row>
    <row r="552">
      <c r="A552" s="2"/>
      <c r="B552" s="2"/>
      <c r="C552" s="2"/>
      <c r="D552" s="2"/>
      <c r="E552" s="2"/>
      <c r="F552" s="2"/>
      <c r="G552" s="2"/>
      <c r="H552" s="2"/>
      <c r="I552" s="2"/>
      <c r="J552" s="2"/>
      <c r="K552" s="2"/>
      <c r="L552" s="2"/>
      <c r="M552" s="2"/>
      <c r="N552" s="2"/>
      <c r="O552" s="2"/>
      <c r="P552" s="2"/>
      <c r="Q552" s="2"/>
      <c r="R552" s="2"/>
      <c r="S552" s="2"/>
      <c r="T552" s="2"/>
      <c r="U552" s="2"/>
    </row>
    <row r="553">
      <c r="A553" s="2"/>
      <c r="B553" s="2"/>
      <c r="C553" s="2"/>
      <c r="D553" s="2"/>
      <c r="E553" s="2"/>
      <c r="F553" s="2"/>
      <c r="G553" s="2"/>
      <c r="H553" s="2"/>
      <c r="I553" s="2"/>
      <c r="J553" s="2"/>
      <c r="K553" s="2"/>
      <c r="L553" s="2"/>
      <c r="M553" s="2"/>
      <c r="N553" s="2"/>
      <c r="O553" s="2"/>
      <c r="P553" s="2"/>
      <c r="Q553" s="2"/>
      <c r="R553" s="2"/>
      <c r="S553" s="2"/>
      <c r="T553" s="2"/>
      <c r="U553" s="2"/>
    </row>
    <row r="554">
      <c r="A554" s="2"/>
      <c r="B554" s="2"/>
      <c r="C554" s="2"/>
      <c r="D554" s="2"/>
      <c r="E554" s="2"/>
      <c r="F554" s="2"/>
      <c r="G554" s="2"/>
      <c r="H554" s="2"/>
      <c r="I554" s="2"/>
      <c r="J554" s="2"/>
      <c r="K554" s="2"/>
      <c r="L554" s="2"/>
      <c r="M554" s="2"/>
      <c r="N554" s="2"/>
      <c r="O554" s="2"/>
      <c r="P554" s="2"/>
      <c r="Q554" s="2"/>
      <c r="R554" s="2"/>
      <c r="S554" s="2"/>
      <c r="T554" s="2"/>
      <c r="U554" s="2"/>
    </row>
    <row r="555">
      <c r="A555" s="2"/>
      <c r="B555" s="2"/>
      <c r="C555" s="2"/>
      <c r="D555" s="2"/>
      <c r="E555" s="2"/>
      <c r="F555" s="2"/>
      <c r="G555" s="2"/>
      <c r="H555" s="2"/>
      <c r="I555" s="2"/>
      <c r="J555" s="2"/>
      <c r="K555" s="2"/>
      <c r="L555" s="2"/>
      <c r="M555" s="2"/>
      <c r="N555" s="2"/>
      <c r="O555" s="2"/>
      <c r="P555" s="2"/>
      <c r="Q555" s="2"/>
      <c r="R555" s="2"/>
      <c r="S555" s="2"/>
      <c r="T555" s="2"/>
      <c r="U555" s="2"/>
    </row>
    <row r="556">
      <c r="A556" s="2"/>
      <c r="B556" s="2"/>
      <c r="C556" s="2"/>
      <c r="D556" s="2"/>
      <c r="E556" s="2"/>
      <c r="F556" s="2"/>
      <c r="G556" s="2"/>
      <c r="H556" s="2"/>
      <c r="I556" s="2"/>
      <c r="J556" s="2"/>
      <c r="K556" s="2"/>
      <c r="L556" s="2"/>
      <c r="M556" s="2"/>
      <c r="N556" s="2"/>
      <c r="O556" s="2"/>
      <c r="P556" s="2"/>
      <c r="Q556" s="2"/>
      <c r="R556" s="2"/>
      <c r="S556" s="2"/>
      <c r="T556" s="2"/>
      <c r="U556" s="2"/>
    </row>
    <row r="557">
      <c r="A557" s="2"/>
      <c r="B557" s="2"/>
      <c r="C557" s="2"/>
      <c r="D557" s="2"/>
      <c r="E557" s="2"/>
      <c r="F557" s="2"/>
      <c r="G557" s="2"/>
      <c r="H557" s="2"/>
      <c r="I557" s="2"/>
      <c r="J557" s="2"/>
      <c r="K557" s="2"/>
      <c r="L557" s="2"/>
      <c r="M557" s="2"/>
      <c r="N557" s="2"/>
      <c r="O557" s="2"/>
      <c r="P557" s="2"/>
      <c r="Q557" s="2"/>
      <c r="R557" s="2"/>
      <c r="S557" s="2"/>
      <c r="T557" s="2"/>
      <c r="U557" s="2"/>
    </row>
    <row r="558">
      <c r="A558" s="2"/>
      <c r="B558" s="2"/>
      <c r="C558" s="2"/>
      <c r="D558" s="2"/>
      <c r="E558" s="2"/>
      <c r="F558" s="2"/>
      <c r="G558" s="2"/>
      <c r="H558" s="2"/>
      <c r="I558" s="2"/>
      <c r="J558" s="2"/>
      <c r="K558" s="2"/>
      <c r="L558" s="2"/>
      <c r="M558" s="2"/>
      <c r="N558" s="2"/>
      <c r="O558" s="2"/>
      <c r="P558" s="2"/>
      <c r="Q558" s="2"/>
      <c r="R558" s="2"/>
      <c r="S558" s="2"/>
      <c r="T558" s="2"/>
      <c r="U558" s="2"/>
    </row>
    <row r="559">
      <c r="A559" s="2"/>
      <c r="B559" s="2"/>
      <c r="C559" s="2"/>
      <c r="D559" s="2"/>
      <c r="E559" s="2"/>
      <c r="F559" s="2"/>
      <c r="G559" s="2"/>
      <c r="H559" s="2"/>
      <c r="I559" s="2"/>
      <c r="J559" s="2"/>
      <c r="K559" s="2"/>
      <c r="L559" s="2"/>
      <c r="M559" s="2"/>
      <c r="N559" s="2"/>
      <c r="O559" s="2"/>
      <c r="P559" s="2"/>
      <c r="Q559" s="2"/>
      <c r="R559" s="2"/>
      <c r="S559" s="2"/>
      <c r="T559" s="2"/>
      <c r="U559" s="2"/>
    </row>
    <row r="560">
      <c r="A560" s="2"/>
      <c r="B560" s="2"/>
      <c r="C560" s="2"/>
      <c r="D560" s="2"/>
      <c r="E560" s="2"/>
      <c r="F560" s="2"/>
      <c r="G560" s="2"/>
      <c r="H560" s="2"/>
      <c r="I560" s="2"/>
      <c r="J560" s="2"/>
      <c r="K560" s="2"/>
      <c r="L560" s="2"/>
      <c r="M560" s="2"/>
      <c r="N560" s="2"/>
      <c r="O560" s="2"/>
      <c r="P560" s="2"/>
      <c r="Q560" s="2"/>
      <c r="R560" s="2"/>
      <c r="S560" s="2"/>
      <c r="T560" s="2"/>
      <c r="U560" s="2"/>
    </row>
    <row r="561">
      <c r="A561" s="2"/>
      <c r="B561" s="2"/>
      <c r="C561" s="2"/>
      <c r="D561" s="2"/>
      <c r="E561" s="2"/>
      <c r="F561" s="2"/>
      <c r="G561" s="2"/>
      <c r="H561" s="2"/>
      <c r="I561" s="2"/>
      <c r="J561" s="2"/>
      <c r="K561" s="2"/>
      <c r="L561" s="2"/>
      <c r="M561" s="2"/>
      <c r="N561" s="2"/>
      <c r="O561" s="2"/>
      <c r="P561" s="2"/>
      <c r="Q561" s="2"/>
      <c r="R561" s="2"/>
      <c r="S561" s="2"/>
      <c r="T561" s="2"/>
      <c r="U561" s="2"/>
    </row>
    <row r="562">
      <c r="A562" s="2"/>
      <c r="B562" s="2"/>
      <c r="C562" s="2"/>
      <c r="D562" s="2"/>
      <c r="E562" s="2"/>
      <c r="F562" s="2"/>
      <c r="G562" s="2"/>
      <c r="H562" s="2"/>
      <c r="I562" s="2"/>
      <c r="J562" s="2"/>
      <c r="K562" s="2"/>
      <c r="L562" s="2"/>
      <c r="M562" s="2"/>
      <c r="N562" s="2"/>
      <c r="O562" s="2"/>
      <c r="P562" s="2"/>
      <c r="Q562" s="2"/>
      <c r="R562" s="2"/>
      <c r="S562" s="2"/>
      <c r="T562" s="2"/>
      <c r="U562" s="2"/>
    </row>
    <row r="563">
      <c r="A563" s="2"/>
      <c r="B563" s="2"/>
      <c r="C563" s="2"/>
      <c r="D563" s="2"/>
      <c r="E563" s="2"/>
      <c r="F563" s="2"/>
      <c r="G563" s="2"/>
      <c r="H563" s="2"/>
      <c r="I563" s="2"/>
      <c r="J563" s="2"/>
      <c r="K563" s="2"/>
      <c r="L563" s="2"/>
      <c r="M563" s="2"/>
      <c r="N563" s="2"/>
      <c r="O563" s="2"/>
      <c r="P563" s="2"/>
      <c r="Q563" s="2"/>
      <c r="R563" s="2"/>
      <c r="S563" s="2"/>
      <c r="T563" s="2"/>
      <c r="U563" s="2"/>
    </row>
    <row r="564">
      <c r="A564" s="2"/>
      <c r="B564" s="2"/>
      <c r="C564" s="2"/>
      <c r="D564" s="2"/>
      <c r="E564" s="2"/>
      <c r="F564" s="2"/>
      <c r="G564" s="2"/>
      <c r="H564" s="2"/>
      <c r="I564" s="2"/>
      <c r="J564" s="2"/>
      <c r="K564" s="2"/>
      <c r="L564" s="2"/>
      <c r="M564" s="2"/>
      <c r="N564" s="2"/>
      <c r="O564" s="2"/>
      <c r="P564" s="2"/>
      <c r="Q564" s="2"/>
      <c r="R564" s="2"/>
      <c r="S564" s="2"/>
      <c r="T564" s="2"/>
      <c r="U564" s="2"/>
    </row>
    <row r="565">
      <c r="A565" s="2"/>
      <c r="B565" s="2"/>
      <c r="C565" s="2"/>
      <c r="D565" s="2"/>
      <c r="E565" s="2"/>
      <c r="F565" s="2"/>
      <c r="G565" s="2"/>
      <c r="H565" s="2"/>
      <c r="I565" s="2"/>
      <c r="J565" s="2"/>
      <c r="K565" s="2"/>
      <c r="L565" s="2"/>
      <c r="M565" s="2"/>
      <c r="N565" s="2"/>
      <c r="O565" s="2"/>
      <c r="P565" s="2"/>
      <c r="Q565" s="2"/>
      <c r="R565" s="2"/>
      <c r="S565" s="2"/>
      <c r="T565" s="2"/>
      <c r="U565" s="2"/>
    </row>
    <row r="566">
      <c r="A566" s="2"/>
      <c r="B566" s="2"/>
      <c r="C566" s="2"/>
      <c r="D566" s="2"/>
      <c r="E566" s="2"/>
      <c r="F566" s="2"/>
      <c r="G566" s="2"/>
      <c r="H566" s="2"/>
      <c r="I566" s="2"/>
      <c r="J566" s="2"/>
      <c r="K566" s="2"/>
      <c r="L566" s="2"/>
      <c r="M566" s="2"/>
      <c r="N566" s="2"/>
      <c r="O566" s="2"/>
      <c r="P566" s="2"/>
      <c r="Q566" s="2"/>
      <c r="R566" s="2"/>
      <c r="S566" s="2"/>
      <c r="T566" s="2"/>
      <c r="U566" s="2"/>
    </row>
    <row r="567">
      <c r="A567" s="2"/>
      <c r="B567" s="2"/>
      <c r="C567" s="2"/>
      <c r="D567" s="2"/>
      <c r="E567" s="2"/>
      <c r="F567" s="2"/>
      <c r="G567" s="2"/>
      <c r="H567" s="2"/>
      <c r="I567" s="2"/>
      <c r="J567" s="2"/>
      <c r="K567" s="2"/>
      <c r="L567" s="2"/>
      <c r="M567" s="2"/>
      <c r="N567" s="2"/>
      <c r="O567" s="2"/>
      <c r="P567" s="2"/>
      <c r="Q567" s="2"/>
      <c r="R567" s="2"/>
      <c r="S567" s="2"/>
      <c r="T567" s="2"/>
      <c r="U567" s="2"/>
    </row>
    <row r="568">
      <c r="A568" s="2"/>
      <c r="B568" s="2"/>
      <c r="C568" s="2"/>
      <c r="D568" s="2"/>
      <c r="E568" s="2"/>
      <c r="F568" s="2"/>
      <c r="G568" s="2"/>
      <c r="H568" s="2"/>
      <c r="I568" s="2"/>
      <c r="J568" s="2"/>
      <c r="K568" s="2"/>
      <c r="L568" s="2"/>
      <c r="M568" s="2"/>
      <c r="N568" s="2"/>
      <c r="O568" s="2"/>
      <c r="P568" s="2"/>
      <c r="Q568" s="2"/>
      <c r="R568" s="2"/>
      <c r="S568" s="2"/>
      <c r="T568" s="2"/>
      <c r="U568" s="2"/>
    </row>
    <row r="569">
      <c r="A569" s="2"/>
      <c r="B569" s="2"/>
      <c r="C569" s="2"/>
      <c r="D569" s="2"/>
      <c r="E569" s="2"/>
      <c r="F569" s="2"/>
      <c r="G569" s="2"/>
      <c r="H569" s="2"/>
      <c r="I569" s="2"/>
      <c r="J569" s="2"/>
      <c r="K569" s="2"/>
      <c r="L569" s="2"/>
      <c r="M569" s="2"/>
      <c r="N569" s="2"/>
      <c r="O569" s="2"/>
      <c r="P569" s="2"/>
      <c r="Q569" s="2"/>
      <c r="R569" s="2"/>
      <c r="S569" s="2"/>
      <c r="T569" s="2"/>
      <c r="U569" s="2"/>
    </row>
    <row r="570">
      <c r="A570" s="2"/>
      <c r="B570" s="2"/>
      <c r="C570" s="2"/>
      <c r="D570" s="2"/>
      <c r="E570" s="2"/>
      <c r="F570" s="2"/>
      <c r="G570" s="2"/>
      <c r="H570" s="2"/>
      <c r="I570" s="2"/>
      <c r="J570" s="2"/>
      <c r="K570" s="2"/>
      <c r="L570" s="2"/>
      <c r="M570" s="2"/>
      <c r="N570" s="2"/>
      <c r="O570" s="2"/>
      <c r="P570" s="2"/>
      <c r="Q570" s="2"/>
      <c r="R570" s="2"/>
      <c r="S570" s="2"/>
      <c r="T570" s="2"/>
      <c r="U570" s="2"/>
    </row>
    <row r="571">
      <c r="A571" s="2"/>
      <c r="B571" s="2"/>
      <c r="C571" s="2"/>
      <c r="D571" s="2"/>
      <c r="E571" s="2"/>
      <c r="F571" s="2"/>
      <c r="G571" s="2"/>
      <c r="H571" s="2"/>
      <c r="I571" s="2"/>
      <c r="J571" s="2"/>
      <c r="K571" s="2"/>
      <c r="L571" s="2"/>
      <c r="M571" s="2"/>
      <c r="N571" s="2"/>
      <c r="O571" s="2"/>
      <c r="P571" s="2"/>
      <c r="Q571" s="2"/>
      <c r="R571" s="2"/>
      <c r="S571" s="2"/>
      <c r="T571" s="2"/>
      <c r="U571" s="2"/>
    </row>
    <row r="572">
      <c r="A572" s="2"/>
      <c r="B572" s="2"/>
      <c r="C572" s="2"/>
      <c r="D572" s="2"/>
      <c r="E572" s="2"/>
      <c r="F572" s="2"/>
      <c r="G572" s="2"/>
      <c r="H572" s="2"/>
      <c r="I572" s="2"/>
      <c r="J572" s="2"/>
      <c r="K572" s="2"/>
      <c r="L572" s="2"/>
      <c r="M572" s="2"/>
      <c r="N572" s="2"/>
      <c r="O572" s="2"/>
      <c r="P572" s="2"/>
      <c r="Q572" s="2"/>
      <c r="R572" s="2"/>
      <c r="S572" s="2"/>
      <c r="T572" s="2"/>
      <c r="U572" s="2"/>
    </row>
    <row r="573">
      <c r="A573" s="2"/>
      <c r="B573" s="2"/>
      <c r="C573" s="2"/>
      <c r="D573" s="2"/>
      <c r="E573" s="2"/>
      <c r="F573" s="2"/>
      <c r="G573" s="2"/>
      <c r="H573" s="2"/>
      <c r="I573" s="2"/>
      <c r="J573" s="2"/>
      <c r="K573" s="2"/>
      <c r="L573" s="2"/>
      <c r="M573" s="2"/>
      <c r="N573" s="2"/>
      <c r="O573" s="2"/>
      <c r="P573" s="2"/>
      <c r="Q573" s="2"/>
      <c r="R573" s="2"/>
      <c r="S573" s="2"/>
      <c r="T573" s="2"/>
      <c r="U573" s="2"/>
    </row>
    <row r="574">
      <c r="A574" s="2"/>
      <c r="B574" s="2"/>
      <c r="C574" s="2"/>
      <c r="D574" s="2"/>
      <c r="E574" s="2"/>
      <c r="F574" s="2"/>
      <c r="G574" s="2"/>
      <c r="H574" s="2"/>
      <c r="I574" s="2"/>
      <c r="J574" s="2"/>
      <c r="K574" s="2"/>
      <c r="L574" s="2"/>
      <c r="M574" s="2"/>
      <c r="N574" s="2"/>
      <c r="O574" s="2"/>
      <c r="P574" s="2"/>
      <c r="Q574" s="2"/>
      <c r="R574" s="2"/>
      <c r="S574" s="2"/>
      <c r="T574" s="2"/>
      <c r="U574" s="2"/>
    </row>
    <row r="575">
      <c r="A575" s="2"/>
      <c r="B575" s="2"/>
      <c r="C575" s="2"/>
      <c r="D575" s="2"/>
      <c r="E575" s="2"/>
      <c r="F575" s="2"/>
      <c r="G575" s="2"/>
      <c r="H575" s="2"/>
      <c r="I575" s="2"/>
      <c r="J575" s="2"/>
      <c r="K575" s="2"/>
      <c r="L575" s="2"/>
      <c r="M575" s="2"/>
      <c r="N575" s="2"/>
      <c r="O575" s="2"/>
      <c r="P575" s="2"/>
      <c r="Q575" s="2"/>
      <c r="R575" s="2"/>
      <c r="S575" s="2"/>
      <c r="T575" s="2"/>
      <c r="U575" s="2"/>
    </row>
    <row r="576">
      <c r="A576" s="2"/>
      <c r="B576" s="2"/>
      <c r="C576" s="2"/>
      <c r="D576" s="2"/>
      <c r="E576" s="2"/>
      <c r="F576" s="2"/>
      <c r="G576" s="2"/>
      <c r="H576" s="2"/>
      <c r="I576" s="2"/>
      <c r="J576" s="2"/>
      <c r="K576" s="2"/>
      <c r="L576" s="2"/>
      <c r="M576" s="2"/>
      <c r="N576" s="2"/>
      <c r="O576" s="2"/>
      <c r="P576" s="2"/>
      <c r="Q576" s="2"/>
      <c r="R576" s="2"/>
      <c r="S576" s="2"/>
      <c r="T576" s="2"/>
      <c r="U576" s="2"/>
    </row>
    <row r="577">
      <c r="A577" s="2"/>
      <c r="B577" s="2"/>
      <c r="C577" s="2"/>
      <c r="D577" s="2"/>
      <c r="E577" s="2"/>
      <c r="F577" s="2"/>
      <c r="G577" s="2"/>
      <c r="H577" s="2"/>
      <c r="I577" s="2"/>
      <c r="J577" s="2"/>
      <c r="K577" s="2"/>
      <c r="L577" s="2"/>
      <c r="M577" s="2"/>
      <c r="N577" s="2"/>
      <c r="O577" s="2"/>
      <c r="P577" s="2"/>
      <c r="Q577" s="2"/>
      <c r="R577" s="2"/>
      <c r="S577" s="2"/>
      <c r="T577" s="2"/>
      <c r="U577" s="2"/>
    </row>
    <row r="578">
      <c r="A578" s="2"/>
      <c r="B578" s="2"/>
      <c r="C578" s="2"/>
      <c r="D578" s="2"/>
      <c r="E578" s="2"/>
      <c r="F578" s="2"/>
      <c r="G578" s="2"/>
      <c r="H578" s="2"/>
      <c r="I578" s="2"/>
      <c r="J578" s="2"/>
      <c r="K578" s="2"/>
      <c r="L578" s="2"/>
      <c r="M578" s="2"/>
      <c r="N578" s="2"/>
      <c r="O578" s="2"/>
      <c r="P578" s="2"/>
      <c r="Q578" s="2"/>
      <c r="R578" s="2"/>
      <c r="S578" s="2"/>
      <c r="T578" s="2"/>
      <c r="U578" s="2"/>
    </row>
    <row r="579">
      <c r="A579" s="2"/>
      <c r="B579" s="2"/>
      <c r="C579" s="2"/>
      <c r="D579" s="2"/>
      <c r="E579" s="2"/>
      <c r="F579" s="2"/>
      <c r="G579" s="2"/>
      <c r="H579" s="2"/>
      <c r="I579" s="2"/>
      <c r="J579" s="2"/>
      <c r="K579" s="2"/>
      <c r="L579" s="2"/>
      <c r="M579" s="2"/>
      <c r="N579" s="2"/>
      <c r="O579" s="2"/>
      <c r="P579" s="2"/>
      <c r="Q579" s="2"/>
      <c r="R579" s="2"/>
      <c r="S579" s="2"/>
      <c r="T579" s="2"/>
      <c r="U579" s="2"/>
    </row>
    <row r="580">
      <c r="A580" s="2"/>
      <c r="B580" s="2"/>
      <c r="C580" s="2"/>
      <c r="D580" s="2"/>
      <c r="E580" s="2"/>
      <c r="F580" s="2"/>
      <c r="G580" s="2"/>
      <c r="H580" s="2"/>
      <c r="I580" s="2"/>
      <c r="J580" s="2"/>
      <c r="K580" s="2"/>
      <c r="L580" s="2"/>
      <c r="M580" s="2"/>
      <c r="N580" s="2"/>
      <c r="O580" s="2"/>
      <c r="P580" s="2"/>
      <c r="Q580" s="2"/>
      <c r="R580" s="2"/>
      <c r="S580" s="2"/>
      <c r="T580" s="2"/>
      <c r="U580" s="2"/>
    </row>
    <row r="581">
      <c r="A581" s="2"/>
      <c r="B581" s="2"/>
      <c r="C581" s="2"/>
      <c r="D581" s="2"/>
      <c r="E581" s="2"/>
      <c r="F581" s="2"/>
      <c r="G581" s="2"/>
      <c r="H581" s="2"/>
      <c r="I581" s="2"/>
      <c r="J581" s="2"/>
      <c r="K581" s="2"/>
      <c r="L581" s="2"/>
      <c r="M581" s="2"/>
      <c r="N581" s="2"/>
      <c r="O581" s="2"/>
      <c r="P581" s="2"/>
      <c r="Q581" s="2"/>
      <c r="R581" s="2"/>
      <c r="S581" s="2"/>
      <c r="T581" s="2"/>
      <c r="U581" s="2"/>
    </row>
    <row r="582">
      <c r="A582" s="2"/>
      <c r="B582" s="2"/>
      <c r="C582" s="2"/>
      <c r="D582" s="2"/>
      <c r="E582" s="2"/>
      <c r="F582" s="2"/>
      <c r="G582" s="2"/>
      <c r="H582" s="2"/>
      <c r="I582" s="2"/>
      <c r="J582" s="2"/>
      <c r="K582" s="2"/>
      <c r="L582" s="2"/>
      <c r="M582" s="2"/>
      <c r="N582" s="2"/>
      <c r="O582" s="2"/>
      <c r="P582" s="2"/>
      <c r="Q582" s="2"/>
      <c r="R582" s="2"/>
      <c r="S582" s="2"/>
      <c r="T582" s="2"/>
      <c r="U582" s="2"/>
    </row>
    <row r="583">
      <c r="A583" s="2"/>
      <c r="B583" s="2"/>
      <c r="C583" s="2"/>
      <c r="D583" s="2"/>
      <c r="E583" s="2"/>
      <c r="F583" s="2"/>
      <c r="G583" s="2"/>
      <c r="H583" s="2"/>
      <c r="I583" s="2"/>
      <c r="J583" s="2"/>
      <c r="K583" s="2"/>
      <c r="L583" s="2"/>
      <c r="M583" s="2"/>
      <c r="N583" s="2"/>
      <c r="O583" s="2"/>
      <c r="P583" s="2"/>
      <c r="Q583" s="2"/>
      <c r="R583" s="2"/>
      <c r="S583" s="2"/>
      <c r="T583" s="2"/>
      <c r="U583" s="2"/>
    </row>
    <row r="584">
      <c r="A584" s="2"/>
      <c r="B584" s="2"/>
      <c r="C584" s="2"/>
      <c r="D584" s="2"/>
      <c r="E584" s="2"/>
      <c r="F584" s="2"/>
      <c r="G584" s="2"/>
      <c r="H584" s="2"/>
      <c r="I584" s="2"/>
      <c r="J584" s="2"/>
      <c r="K584" s="2"/>
      <c r="L584" s="2"/>
      <c r="M584" s="2"/>
      <c r="N584" s="2"/>
      <c r="O584" s="2"/>
      <c r="P584" s="2"/>
      <c r="Q584" s="2"/>
      <c r="R584" s="2"/>
      <c r="S584" s="2"/>
      <c r="T584" s="2"/>
      <c r="U584" s="2"/>
    </row>
    <row r="585">
      <c r="A585" s="2"/>
      <c r="B585" s="2"/>
      <c r="C585" s="2"/>
      <c r="D585" s="2"/>
      <c r="E585" s="2"/>
      <c r="F585" s="2"/>
      <c r="G585" s="2"/>
      <c r="H585" s="2"/>
      <c r="I585" s="2"/>
      <c r="J585" s="2"/>
      <c r="K585" s="2"/>
      <c r="L585" s="2"/>
      <c r="M585" s="2"/>
      <c r="N585" s="2"/>
      <c r="O585" s="2"/>
      <c r="P585" s="2"/>
      <c r="Q585" s="2"/>
      <c r="R585" s="2"/>
      <c r="S585" s="2"/>
      <c r="T585" s="2"/>
      <c r="U585" s="2"/>
    </row>
    <row r="586">
      <c r="A586" s="2"/>
      <c r="B586" s="2"/>
      <c r="C586" s="2"/>
      <c r="D586" s="2"/>
      <c r="E586" s="2"/>
      <c r="F586" s="2"/>
      <c r="G586" s="2"/>
      <c r="H586" s="2"/>
      <c r="I586" s="2"/>
      <c r="J586" s="2"/>
      <c r="K586" s="2"/>
      <c r="L586" s="2"/>
      <c r="M586" s="2"/>
      <c r="N586" s="2"/>
      <c r="O586" s="2"/>
      <c r="P586" s="2"/>
      <c r="Q586" s="2"/>
      <c r="R586" s="2"/>
      <c r="S586" s="2"/>
      <c r="T586" s="2"/>
      <c r="U586" s="2"/>
    </row>
    <row r="587">
      <c r="A587" s="2"/>
      <c r="B587" s="2"/>
      <c r="C587" s="2"/>
      <c r="D587" s="2"/>
      <c r="E587" s="2"/>
      <c r="F587" s="2"/>
      <c r="G587" s="2"/>
      <c r="H587" s="2"/>
      <c r="I587" s="2"/>
      <c r="J587" s="2"/>
      <c r="K587" s="2"/>
      <c r="L587" s="2"/>
      <c r="M587" s="2"/>
      <c r="N587" s="2"/>
      <c r="O587" s="2"/>
      <c r="P587" s="2"/>
      <c r="Q587" s="2"/>
      <c r="R587" s="2"/>
      <c r="S587" s="2"/>
      <c r="T587" s="2"/>
      <c r="U587" s="2"/>
    </row>
    <row r="588">
      <c r="A588" s="2"/>
      <c r="B588" s="2"/>
      <c r="C588" s="2"/>
      <c r="D588" s="2"/>
      <c r="E588" s="2"/>
      <c r="F588" s="2"/>
      <c r="G588" s="2"/>
      <c r="H588" s="2"/>
      <c r="I588" s="2"/>
      <c r="J588" s="2"/>
      <c r="K588" s="2"/>
      <c r="L588" s="2"/>
      <c r="M588" s="2"/>
      <c r="N588" s="2"/>
      <c r="O588" s="2"/>
      <c r="P588" s="2"/>
      <c r="Q588" s="2"/>
      <c r="R588" s="2"/>
      <c r="S588" s="2"/>
      <c r="T588" s="2"/>
      <c r="U588" s="2"/>
    </row>
    <row r="589">
      <c r="A589" s="2"/>
      <c r="B589" s="2"/>
      <c r="C589" s="2"/>
      <c r="D589" s="2"/>
      <c r="E589" s="2"/>
      <c r="F589" s="2"/>
      <c r="G589" s="2"/>
      <c r="H589" s="2"/>
      <c r="I589" s="2"/>
      <c r="J589" s="2"/>
      <c r="K589" s="2"/>
      <c r="L589" s="2"/>
      <c r="M589" s="2"/>
      <c r="N589" s="2"/>
      <c r="O589" s="2"/>
      <c r="P589" s="2"/>
      <c r="Q589" s="2"/>
      <c r="R589" s="2"/>
      <c r="S589" s="2"/>
      <c r="T589" s="2"/>
      <c r="U589" s="2"/>
    </row>
    <row r="590">
      <c r="A590" s="2"/>
      <c r="B590" s="2"/>
      <c r="C590" s="2"/>
      <c r="D590" s="2"/>
      <c r="E590" s="2"/>
      <c r="F590" s="2"/>
      <c r="G590" s="2"/>
      <c r="H590" s="2"/>
      <c r="I590" s="2"/>
      <c r="J590" s="2"/>
      <c r="K590" s="2"/>
      <c r="L590" s="2"/>
      <c r="M590" s="2"/>
      <c r="N590" s="2"/>
      <c r="O590" s="2"/>
      <c r="P590" s="2"/>
      <c r="Q590" s="2"/>
      <c r="R590" s="2"/>
      <c r="S590" s="2"/>
      <c r="T590" s="2"/>
      <c r="U590" s="2"/>
    </row>
    <row r="591">
      <c r="A591" s="2"/>
      <c r="B591" s="2"/>
      <c r="C591" s="2"/>
      <c r="D591" s="2"/>
      <c r="E591" s="2"/>
      <c r="F591" s="2"/>
      <c r="G591" s="2"/>
      <c r="H591" s="2"/>
      <c r="I591" s="2"/>
      <c r="J591" s="2"/>
      <c r="K591" s="2"/>
      <c r="L591" s="2"/>
      <c r="M591" s="2"/>
      <c r="N591" s="2"/>
      <c r="O591" s="2"/>
      <c r="P591" s="2"/>
      <c r="Q591" s="2"/>
      <c r="R591" s="2"/>
      <c r="S591" s="2"/>
      <c r="T591" s="2"/>
      <c r="U591" s="2"/>
    </row>
    <row r="592">
      <c r="A592" s="2"/>
      <c r="B592" s="2"/>
      <c r="C592" s="2"/>
      <c r="D592" s="2"/>
      <c r="E592" s="2"/>
      <c r="F592" s="2"/>
      <c r="G592" s="2"/>
      <c r="H592" s="2"/>
      <c r="I592" s="2"/>
      <c r="J592" s="2"/>
      <c r="K592" s="2"/>
      <c r="L592" s="2"/>
      <c r="M592" s="2"/>
      <c r="N592" s="2"/>
      <c r="O592" s="2"/>
      <c r="P592" s="2"/>
      <c r="Q592" s="2"/>
      <c r="R592" s="2"/>
      <c r="S592" s="2"/>
      <c r="T592" s="2"/>
      <c r="U592" s="2"/>
    </row>
    <row r="593">
      <c r="A593" s="2"/>
      <c r="B593" s="2"/>
      <c r="C593" s="2"/>
      <c r="D593" s="2"/>
      <c r="E593" s="2"/>
      <c r="F593" s="2"/>
      <c r="G593" s="2"/>
      <c r="H593" s="2"/>
      <c r="I593" s="2"/>
      <c r="J593" s="2"/>
      <c r="K593" s="2"/>
      <c r="L593" s="2"/>
      <c r="M593" s="2"/>
      <c r="N593" s="2"/>
      <c r="O593" s="2"/>
      <c r="P593" s="2"/>
      <c r="Q593" s="2"/>
      <c r="R593" s="2"/>
      <c r="S593" s="2"/>
      <c r="T593" s="2"/>
      <c r="U593" s="2"/>
    </row>
    <row r="594">
      <c r="A594" s="2"/>
      <c r="B594" s="2"/>
      <c r="C594" s="2"/>
      <c r="D594" s="2"/>
      <c r="E594" s="2"/>
      <c r="F594" s="2"/>
      <c r="G594" s="2"/>
      <c r="H594" s="2"/>
      <c r="I594" s="2"/>
      <c r="J594" s="2"/>
      <c r="K594" s="2"/>
      <c r="L594" s="2"/>
      <c r="M594" s="2"/>
      <c r="N594" s="2"/>
      <c r="O594" s="2"/>
      <c r="P594" s="2"/>
      <c r="Q594" s="2"/>
      <c r="R594" s="2"/>
      <c r="S594" s="2"/>
      <c r="T594" s="2"/>
      <c r="U594" s="2"/>
    </row>
    <row r="595">
      <c r="A595" s="2"/>
      <c r="B595" s="2"/>
      <c r="C595" s="2"/>
      <c r="D595" s="2"/>
      <c r="E595" s="2"/>
      <c r="F595" s="2"/>
      <c r="G595" s="2"/>
      <c r="H595" s="2"/>
      <c r="I595" s="2"/>
      <c r="J595" s="2"/>
      <c r="K595" s="2"/>
      <c r="L595" s="2"/>
      <c r="M595" s="2"/>
      <c r="N595" s="2"/>
      <c r="O595" s="2"/>
      <c r="P595" s="2"/>
      <c r="Q595" s="2"/>
      <c r="R595" s="2"/>
      <c r="S595" s="2"/>
      <c r="T595" s="2"/>
      <c r="U595" s="2"/>
    </row>
    <row r="596">
      <c r="A596" s="2"/>
      <c r="B596" s="2"/>
      <c r="C596" s="2"/>
      <c r="D596" s="2"/>
      <c r="E596" s="2"/>
      <c r="F596" s="2"/>
      <c r="G596" s="2"/>
      <c r="H596" s="2"/>
      <c r="I596" s="2"/>
      <c r="J596" s="2"/>
      <c r="K596" s="2"/>
      <c r="L596" s="2"/>
      <c r="M596" s="2"/>
      <c r="N596" s="2"/>
      <c r="O596" s="2"/>
      <c r="P596" s="2"/>
      <c r="Q596" s="2"/>
      <c r="R596" s="2"/>
      <c r="S596" s="2"/>
      <c r="T596" s="2"/>
      <c r="U596" s="2"/>
    </row>
    <row r="597">
      <c r="A597" s="2"/>
      <c r="B597" s="2"/>
      <c r="C597" s="2"/>
      <c r="D597" s="2"/>
      <c r="E597" s="2"/>
      <c r="F597" s="2"/>
      <c r="G597" s="2"/>
      <c r="H597" s="2"/>
      <c r="I597" s="2"/>
      <c r="J597" s="2"/>
      <c r="K597" s="2"/>
      <c r="L597" s="2"/>
      <c r="M597" s="2"/>
      <c r="N597" s="2"/>
      <c r="O597" s="2"/>
      <c r="P597" s="2"/>
      <c r="Q597" s="2"/>
      <c r="R597" s="2"/>
      <c r="S597" s="2"/>
      <c r="T597" s="2"/>
      <c r="U597" s="2"/>
    </row>
    <row r="598">
      <c r="A598" s="2"/>
      <c r="B598" s="2"/>
      <c r="C598" s="2"/>
      <c r="D598" s="2"/>
      <c r="E598" s="2"/>
      <c r="F598" s="2"/>
      <c r="G598" s="2"/>
      <c r="H598" s="2"/>
      <c r="I598" s="2"/>
      <c r="J598" s="2"/>
      <c r="K598" s="2"/>
      <c r="L598" s="2"/>
      <c r="M598" s="2"/>
      <c r="N598" s="2"/>
      <c r="O598" s="2"/>
      <c r="P598" s="2"/>
      <c r="Q598" s="2"/>
      <c r="R598" s="2"/>
      <c r="S598" s="2"/>
      <c r="T598" s="2"/>
      <c r="U598" s="2"/>
    </row>
    <row r="599">
      <c r="A599" s="2"/>
      <c r="B599" s="2"/>
      <c r="C599" s="2"/>
      <c r="D599" s="2"/>
      <c r="E599" s="2"/>
      <c r="F599" s="2"/>
      <c r="G599" s="2"/>
      <c r="H599" s="2"/>
      <c r="I599" s="2"/>
      <c r="J599" s="2"/>
      <c r="K599" s="2"/>
      <c r="L599" s="2"/>
      <c r="M599" s="2"/>
      <c r="N599" s="2"/>
      <c r="O599" s="2"/>
      <c r="P599" s="2"/>
      <c r="Q599" s="2"/>
      <c r="R599" s="2"/>
      <c r="S599" s="2"/>
      <c r="T599" s="2"/>
      <c r="U599" s="2"/>
    </row>
    <row r="600">
      <c r="A600" s="2"/>
      <c r="B600" s="2"/>
      <c r="C600" s="2"/>
      <c r="D600" s="2"/>
      <c r="E600" s="2"/>
      <c r="F600" s="2"/>
      <c r="G600" s="2"/>
      <c r="H600" s="2"/>
      <c r="I600" s="2"/>
      <c r="J600" s="2"/>
      <c r="K600" s="2"/>
      <c r="L600" s="2"/>
      <c r="M600" s="2"/>
      <c r="N600" s="2"/>
      <c r="O600" s="2"/>
      <c r="P600" s="2"/>
      <c r="Q600" s="2"/>
      <c r="R600" s="2"/>
      <c r="S600" s="2"/>
      <c r="T600" s="2"/>
      <c r="U600" s="2"/>
    </row>
    <row r="601">
      <c r="A601" s="2"/>
      <c r="B601" s="2"/>
      <c r="C601" s="2"/>
      <c r="D601" s="2"/>
      <c r="E601" s="2"/>
      <c r="F601" s="2"/>
      <c r="G601" s="2"/>
      <c r="H601" s="2"/>
      <c r="I601" s="2"/>
      <c r="J601" s="2"/>
      <c r="K601" s="2"/>
      <c r="L601" s="2"/>
      <c r="M601" s="2"/>
      <c r="N601" s="2"/>
      <c r="O601" s="2"/>
      <c r="P601" s="2"/>
      <c r="Q601" s="2"/>
      <c r="R601" s="2"/>
      <c r="S601" s="2"/>
      <c r="T601" s="2"/>
      <c r="U601" s="2"/>
    </row>
    <row r="602">
      <c r="A602" s="2"/>
      <c r="B602" s="2"/>
      <c r="C602" s="2"/>
      <c r="D602" s="2"/>
      <c r="E602" s="2"/>
      <c r="F602" s="2"/>
      <c r="G602" s="2"/>
      <c r="H602" s="2"/>
      <c r="I602" s="2"/>
      <c r="J602" s="2"/>
      <c r="K602" s="2"/>
      <c r="L602" s="2"/>
      <c r="M602" s="2"/>
      <c r="N602" s="2"/>
      <c r="O602" s="2"/>
      <c r="P602" s="2"/>
      <c r="Q602" s="2"/>
      <c r="R602" s="2"/>
      <c r="S602" s="2"/>
      <c r="T602" s="2"/>
      <c r="U602" s="2"/>
    </row>
    <row r="603">
      <c r="A603" s="2"/>
      <c r="B603" s="2"/>
      <c r="C603" s="2"/>
      <c r="D603" s="2"/>
      <c r="E603" s="2"/>
      <c r="F603" s="2"/>
      <c r="G603" s="2"/>
      <c r="H603" s="2"/>
      <c r="I603" s="2"/>
      <c r="J603" s="2"/>
      <c r="K603" s="2"/>
      <c r="L603" s="2"/>
      <c r="M603" s="2"/>
      <c r="N603" s="2"/>
      <c r="O603" s="2"/>
      <c r="P603" s="2"/>
      <c r="Q603" s="2"/>
      <c r="R603" s="2"/>
      <c r="S603" s="2"/>
      <c r="T603" s="2"/>
      <c r="U603" s="2"/>
    </row>
    <row r="604">
      <c r="A604" s="2"/>
      <c r="B604" s="2"/>
      <c r="C604" s="2"/>
      <c r="D604" s="2"/>
      <c r="E604" s="2"/>
      <c r="F604" s="2"/>
      <c r="G604" s="2"/>
      <c r="H604" s="2"/>
      <c r="I604" s="2"/>
      <c r="J604" s="2"/>
      <c r="K604" s="2"/>
      <c r="L604" s="2"/>
      <c r="M604" s="2"/>
      <c r="N604" s="2"/>
      <c r="O604" s="2"/>
      <c r="P604" s="2"/>
      <c r="Q604" s="2"/>
      <c r="R604" s="2"/>
      <c r="S604" s="2"/>
      <c r="T604" s="2"/>
      <c r="U604" s="2"/>
    </row>
    <row r="605">
      <c r="A605" s="2"/>
      <c r="B605" s="2"/>
      <c r="C605" s="2"/>
      <c r="D605" s="2"/>
      <c r="E605" s="2"/>
      <c r="F605" s="2"/>
      <c r="G605" s="2"/>
      <c r="H605" s="2"/>
      <c r="I605" s="2"/>
      <c r="J605" s="2"/>
      <c r="K605" s="2"/>
      <c r="L605" s="2"/>
      <c r="M605" s="2"/>
      <c r="N605" s="2"/>
      <c r="O605" s="2"/>
      <c r="P605" s="2"/>
      <c r="Q605" s="2"/>
      <c r="R605" s="2"/>
      <c r="S605" s="2"/>
      <c r="T605" s="2"/>
      <c r="U605" s="2"/>
    </row>
    <row r="606">
      <c r="A606" s="2"/>
      <c r="B606" s="2"/>
      <c r="C606" s="2"/>
      <c r="D606" s="2"/>
      <c r="E606" s="2"/>
      <c r="F606" s="2"/>
      <c r="G606" s="2"/>
      <c r="H606" s="2"/>
      <c r="I606" s="2"/>
      <c r="J606" s="2"/>
      <c r="K606" s="2"/>
      <c r="L606" s="2"/>
      <c r="M606" s="2"/>
      <c r="N606" s="2"/>
      <c r="O606" s="2"/>
      <c r="P606" s="2"/>
      <c r="Q606" s="2"/>
      <c r="R606" s="2"/>
      <c r="S606" s="2"/>
      <c r="T606" s="2"/>
      <c r="U606" s="2"/>
    </row>
    <row r="607">
      <c r="A607" s="2"/>
      <c r="B607" s="2"/>
      <c r="C607" s="2"/>
      <c r="D607" s="2"/>
      <c r="E607" s="2"/>
      <c r="F607" s="2"/>
      <c r="G607" s="2"/>
      <c r="H607" s="2"/>
      <c r="I607" s="2"/>
      <c r="J607" s="2"/>
      <c r="K607" s="2"/>
      <c r="L607" s="2"/>
      <c r="M607" s="2"/>
      <c r="N607" s="2"/>
      <c r="O607" s="2"/>
      <c r="P607" s="2"/>
      <c r="Q607" s="2"/>
      <c r="R607" s="2"/>
      <c r="S607" s="2"/>
      <c r="T607" s="2"/>
      <c r="U607" s="2"/>
    </row>
    <row r="608">
      <c r="A608" s="2"/>
      <c r="B608" s="2"/>
      <c r="C608" s="2"/>
      <c r="D608" s="2"/>
      <c r="E608" s="2"/>
      <c r="F608" s="2"/>
      <c r="G608" s="2"/>
      <c r="H608" s="2"/>
      <c r="I608" s="2"/>
      <c r="J608" s="2"/>
      <c r="K608" s="2"/>
      <c r="L608" s="2"/>
      <c r="M608" s="2"/>
      <c r="N608" s="2"/>
      <c r="O608" s="2"/>
      <c r="P608" s="2"/>
      <c r="Q608" s="2"/>
      <c r="R608" s="2"/>
      <c r="S608" s="2"/>
      <c r="T608" s="2"/>
      <c r="U608" s="2"/>
    </row>
    <row r="609">
      <c r="A609" s="2"/>
      <c r="B609" s="2"/>
      <c r="C609" s="2"/>
      <c r="D609" s="2"/>
      <c r="E609" s="2"/>
      <c r="F609" s="2"/>
      <c r="G609" s="2"/>
      <c r="H609" s="2"/>
      <c r="I609" s="2"/>
      <c r="J609" s="2"/>
      <c r="K609" s="2"/>
      <c r="L609" s="2"/>
      <c r="M609" s="2"/>
      <c r="N609" s="2"/>
      <c r="O609" s="2"/>
      <c r="P609" s="2"/>
      <c r="Q609" s="2"/>
      <c r="R609" s="2"/>
      <c r="S609" s="2"/>
      <c r="T609" s="2"/>
      <c r="U609" s="2"/>
    </row>
    <row r="610">
      <c r="A610" s="2"/>
      <c r="B610" s="2"/>
      <c r="C610" s="2"/>
      <c r="D610" s="2"/>
      <c r="E610" s="2"/>
      <c r="F610" s="2"/>
      <c r="G610" s="2"/>
      <c r="H610" s="2"/>
      <c r="I610" s="2"/>
      <c r="J610" s="2"/>
      <c r="K610" s="2"/>
      <c r="L610" s="2"/>
      <c r="M610" s="2"/>
      <c r="N610" s="2"/>
      <c r="O610" s="2"/>
      <c r="P610" s="2"/>
      <c r="Q610" s="2"/>
      <c r="R610" s="2"/>
      <c r="S610" s="2"/>
      <c r="T610" s="2"/>
      <c r="U610" s="2"/>
    </row>
    <row r="611">
      <c r="A611" s="2"/>
      <c r="B611" s="2"/>
      <c r="C611" s="2"/>
      <c r="D611" s="2"/>
      <c r="E611" s="2"/>
      <c r="F611" s="2"/>
      <c r="G611" s="2"/>
      <c r="H611" s="2"/>
      <c r="I611" s="2"/>
      <c r="J611" s="2"/>
      <c r="K611" s="2"/>
      <c r="L611" s="2"/>
      <c r="M611" s="2"/>
      <c r="N611" s="2"/>
      <c r="O611" s="2"/>
      <c r="P611" s="2"/>
      <c r="Q611" s="2"/>
      <c r="R611" s="2"/>
      <c r="S611" s="2"/>
      <c r="T611" s="2"/>
      <c r="U611" s="2"/>
    </row>
    <row r="612">
      <c r="A612" s="2"/>
      <c r="B612" s="2"/>
      <c r="C612" s="2"/>
      <c r="D612" s="2"/>
      <c r="E612" s="2"/>
      <c r="F612" s="2"/>
      <c r="G612" s="2"/>
      <c r="H612" s="2"/>
      <c r="I612" s="2"/>
      <c r="J612" s="2"/>
      <c r="K612" s="2"/>
      <c r="L612" s="2"/>
      <c r="M612" s="2"/>
      <c r="N612" s="2"/>
      <c r="O612" s="2"/>
      <c r="P612" s="2"/>
      <c r="Q612" s="2"/>
      <c r="R612" s="2"/>
      <c r="S612" s="2"/>
      <c r="T612" s="2"/>
      <c r="U612" s="2"/>
    </row>
    <row r="613">
      <c r="A613" s="2"/>
      <c r="B613" s="2"/>
      <c r="C613" s="2"/>
      <c r="D613" s="2"/>
      <c r="E613" s="2"/>
      <c r="F613" s="2"/>
      <c r="G613" s="2"/>
      <c r="H613" s="2"/>
      <c r="I613" s="2"/>
      <c r="J613" s="2"/>
      <c r="K613" s="2"/>
      <c r="L613" s="2"/>
      <c r="M613" s="2"/>
      <c r="N613" s="2"/>
      <c r="O613" s="2"/>
      <c r="P613" s="2"/>
      <c r="Q613" s="2"/>
      <c r="R613" s="2"/>
      <c r="S613" s="2"/>
      <c r="T613" s="2"/>
      <c r="U613" s="2"/>
    </row>
    <row r="614">
      <c r="A614" s="2"/>
      <c r="B614" s="2"/>
      <c r="C614" s="2"/>
      <c r="D614" s="2"/>
      <c r="E614" s="2"/>
      <c r="F614" s="2"/>
      <c r="G614" s="2"/>
      <c r="H614" s="2"/>
      <c r="I614" s="2"/>
      <c r="J614" s="2"/>
      <c r="K614" s="2"/>
      <c r="L614" s="2"/>
      <c r="M614" s="2"/>
      <c r="N614" s="2"/>
      <c r="O614" s="2"/>
      <c r="P614" s="2"/>
      <c r="Q614" s="2"/>
      <c r="R614" s="2"/>
      <c r="S614" s="2"/>
      <c r="T614" s="2"/>
      <c r="U614" s="2"/>
    </row>
    <row r="615">
      <c r="A615" s="2"/>
      <c r="B615" s="2"/>
      <c r="C615" s="2"/>
      <c r="D615" s="2"/>
      <c r="E615" s="2"/>
      <c r="F615" s="2"/>
      <c r="G615" s="2"/>
      <c r="H615" s="2"/>
      <c r="I615" s="2"/>
      <c r="J615" s="2"/>
      <c r="K615" s="2"/>
      <c r="L615" s="2"/>
      <c r="M615" s="2"/>
      <c r="N615" s="2"/>
      <c r="O615" s="2"/>
      <c r="P615" s="2"/>
      <c r="Q615" s="2"/>
      <c r="R615" s="2"/>
      <c r="S615" s="2"/>
      <c r="T615" s="2"/>
      <c r="U615" s="2"/>
    </row>
    <row r="616">
      <c r="A616" s="2"/>
      <c r="B616" s="2"/>
      <c r="C616" s="2"/>
      <c r="D616" s="2"/>
      <c r="E616" s="2"/>
      <c r="F616" s="2"/>
      <c r="G616" s="2"/>
      <c r="H616" s="2"/>
      <c r="I616" s="2"/>
      <c r="J616" s="2"/>
      <c r="K616" s="2"/>
      <c r="L616" s="2"/>
      <c r="M616" s="2"/>
      <c r="N616" s="2"/>
      <c r="O616" s="2"/>
      <c r="P616" s="2"/>
      <c r="Q616" s="2"/>
      <c r="R616" s="2"/>
      <c r="S616" s="2"/>
      <c r="T616" s="2"/>
      <c r="U616" s="2"/>
    </row>
    <row r="617">
      <c r="A617" s="2"/>
      <c r="B617" s="2"/>
      <c r="C617" s="2"/>
      <c r="D617" s="2"/>
      <c r="E617" s="2"/>
      <c r="F617" s="2"/>
      <c r="G617" s="2"/>
      <c r="H617" s="2"/>
      <c r="I617" s="2"/>
      <c r="J617" s="2"/>
      <c r="K617" s="2"/>
      <c r="L617" s="2"/>
      <c r="M617" s="2"/>
      <c r="N617" s="2"/>
      <c r="O617" s="2"/>
      <c r="P617" s="2"/>
      <c r="Q617" s="2"/>
      <c r="R617" s="2"/>
      <c r="S617" s="2"/>
      <c r="T617" s="2"/>
      <c r="U617" s="2"/>
    </row>
    <row r="618">
      <c r="A618" s="2"/>
      <c r="B618" s="2"/>
      <c r="C618" s="2"/>
      <c r="D618" s="2"/>
      <c r="E618" s="2"/>
      <c r="F618" s="2"/>
      <c r="G618" s="2"/>
      <c r="H618" s="2"/>
      <c r="I618" s="2"/>
      <c r="J618" s="2"/>
      <c r="K618" s="2"/>
      <c r="L618" s="2"/>
      <c r="M618" s="2"/>
      <c r="N618" s="2"/>
      <c r="O618" s="2"/>
      <c r="P618" s="2"/>
      <c r="Q618" s="2"/>
      <c r="R618" s="2"/>
      <c r="S618" s="2"/>
      <c r="T618" s="2"/>
      <c r="U618" s="2"/>
    </row>
    <row r="619">
      <c r="A619" s="2"/>
      <c r="B619" s="2"/>
      <c r="C619" s="2"/>
      <c r="D619" s="2"/>
      <c r="E619" s="2"/>
      <c r="F619" s="2"/>
      <c r="G619" s="2"/>
      <c r="H619" s="2"/>
      <c r="I619" s="2"/>
      <c r="J619" s="2"/>
      <c r="K619" s="2"/>
      <c r="L619" s="2"/>
      <c r="M619" s="2"/>
      <c r="N619" s="2"/>
      <c r="O619" s="2"/>
      <c r="P619" s="2"/>
      <c r="Q619" s="2"/>
      <c r="R619" s="2"/>
      <c r="S619" s="2"/>
      <c r="T619" s="2"/>
      <c r="U619" s="2"/>
    </row>
    <row r="620">
      <c r="A620" s="2"/>
      <c r="B620" s="2"/>
      <c r="C620" s="2"/>
      <c r="D620" s="2"/>
      <c r="E620" s="2"/>
      <c r="F620" s="2"/>
      <c r="G620" s="2"/>
      <c r="H620" s="2"/>
      <c r="I620" s="2"/>
      <c r="J620" s="2"/>
      <c r="K620" s="2"/>
      <c r="L620" s="2"/>
      <c r="M620" s="2"/>
      <c r="N620" s="2"/>
      <c r="O620" s="2"/>
      <c r="P620" s="2"/>
      <c r="Q620" s="2"/>
      <c r="R620" s="2"/>
      <c r="S620" s="2"/>
      <c r="T620" s="2"/>
      <c r="U620" s="2"/>
    </row>
    <row r="621">
      <c r="A621" s="2"/>
      <c r="B621" s="2"/>
      <c r="C621" s="2"/>
      <c r="D621" s="2"/>
      <c r="E621" s="2"/>
      <c r="F621" s="2"/>
      <c r="G621" s="2"/>
      <c r="H621" s="2"/>
      <c r="I621" s="2"/>
      <c r="J621" s="2"/>
      <c r="K621" s="2"/>
      <c r="L621" s="2"/>
      <c r="M621" s="2"/>
      <c r="N621" s="2"/>
      <c r="O621" s="2"/>
      <c r="P621" s="2"/>
      <c r="Q621" s="2"/>
      <c r="R621" s="2"/>
      <c r="S621" s="2"/>
      <c r="T621" s="2"/>
      <c r="U621" s="2"/>
    </row>
    <row r="622">
      <c r="A622" s="2"/>
      <c r="B622" s="2"/>
      <c r="C622" s="2"/>
      <c r="D622" s="2"/>
      <c r="E622" s="2"/>
      <c r="F622" s="2"/>
      <c r="G622" s="2"/>
      <c r="H622" s="2"/>
      <c r="I622" s="2"/>
      <c r="J622" s="2"/>
      <c r="K622" s="2"/>
      <c r="L622" s="2"/>
      <c r="M622" s="2"/>
      <c r="N622" s="2"/>
      <c r="O622" s="2"/>
      <c r="P622" s="2"/>
      <c r="Q622" s="2"/>
      <c r="R622" s="2"/>
      <c r="S622" s="2"/>
      <c r="T622" s="2"/>
      <c r="U622" s="2"/>
    </row>
    <row r="623">
      <c r="A623" s="2"/>
      <c r="B623" s="2"/>
      <c r="C623" s="2"/>
      <c r="D623" s="2"/>
      <c r="E623" s="2"/>
      <c r="F623" s="2"/>
      <c r="G623" s="2"/>
      <c r="H623" s="2"/>
      <c r="I623" s="2"/>
      <c r="J623" s="2"/>
      <c r="K623" s="2"/>
      <c r="L623" s="2"/>
      <c r="M623" s="2"/>
      <c r="N623" s="2"/>
      <c r="O623" s="2"/>
      <c r="P623" s="2"/>
      <c r="Q623" s="2"/>
      <c r="R623" s="2"/>
      <c r="S623" s="2"/>
      <c r="T623" s="2"/>
      <c r="U623" s="2"/>
    </row>
    <row r="624">
      <c r="A624" s="2"/>
      <c r="B624" s="2"/>
      <c r="C624" s="2"/>
      <c r="D624" s="2"/>
      <c r="E624" s="2"/>
      <c r="F624" s="2"/>
      <c r="G624" s="2"/>
      <c r="H624" s="2"/>
      <c r="I624" s="2"/>
      <c r="J624" s="2"/>
      <c r="K624" s="2"/>
      <c r="L624" s="2"/>
      <c r="M624" s="2"/>
      <c r="N624" s="2"/>
      <c r="O624" s="2"/>
      <c r="P624" s="2"/>
      <c r="Q624" s="2"/>
      <c r="R624" s="2"/>
      <c r="S624" s="2"/>
      <c r="T624" s="2"/>
      <c r="U624" s="2"/>
    </row>
    <row r="625">
      <c r="A625" s="2"/>
      <c r="B625" s="2"/>
      <c r="C625" s="2"/>
      <c r="D625" s="2"/>
      <c r="E625" s="2"/>
      <c r="F625" s="2"/>
      <c r="G625" s="2"/>
      <c r="H625" s="2"/>
      <c r="I625" s="2"/>
      <c r="J625" s="2"/>
      <c r="K625" s="2"/>
      <c r="L625" s="2"/>
      <c r="M625" s="2"/>
      <c r="N625" s="2"/>
      <c r="O625" s="2"/>
      <c r="P625" s="2"/>
      <c r="Q625" s="2"/>
      <c r="R625" s="2"/>
      <c r="S625" s="2"/>
      <c r="T625" s="2"/>
      <c r="U625" s="2"/>
    </row>
    <row r="626">
      <c r="A626" s="2"/>
      <c r="B626" s="2"/>
      <c r="C626" s="2"/>
      <c r="D626" s="2"/>
      <c r="E626" s="2"/>
      <c r="F626" s="2"/>
      <c r="G626" s="2"/>
      <c r="H626" s="2"/>
      <c r="I626" s="2"/>
      <c r="J626" s="2"/>
      <c r="K626" s="2"/>
      <c r="L626" s="2"/>
      <c r="M626" s="2"/>
      <c r="N626" s="2"/>
      <c r="O626" s="2"/>
      <c r="P626" s="2"/>
      <c r="Q626" s="2"/>
      <c r="R626" s="2"/>
      <c r="S626" s="2"/>
      <c r="T626" s="2"/>
      <c r="U626" s="2"/>
    </row>
    <row r="627">
      <c r="A627" s="2"/>
      <c r="B627" s="2"/>
      <c r="C627" s="2"/>
      <c r="D627" s="2"/>
      <c r="E627" s="2"/>
      <c r="F627" s="2"/>
      <c r="G627" s="2"/>
      <c r="H627" s="2"/>
      <c r="I627" s="2"/>
      <c r="J627" s="2"/>
      <c r="K627" s="2"/>
      <c r="L627" s="2"/>
      <c r="M627" s="2"/>
      <c r="N627" s="2"/>
      <c r="O627" s="2"/>
      <c r="P627" s="2"/>
      <c r="Q627" s="2"/>
      <c r="R627" s="2"/>
      <c r="S627" s="2"/>
      <c r="T627" s="2"/>
      <c r="U627" s="2"/>
    </row>
    <row r="628">
      <c r="A628" s="2"/>
      <c r="B628" s="2"/>
      <c r="C628" s="2"/>
      <c r="D628" s="2"/>
      <c r="E628" s="2"/>
      <c r="F628" s="2"/>
      <c r="G628" s="2"/>
      <c r="H628" s="2"/>
      <c r="I628" s="2"/>
      <c r="J628" s="2"/>
      <c r="K628" s="2"/>
      <c r="L628" s="2"/>
      <c r="M628" s="2"/>
      <c r="N628" s="2"/>
      <c r="O628" s="2"/>
      <c r="P628" s="2"/>
      <c r="Q628" s="2"/>
      <c r="R628" s="2"/>
      <c r="S628" s="2"/>
      <c r="T628" s="2"/>
      <c r="U628" s="2"/>
    </row>
    <row r="629">
      <c r="A629" s="2"/>
      <c r="B629" s="2"/>
      <c r="C629" s="2"/>
      <c r="D629" s="2"/>
      <c r="E629" s="2"/>
      <c r="F629" s="2"/>
      <c r="G629" s="2"/>
      <c r="H629" s="2"/>
      <c r="I629" s="2"/>
      <c r="J629" s="2"/>
      <c r="K629" s="2"/>
      <c r="L629" s="2"/>
      <c r="M629" s="2"/>
      <c r="N629" s="2"/>
      <c r="O629" s="2"/>
      <c r="P629" s="2"/>
      <c r="Q629" s="2"/>
      <c r="R629" s="2"/>
      <c r="S629" s="2"/>
      <c r="T629" s="2"/>
      <c r="U629" s="2"/>
    </row>
    <row r="630">
      <c r="A630" s="2"/>
      <c r="B630" s="2"/>
      <c r="C630" s="2"/>
      <c r="D630" s="2"/>
      <c r="E630" s="2"/>
      <c r="F630" s="2"/>
      <c r="G630" s="2"/>
      <c r="H630" s="2"/>
      <c r="I630" s="2"/>
      <c r="J630" s="2"/>
      <c r="K630" s="2"/>
      <c r="L630" s="2"/>
      <c r="M630" s="2"/>
      <c r="N630" s="2"/>
      <c r="O630" s="2"/>
      <c r="P630" s="2"/>
      <c r="Q630" s="2"/>
      <c r="R630" s="2"/>
      <c r="S630" s="2"/>
      <c r="T630" s="2"/>
      <c r="U630" s="2"/>
    </row>
    <row r="631">
      <c r="A631" s="2"/>
      <c r="B631" s="2"/>
      <c r="C631" s="2"/>
      <c r="D631" s="2"/>
      <c r="E631" s="2"/>
      <c r="F631" s="2"/>
      <c r="G631" s="2"/>
      <c r="H631" s="2"/>
      <c r="I631" s="2"/>
      <c r="J631" s="2"/>
      <c r="K631" s="2"/>
      <c r="L631" s="2"/>
      <c r="M631" s="2"/>
      <c r="N631" s="2"/>
      <c r="O631" s="2"/>
      <c r="P631" s="2"/>
      <c r="Q631" s="2"/>
      <c r="R631" s="2"/>
      <c r="S631" s="2"/>
      <c r="T631" s="2"/>
      <c r="U631" s="2"/>
    </row>
    <row r="632">
      <c r="A632" s="2"/>
      <c r="B632" s="2"/>
      <c r="C632" s="2"/>
      <c r="D632" s="2"/>
      <c r="E632" s="2"/>
      <c r="F632" s="2"/>
      <c r="G632" s="2"/>
      <c r="H632" s="2"/>
      <c r="I632" s="2"/>
      <c r="J632" s="2"/>
      <c r="K632" s="2"/>
      <c r="L632" s="2"/>
      <c r="M632" s="2"/>
      <c r="N632" s="2"/>
      <c r="O632" s="2"/>
      <c r="P632" s="2"/>
      <c r="Q632" s="2"/>
      <c r="R632" s="2"/>
      <c r="S632" s="2"/>
      <c r="T632" s="2"/>
      <c r="U632" s="2"/>
    </row>
    <row r="633">
      <c r="A633" s="2"/>
      <c r="B633" s="2"/>
      <c r="C633" s="2"/>
      <c r="D633" s="2"/>
      <c r="E633" s="2"/>
      <c r="F633" s="2"/>
      <c r="G633" s="2"/>
      <c r="H633" s="2"/>
      <c r="I633" s="2"/>
      <c r="J633" s="2"/>
      <c r="K633" s="2"/>
      <c r="L633" s="2"/>
      <c r="M633" s="2"/>
      <c r="N633" s="2"/>
      <c r="O633" s="2"/>
      <c r="P633" s="2"/>
      <c r="Q633" s="2"/>
      <c r="R633" s="2"/>
      <c r="S633" s="2"/>
      <c r="T633" s="2"/>
      <c r="U633" s="2"/>
    </row>
    <row r="634">
      <c r="A634" s="2"/>
      <c r="B634" s="2"/>
      <c r="C634" s="2"/>
      <c r="D634" s="2"/>
      <c r="E634" s="2"/>
      <c r="F634" s="2"/>
      <c r="G634" s="2"/>
      <c r="H634" s="2"/>
      <c r="I634" s="2"/>
      <c r="J634" s="2"/>
      <c r="K634" s="2"/>
      <c r="L634" s="2"/>
      <c r="M634" s="2"/>
      <c r="N634" s="2"/>
      <c r="O634" s="2"/>
      <c r="P634" s="2"/>
      <c r="Q634" s="2"/>
      <c r="R634" s="2"/>
      <c r="S634" s="2"/>
      <c r="T634" s="2"/>
      <c r="U634" s="2"/>
    </row>
    <row r="635">
      <c r="A635" s="2"/>
      <c r="B635" s="2"/>
      <c r="C635" s="2"/>
      <c r="D635" s="2"/>
      <c r="E635" s="2"/>
      <c r="F635" s="2"/>
      <c r="G635" s="2"/>
      <c r="H635" s="2"/>
      <c r="I635" s="2"/>
      <c r="J635" s="2"/>
      <c r="K635" s="2"/>
      <c r="L635" s="2"/>
      <c r="M635" s="2"/>
      <c r="N635" s="2"/>
      <c r="O635" s="2"/>
      <c r="P635" s="2"/>
      <c r="Q635" s="2"/>
      <c r="R635" s="2"/>
      <c r="S635" s="2"/>
      <c r="T635" s="2"/>
      <c r="U635" s="2"/>
    </row>
    <row r="636">
      <c r="A636" s="2"/>
      <c r="B636" s="2"/>
      <c r="C636" s="2"/>
      <c r="D636" s="2"/>
      <c r="E636" s="2"/>
      <c r="F636" s="2"/>
      <c r="G636" s="2"/>
      <c r="H636" s="2"/>
      <c r="I636" s="2"/>
      <c r="J636" s="2"/>
      <c r="K636" s="2"/>
      <c r="L636" s="2"/>
      <c r="M636" s="2"/>
      <c r="N636" s="2"/>
      <c r="O636" s="2"/>
      <c r="P636" s="2"/>
      <c r="Q636" s="2"/>
      <c r="R636" s="2"/>
      <c r="S636" s="2"/>
      <c r="T636" s="2"/>
      <c r="U636" s="2"/>
    </row>
    <row r="637">
      <c r="A637" s="2"/>
      <c r="B637" s="2"/>
      <c r="C637" s="2"/>
      <c r="D637" s="2"/>
      <c r="E637" s="2"/>
      <c r="F637" s="2"/>
      <c r="G637" s="2"/>
      <c r="H637" s="2"/>
      <c r="I637" s="2"/>
      <c r="J637" s="2"/>
      <c r="K637" s="2"/>
      <c r="L637" s="2"/>
      <c r="M637" s="2"/>
      <c r="N637" s="2"/>
      <c r="O637" s="2"/>
      <c r="P637" s="2"/>
      <c r="Q637" s="2"/>
      <c r="R637" s="2"/>
      <c r="S637" s="2"/>
      <c r="T637" s="2"/>
      <c r="U637" s="2"/>
    </row>
    <row r="638">
      <c r="A638" s="2"/>
      <c r="B638" s="2"/>
      <c r="C638" s="2"/>
      <c r="D638" s="2"/>
      <c r="E638" s="2"/>
      <c r="F638" s="2"/>
      <c r="G638" s="2"/>
      <c r="H638" s="2"/>
      <c r="I638" s="2"/>
      <c r="J638" s="2"/>
      <c r="K638" s="2"/>
      <c r="L638" s="2"/>
      <c r="M638" s="2"/>
      <c r="N638" s="2"/>
      <c r="O638" s="2"/>
      <c r="P638" s="2"/>
      <c r="Q638" s="2"/>
      <c r="R638" s="2"/>
      <c r="S638" s="2"/>
      <c r="T638" s="2"/>
      <c r="U638" s="2"/>
    </row>
    <row r="639">
      <c r="A639" s="2"/>
      <c r="B639" s="2"/>
      <c r="C639" s="2"/>
      <c r="D639" s="2"/>
      <c r="E639" s="2"/>
      <c r="F639" s="2"/>
      <c r="G639" s="2"/>
      <c r="H639" s="2"/>
      <c r="I639" s="2"/>
      <c r="J639" s="2"/>
      <c r="K639" s="2"/>
      <c r="L639" s="2"/>
      <c r="M639" s="2"/>
      <c r="N639" s="2"/>
      <c r="O639" s="2"/>
      <c r="P639" s="2"/>
      <c r="Q639" s="2"/>
      <c r="R639" s="2"/>
      <c r="S639" s="2"/>
      <c r="T639" s="2"/>
      <c r="U639" s="2"/>
    </row>
    <row r="640">
      <c r="A640" s="2"/>
      <c r="B640" s="2"/>
      <c r="C640" s="2"/>
      <c r="D640" s="2"/>
      <c r="E640" s="2"/>
      <c r="F640" s="2"/>
      <c r="G640" s="2"/>
      <c r="H640" s="2"/>
      <c r="I640" s="2"/>
      <c r="J640" s="2"/>
      <c r="K640" s="2"/>
      <c r="L640" s="2"/>
      <c r="M640" s="2"/>
      <c r="N640" s="2"/>
      <c r="O640" s="2"/>
      <c r="P640" s="2"/>
      <c r="Q640" s="2"/>
      <c r="R640" s="2"/>
      <c r="S640" s="2"/>
      <c r="T640" s="2"/>
      <c r="U640" s="2"/>
    </row>
    <row r="641">
      <c r="A641" s="2"/>
      <c r="B641" s="2"/>
      <c r="C641" s="2"/>
      <c r="D641" s="2"/>
      <c r="E641" s="2"/>
      <c r="F641" s="2"/>
      <c r="G641" s="2"/>
      <c r="H641" s="2"/>
      <c r="I641" s="2"/>
      <c r="J641" s="2"/>
      <c r="K641" s="2"/>
      <c r="L641" s="2"/>
      <c r="M641" s="2"/>
      <c r="N641" s="2"/>
      <c r="O641" s="2"/>
      <c r="P641" s="2"/>
      <c r="Q641" s="2"/>
      <c r="R641" s="2"/>
      <c r="S641" s="2"/>
      <c r="T641" s="2"/>
      <c r="U641" s="2"/>
    </row>
    <row r="642">
      <c r="A642" s="2"/>
      <c r="B642" s="2"/>
      <c r="C642" s="2"/>
      <c r="D642" s="2"/>
      <c r="E642" s="2"/>
      <c r="F642" s="2"/>
      <c r="G642" s="2"/>
      <c r="H642" s="2"/>
      <c r="I642" s="2"/>
      <c r="J642" s="2"/>
      <c r="K642" s="2"/>
      <c r="L642" s="2"/>
      <c r="M642" s="2"/>
      <c r="N642" s="2"/>
      <c r="O642" s="2"/>
      <c r="P642" s="2"/>
      <c r="Q642" s="2"/>
      <c r="R642" s="2"/>
      <c r="S642" s="2"/>
      <c r="T642" s="2"/>
      <c r="U642" s="2"/>
    </row>
    <row r="643">
      <c r="A643" s="2"/>
      <c r="B643" s="2"/>
      <c r="C643" s="2"/>
      <c r="D643" s="2"/>
      <c r="E643" s="2"/>
      <c r="F643" s="2"/>
      <c r="G643" s="2"/>
      <c r="H643" s="2"/>
      <c r="I643" s="2"/>
      <c r="J643" s="2"/>
      <c r="K643" s="2"/>
      <c r="L643" s="2"/>
      <c r="M643" s="2"/>
      <c r="N643" s="2"/>
      <c r="O643" s="2"/>
      <c r="P643" s="2"/>
      <c r="Q643" s="2"/>
      <c r="R643" s="2"/>
      <c r="S643" s="2"/>
      <c r="T643" s="2"/>
      <c r="U643" s="2"/>
    </row>
    <row r="644">
      <c r="A644" s="2"/>
      <c r="B644" s="2"/>
      <c r="C644" s="2"/>
      <c r="D644" s="2"/>
      <c r="E644" s="2"/>
      <c r="F644" s="2"/>
      <c r="G644" s="2"/>
      <c r="H644" s="2"/>
      <c r="I644" s="2"/>
      <c r="J644" s="2"/>
      <c r="K644" s="2"/>
      <c r="L644" s="2"/>
      <c r="M644" s="2"/>
      <c r="N644" s="2"/>
      <c r="O644" s="2"/>
      <c r="P644" s="2"/>
      <c r="Q644" s="2"/>
      <c r="R644" s="2"/>
      <c r="S644" s="2"/>
      <c r="T644" s="2"/>
      <c r="U644" s="2"/>
    </row>
    <row r="645">
      <c r="A645" s="2"/>
      <c r="B645" s="2"/>
      <c r="C645" s="2"/>
      <c r="D645" s="2"/>
      <c r="E645" s="2"/>
      <c r="F645" s="2"/>
      <c r="G645" s="2"/>
      <c r="H645" s="2"/>
      <c r="I645" s="2"/>
      <c r="J645" s="2"/>
      <c r="K645" s="2"/>
      <c r="L645" s="2"/>
      <c r="M645" s="2"/>
      <c r="N645" s="2"/>
      <c r="O645" s="2"/>
      <c r="P645" s="2"/>
      <c r="Q645" s="2"/>
      <c r="R645" s="2"/>
      <c r="S645" s="2"/>
      <c r="T645" s="2"/>
      <c r="U645" s="2"/>
    </row>
    <row r="646">
      <c r="A646" s="2"/>
      <c r="B646" s="2"/>
      <c r="C646" s="2"/>
      <c r="D646" s="2"/>
      <c r="E646" s="2"/>
      <c r="F646" s="2"/>
      <c r="G646" s="2"/>
      <c r="H646" s="2"/>
      <c r="I646" s="2"/>
      <c r="J646" s="2"/>
      <c r="K646" s="2"/>
      <c r="L646" s="2"/>
      <c r="M646" s="2"/>
      <c r="N646" s="2"/>
      <c r="O646" s="2"/>
      <c r="P646" s="2"/>
      <c r="Q646" s="2"/>
      <c r="R646" s="2"/>
      <c r="S646" s="2"/>
      <c r="T646" s="2"/>
      <c r="U646" s="2"/>
    </row>
    <row r="647">
      <c r="A647" s="2"/>
      <c r="B647" s="2"/>
      <c r="C647" s="2"/>
      <c r="D647" s="2"/>
      <c r="E647" s="2"/>
      <c r="F647" s="2"/>
      <c r="G647" s="2"/>
      <c r="H647" s="2"/>
      <c r="I647" s="2"/>
      <c r="J647" s="2"/>
      <c r="K647" s="2"/>
      <c r="L647" s="2"/>
      <c r="M647" s="2"/>
      <c r="N647" s="2"/>
      <c r="O647" s="2"/>
      <c r="P647" s="2"/>
      <c r="Q647" s="2"/>
      <c r="R647" s="2"/>
      <c r="S647" s="2"/>
      <c r="T647" s="2"/>
      <c r="U647" s="2"/>
    </row>
    <row r="648">
      <c r="A648" s="2"/>
      <c r="B648" s="2"/>
      <c r="C648" s="2"/>
      <c r="D648" s="2"/>
      <c r="E648" s="2"/>
      <c r="F648" s="2"/>
      <c r="G648" s="2"/>
      <c r="H648" s="2"/>
      <c r="I648" s="2"/>
      <c r="J648" s="2"/>
      <c r="K648" s="2"/>
      <c r="L648" s="2"/>
      <c r="M648" s="2"/>
      <c r="N648" s="2"/>
      <c r="O648" s="2"/>
      <c r="P648" s="2"/>
      <c r="Q648" s="2"/>
      <c r="R648" s="2"/>
      <c r="S648" s="2"/>
      <c r="T648" s="2"/>
      <c r="U648" s="2"/>
    </row>
    <row r="649">
      <c r="A649" s="2"/>
      <c r="B649" s="2"/>
      <c r="C649" s="2"/>
      <c r="D649" s="2"/>
      <c r="E649" s="2"/>
      <c r="F649" s="2"/>
      <c r="G649" s="2"/>
      <c r="H649" s="2"/>
      <c r="I649" s="2"/>
      <c r="J649" s="2"/>
      <c r="K649" s="2"/>
      <c r="L649" s="2"/>
      <c r="M649" s="2"/>
      <c r="N649" s="2"/>
      <c r="O649" s="2"/>
      <c r="P649" s="2"/>
      <c r="Q649" s="2"/>
      <c r="R649" s="2"/>
      <c r="S649" s="2"/>
      <c r="T649" s="2"/>
      <c r="U649" s="2"/>
    </row>
    <row r="650">
      <c r="A650" s="2"/>
      <c r="B650" s="2"/>
      <c r="C650" s="2"/>
      <c r="D650" s="2"/>
      <c r="E650" s="2"/>
      <c r="F650" s="2"/>
      <c r="G650" s="2"/>
      <c r="H650" s="2"/>
      <c r="I650" s="2"/>
      <c r="J650" s="2"/>
      <c r="K650" s="2"/>
      <c r="L650" s="2"/>
      <c r="M650" s="2"/>
      <c r="N650" s="2"/>
      <c r="O650" s="2"/>
      <c r="P650" s="2"/>
      <c r="Q650" s="2"/>
      <c r="R650" s="2"/>
      <c r="S650" s="2"/>
      <c r="T650" s="2"/>
      <c r="U650" s="2"/>
    </row>
    <row r="651">
      <c r="A651" s="2"/>
      <c r="B651" s="2"/>
      <c r="C651" s="2"/>
      <c r="D651" s="2"/>
      <c r="E651" s="2"/>
      <c r="F651" s="2"/>
      <c r="G651" s="2"/>
      <c r="H651" s="2"/>
      <c r="I651" s="2"/>
      <c r="J651" s="2"/>
      <c r="K651" s="2"/>
      <c r="L651" s="2"/>
      <c r="M651" s="2"/>
      <c r="N651" s="2"/>
      <c r="O651" s="2"/>
      <c r="P651" s="2"/>
      <c r="Q651" s="2"/>
      <c r="R651" s="2"/>
      <c r="S651" s="2"/>
      <c r="T651" s="2"/>
      <c r="U651" s="2"/>
    </row>
    <row r="652">
      <c r="A652" s="2"/>
      <c r="B652" s="2"/>
      <c r="C652" s="2"/>
      <c r="D652" s="2"/>
      <c r="E652" s="2"/>
      <c r="F652" s="2"/>
      <c r="G652" s="2"/>
      <c r="H652" s="2"/>
      <c r="I652" s="2"/>
      <c r="J652" s="2"/>
      <c r="K652" s="2"/>
      <c r="L652" s="2"/>
      <c r="M652" s="2"/>
      <c r="N652" s="2"/>
      <c r="O652" s="2"/>
      <c r="P652" s="2"/>
      <c r="Q652" s="2"/>
      <c r="R652" s="2"/>
      <c r="S652" s="2"/>
      <c r="T652" s="2"/>
      <c r="U652" s="2"/>
    </row>
    <row r="653">
      <c r="A653" s="2"/>
      <c r="B653" s="2"/>
      <c r="C653" s="2"/>
      <c r="D653" s="2"/>
      <c r="E653" s="2"/>
      <c r="F653" s="2"/>
      <c r="G653" s="2"/>
      <c r="H653" s="2"/>
      <c r="I653" s="2"/>
      <c r="J653" s="2"/>
      <c r="K653" s="2"/>
      <c r="L653" s="2"/>
      <c r="M653" s="2"/>
      <c r="N653" s="2"/>
      <c r="O653" s="2"/>
      <c r="P653" s="2"/>
      <c r="Q653" s="2"/>
      <c r="R653" s="2"/>
      <c r="S653" s="2"/>
      <c r="T653" s="2"/>
      <c r="U653" s="2"/>
    </row>
    <row r="654">
      <c r="A654" s="2"/>
      <c r="B654" s="2"/>
      <c r="C654" s="2"/>
      <c r="D654" s="2"/>
      <c r="E654" s="2"/>
      <c r="F654" s="2"/>
      <c r="G654" s="2"/>
      <c r="H654" s="2"/>
      <c r="I654" s="2"/>
      <c r="J654" s="2"/>
      <c r="K654" s="2"/>
      <c r="L654" s="2"/>
      <c r="M654" s="2"/>
      <c r="N654" s="2"/>
      <c r="O654" s="2"/>
      <c r="P654" s="2"/>
      <c r="Q654" s="2"/>
      <c r="R654" s="2"/>
      <c r="S654" s="2"/>
      <c r="T654" s="2"/>
      <c r="U654" s="2"/>
    </row>
    <row r="655">
      <c r="A655" s="2"/>
      <c r="B655" s="2"/>
      <c r="C655" s="2"/>
      <c r="D655" s="2"/>
      <c r="E655" s="2"/>
      <c r="F655" s="2"/>
      <c r="G655" s="2"/>
      <c r="H655" s="2"/>
      <c r="I655" s="2"/>
      <c r="J655" s="2"/>
      <c r="K655" s="2"/>
      <c r="L655" s="2"/>
      <c r="M655" s="2"/>
      <c r="N655" s="2"/>
      <c r="O655" s="2"/>
      <c r="P655" s="2"/>
      <c r="Q655" s="2"/>
      <c r="R655" s="2"/>
      <c r="S655" s="2"/>
      <c r="T655" s="2"/>
      <c r="U655" s="2"/>
    </row>
    <row r="656">
      <c r="A656" s="2"/>
      <c r="B656" s="2"/>
      <c r="C656" s="2"/>
      <c r="D656" s="2"/>
      <c r="E656" s="2"/>
      <c r="F656" s="2"/>
      <c r="G656" s="2"/>
      <c r="H656" s="2"/>
      <c r="I656" s="2"/>
      <c r="J656" s="2"/>
      <c r="K656" s="2"/>
      <c r="L656" s="2"/>
      <c r="M656" s="2"/>
      <c r="N656" s="2"/>
      <c r="O656" s="2"/>
      <c r="P656" s="2"/>
      <c r="Q656" s="2"/>
      <c r="R656" s="2"/>
      <c r="S656" s="2"/>
      <c r="T656" s="2"/>
      <c r="U656" s="2"/>
    </row>
    <row r="657">
      <c r="A657" s="2"/>
      <c r="B657" s="2"/>
      <c r="C657" s="2"/>
      <c r="D657" s="2"/>
      <c r="E657" s="2"/>
      <c r="F657" s="2"/>
      <c r="G657" s="2"/>
      <c r="H657" s="2"/>
      <c r="I657" s="2"/>
      <c r="J657" s="2"/>
      <c r="K657" s="2"/>
      <c r="L657" s="2"/>
      <c r="M657" s="2"/>
      <c r="N657" s="2"/>
      <c r="O657" s="2"/>
      <c r="P657" s="2"/>
      <c r="Q657" s="2"/>
      <c r="R657" s="2"/>
      <c r="S657" s="2"/>
      <c r="T657" s="2"/>
      <c r="U657" s="2"/>
    </row>
    <row r="658">
      <c r="A658" s="2"/>
      <c r="B658" s="2"/>
      <c r="C658" s="2"/>
      <c r="D658" s="2"/>
      <c r="E658" s="2"/>
      <c r="F658" s="2"/>
      <c r="G658" s="2"/>
      <c r="H658" s="2"/>
      <c r="I658" s="2"/>
      <c r="J658" s="2"/>
      <c r="K658" s="2"/>
      <c r="L658" s="2"/>
      <c r="M658" s="2"/>
      <c r="N658" s="2"/>
      <c r="O658" s="2"/>
      <c r="P658" s="2"/>
      <c r="Q658" s="2"/>
      <c r="R658" s="2"/>
      <c r="S658" s="2"/>
      <c r="T658" s="2"/>
      <c r="U658" s="2"/>
    </row>
    <row r="659">
      <c r="A659" s="2"/>
      <c r="B659" s="2"/>
      <c r="C659" s="2"/>
      <c r="D659" s="2"/>
      <c r="E659" s="2"/>
      <c r="F659" s="2"/>
      <c r="G659" s="2"/>
      <c r="H659" s="2"/>
      <c r="I659" s="2"/>
      <c r="J659" s="2"/>
      <c r="K659" s="2"/>
      <c r="L659" s="2"/>
      <c r="M659" s="2"/>
      <c r="N659" s="2"/>
      <c r="O659" s="2"/>
      <c r="P659" s="2"/>
      <c r="Q659" s="2"/>
      <c r="R659" s="2"/>
      <c r="S659" s="2"/>
      <c r="T659" s="2"/>
      <c r="U659" s="2"/>
    </row>
    <row r="660">
      <c r="A660" s="2"/>
      <c r="B660" s="2"/>
      <c r="C660" s="2"/>
      <c r="D660" s="2"/>
      <c r="E660" s="2"/>
      <c r="F660" s="2"/>
      <c r="G660" s="2"/>
      <c r="H660" s="2"/>
      <c r="I660" s="2"/>
      <c r="J660" s="2"/>
      <c r="K660" s="2"/>
      <c r="L660" s="2"/>
      <c r="M660" s="2"/>
      <c r="N660" s="2"/>
      <c r="O660" s="2"/>
      <c r="P660" s="2"/>
      <c r="Q660" s="2"/>
      <c r="R660" s="2"/>
      <c r="S660" s="2"/>
      <c r="T660" s="2"/>
      <c r="U660" s="2"/>
    </row>
    <row r="661">
      <c r="A661" s="2"/>
      <c r="B661" s="2"/>
      <c r="C661" s="2"/>
      <c r="D661" s="2"/>
      <c r="E661" s="2"/>
      <c r="F661" s="2"/>
      <c r="G661" s="2"/>
      <c r="H661" s="2"/>
      <c r="I661" s="2"/>
      <c r="J661" s="2"/>
      <c r="K661" s="2"/>
      <c r="L661" s="2"/>
      <c r="M661" s="2"/>
      <c r="N661" s="2"/>
      <c r="O661" s="2"/>
      <c r="P661" s="2"/>
      <c r="Q661" s="2"/>
      <c r="R661" s="2"/>
      <c r="S661" s="2"/>
      <c r="T661" s="2"/>
      <c r="U661" s="2"/>
    </row>
    <row r="662">
      <c r="A662" s="2"/>
      <c r="B662" s="2"/>
      <c r="C662" s="2"/>
      <c r="D662" s="2"/>
      <c r="E662" s="2"/>
      <c r="F662" s="2"/>
      <c r="G662" s="2"/>
      <c r="H662" s="2"/>
      <c r="I662" s="2"/>
      <c r="J662" s="2"/>
      <c r="K662" s="2"/>
      <c r="L662" s="2"/>
      <c r="M662" s="2"/>
      <c r="N662" s="2"/>
      <c r="O662" s="2"/>
      <c r="P662" s="2"/>
      <c r="Q662" s="2"/>
      <c r="R662" s="2"/>
      <c r="S662" s="2"/>
      <c r="T662" s="2"/>
      <c r="U662" s="2"/>
    </row>
    <row r="663">
      <c r="A663" s="2"/>
      <c r="B663" s="2"/>
      <c r="C663" s="2"/>
      <c r="D663" s="2"/>
      <c r="E663" s="2"/>
      <c r="F663" s="2"/>
      <c r="G663" s="2"/>
      <c r="H663" s="2"/>
      <c r="I663" s="2"/>
      <c r="J663" s="2"/>
      <c r="K663" s="2"/>
      <c r="L663" s="2"/>
      <c r="M663" s="2"/>
      <c r="N663" s="2"/>
      <c r="O663" s="2"/>
      <c r="P663" s="2"/>
      <c r="Q663" s="2"/>
      <c r="R663" s="2"/>
      <c r="S663" s="2"/>
      <c r="T663" s="2"/>
      <c r="U663" s="2"/>
    </row>
    <row r="664">
      <c r="A664" s="2"/>
      <c r="B664" s="2"/>
      <c r="C664" s="2"/>
      <c r="D664" s="2"/>
      <c r="E664" s="2"/>
      <c r="F664" s="2"/>
      <c r="G664" s="2"/>
      <c r="H664" s="2"/>
      <c r="I664" s="2"/>
      <c r="J664" s="2"/>
      <c r="K664" s="2"/>
      <c r="L664" s="2"/>
      <c r="M664" s="2"/>
      <c r="N664" s="2"/>
      <c r="O664" s="2"/>
      <c r="P664" s="2"/>
      <c r="Q664" s="2"/>
      <c r="R664" s="2"/>
      <c r="S664" s="2"/>
      <c r="T664" s="2"/>
      <c r="U664" s="2"/>
    </row>
    <row r="665">
      <c r="A665" s="2"/>
      <c r="B665" s="2"/>
      <c r="C665" s="2"/>
      <c r="D665" s="2"/>
      <c r="E665" s="2"/>
      <c r="F665" s="2"/>
      <c r="G665" s="2"/>
      <c r="H665" s="2"/>
      <c r="I665" s="2"/>
      <c r="J665" s="2"/>
      <c r="K665" s="2"/>
      <c r="L665" s="2"/>
      <c r="M665" s="2"/>
      <c r="N665" s="2"/>
      <c r="O665" s="2"/>
      <c r="P665" s="2"/>
      <c r="Q665" s="2"/>
      <c r="R665" s="2"/>
      <c r="S665" s="2"/>
      <c r="T665" s="2"/>
      <c r="U665" s="2"/>
    </row>
    <row r="666">
      <c r="A666" s="2"/>
      <c r="B666" s="2"/>
      <c r="C666" s="2"/>
      <c r="D666" s="2"/>
      <c r="E666" s="2"/>
      <c r="F666" s="2"/>
      <c r="G666" s="2"/>
      <c r="H666" s="2"/>
      <c r="I666" s="2"/>
      <c r="J666" s="2"/>
      <c r="K666" s="2"/>
      <c r="L666" s="2"/>
      <c r="M666" s="2"/>
      <c r="N666" s="2"/>
      <c r="O666" s="2"/>
      <c r="P666" s="2"/>
      <c r="Q666" s="2"/>
      <c r="R666" s="2"/>
      <c r="S666" s="2"/>
      <c r="T666" s="2"/>
      <c r="U666" s="2"/>
    </row>
    <row r="667">
      <c r="A667" s="2"/>
      <c r="B667" s="2"/>
      <c r="C667" s="2"/>
      <c r="D667" s="2"/>
      <c r="E667" s="2"/>
      <c r="F667" s="2"/>
      <c r="G667" s="2"/>
      <c r="H667" s="2"/>
      <c r="I667" s="2"/>
      <c r="J667" s="2"/>
      <c r="K667" s="2"/>
      <c r="L667" s="2"/>
      <c r="M667" s="2"/>
      <c r="N667" s="2"/>
      <c r="O667" s="2"/>
      <c r="P667" s="2"/>
      <c r="Q667" s="2"/>
      <c r="R667" s="2"/>
      <c r="S667" s="2"/>
      <c r="T667" s="2"/>
      <c r="U667" s="2"/>
    </row>
    <row r="668">
      <c r="A668" s="2"/>
      <c r="B668" s="2"/>
      <c r="C668" s="2"/>
      <c r="D668" s="2"/>
      <c r="E668" s="2"/>
      <c r="F668" s="2"/>
      <c r="G668" s="2"/>
      <c r="H668" s="2"/>
      <c r="I668" s="2"/>
      <c r="J668" s="2"/>
      <c r="K668" s="2"/>
      <c r="L668" s="2"/>
      <c r="M668" s="2"/>
      <c r="N668" s="2"/>
      <c r="O668" s="2"/>
      <c r="P668" s="2"/>
      <c r="Q668" s="2"/>
      <c r="R668" s="2"/>
      <c r="S668" s="2"/>
      <c r="T668" s="2"/>
      <c r="U668" s="2"/>
    </row>
    <row r="669">
      <c r="A669" s="2"/>
      <c r="B669" s="2"/>
      <c r="C669" s="2"/>
      <c r="D669" s="2"/>
      <c r="E669" s="2"/>
      <c r="F669" s="2"/>
      <c r="G669" s="2"/>
      <c r="H669" s="2"/>
      <c r="I669" s="2"/>
      <c r="J669" s="2"/>
      <c r="K669" s="2"/>
      <c r="L669" s="2"/>
      <c r="M669" s="2"/>
      <c r="N669" s="2"/>
      <c r="O669" s="2"/>
      <c r="P669" s="2"/>
      <c r="Q669" s="2"/>
      <c r="R669" s="2"/>
      <c r="S669" s="2"/>
      <c r="T669" s="2"/>
      <c r="U669" s="2"/>
    </row>
    <row r="670">
      <c r="A670" s="2"/>
      <c r="B670" s="2"/>
      <c r="C670" s="2"/>
      <c r="D670" s="2"/>
      <c r="E670" s="2"/>
      <c r="F670" s="2"/>
      <c r="G670" s="2"/>
      <c r="H670" s="2"/>
      <c r="I670" s="2"/>
      <c r="J670" s="2"/>
      <c r="K670" s="2"/>
      <c r="L670" s="2"/>
      <c r="M670" s="2"/>
      <c r="N670" s="2"/>
      <c r="O670" s="2"/>
      <c r="P670" s="2"/>
      <c r="Q670" s="2"/>
      <c r="R670" s="2"/>
      <c r="S670" s="2"/>
      <c r="T670" s="2"/>
      <c r="U670" s="2"/>
    </row>
    <row r="671">
      <c r="A671" s="2"/>
      <c r="B671" s="2"/>
      <c r="C671" s="2"/>
      <c r="D671" s="2"/>
      <c r="E671" s="2"/>
      <c r="F671" s="2"/>
      <c r="G671" s="2"/>
      <c r="H671" s="2"/>
      <c r="I671" s="2"/>
      <c r="J671" s="2"/>
      <c r="K671" s="2"/>
      <c r="L671" s="2"/>
      <c r="M671" s="2"/>
      <c r="N671" s="2"/>
      <c r="O671" s="2"/>
      <c r="P671" s="2"/>
      <c r="Q671" s="2"/>
      <c r="R671" s="2"/>
      <c r="S671" s="2"/>
      <c r="T671" s="2"/>
      <c r="U671" s="2"/>
    </row>
    <row r="672">
      <c r="A672" s="2"/>
      <c r="B672" s="2"/>
      <c r="C672" s="2"/>
      <c r="D672" s="2"/>
      <c r="E672" s="2"/>
      <c r="F672" s="2"/>
      <c r="G672" s="2"/>
      <c r="H672" s="2"/>
      <c r="I672" s="2"/>
      <c r="J672" s="2"/>
      <c r="K672" s="2"/>
      <c r="L672" s="2"/>
      <c r="M672" s="2"/>
      <c r="N672" s="2"/>
      <c r="O672" s="2"/>
      <c r="P672" s="2"/>
      <c r="Q672" s="2"/>
      <c r="R672" s="2"/>
      <c r="S672" s="2"/>
      <c r="T672" s="2"/>
      <c r="U672" s="2"/>
    </row>
    <row r="673">
      <c r="A673" s="2"/>
      <c r="B673" s="2"/>
      <c r="C673" s="2"/>
      <c r="D673" s="2"/>
      <c r="E673" s="2"/>
      <c r="F673" s="2"/>
      <c r="G673" s="2"/>
      <c r="H673" s="2"/>
      <c r="I673" s="2"/>
      <c r="J673" s="2"/>
      <c r="K673" s="2"/>
      <c r="L673" s="2"/>
      <c r="M673" s="2"/>
      <c r="N673" s="2"/>
      <c r="O673" s="2"/>
      <c r="P673" s="2"/>
      <c r="Q673" s="2"/>
      <c r="R673" s="2"/>
      <c r="S673" s="2"/>
      <c r="T673" s="2"/>
      <c r="U673" s="2"/>
    </row>
    <row r="674">
      <c r="A674" s="2"/>
      <c r="B674" s="2"/>
      <c r="C674" s="2"/>
      <c r="D674" s="2"/>
      <c r="E674" s="2"/>
      <c r="F674" s="2"/>
      <c r="G674" s="2"/>
      <c r="H674" s="2"/>
      <c r="I674" s="2"/>
      <c r="J674" s="2"/>
      <c r="K674" s="2"/>
      <c r="L674" s="2"/>
      <c r="M674" s="2"/>
      <c r="N674" s="2"/>
      <c r="O674" s="2"/>
      <c r="P674" s="2"/>
      <c r="Q674" s="2"/>
      <c r="R674" s="2"/>
      <c r="S674" s="2"/>
      <c r="T674" s="2"/>
      <c r="U674" s="2"/>
    </row>
    <row r="675">
      <c r="A675" s="2"/>
      <c r="B675" s="2"/>
      <c r="C675" s="2"/>
      <c r="D675" s="2"/>
      <c r="E675" s="2"/>
      <c r="F675" s="2"/>
      <c r="G675" s="2"/>
      <c r="H675" s="2"/>
      <c r="I675" s="2"/>
      <c r="J675" s="2"/>
      <c r="K675" s="2"/>
      <c r="L675" s="2"/>
      <c r="M675" s="2"/>
      <c r="N675" s="2"/>
      <c r="O675" s="2"/>
      <c r="P675" s="2"/>
      <c r="Q675" s="2"/>
      <c r="R675" s="2"/>
      <c r="S675" s="2"/>
      <c r="T675" s="2"/>
      <c r="U675" s="2"/>
    </row>
    <row r="676">
      <c r="A676" s="2"/>
      <c r="B676" s="2"/>
      <c r="C676" s="2"/>
      <c r="D676" s="2"/>
      <c r="E676" s="2"/>
      <c r="F676" s="2"/>
      <c r="G676" s="2"/>
      <c r="H676" s="2"/>
      <c r="I676" s="2"/>
      <c r="J676" s="2"/>
      <c r="K676" s="2"/>
      <c r="L676" s="2"/>
      <c r="M676" s="2"/>
      <c r="N676" s="2"/>
      <c r="O676" s="2"/>
      <c r="P676" s="2"/>
      <c r="Q676" s="2"/>
      <c r="R676" s="2"/>
      <c r="S676" s="2"/>
      <c r="T676" s="2"/>
      <c r="U676" s="2"/>
    </row>
    <row r="677">
      <c r="A677" s="2"/>
      <c r="B677" s="2"/>
      <c r="C677" s="2"/>
      <c r="D677" s="2"/>
      <c r="E677" s="2"/>
      <c r="F677" s="2"/>
      <c r="G677" s="2"/>
      <c r="H677" s="2"/>
      <c r="I677" s="2"/>
      <c r="J677" s="2"/>
      <c r="K677" s="2"/>
      <c r="L677" s="2"/>
      <c r="M677" s="2"/>
      <c r="N677" s="2"/>
      <c r="O677" s="2"/>
      <c r="P677" s="2"/>
      <c r="Q677" s="2"/>
      <c r="R677" s="2"/>
      <c r="S677" s="2"/>
      <c r="T677" s="2"/>
      <c r="U677" s="2"/>
    </row>
    <row r="678">
      <c r="A678" s="2"/>
      <c r="B678" s="2"/>
      <c r="C678" s="2"/>
      <c r="D678" s="2"/>
      <c r="E678" s="2"/>
      <c r="F678" s="2"/>
      <c r="G678" s="2"/>
      <c r="H678" s="2"/>
      <c r="I678" s="2"/>
      <c r="J678" s="2"/>
      <c r="K678" s="2"/>
      <c r="L678" s="2"/>
      <c r="M678" s="2"/>
      <c r="N678" s="2"/>
      <c r="O678" s="2"/>
      <c r="P678" s="2"/>
      <c r="Q678" s="2"/>
      <c r="R678" s="2"/>
      <c r="S678" s="2"/>
      <c r="T678" s="2"/>
      <c r="U678" s="2"/>
    </row>
    <row r="679">
      <c r="A679" s="2"/>
      <c r="B679" s="2"/>
      <c r="C679" s="2"/>
      <c r="D679" s="2"/>
      <c r="E679" s="2"/>
      <c r="F679" s="2"/>
      <c r="G679" s="2"/>
      <c r="H679" s="2"/>
      <c r="I679" s="2"/>
      <c r="J679" s="2"/>
      <c r="K679" s="2"/>
      <c r="L679" s="2"/>
      <c r="M679" s="2"/>
      <c r="N679" s="2"/>
      <c r="O679" s="2"/>
      <c r="P679" s="2"/>
      <c r="Q679" s="2"/>
      <c r="R679" s="2"/>
      <c r="S679" s="2"/>
      <c r="T679" s="2"/>
      <c r="U679" s="2"/>
    </row>
    <row r="680">
      <c r="A680" s="2"/>
      <c r="B680" s="2"/>
      <c r="C680" s="2"/>
      <c r="D680" s="2"/>
      <c r="E680" s="2"/>
      <c r="F680" s="2"/>
      <c r="G680" s="2"/>
      <c r="H680" s="2"/>
      <c r="I680" s="2"/>
      <c r="J680" s="2"/>
      <c r="K680" s="2"/>
      <c r="L680" s="2"/>
      <c r="M680" s="2"/>
      <c r="N680" s="2"/>
      <c r="O680" s="2"/>
      <c r="P680" s="2"/>
      <c r="Q680" s="2"/>
      <c r="R680" s="2"/>
      <c r="S680" s="2"/>
      <c r="T680" s="2"/>
      <c r="U680" s="2"/>
    </row>
    <row r="681">
      <c r="A681" s="2"/>
      <c r="B681" s="2"/>
      <c r="C681" s="2"/>
      <c r="D681" s="2"/>
      <c r="E681" s="2"/>
      <c r="F681" s="2"/>
      <c r="G681" s="2"/>
      <c r="H681" s="2"/>
      <c r="I681" s="2"/>
      <c r="J681" s="2"/>
      <c r="K681" s="2"/>
      <c r="L681" s="2"/>
      <c r="M681" s="2"/>
      <c r="N681" s="2"/>
      <c r="O681" s="2"/>
      <c r="P681" s="2"/>
      <c r="Q681" s="2"/>
      <c r="R681" s="2"/>
      <c r="S681" s="2"/>
      <c r="T681" s="2"/>
      <c r="U681" s="2"/>
    </row>
    <row r="682">
      <c r="A682" s="2"/>
      <c r="B682" s="2"/>
      <c r="C682" s="2"/>
      <c r="D682" s="2"/>
      <c r="E682" s="2"/>
      <c r="F682" s="2"/>
      <c r="G682" s="2"/>
      <c r="H682" s="2"/>
      <c r="I682" s="2"/>
      <c r="J682" s="2"/>
      <c r="K682" s="2"/>
      <c r="L682" s="2"/>
      <c r="M682" s="2"/>
      <c r="N682" s="2"/>
      <c r="O682" s="2"/>
      <c r="P682" s="2"/>
      <c r="Q682" s="2"/>
      <c r="R682" s="2"/>
      <c r="S682" s="2"/>
      <c r="T682" s="2"/>
      <c r="U682" s="2"/>
    </row>
    <row r="683">
      <c r="A683" s="2"/>
      <c r="B683" s="2"/>
      <c r="C683" s="2"/>
      <c r="D683" s="2"/>
      <c r="E683" s="2"/>
      <c r="F683" s="2"/>
      <c r="G683" s="2"/>
      <c r="H683" s="2"/>
      <c r="I683" s="2"/>
      <c r="J683" s="2"/>
      <c r="K683" s="2"/>
      <c r="L683" s="2"/>
      <c r="M683" s="2"/>
      <c r="N683" s="2"/>
      <c r="O683" s="2"/>
      <c r="P683" s="2"/>
      <c r="Q683" s="2"/>
      <c r="R683" s="2"/>
      <c r="S683" s="2"/>
      <c r="T683" s="2"/>
      <c r="U683" s="2"/>
    </row>
    <row r="684">
      <c r="A684" s="2"/>
      <c r="B684" s="2"/>
      <c r="C684" s="2"/>
      <c r="D684" s="2"/>
      <c r="E684" s="2"/>
      <c r="F684" s="2"/>
      <c r="G684" s="2"/>
      <c r="H684" s="2"/>
      <c r="I684" s="2"/>
      <c r="J684" s="2"/>
      <c r="K684" s="2"/>
      <c r="L684" s="2"/>
      <c r="M684" s="2"/>
      <c r="N684" s="2"/>
      <c r="O684" s="2"/>
      <c r="P684" s="2"/>
      <c r="Q684" s="2"/>
      <c r="R684" s="2"/>
      <c r="S684" s="2"/>
      <c r="T684" s="2"/>
      <c r="U684" s="2"/>
    </row>
    <row r="685">
      <c r="A685" s="2"/>
      <c r="B685" s="2"/>
      <c r="C685" s="2"/>
      <c r="D685" s="2"/>
      <c r="E685" s="2"/>
      <c r="F685" s="2"/>
      <c r="G685" s="2"/>
      <c r="H685" s="2"/>
      <c r="I685" s="2"/>
      <c r="J685" s="2"/>
      <c r="K685" s="2"/>
      <c r="L685" s="2"/>
      <c r="M685" s="2"/>
      <c r="N685" s="2"/>
      <c r="O685" s="2"/>
      <c r="P685" s="2"/>
      <c r="Q685" s="2"/>
      <c r="R685" s="2"/>
      <c r="S685" s="2"/>
      <c r="T685" s="2"/>
      <c r="U685" s="2"/>
    </row>
    <row r="686">
      <c r="A686" s="2"/>
      <c r="B686" s="2"/>
      <c r="C686" s="2"/>
      <c r="D686" s="2"/>
      <c r="E686" s="2"/>
      <c r="F686" s="2"/>
      <c r="G686" s="2"/>
      <c r="H686" s="2"/>
      <c r="I686" s="2"/>
      <c r="J686" s="2"/>
      <c r="K686" s="2"/>
      <c r="L686" s="2"/>
      <c r="M686" s="2"/>
      <c r="N686" s="2"/>
      <c r="O686" s="2"/>
      <c r="P686" s="2"/>
      <c r="Q686" s="2"/>
      <c r="R686" s="2"/>
      <c r="S686" s="2"/>
      <c r="T686" s="2"/>
      <c r="U686" s="2"/>
    </row>
    <row r="687">
      <c r="A687" s="2"/>
      <c r="B687" s="2"/>
      <c r="C687" s="2"/>
      <c r="D687" s="2"/>
      <c r="E687" s="2"/>
      <c r="F687" s="2"/>
      <c r="G687" s="2"/>
      <c r="H687" s="2"/>
      <c r="I687" s="2"/>
      <c r="J687" s="2"/>
      <c r="K687" s="2"/>
      <c r="L687" s="2"/>
      <c r="M687" s="2"/>
      <c r="N687" s="2"/>
      <c r="O687" s="2"/>
      <c r="P687" s="2"/>
      <c r="Q687" s="2"/>
      <c r="R687" s="2"/>
      <c r="S687" s="2"/>
      <c r="T687" s="2"/>
      <c r="U687" s="2"/>
    </row>
    <row r="688">
      <c r="A688" s="2"/>
      <c r="B688" s="2"/>
      <c r="C688" s="2"/>
      <c r="D688" s="2"/>
      <c r="E688" s="2"/>
      <c r="F688" s="2"/>
      <c r="G688" s="2"/>
      <c r="H688" s="2"/>
      <c r="I688" s="2"/>
      <c r="J688" s="2"/>
      <c r="K688" s="2"/>
      <c r="L688" s="2"/>
      <c r="M688" s="2"/>
      <c r="N688" s="2"/>
      <c r="O688" s="2"/>
      <c r="P688" s="2"/>
      <c r="Q688" s="2"/>
      <c r="R688" s="2"/>
      <c r="S688" s="2"/>
      <c r="T688" s="2"/>
      <c r="U688" s="2"/>
    </row>
    <row r="689">
      <c r="A689" s="2"/>
      <c r="B689" s="2"/>
      <c r="C689" s="2"/>
      <c r="D689" s="2"/>
      <c r="E689" s="2"/>
      <c r="F689" s="2"/>
      <c r="G689" s="2"/>
      <c r="H689" s="2"/>
      <c r="I689" s="2"/>
      <c r="J689" s="2"/>
      <c r="K689" s="2"/>
      <c r="L689" s="2"/>
      <c r="M689" s="2"/>
      <c r="N689" s="2"/>
      <c r="O689" s="2"/>
      <c r="P689" s="2"/>
      <c r="Q689" s="2"/>
      <c r="R689" s="2"/>
      <c r="S689" s="2"/>
      <c r="T689" s="2"/>
      <c r="U689" s="2"/>
    </row>
    <row r="690">
      <c r="A690" s="2"/>
      <c r="B690" s="2"/>
      <c r="C690" s="2"/>
      <c r="D690" s="2"/>
      <c r="E690" s="2"/>
      <c r="F690" s="2"/>
      <c r="G690" s="2"/>
      <c r="H690" s="2"/>
      <c r="I690" s="2"/>
      <c r="J690" s="2"/>
      <c r="K690" s="2"/>
      <c r="L690" s="2"/>
      <c r="M690" s="2"/>
      <c r="N690" s="2"/>
      <c r="O690" s="2"/>
      <c r="P690" s="2"/>
      <c r="Q690" s="2"/>
      <c r="R690" s="2"/>
      <c r="S690" s="2"/>
      <c r="T690" s="2"/>
      <c r="U690" s="2"/>
    </row>
    <row r="691">
      <c r="A691" s="2"/>
      <c r="B691" s="2"/>
      <c r="C691" s="2"/>
      <c r="D691" s="2"/>
      <c r="E691" s="2"/>
      <c r="F691" s="2"/>
      <c r="G691" s="2"/>
      <c r="H691" s="2"/>
      <c r="I691" s="2"/>
      <c r="J691" s="2"/>
      <c r="K691" s="2"/>
      <c r="L691" s="2"/>
      <c r="M691" s="2"/>
      <c r="N691" s="2"/>
      <c r="O691" s="2"/>
      <c r="P691" s="2"/>
      <c r="Q691" s="2"/>
      <c r="R691" s="2"/>
      <c r="S691" s="2"/>
      <c r="T691" s="2"/>
      <c r="U691" s="2"/>
    </row>
    <row r="692">
      <c r="A692" s="2"/>
      <c r="B692" s="2"/>
      <c r="C692" s="2"/>
      <c r="D692" s="2"/>
      <c r="E692" s="2"/>
      <c r="F692" s="2"/>
      <c r="G692" s="2"/>
      <c r="H692" s="2"/>
      <c r="I692" s="2"/>
      <c r="J692" s="2"/>
      <c r="K692" s="2"/>
      <c r="L692" s="2"/>
      <c r="M692" s="2"/>
      <c r="N692" s="2"/>
      <c r="O692" s="2"/>
      <c r="P692" s="2"/>
      <c r="Q692" s="2"/>
      <c r="R692" s="2"/>
      <c r="S692" s="2"/>
      <c r="T692" s="2"/>
      <c r="U692" s="2"/>
    </row>
    <row r="693">
      <c r="A693" s="2"/>
      <c r="B693" s="2"/>
      <c r="C693" s="2"/>
      <c r="D693" s="2"/>
      <c r="E693" s="2"/>
      <c r="F693" s="2"/>
      <c r="G693" s="2"/>
      <c r="H693" s="2"/>
      <c r="I693" s="2"/>
      <c r="J693" s="2"/>
      <c r="K693" s="2"/>
      <c r="L693" s="2"/>
      <c r="M693" s="2"/>
      <c r="N693" s="2"/>
      <c r="O693" s="2"/>
      <c r="P693" s="2"/>
      <c r="Q693" s="2"/>
      <c r="R693" s="2"/>
      <c r="S693" s="2"/>
      <c r="T693" s="2"/>
      <c r="U693" s="2"/>
    </row>
    <row r="694">
      <c r="A694" s="2"/>
      <c r="B694" s="2"/>
      <c r="C694" s="2"/>
      <c r="D694" s="2"/>
      <c r="E694" s="2"/>
      <c r="F694" s="2"/>
      <c r="G694" s="2"/>
      <c r="H694" s="2"/>
      <c r="I694" s="2"/>
      <c r="J694" s="2"/>
      <c r="K694" s="2"/>
      <c r="L694" s="2"/>
      <c r="M694" s="2"/>
      <c r="N694" s="2"/>
      <c r="O694" s="2"/>
      <c r="P694" s="2"/>
      <c r="Q694" s="2"/>
      <c r="R694" s="2"/>
      <c r="S694" s="2"/>
      <c r="T694" s="2"/>
      <c r="U694" s="2"/>
    </row>
    <row r="695">
      <c r="A695" s="2"/>
      <c r="B695" s="2"/>
      <c r="C695" s="2"/>
      <c r="D695" s="2"/>
      <c r="E695" s="2"/>
      <c r="F695" s="2"/>
      <c r="G695" s="2"/>
      <c r="H695" s="2"/>
      <c r="I695" s="2"/>
      <c r="J695" s="2"/>
      <c r="K695" s="2"/>
      <c r="L695" s="2"/>
      <c r="M695" s="2"/>
      <c r="N695" s="2"/>
      <c r="O695" s="2"/>
      <c r="P695" s="2"/>
      <c r="Q695" s="2"/>
      <c r="R695" s="2"/>
      <c r="S695" s="2"/>
      <c r="T695" s="2"/>
      <c r="U695" s="2"/>
    </row>
    <row r="696">
      <c r="A696" s="2"/>
      <c r="B696" s="2"/>
      <c r="C696" s="2"/>
      <c r="D696" s="2"/>
      <c r="E696" s="2"/>
      <c r="F696" s="2"/>
      <c r="G696" s="2"/>
      <c r="H696" s="2"/>
      <c r="I696" s="2"/>
      <c r="J696" s="2"/>
      <c r="K696" s="2"/>
      <c r="L696" s="2"/>
      <c r="M696" s="2"/>
      <c r="N696" s="2"/>
      <c r="O696" s="2"/>
      <c r="P696" s="2"/>
      <c r="Q696" s="2"/>
      <c r="R696" s="2"/>
      <c r="S696" s="2"/>
      <c r="T696" s="2"/>
      <c r="U696" s="2"/>
    </row>
    <row r="697">
      <c r="A697" s="2"/>
      <c r="B697" s="2"/>
      <c r="C697" s="2"/>
      <c r="D697" s="2"/>
      <c r="E697" s="2"/>
      <c r="F697" s="2"/>
      <c r="G697" s="2"/>
      <c r="H697" s="2"/>
      <c r="I697" s="2"/>
      <c r="J697" s="2"/>
      <c r="K697" s="2"/>
      <c r="L697" s="2"/>
      <c r="M697" s="2"/>
      <c r="N697" s="2"/>
      <c r="O697" s="2"/>
      <c r="P697" s="2"/>
      <c r="Q697" s="2"/>
      <c r="R697" s="2"/>
      <c r="S697" s="2"/>
      <c r="T697" s="2"/>
      <c r="U697" s="2"/>
    </row>
    <row r="698">
      <c r="A698" s="2"/>
      <c r="B698" s="2"/>
      <c r="C698" s="2"/>
      <c r="D698" s="2"/>
      <c r="E698" s="2"/>
      <c r="F698" s="2"/>
      <c r="G698" s="2"/>
      <c r="H698" s="2"/>
      <c r="I698" s="2"/>
      <c r="J698" s="2"/>
      <c r="K698" s="2"/>
      <c r="L698" s="2"/>
      <c r="M698" s="2"/>
      <c r="N698" s="2"/>
      <c r="O698" s="2"/>
      <c r="P698" s="2"/>
      <c r="Q698" s="2"/>
      <c r="R698" s="2"/>
      <c r="S698" s="2"/>
      <c r="T698" s="2"/>
      <c r="U698" s="2"/>
    </row>
    <row r="699">
      <c r="A699" s="2"/>
      <c r="B699" s="2"/>
      <c r="C699" s="2"/>
      <c r="D699" s="2"/>
      <c r="E699" s="2"/>
      <c r="F699" s="2"/>
      <c r="G699" s="2"/>
      <c r="H699" s="2"/>
      <c r="I699" s="2"/>
      <c r="J699" s="2"/>
      <c r="K699" s="2"/>
      <c r="L699" s="2"/>
      <c r="M699" s="2"/>
      <c r="N699" s="2"/>
      <c r="O699" s="2"/>
      <c r="P699" s="2"/>
      <c r="Q699" s="2"/>
      <c r="R699" s="2"/>
      <c r="S699" s="2"/>
      <c r="T699" s="2"/>
      <c r="U699" s="2"/>
    </row>
    <row r="700">
      <c r="A700" s="2"/>
      <c r="B700" s="2"/>
      <c r="C700" s="2"/>
      <c r="D700" s="2"/>
      <c r="E700" s="2"/>
      <c r="F700" s="2"/>
      <c r="G700" s="2"/>
      <c r="H700" s="2"/>
      <c r="I700" s="2"/>
      <c r="J700" s="2"/>
      <c r="K700" s="2"/>
      <c r="L700" s="2"/>
      <c r="M700" s="2"/>
      <c r="N700" s="2"/>
      <c r="O700" s="2"/>
      <c r="P700" s="2"/>
      <c r="Q700" s="2"/>
      <c r="R700" s="2"/>
      <c r="S700" s="2"/>
      <c r="T700" s="2"/>
      <c r="U700" s="2"/>
    </row>
    <row r="701">
      <c r="A701" s="2"/>
      <c r="B701" s="2"/>
      <c r="C701" s="2"/>
      <c r="D701" s="2"/>
      <c r="E701" s="2"/>
      <c r="F701" s="2"/>
      <c r="G701" s="2"/>
      <c r="H701" s="2"/>
      <c r="I701" s="2"/>
      <c r="J701" s="2"/>
      <c r="K701" s="2"/>
      <c r="L701" s="2"/>
      <c r="M701" s="2"/>
      <c r="N701" s="2"/>
      <c r="O701" s="2"/>
      <c r="P701" s="2"/>
      <c r="Q701" s="2"/>
      <c r="R701" s="2"/>
      <c r="S701" s="2"/>
      <c r="T701" s="2"/>
      <c r="U701" s="2"/>
    </row>
    <row r="702">
      <c r="A702" s="2"/>
      <c r="B702" s="2"/>
      <c r="C702" s="2"/>
      <c r="D702" s="2"/>
      <c r="E702" s="2"/>
      <c r="F702" s="2"/>
      <c r="G702" s="2"/>
      <c r="H702" s="2"/>
      <c r="I702" s="2"/>
      <c r="J702" s="2"/>
      <c r="K702" s="2"/>
      <c r="L702" s="2"/>
      <c r="M702" s="2"/>
      <c r="N702" s="2"/>
      <c r="O702" s="2"/>
      <c r="P702" s="2"/>
      <c r="Q702" s="2"/>
      <c r="R702" s="2"/>
      <c r="S702" s="2"/>
      <c r="T702" s="2"/>
      <c r="U702" s="2"/>
    </row>
    <row r="703">
      <c r="A703" s="2"/>
      <c r="B703" s="2"/>
      <c r="C703" s="2"/>
      <c r="D703" s="2"/>
      <c r="E703" s="2"/>
      <c r="F703" s="2"/>
      <c r="G703" s="2"/>
      <c r="H703" s="2"/>
      <c r="I703" s="2"/>
      <c r="J703" s="2"/>
      <c r="K703" s="2"/>
      <c r="L703" s="2"/>
      <c r="M703" s="2"/>
      <c r="N703" s="2"/>
      <c r="O703" s="2"/>
      <c r="P703" s="2"/>
      <c r="Q703" s="2"/>
      <c r="R703" s="2"/>
      <c r="S703" s="2"/>
      <c r="T703" s="2"/>
      <c r="U703" s="2"/>
    </row>
    <row r="704">
      <c r="A704" s="2"/>
      <c r="B704" s="2"/>
      <c r="C704" s="2"/>
      <c r="D704" s="2"/>
      <c r="E704" s="2"/>
      <c r="F704" s="2"/>
      <c r="G704" s="2"/>
      <c r="H704" s="2"/>
      <c r="I704" s="2"/>
      <c r="J704" s="2"/>
      <c r="K704" s="2"/>
      <c r="L704" s="2"/>
      <c r="M704" s="2"/>
      <c r="N704" s="2"/>
      <c r="O704" s="2"/>
      <c r="P704" s="2"/>
      <c r="Q704" s="2"/>
      <c r="R704" s="2"/>
      <c r="S704" s="2"/>
      <c r="T704" s="2"/>
      <c r="U704" s="2"/>
    </row>
    <row r="705">
      <c r="A705" s="2"/>
      <c r="B705" s="2"/>
      <c r="C705" s="2"/>
      <c r="D705" s="2"/>
      <c r="E705" s="2"/>
      <c r="F705" s="2"/>
      <c r="G705" s="2"/>
      <c r="H705" s="2"/>
      <c r="I705" s="2"/>
      <c r="J705" s="2"/>
      <c r="K705" s="2"/>
      <c r="L705" s="2"/>
      <c r="M705" s="2"/>
      <c r="N705" s="2"/>
      <c r="O705" s="2"/>
      <c r="P705" s="2"/>
      <c r="Q705" s="2"/>
      <c r="R705" s="2"/>
      <c r="S705" s="2"/>
      <c r="T705" s="2"/>
      <c r="U705" s="2"/>
    </row>
    <row r="706">
      <c r="A706" s="2"/>
      <c r="B706" s="2"/>
      <c r="C706" s="2"/>
      <c r="D706" s="2"/>
      <c r="E706" s="2"/>
      <c r="F706" s="2"/>
      <c r="G706" s="2"/>
      <c r="H706" s="2"/>
      <c r="I706" s="2"/>
      <c r="J706" s="2"/>
      <c r="K706" s="2"/>
      <c r="L706" s="2"/>
      <c r="M706" s="2"/>
      <c r="N706" s="2"/>
      <c r="O706" s="2"/>
      <c r="P706" s="2"/>
      <c r="Q706" s="2"/>
      <c r="R706" s="2"/>
      <c r="S706" s="2"/>
      <c r="T706" s="2"/>
      <c r="U706" s="2"/>
    </row>
    <row r="707">
      <c r="A707" s="2"/>
      <c r="B707" s="2"/>
      <c r="C707" s="2"/>
      <c r="D707" s="2"/>
      <c r="E707" s="2"/>
      <c r="F707" s="2"/>
      <c r="G707" s="2"/>
      <c r="H707" s="2"/>
      <c r="I707" s="2"/>
      <c r="J707" s="2"/>
      <c r="K707" s="2"/>
      <c r="L707" s="2"/>
      <c r="M707" s="2"/>
      <c r="N707" s="2"/>
      <c r="O707" s="2"/>
      <c r="P707" s="2"/>
      <c r="Q707" s="2"/>
      <c r="R707" s="2"/>
      <c r="S707" s="2"/>
      <c r="T707" s="2"/>
      <c r="U707" s="2"/>
    </row>
    <row r="708">
      <c r="A708" s="2"/>
      <c r="B708" s="2"/>
      <c r="C708" s="2"/>
      <c r="D708" s="2"/>
      <c r="E708" s="2"/>
      <c r="F708" s="2"/>
      <c r="G708" s="2"/>
      <c r="H708" s="2"/>
      <c r="I708" s="2"/>
      <c r="J708" s="2"/>
      <c r="K708" s="2"/>
      <c r="L708" s="2"/>
      <c r="M708" s="2"/>
      <c r="N708" s="2"/>
      <c r="O708" s="2"/>
      <c r="P708" s="2"/>
      <c r="Q708" s="2"/>
      <c r="R708" s="2"/>
      <c r="S708" s="2"/>
      <c r="T708" s="2"/>
      <c r="U708" s="2"/>
    </row>
    <row r="709">
      <c r="A709" s="2"/>
      <c r="B709" s="2"/>
      <c r="C709" s="2"/>
      <c r="D709" s="2"/>
      <c r="E709" s="2"/>
      <c r="F709" s="2"/>
      <c r="G709" s="2"/>
      <c r="H709" s="2"/>
      <c r="I709" s="2"/>
      <c r="J709" s="2"/>
      <c r="K709" s="2"/>
      <c r="L709" s="2"/>
      <c r="M709" s="2"/>
      <c r="N709" s="2"/>
      <c r="O709" s="2"/>
      <c r="P709" s="2"/>
      <c r="Q709" s="2"/>
      <c r="R709" s="2"/>
      <c r="S709" s="2"/>
      <c r="T709" s="2"/>
      <c r="U709" s="2"/>
    </row>
    <row r="710">
      <c r="A710" s="2"/>
      <c r="B710" s="2"/>
      <c r="C710" s="2"/>
      <c r="D710" s="2"/>
      <c r="E710" s="2"/>
      <c r="F710" s="2"/>
      <c r="G710" s="2"/>
      <c r="H710" s="2"/>
      <c r="I710" s="2"/>
      <c r="J710" s="2"/>
      <c r="K710" s="2"/>
      <c r="L710" s="2"/>
      <c r="M710" s="2"/>
      <c r="N710" s="2"/>
      <c r="O710" s="2"/>
      <c r="P710" s="2"/>
      <c r="Q710" s="2"/>
      <c r="R710" s="2"/>
      <c r="S710" s="2"/>
      <c r="T710" s="2"/>
      <c r="U710" s="2"/>
    </row>
    <row r="711">
      <c r="A711" s="2"/>
      <c r="B711" s="2"/>
      <c r="C711" s="2"/>
      <c r="D711" s="2"/>
      <c r="E711" s="2"/>
      <c r="F711" s="2"/>
      <c r="G711" s="2"/>
      <c r="H711" s="2"/>
      <c r="I711" s="2"/>
      <c r="J711" s="2"/>
      <c r="K711" s="2"/>
      <c r="L711" s="2"/>
      <c r="M711" s="2"/>
      <c r="N711" s="2"/>
      <c r="O711" s="2"/>
      <c r="P711" s="2"/>
      <c r="Q711" s="2"/>
      <c r="R711" s="2"/>
      <c r="S711" s="2"/>
      <c r="T711" s="2"/>
      <c r="U711" s="2"/>
    </row>
    <row r="712">
      <c r="A712" s="2"/>
      <c r="B712" s="2"/>
      <c r="C712" s="2"/>
      <c r="D712" s="2"/>
      <c r="E712" s="2"/>
      <c r="F712" s="2"/>
      <c r="G712" s="2"/>
      <c r="H712" s="2"/>
      <c r="I712" s="2"/>
      <c r="J712" s="2"/>
      <c r="K712" s="2"/>
      <c r="L712" s="2"/>
      <c r="M712" s="2"/>
      <c r="N712" s="2"/>
      <c r="O712" s="2"/>
      <c r="P712" s="2"/>
      <c r="Q712" s="2"/>
      <c r="R712" s="2"/>
      <c r="S712" s="2"/>
      <c r="T712" s="2"/>
      <c r="U712" s="2"/>
    </row>
    <row r="713">
      <c r="A713" s="2"/>
      <c r="B713" s="2"/>
      <c r="C713" s="2"/>
      <c r="D713" s="2"/>
      <c r="E713" s="2"/>
      <c r="F713" s="2"/>
      <c r="G713" s="2"/>
      <c r="H713" s="2"/>
      <c r="I713" s="2"/>
      <c r="J713" s="2"/>
      <c r="K713" s="2"/>
      <c r="L713" s="2"/>
      <c r="M713" s="2"/>
      <c r="N713" s="2"/>
      <c r="O713" s="2"/>
      <c r="P713" s="2"/>
      <c r="Q713" s="2"/>
      <c r="R713" s="2"/>
      <c r="S713" s="2"/>
      <c r="T713" s="2"/>
      <c r="U713" s="2"/>
    </row>
    <row r="714">
      <c r="A714" s="2"/>
      <c r="B714" s="2"/>
      <c r="C714" s="2"/>
      <c r="D714" s="2"/>
      <c r="E714" s="2"/>
      <c r="F714" s="2"/>
      <c r="G714" s="2"/>
      <c r="H714" s="2"/>
      <c r="I714" s="2"/>
      <c r="J714" s="2"/>
      <c r="K714" s="2"/>
      <c r="L714" s="2"/>
      <c r="M714" s="2"/>
      <c r="N714" s="2"/>
      <c r="O714" s="2"/>
      <c r="P714" s="2"/>
      <c r="Q714" s="2"/>
      <c r="R714" s="2"/>
      <c r="S714" s="2"/>
      <c r="T714" s="2"/>
      <c r="U714" s="2"/>
    </row>
    <row r="715">
      <c r="A715" s="2"/>
      <c r="B715" s="2"/>
      <c r="C715" s="2"/>
      <c r="D715" s="2"/>
      <c r="E715" s="2"/>
      <c r="F715" s="2"/>
      <c r="G715" s="2"/>
      <c r="H715" s="2"/>
      <c r="I715" s="2"/>
      <c r="J715" s="2"/>
      <c r="K715" s="2"/>
      <c r="L715" s="2"/>
      <c r="M715" s="2"/>
      <c r="N715" s="2"/>
      <c r="O715" s="2"/>
      <c r="P715" s="2"/>
      <c r="Q715" s="2"/>
      <c r="R715" s="2"/>
      <c r="S715" s="2"/>
      <c r="T715" s="2"/>
      <c r="U715" s="2"/>
    </row>
    <row r="716">
      <c r="A716" s="2"/>
      <c r="B716" s="2"/>
      <c r="C716" s="2"/>
      <c r="D716" s="2"/>
      <c r="E716" s="2"/>
      <c r="F716" s="2"/>
      <c r="G716" s="2"/>
      <c r="H716" s="2"/>
      <c r="I716" s="2"/>
      <c r="J716" s="2"/>
      <c r="K716" s="2"/>
      <c r="L716" s="2"/>
      <c r="M716" s="2"/>
      <c r="N716" s="2"/>
      <c r="O716" s="2"/>
      <c r="P716" s="2"/>
      <c r="Q716" s="2"/>
      <c r="R716" s="2"/>
      <c r="S716" s="2"/>
      <c r="T716" s="2"/>
      <c r="U716" s="2"/>
    </row>
    <row r="717">
      <c r="A717" s="2"/>
      <c r="B717" s="2"/>
      <c r="C717" s="2"/>
      <c r="D717" s="2"/>
      <c r="E717" s="2"/>
      <c r="F717" s="2"/>
      <c r="G717" s="2"/>
      <c r="H717" s="2"/>
      <c r="I717" s="2"/>
      <c r="J717" s="2"/>
      <c r="K717" s="2"/>
      <c r="L717" s="2"/>
      <c r="M717" s="2"/>
      <c r="N717" s="2"/>
      <c r="O717" s="2"/>
      <c r="P717" s="2"/>
      <c r="Q717" s="2"/>
      <c r="R717" s="2"/>
      <c r="S717" s="2"/>
      <c r="T717" s="2"/>
      <c r="U717" s="2"/>
    </row>
    <row r="718">
      <c r="A718" s="2"/>
      <c r="B718" s="2"/>
      <c r="C718" s="2"/>
      <c r="D718" s="2"/>
      <c r="E718" s="2"/>
      <c r="F718" s="2"/>
      <c r="G718" s="2"/>
      <c r="H718" s="2"/>
      <c r="I718" s="2"/>
      <c r="J718" s="2"/>
      <c r="K718" s="2"/>
      <c r="L718" s="2"/>
      <c r="M718" s="2"/>
      <c r="N718" s="2"/>
      <c r="O718" s="2"/>
      <c r="P718" s="2"/>
      <c r="Q718" s="2"/>
      <c r="R718" s="2"/>
      <c r="S718" s="2"/>
      <c r="T718" s="2"/>
      <c r="U718" s="2"/>
    </row>
    <row r="719">
      <c r="A719" s="2"/>
      <c r="B719" s="2"/>
      <c r="C719" s="2"/>
      <c r="D719" s="2"/>
      <c r="E719" s="2"/>
      <c r="F719" s="2"/>
      <c r="G719" s="2"/>
      <c r="H719" s="2"/>
      <c r="I719" s="2"/>
      <c r="J719" s="2"/>
      <c r="K719" s="2"/>
      <c r="L719" s="2"/>
      <c r="M719" s="2"/>
      <c r="N719" s="2"/>
      <c r="O719" s="2"/>
      <c r="P719" s="2"/>
      <c r="Q719" s="2"/>
      <c r="R719" s="2"/>
      <c r="S719" s="2"/>
      <c r="T719" s="2"/>
      <c r="U719" s="2"/>
    </row>
    <row r="720">
      <c r="A720" s="2"/>
      <c r="B720" s="2"/>
      <c r="C720" s="2"/>
      <c r="D720" s="2"/>
      <c r="E720" s="2"/>
      <c r="F720" s="2"/>
      <c r="G720" s="2"/>
      <c r="H720" s="2"/>
      <c r="I720" s="2"/>
      <c r="J720" s="2"/>
      <c r="K720" s="2"/>
      <c r="L720" s="2"/>
      <c r="M720" s="2"/>
      <c r="N720" s="2"/>
      <c r="O720" s="2"/>
      <c r="P720" s="2"/>
      <c r="Q720" s="2"/>
      <c r="R720" s="2"/>
      <c r="S720" s="2"/>
      <c r="T720" s="2"/>
      <c r="U720" s="2"/>
    </row>
    <row r="721">
      <c r="A721" s="2"/>
      <c r="B721" s="2"/>
      <c r="C721" s="2"/>
      <c r="D721" s="2"/>
      <c r="E721" s="2"/>
      <c r="F721" s="2"/>
      <c r="G721" s="2"/>
      <c r="H721" s="2"/>
      <c r="I721" s="2"/>
      <c r="J721" s="2"/>
      <c r="K721" s="2"/>
      <c r="L721" s="2"/>
      <c r="M721" s="2"/>
      <c r="N721" s="2"/>
      <c r="O721" s="2"/>
      <c r="P721" s="2"/>
      <c r="Q721" s="2"/>
      <c r="R721" s="2"/>
      <c r="S721" s="2"/>
      <c r="T721" s="2"/>
      <c r="U721" s="2"/>
    </row>
    <row r="722">
      <c r="A722" s="2"/>
      <c r="B722" s="2"/>
      <c r="C722" s="2"/>
      <c r="D722" s="2"/>
      <c r="E722" s="2"/>
      <c r="F722" s="2"/>
      <c r="G722" s="2"/>
      <c r="H722" s="2"/>
      <c r="I722" s="2"/>
      <c r="J722" s="2"/>
      <c r="K722" s="2"/>
      <c r="L722" s="2"/>
      <c r="M722" s="2"/>
      <c r="N722" s="2"/>
      <c r="O722" s="2"/>
      <c r="P722" s="2"/>
      <c r="Q722" s="2"/>
      <c r="R722" s="2"/>
      <c r="S722" s="2"/>
      <c r="T722" s="2"/>
      <c r="U722" s="2"/>
    </row>
    <row r="723">
      <c r="A723" s="2"/>
      <c r="B723" s="2"/>
      <c r="C723" s="2"/>
      <c r="D723" s="2"/>
      <c r="E723" s="2"/>
      <c r="F723" s="2"/>
      <c r="G723" s="2"/>
      <c r="H723" s="2"/>
      <c r="I723" s="2"/>
      <c r="J723" s="2"/>
      <c r="K723" s="2"/>
      <c r="L723" s="2"/>
      <c r="M723" s="2"/>
      <c r="N723" s="2"/>
      <c r="O723" s="2"/>
      <c r="P723" s="2"/>
      <c r="Q723" s="2"/>
      <c r="R723" s="2"/>
      <c r="S723" s="2"/>
      <c r="T723" s="2"/>
      <c r="U723" s="2"/>
    </row>
    <row r="724">
      <c r="A724" s="2"/>
      <c r="B724" s="2"/>
      <c r="C724" s="2"/>
      <c r="D724" s="2"/>
      <c r="E724" s="2"/>
      <c r="F724" s="2"/>
      <c r="G724" s="2"/>
      <c r="H724" s="2"/>
      <c r="I724" s="2"/>
      <c r="J724" s="2"/>
      <c r="K724" s="2"/>
      <c r="L724" s="2"/>
      <c r="M724" s="2"/>
      <c r="N724" s="2"/>
      <c r="O724" s="2"/>
      <c r="P724" s="2"/>
      <c r="Q724" s="2"/>
      <c r="R724" s="2"/>
      <c r="S724" s="2"/>
      <c r="T724" s="2"/>
      <c r="U724" s="2"/>
    </row>
    <row r="725">
      <c r="A725" s="2"/>
      <c r="B725" s="2"/>
      <c r="C725" s="2"/>
      <c r="D725" s="2"/>
      <c r="E725" s="2"/>
      <c r="F725" s="2"/>
      <c r="G725" s="2"/>
      <c r="H725" s="2"/>
      <c r="I725" s="2"/>
      <c r="J725" s="2"/>
      <c r="K725" s="2"/>
      <c r="L725" s="2"/>
      <c r="M725" s="2"/>
      <c r="N725" s="2"/>
      <c r="O725" s="2"/>
      <c r="P725" s="2"/>
      <c r="Q725" s="2"/>
      <c r="R725" s="2"/>
      <c r="S725" s="2"/>
      <c r="T725" s="2"/>
      <c r="U725" s="2"/>
    </row>
    <row r="726">
      <c r="A726" s="2"/>
      <c r="B726" s="2"/>
      <c r="C726" s="2"/>
      <c r="D726" s="2"/>
      <c r="E726" s="2"/>
      <c r="F726" s="2"/>
      <c r="G726" s="2"/>
      <c r="H726" s="2"/>
      <c r="I726" s="2"/>
      <c r="J726" s="2"/>
      <c r="K726" s="2"/>
      <c r="L726" s="2"/>
      <c r="M726" s="2"/>
      <c r="N726" s="2"/>
      <c r="O726" s="2"/>
      <c r="P726" s="2"/>
      <c r="Q726" s="2"/>
      <c r="R726" s="2"/>
      <c r="S726" s="2"/>
      <c r="T726" s="2"/>
      <c r="U726" s="2"/>
    </row>
    <row r="727">
      <c r="A727" s="2"/>
      <c r="B727" s="2"/>
      <c r="C727" s="2"/>
      <c r="D727" s="2"/>
      <c r="E727" s="2"/>
      <c r="F727" s="2"/>
      <c r="G727" s="2"/>
      <c r="H727" s="2"/>
      <c r="I727" s="2"/>
      <c r="J727" s="2"/>
      <c r="K727" s="2"/>
      <c r="L727" s="2"/>
      <c r="M727" s="2"/>
      <c r="N727" s="2"/>
      <c r="O727" s="2"/>
      <c r="P727" s="2"/>
      <c r="Q727" s="2"/>
      <c r="R727" s="2"/>
      <c r="S727" s="2"/>
      <c r="T727" s="2"/>
      <c r="U727" s="2"/>
    </row>
    <row r="728">
      <c r="A728" s="2"/>
      <c r="B728" s="2"/>
      <c r="C728" s="2"/>
      <c r="D728" s="2"/>
      <c r="E728" s="2"/>
      <c r="F728" s="2"/>
      <c r="G728" s="2"/>
      <c r="H728" s="2"/>
      <c r="I728" s="2"/>
      <c r="J728" s="2"/>
      <c r="K728" s="2"/>
      <c r="L728" s="2"/>
      <c r="M728" s="2"/>
      <c r="N728" s="2"/>
      <c r="O728" s="2"/>
      <c r="P728" s="2"/>
      <c r="Q728" s="2"/>
      <c r="R728" s="2"/>
      <c r="S728" s="2"/>
      <c r="T728" s="2"/>
      <c r="U728" s="2"/>
    </row>
    <row r="729">
      <c r="A729" s="2"/>
      <c r="B729" s="2"/>
      <c r="C729" s="2"/>
      <c r="D729" s="2"/>
      <c r="E729" s="2"/>
      <c r="F729" s="2"/>
      <c r="G729" s="2"/>
      <c r="H729" s="2"/>
      <c r="I729" s="2"/>
      <c r="J729" s="2"/>
      <c r="K729" s="2"/>
      <c r="L729" s="2"/>
      <c r="M729" s="2"/>
      <c r="N729" s="2"/>
      <c r="O729" s="2"/>
      <c r="P729" s="2"/>
      <c r="Q729" s="2"/>
      <c r="R729" s="2"/>
      <c r="S729" s="2"/>
      <c r="T729" s="2"/>
      <c r="U729" s="2"/>
    </row>
    <row r="730">
      <c r="A730" s="2"/>
      <c r="B730" s="2"/>
      <c r="C730" s="2"/>
      <c r="D730" s="2"/>
      <c r="E730" s="2"/>
      <c r="F730" s="2"/>
      <c r="G730" s="2"/>
      <c r="H730" s="2"/>
      <c r="I730" s="2"/>
      <c r="J730" s="2"/>
      <c r="K730" s="2"/>
      <c r="L730" s="2"/>
      <c r="M730" s="2"/>
      <c r="N730" s="2"/>
      <c r="O730" s="2"/>
      <c r="P730" s="2"/>
      <c r="Q730" s="2"/>
      <c r="R730" s="2"/>
      <c r="S730" s="2"/>
      <c r="T730" s="2"/>
      <c r="U730" s="2"/>
    </row>
    <row r="731">
      <c r="A731" s="2"/>
      <c r="B731" s="2"/>
      <c r="C731" s="2"/>
      <c r="D731" s="2"/>
      <c r="E731" s="2"/>
      <c r="F731" s="2"/>
      <c r="G731" s="2"/>
      <c r="H731" s="2"/>
      <c r="I731" s="2"/>
      <c r="J731" s="2"/>
      <c r="K731" s="2"/>
      <c r="L731" s="2"/>
      <c r="M731" s="2"/>
      <c r="N731" s="2"/>
      <c r="O731" s="2"/>
      <c r="P731" s="2"/>
      <c r="Q731" s="2"/>
      <c r="R731" s="2"/>
      <c r="S731" s="2"/>
      <c r="T731" s="2"/>
      <c r="U731" s="2"/>
    </row>
    <row r="732">
      <c r="A732" s="2"/>
      <c r="B732" s="2"/>
      <c r="C732" s="2"/>
      <c r="D732" s="2"/>
      <c r="E732" s="2"/>
      <c r="F732" s="2"/>
      <c r="G732" s="2"/>
      <c r="H732" s="2"/>
      <c r="I732" s="2"/>
      <c r="J732" s="2"/>
      <c r="K732" s="2"/>
      <c r="L732" s="2"/>
      <c r="M732" s="2"/>
      <c r="N732" s="2"/>
      <c r="O732" s="2"/>
      <c r="P732" s="2"/>
      <c r="Q732" s="2"/>
      <c r="R732" s="2"/>
      <c r="S732" s="2"/>
      <c r="T732" s="2"/>
      <c r="U732" s="2"/>
    </row>
    <row r="733">
      <c r="A733" s="2"/>
      <c r="B733" s="2"/>
      <c r="C733" s="2"/>
      <c r="D733" s="2"/>
      <c r="E733" s="2"/>
      <c r="F733" s="2"/>
      <c r="G733" s="2"/>
      <c r="H733" s="2"/>
      <c r="I733" s="2"/>
      <c r="J733" s="2"/>
      <c r="K733" s="2"/>
      <c r="L733" s="2"/>
      <c r="M733" s="2"/>
      <c r="N733" s="2"/>
      <c r="O733" s="2"/>
      <c r="P733" s="2"/>
      <c r="Q733" s="2"/>
      <c r="R733" s="2"/>
      <c r="S733" s="2"/>
      <c r="T733" s="2"/>
      <c r="U733" s="2"/>
    </row>
    <row r="734">
      <c r="A734" s="2"/>
      <c r="B734" s="2"/>
      <c r="C734" s="2"/>
      <c r="D734" s="2"/>
      <c r="E734" s="2"/>
      <c r="F734" s="2"/>
      <c r="G734" s="2"/>
      <c r="H734" s="2"/>
      <c r="I734" s="2"/>
      <c r="J734" s="2"/>
      <c r="K734" s="2"/>
      <c r="L734" s="2"/>
      <c r="M734" s="2"/>
      <c r="N734" s="2"/>
      <c r="O734" s="2"/>
      <c r="P734" s="2"/>
      <c r="Q734" s="2"/>
      <c r="R734" s="2"/>
      <c r="S734" s="2"/>
      <c r="T734" s="2"/>
      <c r="U734" s="2"/>
    </row>
    <row r="735">
      <c r="A735" s="2"/>
      <c r="B735" s="2"/>
      <c r="C735" s="2"/>
      <c r="D735" s="2"/>
      <c r="E735" s="2"/>
      <c r="F735" s="2"/>
      <c r="G735" s="2"/>
      <c r="H735" s="2"/>
      <c r="I735" s="2"/>
      <c r="J735" s="2"/>
      <c r="K735" s="2"/>
      <c r="L735" s="2"/>
      <c r="M735" s="2"/>
      <c r="N735" s="2"/>
      <c r="O735" s="2"/>
      <c r="P735" s="2"/>
      <c r="Q735" s="2"/>
      <c r="R735" s="2"/>
      <c r="S735" s="2"/>
      <c r="T735" s="2"/>
      <c r="U735" s="2"/>
    </row>
    <row r="736">
      <c r="A736" s="2"/>
      <c r="B736" s="2"/>
      <c r="C736" s="2"/>
      <c r="D736" s="2"/>
      <c r="E736" s="2"/>
      <c r="F736" s="2"/>
      <c r="G736" s="2"/>
      <c r="H736" s="2"/>
      <c r="I736" s="2"/>
      <c r="J736" s="2"/>
      <c r="K736" s="2"/>
      <c r="L736" s="2"/>
      <c r="M736" s="2"/>
      <c r="N736" s="2"/>
      <c r="O736" s="2"/>
      <c r="P736" s="2"/>
      <c r="Q736" s="2"/>
      <c r="R736" s="2"/>
      <c r="S736" s="2"/>
      <c r="T736" s="2"/>
      <c r="U736" s="2"/>
    </row>
    <row r="737">
      <c r="A737" s="2"/>
      <c r="B737" s="2"/>
      <c r="C737" s="2"/>
      <c r="D737" s="2"/>
      <c r="E737" s="2"/>
      <c r="F737" s="2"/>
      <c r="G737" s="2"/>
      <c r="H737" s="2"/>
      <c r="I737" s="2"/>
      <c r="J737" s="2"/>
      <c r="K737" s="2"/>
      <c r="L737" s="2"/>
      <c r="M737" s="2"/>
      <c r="N737" s="2"/>
      <c r="O737" s="2"/>
      <c r="P737" s="2"/>
      <c r="Q737" s="2"/>
      <c r="R737" s="2"/>
      <c r="S737" s="2"/>
      <c r="T737" s="2"/>
      <c r="U737" s="2"/>
    </row>
    <row r="738">
      <c r="A738" s="2"/>
      <c r="B738" s="2"/>
      <c r="C738" s="2"/>
      <c r="D738" s="2"/>
      <c r="E738" s="2"/>
      <c r="F738" s="2"/>
      <c r="G738" s="2"/>
      <c r="H738" s="2"/>
      <c r="I738" s="2"/>
      <c r="J738" s="2"/>
      <c r="K738" s="2"/>
      <c r="L738" s="2"/>
      <c r="M738" s="2"/>
      <c r="N738" s="2"/>
      <c r="O738" s="2"/>
      <c r="P738" s="2"/>
      <c r="Q738" s="2"/>
      <c r="R738" s="2"/>
      <c r="S738" s="2"/>
      <c r="T738" s="2"/>
      <c r="U738" s="2"/>
    </row>
    <row r="739">
      <c r="A739" s="2"/>
      <c r="B739" s="2"/>
      <c r="C739" s="2"/>
      <c r="D739" s="2"/>
      <c r="E739" s="2"/>
      <c r="F739" s="2"/>
      <c r="G739" s="2"/>
      <c r="H739" s="2"/>
      <c r="I739" s="2"/>
      <c r="J739" s="2"/>
      <c r="K739" s="2"/>
      <c r="L739" s="2"/>
      <c r="M739" s="2"/>
      <c r="N739" s="2"/>
      <c r="O739" s="2"/>
      <c r="P739" s="2"/>
      <c r="Q739" s="2"/>
      <c r="R739" s="2"/>
      <c r="S739" s="2"/>
      <c r="T739" s="2"/>
      <c r="U739" s="2"/>
    </row>
    <row r="740">
      <c r="A740" s="2"/>
      <c r="B740" s="2"/>
      <c r="C740" s="2"/>
      <c r="D740" s="2"/>
      <c r="E740" s="2"/>
      <c r="F740" s="2"/>
      <c r="G740" s="2"/>
      <c r="H740" s="2"/>
      <c r="I740" s="2"/>
      <c r="J740" s="2"/>
      <c r="K740" s="2"/>
      <c r="L740" s="2"/>
      <c r="M740" s="2"/>
      <c r="N740" s="2"/>
      <c r="O740" s="2"/>
      <c r="P740" s="2"/>
      <c r="Q740" s="2"/>
      <c r="R740" s="2"/>
      <c r="S740" s="2"/>
      <c r="T740" s="2"/>
      <c r="U740" s="2"/>
    </row>
    <row r="741">
      <c r="A741" s="2"/>
      <c r="B741" s="2"/>
      <c r="C741" s="2"/>
      <c r="D741" s="2"/>
      <c r="E741" s="2"/>
      <c r="F741" s="2"/>
      <c r="G741" s="2"/>
      <c r="H741" s="2"/>
      <c r="I741" s="2"/>
      <c r="J741" s="2"/>
      <c r="K741" s="2"/>
      <c r="L741" s="2"/>
      <c r="M741" s="2"/>
      <c r="N741" s="2"/>
      <c r="O741" s="2"/>
      <c r="P741" s="2"/>
      <c r="Q741" s="2"/>
      <c r="R741" s="2"/>
      <c r="S741" s="2"/>
      <c r="T741" s="2"/>
      <c r="U741" s="2"/>
    </row>
    <row r="742">
      <c r="A742" s="2"/>
      <c r="B742" s="2"/>
      <c r="C742" s="2"/>
      <c r="D742" s="2"/>
      <c r="E742" s="2"/>
      <c r="F742" s="2"/>
      <c r="G742" s="2"/>
      <c r="H742" s="2"/>
      <c r="I742" s="2"/>
      <c r="J742" s="2"/>
      <c r="K742" s="2"/>
      <c r="L742" s="2"/>
      <c r="M742" s="2"/>
      <c r="N742" s="2"/>
      <c r="O742" s="2"/>
      <c r="P742" s="2"/>
      <c r="Q742" s="2"/>
      <c r="R742" s="2"/>
      <c r="S742" s="2"/>
      <c r="T742" s="2"/>
      <c r="U742" s="2"/>
    </row>
    <row r="743">
      <c r="A743" s="2"/>
      <c r="B743" s="2"/>
      <c r="C743" s="2"/>
      <c r="D743" s="2"/>
      <c r="E743" s="2"/>
      <c r="F743" s="2"/>
      <c r="G743" s="2"/>
      <c r="H743" s="2"/>
      <c r="I743" s="2"/>
      <c r="J743" s="2"/>
      <c r="K743" s="2"/>
      <c r="L743" s="2"/>
      <c r="M743" s="2"/>
      <c r="N743" s="2"/>
      <c r="O743" s="2"/>
      <c r="P743" s="2"/>
      <c r="Q743" s="2"/>
      <c r="R743" s="2"/>
      <c r="S743" s="2"/>
      <c r="T743" s="2"/>
      <c r="U743" s="2"/>
    </row>
    <row r="744">
      <c r="A744" s="2"/>
      <c r="B744" s="2"/>
      <c r="C744" s="2"/>
      <c r="D744" s="2"/>
      <c r="E744" s="2"/>
      <c r="F744" s="2"/>
      <c r="G744" s="2"/>
      <c r="H744" s="2"/>
      <c r="I744" s="2"/>
      <c r="J744" s="2"/>
      <c r="K744" s="2"/>
      <c r="L744" s="2"/>
      <c r="M744" s="2"/>
      <c r="N744" s="2"/>
      <c r="O744" s="2"/>
      <c r="P744" s="2"/>
      <c r="Q744" s="2"/>
      <c r="R744" s="2"/>
      <c r="S744" s="2"/>
      <c r="T744" s="2"/>
      <c r="U744" s="2"/>
    </row>
    <row r="745">
      <c r="A745" s="2"/>
      <c r="B745" s="2"/>
      <c r="C745" s="2"/>
      <c r="D745" s="2"/>
      <c r="E745" s="2"/>
      <c r="F745" s="2"/>
      <c r="G745" s="2"/>
      <c r="H745" s="2"/>
      <c r="I745" s="2"/>
      <c r="J745" s="2"/>
      <c r="K745" s="2"/>
      <c r="L745" s="2"/>
      <c r="M745" s="2"/>
      <c r="N745" s="2"/>
      <c r="O745" s="2"/>
      <c r="P745" s="2"/>
      <c r="Q745" s="2"/>
      <c r="R745" s="2"/>
      <c r="S745" s="2"/>
      <c r="T745" s="2"/>
      <c r="U745" s="2"/>
    </row>
    <row r="746">
      <c r="A746" s="2"/>
      <c r="B746" s="2"/>
      <c r="C746" s="2"/>
      <c r="D746" s="2"/>
      <c r="E746" s="2"/>
      <c r="F746" s="2"/>
      <c r="G746" s="2"/>
      <c r="H746" s="2"/>
      <c r="I746" s="2"/>
      <c r="J746" s="2"/>
      <c r="K746" s="2"/>
      <c r="L746" s="2"/>
      <c r="M746" s="2"/>
      <c r="N746" s="2"/>
      <c r="O746" s="2"/>
      <c r="P746" s="2"/>
      <c r="Q746" s="2"/>
      <c r="R746" s="2"/>
      <c r="S746" s="2"/>
      <c r="T746" s="2"/>
      <c r="U746" s="2"/>
    </row>
    <row r="747">
      <c r="A747" s="2"/>
      <c r="B747" s="2"/>
      <c r="C747" s="2"/>
      <c r="D747" s="2"/>
      <c r="E747" s="2"/>
      <c r="F747" s="2"/>
      <c r="G747" s="2"/>
      <c r="H747" s="2"/>
      <c r="I747" s="2"/>
      <c r="J747" s="2"/>
      <c r="K747" s="2"/>
      <c r="L747" s="2"/>
      <c r="M747" s="2"/>
      <c r="N747" s="2"/>
      <c r="O747" s="2"/>
      <c r="P747" s="2"/>
      <c r="Q747" s="2"/>
      <c r="R747" s="2"/>
      <c r="S747" s="2"/>
      <c r="T747" s="2"/>
      <c r="U747" s="2"/>
    </row>
    <row r="748">
      <c r="A748" s="2"/>
      <c r="B748" s="2"/>
      <c r="C748" s="2"/>
      <c r="D748" s="2"/>
      <c r="E748" s="2"/>
      <c r="F748" s="2"/>
      <c r="G748" s="2"/>
      <c r="H748" s="2"/>
      <c r="I748" s="2"/>
      <c r="J748" s="2"/>
      <c r="K748" s="2"/>
      <c r="L748" s="2"/>
      <c r="M748" s="2"/>
      <c r="N748" s="2"/>
      <c r="O748" s="2"/>
      <c r="P748" s="2"/>
      <c r="Q748" s="2"/>
      <c r="R748" s="2"/>
      <c r="S748" s="2"/>
      <c r="T748" s="2"/>
      <c r="U748" s="2"/>
    </row>
    <row r="749">
      <c r="A749" s="2"/>
      <c r="B749" s="2"/>
      <c r="C749" s="2"/>
      <c r="D749" s="2"/>
      <c r="E749" s="2"/>
      <c r="F749" s="2"/>
      <c r="G749" s="2"/>
      <c r="H749" s="2"/>
      <c r="I749" s="2"/>
      <c r="J749" s="2"/>
      <c r="K749" s="2"/>
      <c r="L749" s="2"/>
      <c r="M749" s="2"/>
      <c r="N749" s="2"/>
      <c r="O749" s="2"/>
      <c r="P749" s="2"/>
      <c r="Q749" s="2"/>
      <c r="R749" s="2"/>
      <c r="S749" s="2"/>
      <c r="T749" s="2"/>
      <c r="U749" s="2"/>
    </row>
    <row r="750">
      <c r="A750" s="2"/>
      <c r="B750" s="2"/>
      <c r="C750" s="2"/>
      <c r="D750" s="2"/>
      <c r="E750" s="2"/>
      <c r="F750" s="2"/>
      <c r="G750" s="2"/>
      <c r="H750" s="2"/>
      <c r="I750" s="2"/>
      <c r="J750" s="2"/>
      <c r="K750" s="2"/>
      <c r="L750" s="2"/>
      <c r="M750" s="2"/>
      <c r="N750" s="2"/>
      <c r="O750" s="2"/>
      <c r="P750" s="2"/>
      <c r="Q750" s="2"/>
      <c r="R750" s="2"/>
      <c r="S750" s="2"/>
      <c r="T750" s="2"/>
      <c r="U750" s="2"/>
    </row>
    <row r="751">
      <c r="A751" s="2"/>
      <c r="B751" s="2"/>
      <c r="C751" s="2"/>
      <c r="D751" s="2"/>
      <c r="E751" s="2"/>
      <c r="F751" s="2"/>
      <c r="G751" s="2"/>
      <c r="H751" s="2"/>
      <c r="I751" s="2"/>
      <c r="J751" s="2"/>
      <c r="K751" s="2"/>
      <c r="L751" s="2"/>
      <c r="M751" s="2"/>
      <c r="N751" s="2"/>
      <c r="O751" s="2"/>
      <c r="P751" s="2"/>
      <c r="Q751" s="2"/>
      <c r="R751" s="2"/>
      <c r="S751" s="2"/>
      <c r="T751" s="2"/>
      <c r="U751" s="2"/>
    </row>
    <row r="752">
      <c r="A752" s="2"/>
      <c r="B752" s="2"/>
      <c r="C752" s="2"/>
      <c r="D752" s="2"/>
      <c r="E752" s="2"/>
      <c r="F752" s="2"/>
      <c r="G752" s="2"/>
      <c r="H752" s="2"/>
      <c r="I752" s="2"/>
      <c r="J752" s="2"/>
      <c r="K752" s="2"/>
      <c r="L752" s="2"/>
      <c r="M752" s="2"/>
      <c r="N752" s="2"/>
      <c r="O752" s="2"/>
      <c r="P752" s="2"/>
      <c r="Q752" s="2"/>
      <c r="R752" s="2"/>
      <c r="S752" s="2"/>
      <c r="T752" s="2"/>
      <c r="U752" s="2"/>
    </row>
    <row r="753">
      <c r="A753" s="2"/>
      <c r="B753" s="2"/>
      <c r="C753" s="2"/>
      <c r="D753" s="2"/>
      <c r="E753" s="2"/>
      <c r="F753" s="2"/>
      <c r="G753" s="2"/>
      <c r="H753" s="2"/>
      <c r="I753" s="2"/>
      <c r="J753" s="2"/>
      <c r="K753" s="2"/>
      <c r="L753" s="2"/>
      <c r="M753" s="2"/>
      <c r="N753" s="2"/>
      <c r="O753" s="2"/>
      <c r="P753" s="2"/>
      <c r="Q753" s="2"/>
      <c r="R753" s="2"/>
      <c r="S753" s="2"/>
      <c r="T753" s="2"/>
      <c r="U753" s="2"/>
    </row>
    <row r="754">
      <c r="A754" s="2"/>
      <c r="B754" s="2"/>
      <c r="C754" s="2"/>
      <c r="D754" s="2"/>
      <c r="E754" s="2"/>
      <c r="F754" s="2"/>
      <c r="G754" s="2"/>
      <c r="H754" s="2"/>
      <c r="I754" s="2"/>
      <c r="J754" s="2"/>
      <c r="K754" s="2"/>
      <c r="L754" s="2"/>
      <c r="M754" s="2"/>
      <c r="N754" s="2"/>
      <c r="O754" s="2"/>
      <c r="P754" s="2"/>
      <c r="Q754" s="2"/>
      <c r="R754" s="2"/>
      <c r="S754" s="2"/>
      <c r="T754" s="2"/>
      <c r="U754" s="2"/>
    </row>
    <row r="755">
      <c r="A755" s="2"/>
      <c r="B755" s="2"/>
      <c r="C755" s="2"/>
      <c r="D755" s="2"/>
      <c r="E755" s="2"/>
      <c r="F755" s="2"/>
      <c r="G755" s="2"/>
      <c r="H755" s="2"/>
      <c r="I755" s="2"/>
      <c r="J755" s="2"/>
      <c r="K755" s="2"/>
      <c r="L755" s="2"/>
      <c r="M755" s="2"/>
      <c r="N755" s="2"/>
      <c r="O755" s="2"/>
      <c r="P755" s="2"/>
      <c r="Q755" s="2"/>
      <c r="R755" s="2"/>
      <c r="S755" s="2"/>
      <c r="T755" s="2"/>
      <c r="U755" s="2"/>
    </row>
    <row r="756">
      <c r="A756" s="2"/>
      <c r="B756" s="2"/>
      <c r="C756" s="2"/>
      <c r="D756" s="2"/>
      <c r="E756" s="2"/>
      <c r="F756" s="2"/>
      <c r="G756" s="2"/>
      <c r="H756" s="2"/>
      <c r="I756" s="2"/>
      <c r="J756" s="2"/>
      <c r="K756" s="2"/>
      <c r="L756" s="2"/>
      <c r="M756" s="2"/>
      <c r="N756" s="2"/>
      <c r="O756" s="2"/>
      <c r="P756" s="2"/>
      <c r="Q756" s="2"/>
      <c r="R756" s="2"/>
      <c r="S756" s="2"/>
      <c r="T756" s="2"/>
      <c r="U756" s="2"/>
    </row>
    <row r="757">
      <c r="A757" s="2"/>
      <c r="B757" s="2"/>
      <c r="C757" s="2"/>
      <c r="D757" s="2"/>
      <c r="E757" s="2"/>
      <c r="F757" s="2"/>
      <c r="G757" s="2"/>
      <c r="H757" s="2"/>
      <c r="I757" s="2"/>
      <c r="J757" s="2"/>
      <c r="K757" s="2"/>
      <c r="L757" s="2"/>
      <c r="M757" s="2"/>
      <c r="N757" s="2"/>
      <c r="O757" s="2"/>
      <c r="P757" s="2"/>
      <c r="Q757" s="2"/>
      <c r="R757" s="2"/>
      <c r="S757" s="2"/>
      <c r="T757" s="2"/>
      <c r="U757" s="2"/>
    </row>
    <row r="758">
      <c r="A758" s="2"/>
      <c r="B758" s="2"/>
      <c r="C758" s="2"/>
      <c r="D758" s="2"/>
      <c r="E758" s="2"/>
      <c r="F758" s="2"/>
      <c r="G758" s="2"/>
      <c r="H758" s="2"/>
      <c r="I758" s="2"/>
      <c r="J758" s="2"/>
      <c r="K758" s="2"/>
      <c r="L758" s="2"/>
      <c r="M758" s="2"/>
      <c r="N758" s="2"/>
      <c r="O758" s="2"/>
      <c r="P758" s="2"/>
      <c r="Q758" s="2"/>
      <c r="R758" s="2"/>
      <c r="S758" s="2"/>
      <c r="T758" s="2"/>
      <c r="U758" s="2"/>
    </row>
    <row r="759">
      <c r="A759" s="2"/>
      <c r="B759" s="2"/>
      <c r="C759" s="2"/>
      <c r="D759" s="2"/>
      <c r="E759" s="2"/>
      <c r="F759" s="2"/>
      <c r="G759" s="2"/>
      <c r="H759" s="2"/>
      <c r="I759" s="2"/>
      <c r="J759" s="2"/>
      <c r="K759" s="2"/>
      <c r="L759" s="2"/>
      <c r="M759" s="2"/>
      <c r="N759" s="2"/>
      <c r="O759" s="2"/>
      <c r="P759" s="2"/>
      <c r="Q759" s="2"/>
      <c r="R759" s="2"/>
      <c r="S759" s="2"/>
      <c r="T759" s="2"/>
      <c r="U759" s="2"/>
    </row>
    <row r="760">
      <c r="A760" s="2"/>
      <c r="B760" s="2"/>
      <c r="C760" s="2"/>
      <c r="D760" s="2"/>
      <c r="E760" s="2"/>
      <c r="F760" s="2"/>
      <c r="G760" s="2"/>
      <c r="H760" s="2"/>
      <c r="I760" s="2"/>
      <c r="J760" s="2"/>
      <c r="K760" s="2"/>
      <c r="L760" s="2"/>
      <c r="M760" s="2"/>
      <c r="N760" s="2"/>
      <c r="O760" s="2"/>
      <c r="P760" s="2"/>
      <c r="Q760" s="2"/>
      <c r="R760" s="2"/>
      <c r="S760" s="2"/>
      <c r="T760" s="2"/>
      <c r="U760" s="2"/>
    </row>
    <row r="761">
      <c r="A761" s="2"/>
      <c r="B761" s="2"/>
      <c r="C761" s="2"/>
      <c r="D761" s="2"/>
      <c r="E761" s="2"/>
      <c r="F761" s="2"/>
      <c r="G761" s="2"/>
      <c r="H761" s="2"/>
      <c r="I761" s="2"/>
      <c r="J761" s="2"/>
      <c r="K761" s="2"/>
      <c r="L761" s="2"/>
      <c r="M761" s="2"/>
      <c r="N761" s="2"/>
      <c r="O761" s="2"/>
      <c r="P761" s="2"/>
      <c r="Q761" s="2"/>
      <c r="R761" s="2"/>
      <c r="S761" s="2"/>
      <c r="T761" s="2"/>
      <c r="U761" s="2"/>
    </row>
    <row r="762">
      <c r="A762" s="2"/>
      <c r="B762" s="2"/>
      <c r="C762" s="2"/>
      <c r="D762" s="2"/>
      <c r="E762" s="2"/>
      <c r="F762" s="2"/>
      <c r="G762" s="2"/>
      <c r="H762" s="2"/>
      <c r="I762" s="2"/>
      <c r="J762" s="2"/>
      <c r="K762" s="2"/>
      <c r="L762" s="2"/>
      <c r="M762" s="2"/>
      <c r="N762" s="2"/>
      <c r="O762" s="2"/>
      <c r="P762" s="2"/>
      <c r="Q762" s="2"/>
      <c r="R762" s="2"/>
      <c r="S762" s="2"/>
      <c r="T762" s="2"/>
      <c r="U762" s="2"/>
    </row>
    <row r="763">
      <c r="A763" s="2"/>
      <c r="B763" s="2"/>
      <c r="C763" s="2"/>
      <c r="D763" s="2"/>
      <c r="E763" s="2"/>
      <c r="F763" s="2"/>
      <c r="G763" s="2"/>
      <c r="H763" s="2"/>
      <c r="I763" s="2"/>
      <c r="J763" s="2"/>
      <c r="K763" s="2"/>
      <c r="L763" s="2"/>
      <c r="M763" s="2"/>
      <c r="N763" s="2"/>
      <c r="O763" s="2"/>
      <c r="P763" s="2"/>
      <c r="Q763" s="2"/>
      <c r="R763" s="2"/>
      <c r="S763" s="2"/>
      <c r="T763" s="2"/>
      <c r="U763" s="2"/>
    </row>
    <row r="764">
      <c r="A764" s="2"/>
      <c r="B764" s="2"/>
      <c r="C764" s="2"/>
      <c r="D764" s="2"/>
      <c r="E764" s="2"/>
      <c r="F764" s="2"/>
      <c r="G764" s="2"/>
      <c r="H764" s="2"/>
      <c r="I764" s="2"/>
      <c r="J764" s="2"/>
      <c r="K764" s="2"/>
      <c r="L764" s="2"/>
      <c r="M764" s="2"/>
      <c r="N764" s="2"/>
      <c r="O764" s="2"/>
      <c r="P764" s="2"/>
      <c r="Q764" s="2"/>
      <c r="R764" s="2"/>
      <c r="S764" s="2"/>
      <c r="T764" s="2"/>
      <c r="U764" s="2"/>
    </row>
    <row r="765">
      <c r="A765" s="2"/>
      <c r="B765" s="2"/>
      <c r="C765" s="2"/>
      <c r="D765" s="2"/>
      <c r="E765" s="2"/>
      <c r="F765" s="2"/>
      <c r="G765" s="2"/>
      <c r="H765" s="2"/>
      <c r="I765" s="2"/>
      <c r="J765" s="2"/>
      <c r="K765" s="2"/>
      <c r="L765" s="2"/>
      <c r="M765" s="2"/>
      <c r="N765" s="2"/>
      <c r="O765" s="2"/>
      <c r="P765" s="2"/>
      <c r="Q765" s="2"/>
      <c r="R765" s="2"/>
      <c r="S765" s="2"/>
      <c r="T765" s="2"/>
      <c r="U765" s="2"/>
    </row>
    <row r="766">
      <c r="A766" s="2"/>
      <c r="B766" s="2"/>
      <c r="C766" s="2"/>
      <c r="D766" s="2"/>
      <c r="E766" s="2"/>
      <c r="F766" s="2"/>
      <c r="G766" s="2"/>
      <c r="H766" s="2"/>
      <c r="I766" s="2"/>
      <c r="J766" s="2"/>
      <c r="K766" s="2"/>
      <c r="L766" s="2"/>
      <c r="M766" s="2"/>
      <c r="N766" s="2"/>
      <c r="O766" s="2"/>
      <c r="P766" s="2"/>
      <c r="Q766" s="2"/>
      <c r="R766" s="2"/>
      <c r="S766" s="2"/>
      <c r="T766" s="2"/>
      <c r="U766" s="2"/>
    </row>
    <row r="767">
      <c r="A767" s="2"/>
      <c r="B767" s="2"/>
      <c r="C767" s="2"/>
      <c r="D767" s="2"/>
      <c r="E767" s="2"/>
      <c r="F767" s="2"/>
      <c r="G767" s="2"/>
      <c r="H767" s="2"/>
      <c r="I767" s="2"/>
      <c r="J767" s="2"/>
      <c r="K767" s="2"/>
      <c r="L767" s="2"/>
      <c r="M767" s="2"/>
      <c r="N767" s="2"/>
      <c r="O767" s="2"/>
      <c r="P767" s="2"/>
      <c r="Q767" s="2"/>
      <c r="R767" s="2"/>
      <c r="S767" s="2"/>
      <c r="T767" s="2"/>
      <c r="U767" s="2"/>
    </row>
    <row r="768">
      <c r="A768" s="2"/>
      <c r="B768" s="2"/>
      <c r="C768" s="2"/>
      <c r="D768" s="2"/>
      <c r="E768" s="2"/>
      <c r="F768" s="2"/>
      <c r="G768" s="2"/>
      <c r="H768" s="2"/>
      <c r="I768" s="2"/>
      <c r="J768" s="2"/>
      <c r="K768" s="2"/>
      <c r="L768" s="2"/>
      <c r="M768" s="2"/>
      <c r="N768" s="2"/>
      <c r="O768" s="2"/>
      <c r="P768" s="2"/>
      <c r="Q768" s="2"/>
      <c r="R768" s="2"/>
      <c r="S768" s="2"/>
      <c r="T768" s="2"/>
      <c r="U768" s="2"/>
    </row>
    <row r="769">
      <c r="A769" s="2"/>
      <c r="B769" s="2"/>
      <c r="C769" s="2"/>
      <c r="D769" s="2"/>
      <c r="E769" s="2"/>
      <c r="F769" s="2"/>
      <c r="G769" s="2"/>
      <c r="H769" s="2"/>
      <c r="I769" s="2"/>
      <c r="J769" s="2"/>
      <c r="K769" s="2"/>
      <c r="L769" s="2"/>
      <c r="M769" s="2"/>
      <c r="N769" s="2"/>
      <c r="O769" s="2"/>
      <c r="P769" s="2"/>
      <c r="Q769" s="2"/>
      <c r="R769" s="2"/>
      <c r="S769" s="2"/>
      <c r="T769" s="2"/>
      <c r="U769" s="2"/>
    </row>
    <row r="770">
      <c r="A770" s="2"/>
      <c r="B770" s="2"/>
      <c r="C770" s="2"/>
      <c r="D770" s="2"/>
      <c r="E770" s="2"/>
      <c r="F770" s="2"/>
      <c r="G770" s="2"/>
      <c r="H770" s="2"/>
      <c r="I770" s="2"/>
      <c r="J770" s="2"/>
      <c r="K770" s="2"/>
      <c r="L770" s="2"/>
      <c r="M770" s="2"/>
      <c r="N770" s="2"/>
      <c r="O770" s="2"/>
      <c r="P770" s="2"/>
      <c r="Q770" s="2"/>
      <c r="R770" s="2"/>
      <c r="S770" s="2"/>
      <c r="T770" s="2"/>
      <c r="U770" s="2"/>
    </row>
    <row r="771">
      <c r="A771" s="2"/>
      <c r="B771" s="2"/>
      <c r="C771" s="2"/>
      <c r="D771" s="2"/>
      <c r="E771" s="2"/>
      <c r="F771" s="2"/>
      <c r="G771" s="2"/>
      <c r="H771" s="2"/>
      <c r="I771" s="2"/>
      <c r="J771" s="2"/>
      <c r="K771" s="2"/>
      <c r="L771" s="2"/>
      <c r="M771" s="2"/>
      <c r="N771" s="2"/>
      <c r="O771" s="2"/>
      <c r="P771" s="2"/>
      <c r="Q771" s="2"/>
      <c r="R771" s="2"/>
      <c r="S771" s="2"/>
      <c r="T771" s="2"/>
      <c r="U771" s="2"/>
    </row>
    <row r="772">
      <c r="A772" s="2"/>
      <c r="B772" s="2"/>
      <c r="C772" s="2"/>
      <c r="D772" s="2"/>
      <c r="E772" s="2"/>
      <c r="F772" s="2"/>
      <c r="G772" s="2"/>
      <c r="H772" s="2"/>
      <c r="I772" s="2"/>
      <c r="J772" s="2"/>
      <c r="K772" s="2"/>
      <c r="L772" s="2"/>
      <c r="M772" s="2"/>
      <c r="N772" s="2"/>
      <c r="O772" s="2"/>
      <c r="P772" s="2"/>
      <c r="Q772" s="2"/>
      <c r="R772" s="2"/>
      <c r="S772" s="2"/>
      <c r="T772" s="2"/>
      <c r="U772" s="2"/>
    </row>
    <row r="773">
      <c r="A773" s="2"/>
      <c r="B773" s="2"/>
      <c r="C773" s="2"/>
      <c r="D773" s="2"/>
      <c r="E773" s="2"/>
      <c r="F773" s="2"/>
      <c r="G773" s="2"/>
      <c r="H773" s="2"/>
      <c r="I773" s="2"/>
      <c r="J773" s="2"/>
      <c r="K773" s="2"/>
      <c r="L773" s="2"/>
      <c r="M773" s="2"/>
      <c r="N773" s="2"/>
      <c r="O773" s="2"/>
      <c r="P773" s="2"/>
      <c r="Q773" s="2"/>
      <c r="R773" s="2"/>
      <c r="S773" s="2"/>
      <c r="T773" s="2"/>
      <c r="U773" s="2"/>
    </row>
    <row r="774">
      <c r="A774" s="2"/>
      <c r="B774" s="2"/>
      <c r="C774" s="2"/>
      <c r="D774" s="2"/>
      <c r="E774" s="2"/>
      <c r="F774" s="2"/>
      <c r="G774" s="2"/>
      <c r="H774" s="2"/>
      <c r="I774" s="2"/>
      <c r="J774" s="2"/>
      <c r="K774" s="2"/>
      <c r="L774" s="2"/>
      <c r="M774" s="2"/>
      <c r="N774" s="2"/>
      <c r="O774" s="2"/>
      <c r="P774" s="2"/>
      <c r="Q774" s="2"/>
      <c r="R774" s="2"/>
      <c r="S774" s="2"/>
      <c r="T774" s="2"/>
      <c r="U774" s="2"/>
    </row>
    <row r="775">
      <c r="A775" s="2"/>
      <c r="B775" s="2"/>
      <c r="C775" s="2"/>
      <c r="D775" s="2"/>
      <c r="E775" s="2"/>
      <c r="F775" s="2"/>
      <c r="G775" s="2"/>
      <c r="H775" s="2"/>
      <c r="I775" s="2"/>
      <c r="J775" s="2"/>
      <c r="K775" s="2"/>
      <c r="L775" s="2"/>
      <c r="M775" s="2"/>
      <c r="N775" s="2"/>
      <c r="O775" s="2"/>
      <c r="P775" s="2"/>
      <c r="Q775" s="2"/>
      <c r="R775" s="2"/>
      <c r="S775" s="2"/>
      <c r="T775" s="2"/>
      <c r="U775" s="2"/>
    </row>
    <row r="776">
      <c r="A776" s="2"/>
      <c r="B776" s="2"/>
      <c r="C776" s="2"/>
      <c r="D776" s="2"/>
      <c r="E776" s="2"/>
      <c r="F776" s="2"/>
      <c r="G776" s="2"/>
      <c r="H776" s="2"/>
      <c r="I776" s="2"/>
      <c r="J776" s="2"/>
      <c r="K776" s="2"/>
      <c r="L776" s="2"/>
      <c r="M776" s="2"/>
      <c r="N776" s="2"/>
      <c r="O776" s="2"/>
      <c r="P776" s="2"/>
      <c r="Q776" s="2"/>
      <c r="R776" s="2"/>
      <c r="S776" s="2"/>
      <c r="T776" s="2"/>
      <c r="U776" s="2"/>
    </row>
    <row r="777">
      <c r="A777" s="2"/>
      <c r="B777" s="2"/>
      <c r="C777" s="2"/>
      <c r="D777" s="2"/>
      <c r="E777" s="2"/>
      <c r="F777" s="2"/>
      <c r="G777" s="2"/>
      <c r="H777" s="2"/>
      <c r="I777" s="2"/>
      <c r="J777" s="2"/>
      <c r="K777" s="2"/>
      <c r="L777" s="2"/>
      <c r="M777" s="2"/>
      <c r="N777" s="2"/>
      <c r="O777" s="2"/>
      <c r="P777" s="2"/>
      <c r="Q777" s="2"/>
      <c r="R777" s="2"/>
      <c r="S777" s="2"/>
      <c r="T777" s="2"/>
      <c r="U777" s="2"/>
    </row>
    <row r="778">
      <c r="A778" s="2"/>
      <c r="B778" s="2"/>
      <c r="C778" s="2"/>
      <c r="D778" s="2"/>
      <c r="E778" s="2"/>
      <c r="F778" s="2"/>
      <c r="G778" s="2"/>
      <c r="H778" s="2"/>
      <c r="I778" s="2"/>
      <c r="J778" s="2"/>
      <c r="K778" s="2"/>
      <c r="L778" s="2"/>
      <c r="M778" s="2"/>
      <c r="N778" s="2"/>
      <c r="O778" s="2"/>
      <c r="P778" s="2"/>
      <c r="Q778" s="2"/>
      <c r="R778" s="2"/>
      <c r="S778" s="2"/>
      <c r="T778" s="2"/>
      <c r="U778" s="2"/>
    </row>
    <row r="779">
      <c r="A779" s="2"/>
      <c r="B779" s="2"/>
      <c r="C779" s="2"/>
      <c r="D779" s="2"/>
      <c r="E779" s="2"/>
      <c r="F779" s="2"/>
      <c r="G779" s="2"/>
      <c r="H779" s="2"/>
      <c r="I779" s="2"/>
      <c r="J779" s="2"/>
      <c r="K779" s="2"/>
      <c r="L779" s="2"/>
      <c r="M779" s="2"/>
      <c r="N779" s="2"/>
      <c r="O779" s="2"/>
      <c r="P779" s="2"/>
      <c r="Q779" s="2"/>
      <c r="R779" s="2"/>
      <c r="S779" s="2"/>
      <c r="T779" s="2"/>
      <c r="U779" s="2"/>
    </row>
    <row r="780">
      <c r="A780" s="2"/>
      <c r="B780" s="2"/>
      <c r="C780" s="2"/>
      <c r="D780" s="2"/>
      <c r="E780" s="2"/>
      <c r="F780" s="2"/>
      <c r="G780" s="2"/>
      <c r="H780" s="2"/>
      <c r="I780" s="2"/>
      <c r="J780" s="2"/>
      <c r="K780" s="2"/>
      <c r="L780" s="2"/>
      <c r="M780" s="2"/>
      <c r="N780" s="2"/>
      <c r="O780" s="2"/>
      <c r="P780" s="2"/>
      <c r="Q780" s="2"/>
      <c r="R780" s="2"/>
      <c r="S780" s="2"/>
      <c r="T780" s="2"/>
      <c r="U780" s="2"/>
    </row>
    <row r="781">
      <c r="A781" s="2"/>
      <c r="B781" s="2"/>
      <c r="C781" s="2"/>
      <c r="D781" s="2"/>
      <c r="E781" s="2"/>
      <c r="F781" s="2"/>
      <c r="G781" s="2"/>
      <c r="H781" s="2"/>
      <c r="I781" s="2"/>
      <c r="J781" s="2"/>
      <c r="K781" s="2"/>
      <c r="L781" s="2"/>
      <c r="M781" s="2"/>
      <c r="N781" s="2"/>
      <c r="O781" s="2"/>
      <c r="P781" s="2"/>
      <c r="Q781" s="2"/>
      <c r="R781" s="2"/>
      <c r="S781" s="2"/>
      <c r="T781" s="2"/>
      <c r="U781" s="2"/>
    </row>
    <row r="782">
      <c r="A782" s="2"/>
      <c r="B782" s="2"/>
      <c r="C782" s="2"/>
      <c r="D782" s="2"/>
      <c r="E782" s="2"/>
      <c r="F782" s="2"/>
      <c r="G782" s="2"/>
      <c r="H782" s="2"/>
      <c r="I782" s="2"/>
      <c r="J782" s="2"/>
      <c r="K782" s="2"/>
      <c r="L782" s="2"/>
      <c r="M782" s="2"/>
      <c r="N782" s="2"/>
      <c r="O782" s="2"/>
      <c r="P782" s="2"/>
      <c r="Q782" s="2"/>
      <c r="R782" s="2"/>
      <c r="S782" s="2"/>
      <c r="T782" s="2"/>
      <c r="U782" s="2"/>
    </row>
    <row r="783">
      <c r="A783" s="2"/>
      <c r="B783" s="2"/>
      <c r="C783" s="2"/>
      <c r="D783" s="2"/>
      <c r="E783" s="2"/>
      <c r="F783" s="2"/>
      <c r="G783" s="2"/>
      <c r="H783" s="2"/>
      <c r="I783" s="2"/>
      <c r="J783" s="2"/>
      <c r="K783" s="2"/>
      <c r="L783" s="2"/>
      <c r="M783" s="2"/>
      <c r="N783" s="2"/>
      <c r="O783" s="2"/>
      <c r="P783" s="2"/>
      <c r="Q783" s="2"/>
      <c r="R783" s="2"/>
      <c r="S783" s="2"/>
      <c r="T783" s="2"/>
      <c r="U783" s="2"/>
    </row>
    <row r="784">
      <c r="A784" s="2"/>
      <c r="B784" s="2"/>
      <c r="C784" s="2"/>
      <c r="D784" s="2"/>
      <c r="E784" s="2"/>
      <c r="F784" s="2"/>
      <c r="G784" s="2"/>
      <c r="H784" s="2"/>
      <c r="I784" s="2"/>
      <c r="J784" s="2"/>
      <c r="K784" s="2"/>
      <c r="L784" s="2"/>
      <c r="M784" s="2"/>
      <c r="N784" s="2"/>
      <c r="O784" s="2"/>
      <c r="P784" s="2"/>
      <c r="Q784" s="2"/>
      <c r="R784" s="2"/>
      <c r="S784" s="2"/>
      <c r="T784" s="2"/>
      <c r="U784" s="2"/>
    </row>
    <row r="785">
      <c r="A785" s="2"/>
      <c r="B785" s="2"/>
      <c r="C785" s="2"/>
      <c r="D785" s="2"/>
      <c r="E785" s="2"/>
      <c r="F785" s="2"/>
      <c r="G785" s="2"/>
      <c r="H785" s="2"/>
      <c r="I785" s="2"/>
      <c r="J785" s="2"/>
      <c r="K785" s="2"/>
      <c r="L785" s="2"/>
      <c r="M785" s="2"/>
      <c r="N785" s="2"/>
      <c r="O785" s="2"/>
      <c r="P785" s="2"/>
      <c r="Q785" s="2"/>
      <c r="R785" s="2"/>
      <c r="S785" s="2"/>
      <c r="T785" s="2"/>
      <c r="U785" s="2"/>
    </row>
    <row r="786">
      <c r="A786" s="2"/>
      <c r="B786" s="2"/>
      <c r="C786" s="2"/>
      <c r="D786" s="2"/>
      <c r="E786" s="2"/>
      <c r="F786" s="2"/>
      <c r="G786" s="2"/>
      <c r="H786" s="2"/>
      <c r="I786" s="2"/>
      <c r="J786" s="2"/>
      <c r="K786" s="2"/>
      <c r="L786" s="2"/>
      <c r="M786" s="2"/>
      <c r="N786" s="2"/>
      <c r="O786" s="2"/>
      <c r="P786" s="2"/>
      <c r="Q786" s="2"/>
      <c r="R786" s="2"/>
      <c r="S786" s="2"/>
      <c r="T786" s="2"/>
      <c r="U786" s="2"/>
    </row>
    <row r="787">
      <c r="A787" s="2"/>
      <c r="B787" s="2"/>
      <c r="C787" s="2"/>
      <c r="D787" s="2"/>
      <c r="E787" s="2"/>
      <c r="F787" s="2"/>
      <c r="G787" s="2"/>
      <c r="H787" s="2"/>
      <c r="I787" s="2"/>
      <c r="J787" s="2"/>
      <c r="K787" s="2"/>
      <c r="L787" s="2"/>
      <c r="M787" s="2"/>
      <c r="N787" s="2"/>
      <c r="O787" s="2"/>
      <c r="P787" s="2"/>
      <c r="Q787" s="2"/>
      <c r="R787" s="2"/>
      <c r="S787" s="2"/>
      <c r="T787" s="2"/>
      <c r="U787" s="2"/>
    </row>
    <row r="788">
      <c r="A788" s="2"/>
      <c r="B788" s="2"/>
      <c r="C788" s="2"/>
      <c r="D788" s="2"/>
      <c r="E788" s="2"/>
      <c r="F788" s="2"/>
      <c r="G788" s="2"/>
      <c r="H788" s="2"/>
      <c r="I788" s="2"/>
      <c r="J788" s="2"/>
      <c r="K788" s="2"/>
      <c r="L788" s="2"/>
      <c r="M788" s="2"/>
      <c r="N788" s="2"/>
      <c r="O788" s="2"/>
      <c r="P788" s="2"/>
      <c r="Q788" s="2"/>
      <c r="R788" s="2"/>
      <c r="S788" s="2"/>
      <c r="T788" s="2"/>
      <c r="U788" s="2"/>
    </row>
    <row r="789">
      <c r="A789" s="2"/>
      <c r="B789" s="2"/>
      <c r="C789" s="2"/>
      <c r="D789" s="2"/>
      <c r="E789" s="2"/>
      <c r="F789" s="2"/>
      <c r="G789" s="2"/>
      <c r="H789" s="2"/>
      <c r="I789" s="2"/>
      <c r="J789" s="2"/>
      <c r="K789" s="2"/>
      <c r="L789" s="2"/>
      <c r="M789" s="2"/>
      <c r="N789" s="2"/>
      <c r="O789" s="2"/>
      <c r="P789" s="2"/>
      <c r="Q789" s="2"/>
      <c r="R789" s="2"/>
      <c r="S789" s="2"/>
      <c r="T789" s="2"/>
      <c r="U789" s="2"/>
    </row>
    <row r="790">
      <c r="A790" s="2"/>
      <c r="B790" s="2"/>
      <c r="C790" s="2"/>
      <c r="D790" s="2"/>
      <c r="E790" s="2"/>
      <c r="F790" s="2"/>
      <c r="G790" s="2"/>
      <c r="H790" s="2"/>
      <c r="I790" s="2"/>
      <c r="J790" s="2"/>
      <c r="K790" s="2"/>
      <c r="L790" s="2"/>
      <c r="M790" s="2"/>
      <c r="N790" s="2"/>
      <c r="O790" s="2"/>
      <c r="P790" s="2"/>
      <c r="Q790" s="2"/>
      <c r="R790" s="2"/>
      <c r="S790" s="2"/>
      <c r="T790" s="2"/>
      <c r="U790" s="2"/>
    </row>
    <row r="791">
      <c r="A791" s="2"/>
      <c r="B791" s="2"/>
      <c r="C791" s="2"/>
      <c r="D791" s="2"/>
      <c r="E791" s="2"/>
      <c r="F791" s="2"/>
      <c r="G791" s="2"/>
      <c r="H791" s="2"/>
      <c r="I791" s="2"/>
      <c r="J791" s="2"/>
      <c r="K791" s="2"/>
      <c r="L791" s="2"/>
      <c r="M791" s="2"/>
      <c r="N791" s="2"/>
      <c r="O791" s="2"/>
      <c r="P791" s="2"/>
      <c r="Q791" s="2"/>
      <c r="R791" s="2"/>
      <c r="S791" s="2"/>
      <c r="T791" s="2"/>
      <c r="U791" s="2"/>
    </row>
    <row r="792">
      <c r="A792" s="2"/>
      <c r="B792" s="2"/>
      <c r="C792" s="2"/>
      <c r="D792" s="2"/>
      <c r="E792" s="2"/>
      <c r="F792" s="2"/>
      <c r="G792" s="2"/>
      <c r="H792" s="2"/>
      <c r="I792" s="2"/>
      <c r="J792" s="2"/>
      <c r="K792" s="2"/>
      <c r="L792" s="2"/>
      <c r="M792" s="2"/>
      <c r="N792" s="2"/>
      <c r="O792" s="2"/>
      <c r="P792" s="2"/>
      <c r="Q792" s="2"/>
      <c r="R792" s="2"/>
      <c r="S792" s="2"/>
      <c r="T792" s="2"/>
      <c r="U792" s="2"/>
    </row>
    <row r="793">
      <c r="A793" s="2"/>
      <c r="B793" s="2"/>
      <c r="C793" s="2"/>
      <c r="D793" s="2"/>
      <c r="E793" s="2"/>
      <c r="F793" s="2"/>
      <c r="G793" s="2"/>
      <c r="H793" s="2"/>
      <c r="I793" s="2"/>
      <c r="J793" s="2"/>
      <c r="K793" s="2"/>
      <c r="L793" s="2"/>
      <c r="M793" s="2"/>
      <c r="N793" s="2"/>
      <c r="O793" s="2"/>
      <c r="P793" s="2"/>
      <c r="Q793" s="2"/>
      <c r="R793" s="2"/>
      <c r="S793" s="2"/>
      <c r="T793" s="2"/>
      <c r="U793" s="2"/>
    </row>
    <row r="794">
      <c r="A794" s="2"/>
      <c r="B794" s="2"/>
      <c r="C794" s="2"/>
      <c r="D794" s="2"/>
      <c r="E794" s="2"/>
      <c r="F794" s="2"/>
      <c r="G794" s="2"/>
      <c r="H794" s="2"/>
      <c r="I794" s="2"/>
      <c r="J794" s="2"/>
      <c r="K794" s="2"/>
      <c r="L794" s="2"/>
      <c r="M794" s="2"/>
      <c r="N794" s="2"/>
      <c r="O794" s="2"/>
      <c r="P794" s="2"/>
      <c r="Q794" s="2"/>
      <c r="R794" s="2"/>
      <c r="S794" s="2"/>
      <c r="T794" s="2"/>
      <c r="U794" s="2"/>
    </row>
    <row r="795">
      <c r="A795" s="2"/>
      <c r="B795" s="2"/>
      <c r="C795" s="2"/>
      <c r="D795" s="2"/>
      <c r="E795" s="2"/>
      <c r="F795" s="2"/>
      <c r="G795" s="2"/>
      <c r="H795" s="2"/>
      <c r="I795" s="2"/>
      <c r="J795" s="2"/>
      <c r="K795" s="2"/>
      <c r="L795" s="2"/>
      <c r="M795" s="2"/>
      <c r="N795" s="2"/>
      <c r="O795" s="2"/>
      <c r="P795" s="2"/>
      <c r="Q795" s="2"/>
      <c r="R795" s="2"/>
      <c r="S795" s="2"/>
      <c r="T795" s="2"/>
      <c r="U795" s="2"/>
    </row>
    <row r="796">
      <c r="A796" s="2"/>
      <c r="B796" s="2"/>
      <c r="C796" s="2"/>
      <c r="D796" s="2"/>
      <c r="E796" s="2"/>
      <c r="F796" s="2"/>
      <c r="G796" s="2"/>
      <c r="H796" s="2"/>
      <c r="I796" s="2"/>
      <c r="J796" s="2"/>
      <c r="K796" s="2"/>
      <c r="L796" s="2"/>
      <c r="M796" s="2"/>
      <c r="N796" s="2"/>
      <c r="O796" s="2"/>
      <c r="P796" s="2"/>
      <c r="Q796" s="2"/>
      <c r="R796" s="2"/>
      <c r="S796" s="2"/>
      <c r="T796" s="2"/>
      <c r="U796" s="2"/>
    </row>
    <row r="797">
      <c r="A797" s="2"/>
      <c r="B797" s="2"/>
      <c r="C797" s="2"/>
      <c r="D797" s="2"/>
      <c r="E797" s="2"/>
      <c r="F797" s="2"/>
      <c r="G797" s="2"/>
      <c r="H797" s="2"/>
      <c r="I797" s="2"/>
      <c r="J797" s="2"/>
      <c r="K797" s="2"/>
      <c r="L797" s="2"/>
      <c r="M797" s="2"/>
      <c r="N797" s="2"/>
      <c r="O797" s="2"/>
      <c r="P797" s="2"/>
      <c r="Q797" s="2"/>
      <c r="R797" s="2"/>
      <c r="S797" s="2"/>
      <c r="T797" s="2"/>
      <c r="U797" s="2"/>
    </row>
    <row r="798">
      <c r="A798" s="2"/>
      <c r="B798" s="2"/>
      <c r="C798" s="2"/>
      <c r="D798" s="2"/>
      <c r="E798" s="2"/>
      <c r="F798" s="2"/>
      <c r="G798" s="2"/>
      <c r="H798" s="2"/>
      <c r="I798" s="2"/>
      <c r="J798" s="2"/>
      <c r="K798" s="2"/>
      <c r="L798" s="2"/>
      <c r="M798" s="2"/>
      <c r="N798" s="2"/>
      <c r="O798" s="2"/>
      <c r="P798" s="2"/>
      <c r="Q798" s="2"/>
      <c r="R798" s="2"/>
      <c r="S798" s="2"/>
      <c r="T798" s="2"/>
      <c r="U798" s="2"/>
    </row>
    <row r="799">
      <c r="A799" s="2"/>
      <c r="B799" s="2"/>
      <c r="C799" s="2"/>
      <c r="D799" s="2"/>
      <c r="E799" s="2"/>
      <c r="F799" s="2"/>
      <c r="G799" s="2"/>
      <c r="H799" s="2"/>
      <c r="I799" s="2"/>
      <c r="J799" s="2"/>
      <c r="K799" s="2"/>
      <c r="L799" s="2"/>
      <c r="M799" s="2"/>
      <c r="N799" s="2"/>
      <c r="O799" s="2"/>
      <c r="P799" s="2"/>
      <c r="Q799" s="2"/>
      <c r="R799" s="2"/>
      <c r="S799" s="2"/>
      <c r="T799" s="2"/>
      <c r="U799" s="2"/>
    </row>
    <row r="800">
      <c r="A800" s="2"/>
      <c r="B800" s="2"/>
      <c r="C800" s="2"/>
      <c r="D800" s="2"/>
      <c r="E800" s="2"/>
      <c r="F800" s="2"/>
      <c r="G800" s="2"/>
      <c r="H800" s="2"/>
      <c r="I800" s="2"/>
      <c r="J800" s="2"/>
      <c r="K800" s="2"/>
      <c r="L800" s="2"/>
      <c r="M800" s="2"/>
      <c r="N800" s="2"/>
      <c r="O800" s="2"/>
      <c r="P800" s="2"/>
      <c r="Q800" s="2"/>
      <c r="R800" s="2"/>
      <c r="S800" s="2"/>
      <c r="T800" s="2"/>
      <c r="U800" s="2"/>
    </row>
    <row r="801">
      <c r="A801" s="2"/>
      <c r="B801" s="2"/>
      <c r="C801" s="2"/>
      <c r="D801" s="2"/>
      <c r="E801" s="2"/>
      <c r="F801" s="2"/>
      <c r="G801" s="2"/>
      <c r="H801" s="2"/>
      <c r="I801" s="2"/>
      <c r="J801" s="2"/>
      <c r="K801" s="2"/>
      <c r="L801" s="2"/>
      <c r="M801" s="2"/>
      <c r="N801" s="2"/>
      <c r="O801" s="2"/>
      <c r="P801" s="2"/>
      <c r="Q801" s="2"/>
      <c r="R801" s="2"/>
      <c r="S801" s="2"/>
      <c r="T801" s="2"/>
      <c r="U801" s="2"/>
    </row>
    <row r="802">
      <c r="A802" s="2"/>
      <c r="B802" s="2"/>
      <c r="C802" s="2"/>
      <c r="D802" s="2"/>
      <c r="E802" s="2"/>
      <c r="F802" s="2"/>
      <c r="G802" s="2"/>
      <c r="H802" s="2"/>
      <c r="I802" s="2"/>
      <c r="J802" s="2"/>
      <c r="K802" s="2"/>
      <c r="L802" s="2"/>
      <c r="M802" s="2"/>
      <c r="N802" s="2"/>
      <c r="O802" s="2"/>
      <c r="P802" s="2"/>
      <c r="Q802" s="2"/>
      <c r="R802" s="2"/>
      <c r="S802" s="2"/>
      <c r="T802" s="2"/>
      <c r="U802" s="2"/>
    </row>
    <row r="803">
      <c r="A803" s="2"/>
      <c r="B803" s="2"/>
      <c r="C803" s="2"/>
      <c r="D803" s="2"/>
      <c r="E803" s="2"/>
      <c r="F803" s="2"/>
      <c r="G803" s="2"/>
      <c r="H803" s="2"/>
      <c r="I803" s="2"/>
      <c r="J803" s="2"/>
      <c r="K803" s="2"/>
      <c r="L803" s="2"/>
      <c r="M803" s="2"/>
      <c r="N803" s="2"/>
      <c r="O803" s="2"/>
      <c r="P803" s="2"/>
      <c r="Q803" s="2"/>
      <c r="R803" s="2"/>
      <c r="S803" s="2"/>
      <c r="T803" s="2"/>
      <c r="U803" s="2"/>
    </row>
    <row r="804">
      <c r="A804" s="2"/>
      <c r="B804" s="2"/>
      <c r="C804" s="2"/>
      <c r="D804" s="2"/>
      <c r="E804" s="2"/>
      <c r="F804" s="2"/>
      <c r="G804" s="2"/>
      <c r="H804" s="2"/>
      <c r="I804" s="2"/>
      <c r="J804" s="2"/>
      <c r="K804" s="2"/>
      <c r="L804" s="2"/>
      <c r="M804" s="2"/>
      <c r="N804" s="2"/>
      <c r="O804" s="2"/>
      <c r="P804" s="2"/>
      <c r="Q804" s="2"/>
      <c r="R804" s="2"/>
      <c r="S804" s="2"/>
      <c r="T804" s="2"/>
      <c r="U804" s="2"/>
    </row>
    <row r="805">
      <c r="A805" s="2"/>
      <c r="B805" s="2"/>
      <c r="C805" s="2"/>
      <c r="D805" s="2"/>
      <c r="E805" s="2"/>
      <c r="F805" s="2"/>
      <c r="G805" s="2"/>
      <c r="H805" s="2"/>
      <c r="I805" s="2"/>
      <c r="J805" s="2"/>
      <c r="K805" s="2"/>
      <c r="L805" s="2"/>
      <c r="M805" s="2"/>
      <c r="N805" s="2"/>
      <c r="O805" s="2"/>
      <c r="P805" s="2"/>
      <c r="Q805" s="2"/>
      <c r="R805" s="2"/>
      <c r="S805" s="2"/>
      <c r="T805" s="2"/>
      <c r="U805" s="2"/>
    </row>
    <row r="806">
      <c r="A806" s="2"/>
      <c r="B806" s="2"/>
      <c r="C806" s="2"/>
      <c r="D806" s="2"/>
      <c r="E806" s="2"/>
      <c r="F806" s="2"/>
      <c r="G806" s="2"/>
      <c r="H806" s="2"/>
      <c r="I806" s="2"/>
      <c r="J806" s="2"/>
      <c r="K806" s="2"/>
      <c r="L806" s="2"/>
      <c r="M806" s="2"/>
      <c r="N806" s="2"/>
      <c r="O806" s="2"/>
      <c r="P806" s="2"/>
      <c r="Q806" s="2"/>
      <c r="R806" s="2"/>
      <c r="S806" s="2"/>
      <c r="T806" s="2"/>
      <c r="U806" s="2"/>
    </row>
    <row r="807">
      <c r="A807" s="2"/>
      <c r="B807" s="2"/>
      <c r="C807" s="2"/>
      <c r="D807" s="2"/>
      <c r="E807" s="2"/>
      <c r="F807" s="2"/>
      <c r="G807" s="2"/>
      <c r="H807" s="2"/>
      <c r="I807" s="2"/>
      <c r="J807" s="2"/>
      <c r="K807" s="2"/>
      <c r="L807" s="2"/>
      <c r="M807" s="2"/>
      <c r="N807" s="2"/>
      <c r="O807" s="2"/>
      <c r="P807" s="2"/>
      <c r="Q807" s="2"/>
      <c r="R807" s="2"/>
      <c r="S807" s="2"/>
      <c r="T807" s="2"/>
      <c r="U807" s="2"/>
    </row>
    <row r="808">
      <c r="A808" s="2"/>
      <c r="B808" s="2"/>
      <c r="C808" s="2"/>
      <c r="D808" s="2"/>
      <c r="E808" s="2"/>
      <c r="F808" s="2"/>
      <c r="G808" s="2"/>
      <c r="H808" s="2"/>
      <c r="I808" s="2"/>
      <c r="J808" s="2"/>
      <c r="K808" s="2"/>
      <c r="L808" s="2"/>
      <c r="M808" s="2"/>
      <c r="N808" s="2"/>
      <c r="O808" s="2"/>
      <c r="P808" s="2"/>
      <c r="Q808" s="2"/>
      <c r="R808" s="2"/>
      <c r="S808" s="2"/>
      <c r="T808" s="2"/>
      <c r="U808" s="2"/>
    </row>
    <row r="809">
      <c r="A809" s="2"/>
      <c r="B809" s="2"/>
      <c r="C809" s="2"/>
      <c r="D809" s="2"/>
      <c r="E809" s="2"/>
      <c r="F809" s="2"/>
      <c r="G809" s="2"/>
      <c r="H809" s="2"/>
      <c r="I809" s="2"/>
      <c r="J809" s="2"/>
      <c r="K809" s="2"/>
      <c r="L809" s="2"/>
      <c r="M809" s="2"/>
      <c r="N809" s="2"/>
      <c r="O809" s="2"/>
      <c r="P809" s="2"/>
      <c r="Q809" s="2"/>
      <c r="R809" s="2"/>
      <c r="S809" s="2"/>
      <c r="T809" s="2"/>
      <c r="U809" s="2"/>
    </row>
    <row r="810">
      <c r="A810" s="2"/>
      <c r="B810" s="2"/>
      <c r="C810" s="2"/>
      <c r="D810" s="2"/>
      <c r="E810" s="2"/>
      <c r="F810" s="2"/>
      <c r="G810" s="2"/>
      <c r="H810" s="2"/>
      <c r="I810" s="2"/>
      <c r="J810" s="2"/>
      <c r="K810" s="2"/>
      <c r="L810" s="2"/>
      <c r="M810" s="2"/>
      <c r="N810" s="2"/>
      <c r="O810" s="2"/>
      <c r="P810" s="2"/>
      <c r="Q810" s="2"/>
      <c r="R810" s="2"/>
      <c r="S810" s="2"/>
      <c r="T810" s="2"/>
      <c r="U810" s="2"/>
    </row>
    <row r="811">
      <c r="A811" s="2"/>
      <c r="B811" s="2"/>
      <c r="C811" s="2"/>
      <c r="D811" s="2"/>
      <c r="E811" s="2"/>
      <c r="F811" s="2"/>
      <c r="G811" s="2"/>
      <c r="H811" s="2"/>
      <c r="I811" s="2"/>
      <c r="J811" s="2"/>
      <c r="K811" s="2"/>
      <c r="L811" s="2"/>
      <c r="M811" s="2"/>
      <c r="N811" s="2"/>
      <c r="O811" s="2"/>
      <c r="P811" s="2"/>
      <c r="Q811" s="2"/>
      <c r="R811" s="2"/>
      <c r="S811" s="2"/>
      <c r="T811" s="2"/>
      <c r="U811" s="2"/>
    </row>
    <row r="812">
      <c r="A812" s="2"/>
      <c r="B812" s="2"/>
      <c r="C812" s="2"/>
      <c r="D812" s="2"/>
      <c r="E812" s="2"/>
      <c r="F812" s="2"/>
      <c r="G812" s="2"/>
      <c r="H812" s="2"/>
      <c r="I812" s="2"/>
      <c r="J812" s="2"/>
      <c r="K812" s="2"/>
      <c r="L812" s="2"/>
      <c r="M812" s="2"/>
      <c r="N812" s="2"/>
      <c r="O812" s="2"/>
      <c r="P812" s="2"/>
      <c r="Q812" s="2"/>
      <c r="R812" s="2"/>
      <c r="S812" s="2"/>
      <c r="T812" s="2"/>
      <c r="U812" s="2"/>
    </row>
    <row r="813">
      <c r="A813" s="2"/>
      <c r="B813" s="2"/>
      <c r="C813" s="2"/>
      <c r="D813" s="2"/>
      <c r="E813" s="2"/>
      <c r="F813" s="2"/>
      <c r="G813" s="2"/>
      <c r="H813" s="2"/>
      <c r="I813" s="2"/>
      <c r="J813" s="2"/>
      <c r="K813" s="2"/>
      <c r="L813" s="2"/>
      <c r="M813" s="2"/>
      <c r="N813" s="2"/>
      <c r="O813" s="2"/>
      <c r="P813" s="2"/>
      <c r="Q813" s="2"/>
      <c r="R813" s="2"/>
      <c r="S813" s="2"/>
      <c r="T813" s="2"/>
      <c r="U813" s="2"/>
    </row>
    <row r="814">
      <c r="A814" s="2"/>
      <c r="B814" s="2"/>
      <c r="C814" s="2"/>
      <c r="D814" s="2"/>
      <c r="E814" s="2"/>
      <c r="F814" s="2"/>
      <c r="G814" s="2"/>
      <c r="H814" s="2"/>
      <c r="I814" s="2"/>
      <c r="J814" s="2"/>
      <c r="K814" s="2"/>
      <c r="L814" s="2"/>
      <c r="M814" s="2"/>
      <c r="N814" s="2"/>
      <c r="O814" s="2"/>
      <c r="P814" s="2"/>
      <c r="Q814" s="2"/>
      <c r="R814" s="2"/>
      <c r="S814" s="2"/>
      <c r="T814" s="2"/>
      <c r="U814" s="2"/>
    </row>
    <row r="815">
      <c r="A815" s="2"/>
      <c r="B815" s="2"/>
      <c r="C815" s="2"/>
      <c r="D815" s="2"/>
      <c r="E815" s="2"/>
      <c r="F815" s="2"/>
      <c r="G815" s="2"/>
      <c r="H815" s="2"/>
      <c r="I815" s="2"/>
      <c r="J815" s="2"/>
      <c r="K815" s="2"/>
      <c r="L815" s="2"/>
      <c r="M815" s="2"/>
      <c r="N815" s="2"/>
      <c r="O815" s="2"/>
      <c r="P815" s="2"/>
      <c r="Q815" s="2"/>
      <c r="R815" s="2"/>
      <c r="S815" s="2"/>
      <c r="T815" s="2"/>
      <c r="U815" s="2"/>
    </row>
    <row r="816">
      <c r="A816" s="2"/>
      <c r="B816" s="2"/>
      <c r="C816" s="2"/>
      <c r="D816" s="2"/>
      <c r="E816" s="2"/>
      <c r="F816" s="2"/>
      <c r="G816" s="2"/>
      <c r="H816" s="2"/>
      <c r="I816" s="2"/>
      <c r="J816" s="2"/>
      <c r="K816" s="2"/>
      <c r="L816" s="2"/>
      <c r="M816" s="2"/>
      <c r="N816" s="2"/>
      <c r="O816" s="2"/>
      <c r="P816" s="2"/>
      <c r="Q816" s="2"/>
      <c r="R816" s="2"/>
      <c r="S816" s="2"/>
      <c r="T816" s="2"/>
      <c r="U816" s="2"/>
    </row>
    <row r="817">
      <c r="A817" s="2"/>
      <c r="B817" s="2"/>
      <c r="C817" s="2"/>
      <c r="D817" s="2"/>
      <c r="E817" s="2"/>
      <c r="F817" s="2"/>
      <c r="G817" s="2"/>
      <c r="H817" s="2"/>
      <c r="I817" s="2"/>
      <c r="J817" s="2"/>
      <c r="K817" s="2"/>
      <c r="L817" s="2"/>
      <c r="M817" s="2"/>
      <c r="N817" s="2"/>
      <c r="O817" s="2"/>
      <c r="P817" s="2"/>
      <c r="Q817" s="2"/>
      <c r="R817" s="2"/>
      <c r="S817" s="2"/>
      <c r="T817" s="2"/>
      <c r="U817" s="2"/>
    </row>
    <row r="818">
      <c r="A818" s="2"/>
      <c r="B818" s="2"/>
      <c r="C818" s="2"/>
      <c r="D818" s="2"/>
      <c r="E818" s="2"/>
      <c r="F818" s="2"/>
      <c r="G818" s="2"/>
      <c r="H818" s="2"/>
      <c r="I818" s="2"/>
      <c r="J818" s="2"/>
      <c r="K818" s="2"/>
      <c r="L818" s="2"/>
      <c r="M818" s="2"/>
      <c r="N818" s="2"/>
      <c r="O818" s="2"/>
      <c r="P818" s="2"/>
      <c r="Q818" s="2"/>
      <c r="R818" s="2"/>
      <c r="S818" s="2"/>
      <c r="T818" s="2"/>
      <c r="U818" s="2"/>
    </row>
    <row r="819">
      <c r="A819" s="2"/>
      <c r="B819" s="2"/>
      <c r="C819" s="2"/>
      <c r="D819" s="2"/>
      <c r="E819" s="2"/>
      <c r="F819" s="2"/>
      <c r="G819" s="2"/>
      <c r="H819" s="2"/>
      <c r="I819" s="2"/>
      <c r="J819" s="2"/>
      <c r="K819" s="2"/>
      <c r="L819" s="2"/>
      <c r="M819" s="2"/>
      <c r="N819" s="2"/>
      <c r="O819" s="2"/>
      <c r="P819" s="2"/>
      <c r="Q819" s="2"/>
      <c r="R819" s="2"/>
      <c r="S819" s="2"/>
      <c r="T819" s="2"/>
      <c r="U819" s="2"/>
    </row>
    <row r="820">
      <c r="A820" s="2"/>
      <c r="B820" s="2"/>
      <c r="C820" s="2"/>
      <c r="D820" s="2"/>
      <c r="E820" s="2"/>
      <c r="F820" s="2"/>
      <c r="G820" s="2"/>
      <c r="H820" s="2"/>
      <c r="I820" s="2"/>
      <c r="J820" s="2"/>
      <c r="K820" s="2"/>
      <c r="L820" s="2"/>
      <c r="M820" s="2"/>
      <c r="N820" s="2"/>
      <c r="O820" s="2"/>
      <c r="P820" s="2"/>
      <c r="Q820" s="2"/>
      <c r="R820" s="2"/>
      <c r="S820" s="2"/>
      <c r="T820" s="2"/>
      <c r="U820" s="2"/>
    </row>
    <row r="821">
      <c r="A821" s="2"/>
      <c r="B821" s="2"/>
      <c r="C821" s="2"/>
      <c r="D821" s="2"/>
      <c r="E821" s="2"/>
      <c r="F821" s="2"/>
      <c r="G821" s="2"/>
      <c r="H821" s="2"/>
      <c r="I821" s="2"/>
      <c r="J821" s="2"/>
      <c r="K821" s="2"/>
      <c r="L821" s="2"/>
      <c r="M821" s="2"/>
      <c r="N821" s="2"/>
      <c r="O821" s="2"/>
      <c r="P821" s="2"/>
      <c r="Q821" s="2"/>
      <c r="R821" s="2"/>
      <c r="S821" s="2"/>
      <c r="T821" s="2"/>
      <c r="U821" s="2"/>
    </row>
    <row r="822">
      <c r="A822" s="2"/>
      <c r="B822" s="2"/>
      <c r="C822" s="2"/>
      <c r="D822" s="2"/>
      <c r="E822" s="2"/>
      <c r="F822" s="2"/>
      <c r="G822" s="2"/>
      <c r="H822" s="2"/>
      <c r="I822" s="2"/>
      <c r="J822" s="2"/>
      <c r="K822" s="2"/>
      <c r="L822" s="2"/>
      <c r="M822" s="2"/>
      <c r="N822" s="2"/>
      <c r="O822" s="2"/>
      <c r="P822" s="2"/>
      <c r="Q822" s="2"/>
      <c r="R822" s="2"/>
      <c r="S822" s="2"/>
      <c r="T822" s="2"/>
      <c r="U822" s="2"/>
    </row>
    <row r="823">
      <c r="A823" s="2"/>
      <c r="B823" s="2"/>
      <c r="C823" s="2"/>
      <c r="D823" s="2"/>
      <c r="E823" s="2"/>
      <c r="F823" s="2"/>
      <c r="G823" s="2"/>
      <c r="H823" s="2"/>
      <c r="I823" s="2"/>
      <c r="J823" s="2"/>
      <c r="K823" s="2"/>
      <c r="L823" s="2"/>
      <c r="M823" s="2"/>
      <c r="N823" s="2"/>
      <c r="O823" s="2"/>
      <c r="P823" s="2"/>
      <c r="Q823" s="2"/>
      <c r="R823" s="2"/>
      <c r="S823" s="2"/>
      <c r="T823" s="2"/>
      <c r="U823" s="2"/>
    </row>
    <row r="824">
      <c r="A824" s="2"/>
      <c r="B824" s="2"/>
      <c r="C824" s="2"/>
      <c r="D824" s="2"/>
      <c r="E824" s="2"/>
      <c r="F824" s="2"/>
      <c r="G824" s="2"/>
      <c r="H824" s="2"/>
      <c r="I824" s="2"/>
      <c r="J824" s="2"/>
      <c r="K824" s="2"/>
      <c r="L824" s="2"/>
      <c r="M824" s="2"/>
      <c r="N824" s="2"/>
      <c r="O824" s="2"/>
      <c r="P824" s="2"/>
      <c r="Q824" s="2"/>
      <c r="R824" s="2"/>
      <c r="S824" s="2"/>
      <c r="T824" s="2"/>
      <c r="U824" s="2"/>
    </row>
    <row r="825">
      <c r="A825" s="2"/>
      <c r="B825" s="2"/>
      <c r="C825" s="2"/>
      <c r="D825" s="2"/>
      <c r="E825" s="2"/>
      <c r="F825" s="2"/>
      <c r="G825" s="2"/>
      <c r="H825" s="2"/>
      <c r="I825" s="2"/>
      <c r="J825" s="2"/>
      <c r="K825" s="2"/>
      <c r="L825" s="2"/>
      <c r="M825" s="2"/>
      <c r="N825" s="2"/>
      <c r="O825" s="2"/>
      <c r="P825" s="2"/>
      <c r="Q825" s="2"/>
      <c r="R825" s="2"/>
      <c r="S825" s="2"/>
      <c r="T825" s="2"/>
      <c r="U825" s="2"/>
    </row>
    <row r="826">
      <c r="A826" s="2"/>
      <c r="B826" s="2"/>
      <c r="C826" s="2"/>
      <c r="D826" s="2"/>
      <c r="E826" s="2"/>
      <c r="F826" s="2"/>
      <c r="G826" s="2"/>
      <c r="H826" s="2"/>
      <c r="I826" s="2"/>
      <c r="J826" s="2"/>
      <c r="K826" s="2"/>
      <c r="L826" s="2"/>
      <c r="M826" s="2"/>
      <c r="N826" s="2"/>
      <c r="O826" s="2"/>
      <c r="P826" s="2"/>
      <c r="Q826" s="2"/>
      <c r="R826" s="2"/>
      <c r="S826" s="2"/>
      <c r="T826" s="2"/>
      <c r="U826" s="2"/>
    </row>
    <row r="827">
      <c r="A827" s="2"/>
      <c r="B827" s="2"/>
      <c r="C827" s="2"/>
      <c r="D827" s="2"/>
      <c r="E827" s="2"/>
      <c r="F827" s="2"/>
      <c r="G827" s="2"/>
      <c r="H827" s="2"/>
      <c r="I827" s="2"/>
      <c r="J827" s="2"/>
      <c r="K827" s="2"/>
      <c r="L827" s="2"/>
      <c r="M827" s="2"/>
      <c r="N827" s="2"/>
      <c r="O827" s="2"/>
      <c r="P827" s="2"/>
      <c r="Q827" s="2"/>
      <c r="R827" s="2"/>
      <c r="S827" s="2"/>
      <c r="T827" s="2"/>
      <c r="U827" s="2"/>
    </row>
    <row r="828">
      <c r="A828" s="2"/>
      <c r="B828" s="2"/>
      <c r="C828" s="2"/>
      <c r="D828" s="2"/>
      <c r="E828" s="2"/>
      <c r="F828" s="2"/>
      <c r="G828" s="2"/>
      <c r="H828" s="2"/>
      <c r="I828" s="2"/>
      <c r="J828" s="2"/>
      <c r="K828" s="2"/>
      <c r="L828" s="2"/>
      <c r="M828" s="2"/>
      <c r="N828" s="2"/>
      <c r="O828" s="2"/>
      <c r="P828" s="2"/>
      <c r="Q828" s="2"/>
      <c r="R828" s="2"/>
      <c r="S828" s="2"/>
      <c r="T828" s="2"/>
      <c r="U828" s="2"/>
    </row>
    <row r="829">
      <c r="A829" s="2"/>
      <c r="B829" s="2"/>
      <c r="C829" s="2"/>
      <c r="D829" s="2"/>
      <c r="E829" s="2"/>
      <c r="F829" s="2"/>
      <c r="G829" s="2"/>
      <c r="H829" s="2"/>
      <c r="I829" s="2"/>
      <c r="J829" s="2"/>
      <c r="K829" s="2"/>
      <c r="L829" s="2"/>
      <c r="M829" s="2"/>
      <c r="N829" s="2"/>
      <c r="O829" s="2"/>
      <c r="P829" s="2"/>
      <c r="Q829" s="2"/>
      <c r="R829" s="2"/>
      <c r="S829" s="2"/>
      <c r="T829" s="2"/>
      <c r="U829" s="2"/>
    </row>
    <row r="830">
      <c r="A830" s="2"/>
      <c r="B830" s="2"/>
      <c r="C830" s="2"/>
      <c r="D830" s="2"/>
      <c r="E830" s="2"/>
      <c r="F830" s="2"/>
      <c r="G830" s="2"/>
      <c r="H830" s="2"/>
      <c r="I830" s="2"/>
      <c r="J830" s="2"/>
      <c r="K830" s="2"/>
      <c r="L830" s="2"/>
      <c r="M830" s="2"/>
      <c r="N830" s="2"/>
      <c r="O830" s="2"/>
      <c r="P830" s="2"/>
      <c r="Q830" s="2"/>
      <c r="R830" s="2"/>
      <c r="S830" s="2"/>
      <c r="T830" s="2"/>
      <c r="U830" s="2"/>
    </row>
    <row r="831">
      <c r="A831" s="2"/>
      <c r="B831" s="2"/>
      <c r="C831" s="2"/>
      <c r="D831" s="2"/>
      <c r="E831" s="2"/>
      <c r="F831" s="2"/>
      <c r="G831" s="2"/>
      <c r="H831" s="2"/>
      <c r="I831" s="2"/>
      <c r="J831" s="2"/>
      <c r="K831" s="2"/>
      <c r="L831" s="2"/>
      <c r="M831" s="2"/>
      <c r="N831" s="2"/>
      <c r="O831" s="2"/>
      <c r="P831" s="2"/>
      <c r="Q831" s="2"/>
      <c r="R831" s="2"/>
      <c r="S831" s="2"/>
      <c r="T831" s="2"/>
      <c r="U831" s="2"/>
    </row>
    <row r="832">
      <c r="A832" s="2"/>
      <c r="B832" s="2"/>
      <c r="C832" s="2"/>
      <c r="D832" s="2"/>
      <c r="E832" s="2"/>
      <c r="F832" s="2"/>
      <c r="G832" s="2"/>
      <c r="H832" s="2"/>
      <c r="I832" s="2"/>
      <c r="J832" s="2"/>
      <c r="K832" s="2"/>
      <c r="L832" s="2"/>
      <c r="M832" s="2"/>
      <c r="N832" s="2"/>
      <c r="O832" s="2"/>
      <c r="P832" s="2"/>
      <c r="Q832" s="2"/>
      <c r="R832" s="2"/>
      <c r="S832" s="2"/>
      <c r="T832" s="2"/>
      <c r="U832" s="2"/>
    </row>
    <row r="833">
      <c r="A833" s="2"/>
      <c r="B833" s="2"/>
      <c r="C833" s="2"/>
      <c r="D833" s="2"/>
      <c r="E833" s="2"/>
      <c r="F833" s="2"/>
      <c r="G833" s="2"/>
      <c r="H833" s="2"/>
      <c r="I833" s="2"/>
      <c r="J833" s="2"/>
      <c r="K833" s="2"/>
      <c r="L833" s="2"/>
      <c r="M833" s="2"/>
      <c r="N833" s="2"/>
      <c r="O833" s="2"/>
      <c r="P833" s="2"/>
      <c r="Q833" s="2"/>
      <c r="R833" s="2"/>
      <c r="S833" s="2"/>
      <c r="T833" s="2"/>
      <c r="U833" s="2"/>
    </row>
    <row r="834">
      <c r="A834" s="2"/>
      <c r="B834" s="2"/>
      <c r="C834" s="2"/>
      <c r="D834" s="2"/>
      <c r="E834" s="2"/>
      <c r="F834" s="2"/>
      <c r="G834" s="2"/>
      <c r="H834" s="2"/>
      <c r="I834" s="2"/>
      <c r="J834" s="2"/>
      <c r="K834" s="2"/>
      <c r="L834" s="2"/>
      <c r="M834" s="2"/>
      <c r="N834" s="2"/>
      <c r="O834" s="2"/>
      <c r="P834" s="2"/>
      <c r="Q834" s="2"/>
      <c r="R834" s="2"/>
      <c r="S834" s="2"/>
      <c r="T834" s="2"/>
      <c r="U834" s="2"/>
    </row>
    <row r="835">
      <c r="A835" s="2"/>
      <c r="B835" s="2"/>
      <c r="C835" s="2"/>
      <c r="D835" s="2"/>
      <c r="E835" s="2"/>
      <c r="F835" s="2"/>
      <c r="G835" s="2"/>
      <c r="H835" s="2"/>
      <c r="I835" s="2"/>
      <c r="J835" s="2"/>
      <c r="K835" s="2"/>
      <c r="L835" s="2"/>
      <c r="M835" s="2"/>
      <c r="N835" s="2"/>
      <c r="O835" s="2"/>
      <c r="P835" s="2"/>
      <c r="Q835" s="2"/>
      <c r="R835" s="2"/>
      <c r="S835" s="2"/>
      <c r="T835" s="2"/>
      <c r="U835" s="2"/>
    </row>
    <row r="836">
      <c r="A836" s="2"/>
      <c r="B836" s="2"/>
      <c r="C836" s="2"/>
      <c r="D836" s="2"/>
      <c r="E836" s="2"/>
      <c r="F836" s="2"/>
      <c r="G836" s="2"/>
      <c r="H836" s="2"/>
      <c r="I836" s="2"/>
      <c r="J836" s="2"/>
      <c r="K836" s="2"/>
      <c r="L836" s="2"/>
      <c r="M836" s="2"/>
      <c r="N836" s="2"/>
      <c r="O836" s="2"/>
      <c r="P836" s="2"/>
      <c r="Q836" s="2"/>
      <c r="R836" s="2"/>
      <c r="S836" s="2"/>
      <c r="T836" s="2"/>
      <c r="U836" s="2"/>
    </row>
    <row r="837">
      <c r="A837" s="2"/>
      <c r="B837" s="2"/>
      <c r="C837" s="2"/>
      <c r="D837" s="2"/>
      <c r="E837" s="2"/>
      <c r="F837" s="2"/>
      <c r="G837" s="2"/>
      <c r="H837" s="2"/>
      <c r="I837" s="2"/>
      <c r="J837" s="2"/>
      <c r="K837" s="2"/>
      <c r="L837" s="2"/>
      <c r="M837" s="2"/>
      <c r="N837" s="2"/>
      <c r="O837" s="2"/>
      <c r="P837" s="2"/>
      <c r="Q837" s="2"/>
      <c r="R837" s="2"/>
      <c r="S837" s="2"/>
      <c r="T837" s="2"/>
      <c r="U837" s="2"/>
    </row>
    <row r="838">
      <c r="A838" s="2"/>
      <c r="B838" s="2"/>
      <c r="C838" s="2"/>
      <c r="D838" s="2"/>
      <c r="E838" s="2"/>
      <c r="F838" s="2"/>
      <c r="G838" s="2"/>
      <c r="H838" s="2"/>
      <c r="I838" s="2"/>
      <c r="J838" s="2"/>
      <c r="K838" s="2"/>
      <c r="L838" s="2"/>
      <c r="M838" s="2"/>
      <c r="N838" s="2"/>
      <c r="O838" s="2"/>
      <c r="P838" s="2"/>
      <c r="Q838" s="2"/>
      <c r="R838" s="2"/>
      <c r="S838" s="2"/>
      <c r="T838" s="2"/>
      <c r="U838" s="2"/>
    </row>
    <row r="839">
      <c r="A839" s="2"/>
      <c r="B839" s="2"/>
      <c r="C839" s="2"/>
      <c r="D839" s="2"/>
      <c r="E839" s="2"/>
      <c r="F839" s="2"/>
      <c r="G839" s="2"/>
      <c r="H839" s="2"/>
      <c r="I839" s="2"/>
      <c r="J839" s="2"/>
      <c r="K839" s="2"/>
      <c r="L839" s="2"/>
      <c r="M839" s="2"/>
      <c r="N839" s="2"/>
      <c r="O839" s="2"/>
      <c r="P839" s="2"/>
      <c r="Q839" s="2"/>
      <c r="R839" s="2"/>
      <c r="S839" s="2"/>
      <c r="T839" s="2"/>
      <c r="U839" s="2"/>
    </row>
    <row r="840">
      <c r="A840" s="2"/>
      <c r="B840" s="2"/>
      <c r="C840" s="2"/>
      <c r="D840" s="2"/>
      <c r="E840" s="2"/>
      <c r="F840" s="2"/>
      <c r="G840" s="2"/>
      <c r="H840" s="2"/>
      <c r="I840" s="2"/>
      <c r="J840" s="2"/>
      <c r="K840" s="2"/>
      <c r="L840" s="2"/>
      <c r="M840" s="2"/>
      <c r="N840" s="2"/>
      <c r="O840" s="2"/>
      <c r="P840" s="2"/>
      <c r="Q840" s="2"/>
      <c r="R840" s="2"/>
      <c r="S840" s="2"/>
      <c r="T840" s="2"/>
      <c r="U840" s="2"/>
    </row>
    <row r="841">
      <c r="A841" s="2"/>
      <c r="B841" s="2"/>
      <c r="C841" s="2"/>
      <c r="D841" s="2"/>
      <c r="E841" s="2"/>
      <c r="F841" s="2"/>
      <c r="G841" s="2"/>
      <c r="H841" s="2"/>
      <c r="I841" s="2"/>
      <c r="J841" s="2"/>
      <c r="K841" s="2"/>
      <c r="L841" s="2"/>
      <c r="M841" s="2"/>
      <c r="N841" s="2"/>
      <c r="O841" s="2"/>
      <c r="P841" s="2"/>
      <c r="Q841" s="2"/>
      <c r="R841" s="2"/>
      <c r="S841" s="2"/>
      <c r="T841" s="2"/>
      <c r="U841" s="2"/>
    </row>
    <row r="842">
      <c r="A842" s="2"/>
      <c r="B842" s="2"/>
      <c r="C842" s="2"/>
      <c r="D842" s="2"/>
      <c r="E842" s="2"/>
      <c r="F842" s="2"/>
      <c r="G842" s="2"/>
      <c r="H842" s="2"/>
      <c r="I842" s="2"/>
      <c r="J842" s="2"/>
      <c r="K842" s="2"/>
      <c r="L842" s="2"/>
      <c r="M842" s="2"/>
      <c r="N842" s="2"/>
      <c r="O842" s="2"/>
      <c r="P842" s="2"/>
      <c r="Q842" s="2"/>
      <c r="R842" s="2"/>
      <c r="S842" s="2"/>
      <c r="T842" s="2"/>
      <c r="U842" s="2"/>
    </row>
    <row r="843">
      <c r="A843" s="2"/>
      <c r="B843" s="2"/>
      <c r="C843" s="2"/>
      <c r="D843" s="2"/>
      <c r="E843" s="2"/>
      <c r="F843" s="2"/>
      <c r="G843" s="2"/>
      <c r="H843" s="2"/>
      <c r="I843" s="2"/>
      <c r="J843" s="2"/>
      <c r="K843" s="2"/>
      <c r="L843" s="2"/>
      <c r="M843" s="2"/>
      <c r="N843" s="2"/>
      <c r="O843" s="2"/>
      <c r="P843" s="2"/>
      <c r="Q843" s="2"/>
      <c r="R843" s="2"/>
      <c r="S843" s="2"/>
      <c r="T843" s="2"/>
      <c r="U843" s="2"/>
    </row>
    <row r="844">
      <c r="A844" s="2"/>
      <c r="B844" s="2"/>
      <c r="C844" s="2"/>
      <c r="D844" s="2"/>
      <c r="E844" s="2"/>
      <c r="F844" s="2"/>
      <c r="G844" s="2"/>
      <c r="H844" s="2"/>
      <c r="I844" s="2"/>
      <c r="J844" s="2"/>
      <c r="K844" s="2"/>
      <c r="L844" s="2"/>
      <c r="M844" s="2"/>
      <c r="N844" s="2"/>
      <c r="O844" s="2"/>
      <c r="P844" s="2"/>
      <c r="Q844" s="2"/>
      <c r="R844" s="2"/>
      <c r="S844" s="2"/>
      <c r="T844" s="2"/>
      <c r="U844" s="2"/>
    </row>
    <row r="845">
      <c r="A845" s="2"/>
      <c r="B845" s="2"/>
      <c r="C845" s="2"/>
      <c r="D845" s="2"/>
      <c r="E845" s="2"/>
      <c r="F845" s="2"/>
      <c r="G845" s="2"/>
      <c r="H845" s="2"/>
      <c r="I845" s="2"/>
      <c r="J845" s="2"/>
      <c r="K845" s="2"/>
      <c r="L845" s="2"/>
      <c r="M845" s="2"/>
      <c r="N845" s="2"/>
      <c r="O845" s="2"/>
      <c r="P845" s="2"/>
      <c r="Q845" s="2"/>
      <c r="R845" s="2"/>
      <c r="S845" s="2"/>
      <c r="T845" s="2"/>
      <c r="U845" s="2"/>
    </row>
    <row r="846">
      <c r="A846" s="2"/>
      <c r="B846" s="2"/>
      <c r="C846" s="2"/>
      <c r="D846" s="2"/>
      <c r="E846" s="2"/>
      <c r="F846" s="2"/>
      <c r="G846" s="2"/>
      <c r="H846" s="2"/>
      <c r="I846" s="2"/>
      <c r="J846" s="2"/>
      <c r="K846" s="2"/>
      <c r="L846" s="2"/>
      <c r="M846" s="2"/>
      <c r="N846" s="2"/>
      <c r="O846" s="2"/>
      <c r="P846" s="2"/>
      <c r="Q846" s="2"/>
      <c r="R846" s="2"/>
      <c r="S846" s="2"/>
      <c r="T846" s="2"/>
      <c r="U846" s="2"/>
    </row>
    <row r="847">
      <c r="A847" s="2"/>
      <c r="B847" s="2"/>
      <c r="C847" s="2"/>
      <c r="D847" s="2"/>
      <c r="E847" s="2"/>
      <c r="F847" s="2"/>
      <c r="G847" s="2"/>
      <c r="H847" s="2"/>
      <c r="I847" s="2"/>
      <c r="J847" s="2"/>
      <c r="K847" s="2"/>
      <c r="L847" s="2"/>
      <c r="M847" s="2"/>
      <c r="N847" s="2"/>
      <c r="O847" s="2"/>
      <c r="P847" s="2"/>
      <c r="Q847" s="2"/>
      <c r="R847" s="2"/>
      <c r="S847" s="2"/>
      <c r="T847" s="2"/>
      <c r="U847" s="2"/>
    </row>
    <row r="848">
      <c r="A848" s="2"/>
      <c r="B848" s="2"/>
      <c r="C848" s="2"/>
      <c r="D848" s="2"/>
      <c r="E848" s="2"/>
      <c r="F848" s="2"/>
      <c r="G848" s="2"/>
      <c r="H848" s="2"/>
      <c r="I848" s="2"/>
      <c r="J848" s="2"/>
      <c r="K848" s="2"/>
      <c r="L848" s="2"/>
      <c r="M848" s="2"/>
      <c r="N848" s="2"/>
      <c r="O848" s="2"/>
      <c r="P848" s="2"/>
      <c r="Q848" s="2"/>
      <c r="R848" s="2"/>
      <c r="S848" s="2"/>
      <c r="T848" s="2"/>
      <c r="U848" s="2"/>
    </row>
    <row r="849">
      <c r="A849" s="2"/>
      <c r="B849" s="2"/>
      <c r="C849" s="2"/>
      <c r="D849" s="2"/>
      <c r="E849" s="2"/>
      <c r="F849" s="2"/>
      <c r="G849" s="2"/>
      <c r="H849" s="2"/>
      <c r="I849" s="2"/>
      <c r="J849" s="2"/>
      <c r="K849" s="2"/>
      <c r="L849" s="2"/>
      <c r="M849" s="2"/>
      <c r="N849" s="2"/>
      <c r="O849" s="2"/>
      <c r="P849" s="2"/>
      <c r="Q849" s="2"/>
      <c r="R849" s="2"/>
      <c r="S849" s="2"/>
      <c r="T849" s="2"/>
      <c r="U849" s="2"/>
    </row>
    <row r="850">
      <c r="A850" s="2"/>
      <c r="B850" s="2"/>
      <c r="C850" s="2"/>
      <c r="D850" s="2"/>
      <c r="E850" s="2"/>
      <c r="F850" s="2"/>
      <c r="G850" s="2"/>
      <c r="H850" s="2"/>
      <c r="I850" s="2"/>
      <c r="J850" s="2"/>
      <c r="K850" s="2"/>
      <c r="L850" s="2"/>
      <c r="M850" s="2"/>
      <c r="N850" s="2"/>
      <c r="O850" s="2"/>
      <c r="P850" s="2"/>
      <c r="Q850" s="2"/>
      <c r="R850" s="2"/>
      <c r="S850" s="2"/>
      <c r="T850" s="2"/>
      <c r="U850" s="2"/>
    </row>
    <row r="851">
      <c r="A851" s="2"/>
      <c r="B851" s="2"/>
      <c r="C851" s="2"/>
      <c r="D851" s="2"/>
      <c r="E851" s="2"/>
      <c r="F851" s="2"/>
      <c r="G851" s="2"/>
      <c r="H851" s="2"/>
      <c r="I851" s="2"/>
      <c r="J851" s="2"/>
      <c r="K851" s="2"/>
      <c r="L851" s="2"/>
      <c r="M851" s="2"/>
      <c r="N851" s="2"/>
      <c r="O851" s="2"/>
      <c r="P851" s="2"/>
      <c r="Q851" s="2"/>
      <c r="R851" s="2"/>
      <c r="S851" s="2"/>
      <c r="T851" s="2"/>
      <c r="U851" s="2"/>
    </row>
    <row r="852">
      <c r="A852" s="2"/>
      <c r="B852" s="2"/>
      <c r="C852" s="2"/>
      <c r="D852" s="2"/>
      <c r="E852" s="2"/>
      <c r="F852" s="2"/>
      <c r="G852" s="2"/>
      <c r="H852" s="2"/>
      <c r="I852" s="2"/>
      <c r="J852" s="2"/>
      <c r="K852" s="2"/>
      <c r="L852" s="2"/>
      <c r="M852" s="2"/>
      <c r="N852" s="2"/>
      <c r="O852" s="2"/>
      <c r="P852" s="2"/>
      <c r="Q852" s="2"/>
      <c r="R852" s="2"/>
      <c r="S852" s="2"/>
      <c r="T852" s="2"/>
      <c r="U852" s="2"/>
    </row>
    <row r="853">
      <c r="A853" s="2"/>
      <c r="B853" s="2"/>
      <c r="C853" s="2"/>
      <c r="D853" s="2"/>
      <c r="E853" s="2"/>
      <c r="F853" s="2"/>
      <c r="G853" s="2"/>
      <c r="H853" s="2"/>
      <c r="I853" s="2"/>
      <c r="J853" s="2"/>
      <c r="K853" s="2"/>
      <c r="L853" s="2"/>
      <c r="M853" s="2"/>
      <c r="N853" s="2"/>
      <c r="O853" s="2"/>
      <c r="P853" s="2"/>
      <c r="Q853" s="2"/>
      <c r="R853" s="2"/>
      <c r="S853" s="2"/>
      <c r="T853" s="2"/>
      <c r="U853" s="2"/>
    </row>
    <row r="854">
      <c r="A854" s="2"/>
      <c r="B854" s="2"/>
      <c r="C854" s="2"/>
      <c r="D854" s="2"/>
      <c r="E854" s="2"/>
      <c r="F854" s="2"/>
      <c r="G854" s="2"/>
      <c r="H854" s="2"/>
      <c r="I854" s="2"/>
      <c r="J854" s="2"/>
      <c r="K854" s="2"/>
      <c r="L854" s="2"/>
      <c r="M854" s="2"/>
      <c r="N854" s="2"/>
      <c r="O854" s="2"/>
      <c r="P854" s="2"/>
      <c r="Q854" s="2"/>
      <c r="R854" s="2"/>
      <c r="S854" s="2"/>
      <c r="T854" s="2"/>
      <c r="U854" s="2"/>
    </row>
    <row r="855">
      <c r="A855" s="2"/>
      <c r="B855" s="2"/>
      <c r="C855" s="2"/>
      <c r="D855" s="2"/>
      <c r="E855" s="2"/>
      <c r="F855" s="2"/>
      <c r="G855" s="2"/>
      <c r="H855" s="2"/>
      <c r="I855" s="2"/>
      <c r="J855" s="2"/>
      <c r="K855" s="2"/>
      <c r="L855" s="2"/>
      <c r="M855" s="2"/>
      <c r="N855" s="2"/>
      <c r="O855" s="2"/>
      <c r="P855" s="2"/>
      <c r="Q855" s="2"/>
      <c r="R855" s="2"/>
      <c r="S855" s="2"/>
      <c r="T855" s="2"/>
      <c r="U855" s="2"/>
    </row>
    <row r="856">
      <c r="A856" s="2"/>
      <c r="B856" s="2"/>
      <c r="C856" s="2"/>
      <c r="D856" s="2"/>
      <c r="E856" s="2"/>
      <c r="F856" s="2"/>
      <c r="G856" s="2"/>
      <c r="H856" s="2"/>
      <c r="I856" s="2"/>
      <c r="J856" s="2"/>
      <c r="K856" s="2"/>
      <c r="L856" s="2"/>
      <c r="M856" s="2"/>
      <c r="N856" s="2"/>
      <c r="O856" s="2"/>
      <c r="P856" s="2"/>
      <c r="Q856" s="2"/>
      <c r="R856" s="2"/>
      <c r="S856" s="2"/>
      <c r="T856" s="2"/>
      <c r="U856" s="2"/>
    </row>
    <row r="857">
      <c r="A857" s="2"/>
      <c r="B857" s="2"/>
      <c r="C857" s="2"/>
      <c r="D857" s="2"/>
      <c r="E857" s="2"/>
      <c r="F857" s="2"/>
      <c r="G857" s="2"/>
      <c r="H857" s="2"/>
      <c r="I857" s="2"/>
      <c r="J857" s="2"/>
      <c r="K857" s="2"/>
      <c r="L857" s="2"/>
      <c r="M857" s="2"/>
      <c r="N857" s="2"/>
      <c r="O857" s="2"/>
      <c r="P857" s="2"/>
      <c r="Q857" s="2"/>
      <c r="R857" s="2"/>
      <c r="S857" s="2"/>
      <c r="T857" s="2"/>
      <c r="U857" s="2"/>
    </row>
    <row r="858">
      <c r="A858" s="2"/>
      <c r="B858" s="2"/>
      <c r="C858" s="2"/>
      <c r="D858" s="2"/>
      <c r="E858" s="2"/>
      <c r="F858" s="2"/>
      <c r="G858" s="2"/>
      <c r="H858" s="2"/>
      <c r="I858" s="2"/>
      <c r="J858" s="2"/>
      <c r="K858" s="2"/>
      <c r="L858" s="2"/>
      <c r="M858" s="2"/>
      <c r="N858" s="2"/>
      <c r="O858" s="2"/>
      <c r="P858" s="2"/>
      <c r="Q858" s="2"/>
      <c r="R858" s="2"/>
      <c r="S858" s="2"/>
      <c r="T858" s="2"/>
      <c r="U858" s="2"/>
    </row>
    <row r="859">
      <c r="A859" s="2"/>
      <c r="B859" s="2"/>
      <c r="C859" s="2"/>
      <c r="D859" s="2"/>
      <c r="E859" s="2"/>
      <c r="F859" s="2"/>
      <c r="G859" s="2"/>
      <c r="H859" s="2"/>
      <c r="I859" s="2"/>
      <c r="J859" s="2"/>
      <c r="K859" s="2"/>
      <c r="L859" s="2"/>
      <c r="M859" s="2"/>
      <c r="N859" s="2"/>
      <c r="O859" s="2"/>
      <c r="P859" s="2"/>
      <c r="Q859" s="2"/>
      <c r="R859" s="2"/>
      <c r="S859" s="2"/>
      <c r="T859" s="2"/>
      <c r="U859" s="2"/>
    </row>
    <row r="860">
      <c r="A860" s="2"/>
      <c r="B860" s="2"/>
      <c r="C860" s="2"/>
      <c r="D860" s="2"/>
      <c r="E860" s="2"/>
      <c r="F860" s="2"/>
      <c r="G860" s="2"/>
      <c r="H860" s="2"/>
      <c r="I860" s="2"/>
      <c r="J860" s="2"/>
      <c r="K860" s="2"/>
      <c r="L860" s="2"/>
      <c r="M860" s="2"/>
      <c r="N860" s="2"/>
      <c r="O860" s="2"/>
      <c r="P860" s="2"/>
      <c r="Q860" s="2"/>
      <c r="R860" s="2"/>
      <c r="S860" s="2"/>
      <c r="T860" s="2"/>
      <c r="U860" s="2"/>
    </row>
    <row r="861">
      <c r="A861" s="2"/>
      <c r="B861" s="2"/>
      <c r="C861" s="2"/>
      <c r="D861" s="2"/>
      <c r="E861" s="2"/>
      <c r="F861" s="2"/>
      <c r="G861" s="2"/>
      <c r="H861" s="2"/>
      <c r="I861" s="2"/>
      <c r="J861" s="2"/>
      <c r="K861" s="2"/>
      <c r="L861" s="2"/>
      <c r="M861" s="2"/>
      <c r="N861" s="2"/>
      <c r="O861" s="2"/>
      <c r="P861" s="2"/>
      <c r="Q861" s="2"/>
      <c r="R861" s="2"/>
      <c r="S861" s="2"/>
      <c r="T861" s="2"/>
      <c r="U861" s="2"/>
    </row>
    <row r="862">
      <c r="A862" s="2"/>
      <c r="B862" s="2"/>
      <c r="C862" s="2"/>
      <c r="D862" s="2"/>
      <c r="E862" s="2"/>
      <c r="F862" s="2"/>
      <c r="G862" s="2"/>
      <c r="H862" s="2"/>
      <c r="I862" s="2"/>
      <c r="J862" s="2"/>
      <c r="K862" s="2"/>
      <c r="L862" s="2"/>
      <c r="M862" s="2"/>
      <c r="N862" s="2"/>
      <c r="O862" s="2"/>
      <c r="P862" s="2"/>
      <c r="Q862" s="2"/>
      <c r="R862" s="2"/>
      <c r="S862" s="2"/>
      <c r="T862" s="2"/>
      <c r="U862" s="2"/>
    </row>
    <row r="863">
      <c r="A863" s="2"/>
      <c r="B863" s="2"/>
      <c r="C863" s="2"/>
      <c r="D863" s="2"/>
      <c r="E863" s="2"/>
      <c r="F863" s="2"/>
      <c r="G863" s="2"/>
      <c r="H863" s="2"/>
      <c r="I863" s="2"/>
      <c r="J863" s="2"/>
      <c r="K863" s="2"/>
      <c r="L863" s="2"/>
      <c r="M863" s="2"/>
      <c r="N863" s="2"/>
      <c r="O863" s="2"/>
      <c r="P863" s="2"/>
      <c r="Q863" s="2"/>
      <c r="R863" s="2"/>
      <c r="S863" s="2"/>
      <c r="T863" s="2"/>
      <c r="U863" s="2"/>
    </row>
    <row r="864">
      <c r="A864" s="2"/>
      <c r="B864" s="2"/>
      <c r="C864" s="2"/>
      <c r="D864" s="2"/>
      <c r="E864" s="2"/>
      <c r="F864" s="2"/>
      <c r="G864" s="2"/>
      <c r="H864" s="2"/>
      <c r="I864" s="2"/>
      <c r="J864" s="2"/>
      <c r="K864" s="2"/>
      <c r="L864" s="2"/>
      <c r="M864" s="2"/>
      <c r="N864" s="2"/>
      <c r="O864" s="2"/>
      <c r="P864" s="2"/>
      <c r="Q864" s="2"/>
      <c r="R864" s="2"/>
      <c r="S864" s="2"/>
      <c r="T864" s="2"/>
      <c r="U864" s="2"/>
    </row>
    <row r="865">
      <c r="A865" s="2"/>
      <c r="B865" s="2"/>
      <c r="C865" s="2"/>
      <c r="D865" s="2"/>
      <c r="E865" s="2"/>
      <c r="F865" s="2"/>
      <c r="G865" s="2"/>
      <c r="H865" s="2"/>
      <c r="I865" s="2"/>
      <c r="J865" s="2"/>
      <c r="K865" s="2"/>
      <c r="L865" s="2"/>
      <c r="M865" s="2"/>
      <c r="N865" s="2"/>
      <c r="O865" s="2"/>
      <c r="P865" s="2"/>
      <c r="Q865" s="2"/>
      <c r="R865" s="2"/>
      <c r="S865" s="2"/>
      <c r="T865" s="2"/>
      <c r="U865" s="2"/>
    </row>
    <row r="866">
      <c r="A866" s="2"/>
      <c r="B866" s="2"/>
      <c r="C866" s="2"/>
      <c r="D866" s="2"/>
      <c r="E866" s="2"/>
      <c r="F866" s="2"/>
      <c r="G866" s="2"/>
      <c r="H866" s="2"/>
      <c r="I866" s="2"/>
      <c r="J866" s="2"/>
      <c r="K866" s="2"/>
      <c r="L866" s="2"/>
      <c r="M866" s="2"/>
      <c r="N866" s="2"/>
      <c r="O866" s="2"/>
      <c r="P866" s="2"/>
      <c r="Q866" s="2"/>
      <c r="R866" s="2"/>
      <c r="S866" s="2"/>
      <c r="T866" s="2"/>
      <c r="U866" s="2"/>
    </row>
    <row r="867">
      <c r="A867" s="2"/>
      <c r="B867" s="2"/>
      <c r="C867" s="2"/>
      <c r="D867" s="2"/>
      <c r="E867" s="2"/>
      <c r="F867" s="2"/>
      <c r="G867" s="2"/>
      <c r="H867" s="2"/>
      <c r="I867" s="2"/>
      <c r="J867" s="2"/>
      <c r="K867" s="2"/>
      <c r="L867" s="2"/>
      <c r="M867" s="2"/>
      <c r="N867" s="2"/>
      <c r="O867" s="2"/>
      <c r="P867" s="2"/>
      <c r="Q867" s="2"/>
      <c r="R867" s="2"/>
      <c r="S867" s="2"/>
      <c r="T867" s="2"/>
      <c r="U867" s="2"/>
    </row>
    <row r="868">
      <c r="A868" s="2"/>
      <c r="B868" s="2"/>
      <c r="C868" s="2"/>
      <c r="D868" s="2"/>
      <c r="E868" s="2"/>
      <c r="F868" s="2"/>
      <c r="G868" s="2"/>
      <c r="H868" s="2"/>
      <c r="I868" s="2"/>
      <c r="J868" s="2"/>
      <c r="K868" s="2"/>
      <c r="L868" s="2"/>
      <c r="M868" s="2"/>
      <c r="N868" s="2"/>
      <c r="O868" s="2"/>
      <c r="P868" s="2"/>
      <c r="Q868" s="2"/>
      <c r="R868" s="2"/>
      <c r="S868" s="2"/>
      <c r="T868" s="2"/>
      <c r="U868" s="2"/>
    </row>
    <row r="869">
      <c r="A869" s="2"/>
      <c r="B869" s="2"/>
      <c r="C869" s="2"/>
      <c r="D869" s="2"/>
      <c r="E869" s="2"/>
      <c r="F869" s="2"/>
      <c r="G869" s="2"/>
      <c r="H869" s="2"/>
      <c r="I869" s="2"/>
      <c r="J869" s="2"/>
      <c r="K869" s="2"/>
      <c r="L869" s="2"/>
      <c r="M869" s="2"/>
      <c r="N869" s="2"/>
      <c r="O869" s="2"/>
      <c r="P869" s="2"/>
      <c r="Q869" s="2"/>
      <c r="R869" s="2"/>
      <c r="S869" s="2"/>
      <c r="T869" s="2"/>
      <c r="U869" s="2"/>
    </row>
    <row r="870">
      <c r="A870" s="2"/>
      <c r="B870" s="2"/>
      <c r="C870" s="2"/>
      <c r="D870" s="2"/>
      <c r="E870" s="2"/>
      <c r="F870" s="2"/>
      <c r="G870" s="2"/>
      <c r="H870" s="2"/>
      <c r="I870" s="2"/>
      <c r="J870" s="2"/>
      <c r="K870" s="2"/>
      <c r="L870" s="2"/>
      <c r="M870" s="2"/>
      <c r="N870" s="2"/>
      <c r="O870" s="2"/>
      <c r="P870" s="2"/>
      <c r="Q870" s="2"/>
      <c r="R870" s="2"/>
      <c r="S870" s="2"/>
      <c r="T870" s="2"/>
      <c r="U870" s="2"/>
    </row>
    <row r="871">
      <c r="A871" s="2"/>
      <c r="B871" s="2"/>
      <c r="C871" s="2"/>
      <c r="D871" s="2"/>
      <c r="E871" s="2"/>
      <c r="F871" s="2"/>
      <c r="G871" s="2"/>
      <c r="H871" s="2"/>
      <c r="I871" s="2"/>
      <c r="J871" s="2"/>
      <c r="K871" s="2"/>
      <c r="L871" s="2"/>
      <c r="M871" s="2"/>
      <c r="N871" s="2"/>
      <c r="O871" s="2"/>
      <c r="P871" s="2"/>
      <c r="Q871" s="2"/>
      <c r="R871" s="2"/>
      <c r="S871" s="2"/>
      <c r="T871" s="2"/>
      <c r="U871" s="2"/>
    </row>
    <row r="872">
      <c r="A872" s="2"/>
      <c r="B872" s="2"/>
      <c r="C872" s="2"/>
      <c r="D872" s="2"/>
      <c r="E872" s="2"/>
      <c r="F872" s="2"/>
      <c r="G872" s="2"/>
      <c r="H872" s="2"/>
      <c r="I872" s="2"/>
      <c r="J872" s="2"/>
      <c r="K872" s="2"/>
      <c r="L872" s="2"/>
      <c r="M872" s="2"/>
      <c r="N872" s="2"/>
      <c r="O872" s="2"/>
      <c r="P872" s="2"/>
      <c r="Q872" s="2"/>
      <c r="R872" s="2"/>
      <c r="S872" s="2"/>
      <c r="T872" s="2"/>
      <c r="U872" s="2"/>
    </row>
    <row r="873">
      <c r="A873" s="2"/>
      <c r="B873" s="2"/>
      <c r="C873" s="2"/>
      <c r="D873" s="2"/>
      <c r="E873" s="2"/>
      <c r="F873" s="2"/>
      <c r="G873" s="2"/>
      <c r="H873" s="2"/>
      <c r="I873" s="2"/>
      <c r="J873" s="2"/>
      <c r="K873" s="2"/>
      <c r="L873" s="2"/>
      <c r="M873" s="2"/>
      <c r="N873" s="2"/>
      <c r="O873" s="2"/>
      <c r="P873" s="2"/>
      <c r="Q873" s="2"/>
      <c r="R873" s="2"/>
      <c r="S873" s="2"/>
      <c r="T873" s="2"/>
      <c r="U873" s="2"/>
    </row>
    <row r="874">
      <c r="A874" s="2"/>
      <c r="B874" s="2"/>
      <c r="C874" s="2"/>
      <c r="D874" s="2"/>
      <c r="E874" s="2"/>
      <c r="F874" s="2"/>
      <c r="G874" s="2"/>
      <c r="H874" s="2"/>
      <c r="I874" s="2"/>
      <c r="J874" s="2"/>
      <c r="K874" s="2"/>
      <c r="L874" s="2"/>
      <c r="M874" s="2"/>
      <c r="N874" s="2"/>
      <c r="O874" s="2"/>
      <c r="P874" s="2"/>
      <c r="Q874" s="2"/>
      <c r="R874" s="2"/>
      <c r="S874" s="2"/>
      <c r="T874" s="2"/>
      <c r="U874" s="2"/>
    </row>
    <row r="875">
      <c r="A875" s="2"/>
      <c r="B875" s="2"/>
      <c r="C875" s="2"/>
      <c r="D875" s="2"/>
      <c r="E875" s="2"/>
      <c r="F875" s="2"/>
      <c r="G875" s="2"/>
      <c r="H875" s="2"/>
      <c r="I875" s="2"/>
      <c r="J875" s="2"/>
      <c r="K875" s="2"/>
      <c r="L875" s="2"/>
      <c r="M875" s="2"/>
      <c r="N875" s="2"/>
      <c r="O875" s="2"/>
      <c r="P875" s="2"/>
      <c r="Q875" s="2"/>
      <c r="R875" s="2"/>
      <c r="S875" s="2"/>
      <c r="T875" s="2"/>
      <c r="U875" s="2"/>
    </row>
    <row r="876">
      <c r="A876" s="2"/>
      <c r="B876" s="2"/>
      <c r="C876" s="2"/>
      <c r="D876" s="2"/>
      <c r="E876" s="2"/>
      <c r="F876" s="2"/>
      <c r="G876" s="2"/>
      <c r="H876" s="2"/>
      <c r="I876" s="2"/>
      <c r="J876" s="2"/>
      <c r="K876" s="2"/>
      <c r="L876" s="2"/>
      <c r="M876" s="2"/>
      <c r="N876" s="2"/>
      <c r="O876" s="2"/>
      <c r="P876" s="2"/>
      <c r="Q876" s="2"/>
      <c r="R876" s="2"/>
      <c r="S876" s="2"/>
      <c r="T876" s="2"/>
      <c r="U876" s="2"/>
    </row>
    <row r="877">
      <c r="A877" s="2"/>
      <c r="B877" s="2"/>
      <c r="C877" s="2"/>
      <c r="D877" s="2"/>
      <c r="E877" s="2"/>
      <c r="F877" s="2"/>
      <c r="G877" s="2"/>
      <c r="H877" s="2"/>
      <c r="I877" s="2"/>
      <c r="J877" s="2"/>
      <c r="K877" s="2"/>
      <c r="L877" s="2"/>
      <c r="M877" s="2"/>
      <c r="N877" s="2"/>
      <c r="O877" s="2"/>
      <c r="P877" s="2"/>
      <c r="Q877" s="2"/>
      <c r="R877" s="2"/>
      <c r="S877" s="2"/>
      <c r="T877" s="2"/>
      <c r="U877" s="2"/>
    </row>
    <row r="878">
      <c r="A878" s="2"/>
      <c r="B878" s="2"/>
      <c r="C878" s="2"/>
      <c r="D878" s="2"/>
      <c r="E878" s="2"/>
      <c r="F878" s="2"/>
      <c r="G878" s="2"/>
      <c r="H878" s="2"/>
      <c r="I878" s="2"/>
      <c r="J878" s="2"/>
      <c r="K878" s="2"/>
      <c r="L878" s="2"/>
      <c r="M878" s="2"/>
      <c r="N878" s="2"/>
      <c r="O878" s="2"/>
      <c r="P878" s="2"/>
      <c r="Q878" s="2"/>
      <c r="R878" s="2"/>
      <c r="S878" s="2"/>
      <c r="T878" s="2"/>
      <c r="U878" s="2"/>
    </row>
    <row r="879">
      <c r="A879" s="2"/>
      <c r="B879" s="2"/>
      <c r="C879" s="2"/>
      <c r="D879" s="2"/>
      <c r="E879" s="2"/>
      <c r="F879" s="2"/>
      <c r="G879" s="2"/>
      <c r="H879" s="2"/>
      <c r="I879" s="2"/>
      <c r="J879" s="2"/>
      <c r="K879" s="2"/>
      <c r="L879" s="2"/>
      <c r="M879" s="2"/>
      <c r="N879" s="2"/>
      <c r="O879" s="2"/>
      <c r="P879" s="2"/>
      <c r="Q879" s="2"/>
      <c r="R879" s="2"/>
      <c r="S879" s="2"/>
      <c r="T879" s="2"/>
      <c r="U879" s="2"/>
    </row>
    <row r="880">
      <c r="A880" s="2"/>
      <c r="B880" s="2"/>
      <c r="C880" s="2"/>
      <c r="D880" s="2"/>
      <c r="E880" s="2"/>
      <c r="F880" s="2"/>
      <c r="G880" s="2"/>
      <c r="H880" s="2"/>
      <c r="I880" s="2"/>
      <c r="J880" s="2"/>
      <c r="K880" s="2"/>
      <c r="L880" s="2"/>
      <c r="M880" s="2"/>
      <c r="N880" s="2"/>
      <c r="O880" s="2"/>
      <c r="P880" s="2"/>
      <c r="Q880" s="2"/>
      <c r="R880" s="2"/>
      <c r="S880" s="2"/>
      <c r="T880" s="2"/>
      <c r="U880" s="2"/>
    </row>
    <row r="881">
      <c r="A881" s="2"/>
      <c r="B881" s="2"/>
      <c r="C881" s="2"/>
      <c r="D881" s="2"/>
      <c r="E881" s="2"/>
      <c r="F881" s="2"/>
      <c r="G881" s="2"/>
      <c r="H881" s="2"/>
      <c r="I881" s="2"/>
      <c r="J881" s="2"/>
      <c r="K881" s="2"/>
      <c r="L881" s="2"/>
      <c r="M881" s="2"/>
      <c r="N881" s="2"/>
      <c r="O881" s="2"/>
      <c r="P881" s="2"/>
      <c r="Q881" s="2"/>
      <c r="R881" s="2"/>
      <c r="S881" s="2"/>
      <c r="T881" s="2"/>
      <c r="U881" s="2"/>
    </row>
    <row r="882">
      <c r="A882" s="2"/>
      <c r="B882" s="2"/>
      <c r="C882" s="2"/>
      <c r="D882" s="2"/>
      <c r="E882" s="2"/>
      <c r="F882" s="2"/>
      <c r="G882" s="2"/>
      <c r="H882" s="2"/>
      <c r="I882" s="2"/>
      <c r="J882" s="2"/>
      <c r="K882" s="2"/>
      <c r="L882" s="2"/>
      <c r="M882" s="2"/>
      <c r="N882" s="2"/>
      <c r="O882" s="2"/>
      <c r="P882" s="2"/>
      <c r="Q882" s="2"/>
      <c r="R882" s="2"/>
      <c r="S882" s="2"/>
      <c r="T882" s="2"/>
      <c r="U882" s="2"/>
    </row>
    <row r="883">
      <c r="A883" s="2"/>
      <c r="B883" s="2"/>
      <c r="C883" s="2"/>
      <c r="D883" s="2"/>
      <c r="E883" s="2"/>
      <c r="F883" s="2"/>
      <c r="G883" s="2"/>
      <c r="H883" s="2"/>
      <c r="I883" s="2"/>
      <c r="J883" s="2"/>
      <c r="K883" s="2"/>
      <c r="L883" s="2"/>
      <c r="M883" s="2"/>
      <c r="N883" s="2"/>
      <c r="O883" s="2"/>
      <c r="P883" s="2"/>
      <c r="Q883" s="2"/>
      <c r="R883" s="2"/>
      <c r="S883" s="2"/>
      <c r="T883" s="2"/>
      <c r="U883" s="2"/>
    </row>
    <row r="884">
      <c r="A884" s="2"/>
      <c r="B884" s="2"/>
      <c r="C884" s="2"/>
      <c r="D884" s="2"/>
      <c r="E884" s="2"/>
      <c r="F884" s="2"/>
      <c r="G884" s="2"/>
      <c r="H884" s="2"/>
      <c r="I884" s="2"/>
      <c r="J884" s="2"/>
      <c r="K884" s="2"/>
      <c r="L884" s="2"/>
      <c r="M884" s="2"/>
      <c r="N884" s="2"/>
      <c r="O884" s="2"/>
      <c r="P884" s="2"/>
      <c r="Q884" s="2"/>
      <c r="R884" s="2"/>
      <c r="S884" s="2"/>
      <c r="T884" s="2"/>
      <c r="U884" s="2"/>
    </row>
    <row r="885">
      <c r="A885" s="2"/>
      <c r="B885" s="2"/>
      <c r="C885" s="2"/>
      <c r="D885" s="2"/>
      <c r="E885" s="2"/>
      <c r="F885" s="2"/>
      <c r="G885" s="2"/>
      <c r="H885" s="2"/>
      <c r="I885" s="2"/>
      <c r="J885" s="2"/>
      <c r="K885" s="2"/>
      <c r="L885" s="2"/>
      <c r="M885" s="2"/>
      <c r="N885" s="2"/>
      <c r="O885" s="2"/>
      <c r="P885" s="2"/>
      <c r="Q885" s="2"/>
      <c r="R885" s="2"/>
      <c r="S885" s="2"/>
      <c r="T885" s="2"/>
      <c r="U885" s="2"/>
    </row>
    <row r="886">
      <c r="A886" s="2"/>
      <c r="B886" s="2"/>
      <c r="C886" s="2"/>
      <c r="D886" s="2"/>
      <c r="E886" s="2"/>
      <c r="F886" s="2"/>
      <c r="G886" s="2"/>
      <c r="H886" s="2"/>
      <c r="I886" s="2"/>
      <c r="J886" s="2"/>
      <c r="K886" s="2"/>
      <c r="L886" s="2"/>
      <c r="M886" s="2"/>
      <c r="N886" s="2"/>
      <c r="O886" s="2"/>
      <c r="P886" s="2"/>
      <c r="Q886" s="2"/>
      <c r="R886" s="2"/>
      <c r="S886" s="2"/>
      <c r="T886" s="2"/>
      <c r="U886" s="2"/>
    </row>
    <row r="887">
      <c r="A887" s="2"/>
      <c r="B887" s="2"/>
      <c r="C887" s="2"/>
      <c r="D887" s="2"/>
      <c r="E887" s="2"/>
      <c r="F887" s="2"/>
      <c r="G887" s="2"/>
      <c r="H887" s="2"/>
      <c r="I887" s="2"/>
      <c r="J887" s="2"/>
      <c r="K887" s="2"/>
      <c r="L887" s="2"/>
      <c r="M887" s="2"/>
      <c r="N887" s="2"/>
      <c r="O887" s="2"/>
      <c r="P887" s="2"/>
      <c r="Q887" s="2"/>
      <c r="R887" s="2"/>
      <c r="S887" s="2"/>
      <c r="T887" s="2"/>
      <c r="U887" s="2"/>
    </row>
    <row r="888">
      <c r="A888" s="2"/>
      <c r="B888" s="2"/>
      <c r="C888" s="2"/>
      <c r="D888" s="2"/>
      <c r="E888" s="2"/>
      <c r="F888" s="2"/>
      <c r="G888" s="2"/>
      <c r="H888" s="2"/>
      <c r="I888" s="2"/>
      <c r="J888" s="2"/>
      <c r="K888" s="2"/>
      <c r="L888" s="2"/>
      <c r="M888" s="2"/>
      <c r="N888" s="2"/>
      <c r="O888" s="2"/>
      <c r="P888" s="2"/>
      <c r="Q888" s="2"/>
      <c r="R888" s="2"/>
      <c r="S888" s="2"/>
      <c r="T888" s="2"/>
      <c r="U888" s="2"/>
    </row>
    <row r="889">
      <c r="A889" s="2"/>
      <c r="B889" s="2"/>
      <c r="C889" s="2"/>
      <c r="D889" s="2"/>
      <c r="E889" s="2"/>
      <c r="F889" s="2"/>
      <c r="G889" s="2"/>
      <c r="H889" s="2"/>
      <c r="I889" s="2"/>
      <c r="J889" s="2"/>
      <c r="K889" s="2"/>
      <c r="L889" s="2"/>
      <c r="M889" s="2"/>
      <c r="N889" s="2"/>
      <c r="O889" s="2"/>
      <c r="P889" s="2"/>
      <c r="Q889" s="2"/>
      <c r="R889" s="2"/>
      <c r="S889" s="2"/>
      <c r="T889" s="2"/>
      <c r="U889" s="2"/>
    </row>
    <row r="890">
      <c r="A890" s="2"/>
      <c r="B890" s="2"/>
      <c r="C890" s="2"/>
      <c r="D890" s="2"/>
      <c r="E890" s="2"/>
      <c r="F890" s="2"/>
      <c r="G890" s="2"/>
      <c r="H890" s="2"/>
      <c r="I890" s="2"/>
      <c r="J890" s="2"/>
      <c r="K890" s="2"/>
      <c r="L890" s="2"/>
      <c r="M890" s="2"/>
      <c r="N890" s="2"/>
      <c r="O890" s="2"/>
      <c r="P890" s="2"/>
      <c r="Q890" s="2"/>
      <c r="R890" s="2"/>
      <c r="S890" s="2"/>
      <c r="T890" s="2"/>
      <c r="U890" s="2"/>
    </row>
    <row r="891">
      <c r="A891" s="2"/>
      <c r="B891" s="2"/>
      <c r="C891" s="2"/>
      <c r="D891" s="2"/>
      <c r="E891" s="2"/>
      <c r="F891" s="2"/>
      <c r="G891" s="2"/>
      <c r="H891" s="2"/>
      <c r="I891" s="2"/>
      <c r="J891" s="2"/>
      <c r="K891" s="2"/>
      <c r="L891" s="2"/>
      <c r="M891" s="2"/>
      <c r="N891" s="2"/>
      <c r="O891" s="2"/>
      <c r="P891" s="2"/>
      <c r="Q891" s="2"/>
      <c r="R891" s="2"/>
      <c r="S891" s="2"/>
      <c r="T891" s="2"/>
      <c r="U891" s="2"/>
    </row>
    <row r="892">
      <c r="A892" s="2"/>
      <c r="B892" s="2"/>
      <c r="C892" s="2"/>
      <c r="D892" s="2"/>
      <c r="E892" s="2"/>
      <c r="F892" s="2"/>
      <c r="G892" s="2"/>
      <c r="H892" s="2"/>
      <c r="I892" s="2"/>
      <c r="J892" s="2"/>
      <c r="K892" s="2"/>
      <c r="L892" s="2"/>
      <c r="M892" s="2"/>
      <c r="N892" s="2"/>
      <c r="O892" s="2"/>
      <c r="P892" s="2"/>
      <c r="Q892" s="2"/>
      <c r="R892" s="2"/>
      <c r="S892" s="2"/>
      <c r="T892" s="2"/>
      <c r="U892" s="2"/>
    </row>
    <row r="893">
      <c r="A893" s="2"/>
      <c r="B893" s="2"/>
      <c r="C893" s="2"/>
      <c r="D893" s="2"/>
      <c r="E893" s="2"/>
      <c r="F893" s="2"/>
      <c r="G893" s="2"/>
      <c r="H893" s="2"/>
      <c r="I893" s="2"/>
      <c r="J893" s="2"/>
      <c r="K893" s="2"/>
      <c r="L893" s="2"/>
      <c r="M893" s="2"/>
      <c r="N893" s="2"/>
      <c r="O893" s="2"/>
      <c r="P893" s="2"/>
      <c r="Q893" s="2"/>
      <c r="R893" s="2"/>
      <c r="S893" s="2"/>
      <c r="T893" s="2"/>
      <c r="U893" s="2"/>
    </row>
    <row r="894">
      <c r="A894" s="2"/>
      <c r="B894" s="2"/>
      <c r="C894" s="2"/>
      <c r="D894" s="2"/>
      <c r="E894" s="2"/>
      <c r="F894" s="2"/>
      <c r="G894" s="2"/>
      <c r="H894" s="2"/>
      <c r="I894" s="2"/>
      <c r="J894" s="2"/>
      <c r="K894" s="2"/>
      <c r="L894" s="2"/>
      <c r="M894" s="2"/>
      <c r="N894" s="2"/>
      <c r="O894" s="2"/>
      <c r="P894" s="2"/>
      <c r="Q894" s="2"/>
      <c r="R894" s="2"/>
      <c r="S894" s="2"/>
      <c r="T894" s="2"/>
      <c r="U894" s="2"/>
    </row>
    <row r="895">
      <c r="A895" s="2"/>
      <c r="B895" s="2"/>
      <c r="C895" s="2"/>
      <c r="D895" s="2"/>
      <c r="E895" s="2"/>
      <c r="F895" s="2"/>
      <c r="G895" s="2"/>
      <c r="H895" s="2"/>
      <c r="I895" s="2"/>
      <c r="J895" s="2"/>
      <c r="K895" s="2"/>
      <c r="L895" s="2"/>
      <c r="M895" s="2"/>
      <c r="N895" s="2"/>
      <c r="O895" s="2"/>
      <c r="P895" s="2"/>
      <c r="Q895" s="2"/>
      <c r="R895" s="2"/>
      <c r="S895" s="2"/>
      <c r="T895" s="2"/>
      <c r="U895" s="2"/>
    </row>
    <row r="896">
      <c r="A896" s="2"/>
      <c r="B896" s="2"/>
      <c r="C896" s="2"/>
      <c r="D896" s="2"/>
      <c r="E896" s="2"/>
      <c r="F896" s="2"/>
      <c r="G896" s="2"/>
      <c r="H896" s="2"/>
      <c r="I896" s="2"/>
      <c r="J896" s="2"/>
      <c r="K896" s="2"/>
      <c r="L896" s="2"/>
      <c r="M896" s="2"/>
      <c r="N896" s="2"/>
      <c r="O896" s="2"/>
      <c r="P896" s="2"/>
      <c r="Q896" s="2"/>
      <c r="R896" s="2"/>
      <c r="S896" s="2"/>
      <c r="T896" s="2"/>
      <c r="U896" s="2"/>
    </row>
    <row r="897">
      <c r="A897" s="2"/>
      <c r="B897" s="2"/>
      <c r="C897" s="2"/>
      <c r="D897" s="2"/>
      <c r="E897" s="2"/>
      <c r="F897" s="2"/>
      <c r="G897" s="2"/>
      <c r="H897" s="2"/>
      <c r="I897" s="2"/>
      <c r="J897" s="2"/>
      <c r="K897" s="2"/>
      <c r="L897" s="2"/>
      <c r="M897" s="2"/>
      <c r="N897" s="2"/>
      <c r="O897" s="2"/>
      <c r="P897" s="2"/>
      <c r="Q897" s="2"/>
      <c r="R897" s="2"/>
      <c r="S897" s="2"/>
      <c r="T897" s="2"/>
      <c r="U897" s="2"/>
    </row>
    <row r="898">
      <c r="A898" s="2"/>
      <c r="B898" s="2"/>
      <c r="C898" s="2"/>
      <c r="D898" s="2"/>
      <c r="E898" s="2"/>
      <c r="F898" s="2"/>
      <c r="G898" s="2"/>
      <c r="H898" s="2"/>
      <c r="I898" s="2"/>
      <c r="J898" s="2"/>
      <c r="K898" s="2"/>
      <c r="L898" s="2"/>
      <c r="M898" s="2"/>
      <c r="N898" s="2"/>
      <c r="O898" s="2"/>
      <c r="P898" s="2"/>
      <c r="Q898" s="2"/>
      <c r="R898" s="2"/>
      <c r="S898" s="2"/>
      <c r="T898" s="2"/>
      <c r="U898" s="2"/>
    </row>
    <row r="899">
      <c r="A899" s="2"/>
      <c r="B899" s="2"/>
      <c r="C899" s="2"/>
      <c r="D899" s="2"/>
      <c r="E899" s="2"/>
      <c r="F899" s="2"/>
      <c r="G899" s="2"/>
      <c r="H899" s="2"/>
      <c r="I899" s="2"/>
      <c r="J899" s="2"/>
      <c r="K899" s="2"/>
      <c r="L899" s="2"/>
      <c r="M899" s="2"/>
      <c r="N899" s="2"/>
      <c r="O899" s="2"/>
      <c r="P899" s="2"/>
      <c r="Q899" s="2"/>
      <c r="R899" s="2"/>
      <c r="S899" s="2"/>
      <c r="T899" s="2"/>
      <c r="U899" s="2"/>
    </row>
    <row r="900">
      <c r="A900" s="2"/>
      <c r="B900" s="2"/>
      <c r="C900" s="2"/>
      <c r="D900" s="2"/>
      <c r="E900" s="2"/>
      <c r="F900" s="2"/>
      <c r="G900" s="2"/>
      <c r="H900" s="2"/>
      <c r="I900" s="2"/>
      <c r="J900" s="2"/>
      <c r="K900" s="2"/>
      <c r="L900" s="2"/>
      <c r="M900" s="2"/>
      <c r="N900" s="2"/>
      <c r="O900" s="2"/>
      <c r="P900" s="2"/>
      <c r="Q900" s="2"/>
      <c r="R900" s="2"/>
      <c r="S900" s="2"/>
      <c r="T900" s="2"/>
      <c r="U900" s="2"/>
    </row>
    <row r="901">
      <c r="A901" s="2"/>
      <c r="B901" s="2"/>
      <c r="C901" s="2"/>
      <c r="D901" s="2"/>
      <c r="E901" s="2"/>
      <c r="F901" s="2"/>
      <c r="G901" s="2"/>
      <c r="H901" s="2"/>
      <c r="I901" s="2"/>
      <c r="J901" s="2"/>
      <c r="K901" s="2"/>
      <c r="L901" s="2"/>
      <c r="M901" s="2"/>
      <c r="N901" s="2"/>
      <c r="O901" s="2"/>
      <c r="P901" s="2"/>
      <c r="Q901" s="2"/>
      <c r="R901" s="2"/>
      <c r="S901" s="2"/>
      <c r="T901" s="2"/>
      <c r="U901" s="2"/>
    </row>
    <row r="902">
      <c r="A902" s="2"/>
      <c r="B902" s="2"/>
      <c r="C902" s="2"/>
      <c r="D902" s="2"/>
      <c r="E902" s="2"/>
      <c r="F902" s="2"/>
      <c r="G902" s="2"/>
      <c r="H902" s="2"/>
      <c r="I902" s="2"/>
      <c r="J902" s="2"/>
      <c r="K902" s="2"/>
      <c r="L902" s="2"/>
      <c r="M902" s="2"/>
      <c r="N902" s="2"/>
      <c r="O902" s="2"/>
      <c r="P902" s="2"/>
      <c r="Q902" s="2"/>
      <c r="R902" s="2"/>
      <c r="S902" s="2"/>
      <c r="T902" s="2"/>
      <c r="U902" s="2"/>
    </row>
    <row r="903">
      <c r="A903" s="2"/>
      <c r="B903" s="2"/>
      <c r="C903" s="2"/>
      <c r="D903" s="2"/>
      <c r="E903" s="2"/>
      <c r="F903" s="2"/>
      <c r="G903" s="2"/>
      <c r="H903" s="2"/>
      <c r="I903" s="2"/>
      <c r="J903" s="2"/>
      <c r="K903" s="2"/>
      <c r="L903" s="2"/>
      <c r="M903" s="2"/>
      <c r="N903" s="2"/>
      <c r="O903" s="2"/>
      <c r="P903" s="2"/>
      <c r="Q903" s="2"/>
      <c r="R903" s="2"/>
      <c r="S903" s="2"/>
      <c r="T903" s="2"/>
      <c r="U903" s="2"/>
    </row>
    <row r="904">
      <c r="A904" s="2"/>
      <c r="B904" s="2"/>
      <c r="C904" s="2"/>
      <c r="D904" s="2"/>
      <c r="E904" s="2"/>
      <c r="F904" s="2"/>
      <c r="G904" s="2"/>
      <c r="H904" s="2"/>
      <c r="I904" s="2"/>
      <c r="J904" s="2"/>
      <c r="K904" s="2"/>
      <c r="L904" s="2"/>
      <c r="M904" s="2"/>
      <c r="N904" s="2"/>
      <c r="O904" s="2"/>
      <c r="P904" s="2"/>
      <c r="Q904" s="2"/>
      <c r="R904" s="2"/>
      <c r="S904" s="2"/>
      <c r="T904" s="2"/>
      <c r="U904" s="2"/>
    </row>
    <row r="905">
      <c r="A905" s="2"/>
      <c r="B905" s="2"/>
      <c r="C905" s="2"/>
      <c r="D905" s="2"/>
      <c r="E905" s="2"/>
      <c r="F905" s="2"/>
      <c r="G905" s="2"/>
      <c r="H905" s="2"/>
      <c r="I905" s="2"/>
      <c r="J905" s="2"/>
      <c r="K905" s="2"/>
      <c r="L905" s="2"/>
      <c r="M905" s="2"/>
      <c r="N905" s="2"/>
      <c r="O905" s="2"/>
      <c r="P905" s="2"/>
      <c r="Q905" s="2"/>
      <c r="R905" s="2"/>
      <c r="S905" s="2"/>
      <c r="T905" s="2"/>
      <c r="U905" s="2"/>
    </row>
    <row r="906">
      <c r="A906" s="2"/>
      <c r="B906" s="2"/>
      <c r="C906" s="2"/>
      <c r="D906" s="2"/>
      <c r="E906" s="2"/>
      <c r="F906" s="2"/>
      <c r="G906" s="2"/>
      <c r="H906" s="2"/>
      <c r="I906" s="2"/>
      <c r="J906" s="2"/>
      <c r="K906" s="2"/>
      <c r="L906" s="2"/>
      <c r="M906" s="2"/>
      <c r="N906" s="2"/>
      <c r="O906" s="2"/>
      <c r="P906" s="2"/>
      <c r="Q906" s="2"/>
      <c r="R906" s="2"/>
      <c r="S906" s="2"/>
      <c r="T906" s="2"/>
      <c r="U906" s="2"/>
    </row>
    <row r="907">
      <c r="A907" s="2"/>
      <c r="B907" s="2"/>
      <c r="C907" s="2"/>
      <c r="D907" s="2"/>
      <c r="E907" s="2"/>
      <c r="F907" s="2"/>
      <c r="G907" s="2"/>
      <c r="H907" s="2"/>
      <c r="I907" s="2"/>
      <c r="J907" s="2"/>
      <c r="K907" s="2"/>
      <c r="L907" s="2"/>
      <c r="M907" s="2"/>
      <c r="N907" s="2"/>
      <c r="O907" s="2"/>
      <c r="P907" s="2"/>
      <c r="Q907" s="2"/>
      <c r="R907" s="2"/>
      <c r="S907" s="2"/>
      <c r="T907" s="2"/>
      <c r="U907" s="2"/>
    </row>
    <row r="908">
      <c r="A908" s="2"/>
      <c r="B908" s="2"/>
      <c r="C908" s="2"/>
      <c r="D908" s="2"/>
      <c r="E908" s="2"/>
      <c r="F908" s="2"/>
      <c r="G908" s="2"/>
      <c r="H908" s="2"/>
      <c r="I908" s="2"/>
      <c r="J908" s="2"/>
      <c r="K908" s="2"/>
      <c r="L908" s="2"/>
      <c r="M908" s="2"/>
      <c r="N908" s="2"/>
      <c r="O908" s="2"/>
      <c r="P908" s="2"/>
      <c r="Q908" s="2"/>
      <c r="R908" s="2"/>
      <c r="S908" s="2"/>
      <c r="T908" s="2"/>
      <c r="U908" s="2"/>
    </row>
    <row r="909">
      <c r="A909" s="2"/>
      <c r="B909" s="2"/>
      <c r="C909" s="2"/>
      <c r="D909" s="2"/>
      <c r="E909" s="2"/>
      <c r="F909" s="2"/>
      <c r="G909" s="2"/>
      <c r="H909" s="2"/>
      <c r="I909" s="2"/>
      <c r="J909" s="2"/>
      <c r="K909" s="2"/>
      <c r="L909" s="2"/>
      <c r="M909" s="2"/>
      <c r="N909" s="2"/>
      <c r="O909" s="2"/>
      <c r="P909" s="2"/>
      <c r="Q909" s="2"/>
      <c r="R909" s="2"/>
      <c r="S909" s="2"/>
      <c r="T909" s="2"/>
      <c r="U909" s="2"/>
    </row>
    <row r="910">
      <c r="A910" s="2"/>
      <c r="B910" s="2"/>
      <c r="C910" s="2"/>
      <c r="D910" s="2"/>
      <c r="E910" s="2"/>
      <c r="F910" s="2"/>
      <c r="G910" s="2"/>
      <c r="H910" s="2"/>
      <c r="I910" s="2"/>
      <c r="J910" s="2"/>
      <c r="K910" s="2"/>
      <c r="L910" s="2"/>
      <c r="M910" s="2"/>
      <c r="N910" s="2"/>
      <c r="O910" s="2"/>
      <c r="P910" s="2"/>
      <c r="Q910" s="2"/>
      <c r="R910" s="2"/>
      <c r="S910" s="2"/>
      <c r="T910" s="2"/>
      <c r="U910" s="2"/>
    </row>
    <row r="911">
      <c r="A911" s="2"/>
      <c r="B911" s="2"/>
      <c r="C911" s="2"/>
      <c r="D911" s="2"/>
      <c r="E911" s="2"/>
      <c r="F911" s="2"/>
      <c r="G911" s="2"/>
      <c r="H911" s="2"/>
      <c r="I911" s="2"/>
      <c r="J911" s="2"/>
      <c r="K911" s="2"/>
      <c r="L911" s="2"/>
      <c r="M911" s="2"/>
      <c r="N911" s="2"/>
      <c r="O911" s="2"/>
      <c r="P911" s="2"/>
      <c r="Q911" s="2"/>
      <c r="R911" s="2"/>
      <c r="S911" s="2"/>
      <c r="T911" s="2"/>
      <c r="U911" s="2"/>
    </row>
    <row r="912">
      <c r="A912" s="2"/>
      <c r="B912" s="2"/>
      <c r="C912" s="2"/>
      <c r="D912" s="2"/>
      <c r="E912" s="2"/>
      <c r="F912" s="2"/>
      <c r="G912" s="2"/>
      <c r="H912" s="2"/>
      <c r="I912" s="2"/>
      <c r="J912" s="2"/>
      <c r="K912" s="2"/>
      <c r="L912" s="2"/>
      <c r="M912" s="2"/>
      <c r="N912" s="2"/>
      <c r="O912" s="2"/>
      <c r="P912" s="2"/>
      <c r="Q912" s="2"/>
      <c r="R912" s="2"/>
      <c r="S912" s="2"/>
      <c r="T912" s="2"/>
      <c r="U912" s="2"/>
    </row>
    <row r="913">
      <c r="A913" s="2"/>
      <c r="B913" s="2"/>
      <c r="C913" s="2"/>
      <c r="D913" s="2"/>
      <c r="E913" s="2"/>
      <c r="F913" s="2"/>
      <c r="G913" s="2"/>
      <c r="H913" s="2"/>
      <c r="I913" s="2"/>
      <c r="J913" s="2"/>
      <c r="K913" s="2"/>
      <c r="L913" s="2"/>
      <c r="M913" s="2"/>
      <c r="N913" s="2"/>
      <c r="O913" s="2"/>
      <c r="P913" s="2"/>
      <c r="Q913" s="2"/>
      <c r="R913" s="2"/>
      <c r="S913" s="2"/>
      <c r="T913" s="2"/>
      <c r="U913" s="2"/>
    </row>
    <row r="914">
      <c r="A914" s="2"/>
      <c r="B914" s="2"/>
      <c r="C914" s="2"/>
      <c r="D914" s="2"/>
      <c r="E914" s="2"/>
      <c r="F914" s="2"/>
      <c r="G914" s="2"/>
      <c r="H914" s="2"/>
      <c r="I914" s="2"/>
      <c r="J914" s="2"/>
      <c r="K914" s="2"/>
      <c r="L914" s="2"/>
      <c r="M914" s="2"/>
      <c r="N914" s="2"/>
      <c r="O914" s="2"/>
      <c r="P914" s="2"/>
      <c r="Q914" s="2"/>
      <c r="R914" s="2"/>
      <c r="S914" s="2"/>
      <c r="T914" s="2"/>
      <c r="U914" s="2"/>
    </row>
    <row r="915">
      <c r="A915" s="2"/>
      <c r="B915" s="2"/>
      <c r="C915" s="2"/>
      <c r="D915" s="2"/>
      <c r="E915" s="2"/>
      <c r="F915" s="2"/>
      <c r="G915" s="2"/>
      <c r="H915" s="2"/>
      <c r="I915" s="2"/>
      <c r="J915" s="2"/>
      <c r="K915" s="2"/>
      <c r="L915" s="2"/>
      <c r="M915" s="2"/>
      <c r="N915" s="2"/>
      <c r="O915" s="2"/>
      <c r="P915" s="2"/>
      <c r="Q915" s="2"/>
      <c r="R915" s="2"/>
      <c r="S915" s="2"/>
      <c r="T915" s="2"/>
      <c r="U915" s="2"/>
    </row>
    <row r="916">
      <c r="A916" s="2"/>
      <c r="B916" s="2"/>
      <c r="C916" s="2"/>
      <c r="D916" s="2"/>
      <c r="E916" s="2"/>
      <c r="F916" s="2"/>
      <c r="G916" s="2"/>
      <c r="H916" s="2"/>
      <c r="I916" s="2"/>
      <c r="J916" s="2"/>
      <c r="K916" s="2"/>
      <c r="L916" s="2"/>
      <c r="M916" s="2"/>
      <c r="N916" s="2"/>
      <c r="O916" s="2"/>
      <c r="P916" s="2"/>
      <c r="Q916" s="2"/>
      <c r="R916" s="2"/>
      <c r="S916" s="2"/>
      <c r="T916" s="2"/>
      <c r="U916" s="2"/>
    </row>
    <row r="917">
      <c r="A917" s="2"/>
      <c r="B917" s="2"/>
      <c r="C917" s="2"/>
      <c r="D917" s="2"/>
      <c r="E917" s="2"/>
      <c r="F917" s="2"/>
      <c r="G917" s="2"/>
      <c r="H917" s="2"/>
      <c r="I917" s="2"/>
      <c r="J917" s="2"/>
      <c r="K917" s="2"/>
      <c r="L917" s="2"/>
      <c r="M917" s="2"/>
      <c r="N917" s="2"/>
      <c r="O917" s="2"/>
      <c r="P917" s="2"/>
      <c r="Q917" s="2"/>
      <c r="R917" s="2"/>
      <c r="S917" s="2"/>
      <c r="T917" s="2"/>
      <c r="U917" s="2"/>
    </row>
    <row r="918">
      <c r="A918" s="2"/>
      <c r="B918" s="2"/>
      <c r="C918" s="2"/>
      <c r="D918" s="2"/>
      <c r="E918" s="2"/>
      <c r="F918" s="2"/>
      <c r="G918" s="2"/>
      <c r="H918" s="2"/>
      <c r="I918" s="2"/>
      <c r="J918" s="2"/>
      <c r="K918" s="2"/>
      <c r="L918" s="2"/>
      <c r="M918" s="2"/>
      <c r="N918" s="2"/>
      <c r="O918" s="2"/>
      <c r="P918" s="2"/>
      <c r="Q918" s="2"/>
      <c r="R918" s="2"/>
      <c r="S918" s="2"/>
      <c r="T918" s="2"/>
      <c r="U918" s="2"/>
    </row>
    <row r="919">
      <c r="A919" s="2"/>
      <c r="B919" s="2"/>
      <c r="C919" s="2"/>
      <c r="D919" s="2"/>
      <c r="E919" s="2"/>
      <c r="F919" s="2"/>
      <c r="G919" s="2"/>
      <c r="H919" s="2"/>
      <c r="I919" s="2"/>
      <c r="J919" s="2"/>
      <c r="K919" s="2"/>
      <c r="L919" s="2"/>
      <c r="M919" s="2"/>
      <c r="N919" s="2"/>
      <c r="O919" s="2"/>
      <c r="P919" s="2"/>
      <c r="Q919" s="2"/>
      <c r="R919" s="2"/>
      <c r="S919" s="2"/>
      <c r="T919" s="2"/>
      <c r="U919" s="2"/>
    </row>
    <row r="920">
      <c r="A920" s="2"/>
      <c r="B920" s="2"/>
      <c r="C920" s="2"/>
      <c r="D920" s="2"/>
      <c r="E920" s="2"/>
      <c r="F920" s="2"/>
      <c r="G920" s="2"/>
      <c r="H920" s="2"/>
      <c r="I920" s="2"/>
      <c r="J920" s="2"/>
      <c r="K920" s="2"/>
      <c r="L920" s="2"/>
      <c r="M920" s="2"/>
      <c r="N920" s="2"/>
      <c r="O920" s="2"/>
      <c r="P920" s="2"/>
      <c r="Q920" s="2"/>
      <c r="R920" s="2"/>
      <c r="S920" s="2"/>
      <c r="T920" s="2"/>
      <c r="U920" s="2"/>
    </row>
    <row r="921">
      <c r="A921" s="2"/>
      <c r="B921" s="2"/>
      <c r="C921" s="2"/>
      <c r="D921" s="2"/>
      <c r="E921" s="2"/>
      <c r="F921" s="2"/>
      <c r="G921" s="2"/>
      <c r="H921" s="2"/>
      <c r="I921" s="2"/>
      <c r="J921" s="2"/>
      <c r="K921" s="2"/>
      <c r="L921" s="2"/>
      <c r="M921" s="2"/>
      <c r="N921" s="2"/>
      <c r="O921" s="2"/>
      <c r="P921" s="2"/>
      <c r="Q921" s="2"/>
      <c r="R921" s="2"/>
      <c r="S921" s="2"/>
      <c r="T921" s="2"/>
      <c r="U921" s="2"/>
    </row>
    <row r="922">
      <c r="A922" s="2"/>
      <c r="B922" s="2"/>
      <c r="C922" s="2"/>
      <c r="D922" s="2"/>
      <c r="E922" s="2"/>
      <c r="F922" s="2"/>
      <c r="G922" s="2"/>
      <c r="H922" s="2"/>
      <c r="I922" s="2"/>
      <c r="J922" s="2"/>
      <c r="K922" s="2"/>
      <c r="L922" s="2"/>
      <c r="M922" s="2"/>
      <c r="N922" s="2"/>
      <c r="O922" s="2"/>
      <c r="P922" s="2"/>
      <c r="Q922" s="2"/>
      <c r="R922" s="2"/>
      <c r="S922" s="2"/>
      <c r="T922" s="2"/>
      <c r="U922" s="2"/>
    </row>
    <row r="923">
      <c r="A923" s="2"/>
      <c r="B923" s="2"/>
      <c r="C923" s="2"/>
      <c r="D923" s="2"/>
      <c r="E923" s="2"/>
      <c r="F923" s="2"/>
      <c r="G923" s="2"/>
      <c r="H923" s="2"/>
      <c r="I923" s="2"/>
      <c r="J923" s="2"/>
      <c r="K923" s="2"/>
      <c r="L923" s="2"/>
      <c r="M923" s="2"/>
      <c r="N923" s="2"/>
      <c r="O923" s="2"/>
      <c r="P923" s="2"/>
      <c r="Q923" s="2"/>
      <c r="R923" s="2"/>
      <c r="S923" s="2"/>
      <c r="T923" s="2"/>
      <c r="U923" s="2"/>
    </row>
    <row r="924">
      <c r="A924" s="2"/>
      <c r="B924" s="2"/>
      <c r="C924" s="2"/>
      <c r="D924" s="2"/>
      <c r="E924" s="2"/>
      <c r="F924" s="2"/>
      <c r="G924" s="2"/>
      <c r="H924" s="2"/>
      <c r="I924" s="2"/>
      <c r="J924" s="2"/>
      <c r="K924" s="2"/>
      <c r="L924" s="2"/>
      <c r="M924" s="2"/>
      <c r="N924" s="2"/>
      <c r="O924" s="2"/>
      <c r="P924" s="2"/>
      <c r="Q924" s="2"/>
      <c r="R924" s="2"/>
      <c r="S924" s="2"/>
      <c r="T924" s="2"/>
      <c r="U924" s="2"/>
    </row>
    <row r="925">
      <c r="A925" s="2"/>
      <c r="B925" s="2"/>
      <c r="C925" s="2"/>
      <c r="D925" s="2"/>
      <c r="E925" s="2"/>
      <c r="F925" s="2"/>
      <c r="G925" s="2"/>
      <c r="H925" s="2"/>
      <c r="I925" s="2"/>
      <c r="J925" s="2"/>
      <c r="K925" s="2"/>
      <c r="L925" s="2"/>
      <c r="M925" s="2"/>
      <c r="N925" s="2"/>
      <c r="O925" s="2"/>
      <c r="P925" s="2"/>
      <c r="Q925" s="2"/>
      <c r="R925" s="2"/>
      <c r="S925" s="2"/>
      <c r="T925" s="2"/>
      <c r="U925" s="2"/>
    </row>
    <row r="926">
      <c r="A926" s="2"/>
      <c r="B926" s="2"/>
      <c r="C926" s="2"/>
      <c r="D926" s="2"/>
      <c r="E926" s="2"/>
      <c r="F926" s="2"/>
      <c r="G926" s="2"/>
      <c r="H926" s="2"/>
      <c r="I926" s="2"/>
      <c r="J926" s="2"/>
      <c r="K926" s="2"/>
      <c r="L926" s="2"/>
      <c r="M926" s="2"/>
      <c r="N926" s="2"/>
      <c r="O926" s="2"/>
      <c r="P926" s="2"/>
      <c r="Q926" s="2"/>
      <c r="R926" s="2"/>
      <c r="S926" s="2"/>
      <c r="T926" s="2"/>
      <c r="U926" s="2"/>
    </row>
    <row r="927">
      <c r="A927" s="2"/>
      <c r="B927" s="2"/>
      <c r="C927" s="2"/>
      <c r="D927" s="2"/>
      <c r="E927" s="2"/>
      <c r="F927" s="2"/>
      <c r="G927" s="2"/>
      <c r="H927" s="2"/>
      <c r="I927" s="2"/>
      <c r="J927" s="2"/>
      <c r="K927" s="2"/>
      <c r="L927" s="2"/>
      <c r="M927" s="2"/>
      <c r="N927" s="2"/>
      <c r="O927" s="2"/>
      <c r="P927" s="2"/>
      <c r="Q927" s="2"/>
      <c r="R927" s="2"/>
      <c r="S927" s="2"/>
      <c r="T927" s="2"/>
      <c r="U927" s="2"/>
    </row>
    <row r="928">
      <c r="A928" s="2"/>
      <c r="B928" s="2"/>
      <c r="C928" s="2"/>
      <c r="D928" s="2"/>
      <c r="E928" s="2"/>
      <c r="F928" s="2"/>
      <c r="G928" s="2"/>
      <c r="H928" s="2"/>
      <c r="I928" s="2"/>
      <c r="J928" s="2"/>
      <c r="K928" s="2"/>
      <c r="L928" s="2"/>
      <c r="M928" s="2"/>
      <c r="N928" s="2"/>
      <c r="O928" s="2"/>
      <c r="P928" s="2"/>
      <c r="Q928" s="2"/>
      <c r="R928" s="2"/>
      <c r="S928" s="2"/>
      <c r="T928" s="2"/>
      <c r="U928" s="2"/>
    </row>
    <row r="929">
      <c r="A929" s="2"/>
      <c r="B929" s="2"/>
      <c r="C929" s="2"/>
      <c r="D929" s="2"/>
      <c r="E929" s="2"/>
      <c r="F929" s="2"/>
      <c r="G929" s="2"/>
      <c r="H929" s="2"/>
      <c r="I929" s="2"/>
      <c r="J929" s="2"/>
      <c r="K929" s="2"/>
      <c r="L929" s="2"/>
      <c r="M929" s="2"/>
      <c r="N929" s="2"/>
      <c r="O929" s="2"/>
      <c r="P929" s="2"/>
      <c r="Q929" s="2"/>
      <c r="R929" s="2"/>
      <c r="S929" s="2"/>
      <c r="T929" s="2"/>
      <c r="U929" s="2"/>
    </row>
    <row r="930">
      <c r="A930" s="2"/>
      <c r="B930" s="2"/>
      <c r="C930" s="2"/>
      <c r="D930" s="2"/>
      <c r="E930" s="2"/>
      <c r="F930" s="2"/>
      <c r="G930" s="2"/>
      <c r="H930" s="2"/>
      <c r="I930" s="2"/>
      <c r="J930" s="2"/>
      <c r="K930" s="2"/>
      <c r="L930" s="2"/>
      <c r="M930" s="2"/>
      <c r="N930" s="2"/>
      <c r="O930" s="2"/>
      <c r="P930" s="2"/>
      <c r="Q930" s="2"/>
      <c r="R930" s="2"/>
      <c r="S930" s="2"/>
      <c r="T930" s="2"/>
      <c r="U930" s="2"/>
    </row>
    <row r="931">
      <c r="A931" s="2"/>
      <c r="B931" s="2"/>
      <c r="C931" s="2"/>
      <c r="D931" s="2"/>
      <c r="E931" s="2"/>
      <c r="F931" s="2"/>
      <c r="G931" s="2"/>
      <c r="H931" s="2"/>
      <c r="I931" s="2"/>
      <c r="J931" s="2"/>
      <c r="K931" s="2"/>
      <c r="L931" s="2"/>
      <c r="M931" s="2"/>
      <c r="N931" s="2"/>
      <c r="O931" s="2"/>
      <c r="P931" s="2"/>
      <c r="Q931" s="2"/>
      <c r="R931" s="2"/>
      <c r="S931" s="2"/>
      <c r="T931" s="2"/>
      <c r="U931" s="2"/>
    </row>
    <row r="932">
      <c r="A932" s="2"/>
      <c r="B932" s="2"/>
      <c r="C932" s="2"/>
      <c r="D932" s="2"/>
      <c r="E932" s="2"/>
      <c r="F932" s="2"/>
      <c r="G932" s="2"/>
      <c r="H932" s="2"/>
      <c r="I932" s="2"/>
      <c r="J932" s="2"/>
      <c r="K932" s="2"/>
      <c r="L932" s="2"/>
      <c r="M932" s="2"/>
      <c r="N932" s="2"/>
      <c r="O932" s="2"/>
      <c r="P932" s="2"/>
      <c r="Q932" s="2"/>
      <c r="R932" s="2"/>
      <c r="S932" s="2"/>
      <c r="T932" s="2"/>
      <c r="U932" s="2"/>
    </row>
    <row r="933">
      <c r="A933" s="2"/>
      <c r="B933" s="2"/>
      <c r="C933" s="2"/>
      <c r="D933" s="2"/>
      <c r="E933" s="2"/>
      <c r="F933" s="2"/>
      <c r="G933" s="2"/>
      <c r="H933" s="2"/>
      <c r="I933" s="2"/>
      <c r="J933" s="2"/>
      <c r="K933" s="2"/>
      <c r="L933" s="2"/>
      <c r="M933" s="2"/>
      <c r="N933" s="2"/>
      <c r="O933" s="2"/>
      <c r="P933" s="2"/>
      <c r="Q933" s="2"/>
      <c r="R933" s="2"/>
      <c r="S933" s="2"/>
      <c r="T933" s="2"/>
      <c r="U933" s="2"/>
    </row>
    <row r="934">
      <c r="A934" s="2"/>
      <c r="B934" s="2"/>
      <c r="C934" s="2"/>
      <c r="D934" s="2"/>
      <c r="E934" s="2"/>
      <c r="F934" s="2"/>
      <c r="G934" s="2"/>
      <c r="H934" s="2"/>
      <c r="I934" s="2"/>
      <c r="J934" s="2"/>
      <c r="K934" s="2"/>
      <c r="L934" s="2"/>
      <c r="M934" s="2"/>
      <c r="N934" s="2"/>
      <c r="O934" s="2"/>
      <c r="P934" s="2"/>
      <c r="Q934" s="2"/>
      <c r="R934" s="2"/>
      <c r="S934" s="2"/>
      <c r="T934" s="2"/>
      <c r="U934" s="2"/>
    </row>
    <row r="935">
      <c r="A935" s="2"/>
      <c r="B935" s="2"/>
      <c r="C935" s="2"/>
      <c r="D935" s="2"/>
      <c r="E935" s="2"/>
      <c r="F935" s="2"/>
      <c r="G935" s="2"/>
      <c r="H935" s="2"/>
      <c r="I935" s="2"/>
      <c r="J935" s="2"/>
      <c r="K935" s="2"/>
      <c r="L935" s="2"/>
      <c r="M935" s="2"/>
      <c r="N935" s="2"/>
      <c r="O935" s="2"/>
      <c r="P935" s="2"/>
      <c r="Q935" s="2"/>
      <c r="R935" s="2"/>
      <c r="S935" s="2"/>
      <c r="T935" s="2"/>
      <c r="U935" s="2"/>
    </row>
    <row r="936">
      <c r="A936" s="2"/>
      <c r="B936" s="2"/>
      <c r="C936" s="2"/>
      <c r="D936" s="2"/>
      <c r="E936" s="2"/>
      <c r="F936" s="2"/>
      <c r="G936" s="2"/>
      <c r="H936" s="2"/>
      <c r="I936" s="2"/>
      <c r="J936" s="2"/>
      <c r="K936" s="2"/>
      <c r="L936" s="2"/>
      <c r="M936" s="2"/>
      <c r="N936" s="2"/>
      <c r="O936" s="2"/>
      <c r="P936" s="2"/>
      <c r="Q936" s="2"/>
      <c r="R936" s="2"/>
      <c r="S936" s="2"/>
      <c r="T936" s="2"/>
      <c r="U936" s="2"/>
    </row>
    <row r="937">
      <c r="A937" s="2"/>
      <c r="B937" s="2"/>
      <c r="C937" s="2"/>
      <c r="D937" s="2"/>
      <c r="E937" s="2"/>
      <c r="F937" s="2"/>
      <c r="G937" s="2"/>
      <c r="H937" s="2"/>
      <c r="I937" s="2"/>
      <c r="J937" s="2"/>
      <c r="K937" s="2"/>
      <c r="L937" s="2"/>
      <c r="M937" s="2"/>
      <c r="N937" s="2"/>
      <c r="O937" s="2"/>
      <c r="P937" s="2"/>
      <c r="Q937" s="2"/>
      <c r="R937" s="2"/>
      <c r="S937" s="2"/>
      <c r="T937" s="2"/>
      <c r="U937" s="2"/>
    </row>
    <row r="938">
      <c r="A938" s="2"/>
      <c r="B938" s="2"/>
      <c r="C938" s="2"/>
      <c r="D938" s="2"/>
      <c r="E938" s="2"/>
      <c r="F938" s="2"/>
      <c r="G938" s="2"/>
      <c r="H938" s="2"/>
      <c r="I938" s="2"/>
      <c r="J938" s="2"/>
      <c r="K938" s="2"/>
      <c r="L938" s="2"/>
      <c r="M938" s="2"/>
      <c r="N938" s="2"/>
      <c r="O938" s="2"/>
      <c r="P938" s="2"/>
      <c r="Q938" s="2"/>
      <c r="R938" s="2"/>
      <c r="S938" s="2"/>
      <c r="T938" s="2"/>
      <c r="U938" s="2"/>
    </row>
    <row r="939">
      <c r="A939" s="2"/>
      <c r="B939" s="2"/>
      <c r="C939" s="2"/>
      <c r="D939" s="2"/>
      <c r="E939" s="2"/>
      <c r="F939" s="2"/>
      <c r="G939" s="2"/>
      <c r="H939" s="2"/>
      <c r="I939" s="2"/>
      <c r="J939" s="2"/>
      <c r="K939" s="2"/>
      <c r="L939" s="2"/>
      <c r="M939" s="2"/>
      <c r="N939" s="2"/>
      <c r="O939" s="2"/>
      <c r="P939" s="2"/>
      <c r="Q939" s="2"/>
      <c r="R939" s="2"/>
      <c r="S939" s="2"/>
      <c r="T939" s="2"/>
      <c r="U939" s="2"/>
    </row>
    <row r="940">
      <c r="A940" s="2"/>
      <c r="B940" s="2"/>
      <c r="C940" s="2"/>
      <c r="D940" s="2"/>
      <c r="E940" s="2"/>
      <c r="F940" s="2"/>
      <c r="G940" s="2"/>
      <c r="H940" s="2"/>
      <c r="I940" s="2"/>
      <c r="J940" s="2"/>
      <c r="K940" s="2"/>
      <c r="L940" s="2"/>
      <c r="M940" s="2"/>
      <c r="N940" s="2"/>
      <c r="O940" s="2"/>
      <c r="P940" s="2"/>
      <c r="Q940" s="2"/>
      <c r="R940" s="2"/>
      <c r="S940" s="2"/>
      <c r="T940" s="2"/>
      <c r="U940" s="2"/>
    </row>
    <row r="941">
      <c r="A941" s="2"/>
      <c r="B941" s="2"/>
      <c r="C941" s="2"/>
      <c r="D941" s="2"/>
      <c r="E941" s="2"/>
      <c r="F941" s="2"/>
      <c r="G941" s="2"/>
      <c r="H941" s="2"/>
      <c r="I941" s="2"/>
      <c r="J941" s="2"/>
      <c r="K941" s="2"/>
      <c r="L941" s="2"/>
      <c r="M941" s="2"/>
      <c r="N941" s="2"/>
      <c r="O941" s="2"/>
      <c r="P941" s="2"/>
      <c r="Q941" s="2"/>
      <c r="R941" s="2"/>
      <c r="S941" s="2"/>
      <c r="T941" s="2"/>
      <c r="U941" s="2"/>
    </row>
    <row r="942">
      <c r="A942" s="2"/>
      <c r="B942" s="2"/>
      <c r="C942" s="2"/>
      <c r="D942" s="2"/>
      <c r="E942" s="2"/>
      <c r="F942" s="2"/>
      <c r="G942" s="2"/>
      <c r="H942" s="2"/>
      <c r="I942" s="2"/>
      <c r="J942" s="2"/>
      <c r="K942" s="2"/>
      <c r="L942" s="2"/>
      <c r="M942" s="2"/>
      <c r="N942" s="2"/>
      <c r="O942" s="2"/>
      <c r="P942" s="2"/>
      <c r="Q942" s="2"/>
      <c r="R942" s="2"/>
      <c r="S942" s="2"/>
      <c r="T942" s="2"/>
      <c r="U942" s="2"/>
    </row>
    <row r="943">
      <c r="A943" s="2"/>
      <c r="B943" s="2"/>
      <c r="C943" s="2"/>
      <c r="D943" s="2"/>
      <c r="E943" s="2"/>
      <c r="F943" s="2"/>
      <c r="G943" s="2"/>
      <c r="H943" s="2"/>
      <c r="I943" s="2"/>
      <c r="J943" s="2"/>
      <c r="K943" s="2"/>
      <c r="L943" s="2"/>
      <c r="M943" s="2"/>
      <c r="N943" s="2"/>
      <c r="O943" s="2"/>
      <c r="P943" s="2"/>
      <c r="Q943" s="2"/>
      <c r="R943" s="2"/>
      <c r="S943" s="2"/>
      <c r="T943" s="2"/>
      <c r="U943" s="2"/>
    </row>
    <row r="944">
      <c r="A944" s="2"/>
      <c r="B944" s="2"/>
      <c r="C944" s="2"/>
      <c r="D944" s="2"/>
      <c r="E944" s="2"/>
      <c r="F944" s="2"/>
      <c r="G944" s="2"/>
      <c r="H944" s="2"/>
      <c r="I944" s="2"/>
      <c r="J944" s="2"/>
      <c r="K944" s="2"/>
      <c r="L944" s="2"/>
      <c r="M944" s="2"/>
      <c r="N944" s="2"/>
      <c r="O944" s="2"/>
      <c r="P944" s="2"/>
      <c r="Q944" s="2"/>
      <c r="R944" s="2"/>
      <c r="S944" s="2"/>
      <c r="T944" s="2"/>
      <c r="U944" s="2"/>
    </row>
    <row r="945">
      <c r="A945" s="2"/>
      <c r="B945" s="2"/>
      <c r="C945" s="2"/>
      <c r="D945" s="2"/>
      <c r="E945" s="2"/>
      <c r="F945" s="2"/>
      <c r="G945" s="2"/>
      <c r="H945" s="2"/>
      <c r="I945" s="2"/>
      <c r="J945" s="2"/>
      <c r="K945" s="2"/>
      <c r="L945" s="2"/>
      <c r="M945" s="2"/>
      <c r="N945" s="2"/>
      <c r="O945" s="2"/>
      <c r="P945" s="2"/>
      <c r="Q945" s="2"/>
      <c r="R945" s="2"/>
      <c r="S945" s="2"/>
      <c r="T945" s="2"/>
      <c r="U945" s="2"/>
    </row>
    <row r="946">
      <c r="A946" s="2"/>
      <c r="B946" s="2"/>
      <c r="C946" s="2"/>
      <c r="D946" s="2"/>
      <c r="E946" s="2"/>
      <c r="F946" s="2"/>
      <c r="G946" s="2"/>
      <c r="H946" s="2"/>
      <c r="I946" s="2"/>
      <c r="J946" s="2"/>
      <c r="K946" s="2"/>
      <c r="L946" s="2"/>
      <c r="M946" s="2"/>
      <c r="N946" s="2"/>
      <c r="O946" s="2"/>
      <c r="P946" s="2"/>
      <c r="Q946" s="2"/>
      <c r="R946" s="2"/>
      <c r="S946" s="2"/>
      <c r="T946" s="2"/>
      <c r="U946" s="2"/>
    </row>
    <row r="947">
      <c r="A947" s="2"/>
      <c r="B947" s="2"/>
      <c r="C947" s="2"/>
      <c r="D947" s="2"/>
      <c r="E947" s="2"/>
      <c r="F947" s="2"/>
      <c r="G947" s="2"/>
      <c r="H947" s="2"/>
      <c r="I947" s="2"/>
      <c r="J947" s="2"/>
      <c r="K947" s="2"/>
      <c r="L947" s="2"/>
      <c r="M947" s="2"/>
      <c r="N947" s="2"/>
      <c r="O947" s="2"/>
      <c r="P947" s="2"/>
      <c r="Q947" s="2"/>
      <c r="R947" s="2"/>
      <c r="S947" s="2"/>
      <c r="T947" s="2"/>
      <c r="U947" s="2"/>
    </row>
    <row r="948">
      <c r="A948" s="2"/>
      <c r="B948" s="2"/>
      <c r="C948" s="2"/>
      <c r="D948" s="2"/>
      <c r="E948" s="2"/>
      <c r="F948" s="2"/>
      <c r="G948" s="2"/>
      <c r="H948" s="2"/>
      <c r="I948" s="2"/>
      <c r="J948" s="2"/>
      <c r="K948" s="2"/>
      <c r="L948" s="2"/>
      <c r="M948" s="2"/>
      <c r="N948" s="2"/>
      <c r="O948" s="2"/>
      <c r="P948" s="2"/>
      <c r="Q948" s="2"/>
      <c r="R948" s="2"/>
      <c r="S948" s="2"/>
      <c r="T948" s="2"/>
      <c r="U948" s="2"/>
    </row>
    <row r="949">
      <c r="A949" s="2"/>
      <c r="B949" s="2"/>
      <c r="C949" s="2"/>
      <c r="D949" s="2"/>
      <c r="E949" s="2"/>
      <c r="F949" s="2"/>
      <c r="G949" s="2"/>
      <c r="H949" s="2"/>
      <c r="I949" s="2"/>
      <c r="J949" s="2"/>
      <c r="K949" s="2"/>
      <c r="L949" s="2"/>
      <c r="M949" s="2"/>
      <c r="N949" s="2"/>
      <c r="O949" s="2"/>
      <c r="P949" s="2"/>
      <c r="Q949" s="2"/>
      <c r="R949" s="2"/>
      <c r="S949" s="2"/>
      <c r="T949" s="2"/>
      <c r="U949" s="2"/>
    </row>
    <row r="950">
      <c r="A950" s="2"/>
      <c r="B950" s="2"/>
      <c r="C950" s="2"/>
      <c r="D950" s="2"/>
      <c r="E950" s="2"/>
      <c r="F950" s="2"/>
      <c r="G950" s="2"/>
      <c r="H950" s="2"/>
      <c r="I950" s="2"/>
      <c r="J950" s="2"/>
      <c r="K950" s="2"/>
      <c r="L950" s="2"/>
      <c r="M950" s="2"/>
      <c r="N950" s="2"/>
      <c r="O950" s="2"/>
      <c r="P950" s="2"/>
      <c r="Q950" s="2"/>
      <c r="R950" s="2"/>
      <c r="S950" s="2"/>
      <c r="T950" s="2"/>
      <c r="U950" s="2"/>
    </row>
    <row r="951">
      <c r="A951" s="2"/>
      <c r="B951" s="2"/>
      <c r="C951" s="2"/>
      <c r="D951" s="2"/>
      <c r="E951" s="2"/>
      <c r="F951" s="2"/>
      <c r="G951" s="2"/>
      <c r="H951" s="2"/>
      <c r="I951" s="2"/>
      <c r="J951" s="2"/>
      <c r="K951" s="2"/>
      <c r="L951" s="2"/>
      <c r="M951" s="2"/>
      <c r="N951" s="2"/>
      <c r="O951" s="2"/>
      <c r="P951" s="2"/>
      <c r="Q951" s="2"/>
      <c r="R951" s="2"/>
      <c r="S951" s="2"/>
      <c r="T951" s="2"/>
      <c r="U951" s="2"/>
    </row>
    <row r="952">
      <c r="A952" s="2"/>
      <c r="B952" s="2"/>
      <c r="C952" s="2"/>
      <c r="D952" s="2"/>
      <c r="E952" s="2"/>
      <c r="F952" s="2"/>
      <c r="G952" s="2"/>
      <c r="H952" s="2"/>
      <c r="I952" s="2"/>
      <c r="J952" s="2"/>
      <c r="K952" s="2"/>
      <c r="L952" s="2"/>
      <c r="M952" s="2"/>
      <c r="N952" s="2"/>
      <c r="O952" s="2"/>
      <c r="P952" s="2"/>
      <c r="Q952" s="2"/>
      <c r="R952" s="2"/>
      <c r="S952" s="2"/>
      <c r="T952" s="2"/>
      <c r="U952" s="2"/>
    </row>
    <row r="953">
      <c r="A953" s="2"/>
      <c r="B953" s="2"/>
      <c r="C953" s="2"/>
      <c r="D953" s="2"/>
      <c r="E953" s="2"/>
      <c r="F953" s="2"/>
      <c r="G953" s="2"/>
      <c r="H953" s="2"/>
      <c r="I953" s="2"/>
      <c r="J953" s="2"/>
      <c r="K953" s="2"/>
      <c r="L953" s="2"/>
      <c r="M953" s="2"/>
      <c r="N953" s="2"/>
      <c r="O953" s="2"/>
      <c r="P953" s="2"/>
      <c r="Q953" s="2"/>
      <c r="R953" s="2"/>
      <c r="S953" s="2"/>
      <c r="T953" s="2"/>
      <c r="U953" s="2"/>
    </row>
    <row r="954">
      <c r="A954" s="2"/>
      <c r="B954" s="2"/>
      <c r="C954" s="2"/>
      <c r="D954" s="2"/>
      <c r="E954" s="2"/>
      <c r="F954" s="2"/>
      <c r="G954" s="2"/>
      <c r="H954" s="2"/>
      <c r="I954" s="2"/>
      <c r="J954" s="2"/>
      <c r="K954" s="2"/>
      <c r="L954" s="2"/>
      <c r="M954" s="2"/>
      <c r="N954" s="2"/>
      <c r="O954" s="2"/>
      <c r="P954" s="2"/>
      <c r="Q954" s="2"/>
      <c r="R954" s="2"/>
      <c r="S954" s="2"/>
      <c r="T954" s="2"/>
      <c r="U954" s="2"/>
    </row>
    <row r="955">
      <c r="A955" s="2"/>
      <c r="B955" s="2"/>
      <c r="C955" s="2"/>
      <c r="D955" s="2"/>
      <c r="E955" s="2"/>
      <c r="F955" s="2"/>
      <c r="G955" s="2"/>
      <c r="H955" s="2"/>
      <c r="I955" s="2"/>
      <c r="J955" s="2"/>
      <c r="K955" s="2"/>
      <c r="L955" s="2"/>
      <c r="M955" s="2"/>
      <c r="N955" s="2"/>
      <c r="O955" s="2"/>
      <c r="P955" s="2"/>
      <c r="Q955" s="2"/>
      <c r="R955" s="2"/>
      <c r="S955" s="2"/>
      <c r="T955" s="2"/>
      <c r="U955" s="2"/>
    </row>
    <row r="956">
      <c r="A956" s="2"/>
      <c r="B956" s="2"/>
      <c r="C956" s="2"/>
      <c r="D956" s="2"/>
      <c r="E956" s="2"/>
      <c r="F956" s="2"/>
      <c r="G956" s="2"/>
      <c r="H956" s="2"/>
      <c r="I956" s="2"/>
      <c r="J956" s="2"/>
      <c r="K956" s="2"/>
      <c r="L956" s="2"/>
      <c r="M956" s="2"/>
      <c r="N956" s="2"/>
      <c r="O956" s="2"/>
      <c r="P956" s="2"/>
      <c r="Q956" s="2"/>
      <c r="R956" s="2"/>
      <c r="S956" s="2"/>
      <c r="T956" s="2"/>
      <c r="U956" s="2"/>
    </row>
    <row r="957">
      <c r="A957" s="2"/>
      <c r="B957" s="2"/>
      <c r="C957" s="2"/>
      <c r="D957" s="2"/>
      <c r="E957" s="2"/>
      <c r="F957" s="2"/>
      <c r="G957" s="2"/>
      <c r="H957" s="2"/>
      <c r="I957" s="2"/>
      <c r="J957" s="2"/>
      <c r="K957" s="2"/>
      <c r="L957" s="2"/>
      <c r="M957" s="2"/>
      <c r="N957" s="2"/>
      <c r="O957" s="2"/>
      <c r="P957" s="2"/>
      <c r="Q957" s="2"/>
      <c r="R957" s="2"/>
      <c r="S957" s="2"/>
      <c r="T957" s="2"/>
      <c r="U957" s="2"/>
    </row>
    <row r="958">
      <c r="A958" s="2"/>
      <c r="B958" s="2"/>
      <c r="C958" s="2"/>
      <c r="D958" s="2"/>
      <c r="E958" s="2"/>
      <c r="F958" s="2"/>
      <c r="G958" s="2"/>
      <c r="H958" s="2"/>
      <c r="I958" s="2"/>
      <c r="J958" s="2"/>
      <c r="K958" s="2"/>
      <c r="L958" s="2"/>
      <c r="M958" s="2"/>
      <c r="N958" s="2"/>
      <c r="O958" s="2"/>
      <c r="P958" s="2"/>
      <c r="Q958" s="2"/>
      <c r="R958" s="2"/>
      <c r="S958" s="2"/>
      <c r="T958" s="2"/>
      <c r="U958" s="2"/>
    </row>
    <row r="959">
      <c r="A959" s="2"/>
      <c r="B959" s="2"/>
      <c r="C959" s="2"/>
      <c r="D959" s="2"/>
      <c r="E959" s="2"/>
      <c r="F959" s="2"/>
      <c r="G959" s="2"/>
      <c r="H959" s="2"/>
      <c r="I959" s="2"/>
      <c r="J959" s="2"/>
      <c r="K959" s="2"/>
      <c r="L959" s="2"/>
      <c r="M959" s="2"/>
      <c r="N959" s="2"/>
      <c r="O959" s="2"/>
      <c r="P959" s="2"/>
      <c r="Q959" s="2"/>
      <c r="R959" s="2"/>
      <c r="S959" s="2"/>
      <c r="T959" s="2"/>
      <c r="U959" s="2"/>
    </row>
    <row r="960">
      <c r="A960" s="2"/>
      <c r="B960" s="2"/>
      <c r="C960" s="2"/>
      <c r="D960" s="2"/>
      <c r="E960" s="2"/>
      <c r="F960" s="2"/>
      <c r="G960" s="2"/>
      <c r="H960" s="2"/>
      <c r="I960" s="2"/>
      <c r="J960" s="2"/>
      <c r="K960" s="2"/>
      <c r="L960" s="2"/>
      <c r="M960" s="2"/>
      <c r="N960" s="2"/>
      <c r="O960" s="2"/>
      <c r="P960" s="2"/>
      <c r="Q960" s="2"/>
      <c r="R960" s="2"/>
      <c r="S960" s="2"/>
      <c r="T960" s="2"/>
      <c r="U960" s="2"/>
    </row>
    <row r="961">
      <c r="A961" s="2"/>
      <c r="B961" s="2"/>
      <c r="C961" s="2"/>
      <c r="D961" s="2"/>
      <c r="E961" s="2"/>
      <c r="F961" s="2"/>
      <c r="G961" s="2"/>
      <c r="H961" s="2"/>
      <c r="I961" s="2"/>
      <c r="J961" s="2"/>
      <c r="K961" s="2"/>
      <c r="L961" s="2"/>
      <c r="M961" s="2"/>
      <c r="N961" s="2"/>
      <c r="O961" s="2"/>
      <c r="P961" s="2"/>
      <c r="Q961" s="2"/>
      <c r="R961" s="2"/>
      <c r="S961" s="2"/>
      <c r="T961" s="2"/>
      <c r="U961" s="2"/>
    </row>
    <row r="962">
      <c r="A962" s="2"/>
      <c r="B962" s="2"/>
      <c r="C962" s="2"/>
      <c r="D962" s="2"/>
      <c r="E962" s="2"/>
      <c r="F962" s="2"/>
      <c r="G962" s="2"/>
      <c r="H962" s="2"/>
      <c r="I962" s="2"/>
      <c r="J962" s="2"/>
      <c r="K962" s="2"/>
      <c r="L962" s="2"/>
      <c r="M962" s="2"/>
      <c r="N962" s="2"/>
      <c r="O962" s="2"/>
      <c r="P962" s="2"/>
      <c r="Q962" s="2"/>
      <c r="R962" s="2"/>
      <c r="S962" s="2"/>
      <c r="T962" s="2"/>
      <c r="U962" s="2"/>
    </row>
    <row r="963">
      <c r="A963" s="2"/>
      <c r="B963" s="2"/>
      <c r="C963" s="2"/>
      <c r="D963" s="2"/>
      <c r="E963" s="2"/>
      <c r="F963" s="2"/>
      <c r="G963" s="2"/>
      <c r="H963" s="2"/>
      <c r="I963" s="2"/>
      <c r="J963" s="2"/>
      <c r="K963" s="2"/>
      <c r="L963" s="2"/>
      <c r="M963" s="2"/>
      <c r="N963" s="2"/>
      <c r="O963" s="2"/>
      <c r="P963" s="2"/>
      <c r="Q963" s="2"/>
      <c r="R963" s="2"/>
      <c r="S963" s="2"/>
      <c r="T963" s="2"/>
      <c r="U963" s="2"/>
    </row>
    <row r="964">
      <c r="A964" s="2"/>
      <c r="B964" s="2"/>
      <c r="C964" s="2"/>
      <c r="D964" s="2"/>
      <c r="E964" s="2"/>
      <c r="F964" s="2"/>
      <c r="G964" s="2"/>
      <c r="H964" s="2"/>
      <c r="I964" s="2"/>
      <c r="J964" s="2"/>
      <c r="K964" s="2"/>
      <c r="L964" s="2"/>
      <c r="M964" s="2"/>
      <c r="N964" s="2"/>
      <c r="O964" s="2"/>
      <c r="P964" s="2"/>
      <c r="Q964" s="2"/>
      <c r="R964" s="2"/>
      <c r="S964" s="2"/>
      <c r="T964" s="2"/>
      <c r="U964" s="2"/>
    </row>
    <row r="965">
      <c r="A965" s="2"/>
      <c r="B965" s="2"/>
      <c r="C965" s="2"/>
      <c r="D965" s="2"/>
      <c r="E965" s="2"/>
      <c r="F965" s="2"/>
      <c r="G965" s="2"/>
      <c r="H965" s="2"/>
      <c r="I965" s="2"/>
      <c r="J965" s="2"/>
      <c r="K965" s="2"/>
      <c r="L965" s="2"/>
      <c r="M965" s="2"/>
      <c r="N965" s="2"/>
      <c r="O965" s="2"/>
      <c r="P965" s="2"/>
      <c r="Q965" s="2"/>
      <c r="R965" s="2"/>
      <c r="S965" s="2"/>
      <c r="T965" s="2"/>
      <c r="U965" s="2"/>
    </row>
    <row r="966">
      <c r="A966" s="2"/>
      <c r="B966" s="2"/>
      <c r="C966" s="2"/>
      <c r="D966" s="2"/>
      <c r="E966" s="2"/>
      <c r="F966" s="2"/>
      <c r="G966" s="2"/>
      <c r="H966" s="2"/>
      <c r="I966" s="2"/>
      <c r="J966" s="2"/>
      <c r="K966" s="2"/>
      <c r="L966" s="2"/>
      <c r="M966" s="2"/>
      <c r="N966" s="2"/>
      <c r="O966" s="2"/>
      <c r="P966" s="2"/>
      <c r="Q966" s="2"/>
      <c r="R966" s="2"/>
      <c r="S966" s="2"/>
      <c r="T966" s="2"/>
      <c r="U966" s="2"/>
    </row>
    <row r="967">
      <c r="A967" s="2"/>
      <c r="B967" s="2"/>
      <c r="C967" s="2"/>
      <c r="D967" s="2"/>
      <c r="E967" s="2"/>
      <c r="F967" s="2"/>
      <c r="G967" s="2"/>
      <c r="H967" s="2"/>
      <c r="I967" s="2"/>
      <c r="J967" s="2"/>
      <c r="K967" s="2"/>
      <c r="L967" s="2"/>
      <c r="M967" s="2"/>
      <c r="N967" s="2"/>
      <c r="O967" s="2"/>
      <c r="P967" s="2"/>
      <c r="Q967" s="2"/>
      <c r="R967" s="2"/>
      <c r="S967" s="2"/>
      <c r="T967" s="2"/>
      <c r="U967" s="2"/>
    </row>
    <row r="968">
      <c r="A968" s="2"/>
      <c r="B968" s="2"/>
      <c r="C968" s="2"/>
      <c r="D968" s="2"/>
      <c r="E968" s="2"/>
      <c r="F968" s="2"/>
      <c r="G968" s="2"/>
      <c r="H968" s="2"/>
      <c r="I968" s="2"/>
      <c r="J968" s="2"/>
      <c r="K968" s="2"/>
      <c r="L968" s="2"/>
      <c r="M968" s="2"/>
      <c r="N968" s="2"/>
      <c r="O968" s="2"/>
      <c r="P968" s="2"/>
      <c r="Q968" s="2"/>
      <c r="R968" s="2"/>
      <c r="S968" s="2"/>
      <c r="T968" s="2"/>
      <c r="U968" s="2"/>
    </row>
    <row r="969">
      <c r="A969" s="2"/>
      <c r="B969" s="2"/>
      <c r="C969" s="2"/>
      <c r="D969" s="2"/>
      <c r="E969" s="2"/>
      <c r="F969" s="2"/>
      <c r="G969" s="2"/>
      <c r="H969" s="2"/>
      <c r="I969" s="2"/>
      <c r="J969" s="2"/>
      <c r="K969" s="2"/>
      <c r="L969" s="2"/>
      <c r="M969" s="2"/>
      <c r="N969" s="2"/>
      <c r="O969" s="2"/>
      <c r="P969" s="2"/>
      <c r="Q969" s="2"/>
      <c r="R969" s="2"/>
      <c r="S969" s="2"/>
      <c r="T969" s="2"/>
      <c r="U969" s="2"/>
    </row>
    <row r="970">
      <c r="A970" s="2"/>
      <c r="B970" s="2"/>
      <c r="C970" s="2"/>
      <c r="D970" s="2"/>
      <c r="E970" s="2"/>
      <c r="F970" s="2"/>
      <c r="G970" s="2"/>
      <c r="H970" s="2"/>
      <c r="I970" s="2"/>
      <c r="J970" s="2"/>
      <c r="K970" s="2"/>
      <c r="L970" s="2"/>
      <c r="M970" s="2"/>
      <c r="N970" s="2"/>
      <c r="O970" s="2"/>
      <c r="P970" s="2"/>
      <c r="Q970" s="2"/>
      <c r="R970" s="2"/>
      <c r="S970" s="2"/>
      <c r="T970" s="2"/>
      <c r="U970" s="2"/>
    </row>
    <row r="971">
      <c r="A971" s="2"/>
      <c r="B971" s="2"/>
      <c r="C971" s="2"/>
      <c r="D971" s="2"/>
      <c r="E971" s="2"/>
      <c r="F971" s="2"/>
      <c r="G971" s="2"/>
      <c r="H971" s="2"/>
      <c r="I971" s="2"/>
      <c r="J971" s="2"/>
      <c r="K971" s="2"/>
      <c r="L971" s="2"/>
      <c r="M971" s="2"/>
      <c r="N971" s="2"/>
      <c r="O971" s="2"/>
      <c r="P971" s="2"/>
      <c r="Q971" s="2"/>
      <c r="R971" s="2"/>
      <c r="S971" s="2"/>
      <c r="T971" s="2"/>
      <c r="U971" s="2"/>
    </row>
    <row r="972">
      <c r="A972" s="2"/>
      <c r="B972" s="2"/>
      <c r="C972" s="2"/>
      <c r="D972" s="2"/>
      <c r="E972" s="2"/>
      <c r="F972" s="2"/>
      <c r="G972" s="2"/>
      <c r="H972" s="2"/>
      <c r="I972" s="2"/>
      <c r="J972" s="2"/>
      <c r="K972" s="2"/>
      <c r="L972" s="2"/>
      <c r="M972" s="2"/>
      <c r="N972" s="2"/>
      <c r="O972" s="2"/>
      <c r="P972" s="2"/>
      <c r="Q972" s="2"/>
      <c r="R972" s="2"/>
      <c r="S972" s="2"/>
      <c r="T972" s="2"/>
      <c r="U972" s="2"/>
    </row>
    <row r="973">
      <c r="A973" s="2"/>
      <c r="B973" s="2"/>
      <c r="C973" s="2"/>
      <c r="D973" s="2"/>
      <c r="E973" s="2"/>
      <c r="F973" s="2"/>
      <c r="G973" s="2"/>
      <c r="H973" s="2"/>
      <c r="I973" s="2"/>
      <c r="J973" s="2"/>
      <c r="K973" s="2"/>
      <c r="L973" s="2"/>
      <c r="M973" s="2"/>
      <c r="N973" s="2"/>
      <c r="O973" s="2"/>
      <c r="P973" s="2"/>
      <c r="Q973" s="2"/>
      <c r="R973" s="2"/>
      <c r="S973" s="2"/>
      <c r="T973" s="2"/>
      <c r="U973" s="2"/>
    </row>
    <row r="974">
      <c r="A974" s="2"/>
      <c r="B974" s="2"/>
      <c r="C974" s="2"/>
      <c r="D974" s="2"/>
      <c r="E974" s="2"/>
      <c r="F974" s="2"/>
      <c r="G974" s="2"/>
      <c r="H974" s="2"/>
      <c r="I974" s="2"/>
      <c r="J974" s="2"/>
      <c r="K974" s="2"/>
      <c r="L974" s="2"/>
      <c r="M974" s="2"/>
      <c r="N974" s="2"/>
      <c r="O974" s="2"/>
      <c r="P974" s="2"/>
      <c r="Q974" s="2"/>
      <c r="R974" s="2"/>
      <c r="S974" s="2"/>
      <c r="T974" s="2"/>
      <c r="U974" s="2"/>
    </row>
    <row r="975">
      <c r="A975" s="2"/>
      <c r="B975" s="2"/>
      <c r="C975" s="2"/>
      <c r="D975" s="2"/>
      <c r="E975" s="2"/>
      <c r="F975" s="2"/>
      <c r="G975" s="2"/>
      <c r="H975" s="2"/>
      <c r="I975" s="2"/>
      <c r="J975" s="2"/>
      <c r="K975" s="2"/>
      <c r="L975" s="2"/>
      <c r="M975" s="2"/>
      <c r="N975" s="2"/>
      <c r="O975" s="2"/>
      <c r="P975" s="2"/>
      <c r="Q975" s="2"/>
      <c r="R975" s="2"/>
      <c r="S975" s="2"/>
      <c r="T975" s="2"/>
      <c r="U975" s="2"/>
    </row>
    <row r="976">
      <c r="A976" s="2"/>
      <c r="B976" s="2"/>
      <c r="C976" s="2"/>
      <c r="D976" s="2"/>
      <c r="E976" s="2"/>
      <c r="F976" s="2"/>
      <c r="G976" s="2"/>
      <c r="H976" s="2"/>
      <c r="I976" s="2"/>
      <c r="J976" s="2"/>
      <c r="K976" s="2"/>
      <c r="L976" s="2"/>
      <c r="M976" s="2"/>
      <c r="N976" s="2"/>
      <c r="O976" s="2"/>
      <c r="P976" s="2"/>
      <c r="Q976" s="2"/>
      <c r="R976" s="2"/>
      <c r="S976" s="2"/>
      <c r="T976" s="2"/>
      <c r="U976" s="2"/>
    </row>
    <row r="977">
      <c r="A977" s="2"/>
      <c r="B977" s="2"/>
      <c r="C977" s="2"/>
      <c r="D977" s="2"/>
      <c r="E977" s="2"/>
      <c r="F977" s="2"/>
      <c r="G977" s="2"/>
      <c r="H977" s="2"/>
      <c r="I977" s="2"/>
      <c r="J977" s="2"/>
      <c r="K977" s="2"/>
      <c r="L977" s="2"/>
      <c r="M977" s="2"/>
      <c r="N977" s="2"/>
      <c r="O977" s="2"/>
      <c r="P977" s="2"/>
      <c r="Q977" s="2"/>
      <c r="R977" s="2"/>
      <c r="S977" s="2"/>
      <c r="T977" s="2"/>
      <c r="U977" s="2"/>
    </row>
    <row r="978">
      <c r="A978" s="2"/>
      <c r="B978" s="2"/>
      <c r="C978" s="2"/>
      <c r="D978" s="2"/>
      <c r="E978" s="2"/>
      <c r="F978" s="2"/>
      <c r="G978" s="2"/>
      <c r="H978" s="2"/>
      <c r="I978" s="2"/>
      <c r="J978" s="2"/>
      <c r="K978" s="2"/>
      <c r="L978" s="2"/>
      <c r="M978" s="2"/>
      <c r="N978" s="2"/>
      <c r="O978" s="2"/>
      <c r="P978" s="2"/>
      <c r="Q978" s="2"/>
      <c r="R978" s="2"/>
      <c r="S978" s="2"/>
      <c r="T978" s="2"/>
      <c r="U978" s="2"/>
    </row>
    <row r="979">
      <c r="A979" s="2"/>
      <c r="B979" s="2"/>
      <c r="C979" s="2"/>
      <c r="D979" s="2"/>
      <c r="E979" s="2"/>
      <c r="F979" s="2"/>
      <c r="G979" s="2"/>
      <c r="H979" s="2"/>
      <c r="I979" s="2"/>
      <c r="J979" s="2"/>
      <c r="K979" s="2"/>
      <c r="L979" s="2"/>
      <c r="M979" s="2"/>
      <c r="N979" s="2"/>
      <c r="O979" s="2"/>
      <c r="P979" s="2"/>
      <c r="Q979" s="2"/>
      <c r="R979" s="2"/>
      <c r="S979" s="2"/>
      <c r="T979" s="2"/>
      <c r="U979" s="2"/>
    </row>
    <row r="980">
      <c r="A980" s="2"/>
      <c r="B980" s="2"/>
      <c r="C980" s="2"/>
      <c r="D980" s="2"/>
      <c r="E980" s="2"/>
      <c r="F980" s="2"/>
      <c r="G980" s="2"/>
      <c r="H980" s="2"/>
      <c r="I980" s="2"/>
      <c r="J980" s="2"/>
      <c r="K980" s="2"/>
      <c r="L980" s="2"/>
      <c r="M980" s="2"/>
      <c r="N980" s="2"/>
      <c r="O980" s="2"/>
      <c r="P980" s="2"/>
      <c r="Q980" s="2"/>
      <c r="R980" s="2"/>
      <c r="S980" s="2"/>
      <c r="T980" s="2"/>
      <c r="U980" s="2"/>
    </row>
    <row r="981">
      <c r="A981" s="2"/>
      <c r="B981" s="2"/>
      <c r="C981" s="2"/>
      <c r="D981" s="2"/>
      <c r="E981" s="2"/>
      <c r="F981" s="2"/>
      <c r="G981" s="2"/>
      <c r="H981" s="2"/>
      <c r="I981" s="2"/>
      <c r="J981" s="2"/>
      <c r="K981" s="2"/>
      <c r="L981" s="2"/>
      <c r="M981" s="2"/>
      <c r="N981" s="2"/>
      <c r="O981" s="2"/>
      <c r="P981" s="2"/>
      <c r="Q981" s="2"/>
      <c r="R981" s="2"/>
      <c r="S981" s="2"/>
      <c r="T981" s="2"/>
      <c r="U981" s="2"/>
    </row>
    <row r="982">
      <c r="A982" s="2"/>
      <c r="B982" s="2"/>
      <c r="C982" s="2"/>
      <c r="D982" s="2"/>
      <c r="E982" s="2"/>
      <c r="F982" s="2"/>
      <c r="G982" s="2"/>
      <c r="H982" s="2"/>
      <c r="I982" s="2"/>
      <c r="J982" s="2"/>
      <c r="K982" s="2"/>
      <c r="L982" s="2"/>
      <c r="M982" s="2"/>
      <c r="N982" s="2"/>
      <c r="O982" s="2"/>
      <c r="P982" s="2"/>
      <c r="Q982" s="2"/>
      <c r="R982" s="2"/>
      <c r="S982" s="2"/>
      <c r="T982" s="2"/>
      <c r="U982" s="2"/>
    </row>
    <row r="983">
      <c r="A983" s="2"/>
      <c r="B983" s="2"/>
      <c r="C983" s="2"/>
      <c r="D983" s="2"/>
      <c r="E983" s="2"/>
      <c r="F983" s="2"/>
      <c r="G983" s="2"/>
      <c r="H983" s="2"/>
      <c r="I983" s="2"/>
      <c r="J983" s="2"/>
      <c r="K983" s="2"/>
      <c r="L983" s="2"/>
      <c r="M983" s="2"/>
      <c r="N983" s="2"/>
      <c r="O983" s="2"/>
      <c r="P983" s="2"/>
      <c r="Q983" s="2"/>
      <c r="R983" s="2"/>
      <c r="S983" s="2"/>
      <c r="T983" s="2"/>
      <c r="U983" s="2"/>
    </row>
    <row r="984">
      <c r="A984" s="2"/>
      <c r="B984" s="2"/>
      <c r="C984" s="2"/>
      <c r="D984" s="2"/>
      <c r="E984" s="2"/>
      <c r="F984" s="2"/>
      <c r="G984" s="2"/>
      <c r="H984" s="2"/>
      <c r="I984" s="2"/>
      <c r="J984" s="2"/>
      <c r="K984" s="2"/>
      <c r="L984" s="2"/>
      <c r="M984" s="2"/>
      <c r="N984" s="2"/>
      <c r="O984" s="2"/>
      <c r="P984" s="2"/>
      <c r="Q984" s="2"/>
      <c r="R984" s="2"/>
      <c r="S984" s="2"/>
      <c r="T984" s="2"/>
      <c r="U984" s="2"/>
    </row>
    <row r="985">
      <c r="A985" s="2"/>
      <c r="B985" s="2"/>
      <c r="C985" s="2"/>
      <c r="D985" s="2"/>
      <c r="E985" s="2"/>
      <c r="F985" s="2"/>
      <c r="G985" s="2"/>
      <c r="H985" s="2"/>
      <c r="I985" s="2"/>
      <c r="J985" s="2"/>
      <c r="K985" s="2"/>
      <c r="L985" s="2"/>
      <c r="M985" s="2"/>
      <c r="N985" s="2"/>
      <c r="O985" s="2"/>
      <c r="P985" s="2"/>
      <c r="Q985" s="2"/>
      <c r="R985" s="2"/>
      <c r="S985" s="2"/>
      <c r="T985" s="2"/>
      <c r="U985" s="2"/>
    </row>
    <row r="986">
      <c r="A986" s="2"/>
      <c r="B986" s="2"/>
      <c r="C986" s="2"/>
      <c r="D986" s="2"/>
      <c r="E986" s="2"/>
      <c r="F986" s="2"/>
      <c r="G986" s="2"/>
      <c r="H986" s="2"/>
      <c r="I986" s="2"/>
      <c r="J986" s="2"/>
      <c r="K986" s="2"/>
      <c r="L986" s="2"/>
      <c r="M986" s="2"/>
      <c r="N986" s="2"/>
      <c r="O986" s="2"/>
      <c r="P986" s="2"/>
      <c r="Q986" s="2"/>
      <c r="R986" s="2"/>
      <c r="S986" s="2"/>
      <c r="T986" s="2"/>
      <c r="U986" s="2"/>
    </row>
    <row r="987">
      <c r="A987" s="2"/>
      <c r="B987" s="2"/>
      <c r="C987" s="2"/>
      <c r="D987" s="2"/>
      <c r="E987" s="2"/>
      <c r="F987" s="2"/>
      <c r="G987" s="2"/>
      <c r="H987" s="2"/>
      <c r="I987" s="2"/>
      <c r="J987" s="2"/>
      <c r="K987" s="2"/>
      <c r="L987" s="2"/>
      <c r="M987" s="2"/>
      <c r="N987" s="2"/>
      <c r="O987" s="2"/>
      <c r="P987" s="2"/>
      <c r="Q987" s="2"/>
      <c r="R987" s="2"/>
      <c r="S987" s="2"/>
      <c r="T987" s="2"/>
      <c r="U987" s="2"/>
    </row>
    <row r="988">
      <c r="A988" s="2"/>
      <c r="B988" s="2"/>
      <c r="C988" s="2"/>
      <c r="D988" s="2"/>
      <c r="E988" s="2"/>
      <c r="F988" s="2"/>
      <c r="G988" s="2"/>
      <c r="H988" s="2"/>
      <c r="I988" s="2"/>
      <c r="J988" s="2"/>
      <c r="K988" s="2"/>
      <c r="L988" s="2"/>
      <c r="M988" s="2"/>
      <c r="N988" s="2"/>
      <c r="O988" s="2"/>
      <c r="P988" s="2"/>
      <c r="Q988" s="2"/>
      <c r="R988" s="2"/>
      <c r="S988" s="2"/>
      <c r="T988" s="2"/>
      <c r="U988" s="2"/>
    </row>
    <row r="989">
      <c r="A989" s="2"/>
      <c r="B989" s="2"/>
      <c r="C989" s="2"/>
      <c r="D989" s="2"/>
      <c r="E989" s="2"/>
      <c r="F989" s="2"/>
      <c r="G989" s="2"/>
      <c r="H989" s="2"/>
      <c r="I989" s="2"/>
      <c r="J989" s="2"/>
      <c r="K989" s="2"/>
      <c r="L989" s="2"/>
      <c r="M989" s="2"/>
      <c r="N989" s="2"/>
      <c r="O989" s="2"/>
      <c r="P989" s="2"/>
      <c r="Q989" s="2"/>
      <c r="R989" s="2"/>
      <c r="S989" s="2"/>
      <c r="T989" s="2"/>
      <c r="U989" s="2"/>
    </row>
    <row r="990">
      <c r="A990" s="2"/>
      <c r="B990" s="2"/>
      <c r="C990" s="2"/>
      <c r="D990" s="2"/>
      <c r="E990" s="2"/>
      <c r="F990" s="2"/>
      <c r="G990" s="2"/>
      <c r="H990" s="2"/>
      <c r="I990" s="2"/>
      <c r="J990" s="2"/>
      <c r="K990" s="2"/>
      <c r="L990" s="2"/>
      <c r="M990" s="2"/>
      <c r="N990" s="2"/>
      <c r="O990" s="2"/>
      <c r="P990" s="2"/>
      <c r="Q990" s="2"/>
      <c r="R990" s="2"/>
      <c r="S990" s="2"/>
      <c r="T990" s="2"/>
      <c r="U990" s="2"/>
    </row>
    <row r="991">
      <c r="A991" s="2"/>
      <c r="B991" s="2"/>
      <c r="C991" s="2"/>
      <c r="D991" s="2"/>
      <c r="E991" s="2"/>
      <c r="F991" s="2"/>
      <c r="G991" s="2"/>
      <c r="H991" s="2"/>
      <c r="I991" s="2"/>
      <c r="J991" s="2"/>
      <c r="K991" s="2"/>
      <c r="L991" s="2"/>
      <c r="M991" s="2"/>
      <c r="N991" s="2"/>
      <c r="O991" s="2"/>
      <c r="P991" s="2"/>
      <c r="Q991" s="2"/>
      <c r="R991" s="2"/>
      <c r="S991" s="2"/>
      <c r="T991" s="2"/>
      <c r="U991" s="2"/>
    </row>
    <row r="992">
      <c r="A992" s="2"/>
      <c r="B992" s="2"/>
      <c r="C992" s="2"/>
      <c r="D992" s="2"/>
      <c r="E992" s="2"/>
      <c r="F992" s="2"/>
      <c r="G992" s="2"/>
      <c r="H992" s="2"/>
      <c r="I992" s="2"/>
      <c r="J992" s="2"/>
      <c r="K992" s="2"/>
      <c r="L992" s="2"/>
      <c r="M992" s="2"/>
      <c r="N992" s="2"/>
      <c r="O992" s="2"/>
      <c r="P992" s="2"/>
      <c r="Q992" s="2"/>
      <c r="R992" s="2"/>
      <c r="S992" s="2"/>
      <c r="T992" s="2"/>
      <c r="U992" s="2"/>
    </row>
    <row r="993">
      <c r="A993" s="2"/>
      <c r="B993" s="2"/>
      <c r="C993" s="2"/>
      <c r="D993" s="2"/>
      <c r="E993" s="2"/>
      <c r="F993" s="2"/>
      <c r="G993" s="2"/>
      <c r="H993" s="2"/>
      <c r="I993" s="2"/>
      <c r="J993" s="2"/>
      <c r="K993" s="2"/>
      <c r="L993" s="2"/>
      <c r="M993" s="2"/>
      <c r="N993" s="2"/>
      <c r="O993" s="2"/>
      <c r="P993" s="2"/>
      <c r="Q993" s="2"/>
      <c r="R993" s="2"/>
      <c r="S993" s="2"/>
      <c r="T993" s="2"/>
      <c r="U993" s="2"/>
    </row>
    <row r="994">
      <c r="A994" s="2"/>
      <c r="B994" s="2"/>
      <c r="C994" s="2"/>
      <c r="D994" s="2"/>
      <c r="E994" s="2"/>
      <c r="F994" s="2"/>
      <c r="G994" s="2"/>
      <c r="H994" s="2"/>
      <c r="I994" s="2"/>
      <c r="J994" s="2"/>
      <c r="K994" s="2"/>
      <c r="L994" s="2"/>
      <c r="M994" s="2"/>
      <c r="N994" s="2"/>
      <c r="O994" s="2"/>
      <c r="P994" s="2"/>
      <c r="Q994" s="2"/>
      <c r="R994" s="2"/>
      <c r="S994" s="2"/>
      <c r="T994" s="2"/>
      <c r="U994" s="2"/>
    </row>
    <row r="995">
      <c r="A995" s="2"/>
      <c r="B995" s="2"/>
      <c r="C995" s="2"/>
      <c r="D995" s="2"/>
      <c r="E995" s="2"/>
      <c r="F995" s="2"/>
      <c r="G995" s="2"/>
      <c r="H995" s="2"/>
      <c r="I995" s="2"/>
      <c r="J995" s="2"/>
      <c r="K995" s="2"/>
      <c r="L995" s="2"/>
      <c r="M995" s="2"/>
      <c r="N995" s="2"/>
      <c r="O995" s="2"/>
      <c r="P995" s="2"/>
      <c r="Q995" s="2"/>
      <c r="R995" s="2"/>
      <c r="S995" s="2"/>
      <c r="T995" s="2"/>
      <c r="U995" s="2"/>
    </row>
    <row r="996">
      <c r="A996" s="2"/>
      <c r="B996" s="2"/>
      <c r="C996" s="2"/>
      <c r="D996" s="2"/>
      <c r="E996" s="2"/>
      <c r="F996" s="2"/>
      <c r="G996" s="2"/>
      <c r="H996" s="2"/>
      <c r="I996" s="2"/>
      <c r="J996" s="2"/>
      <c r="K996" s="2"/>
      <c r="L996" s="2"/>
      <c r="M996" s="2"/>
      <c r="N996" s="2"/>
      <c r="O996" s="2"/>
      <c r="P996" s="2"/>
      <c r="Q996" s="2"/>
      <c r="R996" s="2"/>
      <c r="S996" s="2"/>
      <c r="T996" s="2"/>
      <c r="U996" s="2"/>
    </row>
    <row r="997">
      <c r="A997" s="2"/>
      <c r="B997" s="2"/>
      <c r="C997" s="2"/>
      <c r="D997" s="2"/>
      <c r="E997" s="2"/>
      <c r="F997" s="2"/>
      <c r="G997" s="2"/>
      <c r="H997" s="2"/>
      <c r="I997" s="2"/>
      <c r="J997" s="2"/>
      <c r="K997" s="2"/>
      <c r="L997" s="2"/>
      <c r="M997" s="2"/>
      <c r="N997" s="2"/>
      <c r="O997" s="2"/>
      <c r="P997" s="2"/>
      <c r="Q997" s="2"/>
      <c r="R997" s="2"/>
      <c r="S997" s="2"/>
      <c r="T997" s="2"/>
      <c r="U997" s="2"/>
    </row>
    <row r="998">
      <c r="A998" s="2"/>
      <c r="B998" s="2"/>
      <c r="C998" s="2"/>
      <c r="D998" s="2"/>
      <c r="E998" s="2"/>
      <c r="F998" s="2"/>
      <c r="G998" s="2"/>
      <c r="H998" s="2"/>
      <c r="I998" s="2"/>
      <c r="J998" s="2"/>
      <c r="K998" s="2"/>
      <c r="L998" s="2"/>
      <c r="M998" s="2"/>
      <c r="N998" s="2"/>
      <c r="O998" s="2"/>
      <c r="P998" s="2"/>
      <c r="Q998" s="2"/>
      <c r="R998" s="2"/>
      <c r="S998" s="2"/>
      <c r="T998" s="2"/>
      <c r="U998" s="2"/>
    </row>
    <row r="999">
      <c r="A999" s="2"/>
      <c r="B999" s="2"/>
      <c r="C999" s="2"/>
      <c r="D999" s="2"/>
      <c r="E999" s="2"/>
      <c r="F999" s="2"/>
      <c r="G999" s="2"/>
      <c r="H999" s="2"/>
      <c r="I999" s="2"/>
      <c r="J999" s="2"/>
      <c r="K999" s="2"/>
      <c r="L999" s="2"/>
      <c r="M999" s="2"/>
      <c r="N999" s="2"/>
      <c r="O999" s="2"/>
      <c r="P999" s="2"/>
      <c r="Q999" s="2"/>
      <c r="R999" s="2"/>
      <c r="S999" s="2"/>
      <c r="T999" s="2"/>
      <c r="U999" s="2"/>
    </row>
    <row r="1000">
      <c r="A1000" s="2"/>
      <c r="B1000" s="2"/>
      <c r="C1000" s="2"/>
      <c r="D1000" s="2"/>
      <c r="E1000" s="2"/>
      <c r="F1000" s="2"/>
      <c r="G1000" s="2"/>
      <c r="H1000" s="2"/>
      <c r="I1000" s="2"/>
      <c r="J1000" s="2"/>
      <c r="K1000" s="2"/>
      <c r="L1000" s="2"/>
      <c r="M1000" s="2"/>
      <c r="N1000" s="2"/>
      <c r="O1000" s="2"/>
      <c r="P1000" s="2"/>
      <c r="Q1000" s="2"/>
      <c r="R1000" s="2"/>
      <c r="S1000" s="2"/>
      <c r="T1000" s="2"/>
      <c r="U1000" s="2"/>
    </row>
    <row r="1001">
      <c r="A1001" s="2"/>
      <c r="B1001" s="2"/>
      <c r="C1001" s="2"/>
      <c r="D1001" s="2"/>
      <c r="E1001" s="2"/>
      <c r="F1001" s="2"/>
      <c r="G1001" s="2"/>
      <c r="H1001" s="2"/>
      <c r="I1001" s="2"/>
      <c r="J1001" s="2"/>
      <c r="K1001" s="2"/>
      <c r="L1001" s="2"/>
      <c r="M1001" s="2"/>
      <c r="N1001" s="2"/>
      <c r="O1001" s="2"/>
      <c r="P1001" s="2"/>
      <c r="Q1001" s="2"/>
      <c r="R1001" s="2"/>
      <c r="S1001" s="2"/>
      <c r="T1001" s="2"/>
      <c r="U1001" s="2"/>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37.63"/>
    <col customWidth="1" min="4" max="4" width="35.38"/>
    <col customWidth="1" min="5" max="5" width="37.63"/>
    <col customWidth="1" min="7" max="7" width="18.25"/>
    <col customWidth="1" min="8" max="8" width="37.63"/>
    <col customWidth="1" min="9" max="9" width="20.5"/>
    <col customWidth="1" min="10" max="10" width="30.13"/>
    <col customWidth="1" min="11" max="11" width="37.63"/>
  </cols>
  <sheetData>
    <row r="1" ht="22.5" customHeight="1">
      <c r="A1" s="1" t="s">
        <v>0</v>
      </c>
      <c r="B1" s="1" t="s">
        <v>1</v>
      </c>
      <c r="C1" s="1" t="s">
        <v>2</v>
      </c>
      <c r="D1" s="1" t="s">
        <v>262</v>
      </c>
      <c r="E1" s="1" t="s">
        <v>4</v>
      </c>
      <c r="F1" s="2"/>
      <c r="G1" s="3" t="s">
        <v>5</v>
      </c>
      <c r="H1" s="3" t="s">
        <v>6</v>
      </c>
      <c r="I1" s="3" t="s">
        <v>7</v>
      </c>
      <c r="J1" s="3" t="s">
        <v>8</v>
      </c>
      <c r="K1" s="3" t="s">
        <v>9</v>
      </c>
      <c r="L1" s="2"/>
      <c r="R1" s="2"/>
      <c r="S1" s="2"/>
      <c r="T1" s="2"/>
      <c r="U1" s="2"/>
    </row>
    <row r="2" ht="22.5" customHeight="1">
      <c r="A2" s="4" t="s">
        <v>263</v>
      </c>
      <c r="B2" s="4" t="s">
        <v>1198</v>
      </c>
      <c r="C2" s="4" t="s">
        <v>1199</v>
      </c>
      <c r="D2" s="4" t="s">
        <v>1200</v>
      </c>
      <c r="E2" s="4" t="s">
        <v>1201</v>
      </c>
      <c r="F2" s="2"/>
      <c r="G2" s="5">
        <v>1.0</v>
      </c>
      <c r="H2" s="4" t="s">
        <v>1202</v>
      </c>
      <c r="I2" s="4" t="s">
        <v>1203</v>
      </c>
      <c r="J2" s="4" t="s">
        <v>1204</v>
      </c>
      <c r="K2" s="4" t="s">
        <v>1205</v>
      </c>
      <c r="L2" s="2"/>
      <c r="R2" s="2"/>
      <c r="S2" s="2"/>
      <c r="T2" s="2"/>
      <c r="U2" s="2"/>
    </row>
    <row r="3" ht="22.5" customHeight="1">
      <c r="A3" s="4" t="s">
        <v>271</v>
      </c>
      <c r="B3" s="4" t="s">
        <v>1206</v>
      </c>
      <c r="C3" s="4" t="s">
        <v>1207</v>
      </c>
      <c r="D3" s="4" t="s">
        <v>1208</v>
      </c>
      <c r="E3" s="4" t="s">
        <v>1209</v>
      </c>
      <c r="F3" s="2"/>
      <c r="G3" s="5">
        <v>2.0</v>
      </c>
      <c r="H3" s="4" t="s">
        <v>1210</v>
      </c>
      <c r="I3" s="4" t="s">
        <v>1211</v>
      </c>
      <c r="J3" s="4" t="s">
        <v>1212</v>
      </c>
      <c r="K3" s="4" t="s">
        <v>1213</v>
      </c>
      <c r="L3" s="2"/>
      <c r="R3" s="2"/>
      <c r="S3" s="2"/>
      <c r="T3" s="2"/>
      <c r="U3" s="2"/>
    </row>
    <row r="4" ht="22.5" customHeight="1">
      <c r="A4" s="4" t="s">
        <v>279</v>
      </c>
      <c r="B4" s="4" t="s">
        <v>1214</v>
      </c>
      <c r="C4" s="4" t="s">
        <v>1215</v>
      </c>
      <c r="D4" s="4" t="s">
        <v>1216</v>
      </c>
      <c r="E4" s="4" t="s">
        <v>1217</v>
      </c>
      <c r="F4" s="2"/>
      <c r="G4" s="5">
        <v>3.0</v>
      </c>
      <c r="H4" s="4" t="s">
        <v>1218</v>
      </c>
      <c r="I4" s="4" t="s">
        <v>1219</v>
      </c>
      <c r="J4" s="4" t="s">
        <v>1220</v>
      </c>
      <c r="K4" s="4" t="s">
        <v>1221</v>
      </c>
      <c r="L4" s="2"/>
      <c r="R4" s="2"/>
      <c r="S4" s="2"/>
      <c r="T4" s="2"/>
      <c r="U4" s="2"/>
    </row>
    <row r="5" ht="22.5" customHeight="1">
      <c r="A5" s="4" t="s">
        <v>287</v>
      </c>
      <c r="B5" s="4" t="s">
        <v>1222</v>
      </c>
      <c r="C5" s="4" t="s">
        <v>1223</v>
      </c>
      <c r="D5" s="4" t="s">
        <v>1224</v>
      </c>
      <c r="E5" s="4" t="s">
        <v>1225</v>
      </c>
      <c r="F5" s="2"/>
      <c r="G5" s="5">
        <v>4.0</v>
      </c>
      <c r="H5" s="4" t="s">
        <v>1226</v>
      </c>
      <c r="I5" s="4" t="s">
        <v>1227</v>
      </c>
      <c r="J5" s="4" t="s">
        <v>1228</v>
      </c>
      <c r="K5" s="4" t="s">
        <v>1229</v>
      </c>
      <c r="L5" s="2"/>
      <c r="R5" s="2"/>
      <c r="S5" s="2"/>
      <c r="T5" s="2"/>
      <c r="U5" s="2"/>
    </row>
    <row r="6" ht="22.5" customHeight="1">
      <c r="A6" s="4" t="s">
        <v>295</v>
      </c>
      <c r="B6" s="4" t="s">
        <v>1230</v>
      </c>
      <c r="C6" s="4" t="s">
        <v>1231</v>
      </c>
      <c r="D6" s="4" t="s">
        <v>1232</v>
      </c>
      <c r="E6" s="4" t="s">
        <v>1233</v>
      </c>
      <c r="F6" s="2"/>
      <c r="G6" s="5">
        <v>5.0</v>
      </c>
      <c r="H6" s="4" t="s">
        <v>1234</v>
      </c>
      <c r="I6" s="4" t="s">
        <v>1235</v>
      </c>
      <c r="J6" s="4" t="s">
        <v>1236</v>
      </c>
      <c r="K6" s="4" t="s">
        <v>1237</v>
      </c>
      <c r="L6" s="2"/>
      <c r="R6" s="2"/>
      <c r="S6" s="2"/>
      <c r="T6" s="2"/>
      <c r="U6" s="2"/>
    </row>
    <row r="7" ht="22.5" customHeight="1">
      <c r="A7" s="4" t="s">
        <v>303</v>
      </c>
      <c r="B7" s="4" t="s">
        <v>1238</v>
      </c>
      <c r="C7" s="4" t="s">
        <v>1239</v>
      </c>
      <c r="D7" s="4" t="s">
        <v>1240</v>
      </c>
      <c r="E7" s="4" t="s">
        <v>1241</v>
      </c>
      <c r="F7" s="2"/>
      <c r="G7" s="5">
        <v>6.0</v>
      </c>
      <c r="H7" s="4" t="s">
        <v>1242</v>
      </c>
      <c r="I7" s="4" t="s">
        <v>1243</v>
      </c>
      <c r="J7" s="4" t="s">
        <v>1244</v>
      </c>
      <c r="K7" s="4" t="s">
        <v>1245</v>
      </c>
      <c r="L7" s="2"/>
      <c r="R7" s="2"/>
      <c r="S7" s="2"/>
      <c r="T7" s="2"/>
      <c r="U7" s="2"/>
    </row>
    <row r="8" ht="22.5" customHeight="1">
      <c r="A8" s="4" t="s">
        <v>311</v>
      </c>
      <c r="B8" s="4" t="s">
        <v>1246</v>
      </c>
      <c r="C8" s="4" t="s">
        <v>1247</v>
      </c>
      <c r="D8" s="4" t="s">
        <v>1248</v>
      </c>
      <c r="E8" s="4" t="s">
        <v>1249</v>
      </c>
      <c r="F8" s="2"/>
      <c r="G8" s="5">
        <v>7.0</v>
      </c>
      <c r="H8" s="4" t="s">
        <v>1250</v>
      </c>
      <c r="I8" s="4" t="s">
        <v>1251</v>
      </c>
      <c r="J8" s="4" t="s">
        <v>1252</v>
      </c>
      <c r="K8" s="4" t="s">
        <v>1253</v>
      </c>
      <c r="L8" s="2"/>
      <c r="R8" s="2"/>
      <c r="S8" s="2"/>
      <c r="T8" s="2"/>
      <c r="U8" s="2"/>
    </row>
    <row r="9" ht="22.5" customHeight="1">
      <c r="A9" s="4" t="s">
        <v>319</v>
      </c>
      <c r="B9" s="4" t="s">
        <v>1254</v>
      </c>
      <c r="C9" s="4" t="s">
        <v>1255</v>
      </c>
      <c r="D9" s="4" t="s">
        <v>1256</v>
      </c>
      <c r="E9" s="4" t="s">
        <v>1257</v>
      </c>
      <c r="F9" s="2"/>
      <c r="G9" s="5">
        <v>8.0</v>
      </c>
      <c r="H9" s="4" t="s">
        <v>1258</v>
      </c>
      <c r="I9" s="4" t="s">
        <v>1259</v>
      </c>
      <c r="J9" s="4" t="s">
        <v>1260</v>
      </c>
      <c r="K9" s="4" t="s">
        <v>1261</v>
      </c>
      <c r="L9" s="2"/>
      <c r="R9" s="2"/>
      <c r="S9" s="2"/>
      <c r="T9" s="2"/>
      <c r="U9" s="2"/>
    </row>
    <row r="10" ht="22.5" customHeight="1">
      <c r="A10" s="4" t="s">
        <v>326</v>
      </c>
      <c r="B10" s="4" t="s">
        <v>1262</v>
      </c>
      <c r="C10" s="4" t="s">
        <v>1263</v>
      </c>
      <c r="D10" s="4" t="s">
        <v>1264</v>
      </c>
      <c r="E10" s="4" t="s">
        <v>1265</v>
      </c>
      <c r="F10" s="2"/>
      <c r="G10" s="5">
        <v>9.0</v>
      </c>
      <c r="H10" s="4" t="s">
        <v>1266</v>
      </c>
      <c r="I10" s="4" t="s">
        <v>1267</v>
      </c>
      <c r="J10" s="4" t="s">
        <v>1268</v>
      </c>
      <c r="K10" s="4" t="s">
        <v>1269</v>
      </c>
      <c r="L10" s="2"/>
      <c r="R10" s="2"/>
      <c r="S10" s="2"/>
      <c r="T10" s="2"/>
      <c r="U10" s="2"/>
    </row>
    <row r="11" ht="22.5" customHeight="1">
      <c r="A11" s="4" t="s">
        <v>334</v>
      </c>
      <c r="B11" s="4" t="s">
        <v>1270</v>
      </c>
      <c r="C11" s="4" t="s">
        <v>1271</v>
      </c>
      <c r="D11" s="4" t="s">
        <v>1208</v>
      </c>
      <c r="E11" s="4" t="s">
        <v>1272</v>
      </c>
      <c r="F11" s="2"/>
      <c r="G11" s="5">
        <v>10.0</v>
      </c>
      <c r="H11" s="4" t="s">
        <v>1273</v>
      </c>
      <c r="I11" s="4" t="s">
        <v>1274</v>
      </c>
      <c r="J11" s="4" t="s">
        <v>1212</v>
      </c>
      <c r="K11" s="4" t="s">
        <v>1275</v>
      </c>
      <c r="L11" s="2"/>
      <c r="R11" s="2"/>
      <c r="S11" s="2"/>
      <c r="T11" s="2"/>
      <c r="U11" s="2"/>
    </row>
    <row r="12" ht="22.5" customHeight="1">
      <c r="A12" s="4" t="s">
        <v>337</v>
      </c>
      <c r="B12" s="4" t="s">
        <v>1276</v>
      </c>
      <c r="C12" s="4" t="s">
        <v>1277</v>
      </c>
      <c r="D12" s="4" t="s">
        <v>1278</v>
      </c>
      <c r="E12" s="4" t="s">
        <v>1279</v>
      </c>
      <c r="F12" s="2"/>
      <c r="G12" s="5">
        <v>11.0</v>
      </c>
      <c r="H12" s="4" t="s">
        <v>1280</v>
      </c>
      <c r="I12" s="4" t="s">
        <v>1281</v>
      </c>
      <c r="J12" s="4" t="s">
        <v>1282</v>
      </c>
      <c r="K12" s="4" t="s">
        <v>1283</v>
      </c>
      <c r="L12" s="2"/>
      <c r="R12" s="2"/>
      <c r="S12" s="2"/>
      <c r="T12" s="2"/>
      <c r="U12" s="2"/>
    </row>
    <row r="13" ht="22.5" customHeight="1">
      <c r="A13" s="4" t="s">
        <v>322</v>
      </c>
      <c r="B13" s="4" t="s">
        <v>1284</v>
      </c>
      <c r="C13" s="4" t="s">
        <v>1285</v>
      </c>
      <c r="D13" s="4" t="s">
        <v>1286</v>
      </c>
      <c r="E13" s="4" t="s">
        <v>1287</v>
      </c>
      <c r="F13" s="2"/>
      <c r="G13" s="5">
        <v>12.0</v>
      </c>
      <c r="H13" s="4" t="s">
        <v>1288</v>
      </c>
      <c r="I13" s="4" t="s">
        <v>1289</v>
      </c>
      <c r="J13" s="4" t="s">
        <v>1290</v>
      </c>
      <c r="K13" s="4" t="s">
        <v>1291</v>
      </c>
      <c r="L13" s="2"/>
      <c r="R13" s="2"/>
      <c r="S13" s="2"/>
      <c r="T13" s="2"/>
      <c r="U13" s="2"/>
    </row>
    <row r="14" ht="22.5" customHeight="1">
      <c r="A14" s="4" t="s">
        <v>353</v>
      </c>
      <c r="B14" s="4" t="s">
        <v>1292</v>
      </c>
      <c r="C14" s="4" t="s">
        <v>1263</v>
      </c>
      <c r="D14" s="4" t="s">
        <v>1264</v>
      </c>
      <c r="E14" s="4" t="s">
        <v>1293</v>
      </c>
      <c r="F14" s="2"/>
      <c r="G14" s="5">
        <v>13.0</v>
      </c>
      <c r="H14" s="4" t="s">
        <v>1294</v>
      </c>
      <c r="I14" s="4" t="s">
        <v>1267</v>
      </c>
      <c r="J14" s="4" t="s">
        <v>1268</v>
      </c>
      <c r="K14" s="4" t="s">
        <v>1295</v>
      </c>
      <c r="L14" s="2"/>
      <c r="R14" s="2"/>
      <c r="S14" s="2"/>
      <c r="T14" s="2"/>
      <c r="U14" s="2"/>
    </row>
    <row r="15" ht="22.5" customHeight="1">
      <c r="A15" s="4" t="s">
        <v>361</v>
      </c>
      <c r="B15" s="4" t="s">
        <v>1296</v>
      </c>
      <c r="C15" s="4" t="s">
        <v>1297</v>
      </c>
      <c r="D15" s="4" t="s">
        <v>1298</v>
      </c>
      <c r="E15" s="4" t="s">
        <v>1299</v>
      </c>
      <c r="F15" s="2"/>
      <c r="G15" s="5">
        <v>14.0</v>
      </c>
      <c r="H15" s="4" t="s">
        <v>1300</v>
      </c>
      <c r="I15" s="4" t="s">
        <v>1301</v>
      </c>
      <c r="J15" s="4" t="s">
        <v>1302</v>
      </c>
      <c r="K15" s="4" t="s">
        <v>1303</v>
      </c>
      <c r="L15" s="2"/>
      <c r="R15" s="2"/>
      <c r="S15" s="2"/>
      <c r="T15" s="2"/>
      <c r="U15" s="2"/>
    </row>
    <row r="16" ht="22.5" customHeight="1">
      <c r="A16" s="4" t="s">
        <v>369</v>
      </c>
      <c r="B16" s="4" t="s">
        <v>1304</v>
      </c>
      <c r="C16" s="4" t="s">
        <v>1305</v>
      </c>
      <c r="D16" s="4" t="s">
        <v>1256</v>
      </c>
      <c r="E16" s="4" t="s">
        <v>1306</v>
      </c>
      <c r="F16" s="2"/>
      <c r="G16" s="5">
        <v>15.0</v>
      </c>
      <c r="H16" s="4" t="s">
        <v>1307</v>
      </c>
      <c r="I16" s="4" t="s">
        <v>1308</v>
      </c>
      <c r="J16" s="4" t="s">
        <v>1260</v>
      </c>
      <c r="K16" s="4" t="s">
        <v>1309</v>
      </c>
      <c r="L16" s="2"/>
      <c r="R16" s="2"/>
      <c r="S16" s="2"/>
      <c r="T16" s="2"/>
      <c r="U16" s="2"/>
    </row>
    <row r="17" ht="22.5" customHeight="1">
      <c r="A17" s="4" t="s">
        <v>375</v>
      </c>
      <c r="B17" s="4" t="s">
        <v>1310</v>
      </c>
      <c r="C17" s="4" t="s">
        <v>1311</v>
      </c>
      <c r="D17" s="4" t="s">
        <v>1232</v>
      </c>
      <c r="E17" s="4" t="s">
        <v>1312</v>
      </c>
      <c r="F17" s="2"/>
      <c r="G17" s="5">
        <v>16.0</v>
      </c>
      <c r="H17" s="4" t="s">
        <v>1313</v>
      </c>
      <c r="I17" s="4" t="s">
        <v>1314</v>
      </c>
      <c r="J17" s="4" t="s">
        <v>1236</v>
      </c>
      <c r="K17" s="4" t="s">
        <v>1315</v>
      </c>
      <c r="L17" s="2"/>
      <c r="R17" s="2"/>
      <c r="S17" s="2"/>
      <c r="T17" s="2"/>
      <c r="U17" s="2"/>
    </row>
    <row r="18" ht="22.5" customHeight="1">
      <c r="A18" s="4" t="s">
        <v>381</v>
      </c>
      <c r="B18" s="4" t="s">
        <v>1316</v>
      </c>
      <c r="C18" s="4" t="s">
        <v>1317</v>
      </c>
      <c r="D18" s="4" t="s">
        <v>1318</v>
      </c>
      <c r="E18" s="4" t="s">
        <v>1319</v>
      </c>
      <c r="F18" s="2"/>
      <c r="G18" s="5">
        <v>17.0</v>
      </c>
      <c r="H18" s="4" t="s">
        <v>1320</v>
      </c>
      <c r="I18" s="4" t="s">
        <v>1321</v>
      </c>
      <c r="J18" s="4" t="s">
        <v>1322</v>
      </c>
      <c r="K18" s="4" t="s">
        <v>1323</v>
      </c>
      <c r="L18" s="2"/>
      <c r="R18" s="2"/>
      <c r="S18" s="2"/>
      <c r="T18" s="2"/>
      <c r="U18" s="2"/>
    </row>
    <row r="19" ht="22.5" customHeight="1">
      <c r="A19" s="4" t="s">
        <v>389</v>
      </c>
      <c r="B19" s="4" t="s">
        <v>1324</v>
      </c>
      <c r="C19" s="4" t="s">
        <v>1325</v>
      </c>
      <c r="D19" s="4" t="s">
        <v>1326</v>
      </c>
      <c r="E19" s="4" t="s">
        <v>1327</v>
      </c>
      <c r="F19" s="2"/>
      <c r="G19" s="5">
        <v>18.0</v>
      </c>
      <c r="H19" s="4" t="s">
        <v>1328</v>
      </c>
      <c r="I19" s="4" t="s">
        <v>1329</v>
      </c>
      <c r="J19" s="4" t="s">
        <v>1330</v>
      </c>
      <c r="K19" s="4" t="s">
        <v>1331</v>
      </c>
      <c r="L19" s="2"/>
      <c r="R19" s="2"/>
      <c r="S19" s="2"/>
      <c r="T19" s="2"/>
      <c r="U19" s="2"/>
    </row>
    <row r="20" ht="22.5" customHeight="1">
      <c r="A20" s="4" t="s">
        <v>397</v>
      </c>
      <c r="B20" s="4" t="s">
        <v>1332</v>
      </c>
      <c r="C20" s="4" t="s">
        <v>1333</v>
      </c>
      <c r="D20" s="4" t="s">
        <v>1334</v>
      </c>
      <c r="E20" s="4" t="s">
        <v>1335</v>
      </c>
      <c r="F20" s="2"/>
      <c r="G20" s="5">
        <v>19.0</v>
      </c>
      <c r="H20" s="4" t="s">
        <v>1336</v>
      </c>
      <c r="I20" s="4" t="s">
        <v>1337</v>
      </c>
      <c r="J20" s="4" t="s">
        <v>1338</v>
      </c>
      <c r="K20" s="4" t="s">
        <v>1339</v>
      </c>
      <c r="L20" s="2"/>
      <c r="R20" s="2"/>
      <c r="S20" s="2"/>
      <c r="T20" s="2"/>
      <c r="U20" s="2"/>
    </row>
    <row r="21" ht="22.5" customHeight="1">
      <c r="A21" s="4" t="s">
        <v>404</v>
      </c>
      <c r="B21" s="4" t="s">
        <v>1340</v>
      </c>
      <c r="C21" s="4" t="s">
        <v>1341</v>
      </c>
      <c r="D21" s="4" t="s">
        <v>1232</v>
      </c>
      <c r="E21" s="4" t="s">
        <v>1342</v>
      </c>
      <c r="F21" s="2"/>
      <c r="G21" s="5">
        <v>20.0</v>
      </c>
      <c r="H21" s="4" t="s">
        <v>1343</v>
      </c>
      <c r="I21" s="4" t="s">
        <v>1344</v>
      </c>
      <c r="J21" s="4" t="s">
        <v>1236</v>
      </c>
      <c r="K21" s="4" t="s">
        <v>1345</v>
      </c>
      <c r="L21" s="2"/>
      <c r="R21" s="2"/>
      <c r="S21" s="2"/>
      <c r="T21" s="2"/>
      <c r="U21" s="2"/>
    </row>
    <row r="22" ht="22.5" customHeight="1">
      <c r="A22" s="4" t="s">
        <v>412</v>
      </c>
      <c r="B22" s="4" t="s">
        <v>1346</v>
      </c>
      <c r="C22" s="4" t="s">
        <v>1347</v>
      </c>
      <c r="D22" s="4" t="s">
        <v>1348</v>
      </c>
      <c r="E22" s="4" t="s">
        <v>1349</v>
      </c>
      <c r="F22" s="2"/>
      <c r="G22" s="5">
        <v>21.0</v>
      </c>
      <c r="H22" s="4" t="s">
        <v>1350</v>
      </c>
      <c r="I22" s="4" t="s">
        <v>1351</v>
      </c>
      <c r="J22" s="4" t="s">
        <v>1352</v>
      </c>
      <c r="K22" s="4" t="s">
        <v>1353</v>
      </c>
      <c r="L22" s="2"/>
      <c r="R22" s="2"/>
      <c r="S22" s="2"/>
      <c r="T22" s="2"/>
      <c r="U22" s="2"/>
    </row>
    <row r="23" ht="22.5" customHeight="1">
      <c r="A23" s="4" t="s">
        <v>420</v>
      </c>
      <c r="B23" s="4" t="s">
        <v>1354</v>
      </c>
      <c r="C23" s="4" t="s">
        <v>1355</v>
      </c>
      <c r="D23" s="4" t="s">
        <v>1318</v>
      </c>
      <c r="E23" s="4" t="s">
        <v>1356</v>
      </c>
      <c r="F23" s="2"/>
      <c r="G23" s="5">
        <v>22.0</v>
      </c>
      <c r="H23" s="4" t="s">
        <v>1357</v>
      </c>
      <c r="I23" s="4" t="s">
        <v>1358</v>
      </c>
      <c r="J23" s="4" t="s">
        <v>1322</v>
      </c>
      <c r="K23" s="4" t="s">
        <v>1359</v>
      </c>
      <c r="L23" s="2"/>
      <c r="R23" s="2"/>
      <c r="S23" s="2"/>
      <c r="T23" s="2"/>
      <c r="U23" s="2"/>
    </row>
    <row r="24" ht="22.5" customHeight="1">
      <c r="A24" s="4" t="s">
        <v>428</v>
      </c>
      <c r="B24" s="4" t="s">
        <v>1360</v>
      </c>
      <c r="C24" s="4" t="s">
        <v>1361</v>
      </c>
      <c r="D24" s="4" t="s">
        <v>1362</v>
      </c>
      <c r="E24" s="4" t="s">
        <v>1363</v>
      </c>
      <c r="F24" s="2"/>
      <c r="G24" s="5">
        <v>23.0</v>
      </c>
      <c r="H24" s="4" t="s">
        <v>1364</v>
      </c>
      <c r="I24" s="4" t="s">
        <v>1365</v>
      </c>
      <c r="J24" s="4" t="s">
        <v>1366</v>
      </c>
      <c r="K24" s="4" t="s">
        <v>1367</v>
      </c>
      <c r="L24" s="2"/>
      <c r="R24" s="2"/>
      <c r="S24" s="2"/>
      <c r="T24" s="2"/>
      <c r="U24" s="2"/>
    </row>
    <row r="25" ht="22.5" customHeight="1">
      <c r="A25" s="4" t="s">
        <v>436</v>
      </c>
      <c r="B25" s="4" t="s">
        <v>1368</v>
      </c>
      <c r="C25" s="4" t="s">
        <v>1369</v>
      </c>
      <c r="D25" s="4" t="s">
        <v>1370</v>
      </c>
      <c r="E25" s="4" t="s">
        <v>1371</v>
      </c>
      <c r="F25" s="2"/>
      <c r="G25" s="5">
        <v>24.0</v>
      </c>
      <c r="H25" s="4" t="s">
        <v>1372</v>
      </c>
      <c r="I25" s="4" t="s">
        <v>1373</v>
      </c>
      <c r="J25" s="4" t="s">
        <v>1374</v>
      </c>
      <c r="K25" s="4" t="s">
        <v>1375</v>
      </c>
      <c r="L25" s="2"/>
      <c r="R25" s="2"/>
      <c r="S25" s="2"/>
      <c r="T25" s="2"/>
      <c r="U25" s="2"/>
    </row>
    <row r="26" ht="22.5" customHeight="1">
      <c r="A26" s="4" t="s">
        <v>444</v>
      </c>
      <c r="B26" s="4" t="s">
        <v>1376</v>
      </c>
      <c r="C26" s="4" t="s">
        <v>1377</v>
      </c>
      <c r="D26" s="4" t="s">
        <v>1256</v>
      </c>
      <c r="E26" s="4" t="s">
        <v>1257</v>
      </c>
      <c r="F26" s="2"/>
      <c r="G26" s="5">
        <v>25.0</v>
      </c>
      <c r="H26" s="4" t="s">
        <v>1378</v>
      </c>
      <c r="I26" s="4" t="s">
        <v>1379</v>
      </c>
      <c r="J26" s="4" t="s">
        <v>1260</v>
      </c>
      <c r="K26" s="4" t="s">
        <v>1261</v>
      </c>
      <c r="L26" s="2"/>
      <c r="R26" s="2"/>
      <c r="S26" s="2"/>
      <c r="T26" s="2"/>
      <c r="U26" s="2"/>
    </row>
    <row r="27" ht="22.5" customHeight="1">
      <c r="A27" s="4" t="s">
        <v>452</v>
      </c>
      <c r="B27" s="4" t="s">
        <v>1380</v>
      </c>
      <c r="C27" s="4" t="s">
        <v>1381</v>
      </c>
      <c r="D27" s="4" t="s">
        <v>1232</v>
      </c>
      <c r="E27" s="4" t="s">
        <v>1382</v>
      </c>
      <c r="F27" s="2"/>
      <c r="G27" s="5">
        <v>26.0</v>
      </c>
      <c r="H27" s="4" t="s">
        <v>1383</v>
      </c>
      <c r="I27" s="4" t="s">
        <v>1384</v>
      </c>
      <c r="J27" s="4" t="s">
        <v>1236</v>
      </c>
      <c r="K27" s="4" t="s">
        <v>1385</v>
      </c>
      <c r="L27" s="2"/>
      <c r="R27" s="2"/>
      <c r="S27" s="2"/>
      <c r="T27" s="2"/>
      <c r="U27" s="2"/>
    </row>
    <row r="28" ht="22.5" customHeight="1">
      <c r="A28" s="4" t="s">
        <v>460</v>
      </c>
      <c r="B28" s="4" t="s">
        <v>1386</v>
      </c>
      <c r="C28" s="4" t="s">
        <v>1387</v>
      </c>
      <c r="D28" s="4" t="s">
        <v>1388</v>
      </c>
      <c r="E28" s="4" t="s">
        <v>1389</v>
      </c>
      <c r="F28" s="2"/>
      <c r="G28" s="5">
        <v>27.0</v>
      </c>
      <c r="H28" s="4" t="s">
        <v>1390</v>
      </c>
      <c r="I28" s="4" t="s">
        <v>1391</v>
      </c>
      <c r="J28" s="4" t="s">
        <v>1392</v>
      </c>
      <c r="K28" s="4" t="s">
        <v>1393</v>
      </c>
      <c r="L28" s="2"/>
      <c r="R28" s="2"/>
      <c r="S28" s="2"/>
      <c r="T28" s="2"/>
      <c r="U28" s="2"/>
    </row>
    <row r="29" ht="22.5" customHeight="1">
      <c r="A29" s="4" t="s">
        <v>468</v>
      </c>
      <c r="B29" s="4" t="s">
        <v>1394</v>
      </c>
      <c r="C29" s="4" t="s">
        <v>1395</v>
      </c>
      <c r="D29" s="4" t="s">
        <v>1240</v>
      </c>
      <c r="E29" s="4" t="s">
        <v>1396</v>
      </c>
      <c r="F29" s="2"/>
      <c r="G29" s="5">
        <v>28.0</v>
      </c>
      <c r="H29" s="4" t="s">
        <v>1397</v>
      </c>
      <c r="I29" s="4" t="s">
        <v>1398</v>
      </c>
      <c r="J29" s="4" t="s">
        <v>1244</v>
      </c>
      <c r="K29" s="4" t="s">
        <v>1399</v>
      </c>
      <c r="L29" s="2"/>
      <c r="R29" s="2"/>
      <c r="S29" s="2"/>
      <c r="T29" s="2"/>
      <c r="U29" s="2"/>
    </row>
    <row r="30" ht="22.5" customHeight="1">
      <c r="A30" s="4" t="s">
        <v>476</v>
      </c>
      <c r="B30" s="4" t="s">
        <v>1400</v>
      </c>
      <c r="C30" s="4" t="s">
        <v>1401</v>
      </c>
      <c r="D30" s="4" t="s">
        <v>1402</v>
      </c>
      <c r="E30" s="4" t="s">
        <v>1403</v>
      </c>
      <c r="F30" s="2"/>
      <c r="G30" s="5">
        <v>29.0</v>
      </c>
      <c r="H30" s="4" t="s">
        <v>1404</v>
      </c>
      <c r="I30" s="4" t="s">
        <v>1405</v>
      </c>
      <c r="J30" s="4" t="s">
        <v>1406</v>
      </c>
      <c r="K30" s="4" t="s">
        <v>1407</v>
      </c>
      <c r="L30" s="2"/>
      <c r="R30" s="2"/>
      <c r="S30" s="2"/>
      <c r="T30" s="2"/>
      <c r="U30" s="2"/>
    </row>
    <row r="31" ht="22.5" customHeight="1">
      <c r="A31" s="4" t="s">
        <v>482</v>
      </c>
      <c r="B31" s="4" t="s">
        <v>1408</v>
      </c>
      <c r="C31" s="4" t="s">
        <v>1409</v>
      </c>
      <c r="D31" s="4" t="s">
        <v>1410</v>
      </c>
      <c r="E31" s="4" t="s">
        <v>1411</v>
      </c>
      <c r="F31" s="2"/>
      <c r="G31" s="5">
        <v>30.0</v>
      </c>
      <c r="H31" s="4" t="s">
        <v>1412</v>
      </c>
      <c r="I31" s="4" t="s">
        <v>1413</v>
      </c>
      <c r="J31" s="4" t="s">
        <v>1414</v>
      </c>
      <c r="K31" s="4" t="s">
        <v>1415</v>
      </c>
      <c r="L31" s="2"/>
      <c r="R31" s="2"/>
      <c r="S31" s="2"/>
      <c r="T31" s="2"/>
      <c r="U31" s="2"/>
    </row>
    <row r="32" ht="22.5" customHeight="1">
      <c r="A32" s="4" t="s">
        <v>490</v>
      </c>
      <c r="B32" s="4" t="s">
        <v>1416</v>
      </c>
      <c r="C32" s="4" t="s">
        <v>1417</v>
      </c>
      <c r="D32" s="4" t="s">
        <v>1418</v>
      </c>
      <c r="E32" s="4" t="s">
        <v>1419</v>
      </c>
      <c r="F32" s="2"/>
      <c r="G32" s="5">
        <v>31.0</v>
      </c>
      <c r="H32" s="4" t="s">
        <v>1420</v>
      </c>
      <c r="I32" s="4" t="s">
        <v>1421</v>
      </c>
      <c r="J32" s="4" t="s">
        <v>1422</v>
      </c>
      <c r="K32" s="4" t="s">
        <v>1423</v>
      </c>
      <c r="L32" s="2"/>
      <c r="R32" s="2"/>
      <c r="S32" s="2"/>
      <c r="T32" s="2"/>
      <c r="U32" s="2"/>
    </row>
    <row r="33" ht="22.5" customHeight="1">
      <c r="A33" s="4" t="s">
        <v>498</v>
      </c>
      <c r="B33" s="4" t="s">
        <v>1424</v>
      </c>
      <c r="C33" s="4" t="s">
        <v>1425</v>
      </c>
      <c r="D33" s="4" t="s">
        <v>1256</v>
      </c>
      <c r="E33" s="4" t="s">
        <v>1257</v>
      </c>
      <c r="F33" s="2"/>
      <c r="G33" s="5">
        <v>32.0</v>
      </c>
      <c r="H33" s="4" t="s">
        <v>1426</v>
      </c>
      <c r="I33" s="4" t="s">
        <v>1427</v>
      </c>
      <c r="J33" s="4" t="s">
        <v>1260</v>
      </c>
      <c r="K33" s="4" t="s">
        <v>1261</v>
      </c>
      <c r="L33" s="2"/>
      <c r="R33" s="2"/>
      <c r="S33" s="2"/>
      <c r="T33" s="2"/>
      <c r="U33" s="2"/>
    </row>
    <row r="34" ht="22.5" customHeight="1">
      <c r="A34" s="4" t="s">
        <v>506</v>
      </c>
      <c r="B34" s="4" t="s">
        <v>1428</v>
      </c>
      <c r="C34" s="4" t="s">
        <v>1429</v>
      </c>
      <c r="D34" s="4" t="s">
        <v>1430</v>
      </c>
      <c r="E34" s="4" t="s">
        <v>1431</v>
      </c>
      <c r="F34" s="2"/>
      <c r="G34" s="5">
        <v>33.0</v>
      </c>
      <c r="H34" s="4" t="s">
        <v>1432</v>
      </c>
      <c r="I34" s="4" t="s">
        <v>1433</v>
      </c>
      <c r="J34" s="4" t="s">
        <v>1434</v>
      </c>
      <c r="K34" s="4" t="s">
        <v>1435</v>
      </c>
      <c r="L34" s="2"/>
      <c r="R34" s="2"/>
      <c r="S34" s="2"/>
      <c r="T34" s="2"/>
      <c r="U34" s="2"/>
    </row>
    <row r="35" ht="22.5" customHeight="1">
      <c r="A35" s="4" t="s">
        <v>514</v>
      </c>
      <c r="B35" s="4" t="s">
        <v>1436</v>
      </c>
      <c r="C35" s="4" t="s">
        <v>1437</v>
      </c>
      <c r="D35" s="4" t="s">
        <v>1438</v>
      </c>
      <c r="E35" s="4" t="s">
        <v>1439</v>
      </c>
      <c r="F35" s="2"/>
      <c r="G35" s="5">
        <v>34.0</v>
      </c>
      <c r="H35" s="4" t="s">
        <v>1440</v>
      </c>
      <c r="I35" s="4" t="s">
        <v>1441</v>
      </c>
      <c r="J35" s="4" t="s">
        <v>1442</v>
      </c>
      <c r="K35" s="4" t="s">
        <v>1443</v>
      </c>
      <c r="L35" s="2"/>
      <c r="R35" s="2"/>
      <c r="S35" s="2"/>
      <c r="T35" s="2"/>
      <c r="U35" s="2"/>
    </row>
    <row r="36" ht="22.5" customHeight="1">
      <c r="A36" s="4" t="s">
        <v>522</v>
      </c>
      <c r="B36" s="4" t="s">
        <v>1444</v>
      </c>
      <c r="C36" s="4" t="s">
        <v>1445</v>
      </c>
      <c r="D36" s="4" t="s">
        <v>1370</v>
      </c>
      <c r="E36" s="4" t="s">
        <v>1446</v>
      </c>
      <c r="F36" s="2"/>
      <c r="G36" s="5">
        <v>35.0</v>
      </c>
      <c r="H36" s="4" t="s">
        <v>1447</v>
      </c>
      <c r="I36" s="4" t="s">
        <v>1448</v>
      </c>
      <c r="J36" s="4" t="s">
        <v>1374</v>
      </c>
      <c r="K36" s="4" t="s">
        <v>1449</v>
      </c>
      <c r="L36" s="2"/>
      <c r="R36" s="2"/>
      <c r="S36" s="2"/>
      <c r="T36" s="2"/>
      <c r="U36" s="2"/>
    </row>
    <row r="37" ht="22.5" customHeight="1">
      <c r="A37" s="4" t="s">
        <v>530</v>
      </c>
      <c r="B37" s="4" t="s">
        <v>1450</v>
      </c>
      <c r="C37" s="4" t="s">
        <v>1451</v>
      </c>
      <c r="D37" s="4" t="s">
        <v>1256</v>
      </c>
      <c r="E37" s="4" t="s">
        <v>1452</v>
      </c>
      <c r="F37" s="2"/>
      <c r="G37" s="5">
        <v>36.0</v>
      </c>
      <c r="H37" s="4" t="s">
        <v>1453</v>
      </c>
      <c r="I37" s="4" t="s">
        <v>1454</v>
      </c>
      <c r="J37" s="4" t="s">
        <v>1260</v>
      </c>
      <c r="K37" s="4" t="s">
        <v>1455</v>
      </c>
      <c r="L37" s="2"/>
      <c r="R37" s="2"/>
      <c r="S37" s="2"/>
      <c r="T37" s="2"/>
      <c r="U37" s="2"/>
    </row>
    <row r="38" ht="22.5" customHeight="1">
      <c r="A38" s="4" t="s">
        <v>538</v>
      </c>
      <c r="B38" s="4" t="s">
        <v>1456</v>
      </c>
      <c r="C38" s="4" t="s">
        <v>1457</v>
      </c>
      <c r="D38" s="4" t="s">
        <v>1458</v>
      </c>
      <c r="E38" s="4" t="s">
        <v>1459</v>
      </c>
      <c r="F38" s="2"/>
      <c r="G38" s="5">
        <v>37.0</v>
      </c>
      <c r="H38" s="4" t="s">
        <v>1460</v>
      </c>
      <c r="I38" s="4" t="s">
        <v>1461</v>
      </c>
      <c r="J38" s="4" t="s">
        <v>1462</v>
      </c>
      <c r="K38" s="4" t="s">
        <v>1463</v>
      </c>
      <c r="L38" s="2"/>
      <c r="R38" s="2"/>
      <c r="S38" s="2"/>
      <c r="T38" s="2"/>
      <c r="U38" s="2"/>
    </row>
    <row r="39" ht="22.5" customHeight="1">
      <c r="A39" s="4" t="s">
        <v>546</v>
      </c>
      <c r="B39" s="4" t="s">
        <v>1464</v>
      </c>
      <c r="C39" s="4" t="s">
        <v>1465</v>
      </c>
      <c r="D39" s="4" t="s">
        <v>1466</v>
      </c>
      <c r="E39" s="4" t="s">
        <v>1467</v>
      </c>
      <c r="F39" s="2"/>
      <c r="G39" s="5">
        <v>38.0</v>
      </c>
      <c r="H39" s="4" t="s">
        <v>1468</v>
      </c>
      <c r="I39" s="4" t="s">
        <v>1469</v>
      </c>
      <c r="J39" s="4" t="s">
        <v>1470</v>
      </c>
      <c r="K39" s="4" t="s">
        <v>1471</v>
      </c>
      <c r="L39" s="2"/>
      <c r="R39" s="2"/>
      <c r="S39" s="2"/>
      <c r="T39" s="2"/>
      <c r="U39" s="2"/>
    </row>
    <row r="40" ht="22.5" customHeight="1">
      <c r="A40" s="4" t="s">
        <v>554</v>
      </c>
      <c r="B40" s="4" t="s">
        <v>1472</v>
      </c>
      <c r="C40" s="4" t="s">
        <v>1473</v>
      </c>
      <c r="D40" s="4" t="s">
        <v>1474</v>
      </c>
      <c r="E40" s="4" t="s">
        <v>1475</v>
      </c>
      <c r="F40" s="2"/>
      <c r="G40" s="5">
        <v>39.0</v>
      </c>
      <c r="H40" s="4" t="s">
        <v>1476</v>
      </c>
      <c r="I40" s="4" t="s">
        <v>1477</v>
      </c>
      <c r="J40" s="4" t="s">
        <v>1478</v>
      </c>
      <c r="K40" s="4" t="s">
        <v>1479</v>
      </c>
      <c r="L40" s="2"/>
      <c r="R40" s="2"/>
      <c r="S40" s="2"/>
      <c r="T40" s="2"/>
      <c r="U40" s="2"/>
    </row>
    <row r="41" ht="22.5" customHeight="1">
      <c r="A41" s="4" t="s">
        <v>562</v>
      </c>
      <c r="B41" s="4" t="s">
        <v>1480</v>
      </c>
      <c r="C41" s="4" t="s">
        <v>1481</v>
      </c>
      <c r="D41" s="4" t="s">
        <v>1388</v>
      </c>
      <c r="E41" s="4" t="s">
        <v>1389</v>
      </c>
      <c r="F41" s="2"/>
      <c r="G41" s="5">
        <v>40.0</v>
      </c>
      <c r="H41" s="4" t="s">
        <v>1482</v>
      </c>
      <c r="I41" s="4" t="s">
        <v>1483</v>
      </c>
      <c r="J41" s="4" t="s">
        <v>1392</v>
      </c>
      <c r="K41" s="4" t="s">
        <v>1393</v>
      </c>
      <c r="L41" s="2"/>
      <c r="R41" s="2"/>
      <c r="S41" s="2"/>
      <c r="T41" s="2"/>
      <c r="U41" s="2"/>
    </row>
    <row r="42" ht="22.5" customHeight="1">
      <c r="A42" s="4" t="s">
        <v>570</v>
      </c>
      <c r="B42" s="4" t="s">
        <v>1484</v>
      </c>
      <c r="C42" s="4" t="s">
        <v>1485</v>
      </c>
      <c r="D42" s="4" t="s">
        <v>1486</v>
      </c>
      <c r="E42" s="4" t="s">
        <v>1487</v>
      </c>
      <c r="F42" s="2"/>
      <c r="G42" s="5">
        <v>41.0</v>
      </c>
      <c r="H42" s="4" t="s">
        <v>1488</v>
      </c>
      <c r="I42" s="4" t="s">
        <v>1489</v>
      </c>
      <c r="J42" s="4" t="s">
        <v>1490</v>
      </c>
      <c r="K42" s="4" t="s">
        <v>1491</v>
      </c>
      <c r="L42" s="2"/>
      <c r="R42" s="2"/>
      <c r="S42" s="2"/>
      <c r="T42" s="2"/>
      <c r="U42" s="2"/>
    </row>
    <row r="43" ht="22.5" customHeight="1">
      <c r="A43" s="4" t="s">
        <v>574</v>
      </c>
      <c r="B43" s="4" t="s">
        <v>1492</v>
      </c>
      <c r="C43" s="4" t="s">
        <v>1493</v>
      </c>
      <c r="D43" s="4" t="s">
        <v>1494</v>
      </c>
      <c r="E43" s="4" t="s">
        <v>1495</v>
      </c>
      <c r="F43" s="2"/>
      <c r="G43" s="5">
        <v>42.0</v>
      </c>
      <c r="H43" s="4" t="s">
        <v>1496</v>
      </c>
      <c r="I43" s="4" t="s">
        <v>1497</v>
      </c>
      <c r="J43" s="4" t="s">
        <v>1498</v>
      </c>
      <c r="K43" s="4" t="s">
        <v>1499</v>
      </c>
      <c r="L43" s="2"/>
      <c r="R43" s="2"/>
      <c r="S43" s="2"/>
      <c r="T43" s="2"/>
      <c r="U43" s="2"/>
    </row>
    <row r="44" ht="22.5" customHeight="1">
      <c r="A44" s="4" t="s">
        <v>580</v>
      </c>
      <c r="B44" s="4" t="s">
        <v>1500</v>
      </c>
      <c r="C44" s="4" t="s">
        <v>1501</v>
      </c>
      <c r="D44" s="4" t="s">
        <v>1256</v>
      </c>
      <c r="E44" s="4" t="s">
        <v>1502</v>
      </c>
      <c r="F44" s="2"/>
      <c r="G44" s="5">
        <v>43.0</v>
      </c>
      <c r="H44" s="4" t="s">
        <v>1503</v>
      </c>
      <c r="I44" s="4" t="s">
        <v>1504</v>
      </c>
      <c r="J44" s="4" t="s">
        <v>1260</v>
      </c>
      <c r="K44" s="4" t="s">
        <v>1505</v>
      </c>
      <c r="L44" s="2"/>
      <c r="R44" s="2"/>
      <c r="S44" s="2"/>
      <c r="T44" s="2"/>
      <c r="U44" s="2"/>
    </row>
    <row r="45" ht="22.5" customHeight="1">
      <c r="A45" s="4" t="s">
        <v>588</v>
      </c>
      <c r="B45" s="4" t="s">
        <v>1506</v>
      </c>
      <c r="C45" s="4" t="s">
        <v>1507</v>
      </c>
      <c r="D45" s="4" t="s">
        <v>1508</v>
      </c>
      <c r="E45" s="4" t="s">
        <v>1509</v>
      </c>
      <c r="F45" s="2"/>
      <c r="G45" s="5">
        <v>44.0</v>
      </c>
      <c r="H45" s="4" t="s">
        <v>1510</v>
      </c>
      <c r="I45" s="4" t="s">
        <v>1511</v>
      </c>
      <c r="J45" s="4" t="s">
        <v>1512</v>
      </c>
      <c r="K45" s="4" t="s">
        <v>1513</v>
      </c>
      <c r="L45" s="2"/>
      <c r="R45" s="2"/>
      <c r="S45" s="2"/>
      <c r="T45" s="2"/>
      <c r="U45" s="2"/>
    </row>
    <row r="46" ht="22.5" customHeight="1">
      <c r="A46" s="4" t="s">
        <v>594</v>
      </c>
      <c r="B46" s="4" t="s">
        <v>1514</v>
      </c>
      <c r="C46" s="4" t="s">
        <v>1515</v>
      </c>
      <c r="D46" s="4" t="s">
        <v>1256</v>
      </c>
      <c r="E46" s="4" t="s">
        <v>1516</v>
      </c>
      <c r="F46" s="2"/>
      <c r="G46" s="5">
        <v>45.0</v>
      </c>
      <c r="H46" s="4" t="s">
        <v>1517</v>
      </c>
      <c r="I46" s="4" t="s">
        <v>1518</v>
      </c>
      <c r="J46" s="4" t="s">
        <v>1260</v>
      </c>
      <c r="K46" s="4" t="s">
        <v>1519</v>
      </c>
      <c r="L46" s="2"/>
      <c r="R46" s="2"/>
      <c r="S46" s="2"/>
      <c r="T46" s="2"/>
      <c r="U46" s="2"/>
    </row>
    <row r="47" ht="22.5" customHeight="1">
      <c r="A47" s="4" t="s">
        <v>600</v>
      </c>
      <c r="B47" s="4" t="s">
        <v>1520</v>
      </c>
      <c r="C47" s="4" t="s">
        <v>1521</v>
      </c>
      <c r="D47" s="4" t="s">
        <v>1256</v>
      </c>
      <c r="E47" s="4" t="s">
        <v>1257</v>
      </c>
      <c r="F47" s="2"/>
      <c r="G47" s="5">
        <v>46.0</v>
      </c>
      <c r="H47" s="4" t="s">
        <v>1522</v>
      </c>
      <c r="I47" s="4" t="s">
        <v>1523</v>
      </c>
      <c r="J47" s="4" t="s">
        <v>1260</v>
      </c>
      <c r="K47" s="4" t="s">
        <v>1261</v>
      </c>
      <c r="L47" s="2"/>
      <c r="R47" s="2"/>
      <c r="S47" s="2"/>
      <c r="T47" s="2"/>
      <c r="U47" s="2"/>
    </row>
    <row r="48" ht="22.5" customHeight="1">
      <c r="A48" s="4" t="s">
        <v>604</v>
      </c>
      <c r="B48" s="4" t="s">
        <v>1524</v>
      </c>
      <c r="C48" s="4" t="s">
        <v>1525</v>
      </c>
      <c r="D48" s="4" t="s">
        <v>1526</v>
      </c>
      <c r="E48" s="4" t="s">
        <v>1527</v>
      </c>
      <c r="F48" s="2"/>
      <c r="G48" s="5">
        <v>47.0</v>
      </c>
      <c r="H48" s="4" t="s">
        <v>1528</v>
      </c>
      <c r="I48" s="4" t="s">
        <v>1529</v>
      </c>
      <c r="J48" s="4" t="s">
        <v>1530</v>
      </c>
      <c r="K48" s="4" t="s">
        <v>1531</v>
      </c>
      <c r="L48" s="2"/>
      <c r="R48" s="2"/>
      <c r="S48" s="2"/>
      <c r="T48" s="2"/>
      <c r="U48" s="2"/>
    </row>
    <row r="49" ht="22.5" customHeight="1">
      <c r="A49" s="4" t="s">
        <v>612</v>
      </c>
      <c r="B49" s="4" t="s">
        <v>1532</v>
      </c>
      <c r="C49" s="4" t="s">
        <v>1533</v>
      </c>
      <c r="D49" s="4" t="s">
        <v>1534</v>
      </c>
      <c r="E49" s="4" t="s">
        <v>1535</v>
      </c>
      <c r="F49" s="2"/>
      <c r="G49" s="5">
        <v>48.0</v>
      </c>
      <c r="H49" s="4" t="s">
        <v>1536</v>
      </c>
      <c r="I49" s="4" t="s">
        <v>1537</v>
      </c>
      <c r="J49" s="4" t="s">
        <v>1538</v>
      </c>
      <c r="K49" s="4" t="s">
        <v>1539</v>
      </c>
      <c r="L49" s="2"/>
      <c r="R49" s="2"/>
      <c r="S49" s="2"/>
      <c r="T49" s="2"/>
      <c r="U49" s="2"/>
    </row>
    <row r="50" ht="22.5" customHeight="1">
      <c r="A50" s="4" t="s">
        <v>616</v>
      </c>
      <c r="B50" s="4" t="s">
        <v>1540</v>
      </c>
      <c r="C50" s="4" t="s">
        <v>1541</v>
      </c>
      <c r="D50" s="4" t="s">
        <v>1256</v>
      </c>
      <c r="E50" s="4" t="s">
        <v>1542</v>
      </c>
      <c r="F50" s="2"/>
      <c r="G50" s="5">
        <v>49.0</v>
      </c>
      <c r="H50" s="4" t="s">
        <v>1543</v>
      </c>
      <c r="I50" s="4" t="s">
        <v>1544</v>
      </c>
      <c r="J50" s="4" t="s">
        <v>1260</v>
      </c>
      <c r="K50" s="4" t="s">
        <v>1545</v>
      </c>
      <c r="L50" s="2"/>
      <c r="R50" s="2"/>
      <c r="S50" s="2"/>
      <c r="T50" s="2"/>
      <c r="U50" s="2"/>
    </row>
    <row r="51" ht="22.5" customHeight="1">
      <c r="A51" s="4" t="s">
        <v>624</v>
      </c>
      <c r="B51" s="4" t="s">
        <v>1546</v>
      </c>
      <c r="C51" s="4" t="s">
        <v>1547</v>
      </c>
      <c r="D51" s="4" t="s">
        <v>1256</v>
      </c>
      <c r="E51" s="4" t="s">
        <v>1548</v>
      </c>
      <c r="F51" s="2"/>
      <c r="G51" s="5">
        <v>50.0</v>
      </c>
      <c r="H51" s="4" t="s">
        <v>1549</v>
      </c>
      <c r="I51" s="4" t="s">
        <v>1550</v>
      </c>
      <c r="J51" s="4" t="s">
        <v>1260</v>
      </c>
      <c r="K51" s="4" t="s">
        <v>1551</v>
      </c>
      <c r="L51" s="2"/>
      <c r="R51" s="2"/>
      <c r="S51" s="2"/>
      <c r="T51" s="2"/>
      <c r="U51" s="2"/>
    </row>
    <row r="52" ht="22.5" customHeight="1">
      <c r="A52" s="4" t="s">
        <v>632</v>
      </c>
      <c r="B52" s="4" t="s">
        <v>1552</v>
      </c>
      <c r="C52" s="4" t="s">
        <v>1553</v>
      </c>
      <c r="D52" s="4" t="s">
        <v>1256</v>
      </c>
      <c r="E52" s="4" t="s">
        <v>1554</v>
      </c>
      <c r="F52" s="2"/>
      <c r="G52" s="5">
        <v>51.0</v>
      </c>
      <c r="H52" s="4" t="s">
        <v>1555</v>
      </c>
      <c r="I52" s="4" t="s">
        <v>1556</v>
      </c>
      <c r="J52" s="4" t="s">
        <v>1260</v>
      </c>
      <c r="K52" s="4" t="s">
        <v>1557</v>
      </c>
      <c r="L52" s="2"/>
      <c r="R52" s="2"/>
      <c r="S52" s="2"/>
      <c r="T52" s="2"/>
      <c r="U52" s="2"/>
    </row>
    <row r="53" ht="22.5" customHeight="1">
      <c r="A53" s="4" t="s">
        <v>638</v>
      </c>
      <c r="B53" s="4" t="s">
        <v>1558</v>
      </c>
      <c r="C53" s="4" t="s">
        <v>1559</v>
      </c>
      <c r="D53" s="4" t="s">
        <v>1256</v>
      </c>
      <c r="E53" s="4" t="s">
        <v>1560</v>
      </c>
      <c r="F53" s="2"/>
      <c r="G53" s="5">
        <v>52.0</v>
      </c>
      <c r="H53" s="4" t="s">
        <v>1561</v>
      </c>
      <c r="I53" s="4" t="s">
        <v>1562</v>
      </c>
      <c r="J53" s="4" t="s">
        <v>1260</v>
      </c>
      <c r="K53" s="4" t="s">
        <v>1563</v>
      </c>
      <c r="L53" s="2"/>
      <c r="R53" s="2"/>
      <c r="S53" s="2"/>
      <c r="T53" s="2"/>
      <c r="U53" s="2"/>
    </row>
    <row r="54" ht="22.5" customHeight="1">
      <c r="A54" s="4" t="s">
        <v>644</v>
      </c>
      <c r="B54" s="4" t="s">
        <v>1564</v>
      </c>
      <c r="C54" s="4" t="s">
        <v>1565</v>
      </c>
      <c r="D54" s="4" t="s">
        <v>1566</v>
      </c>
      <c r="E54" s="4" t="s">
        <v>1567</v>
      </c>
      <c r="F54" s="2"/>
      <c r="G54" s="5">
        <v>53.0</v>
      </c>
      <c r="H54" s="4" t="s">
        <v>1568</v>
      </c>
      <c r="I54" s="4" t="s">
        <v>1569</v>
      </c>
      <c r="J54" s="4" t="s">
        <v>1570</v>
      </c>
      <c r="K54" s="4" t="s">
        <v>1571</v>
      </c>
      <c r="L54" s="2"/>
      <c r="R54" s="2"/>
      <c r="S54" s="2"/>
      <c r="T54" s="2"/>
      <c r="U54" s="2"/>
    </row>
    <row r="55" ht="22.5" customHeight="1">
      <c r="A55" s="4" t="s">
        <v>652</v>
      </c>
      <c r="B55" s="4" t="s">
        <v>1572</v>
      </c>
      <c r="C55" s="4" t="s">
        <v>1573</v>
      </c>
      <c r="D55" s="4" t="s">
        <v>1574</v>
      </c>
      <c r="E55" s="4" t="s">
        <v>1575</v>
      </c>
      <c r="F55" s="2"/>
      <c r="G55" s="5">
        <v>54.0</v>
      </c>
      <c r="H55" s="4" t="s">
        <v>1576</v>
      </c>
      <c r="I55" s="4" t="s">
        <v>1577</v>
      </c>
      <c r="J55" s="4" t="s">
        <v>1578</v>
      </c>
      <c r="K55" s="4" t="s">
        <v>1579</v>
      </c>
      <c r="L55" s="2"/>
      <c r="R55" s="2"/>
      <c r="S55" s="2"/>
      <c r="T55" s="2"/>
      <c r="U55" s="2"/>
    </row>
    <row r="56" ht="22.5" customHeight="1">
      <c r="A56" s="4" t="s">
        <v>658</v>
      </c>
      <c r="B56" s="4" t="s">
        <v>1580</v>
      </c>
      <c r="C56" s="4" t="s">
        <v>1581</v>
      </c>
      <c r="D56" s="4" t="s">
        <v>1582</v>
      </c>
      <c r="E56" s="4" t="s">
        <v>1583</v>
      </c>
      <c r="F56" s="2"/>
      <c r="G56" s="5">
        <v>55.0</v>
      </c>
      <c r="H56" s="4" t="s">
        <v>1584</v>
      </c>
      <c r="I56" s="4" t="s">
        <v>1585</v>
      </c>
      <c r="J56" s="4" t="s">
        <v>1586</v>
      </c>
      <c r="K56" s="4" t="s">
        <v>1587</v>
      </c>
      <c r="L56" s="2"/>
      <c r="R56" s="2"/>
      <c r="S56" s="2"/>
      <c r="T56" s="2"/>
      <c r="U56" s="2"/>
    </row>
    <row r="57" ht="22.5" customHeight="1">
      <c r="A57" s="4" t="s">
        <v>664</v>
      </c>
      <c r="B57" s="4" t="s">
        <v>1588</v>
      </c>
      <c r="C57" s="4" t="s">
        <v>1589</v>
      </c>
      <c r="D57" s="4" t="s">
        <v>1256</v>
      </c>
      <c r="E57" s="4" t="s">
        <v>1590</v>
      </c>
      <c r="F57" s="2"/>
      <c r="G57" s="5">
        <v>56.0</v>
      </c>
      <c r="H57" s="4" t="s">
        <v>1591</v>
      </c>
      <c r="I57" s="4" t="s">
        <v>1592</v>
      </c>
      <c r="J57" s="4" t="s">
        <v>1260</v>
      </c>
      <c r="K57" s="4" t="s">
        <v>1593</v>
      </c>
      <c r="L57" s="2"/>
      <c r="R57" s="2"/>
      <c r="S57" s="2"/>
      <c r="T57" s="2"/>
      <c r="U57" s="2"/>
    </row>
    <row r="58" ht="22.5" customHeight="1">
      <c r="A58" s="4" t="s">
        <v>668</v>
      </c>
      <c r="B58" s="4" t="s">
        <v>1594</v>
      </c>
      <c r="C58" s="4" t="s">
        <v>1595</v>
      </c>
      <c r="D58" s="4" t="s">
        <v>1596</v>
      </c>
      <c r="E58" s="4" t="s">
        <v>1597</v>
      </c>
      <c r="F58" s="2"/>
      <c r="G58" s="5">
        <v>57.0</v>
      </c>
      <c r="H58" s="4" t="s">
        <v>1598</v>
      </c>
      <c r="I58" s="4" t="s">
        <v>1599</v>
      </c>
      <c r="J58" s="4" t="s">
        <v>1600</v>
      </c>
      <c r="K58" s="4" t="s">
        <v>1601</v>
      </c>
      <c r="L58" s="2"/>
      <c r="R58" s="2"/>
      <c r="S58" s="2"/>
      <c r="T58" s="2"/>
      <c r="U58" s="2"/>
    </row>
    <row r="59" ht="22.5" customHeight="1">
      <c r="A59" s="4" t="s">
        <v>676</v>
      </c>
      <c r="B59" s="4" t="s">
        <v>1602</v>
      </c>
      <c r="C59" s="4" t="s">
        <v>1603</v>
      </c>
      <c r="D59" s="4" t="s">
        <v>1604</v>
      </c>
      <c r="E59" s="4" t="s">
        <v>1605</v>
      </c>
      <c r="F59" s="2"/>
      <c r="G59" s="5">
        <v>58.0</v>
      </c>
      <c r="H59" s="4" t="s">
        <v>1606</v>
      </c>
      <c r="I59" s="4" t="s">
        <v>1607</v>
      </c>
      <c r="J59" s="4" t="s">
        <v>1608</v>
      </c>
      <c r="K59" s="4" t="s">
        <v>1609</v>
      </c>
      <c r="L59" s="2"/>
      <c r="R59" s="2"/>
      <c r="S59" s="2"/>
      <c r="T59" s="2"/>
      <c r="U59" s="2"/>
    </row>
    <row r="60" ht="22.5" customHeight="1">
      <c r="A60" s="4" t="s">
        <v>682</v>
      </c>
      <c r="B60" s="4" t="s">
        <v>1610</v>
      </c>
      <c r="C60" s="4" t="s">
        <v>1611</v>
      </c>
      <c r="D60" s="4" t="s">
        <v>1612</v>
      </c>
      <c r="E60" s="4" t="s">
        <v>1613</v>
      </c>
      <c r="F60" s="2"/>
      <c r="G60" s="5">
        <v>59.0</v>
      </c>
      <c r="H60" s="4" t="s">
        <v>1614</v>
      </c>
      <c r="I60" s="4" t="s">
        <v>1615</v>
      </c>
      <c r="J60" s="4" t="s">
        <v>1616</v>
      </c>
      <c r="K60" s="4" t="s">
        <v>1617</v>
      </c>
      <c r="L60" s="2"/>
      <c r="R60" s="2"/>
      <c r="S60" s="2"/>
      <c r="T60" s="2"/>
      <c r="U60" s="2"/>
    </row>
    <row r="61" ht="22.5" customHeight="1">
      <c r="A61" s="4" t="s">
        <v>683</v>
      </c>
      <c r="B61" s="4" t="s">
        <v>1618</v>
      </c>
      <c r="C61" s="4" t="s">
        <v>1619</v>
      </c>
      <c r="D61" s="4" t="s">
        <v>583</v>
      </c>
      <c r="E61" s="4" t="s">
        <v>1620</v>
      </c>
      <c r="F61" s="2"/>
      <c r="G61" s="5">
        <v>60.0</v>
      </c>
      <c r="H61" s="4" t="s">
        <v>1621</v>
      </c>
      <c r="I61" s="4" t="s">
        <v>1622</v>
      </c>
      <c r="J61" s="4" t="s">
        <v>586</v>
      </c>
      <c r="K61" s="4" t="s">
        <v>1623</v>
      </c>
      <c r="L61" s="2"/>
      <c r="R61" s="2"/>
      <c r="S61" s="2"/>
      <c r="T61" s="2"/>
      <c r="U61" s="2"/>
    </row>
    <row r="62" ht="22.5" customHeight="1">
      <c r="A62" s="4" t="s">
        <v>689</v>
      </c>
      <c r="B62" s="4" t="s">
        <v>1624</v>
      </c>
      <c r="C62" s="4" t="s">
        <v>1625</v>
      </c>
      <c r="D62" s="4" t="s">
        <v>1626</v>
      </c>
      <c r="E62" s="4" t="s">
        <v>1627</v>
      </c>
      <c r="F62" s="2"/>
      <c r="G62" s="5">
        <v>61.0</v>
      </c>
      <c r="H62" s="4" t="s">
        <v>1628</v>
      </c>
      <c r="I62" s="4" t="s">
        <v>1629</v>
      </c>
      <c r="J62" s="4" t="s">
        <v>1630</v>
      </c>
      <c r="K62" s="4" t="s">
        <v>1631</v>
      </c>
      <c r="L62" s="2"/>
      <c r="R62" s="2"/>
      <c r="S62" s="2"/>
      <c r="T62" s="2"/>
      <c r="U62" s="2"/>
    </row>
    <row r="63" ht="22.5" customHeight="1">
      <c r="A63" s="4" t="s">
        <v>693</v>
      </c>
      <c r="B63" s="4" t="s">
        <v>1632</v>
      </c>
      <c r="C63" s="4" t="s">
        <v>1633</v>
      </c>
      <c r="D63" s="4" t="s">
        <v>1634</v>
      </c>
      <c r="E63" s="4" t="s">
        <v>1635</v>
      </c>
      <c r="F63" s="2"/>
      <c r="G63" s="5">
        <v>62.0</v>
      </c>
      <c r="H63" s="4" t="s">
        <v>1636</v>
      </c>
      <c r="I63" s="4" t="s">
        <v>1637</v>
      </c>
      <c r="J63" s="4" t="s">
        <v>1638</v>
      </c>
      <c r="K63" s="4" t="s">
        <v>1639</v>
      </c>
      <c r="L63" s="2"/>
      <c r="R63" s="2"/>
      <c r="S63" s="2"/>
      <c r="T63" s="2"/>
      <c r="U63" s="2"/>
    </row>
    <row r="64" ht="22.5" customHeight="1">
      <c r="A64" s="4" t="s">
        <v>694</v>
      </c>
      <c r="B64" s="4" t="s">
        <v>1640</v>
      </c>
      <c r="C64" s="4" t="s">
        <v>1641</v>
      </c>
      <c r="D64" s="4" t="s">
        <v>1642</v>
      </c>
      <c r="E64" s="4" t="s">
        <v>1643</v>
      </c>
      <c r="F64" s="2"/>
      <c r="G64" s="5">
        <v>63.0</v>
      </c>
      <c r="H64" s="4" t="s">
        <v>1644</v>
      </c>
      <c r="I64" s="4" t="s">
        <v>1645</v>
      </c>
      <c r="J64" s="4" t="s">
        <v>1646</v>
      </c>
      <c r="K64" s="4" t="s">
        <v>1647</v>
      </c>
      <c r="L64" s="2"/>
      <c r="R64" s="2"/>
      <c r="S64" s="2"/>
      <c r="T64" s="2"/>
      <c r="U64" s="2"/>
    </row>
    <row r="65" ht="22.5" customHeight="1">
      <c r="A65" s="4" t="s">
        <v>695</v>
      </c>
      <c r="B65" s="4" t="s">
        <v>1648</v>
      </c>
      <c r="C65" s="4" t="s">
        <v>1649</v>
      </c>
      <c r="D65" s="4" t="s">
        <v>1650</v>
      </c>
      <c r="E65" s="4" t="s">
        <v>1651</v>
      </c>
      <c r="F65" s="2"/>
      <c r="G65" s="5">
        <v>64.0</v>
      </c>
      <c r="H65" s="4" t="s">
        <v>1652</v>
      </c>
      <c r="I65" s="4" t="s">
        <v>1653</v>
      </c>
      <c r="J65" s="4" t="s">
        <v>1654</v>
      </c>
      <c r="K65" s="4" t="s">
        <v>1655</v>
      </c>
      <c r="L65" s="2"/>
      <c r="R65" s="2"/>
      <c r="S65" s="2"/>
      <c r="T65" s="2"/>
      <c r="U65" s="2"/>
    </row>
    <row r="66" ht="22.5" customHeight="1">
      <c r="A66" s="4" t="s">
        <v>696</v>
      </c>
      <c r="B66" s="4" t="s">
        <v>1656</v>
      </c>
      <c r="C66" s="4" t="s">
        <v>1657</v>
      </c>
      <c r="D66" s="4" t="s">
        <v>1658</v>
      </c>
      <c r="E66" s="4" t="s">
        <v>1659</v>
      </c>
      <c r="F66" s="2"/>
      <c r="G66" s="5">
        <v>65.0</v>
      </c>
      <c r="H66" s="4" t="s">
        <v>1660</v>
      </c>
      <c r="I66" s="4" t="s">
        <v>1661</v>
      </c>
      <c r="J66" s="4" t="s">
        <v>1662</v>
      </c>
      <c r="K66" s="4" t="s">
        <v>1663</v>
      </c>
      <c r="L66" s="2"/>
      <c r="R66" s="2"/>
      <c r="S66" s="2"/>
      <c r="T66" s="2"/>
      <c r="U66" s="2"/>
    </row>
    <row r="67" ht="22.5" customHeight="1">
      <c r="A67" s="4" t="s">
        <v>697</v>
      </c>
      <c r="B67" s="4" t="s">
        <v>1664</v>
      </c>
      <c r="C67" s="4" t="s">
        <v>1665</v>
      </c>
      <c r="D67" s="4" t="s">
        <v>1256</v>
      </c>
      <c r="E67" s="4" t="s">
        <v>1666</v>
      </c>
      <c r="F67" s="2"/>
      <c r="G67" s="5">
        <v>66.0</v>
      </c>
      <c r="H67" s="4" t="s">
        <v>1667</v>
      </c>
      <c r="I67" s="4" t="s">
        <v>1668</v>
      </c>
      <c r="J67" s="4" t="s">
        <v>1260</v>
      </c>
      <c r="K67" s="4" t="s">
        <v>1669</v>
      </c>
      <c r="L67" s="2"/>
      <c r="R67" s="2"/>
      <c r="S67" s="2"/>
      <c r="T67" s="2"/>
      <c r="U67" s="2"/>
    </row>
    <row r="68" ht="22.5" customHeight="1">
      <c r="A68" s="4" t="s">
        <v>698</v>
      </c>
      <c r="B68" s="4" t="s">
        <v>1670</v>
      </c>
      <c r="C68" s="4" t="s">
        <v>1671</v>
      </c>
      <c r="D68" s="4" t="s">
        <v>1334</v>
      </c>
      <c r="E68" s="4" t="s">
        <v>1672</v>
      </c>
      <c r="F68" s="2"/>
      <c r="G68" s="5">
        <v>67.0</v>
      </c>
      <c r="H68" s="4" t="s">
        <v>1673</v>
      </c>
      <c r="I68" s="4" t="s">
        <v>1674</v>
      </c>
      <c r="J68" s="4" t="s">
        <v>1338</v>
      </c>
      <c r="K68" s="4" t="s">
        <v>1675</v>
      </c>
      <c r="L68" s="2"/>
      <c r="R68" s="2"/>
      <c r="S68" s="2"/>
      <c r="T68" s="2"/>
      <c r="U68" s="2"/>
    </row>
    <row r="69" ht="22.5" customHeight="1">
      <c r="A69" s="4" t="s">
        <v>699</v>
      </c>
      <c r="B69" s="4" t="s">
        <v>1676</v>
      </c>
      <c r="C69" s="4" t="s">
        <v>1677</v>
      </c>
      <c r="D69" s="4" t="s">
        <v>1678</v>
      </c>
      <c r="E69" s="4" t="s">
        <v>1679</v>
      </c>
      <c r="F69" s="2"/>
      <c r="G69" s="5">
        <v>68.0</v>
      </c>
      <c r="H69" s="4" t="s">
        <v>1680</v>
      </c>
      <c r="I69" s="4" t="s">
        <v>1681</v>
      </c>
      <c r="J69" s="4" t="s">
        <v>1682</v>
      </c>
      <c r="K69" s="4" t="s">
        <v>1683</v>
      </c>
      <c r="L69" s="2"/>
      <c r="R69" s="2"/>
      <c r="S69" s="2"/>
      <c r="T69" s="2"/>
      <c r="U69" s="2"/>
    </row>
    <row r="70" ht="22.5" customHeight="1">
      <c r="A70" s="4" t="s">
        <v>700</v>
      </c>
      <c r="B70" s="4" t="s">
        <v>1684</v>
      </c>
      <c r="C70" s="4" t="s">
        <v>1685</v>
      </c>
      <c r="D70" s="4" t="s">
        <v>1686</v>
      </c>
      <c r="E70" s="4" t="s">
        <v>1687</v>
      </c>
      <c r="F70" s="2"/>
      <c r="G70" s="5">
        <v>69.0</v>
      </c>
      <c r="H70" s="4" t="s">
        <v>1688</v>
      </c>
      <c r="I70" s="4" t="s">
        <v>1689</v>
      </c>
      <c r="J70" s="4" t="s">
        <v>1690</v>
      </c>
      <c r="K70" s="4" t="s">
        <v>1691</v>
      </c>
      <c r="L70" s="2"/>
      <c r="R70" s="2"/>
      <c r="S70" s="2"/>
      <c r="T70" s="2"/>
      <c r="U70" s="2"/>
    </row>
    <row r="71" ht="22.5" customHeight="1">
      <c r="A71" s="4" t="s">
        <v>701</v>
      </c>
      <c r="B71" s="4" t="s">
        <v>1692</v>
      </c>
      <c r="C71" s="4" t="s">
        <v>1693</v>
      </c>
      <c r="D71" s="4" t="s">
        <v>1694</v>
      </c>
      <c r="E71" s="4" t="s">
        <v>1695</v>
      </c>
      <c r="F71" s="2"/>
      <c r="G71" s="5">
        <v>70.0</v>
      </c>
      <c r="H71" s="4" t="s">
        <v>1696</v>
      </c>
      <c r="I71" s="4" t="s">
        <v>1697</v>
      </c>
      <c r="J71" s="4" t="s">
        <v>1698</v>
      </c>
      <c r="K71" s="4" t="s">
        <v>1699</v>
      </c>
      <c r="L71" s="2"/>
      <c r="R71" s="2"/>
      <c r="S71" s="2"/>
      <c r="T71" s="2"/>
      <c r="U71" s="2"/>
    </row>
    <row r="72" ht="22.5" customHeight="1">
      <c r="A72" s="4" t="s">
        <v>702</v>
      </c>
      <c r="B72" s="4" t="s">
        <v>1700</v>
      </c>
      <c r="C72" s="4" t="s">
        <v>1701</v>
      </c>
      <c r="D72" s="4" t="s">
        <v>1334</v>
      </c>
      <c r="E72" s="4" t="s">
        <v>1702</v>
      </c>
      <c r="F72" s="2"/>
      <c r="G72" s="5">
        <v>71.0</v>
      </c>
      <c r="H72" s="4" t="s">
        <v>1703</v>
      </c>
      <c r="I72" s="4" t="s">
        <v>1704</v>
      </c>
      <c r="J72" s="4" t="s">
        <v>1338</v>
      </c>
      <c r="K72" s="4" t="s">
        <v>1705</v>
      </c>
      <c r="L72" s="2"/>
      <c r="R72" s="2"/>
      <c r="S72" s="2"/>
      <c r="T72" s="2"/>
      <c r="U72" s="2"/>
    </row>
    <row r="73" ht="22.5" customHeight="1">
      <c r="A73" s="4" t="s">
        <v>703</v>
      </c>
      <c r="B73" s="4" t="s">
        <v>1706</v>
      </c>
      <c r="C73" s="4" t="s">
        <v>1707</v>
      </c>
      <c r="D73" s="4" t="s">
        <v>1708</v>
      </c>
      <c r="E73" s="4" t="s">
        <v>1709</v>
      </c>
      <c r="F73" s="2"/>
      <c r="G73" s="5">
        <v>72.0</v>
      </c>
      <c r="H73" s="4" t="s">
        <v>1710</v>
      </c>
      <c r="I73" s="4" t="s">
        <v>1711</v>
      </c>
      <c r="J73" s="4" t="s">
        <v>1712</v>
      </c>
      <c r="K73" s="4" t="s">
        <v>1713</v>
      </c>
      <c r="L73" s="2"/>
      <c r="R73" s="2"/>
      <c r="S73" s="2"/>
      <c r="T73" s="2"/>
      <c r="U73" s="2"/>
    </row>
    <row r="74" ht="22.5" customHeight="1">
      <c r="A74" s="4" t="s">
        <v>704</v>
      </c>
      <c r="B74" s="4" t="s">
        <v>1714</v>
      </c>
      <c r="C74" s="4" t="s">
        <v>1715</v>
      </c>
      <c r="D74" s="4" t="s">
        <v>1716</v>
      </c>
      <c r="E74" s="4" t="s">
        <v>1717</v>
      </c>
      <c r="F74" s="2"/>
      <c r="G74" s="5">
        <v>73.0</v>
      </c>
      <c r="H74" s="4" t="s">
        <v>1718</v>
      </c>
      <c r="I74" s="4" t="s">
        <v>1719</v>
      </c>
      <c r="J74" s="4" t="s">
        <v>1720</v>
      </c>
      <c r="K74" s="4" t="s">
        <v>1721</v>
      </c>
      <c r="L74" s="2"/>
      <c r="R74" s="2"/>
      <c r="S74" s="2"/>
      <c r="T74" s="2"/>
      <c r="U74" s="2"/>
    </row>
    <row r="75" ht="22.5" customHeight="1">
      <c r="A75" s="4" t="s">
        <v>708</v>
      </c>
      <c r="B75" s="4" t="s">
        <v>1722</v>
      </c>
      <c r="C75" s="4" t="s">
        <v>1723</v>
      </c>
      <c r="D75" s="4" t="s">
        <v>1724</v>
      </c>
      <c r="E75" s="4" t="s">
        <v>1725</v>
      </c>
      <c r="F75" s="2"/>
      <c r="G75" s="5">
        <v>74.0</v>
      </c>
      <c r="H75" s="4" t="s">
        <v>1726</v>
      </c>
      <c r="I75" s="4" t="s">
        <v>1727</v>
      </c>
      <c r="J75" s="4" t="s">
        <v>1728</v>
      </c>
      <c r="K75" s="4" t="s">
        <v>1729</v>
      </c>
      <c r="L75" s="2"/>
      <c r="R75" s="2"/>
      <c r="S75" s="2"/>
      <c r="T75" s="2"/>
      <c r="U75" s="2"/>
    </row>
    <row r="76" ht="22.5" customHeight="1">
      <c r="A76" s="4" t="s">
        <v>709</v>
      </c>
      <c r="B76" s="4" t="s">
        <v>1730</v>
      </c>
      <c r="C76" s="4" t="s">
        <v>1731</v>
      </c>
      <c r="D76" s="4" t="s">
        <v>1526</v>
      </c>
      <c r="E76" s="4" t="s">
        <v>1732</v>
      </c>
      <c r="F76" s="2"/>
      <c r="G76" s="5">
        <v>75.0</v>
      </c>
      <c r="H76" s="4" t="s">
        <v>1733</v>
      </c>
      <c r="I76" s="4" t="s">
        <v>1734</v>
      </c>
      <c r="J76" s="4" t="s">
        <v>1530</v>
      </c>
      <c r="K76" s="4" t="s">
        <v>1735</v>
      </c>
      <c r="L76" s="2"/>
      <c r="R76" s="2"/>
      <c r="S76" s="2"/>
      <c r="T76" s="2"/>
      <c r="U76" s="2"/>
    </row>
    <row r="77" ht="22.5" customHeight="1">
      <c r="A77" s="4" t="s">
        <v>715</v>
      </c>
      <c r="B77" s="4" t="s">
        <v>1736</v>
      </c>
      <c r="C77" s="4" t="s">
        <v>1737</v>
      </c>
      <c r="D77" s="4" t="s">
        <v>1738</v>
      </c>
      <c r="E77" s="4" t="s">
        <v>1739</v>
      </c>
      <c r="F77" s="2"/>
      <c r="G77" s="5">
        <v>76.0</v>
      </c>
      <c r="H77" s="4" t="s">
        <v>1740</v>
      </c>
      <c r="I77" s="4" t="s">
        <v>1741</v>
      </c>
      <c r="J77" s="4" t="s">
        <v>1742</v>
      </c>
      <c r="K77" s="4" t="s">
        <v>1743</v>
      </c>
      <c r="L77" s="2"/>
      <c r="R77" s="2"/>
      <c r="S77" s="2"/>
      <c r="T77" s="2"/>
      <c r="U77" s="2"/>
    </row>
    <row r="78" ht="22.5" customHeight="1">
      <c r="A78" s="4" t="s">
        <v>716</v>
      </c>
      <c r="B78" s="4" t="s">
        <v>1744</v>
      </c>
      <c r="C78" s="4" t="s">
        <v>1745</v>
      </c>
      <c r="D78" s="4" t="s">
        <v>1746</v>
      </c>
      <c r="E78" s="4" t="s">
        <v>1747</v>
      </c>
      <c r="F78" s="2"/>
      <c r="G78" s="5">
        <v>77.0</v>
      </c>
      <c r="H78" s="4" t="s">
        <v>1748</v>
      </c>
      <c r="I78" s="4" t="s">
        <v>1749</v>
      </c>
      <c r="J78" s="4" t="s">
        <v>1750</v>
      </c>
      <c r="K78" s="4" t="s">
        <v>1751</v>
      </c>
      <c r="L78" s="2"/>
      <c r="R78" s="2"/>
      <c r="S78" s="2"/>
      <c r="T78" s="2"/>
      <c r="U78" s="2"/>
    </row>
    <row r="79" ht="22.5" customHeight="1">
      <c r="A79" s="4" t="s">
        <v>717</v>
      </c>
      <c r="B79" s="4" t="s">
        <v>1752</v>
      </c>
      <c r="C79" s="4" t="s">
        <v>1417</v>
      </c>
      <c r="D79" s="4" t="s">
        <v>1566</v>
      </c>
      <c r="E79" s="4" t="s">
        <v>1753</v>
      </c>
      <c r="F79" s="2"/>
      <c r="G79" s="5">
        <v>78.0</v>
      </c>
      <c r="H79" s="4" t="s">
        <v>1754</v>
      </c>
      <c r="I79" s="4" t="s">
        <v>1421</v>
      </c>
      <c r="J79" s="4" t="s">
        <v>1570</v>
      </c>
      <c r="K79" s="4" t="s">
        <v>1755</v>
      </c>
      <c r="L79" s="2"/>
      <c r="R79" s="2"/>
      <c r="S79" s="2"/>
      <c r="T79" s="2"/>
      <c r="U79" s="2"/>
    </row>
    <row r="80" ht="22.5" customHeight="1">
      <c r="A80" s="4" t="s">
        <v>718</v>
      </c>
      <c r="B80" s="4" t="s">
        <v>1472</v>
      </c>
      <c r="C80" s="4" t="s">
        <v>1756</v>
      </c>
      <c r="D80" s="4" t="s">
        <v>1574</v>
      </c>
      <c r="E80" s="4" t="s">
        <v>1757</v>
      </c>
      <c r="F80" s="2"/>
      <c r="G80" s="5">
        <v>79.0</v>
      </c>
      <c r="H80" s="4" t="s">
        <v>1476</v>
      </c>
      <c r="I80" s="4" t="s">
        <v>1758</v>
      </c>
      <c r="J80" s="4" t="s">
        <v>1578</v>
      </c>
      <c r="K80" s="4" t="s">
        <v>1759</v>
      </c>
      <c r="L80" s="2"/>
      <c r="R80" s="2"/>
      <c r="S80" s="2"/>
      <c r="T80" s="2"/>
      <c r="U80" s="2"/>
    </row>
    <row r="81" ht="22.5" customHeight="1">
      <c r="A81" s="4" t="s">
        <v>719</v>
      </c>
      <c r="B81" s="4" t="s">
        <v>1760</v>
      </c>
      <c r="C81" s="4" t="s">
        <v>1761</v>
      </c>
      <c r="D81" s="4" t="s">
        <v>1762</v>
      </c>
      <c r="E81" s="4" t="s">
        <v>1763</v>
      </c>
      <c r="F81" s="2"/>
      <c r="G81" s="5">
        <v>80.0</v>
      </c>
      <c r="H81" s="4" t="s">
        <v>1764</v>
      </c>
      <c r="I81" s="4" t="s">
        <v>1765</v>
      </c>
      <c r="J81" s="4" t="s">
        <v>1766</v>
      </c>
      <c r="K81" s="4" t="s">
        <v>1767</v>
      </c>
      <c r="L81" s="2"/>
      <c r="R81" s="2"/>
      <c r="S81" s="2"/>
      <c r="T81" s="2"/>
      <c r="U81" s="2"/>
    </row>
    <row r="82" ht="22.5" customHeight="1">
      <c r="A82" s="4" t="s">
        <v>720</v>
      </c>
      <c r="B82" s="4" t="s">
        <v>1768</v>
      </c>
      <c r="C82" s="4" t="s">
        <v>1769</v>
      </c>
      <c r="D82" s="4" t="s">
        <v>1658</v>
      </c>
      <c r="E82" s="4" t="s">
        <v>1770</v>
      </c>
      <c r="F82" s="2"/>
      <c r="G82" s="5">
        <v>81.0</v>
      </c>
      <c r="H82" s="4" t="s">
        <v>1771</v>
      </c>
      <c r="I82" s="4" t="s">
        <v>1772</v>
      </c>
      <c r="J82" s="4" t="s">
        <v>1662</v>
      </c>
      <c r="K82" s="4" t="s">
        <v>1773</v>
      </c>
      <c r="L82" s="2"/>
      <c r="R82" s="2"/>
      <c r="S82" s="2"/>
      <c r="T82" s="2"/>
      <c r="U82" s="2"/>
    </row>
    <row r="83" ht="22.5" customHeight="1">
      <c r="A83" s="4" t="s">
        <v>721</v>
      </c>
      <c r="B83" s="4" t="s">
        <v>1774</v>
      </c>
      <c r="C83" s="4" t="s">
        <v>1775</v>
      </c>
      <c r="D83" s="4" t="s">
        <v>1776</v>
      </c>
      <c r="E83" s="4" t="s">
        <v>1777</v>
      </c>
      <c r="F83" s="2"/>
      <c r="G83" s="5">
        <v>82.0</v>
      </c>
      <c r="H83" s="4" t="s">
        <v>1778</v>
      </c>
      <c r="I83" s="4" t="s">
        <v>1779</v>
      </c>
      <c r="J83" s="4" t="s">
        <v>1780</v>
      </c>
      <c r="K83" s="4" t="s">
        <v>1781</v>
      </c>
      <c r="L83" s="2"/>
      <c r="R83" s="2"/>
      <c r="S83" s="2"/>
      <c r="T83" s="2"/>
      <c r="U83" s="2"/>
    </row>
    <row r="84" ht="22.5" customHeight="1">
      <c r="A84" s="4" t="s">
        <v>722</v>
      </c>
      <c r="B84" s="4" t="s">
        <v>1782</v>
      </c>
      <c r="C84" s="4" t="s">
        <v>1783</v>
      </c>
      <c r="D84" s="4" t="s">
        <v>1784</v>
      </c>
      <c r="E84" s="4" t="s">
        <v>1785</v>
      </c>
      <c r="F84" s="2"/>
      <c r="G84" s="5">
        <v>83.0</v>
      </c>
      <c r="H84" s="4" t="s">
        <v>1786</v>
      </c>
      <c r="I84" s="4" t="s">
        <v>1787</v>
      </c>
      <c r="J84" s="4" t="s">
        <v>1788</v>
      </c>
      <c r="K84" s="4" t="s">
        <v>1789</v>
      </c>
      <c r="L84" s="2"/>
      <c r="R84" s="2"/>
      <c r="S84" s="2"/>
      <c r="T84" s="2"/>
      <c r="U84" s="2"/>
    </row>
    <row r="85" ht="22.5" customHeight="1">
      <c r="A85" s="4" t="s">
        <v>723</v>
      </c>
      <c r="B85" s="4" t="s">
        <v>1790</v>
      </c>
      <c r="C85" s="4" t="s">
        <v>1791</v>
      </c>
      <c r="D85" s="4" t="s">
        <v>1792</v>
      </c>
      <c r="E85" s="4" t="s">
        <v>1793</v>
      </c>
      <c r="F85" s="2"/>
      <c r="G85" s="5">
        <v>84.0</v>
      </c>
      <c r="H85" s="4" t="s">
        <v>1794</v>
      </c>
      <c r="I85" s="4" t="s">
        <v>1795</v>
      </c>
      <c r="J85" s="4" t="s">
        <v>1796</v>
      </c>
      <c r="K85" s="4" t="s">
        <v>1797</v>
      </c>
      <c r="L85" s="2"/>
      <c r="R85" s="2"/>
      <c r="S85" s="2"/>
      <c r="T85" s="2"/>
      <c r="U85" s="2"/>
    </row>
    <row r="86" ht="22.5" customHeight="1">
      <c r="A86" s="4" t="s">
        <v>724</v>
      </c>
      <c r="B86" s="4" t="s">
        <v>1798</v>
      </c>
      <c r="C86" s="4" t="s">
        <v>1799</v>
      </c>
      <c r="D86" s="4" t="s">
        <v>1800</v>
      </c>
      <c r="E86" s="4" t="s">
        <v>1801</v>
      </c>
      <c r="F86" s="2"/>
      <c r="G86" s="5">
        <v>85.0</v>
      </c>
      <c r="H86" s="4" t="s">
        <v>1802</v>
      </c>
      <c r="I86" s="4" t="s">
        <v>1803</v>
      </c>
      <c r="J86" s="4" t="s">
        <v>1804</v>
      </c>
      <c r="K86" s="4" t="s">
        <v>1805</v>
      </c>
      <c r="L86" s="2"/>
      <c r="R86" s="2"/>
      <c r="S86" s="2"/>
      <c r="T86" s="2"/>
      <c r="U86" s="2"/>
    </row>
    <row r="87" ht="22.5" customHeight="1">
      <c r="A87" s="4" t="s">
        <v>725</v>
      </c>
      <c r="B87" s="4" t="s">
        <v>1806</v>
      </c>
      <c r="C87" s="4" t="s">
        <v>1807</v>
      </c>
      <c r="D87" s="4" t="s">
        <v>1808</v>
      </c>
      <c r="E87" s="4" t="s">
        <v>1809</v>
      </c>
      <c r="F87" s="2"/>
      <c r="G87" s="5">
        <v>86.0</v>
      </c>
      <c r="H87" s="4" t="s">
        <v>1810</v>
      </c>
      <c r="I87" s="4" t="s">
        <v>1811</v>
      </c>
      <c r="J87" s="4" t="s">
        <v>1812</v>
      </c>
      <c r="K87" s="4" t="s">
        <v>1813</v>
      </c>
      <c r="L87" s="2"/>
      <c r="R87" s="2"/>
      <c r="S87" s="2"/>
      <c r="T87" s="2"/>
      <c r="U87" s="2"/>
    </row>
    <row r="88" ht="22.5" customHeight="1">
      <c r="A88" s="4" t="s">
        <v>726</v>
      </c>
      <c r="B88" s="4" t="s">
        <v>1814</v>
      </c>
      <c r="C88" s="4" t="s">
        <v>1815</v>
      </c>
      <c r="D88" s="4" t="s">
        <v>1816</v>
      </c>
      <c r="E88" s="4" t="s">
        <v>1817</v>
      </c>
      <c r="F88" s="2"/>
      <c r="G88" s="5">
        <v>87.0</v>
      </c>
      <c r="H88" s="4" t="s">
        <v>1818</v>
      </c>
      <c r="I88" s="4" t="s">
        <v>1819</v>
      </c>
      <c r="J88" s="4" t="s">
        <v>1820</v>
      </c>
      <c r="K88" s="4" t="s">
        <v>1821</v>
      </c>
      <c r="L88" s="2"/>
      <c r="R88" s="2"/>
      <c r="S88" s="2"/>
      <c r="T88" s="2"/>
      <c r="U88" s="2"/>
    </row>
    <row r="89" ht="22.5" customHeight="1">
      <c r="A89" s="4" t="s">
        <v>727</v>
      </c>
      <c r="B89" s="4" t="s">
        <v>1822</v>
      </c>
      <c r="C89" s="4" t="s">
        <v>1823</v>
      </c>
      <c r="D89" s="4" t="s">
        <v>1824</v>
      </c>
      <c r="E89" s="4" t="s">
        <v>1825</v>
      </c>
      <c r="F89" s="2"/>
      <c r="G89" s="5">
        <v>88.0</v>
      </c>
      <c r="H89" s="4" t="s">
        <v>1826</v>
      </c>
      <c r="I89" s="4" t="s">
        <v>1827</v>
      </c>
      <c r="J89" s="4" t="s">
        <v>1828</v>
      </c>
      <c r="K89" s="4" t="s">
        <v>1829</v>
      </c>
      <c r="L89" s="2"/>
      <c r="R89" s="2"/>
      <c r="S89" s="2"/>
      <c r="T89" s="2"/>
      <c r="U89" s="2"/>
    </row>
    <row r="90" ht="22.5" customHeight="1">
      <c r="A90" s="4" t="s">
        <v>728</v>
      </c>
      <c r="B90" s="4" t="s">
        <v>1830</v>
      </c>
      <c r="C90" s="4" t="s">
        <v>1831</v>
      </c>
      <c r="D90" s="4" t="s">
        <v>1832</v>
      </c>
      <c r="E90" s="4" t="s">
        <v>1833</v>
      </c>
      <c r="F90" s="2"/>
      <c r="G90" s="5">
        <v>89.0</v>
      </c>
      <c r="H90" s="4" t="s">
        <v>1834</v>
      </c>
      <c r="I90" s="4" t="s">
        <v>1835</v>
      </c>
      <c r="J90" s="4" t="s">
        <v>1836</v>
      </c>
      <c r="K90" s="4" t="s">
        <v>1837</v>
      </c>
      <c r="L90" s="2"/>
      <c r="R90" s="2"/>
      <c r="S90" s="2"/>
      <c r="T90" s="2"/>
      <c r="U90" s="2"/>
    </row>
    <row r="91" ht="22.5" customHeight="1">
      <c r="A91" s="4" t="s">
        <v>729</v>
      </c>
      <c r="B91" s="4" t="s">
        <v>1838</v>
      </c>
      <c r="C91" s="4" t="s">
        <v>1839</v>
      </c>
      <c r="D91" s="4" t="s">
        <v>1840</v>
      </c>
      <c r="E91" s="4" t="s">
        <v>1841</v>
      </c>
      <c r="F91" s="2"/>
      <c r="G91" s="5">
        <v>90.0</v>
      </c>
      <c r="H91" s="4" t="s">
        <v>1842</v>
      </c>
      <c r="I91" s="4" t="s">
        <v>1843</v>
      </c>
      <c r="J91" s="4" t="s">
        <v>1844</v>
      </c>
      <c r="K91" s="4" t="s">
        <v>1845</v>
      </c>
      <c r="L91" s="2"/>
      <c r="R91" s="2"/>
      <c r="S91" s="2"/>
      <c r="T91" s="2"/>
      <c r="U91" s="2"/>
    </row>
    <row r="92" ht="22.5" customHeight="1">
      <c r="A92" s="4" t="s">
        <v>730</v>
      </c>
      <c r="B92" s="4" t="s">
        <v>1846</v>
      </c>
      <c r="C92" s="4" t="s">
        <v>1847</v>
      </c>
      <c r="D92" s="4" t="s">
        <v>1848</v>
      </c>
      <c r="E92" s="4" t="s">
        <v>1849</v>
      </c>
      <c r="F92" s="2"/>
      <c r="G92" s="5">
        <v>91.0</v>
      </c>
      <c r="H92" s="4" t="s">
        <v>1850</v>
      </c>
      <c r="I92" s="4" t="s">
        <v>1851</v>
      </c>
      <c r="J92" s="4" t="s">
        <v>1852</v>
      </c>
      <c r="K92" s="4" t="s">
        <v>1853</v>
      </c>
      <c r="L92" s="2"/>
      <c r="R92" s="2"/>
      <c r="S92" s="2"/>
      <c r="T92" s="2"/>
      <c r="U92" s="2"/>
    </row>
    <row r="93" ht="22.5" customHeight="1">
      <c r="A93" s="4" t="s">
        <v>731</v>
      </c>
      <c r="B93" s="4" t="s">
        <v>1854</v>
      </c>
      <c r="C93" s="4" t="s">
        <v>1855</v>
      </c>
      <c r="D93" s="4" t="s">
        <v>1458</v>
      </c>
      <c r="E93" s="4" t="s">
        <v>1856</v>
      </c>
      <c r="F93" s="2"/>
      <c r="G93" s="5">
        <v>92.0</v>
      </c>
      <c r="H93" s="4" t="s">
        <v>1857</v>
      </c>
      <c r="I93" s="4" t="s">
        <v>1858</v>
      </c>
      <c r="J93" s="4" t="s">
        <v>1462</v>
      </c>
      <c r="K93" s="4" t="s">
        <v>1859</v>
      </c>
      <c r="L93" s="2"/>
      <c r="R93" s="2"/>
      <c r="S93" s="2"/>
      <c r="T93" s="2"/>
      <c r="U93" s="2"/>
    </row>
    <row r="94" ht="22.5" customHeight="1">
      <c r="A94" s="4" t="s">
        <v>732</v>
      </c>
      <c r="B94" s="4" t="s">
        <v>1860</v>
      </c>
      <c r="C94" s="4" t="s">
        <v>1861</v>
      </c>
      <c r="D94" s="4" t="s">
        <v>1862</v>
      </c>
      <c r="E94" s="4" t="s">
        <v>1863</v>
      </c>
      <c r="F94" s="2"/>
      <c r="G94" s="5">
        <v>93.0</v>
      </c>
      <c r="H94" s="4" t="s">
        <v>1864</v>
      </c>
      <c r="I94" s="4" t="s">
        <v>1865</v>
      </c>
      <c r="J94" s="4" t="s">
        <v>1866</v>
      </c>
      <c r="K94" s="4" t="s">
        <v>1867</v>
      </c>
      <c r="L94" s="2"/>
      <c r="R94" s="2"/>
      <c r="S94" s="2"/>
      <c r="T94" s="2"/>
      <c r="U94" s="2"/>
    </row>
    <row r="95" ht="22.5" customHeight="1">
      <c r="A95" s="4" t="s">
        <v>733</v>
      </c>
      <c r="B95" s="4" t="s">
        <v>1868</v>
      </c>
      <c r="C95" s="4" t="s">
        <v>1869</v>
      </c>
      <c r="D95" s="4" t="s">
        <v>1870</v>
      </c>
      <c r="E95" s="4" t="s">
        <v>1871</v>
      </c>
      <c r="F95" s="2"/>
      <c r="G95" s="5">
        <v>94.0</v>
      </c>
      <c r="H95" s="4" t="s">
        <v>1872</v>
      </c>
      <c r="I95" s="4" t="s">
        <v>1873</v>
      </c>
      <c r="J95" s="4" t="s">
        <v>1874</v>
      </c>
      <c r="K95" s="4" t="s">
        <v>1875</v>
      </c>
      <c r="L95" s="2"/>
      <c r="R95" s="2"/>
      <c r="S95" s="2"/>
      <c r="T95" s="2"/>
      <c r="U95" s="2"/>
    </row>
    <row r="96" ht="22.5" customHeight="1">
      <c r="A96" s="4" t="s">
        <v>734</v>
      </c>
      <c r="B96" s="4" t="s">
        <v>1876</v>
      </c>
      <c r="C96" s="4" t="s">
        <v>1877</v>
      </c>
      <c r="D96" s="4" t="s">
        <v>1878</v>
      </c>
      <c r="E96" s="4" t="s">
        <v>1879</v>
      </c>
      <c r="F96" s="2"/>
      <c r="G96" s="5">
        <v>95.0</v>
      </c>
      <c r="H96" s="4" t="s">
        <v>1880</v>
      </c>
      <c r="I96" s="4" t="s">
        <v>1881</v>
      </c>
      <c r="J96" s="4" t="s">
        <v>1882</v>
      </c>
      <c r="K96" s="4" t="s">
        <v>1883</v>
      </c>
      <c r="L96" s="2"/>
      <c r="R96" s="2"/>
      <c r="S96" s="2"/>
      <c r="T96" s="2"/>
      <c r="U96" s="2"/>
    </row>
    <row r="97" ht="22.5" customHeight="1">
      <c r="A97" s="4" t="s">
        <v>735</v>
      </c>
      <c r="B97" s="4" t="s">
        <v>1884</v>
      </c>
      <c r="C97" s="4" t="s">
        <v>1885</v>
      </c>
      <c r="D97" s="4" t="s">
        <v>1886</v>
      </c>
      <c r="E97" s="4" t="s">
        <v>1887</v>
      </c>
      <c r="F97" s="2"/>
      <c r="G97" s="5">
        <v>96.0</v>
      </c>
      <c r="H97" s="4" t="s">
        <v>1888</v>
      </c>
      <c r="I97" s="4" t="s">
        <v>1889</v>
      </c>
      <c r="J97" s="4" t="s">
        <v>1890</v>
      </c>
      <c r="K97" s="4" t="s">
        <v>1891</v>
      </c>
      <c r="L97" s="2"/>
      <c r="R97" s="2"/>
      <c r="S97" s="2"/>
      <c r="T97" s="2"/>
      <c r="U97" s="2"/>
    </row>
    <row r="98" ht="22.5" customHeight="1">
      <c r="A98" s="4" t="s">
        <v>736</v>
      </c>
      <c r="B98" s="4" t="s">
        <v>1892</v>
      </c>
      <c r="C98" s="4" t="s">
        <v>1893</v>
      </c>
      <c r="D98" s="4" t="s">
        <v>1894</v>
      </c>
      <c r="E98" s="4" t="s">
        <v>1895</v>
      </c>
      <c r="F98" s="2"/>
      <c r="G98" s="5">
        <v>97.0</v>
      </c>
      <c r="H98" s="4" t="s">
        <v>1896</v>
      </c>
      <c r="I98" s="4" t="s">
        <v>1897</v>
      </c>
      <c r="J98" s="4" t="s">
        <v>1898</v>
      </c>
      <c r="K98" s="4" t="s">
        <v>1899</v>
      </c>
      <c r="L98" s="2"/>
      <c r="R98" s="2"/>
      <c r="S98" s="2"/>
      <c r="T98" s="2"/>
      <c r="U98" s="2"/>
    </row>
    <row r="99" ht="22.5" customHeight="1">
      <c r="A99" s="4" t="s">
        <v>737</v>
      </c>
      <c r="B99" s="4" t="s">
        <v>1900</v>
      </c>
      <c r="C99" s="4" t="s">
        <v>1901</v>
      </c>
      <c r="D99" s="4" t="s">
        <v>1902</v>
      </c>
      <c r="E99" s="4" t="s">
        <v>1903</v>
      </c>
      <c r="F99" s="2"/>
      <c r="G99" s="5">
        <v>98.0</v>
      </c>
      <c r="H99" s="4" t="s">
        <v>1904</v>
      </c>
      <c r="I99" s="4" t="s">
        <v>1905</v>
      </c>
      <c r="J99" s="4" t="s">
        <v>1902</v>
      </c>
      <c r="K99" s="4" t="s">
        <v>1906</v>
      </c>
      <c r="L99" s="2"/>
      <c r="R99" s="2"/>
      <c r="S99" s="2"/>
      <c r="T99" s="2"/>
      <c r="U99" s="2"/>
    </row>
    <row r="100" ht="22.5" customHeight="1">
      <c r="A100" s="4" t="s">
        <v>738</v>
      </c>
      <c r="B100" s="4" t="s">
        <v>1907</v>
      </c>
      <c r="C100" s="4" t="s">
        <v>1908</v>
      </c>
      <c r="D100" s="4" t="s">
        <v>1909</v>
      </c>
      <c r="E100" s="4" t="s">
        <v>1910</v>
      </c>
      <c r="F100" s="2"/>
      <c r="G100" s="5">
        <v>99.0</v>
      </c>
      <c r="H100" s="4" t="s">
        <v>1911</v>
      </c>
      <c r="I100" s="4" t="s">
        <v>1912</v>
      </c>
      <c r="J100" s="4" t="s">
        <v>1913</v>
      </c>
      <c r="K100" s="4" t="s">
        <v>1914</v>
      </c>
      <c r="L100" s="2"/>
      <c r="R100" s="2"/>
      <c r="S100" s="2"/>
      <c r="T100" s="2"/>
      <c r="U100" s="2"/>
    </row>
    <row r="101" ht="22.5" customHeight="1">
      <c r="A101" s="4" t="s">
        <v>739</v>
      </c>
      <c r="B101" s="4" t="s">
        <v>1915</v>
      </c>
      <c r="C101" s="4" t="s">
        <v>1657</v>
      </c>
      <c r="D101" s="4" t="s">
        <v>1916</v>
      </c>
      <c r="E101" s="4" t="s">
        <v>1917</v>
      </c>
      <c r="F101" s="2"/>
      <c r="G101" s="5">
        <v>100.0</v>
      </c>
      <c r="H101" s="4" t="s">
        <v>1918</v>
      </c>
      <c r="I101" s="4" t="s">
        <v>1661</v>
      </c>
      <c r="J101" s="4" t="s">
        <v>1919</v>
      </c>
      <c r="K101" s="4" t="s">
        <v>1920</v>
      </c>
      <c r="L101" s="2"/>
      <c r="R101" s="2"/>
      <c r="S101" s="2"/>
      <c r="T101" s="2"/>
      <c r="U101" s="2"/>
    </row>
    <row r="102" ht="22.5" customHeight="1">
      <c r="A102" s="4" t="s">
        <v>740</v>
      </c>
      <c r="B102" s="4" t="s">
        <v>1921</v>
      </c>
      <c r="C102" s="4" t="s">
        <v>1922</v>
      </c>
      <c r="D102" s="4" t="s">
        <v>1923</v>
      </c>
      <c r="E102" s="4" t="s">
        <v>1924</v>
      </c>
      <c r="F102" s="2"/>
      <c r="G102" s="5">
        <v>101.0</v>
      </c>
      <c r="H102" s="4" t="s">
        <v>1925</v>
      </c>
      <c r="I102" s="4" t="s">
        <v>1926</v>
      </c>
      <c r="J102" s="4" t="s">
        <v>1927</v>
      </c>
      <c r="K102" s="4" t="s">
        <v>1928</v>
      </c>
      <c r="L102" s="2"/>
      <c r="R102" s="2"/>
      <c r="S102" s="2"/>
      <c r="T102" s="2"/>
      <c r="U102" s="2"/>
    </row>
    <row r="103" ht="22.5" customHeight="1">
      <c r="A103" s="4" t="s">
        <v>746</v>
      </c>
      <c r="B103" s="4" t="s">
        <v>1929</v>
      </c>
      <c r="C103" s="4" t="s">
        <v>1930</v>
      </c>
      <c r="D103" s="4" t="s">
        <v>1931</v>
      </c>
      <c r="E103" s="4" t="s">
        <v>1932</v>
      </c>
      <c r="F103" s="2"/>
      <c r="G103" s="5">
        <v>102.0</v>
      </c>
      <c r="H103" s="4" t="s">
        <v>1933</v>
      </c>
      <c r="I103" s="4" t="s">
        <v>1934</v>
      </c>
      <c r="J103" s="4" t="s">
        <v>1935</v>
      </c>
      <c r="K103" s="4" t="s">
        <v>1936</v>
      </c>
      <c r="L103" s="2"/>
      <c r="R103" s="2"/>
      <c r="S103" s="2"/>
      <c r="T103" s="2"/>
      <c r="U103" s="2"/>
    </row>
    <row r="104" ht="22.5" customHeight="1">
      <c r="A104" s="4" t="s">
        <v>750</v>
      </c>
      <c r="B104" s="4" t="s">
        <v>1937</v>
      </c>
      <c r="C104" s="4" t="s">
        <v>1938</v>
      </c>
      <c r="D104" s="4" t="s">
        <v>1939</v>
      </c>
      <c r="E104" s="4" t="s">
        <v>1940</v>
      </c>
      <c r="F104" s="2"/>
      <c r="G104" s="5">
        <v>103.0</v>
      </c>
      <c r="H104" s="4" t="s">
        <v>1941</v>
      </c>
      <c r="I104" s="4" t="s">
        <v>1942</v>
      </c>
      <c r="J104" s="4" t="s">
        <v>1943</v>
      </c>
      <c r="K104" s="4" t="s">
        <v>1944</v>
      </c>
      <c r="L104" s="2"/>
      <c r="R104" s="2"/>
      <c r="S104" s="2"/>
      <c r="T104" s="2"/>
      <c r="U104" s="2"/>
    </row>
    <row r="105" ht="22.5" customHeight="1">
      <c r="A105" s="4" t="s">
        <v>751</v>
      </c>
      <c r="B105" s="4" t="s">
        <v>1945</v>
      </c>
      <c r="C105" s="4" t="s">
        <v>1946</v>
      </c>
      <c r="D105" s="4" t="s">
        <v>1947</v>
      </c>
      <c r="E105" s="4" t="s">
        <v>1948</v>
      </c>
      <c r="F105" s="2"/>
      <c r="G105" s="5">
        <v>104.0</v>
      </c>
      <c r="H105" s="4" t="s">
        <v>1949</v>
      </c>
      <c r="I105" s="4" t="s">
        <v>1950</v>
      </c>
      <c r="J105" s="4" t="s">
        <v>1951</v>
      </c>
      <c r="K105" s="4" t="s">
        <v>1952</v>
      </c>
      <c r="L105" s="2"/>
      <c r="R105" s="2"/>
      <c r="S105" s="2"/>
      <c r="T105" s="2"/>
      <c r="U105" s="2"/>
    </row>
    <row r="106" ht="22.5" customHeight="1">
      <c r="A106" s="4" t="s">
        <v>754</v>
      </c>
      <c r="B106" s="4" t="s">
        <v>1953</v>
      </c>
      <c r="C106" s="4" t="s">
        <v>1954</v>
      </c>
      <c r="D106" s="4" t="s">
        <v>1955</v>
      </c>
      <c r="E106" s="4" t="s">
        <v>1956</v>
      </c>
      <c r="F106" s="2"/>
      <c r="G106" s="5">
        <v>105.0</v>
      </c>
      <c r="H106" s="4" t="s">
        <v>1957</v>
      </c>
      <c r="I106" s="4" t="s">
        <v>1958</v>
      </c>
      <c r="J106" s="4" t="s">
        <v>1959</v>
      </c>
      <c r="K106" s="4" t="s">
        <v>1960</v>
      </c>
      <c r="L106" s="2"/>
      <c r="R106" s="2"/>
      <c r="S106" s="2"/>
      <c r="T106" s="2"/>
      <c r="U106" s="2"/>
    </row>
    <row r="107" ht="22.5" customHeight="1">
      <c r="A107" s="4" t="s">
        <v>760</v>
      </c>
      <c r="B107" s="4" t="s">
        <v>1961</v>
      </c>
      <c r="C107" s="4" t="s">
        <v>1962</v>
      </c>
      <c r="D107" s="4" t="s">
        <v>1963</v>
      </c>
      <c r="E107" s="4" t="s">
        <v>1964</v>
      </c>
      <c r="F107" s="2"/>
      <c r="G107" s="5">
        <v>106.0</v>
      </c>
      <c r="H107" s="4" t="s">
        <v>1965</v>
      </c>
      <c r="I107" s="4" t="s">
        <v>1966</v>
      </c>
      <c r="J107" s="4" t="s">
        <v>1967</v>
      </c>
      <c r="K107" s="4" t="s">
        <v>1968</v>
      </c>
      <c r="L107" s="2"/>
      <c r="R107" s="2"/>
      <c r="S107" s="2"/>
      <c r="T107" s="2"/>
      <c r="U107" s="2"/>
    </row>
    <row r="108" ht="22.5" customHeight="1">
      <c r="A108" s="4" t="s">
        <v>764</v>
      </c>
      <c r="B108" s="4" t="s">
        <v>1969</v>
      </c>
      <c r="C108" s="4" t="s">
        <v>1769</v>
      </c>
      <c r="D108" s="4" t="s">
        <v>1658</v>
      </c>
      <c r="E108" s="4" t="s">
        <v>1970</v>
      </c>
      <c r="F108" s="2"/>
      <c r="G108" s="5">
        <v>107.0</v>
      </c>
      <c r="H108" s="4" t="s">
        <v>1971</v>
      </c>
      <c r="I108" s="4" t="s">
        <v>1772</v>
      </c>
      <c r="J108" s="4" t="s">
        <v>1662</v>
      </c>
      <c r="K108" s="4" t="s">
        <v>1972</v>
      </c>
      <c r="L108" s="2"/>
      <c r="R108" s="2"/>
      <c r="S108" s="2"/>
      <c r="T108" s="2"/>
      <c r="U108" s="2"/>
    </row>
    <row r="109" ht="22.5" customHeight="1">
      <c r="A109" s="4" t="s">
        <v>770</v>
      </c>
      <c r="B109" s="4" t="s">
        <v>1973</v>
      </c>
      <c r="C109" s="4" t="s">
        <v>1783</v>
      </c>
      <c r="D109" s="4" t="s">
        <v>1784</v>
      </c>
      <c r="E109" s="4" t="s">
        <v>1974</v>
      </c>
      <c r="F109" s="2"/>
      <c r="G109" s="5">
        <v>108.0</v>
      </c>
      <c r="H109" s="4" t="s">
        <v>1975</v>
      </c>
      <c r="I109" s="4" t="s">
        <v>1787</v>
      </c>
      <c r="J109" s="4" t="s">
        <v>1788</v>
      </c>
      <c r="K109" s="4" t="s">
        <v>1976</v>
      </c>
      <c r="L109" s="2"/>
      <c r="R109" s="2"/>
      <c r="S109" s="2"/>
      <c r="T109" s="2"/>
      <c r="U109" s="2"/>
    </row>
    <row r="110" ht="22.5" customHeight="1">
      <c r="A110" s="4" t="s">
        <v>778</v>
      </c>
      <c r="B110" s="4" t="s">
        <v>1977</v>
      </c>
      <c r="C110" s="4" t="s">
        <v>1978</v>
      </c>
      <c r="D110" s="4" t="s">
        <v>1979</v>
      </c>
      <c r="E110" s="4" t="s">
        <v>1980</v>
      </c>
      <c r="F110" s="2"/>
      <c r="G110" s="5">
        <v>109.0</v>
      </c>
      <c r="H110" s="4" t="s">
        <v>1981</v>
      </c>
      <c r="I110" s="4" t="s">
        <v>1982</v>
      </c>
      <c r="J110" s="4" t="s">
        <v>1983</v>
      </c>
      <c r="K110" s="4" t="s">
        <v>1984</v>
      </c>
      <c r="L110" s="2"/>
      <c r="R110" s="2"/>
      <c r="S110" s="2"/>
      <c r="T110" s="2"/>
      <c r="U110" s="2"/>
    </row>
    <row r="111" ht="22.5" customHeight="1">
      <c r="A111" s="4" t="s">
        <v>786</v>
      </c>
      <c r="B111" s="4" t="s">
        <v>1798</v>
      </c>
      <c r="C111" s="4" t="s">
        <v>1985</v>
      </c>
      <c r="D111" s="4" t="s">
        <v>1986</v>
      </c>
      <c r="E111" s="4" t="s">
        <v>1987</v>
      </c>
      <c r="F111" s="2"/>
      <c r="G111" s="5">
        <v>110.0</v>
      </c>
      <c r="H111" s="4" t="s">
        <v>1802</v>
      </c>
      <c r="I111" s="4" t="s">
        <v>1988</v>
      </c>
      <c r="J111" s="4" t="s">
        <v>1989</v>
      </c>
      <c r="K111" s="4" t="s">
        <v>1990</v>
      </c>
      <c r="L111" s="2"/>
      <c r="R111" s="2"/>
      <c r="S111" s="2"/>
      <c r="T111" s="2"/>
      <c r="U111" s="2"/>
    </row>
    <row r="112" ht="22.5" customHeight="1">
      <c r="A112" s="4" t="s">
        <v>791</v>
      </c>
      <c r="B112" s="4" t="s">
        <v>1991</v>
      </c>
      <c r="C112" s="4" t="s">
        <v>1992</v>
      </c>
      <c r="D112" s="4" t="s">
        <v>1993</v>
      </c>
      <c r="E112" s="4" t="s">
        <v>1994</v>
      </c>
      <c r="F112" s="2"/>
      <c r="G112" s="5">
        <v>111.0</v>
      </c>
      <c r="H112" s="4" t="s">
        <v>1995</v>
      </c>
      <c r="I112" s="4" t="s">
        <v>1996</v>
      </c>
      <c r="J112" s="4" t="s">
        <v>1997</v>
      </c>
      <c r="K112" s="4" t="s">
        <v>1998</v>
      </c>
      <c r="L112" s="2"/>
      <c r="R112" s="2"/>
      <c r="S112" s="2"/>
      <c r="T112" s="2"/>
      <c r="U112" s="2"/>
    </row>
    <row r="113" ht="22.5" customHeight="1">
      <c r="A113" s="4" t="s">
        <v>798</v>
      </c>
      <c r="B113" s="4" t="s">
        <v>1999</v>
      </c>
      <c r="C113" s="4" t="s">
        <v>2000</v>
      </c>
      <c r="D113" s="4" t="s">
        <v>1816</v>
      </c>
      <c r="E113" s="4" t="s">
        <v>2001</v>
      </c>
      <c r="F113" s="2"/>
      <c r="G113" s="5">
        <v>112.0</v>
      </c>
      <c r="H113" s="4" t="s">
        <v>2002</v>
      </c>
      <c r="I113" s="4" t="s">
        <v>2003</v>
      </c>
      <c r="J113" s="4" t="s">
        <v>1820</v>
      </c>
      <c r="K113" s="4" t="s">
        <v>2004</v>
      </c>
      <c r="L113" s="2"/>
      <c r="R113" s="2"/>
      <c r="S113" s="2"/>
      <c r="T113" s="2"/>
      <c r="U113" s="2"/>
    </row>
    <row r="114" ht="22.5" customHeight="1">
      <c r="A114" s="4" t="s">
        <v>806</v>
      </c>
      <c r="B114" s="4" t="s">
        <v>1822</v>
      </c>
      <c r="C114" s="4" t="s">
        <v>2005</v>
      </c>
      <c r="D114" s="4" t="s">
        <v>2006</v>
      </c>
      <c r="E114" s="4" t="s">
        <v>2007</v>
      </c>
      <c r="F114" s="2"/>
      <c r="G114" s="5">
        <v>113.0</v>
      </c>
      <c r="H114" s="4" t="s">
        <v>1826</v>
      </c>
      <c r="I114" s="4" t="s">
        <v>2008</v>
      </c>
      <c r="J114" s="4" t="s">
        <v>2009</v>
      </c>
      <c r="K114" s="4" t="s">
        <v>2010</v>
      </c>
      <c r="L114" s="2"/>
      <c r="R114" s="2"/>
      <c r="S114" s="2"/>
      <c r="T114" s="2"/>
      <c r="U114" s="2"/>
    </row>
    <row r="115" ht="22.5" customHeight="1">
      <c r="A115" s="4" t="s">
        <v>811</v>
      </c>
      <c r="B115" s="4" t="s">
        <v>2011</v>
      </c>
      <c r="C115" s="4" t="s">
        <v>1831</v>
      </c>
      <c r="D115" s="4" t="s">
        <v>1832</v>
      </c>
      <c r="E115" s="4" t="s">
        <v>2012</v>
      </c>
      <c r="F115" s="2"/>
      <c r="G115" s="5">
        <v>114.0</v>
      </c>
      <c r="H115" s="4" t="s">
        <v>2013</v>
      </c>
      <c r="I115" s="4" t="s">
        <v>1835</v>
      </c>
      <c r="J115" s="4" t="s">
        <v>1836</v>
      </c>
      <c r="K115" s="4" t="s">
        <v>2014</v>
      </c>
      <c r="L115" s="2"/>
      <c r="R115" s="2"/>
      <c r="S115" s="2"/>
      <c r="T115" s="2"/>
      <c r="U115" s="2"/>
    </row>
    <row r="116" ht="22.5" customHeight="1">
      <c r="A116" s="4" t="s">
        <v>819</v>
      </c>
      <c r="B116" s="4" t="s">
        <v>2015</v>
      </c>
      <c r="C116" s="4" t="s">
        <v>1839</v>
      </c>
      <c r="D116" s="4" t="s">
        <v>1840</v>
      </c>
      <c r="E116" s="4" t="s">
        <v>2016</v>
      </c>
      <c r="F116" s="2"/>
      <c r="G116" s="5">
        <v>115.0</v>
      </c>
      <c r="H116" s="4" t="s">
        <v>2017</v>
      </c>
      <c r="I116" s="4" t="s">
        <v>1843</v>
      </c>
      <c r="J116" s="4" t="s">
        <v>1844</v>
      </c>
      <c r="K116" s="4" t="s">
        <v>2018</v>
      </c>
      <c r="L116" s="2"/>
      <c r="R116" s="2"/>
      <c r="S116" s="2"/>
      <c r="T116" s="2"/>
      <c r="U116" s="2"/>
    </row>
    <row r="117" ht="22.5" customHeight="1">
      <c r="A117" s="4" t="s">
        <v>827</v>
      </c>
      <c r="B117" s="4" t="s">
        <v>1846</v>
      </c>
      <c r="C117" s="4" t="s">
        <v>2019</v>
      </c>
      <c r="D117" s="4" t="s">
        <v>2020</v>
      </c>
      <c r="E117" s="4" t="s">
        <v>2021</v>
      </c>
      <c r="F117" s="2"/>
      <c r="G117" s="5">
        <v>116.0</v>
      </c>
      <c r="H117" s="4" t="s">
        <v>2022</v>
      </c>
      <c r="I117" s="4" t="s">
        <v>2023</v>
      </c>
      <c r="J117" s="4" t="s">
        <v>2024</v>
      </c>
      <c r="K117" s="4" t="s">
        <v>2025</v>
      </c>
      <c r="L117" s="2"/>
      <c r="R117" s="2"/>
      <c r="S117" s="2"/>
      <c r="T117" s="2"/>
      <c r="U117" s="2"/>
    </row>
    <row r="118" ht="22.5" customHeight="1">
      <c r="A118" s="4" t="s">
        <v>833</v>
      </c>
      <c r="B118" s="4" t="s">
        <v>2026</v>
      </c>
      <c r="C118" s="4" t="s">
        <v>1855</v>
      </c>
      <c r="D118" s="4" t="s">
        <v>1458</v>
      </c>
      <c r="E118" s="4" t="s">
        <v>2027</v>
      </c>
      <c r="F118" s="2"/>
      <c r="G118" s="5">
        <v>117.0</v>
      </c>
      <c r="H118" s="4" t="s">
        <v>2028</v>
      </c>
      <c r="I118" s="4" t="s">
        <v>1858</v>
      </c>
      <c r="J118" s="4" t="s">
        <v>1462</v>
      </c>
      <c r="K118" s="4" t="s">
        <v>2029</v>
      </c>
      <c r="L118" s="2"/>
      <c r="R118" s="2"/>
      <c r="S118" s="2"/>
      <c r="T118" s="2"/>
      <c r="U118" s="2"/>
    </row>
    <row r="119" ht="22.5" customHeight="1">
      <c r="A119" s="4" t="s">
        <v>838</v>
      </c>
      <c r="B119" s="4" t="s">
        <v>2030</v>
      </c>
      <c r="C119" s="4" t="s">
        <v>2031</v>
      </c>
      <c r="D119" s="4" t="s">
        <v>1832</v>
      </c>
      <c r="E119" s="4" t="s">
        <v>2032</v>
      </c>
      <c r="F119" s="2"/>
      <c r="G119" s="5">
        <v>118.0</v>
      </c>
      <c r="H119" s="4" t="s">
        <v>2033</v>
      </c>
      <c r="I119" s="4" t="s">
        <v>2034</v>
      </c>
      <c r="J119" s="4" t="s">
        <v>1836</v>
      </c>
      <c r="K119" s="4" t="s">
        <v>2035</v>
      </c>
      <c r="L119" s="2"/>
      <c r="R119" s="2"/>
      <c r="S119" s="2"/>
      <c r="T119" s="2"/>
      <c r="U119" s="2"/>
    </row>
    <row r="120" ht="22.5" customHeight="1">
      <c r="A120" s="4" t="s">
        <v>846</v>
      </c>
      <c r="B120" s="4" t="s">
        <v>1868</v>
      </c>
      <c r="C120" s="4" t="s">
        <v>2036</v>
      </c>
      <c r="D120" s="4" t="s">
        <v>1870</v>
      </c>
      <c r="E120" s="4" t="s">
        <v>2037</v>
      </c>
      <c r="F120" s="2"/>
      <c r="G120" s="5">
        <v>119.0</v>
      </c>
      <c r="H120" s="4" t="s">
        <v>1872</v>
      </c>
      <c r="I120" s="4" t="s">
        <v>2038</v>
      </c>
      <c r="J120" s="4" t="s">
        <v>1874</v>
      </c>
      <c r="K120" s="4" t="s">
        <v>2039</v>
      </c>
      <c r="L120" s="2"/>
      <c r="R120" s="2"/>
      <c r="S120" s="2"/>
      <c r="T120" s="2"/>
      <c r="U120" s="2"/>
    </row>
    <row r="121" ht="22.5" customHeight="1">
      <c r="A121" s="4" t="s">
        <v>854</v>
      </c>
      <c r="B121" s="4" t="s">
        <v>2040</v>
      </c>
      <c r="C121" s="4" t="s">
        <v>2041</v>
      </c>
      <c r="D121" s="4" t="s">
        <v>2042</v>
      </c>
      <c r="E121" s="4" t="s">
        <v>2043</v>
      </c>
      <c r="F121" s="2"/>
      <c r="G121" s="5">
        <v>120.0</v>
      </c>
      <c r="H121" s="4" t="s">
        <v>2044</v>
      </c>
      <c r="I121" s="4" t="s">
        <v>2045</v>
      </c>
      <c r="J121" s="4" t="s">
        <v>2046</v>
      </c>
      <c r="K121" s="4" t="s">
        <v>2047</v>
      </c>
      <c r="L121" s="2"/>
      <c r="R121" s="2"/>
      <c r="S121" s="2"/>
      <c r="T121" s="2"/>
      <c r="U121" s="2"/>
    </row>
    <row r="122" ht="22.5" customHeight="1">
      <c r="A122" s="4" t="s">
        <v>860</v>
      </c>
      <c r="B122" s="4" t="s">
        <v>1884</v>
      </c>
      <c r="C122" s="4" t="s">
        <v>1885</v>
      </c>
      <c r="D122" s="4" t="s">
        <v>1886</v>
      </c>
      <c r="E122" s="4" t="s">
        <v>1887</v>
      </c>
      <c r="F122" s="2"/>
      <c r="G122" s="5">
        <v>121.0</v>
      </c>
      <c r="H122" s="4" t="s">
        <v>1888</v>
      </c>
      <c r="I122" s="4" t="s">
        <v>1889</v>
      </c>
      <c r="J122" s="4" t="s">
        <v>1890</v>
      </c>
      <c r="K122" s="4" t="s">
        <v>1891</v>
      </c>
      <c r="L122" s="2"/>
      <c r="R122" s="2"/>
      <c r="S122" s="2"/>
      <c r="T122" s="2"/>
      <c r="U122" s="2"/>
    </row>
    <row r="123" ht="22.5" customHeight="1">
      <c r="A123" s="4" t="s">
        <v>866</v>
      </c>
      <c r="B123" s="4" t="s">
        <v>1892</v>
      </c>
      <c r="C123" s="4" t="s">
        <v>1893</v>
      </c>
      <c r="D123" s="4" t="s">
        <v>1894</v>
      </c>
      <c r="E123" s="4" t="s">
        <v>1895</v>
      </c>
      <c r="F123" s="2"/>
      <c r="G123" s="5">
        <v>122.0</v>
      </c>
      <c r="H123" s="4" t="s">
        <v>1896</v>
      </c>
      <c r="I123" s="4" t="s">
        <v>1897</v>
      </c>
      <c r="J123" s="4" t="s">
        <v>1898</v>
      </c>
      <c r="K123" s="4" t="s">
        <v>1899</v>
      </c>
      <c r="L123" s="2"/>
      <c r="R123" s="2"/>
      <c r="S123" s="2"/>
      <c r="T123" s="2"/>
      <c r="U123" s="2"/>
    </row>
    <row r="124" ht="22.5" customHeight="1">
      <c r="A124" s="4" t="s">
        <v>874</v>
      </c>
      <c r="B124" s="4" t="s">
        <v>1900</v>
      </c>
      <c r="C124" s="4" t="s">
        <v>1901</v>
      </c>
      <c r="D124" s="4" t="s">
        <v>1902</v>
      </c>
      <c r="E124" s="4" t="s">
        <v>1903</v>
      </c>
      <c r="F124" s="2"/>
      <c r="G124" s="5">
        <v>123.0</v>
      </c>
      <c r="H124" s="4" t="s">
        <v>2048</v>
      </c>
      <c r="I124" s="4" t="s">
        <v>1905</v>
      </c>
      <c r="J124" s="4" t="s">
        <v>1902</v>
      </c>
      <c r="K124" s="4" t="s">
        <v>1906</v>
      </c>
      <c r="L124" s="2"/>
      <c r="R124" s="2"/>
      <c r="S124" s="2"/>
      <c r="T124" s="2"/>
      <c r="U124" s="2"/>
    </row>
    <row r="125" ht="22.5" customHeight="1">
      <c r="A125" s="4" t="s">
        <v>882</v>
      </c>
      <c r="B125" s="4" t="s">
        <v>1907</v>
      </c>
      <c r="C125" s="4" t="s">
        <v>2049</v>
      </c>
      <c r="D125" s="4" t="s">
        <v>2050</v>
      </c>
      <c r="E125" s="4" t="s">
        <v>2051</v>
      </c>
      <c r="F125" s="2"/>
      <c r="G125" s="5">
        <v>124.0</v>
      </c>
      <c r="H125" s="4" t="s">
        <v>2052</v>
      </c>
      <c r="I125" s="4" t="s">
        <v>2053</v>
      </c>
      <c r="J125" s="4" t="s">
        <v>2054</v>
      </c>
      <c r="K125" s="4" t="s">
        <v>2055</v>
      </c>
      <c r="L125" s="2"/>
      <c r="R125" s="2"/>
      <c r="S125" s="2"/>
      <c r="T125" s="2"/>
      <c r="U125" s="2"/>
    </row>
    <row r="126" ht="22.5" customHeight="1">
      <c r="A126" s="4" t="s">
        <v>890</v>
      </c>
      <c r="B126" s="4" t="s">
        <v>2056</v>
      </c>
      <c r="C126" s="4" t="s">
        <v>2057</v>
      </c>
      <c r="D126" s="4" t="s">
        <v>232</v>
      </c>
      <c r="E126" s="4" t="s">
        <v>2058</v>
      </c>
      <c r="F126" s="2"/>
      <c r="G126" s="5">
        <v>125.0</v>
      </c>
      <c r="H126" s="4" t="s">
        <v>2059</v>
      </c>
      <c r="I126" s="4" t="s">
        <v>2060</v>
      </c>
      <c r="J126" s="4" t="s">
        <v>232</v>
      </c>
      <c r="K126" s="4" t="s">
        <v>2061</v>
      </c>
      <c r="L126" s="2"/>
      <c r="R126" s="2"/>
      <c r="S126" s="2"/>
      <c r="T126" s="2"/>
      <c r="U126" s="2"/>
    </row>
    <row r="127" ht="22.5" customHeight="1">
      <c r="A127" s="4" t="s">
        <v>897</v>
      </c>
      <c r="B127" s="4" t="s">
        <v>2062</v>
      </c>
      <c r="C127" s="4" t="s">
        <v>1922</v>
      </c>
      <c r="D127" s="4" t="s">
        <v>1923</v>
      </c>
      <c r="E127" s="4" t="s">
        <v>2063</v>
      </c>
      <c r="F127" s="2"/>
      <c r="G127" s="5">
        <v>126.0</v>
      </c>
      <c r="H127" s="4" t="s">
        <v>2064</v>
      </c>
      <c r="I127" s="4" t="s">
        <v>1926</v>
      </c>
      <c r="J127" s="4" t="s">
        <v>1927</v>
      </c>
      <c r="K127" s="4" t="s">
        <v>2065</v>
      </c>
      <c r="L127" s="2"/>
      <c r="R127" s="2"/>
      <c r="S127" s="2"/>
      <c r="T127" s="2"/>
      <c r="U127" s="2"/>
    </row>
    <row r="128" ht="22.5" customHeight="1">
      <c r="A128" s="4" t="s">
        <v>900</v>
      </c>
      <c r="B128" s="4" t="s">
        <v>1929</v>
      </c>
      <c r="C128" s="4" t="s">
        <v>2066</v>
      </c>
      <c r="D128" s="4" t="s">
        <v>2067</v>
      </c>
      <c r="E128" s="4" t="s">
        <v>2068</v>
      </c>
      <c r="F128" s="2"/>
      <c r="G128" s="5">
        <v>127.0</v>
      </c>
      <c r="H128" s="4" t="s">
        <v>1933</v>
      </c>
      <c r="I128" s="4" t="s">
        <v>2069</v>
      </c>
      <c r="J128" s="4" t="s">
        <v>2070</v>
      </c>
      <c r="K128" s="4" t="s">
        <v>2071</v>
      </c>
      <c r="L128" s="2"/>
      <c r="R128" s="2"/>
      <c r="S128" s="2"/>
      <c r="T128" s="2"/>
      <c r="U128" s="2"/>
    </row>
    <row r="129" ht="22.5" customHeight="1">
      <c r="A129" s="4" t="s">
        <v>904</v>
      </c>
      <c r="B129" s="4" t="s">
        <v>1700</v>
      </c>
      <c r="C129" s="4" t="s">
        <v>2072</v>
      </c>
      <c r="D129" s="4" t="s">
        <v>1939</v>
      </c>
      <c r="E129" s="4" t="s">
        <v>2073</v>
      </c>
      <c r="F129" s="2"/>
      <c r="G129" s="5">
        <v>128.0</v>
      </c>
      <c r="H129" s="4" t="s">
        <v>1703</v>
      </c>
      <c r="I129" s="4" t="s">
        <v>2074</v>
      </c>
      <c r="J129" s="4" t="s">
        <v>1943</v>
      </c>
      <c r="K129" s="4" t="s">
        <v>2075</v>
      </c>
      <c r="L129" s="2"/>
      <c r="R129" s="2"/>
      <c r="S129" s="2"/>
      <c r="T129" s="2"/>
      <c r="U129" s="2"/>
    </row>
    <row r="130" ht="22.5" customHeight="1">
      <c r="A130" s="4" t="s">
        <v>912</v>
      </c>
      <c r="B130" s="4" t="s">
        <v>2076</v>
      </c>
      <c r="C130" s="4" t="s">
        <v>2077</v>
      </c>
      <c r="D130" s="4" t="s">
        <v>2078</v>
      </c>
      <c r="E130" s="4" t="s">
        <v>2079</v>
      </c>
      <c r="F130" s="2"/>
      <c r="G130" s="5">
        <v>129.0</v>
      </c>
      <c r="H130" s="4" t="s">
        <v>2080</v>
      </c>
      <c r="I130" s="4" t="s">
        <v>2081</v>
      </c>
      <c r="J130" s="4" t="s">
        <v>2082</v>
      </c>
      <c r="K130" s="4" t="s">
        <v>2083</v>
      </c>
      <c r="L130" s="2"/>
      <c r="R130" s="2"/>
      <c r="S130" s="2"/>
      <c r="T130" s="2"/>
      <c r="U130" s="2"/>
    </row>
    <row r="131" ht="22.5" customHeight="1">
      <c r="A131" s="4" t="s">
        <v>914</v>
      </c>
      <c r="B131" s="4" t="s">
        <v>1953</v>
      </c>
      <c r="C131" s="4" t="s">
        <v>1954</v>
      </c>
      <c r="D131" s="4" t="s">
        <v>1955</v>
      </c>
      <c r="E131" s="4" t="s">
        <v>2084</v>
      </c>
      <c r="F131" s="2"/>
      <c r="G131" s="5">
        <v>130.0</v>
      </c>
      <c r="H131" s="4" t="s">
        <v>1957</v>
      </c>
      <c r="I131" s="4" t="s">
        <v>1958</v>
      </c>
      <c r="J131" s="4" t="s">
        <v>1959</v>
      </c>
      <c r="K131" s="4" t="s">
        <v>2085</v>
      </c>
      <c r="L131" s="2"/>
      <c r="R131" s="2"/>
      <c r="S131" s="2"/>
      <c r="T131" s="2"/>
      <c r="U131" s="2"/>
    </row>
    <row r="132" ht="22.5" customHeight="1">
      <c r="A132" s="4" t="s">
        <v>919</v>
      </c>
      <c r="B132" s="4" t="s">
        <v>2086</v>
      </c>
      <c r="C132" s="4" t="s">
        <v>2087</v>
      </c>
      <c r="D132" s="4" t="s">
        <v>1658</v>
      </c>
      <c r="E132" s="4" t="s">
        <v>2088</v>
      </c>
      <c r="F132" s="2"/>
      <c r="G132" s="5">
        <v>131.0</v>
      </c>
      <c r="H132" s="4" t="s">
        <v>2089</v>
      </c>
      <c r="I132" s="4" t="s">
        <v>2090</v>
      </c>
      <c r="J132" s="4" t="s">
        <v>1662</v>
      </c>
      <c r="K132" s="4" t="s">
        <v>2091</v>
      </c>
      <c r="L132" s="2"/>
      <c r="R132" s="2"/>
      <c r="S132" s="2"/>
      <c r="T132" s="2"/>
      <c r="U132" s="2"/>
    </row>
    <row r="133" ht="22.5" customHeight="1">
      <c r="A133" s="4" t="s">
        <v>921</v>
      </c>
      <c r="B133" s="4" t="s">
        <v>1961</v>
      </c>
      <c r="C133" s="4" t="s">
        <v>2092</v>
      </c>
      <c r="D133" s="4" t="s">
        <v>2093</v>
      </c>
      <c r="E133" s="4" t="s">
        <v>2094</v>
      </c>
      <c r="F133" s="2"/>
      <c r="G133" s="5">
        <v>132.0</v>
      </c>
      <c r="H133" s="4" t="s">
        <v>1965</v>
      </c>
      <c r="I133" s="4" t="s">
        <v>2095</v>
      </c>
      <c r="J133" s="4" t="s">
        <v>2096</v>
      </c>
      <c r="K133" s="4" t="s">
        <v>2097</v>
      </c>
      <c r="L133" s="2"/>
      <c r="R133" s="2"/>
      <c r="S133" s="2"/>
      <c r="T133" s="2"/>
      <c r="U133" s="2"/>
    </row>
    <row r="134" ht="22.5" customHeight="1">
      <c r="A134" s="4" t="s">
        <v>925</v>
      </c>
      <c r="B134" s="4" t="s">
        <v>2098</v>
      </c>
      <c r="C134" s="4" t="s">
        <v>2099</v>
      </c>
      <c r="D134" s="4" t="s">
        <v>334</v>
      </c>
      <c r="E134" s="4" t="s">
        <v>2100</v>
      </c>
      <c r="F134" s="2"/>
      <c r="G134" s="5">
        <v>133.0</v>
      </c>
      <c r="H134" s="4" t="s">
        <v>2101</v>
      </c>
      <c r="I134" s="4" t="s">
        <v>2099</v>
      </c>
      <c r="J134" s="5">
        <v>10.0</v>
      </c>
      <c r="K134" s="4" t="s">
        <v>2102</v>
      </c>
      <c r="L134" s="2"/>
      <c r="R134" s="2"/>
      <c r="S134" s="2"/>
      <c r="T134" s="2"/>
      <c r="U134" s="2"/>
    </row>
    <row r="135" ht="22.5" customHeight="1">
      <c r="A135" s="4" t="s">
        <v>930</v>
      </c>
      <c r="B135" s="4" t="s">
        <v>1999</v>
      </c>
      <c r="C135" s="4" t="s">
        <v>2103</v>
      </c>
      <c r="D135" s="4" t="s">
        <v>1816</v>
      </c>
      <c r="E135" s="4" t="s">
        <v>2104</v>
      </c>
      <c r="F135" s="2"/>
      <c r="G135" s="5">
        <v>134.0</v>
      </c>
      <c r="H135" s="4" t="s">
        <v>2002</v>
      </c>
      <c r="I135" s="4" t="s">
        <v>2105</v>
      </c>
      <c r="J135" s="4" t="s">
        <v>1820</v>
      </c>
      <c r="K135" s="4" t="s">
        <v>2106</v>
      </c>
      <c r="L135" s="2"/>
      <c r="R135" s="2"/>
      <c r="S135" s="2"/>
      <c r="T135" s="2"/>
      <c r="U135" s="2"/>
    </row>
    <row r="136" ht="22.5" customHeight="1">
      <c r="A136" s="4" t="s">
        <v>934</v>
      </c>
      <c r="B136" s="4" t="s">
        <v>2107</v>
      </c>
      <c r="C136" s="4" t="s">
        <v>2057</v>
      </c>
      <c r="D136" s="4" t="s">
        <v>232</v>
      </c>
      <c r="E136" s="4" t="s">
        <v>2108</v>
      </c>
      <c r="F136" s="2"/>
      <c r="G136" s="5">
        <v>135.0</v>
      </c>
      <c r="H136" s="4" t="s">
        <v>2109</v>
      </c>
      <c r="I136" s="4" t="s">
        <v>2060</v>
      </c>
      <c r="J136" s="4" t="s">
        <v>232</v>
      </c>
      <c r="K136" s="4" t="s">
        <v>2110</v>
      </c>
      <c r="L136" s="2"/>
      <c r="R136" s="2"/>
      <c r="S136" s="2"/>
      <c r="T136" s="2"/>
      <c r="U136" s="2"/>
    </row>
    <row r="137" ht="22.5" customHeight="1">
      <c r="A137" s="4" t="s">
        <v>938</v>
      </c>
      <c r="B137" s="4" t="s">
        <v>2111</v>
      </c>
      <c r="C137" s="4" t="s">
        <v>2112</v>
      </c>
      <c r="D137" s="4" t="s">
        <v>2113</v>
      </c>
      <c r="E137" s="4" t="s">
        <v>2114</v>
      </c>
      <c r="F137" s="2"/>
      <c r="G137" s="5">
        <v>136.0</v>
      </c>
      <c r="H137" s="4" t="s">
        <v>2115</v>
      </c>
      <c r="I137" s="4" t="s">
        <v>2116</v>
      </c>
      <c r="J137" s="4" t="s">
        <v>2117</v>
      </c>
      <c r="K137" s="4" t="s">
        <v>2118</v>
      </c>
      <c r="L137" s="2"/>
      <c r="R137" s="2"/>
      <c r="S137" s="2"/>
      <c r="T137" s="2"/>
      <c r="U137" s="2"/>
    </row>
    <row r="138" ht="22.5" customHeight="1">
      <c r="A138" s="4" t="s">
        <v>944</v>
      </c>
      <c r="B138" s="4" t="s">
        <v>2119</v>
      </c>
      <c r="C138" s="4" t="s">
        <v>2120</v>
      </c>
      <c r="D138" s="4" t="s">
        <v>2121</v>
      </c>
      <c r="E138" s="4" t="s">
        <v>2122</v>
      </c>
      <c r="F138" s="2"/>
      <c r="G138" s="5">
        <v>137.0</v>
      </c>
      <c r="H138" s="4" t="s">
        <v>2123</v>
      </c>
      <c r="I138" s="4" t="s">
        <v>2124</v>
      </c>
      <c r="J138" s="4" t="s">
        <v>2125</v>
      </c>
      <c r="K138" s="4" t="s">
        <v>2126</v>
      </c>
      <c r="L138" s="2"/>
      <c r="R138" s="2"/>
      <c r="S138" s="2"/>
      <c r="T138" s="2"/>
      <c r="U138" s="2"/>
    </row>
    <row r="139" ht="22.5" customHeight="1">
      <c r="A139" s="4" t="s">
        <v>945</v>
      </c>
      <c r="B139" s="4" t="s">
        <v>2127</v>
      </c>
      <c r="C139" s="4" t="s">
        <v>2128</v>
      </c>
      <c r="D139" s="4" t="s">
        <v>1832</v>
      </c>
      <c r="E139" s="4" t="s">
        <v>2129</v>
      </c>
      <c r="F139" s="2"/>
      <c r="G139" s="5">
        <v>138.0</v>
      </c>
      <c r="H139" s="4" t="s">
        <v>2130</v>
      </c>
      <c r="I139" s="4" t="s">
        <v>2131</v>
      </c>
      <c r="J139" s="4" t="s">
        <v>1836</v>
      </c>
      <c r="K139" s="4" t="s">
        <v>2132</v>
      </c>
      <c r="L139" s="2"/>
      <c r="R139" s="2"/>
      <c r="S139" s="2"/>
      <c r="T139" s="2"/>
      <c r="U139" s="2"/>
    </row>
    <row r="140" ht="22.5" customHeight="1">
      <c r="A140" s="4" t="s">
        <v>953</v>
      </c>
      <c r="B140" s="4" t="s">
        <v>2133</v>
      </c>
      <c r="C140" s="4" t="s">
        <v>2134</v>
      </c>
      <c r="D140" s="4" t="s">
        <v>2135</v>
      </c>
      <c r="E140" s="4" t="s">
        <v>2136</v>
      </c>
      <c r="F140" s="2"/>
      <c r="G140" s="5">
        <v>139.0</v>
      </c>
      <c r="H140" s="4" t="s">
        <v>2137</v>
      </c>
      <c r="I140" s="4" t="s">
        <v>2138</v>
      </c>
      <c r="J140" s="4" t="s">
        <v>2139</v>
      </c>
      <c r="K140" s="4" t="s">
        <v>2140</v>
      </c>
      <c r="L140" s="2"/>
      <c r="R140" s="2"/>
      <c r="S140" s="2"/>
      <c r="T140" s="2"/>
      <c r="U140" s="2"/>
    </row>
    <row r="141" ht="22.5" customHeight="1">
      <c r="A141" s="4" t="s">
        <v>957</v>
      </c>
      <c r="B141" s="4" t="s">
        <v>2141</v>
      </c>
      <c r="C141" s="4" t="s">
        <v>2142</v>
      </c>
      <c r="D141" s="4" t="s">
        <v>2143</v>
      </c>
      <c r="E141" s="4" t="s">
        <v>2144</v>
      </c>
      <c r="F141" s="2"/>
      <c r="G141" s="5">
        <v>140.0</v>
      </c>
      <c r="H141" s="4" t="s">
        <v>2145</v>
      </c>
      <c r="I141" s="4" t="s">
        <v>2146</v>
      </c>
      <c r="J141" s="4" t="s">
        <v>2147</v>
      </c>
      <c r="K141" s="4" t="s">
        <v>2148</v>
      </c>
      <c r="L141" s="2"/>
      <c r="R141" s="2"/>
      <c r="S141" s="2"/>
      <c r="T141" s="2"/>
      <c r="U141" s="2"/>
    </row>
    <row r="142" ht="22.5" customHeight="1">
      <c r="A142" s="4" t="s">
        <v>959</v>
      </c>
      <c r="B142" s="4" t="s">
        <v>2149</v>
      </c>
      <c r="C142" s="4" t="s">
        <v>2150</v>
      </c>
      <c r="D142" s="4" t="s">
        <v>1334</v>
      </c>
      <c r="E142" s="4" t="s">
        <v>2151</v>
      </c>
      <c r="F142" s="2"/>
      <c r="G142" s="5">
        <v>141.0</v>
      </c>
      <c r="H142" s="4" t="s">
        <v>2152</v>
      </c>
      <c r="I142" s="4" t="s">
        <v>2153</v>
      </c>
      <c r="J142" s="4" t="s">
        <v>1338</v>
      </c>
      <c r="K142" s="4" t="s">
        <v>2154</v>
      </c>
      <c r="L142" s="2"/>
      <c r="R142" s="2"/>
      <c r="S142" s="2"/>
      <c r="T142" s="2"/>
      <c r="U142" s="2"/>
    </row>
    <row r="143" ht="22.5" customHeight="1">
      <c r="A143" s="4" t="s">
        <v>964</v>
      </c>
      <c r="B143" s="4" t="s">
        <v>2155</v>
      </c>
      <c r="C143" s="4" t="s">
        <v>1855</v>
      </c>
      <c r="D143" s="4" t="s">
        <v>1458</v>
      </c>
      <c r="E143" s="4" t="s">
        <v>2156</v>
      </c>
      <c r="F143" s="2"/>
      <c r="G143" s="5">
        <v>142.0</v>
      </c>
      <c r="H143" s="4" t="s">
        <v>2157</v>
      </c>
      <c r="I143" s="4" t="s">
        <v>1858</v>
      </c>
      <c r="J143" s="4" t="s">
        <v>1462</v>
      </c>
      <c r="K143" s="4" t="s">
        <v>2158</v>
      </c>
      <c r="L143" s="2"/>
      <c r="R143" s="2"/>
      <c r="S143" s="2"/>
      <c r="T143" s="2"/>
      <c r="U143" s="2"/>
    </row>
    <row r="144" ht="22.5" customHeight="1">
      <c r="A144" s="4" t="s">
        <v>971</v>
      </c>
      <c r="B144" s="4" t="s">
        <v>2159</v>
      </c>
      <c r="C144" s="4" t="s">
        <v>2160</v>
      </c>
      <c r="D144" s="4" t="s">
        <v>2161</v>
      </c>
      <c r="E144" s="4" t="s">
        <v>2162</v>
      </c>
      <c r="F144" s="2"/>
      <c r="G144" s="5">
        <v>143.0</v>
      </c>
      <c r="H144" s="4" t="s">
        <v>2163</v>
      </c>
      <c r="I144" s="4" t="s">
        <v>2164</v>
      </c>
      <c r="J144" s="4" t="s">
        <v>2165</v>
      </c>
      <c r="K144" s="4" t="s">
        <v>2166</v>
      </c>
      <c r="L144" s="2"/>
      <c r="R144" s="2"/>
      <c r="S144" s="2"/>
      <c r="T144" s="2"/>
      <c r="U144" s="2"/>
    </row>
    <row r="145" ht="22.5" customHeight="1">
      <c r="A145" s="4" t="s">
        <v>975</v>
      </c>
      <c r="B145" s="4" t="s">
        <v>2167</v>
      </c>
      <c r="C145" s="4" t="s">
        <v>2168</v>
      </c>
      <c r="D145" s="4" t="s">
        <v>2169</v>
      </c>
      <c r="E145" s="4" t="s">
        <v>2170</v>
      </c>
      <c r="F145" s="2"/>
      <c r="G145" s="5">
        <v>144.0</v>
      </c>
      <c r="H145" s="4" t="s">
        <v>2171</v>
      </c>
      <c r="I145" s="4" t="s">
        <v>2172</v>
      </c>
      <c r="J145" s="4" t="s">
        <v>2173</v>
      </c>
      <c r="K145" s="4" t="s">
        <v>2174</v>
      </c>
      <c r="L145" s="2"/>
      <c r="R145" s="2"/>
      <c r="S145" s="2"/>
      <c r="T145" s="2"/>
      <c r="U145" s="2"/>
    </row>
    <row r="146" ht="22.5" customHeight="1">
      <c r="A146" s="4" t="s">
        <v>983</v>
      </c>
      <c r="B146" s="4" t="s">
        <v>2175</v>
      </c>
      <c r="C146" s="4" t="s">
        <v>2176</v>
      </c>
      <c r="D146" s="4" t="s">
        <v>1832</v>
      </c>
      <c r="E146" s="4" t="s">
        <v>2177</v>
      </c>
      <c r="F146" s="2"/>
      <c r="G146" s="5">
        <v>145.0</v>
      </c>
      <c r="H146" s="4" t="s">
        <v>2178</v>
      </c>
      <c r="I146" s="4" t="s">
        <v>2179</v>
      </c>
      <c r="J146" s="4" t="s">
        <v>1836</v>
      </c>
      <c r="K146" s="4" t="s">
        <v>2180</v>
      </c>
      <c r="L146" s="2"/>
      <c r="R146" s="2"/>
      <c r="S146" s="2"/>
      <c r="T146" s="2"/>
      <c r="U146" s="2"/>
    </row>
    <row r="147" ht="22.5" customHeight="1">
      <c r="A147" s="4" t="s">
        <v>991</v>
      </c>
      <c r="B147" s="4" t="s">
        <v>2181</v>
      </c>
      <c r="C147" s="4" t="s">
        <v>2182</v>
      </c>
      <c r="D147" s="4" t="s">
        <v>1916</v>
      </c>
      <c r="E147" s="4" t="s">
        <v>2183</v>
      </c>
      <c r="F147" s="2"/>
      <c r="G147" s="5">
        <v>146.0</v>
      </c>
      <c r="H147" s="4" t="s">
        <v>2184</v>
      </c>
      <c r="I147" s="4" t="s">
        <v>2185</v>
      </c>
      <c r="J147" s="4" t="s">
        <v>1919</v>
      </c>
      <c r="K147" s="4" t="s">
        <v>2186</v>
      </c>
      <c r="L147" s="2"/>
      <c r="R147" s="2"/>
      <c r="S147" s="2"/>
      <c r="T147" s="2"/>
      <c r="U147" s="2"/>
    </row>
    <row r="148" ht="22.5" customHeight="1">
      <c r="A148" s="4" t="s">
        <v>997</v>
      </c>
      <c r="B148" s="4" t="s">
        <v>2187</v>
      </c>
      <c r="C148" s="4" t="s">
        <v>2188</v>
      </c>
      <c r="D148" s="4" t="s">
        <v>1894</v>
      </c>
      <c r="E148" s="4" t="s">
        <v>2189</v>
      </c>
      <c r="F148" s="2"/>
      <c r="G148" s="5">
        <v>147.0</v>
      </c>
      <c r="H148" s="4" t="s">
        <v>2190</v>
      </c>
      <c r="I148" s="4" t="s">
        <v>2191</v>
      </c>
      <c r="J148" s="4" t="s">
        <v>1898</v>
      </c>
      <c r="K148" s="4" t="s">
        <v>2192</v>
      </c>
      <c r="L148" s="2"/>
      <c r="R148" s="2"/>
      <c r="S148" s="2"/>
      <c r="T148" s="2"/>
      <c r="U148" s="2"/>
    </row>
    <row r="149" ht="22.5" customHeight="1">
      <c r="A149" s="4" t="s">
        <v>1003</v>
      </c>
      <c r="B149" s="4" t="s">
        <v>2193</v>
      </c>
      <c r="C149" s="4" t="s">
        <v>2057</v>
      </c>
      <c r="D149" s="4" t="s">
        <v>2194</v>
      </c>
      <c r="E149" s="4" t="s">
        <v>2195</v>
      </c>
      <c r="F149" s="2"/>
      <c r="G149" s="5">
        <v>148.0</v>
      </c>
      <c r="H149" s="4" t="s">
        <v>2196</v>
      </c>
      <c r="I149" s="4" t="s">
        <v>2060</v>
      </c>
      <c r="J149" s="4" t="s">
        <v>159</v>
      </c>
      <c r="K149" s="4" t="s">
        <v>2197</v>
      </c>
      <c r="L149" s="2"/>
      <c r="R149" s="2"/>
      <c r="S149" s="2"/>
      <c r="T149" s="2"/>
      <c r="U149" s="2"/>
    </row>
    <row r="150" ht="22.5" customHeight="1">
      <c r="A150" s="4" t="s">
        <v>1008</v>
      </c>
      <c r="B150" s="4" t="s">
        <v>2198</v>
      </c>
      <c r="C150" s="4" t="s">
        <v>2199</v>
      </c>
      <c r="D150" s="4" t="s">
        <v>2200</v>
      </c>
      <c r="E150" s="4" t="s">
        <v>2201</v>
      </c>
      <c r="F150" s="2"/>
      <c r="G150" s="5">
        <v>149.0</v>
      </c>
      <c r="H150" s="4" t="s">
        <v>2202</v>
      </c>
      <c r="I150" s="4" t="s">
        <v>2203</v>
      </c>
      <c r="J150" s="4" t="s">
        <v>2204</v>
      </c>
      <c r="K150" s="4" t="s">
        <v>2205</v>
      </c>
      <c r="L150" s="2"/>
      <c r="R150" s="2"/>
      <c r="S150" s="2"/>
      <c r="T150" s="2"/>
      <c r="U150" s="2"/>
    </row>
    <row r="151" ht="22.5" customHeight="1">
      <c r="A151" s="4" t="s">
        <v>1012</v>
      </c>
      <c r="B151" s="4" t="s">
        <v>2206</v>
      </c>
      <c r="C151" s="4" t="s">
        <v>2207</v>
      </c>
      <c r="D151" s="4" t="s">
        <v>2143</v>
      </c>
      <c r="E151" s="4" t="s">
        <v>2208</v>
      </c>
      <c r="F151" s="2"/>
      <c r="G151" s="5">
        <v>150.0</v>
      </c>
      <c r="H151" s="4" t="s">
        <v>2209</v>
      </c>
      <c r="I151" s="4" t="s">
        <v>2210</v>
      </c>
      <c r="J151" s="4" t="s">
        <v>2147</v>
      </c>
      <c r="K151" s="4" t="s">
        <v>2211</v>
      </c>
      <c r="L151" s="2"/>
      <c r="R151" s="2"/>
      <c r="S151" s="2"/>
      <c r="T151" s="2"/>
      <c r="U151" s="2"/>
    </row>
    <row r="152" ht="22.5" customHeight="1">
      <c r="A152" s="4" t="s">
        <v>1018</v>
      </c>
      <c r="B152" s="4" t="s">
        <v>2212</v>
      </c>
      <c r="C152" s="4" t="s">
        <v>2213</v>
      </c>
      <c r="D152" s="4" t="s">
        <v>2214</v>
      </c>
      <c r="E152" s="4" t="s">
        <v>2215</v>
      </c>
      <c r="F152" s="2"/>
      <c r="G152" s="5">
        <v>151.0</v>
      </c>
      <c r="H152" s="4" t="s">
        <v>2216</v>
      </c>
      <c r="I152" s="4" t="s">
        <v>2217</v>
      </c>
      <c r="J152" s="4" t="s">
        <v>2218</v>
      </c>
      <c r="K152" s="4" t="s">
        <v>2219</v>
      </c>
      <c r="L152" s="2"/>
      <c r="R152" s="2"/>
      <c r="S152" s="2"/>
      <c r="T152" s="2"/>
      <c r="U152" s="2"/>
    </row>
    <row r="153" ht="22.5" customHeight="1">
      <c r="A153" s="4" t="s">
        <v>1024</v>
      </c>
      <c r="B153" s="4" t="s">
        <v>2220</v>
      </c>
      <c r="C153" s="4" t="s">
        <v>2221</v>
      </c>
      <c r="D153" s="4" t="s">
        <v>1894</v>
      </c>
      <c r="E153" s="4" t="s">
        <v>2222</v>
      </c>
      <c r="F153" s="2"/>
      <c r="G153" s="5">
        <v>152.0</v>
      </c>
      <c r="H153" s="4" t="s">
        <v>2223</v>
      </c>
      <c r="I153" s="4" t="s">
        <v>2224</v>
      </c>
      <c r="J153" s="4" t="s">
        <v>1898</v>
      </c>
      <c r="K153" s="4" t="s">
        <v>2225</v>
      </c>
      <c r="L153" s="2"/>
      <c r="R153" s="2"/>
      <c r="S153" s="2"/>
      <c r="T153" s="2"/>
      <c r="U153" s="2"/>
    </row>
    <row r="154" ht="22.5" customHeight="1">
      <c r="A154" s="4" t="s">
        <v>1032</v>
      </c>
      <c r="B154" s="4" t="s">
        <v>2226</v>
      </c>
      <c r="C154" s="4" t="s">
        <v>2227</v>
      </c>
      <c r="D154" s="4" t="s">
        <v>1832</v>
      </c>
      <c r="E154" s="4" t="s">
        <v>2228</v>
      </c>
      <c r="F154" s="2"/>
      <c r="G154" s="5">
        <v>153.0</v>
      </c>
      <c r="H154" s="4" t="s">
        <v>2229</v>
      </c>
      <c r="I154" s="4" t="s">
        <v>2230</v>
      </c>
      <c r="J154" s="4" t="s">
        <v>1836</v>
      </c>
      <c r="K154" s="4" t="s">
        <v>2231</v>
      </c>
      <c r="L154" s="2"/>
      <c r="R154" s="2"/>
      <c r="S154" s="2"/>
      <c r="T154" s="2"/>
      <c r="U154" s="2"/>
    </row>
    <row r="155" ht="22.5" customHeight="1">
      <c r="A155" s="4" t="s">
        <v>1040</v>
      </c>
      <c r="B155" s="4" t="s">
        <v>1846</v>
      </c>
      <c r="C155" s="4" t="s">
        <v>2232</v>
      </c>
      <c r="D155" s="4" t="s">
        <v>2020</v>
      </c>
      <c r="E155" s="4" t="s">
        <v>2233</v>
      </c>
      <c r="F155" s="2"/>
      <c r="G155" s="5">
        <v>154.0</v>
      </c>
      <c r="H155" s="4" t="s">
        <v>2234</v>
      </c>
      <c r="I155" s="4" t="s">
        <v>2235</v>
      </c>
      <c r="J155" s="4" t="s">
        <v>2024</v>
      </c>
      <c r="K155" s="4" t="s">
        <v>2236</v>
      </c>
      <c r="L155" s="2"/>
      <c r="R155" s="2"/>
      <c r="S155" s="2"/>
      <c r="T155" s="2"/>
      <c r="U155" s="2"/>
    </row>
    <row r="156" ht="22.5" customHeight="1">
      <c r="A156" s="4" t="s">
        <v>1048</v>
      </c>
      <c r="B156" s="4" t="s">
        <v>2237</v>
      </c>
      <c r="C156" s="4" t="s">
        <v>2238</v>
      </c>
      <c r="D156" s="4" t="s">
        <v>1348</v>
      </c>
      <c r="E156" s="4" t="s">
        <v>2239</v>
      </c>
      <c r="F156" s="2"/>
      <c r="G156" s="5">
        <v>155.0</v>
      </c>
      <c r="H156" s="4" t="s">
        <v>2240</v>
      </c>
      <c r="I156" s="4" t="s">
        <v>2241</v>
      </c>
      <c r="J156" s="4" t="s">
        <v>1352</v>
      </c>
      <c r="K156" s="4" t="s">
        <v>2242</v>
      </c>
      <c r="L156" s="2"/>
      <c r="R156" s="2"/>
      <c r="S156" s="2"/>
      <c r="T156" s="2"/>
      <c r="U156" s="2"/>
    </row>
    <row r="157" ht="22.5" customHeight="1">
      <c r="A157" s="4" t="s">
        <v>1053</v>
      </c>
      <c r="B157" s="4" t="s">
        <v>2243</v>
      </c>
      <c r="C157" s="4" t="s">
        <v>2244</v>
      </c>
      <c r="D157" s="4" t="s">
        <v>303</v>
      </c>
      <c r="E157" s="4" t="s">
        <v>2245</v>
      </c>
      <c r="F157" s="6"/>
      <c r="G157" s="5">
        <v>156.0</v>
      </c>
      <c r="H157" s="7" t="s">
        <v>2246</v>
      </c>
      <c r="I157" s="4" t="s">
        <v>2244</v>
      </c>
      <c r="J157" s="8">
        <v>6.0</v>
      </c>
      <c r="K157" s="7" t="s">
        <v>2247</v>
      </c>
      <c r="L157" s="2"/>
      <c r="R157" s="2"/>
      <c r="S157" s="2"/>
      <c r="T157" s="2"/>
      <c r="U157" s="2"/>
    </row>
    <row r="158" ht="22.5" customHeight="1">
      <c r="A158" s="4" t="s">
        <v>1061</v>
      </c>
      <c r="B158" s="4" t="s">
        <v>2248</v>
      </c>
      <c r="C158" s="4" t="s">
        <v>2249</v>
      </c>
      <c r="D158" s="4" t="s">
        <v>2250</v>
      </c>
      <c r="E158" s="4" t="s">
        <v>2251</v>
      </c>
      <c r="F158" s="6"/>
      <c r="G158" s="5">
        <v>157.0</v>
      </c>
      <c r="H158" s="7" t="s">
        <v>2252</v>
      </c>
      <c r="I158" s="4" t="s">
        <v>2253</v>
      </c>
      <c r="J158" s="7" t="s">
        <v>2254</v>
      </c>
      <c r="K158" s="7" t="s">
        <v>2255</v>
      </c>
      <c r="L158" s="2"/>
      <c r="R158" s="2"/>
      <c r="S158" s="2"/>
      <c r="T158" s="2"/>
      <c r="U158" s="2"/>
    </row>
    <row r="159" ht="22.5" customHeight="1">
      <c r="A159" s="4" t="s">
        <v>1069</v>
      </c>
      <c r="B159" s="4" t="s">
        <v>2256</v>
      </c>
      <c r="C159" s="4" t="s">
        <v>2257</v>
      </c>
      <c r="D159" s="4" t="s">
        <v>2258</v>
      </c>
      <c r="E159" s="4" t="s">
        <v>2259</v>
      </c>
      <c r="F159" s="6"/>
      <c r="G159" s="5">
        <v>158.0</v>
      </c>
      <c r="H159" s="7" t="s">
        <v>2260</v>
      </c>
      <c r="I159" s="4" t="s">
        <v>2261</v>
      </c>
      <c r="J159" s="7" t="s">
        <v>2262</v>
      </c>
      <c r="K159" s="7" t="s">
        <v>2263</v>
      </c>
      <c r="L159" s="2"/>
      <c r="R159" s="2"/>
      <c r="S159" s="2"/>
      <c r="T159" s="2"/>
      <c r="U159" s="2"/>
    </row>
    <row r="160" ht="22.5" customHeight="1">
      <c r="A160" s="4" t="s">
        <v>1075</v>
      </c>
      <c r="B160" s="4" t="s">
        <v>2264</v>
      </c>
      <c r="C160" s="4" t="s">
        <v>2265</v>
      </c>
      <c r="D160" s="4" t="s">
        <v>2266</v>
      </c>
      <c r="E160" s="4" t="s">
        <v>2267</v>
      </c>
      <c r="F160" s="6"/>
      <c r="G160" s="5">
        <v>159.0</v>
      </c>
      <c r="H160" s="7" t="s">
        <v>2268</v>
      </c>
      <c r="I160" s="4" t="s">
        <v>2269</v>
      </c>
      <c r="J160" s="7" t="s">
        <v>2270</v>
      </c>
      <c r="K160" s="7" t="s">
        <v>2271</v>
      </c>
      <c r="L160" s="2"/>
      <c r="R160" s="2"/>
      <c r="S160" s="2"/>
      <c r="T160" s="2"/>
      <c r="U160" s="2"/>
    </row>
    <row r="161" ht="22.5" customHeight="1">
      <c r="A161" s="4" t="s">
        <v>1083</v>
      </c>
      <c r="B161" s="4" t="s">
        <v>2272</v>
      </c>
      <c r="C161" s="4" t="s">
        <v>2160</v>
      </c>
      <c r="D161" s="4" t="s">
        <v>2161</v>
      </c>
      <c r="E161" s="4" t="s">
        <v>2273</v>
      </c>
      <c r="F161" s="6"/>
      <c r="G161" s="5">
        <v>160.0</v>
      </c>
      <c r="H161" s="7" t="s">
        <v>2274</v>
      </c>
      <c r="I161" s="4" t="s">
        <v>2164</v>
      </c>
      <c r="J161" s="7" t="s">
        <v>2165</v>
      </c>
      <c r="K161" s="7" t="s">
        <v>2275</v>
      </c>
      <c r="L161" s="2"/>
      <c r="R161" s="2"/>
      <c r="S161" s="2"/>
      <c r="T161" s="2"/>
      <c r="U161" s="2"/>
    </row>
    <row r="162" ht="22.5" customHeight="1">
      <c r="A162" s="4" t="s">
        <v>1089</v>
      </c>
      <c r="B162" s="4" t="s">
        <v>2276</v>
      </c>
      <c r="C162" s="4" t="s">
        <v>2277</v>
      </c>
      <c r="D162" s="4" t="s">
        <v>2278</v>
      </c>
      <c r="E162" s="4" t="s">
        <v>2279</v>
      </c>
      <c r="F162" s="6"/>
      <c r="G162" s="5">
        <v>161.0</v>
      </c>
      <c r="H162" s="7" t="s">
        <v>2280</v>
      </c>
      <c r="I162" s="4" t="s">
        <v>2281</v>
      </c>
      <c r="J162" s="7" t="s">
        <v>2282</v>
      </c>
      <c r="K162" s="7" t="s">
        <v>2283</v>
      </c>
      <c r="L162" s="2"/>
      <c r="R162" s="2"/>
      <c r="S162" s="2"/>
      <c r="T162" s="2"/>
      <c r="U162" s="2"/>
    </row>
    <row r="163" ht="22.5" customHeight="1">
      <c r="A163" s="4" t="s">
        <v>1097</v>
      </c>
      <c r="B163" s="4" t="s">
        <v>2284</v>
      </c>
      <c r="C163" s="4" t="s">
        <v>2285</v>
      </c>
      <c r="D163" s="4" t="s">
        <v>2286</v>
      </c>
      <c r="E163" s="4" t="s">
        <v>2287</v>
      </c>
      <c r="F163" s="6"/>
      <c r="G163" s="5">
        <v>162.0</v>
      </c>
      <c r="H163" s="7" t="s">
        <v>2288</v>
      </c>
      <c r="I163" s="4" t="s">
        <v>2289</v>
      </c>
      <c r="J163" s="7" t="s">
        <v>2290</v>
      </c>
      <c r="K163" s="7" t="s">
        <v>2291</v>
      </c>
      <c r="L163" s="2"/>
      <c r="R163" s="2"/>
      <c r="S163" s="2"/>
      <c r="T163" s="2"/>
      <c r="U163" s="2"/>
    </row>
    <row r="164" ht="22.5" customHeight="1">
      <c r="A164" s="4" t="s">
        <v>1103</v>
      </c>
      <c r="B164" s="4" t="s">
        <v>2292</v>
      </c>
      <c r="C164" s="4" t="s">
        <v>2293</v>
      </c>
      <c r="D164" s="4" t="s">
        <v>2294</v>
      </c>
      <c r="E164" s="4" t="s">
        <v>2295</v>
      </c>
      <c r="F164" s="6"/>
      <c r="G164" s="5">
        <v>163.0</v>
      </c>
      <c r="H164" s="7" t="s">
        <v>2296</v>
      </c>
      <c r="I164" s="4" t="s">
        <v>2297</v>
      </c>
      <c r="J164" s="7" t="s">
        <v>2298</v>
      </c>
      <c r="K164" s="7" t="s">
        <v>2299</v>
      </c>
      <c r="L164" s="2"/>
      <c r="R164" s="2"/>
      <c r="S164" s="2"/>
      <c r="T164" s="2"/>
      <c r="U164" s="2"/>
    </row>
    <row r="165" ht="22.5" customHeight="1">
      <c r="A165" s="4" t="s">
        <v>1111</v>
      </c>
      <c r="B165" s="4" t="s">
        <v>2300</v>
      </c>
      <c r="C165" s="4" t="s">
        <v>377</v>
      </c>
      <c r="D165" s="4" t="s">
        <v>279</v>
      </c>
      <c r="E165" s="4" t="s">
        <v>2301</v>
      </c>
      <c r="F165" s="6"/>
      <c r="G165" s="5">
        <v>164.0</v>
      </c>
      <c r="H165" s="7" t="s">
        <v>2302</v>
      </c>
      <c r="I165" s="4" t="s">
        <v>377</v>
      </c>
      <c r="J165" s="8">
        <v>3.0</v>
      </c>
      <c r="K165" s="7" t="s">
        <v>2303</v>
      </c>
      <c r="L165" s="2"/>
      <c r="R165" s="2"/>
      <c r="S165" s="2"/>
      <c r="T165" s="2"/>
      <c r="U165" s="2"/>
    </row>
    <row r="166" ht="22.5" customHeight="1">
      <c r="A166" s="4" t="s">
        <v>1117</v>
      </c>
      <c r="B166" s="4" t="s">
        <v>2304</v>
      </c>
      <c r="C166" s="4" t="s">
        <v>2305</v>
      </c>
      <c r="D166" s="4" t="s">
        <v>2306</v>
      </c>
      <c r="E166" s="4" t="s">
        <v>2307</v>
      </c>
      <c r="F166" s="6"/>
      <c r="G166" s="5">
        <v>165.0</v>
      </c>
      <c r="H166" s="7" t="s">
        <v>2308</v>
      </c>
      <c r="I166" s="4" t="s">
        <v>2309</v>
      </c>
      <c r="J166" s="7" t="s">
        <v>2306</v>
      </c>
      <c r="K166" s="7" t="s">
        <v>2310</v>
      </c>
      <c r="L166" s="2"/>
      <c r="R166" s="2"/>
      <c r="S166" s="2"/>
      <c r="T166" s="2"/>
      <c r="U166" s="2"/>
    </row>
    <row r="167" ht="22.5" customHeight="1">
      <c r="A167" s="4" t="s">
        <v>1125</v>
      </c>
      <c r="B167" s="4" t="s">
        <v>2311</v>
      </c>
      <c r="C167" s="4" t="s">
        <v>2312</v>
      </c>
      <c r="D167" s="4" t="s">
        <v>2313</v>
      </c>
      <c r="E167" s="4" t="s">
        <v>2314</v>
      </c>
      <c r="F167" s="6"/>
      <c r="G167" s="5">
        <v>166.0</v>
      </c>
      <c r="H167" s="7" t="s">
        <v>2315</v>
      </c>
      <c r="I167" s="4" t="s">
        <v>2316</v>
      </c>
      <c r="J167" s="7" t="s">
        <v>2317</v>
      </c>
      <c r="K167" s="7" t="s">
        <v>2318</v>
      </c>
      <c r="L167" s="2"/>
      <c r="R167" s="2"/>
      <c r="S167" s="2"/>
      <c r="T167" s="2"/>
      <c r="U167" s="2"/>
    </row>
    <row r="168" ht="22.5" customHeight="1">
      <c r="A168" s="4" t="s">
        <v>1132</v>
      </c>
      <c r="B168" s="4" t="s">
        <v>2319</v>
      </c>
      <c r="C168" s="4" t="s">
        <v>2320</v>
      </c>
      <c r="D168" s="4" t="s">
        <v>2321</v>
      </c>
      <c r="E168" s="4" t="s">
        <v>2322</v>
      </c>
      <c r="F168" s="6"/>
      <c r="G168" s="5">
        <v>167.0</v>
      </c>
      <c r="H168" s="7" t="s">
        <v>2323</v>
      </c>
      <c r="I168" s="4" t="s">
        <v>2324</v>
      </c>
      <c r="J168" s="7" t="s">
        <v>2325</v>
      </c>
      <c r="K168" s="7" t="s">
        <v>2326</v>
      </c>
      <c r="L168" s="2"/>
      <c r="R168" s="2"/>
      <c r="S168" s="2"/>
      <c r="T168" s="2"/>
      <c r="U168" s="2"/>
    </row>
    <row r="169" ht="22.5" customHeight="1">
      <c r="A169" s="4" t="s">
        <v>1140</v>
      </c>
      <c r="B169" s="4" t="s">
        <v>2327</v>
      </c>
      <c r="C169" s="4" t="s">
        <v>2328</v>
      </c>
      <c r="D169" s="4" t="s">
        <v>2329</v>
      </c>
      <c r="E169" s="4" t="s">
        <v>2330</v>
      </c>
      <c r="F169" s="6"/>
      <c r="G169" s="5">
        <v>168.0</v>
      </c>
      <c r="H169" s="7" t="s">
        <v>2331</v>
      </c>
      <c r="I169" s="4" t="s">
        <v>2332</v>
      </c>
      <c r="J169" s="7" t="s">
        <v>2333</v>
      </c>
      <c r="K169" s="7" t="s">
        <v>2334</v>
      </c>
      <c r="L169" s="2"/>
      <c r="R169" s="2"/>
      <c r="S169" s="2"/>
      <c r="T169" s="2"/>
      <c r="U169" s="2"/>
    </row>
    <row r="170" ht="22.5" customHeight="1">
      <c r="A170" s="4" t="s">
        <v>1148</v>
      </c>
      <c r="B170" s="4" t="s">
        <v>2335</v>
      </c>
      <c r="C170" s="4" t="s">
        <v>2336</v>
      </c>
      <c r="D170" s="4" t="s">
        <v>2337</v>
      </c>
      <c r="E170" s="4" t="s">
        <v>2338</v>
      </c>
      <c r="F170" s="6"/>
      <c r="G170" s="5">
        <v>169.0</v>
      </c>
      <c r="H170" s="7" t="s">
        <v>2339</v>
      </c>
      <c r="I170" s="4" t="s">
        <v>2340</v>
      </c>
      <c r="J170" s="7" t="s">
        <v>2341</v>
      </c>
      <c r="K170" s="7" t="s">
        <v>2342</v>
      </c>
      <c r="L170" s="2"/>
      <c r="R170" s="2"/>
      <c r="S170" s="2"/>
      <c r="T170" s="2"/>
      <c r="U170" s="2"/>
    </row>
    <row r="171" ht="22.5" customHeight="1">
      <c r="A171" s="4" t="s">
        <v>1154</v>
      </c>
      <c r="B171" s="4" t="s">
        <v>2343</v>
      </c>
      <c r="C171" s="4" t="s">
        <v>2344</v>
      </c>
      <c r="D171" s="4" t="s">
        <v>2345</v>
      </c>
      <c r="E171" s="4" t="s">
        <v>2346</v>
      </c>
      <c r="F171" s="6"/>
      <c r="G171" s="5">
        <v>170.0</v>
      </c>
      <c r="H171" s="7" t="s">
        <v>2347</v>
      </c>
      <c r="I171" s="4" t="s">
        <v>2348</v>
      </c>
      <c r="J171" s="7" t="s">
        <v>2345</v>
      </c>
      <c r="K171" s="7" t="s">
        <v>2349</v>
      </c>
      <c r="L171" s="2"/>
      <c r="R171" s="2"/>
      <c r="S171" s="2"/>
      <c r="T171" s="2"/>
      <c r="U171" s="2"/>
    </row>
    <row r="172" ht="22.5" customHeight="1">
      <c r="A172" s="4" t="s">
        <v>1162</v>
      </c>
      <c r="B172" s="4" t="s">
        <v>2350</v>
      </c>
      <c r="C172" s="4" t="s">
        <v>2351</v>
      </c>
      <c r="D172" s="4" t="s">
        <v>287</v>
      </c>
      <c r="E172" s="4" t="s">
        <v>2352</v>
      </c>
      <c r="F172" s="6"/>
      <c r="G172" s="5">
        <v>171.0</v>
      </c>
      <c r="H172" s="7" t="s">
        <v>2353</v>
      </c>
      <c r="I172" s="4" t="s">
        <v>2351</v>
      </c>
      <c r="J172" s="8">
        <v>4.0</v>
      </c>
      <c r="K172" s="7" t="s">
        <v>2354</v>
      </c>
      <c r="L172" s="2"/>
      <c r="R172" s="2"/>
      <c r="S172" s="2"/>
      <c r="T172" s="2"/>
      <c r="U172" s="2"/>
    </row>
    <row r="173" ht="22.5" customHeight="1">
      <c r="A173" s="4" t="s">
        <v>1170</v>
      </c>
      <c r="B173" s="4" t="s">
        <v>2355</v>
      </c>
      <c r="C173" s="4" t="s">
        <v>2356</v>
      </c>
      <c r="D173" s="4" t="s">
        <v>2357</v>
      </c>
      <c r="E173" s="4" t="s">
        <v>2358</v>
      </c>
      <c r="F173" s="6"/>
      <c r="G173" s="5">
        <v>172.0</v>
      </c>
      <c r="H173" s="7" t="s">
        <v>2359</v>
      </c>
      <c r="I173" s="4" t="s">
        <v>2360</v>
      </c>
      <c r="J173" s="7" t="s">
        <v>2361</v>
      </c>
      <c r="K173" s="7" t="s">
        <v>2362</v>
      </c>
      <c r="L173" s="2"/>
      <c r="R173" s="2"/>
      <c r="S173" s="2"/>
      <c r="T173" s="2"/>
      <c r="U173" s="2"/>
    </row>
    <row r="174" ht="22.5" customHeight="1">
      <c r="A174" s="4" t="s">
        <v>1178</v>
      </c>
      <c r="B174" s="4" t="s">
        <v>2363</v>
      </c>
      <c r="C174" s="4" t="s">
        <v>2364</v>
      </c>
      <c r="D174" s="4" t="s">
        <v>2365</v>
      </c>
      <c r="E174" s="4" t="s">
        <v>2366</v>
      </c>
      <c r="F174" s="6"/>
      <c r="G174" s="5">
        <v>173.0</v>
      </c>
      <c r="H174" s="7" t="s">
        <v>2367</v>
      </c>
      <c r="I174" s="4" t="s">
        <v>2368</v>
      </c>
      <c r="J174" s="7" t="s">
        <v>2369</v>
      </c>
      <c r="K174" s="7" t="s">
        <v>2370</v>
      </c>
      <c r="L174" s="2"/>
      <c r="R174" s="2"/>
      <c r="S174" s="2"/>
      <c r="T174" s="2"/>
      <c r="U174" s="2"/>
    </row>
    <row r="175" ht="22.5" customHeight="1">
      <c r="A175" s="4" t="s">
        <v>1184</v>
      </c>
      <c r="B175" s="4" t="s">
        <v>2371</v>
      </c>
      <c r="C175" s="4" t="s">
        <v>2372</v>
      </c>
      <c r="D175" s="4" t="s">
        <v>2278</v>
      </c>
      <c r="E175" s="4" t="s">
        <v>2373</v>
      </c>
      <c r="F175" s="6"/>
      <c r="G175" s="5">
        <v>174.0</v>
      </c>
      <c r="H175" s="7" t="s">
        <v>2374</v>
      </c>
      <c r="I175" s="4" t="s">
        <v>2375</v>
      </c>
      <c r="J175" s="7" t="s">
        <v>2282</v>
      </c>
      <c r="K175" s="7" t="s">
        <v>2376</v>
      </c>
      <c r="L175" s="2"/>
      <c r="R175" s="2"/>
      <c r="S175" s="2"/>
      <c r="T175" s="2"/>
      <c r="U175" s="2"/>
    </row>
    <row r="176" ht="22.5" customHeight="1">
      <c r="A176" s="4" t="s">
        <v>1190</v>
      </c>
      <c r="B176" s="4" t="s">
        <v>2377</v>
      </c>
      <c r="C176" s="4" t="s">
        <v>2378</v>
      </c>
      <c r="D176" s="4" t="s">
        <v>2379</v>
      </c>
      <c r="E176" s="4" t="s">
        <v>2380</v>
      </c>
      <c r="F176" s="6"/>
      <c r="G176" s="5">
        <v>175.0</v>
      </c>
      <c r="H176" s="7" t="s">
        <v>2381</v>
      </c>
      <c r="I176" s="4" t="s">
        <v>2382</v>
      </c>
      <c r="J176" s="7" t="s">
        <v>2383</v>
      </c>
      <c r="K176" s="7" t="s">
        <v>2384</v>
      </c>
      <c r="L176" s="2"/>
      <c r="R176" s="2"/>
      <c r="S176" s="2"/>
      <c r="T176" s="2"/>
      <c r="U176" s="2"/>
    </row>
    <row r="177" ht="22.5" customHeight="1">
      <c r="A177" s="4" t="s">
        <v>2385</v>
      </c>
      <c r="B177" s="4" t="s">
        <v>2386</v>
      </c>
      <c r="C177" s="4" t="s">
        <v>2387</v>
      </c>
      <c r="D177" s="4" t="s">
        <v>2388</v>
      </c>
      <c r="E177" s="4" t="s">
        <v>2389</v>
      </c>
      <c r="F177" s="6"/>
      <c r="G177" s="5">
        <v>176.0</v>
      </c>
      <c r="H177" s="7" t="s">
        <v>2390</v>
      </c>
      <c r="I177" s="4" t="s">
        <v>2391</v>
      </c>
      <c r="J177" s="7" t="s">
        <v>2392</v>
      </c>
      <c r="K177" s="7" t="s">
        <v>2393</v>
      </c>
      <c r="L177" s="2"/>
      <c r="R177" s="2"/>
      <c r="S177" s="2"/>
      <c r="T177" s="2"/>
      <c r="U177" s="2"/>
    </row>
    <row r="178" ht="22.5" customHeight="1">
      <c r="A178" s="4" t="s">
        <v>2394</v>
      </c>
      <c r="B178" s="4" t="s">
        <v>2395</v>
      </c>
      <c r="C178" s="4" t="s">
        <v>2396</v>
      </c>
      <c r="D178" s="4" t="s">
        <v>2397</v>
      </c>
      <c r="E178" s="4" t="s">
        <v>2398</v>
      </c>
      <c r="F178" s="6"/>
      <c r="G178" s="5">
        <v>177.0</v>
      </c>
      <c r="H178" s="7" t="s">
        <v>2399</v>
      </c>
      <c r="I178" s="4" t="s">
        <v>2400</v>
      </c>
      <c r="J178" s="7" t="s">
        <v>2401</v>
      </c>
      <c r="K178" s="7" t="s">
        <v>2402</v>
      </c>
      <c r="L178" s="2"/>
      <c r="R178" s="2"/>
      <c r="S178" s="2"/>
      <c r="T178" s="2"/>
      <c r="U178" s="2"/>
    </row>
    <row r="179" ht="22.5" customHeight="1">
      <c r="A179" s="4" t="s">
        <v>2403</v>
      </c>
      <c r="B179" s="4" t="s">
        <v>2404</v>
      </c>
      <c r="C179" s="4" t="s">
        <v>2405</v>
      </c>
      <c r="D179" s="4" t="s">
        <v>2406</v>
      </c>
      <c r="E179" s="4" t="s">
        <v>2407</v>
      </c>
      <c r="F179" s="6"/>
      <c r="G179" s="5">
        <v>178.0</v>
      </c>
      <c r="H179" s="7" t="s">
        <v>2408</v>
      </c>
      <c r="I179" s="4" t="s">
        <v>2409</v>
      </c>
      <c r="J179" s="7" t="s">
        <v>2410</v>
      </c>
      <c r="K179" s="7" t="s">
        <v>2411</v>
      </c>
      <c r="L179" s="2"/>
      <c r="R179" s="2"/>
      <c r="S179" s="2"/>
      <c r="T179" s="2"/>
      <c r="U179" s="2"/>
    </row>
    <row r="180" ht="22.5" customHeight="1">
      <c r="A180" s="4" t="s">
        <v>2412</v>
      </c>
      <c r="B180" s="4" t="s">
        <v>2413</v>
      </c>
      <c r="C180" s="4" t="s">
        <v>2414</v>
      </c>
      <c r="D180" s="4" t="s">
        <v>2294</v>
      </c>
      <c r="E180" s="4" t="s">
        <v>2415</v>
      </c>
      <c r="F180" s="6"/>
      <c r="G180" s="5">
        <v>179.0</v>
      </c>
      <c r="H180" s="7" t="s">
        <v>2416</v>
      </c>
      <c r="I180" s="4" t="s">
        <v>2417</v>
      </c>
      <c r="J180" s="7" t="s">
        <v>2298</v>
      </c>
      <c r="K180" s="7" t="s">
        <v>2418</v>
      </c>
      <c r="L180" s="2"/>
      <c r="R180" s="2"/>
      <c r="S180" s="2"/>
      <c r="T180" s="2"/>
      <c r="U180" s="2"/>
    </row>
    <row r="181" ht="22.5" customHeight="1">
      <c r="A181" s="4" t="s">
        <v>2419</v>
      </c>
      <c r="B181" s="4" t="s">
        <v>2420</v>
      </c>
      <c r="C181" s="4" t="s">
        <v>2421</v>
      </c>
      <c r="D181" s="4" t="s">
        <v>2258</v>
      </c>
      <c r="E181" s="4" t="s">
        <v>2422</v>
      </c>
      <c r="F181" s="6"/>
      <c r="G181" s="5">
        <v>180.0</v>
      </c>
      <c r="H181" s="7" t="s">
        <v>2423</v>
      </c>
      <c r="I181" s="4" t="s">
        <v>2424</v>
      </c>
      <c r="J181" s="7" t="s">
        <v>2262</v>
      </c>
      <c r="K181" s="7" t="s">
        <v>2425</v>
      </c>
      <c r="L181" s="2"/>
      <c r="R181" s="2"/>
      <c r="S181" s="2"/>
      <c r="T181" s="2"/>
      <c r="U181" s="2"/>
    </row>
    <row r="182">
      <c r="A182" s="2"/>
      <c r="B182" s="2"/>
      <c r="C182" s="2"/>
      <c r="D182" s="2"/>
      <c r="E182" s="2"/>
      <c r="F182" s="2"/>
      <c r="G182" s="2"/>
      <c r="H182" s="2"/>
      <c r="I182" s="2"/>
      <c r="J182" s="2"/>
      <c r="K182" s="2"/>
      <c r="L182" s="2"/>
      <c r="M182" s="2"/>
      <c r="N182" s="2"/>
      <c r="O182" s="2"/>
      <c r="P182" s="2"/>
      <c r="Q182" s="2"/>
      <c r="R182" s="2"/>
      <c r="S182" s="2"/>
      <c r="T182" s="2"/>
      <c r="U182" s="2"/>
    </row>
    <row r="183">
      <c r="A183" s="2"/>
      <c r="B183" s="2"/>
      <c r="C183" s="2"/>
      <c r="D183" s="2"/>
      <c r="E183" s="2"/>
      <c r="F183" s="2"/>
      <c r="G183" s="2"/>
      <c r="H183" s="2"/>
      <c r="I183" s="2"/>
      <c r="J183" s="2"/>
      <c r="K183" s="2"/>
      <c r="L183" s="2"/>
      <c r="M183" s="2"/>
      <c r="N183" s="2"/>
      <c r="O183" s="2"/>
      <c r="P183" s="2"/>
      <c r="Q183" s="2"/>
      <c r="R183" s="2"/>
      <c r="S183" s="2"/>
      <c r="T183" s="2"/>
      <c r="U183" s="2"/>
    </row>
    <row r="184">
      <c r="A184" s="2"/>
      <c r="B184" s="2"/>
      <c r="C184" s="2"/>
      <c r="D184" s="2"/>
      <c r="E184" s="2"/>
      <c r="F184" s="2"/>
      <c r="G184" s="2"/>
      <c r="H184" s="2"/>
      <c r="I184" s="2"/>
      <c r="J184" s="2"/>
      <c r="K184" s="2"/>
      <c r="L184" s="2"/>
      <c r="M184" s="2"/>
      <c r="N184" s="2"/>
      <c r="O184" s="2"/>
      <c r="P184" s="2"/>
      <c r="Q184" s="2"/>
      <c r="R184" s="2"/>
      <c r="S184" s="2"/>
      <c r="T184" s="2"/>
      <c r="U184" s="2"/>
    </row>
    <row r="185">
      <c r="A185" s="2"/>
      <c r="B185" s="2"/>
      <c r="C185" s="2"/>
      <c r="D185" s="2"/>
      <c r="E185" s="2"/>
      <c r="F185" s="2"/>
      <c r="G185" s="2"/>
      <c r="H185" s="2"/>
      <c r="I185" s="2"/>
      <c r="J185" s="2"/>
      <c r="K185" s="2"/>
      <c r="L185" s="2"/>
      <c r="M185" s="2"/>
      <c r="N185" s="2"/>
      <c r="O185" s="2"/>
      <c r="P185" s="2"/>
      <c r="Q185" s="2"/>
      <c r="R185" s="2"/>
      <c r="S185" s="2"/>
      <c r="T185" s="2"/>
      <c r="U185" s="2"/>
    </row>
    <row r="186">
      <c r="A186" s="2"/>
      <c r="B186" s="2"/>
      <c r="C186" s="2"/>
      <c r="D186" s="2"/>
      <c r="E186" s="2"/>
      <c r="F186" s="2"/>
      <c r="G186" s="2"/>
      <c r="H186" s="2"/>
      <c r="I186" s="2"/>
      <c r="J186" s="2"/>
      <c r="K186" s="2"/>
      <c r="L186" s="2"/>
      <c r="M186" s="2"/>
      <c r="N186" s="2"/>
      <c r="O186" s="2"/>
      <c r="P186" s="2"/>
      <c r="Q186" s="2"/>
      <c r="R186" s="2"/>
      <c r="S186" s="2"/>
      <c r="T186" s="2"/>
      <c r="U186" s="2"/>
    </row>
    <row r="187">
      <c r="A187" s="2"/>
      <c r="B187" s="2"/>
      <c r="C187" s="2"/>
      <c r="D187" s="2"/>
      <c r="E187" s="2"/>
      <c r="F187" s="2"/>
      <c r="G187" s="2"/>
      <c r="H187" s="2"/>
      <c r="I187" s="2"/>
      <c r="J187" s="2"/>
      <c r="K187" s="2"/>
      <c r="L187" s="2"/>
      <c r="M187" s="2"/>
      <c r="N187" s="2"/>
      <c r="O187" s="2"/>
      <c r="P187" s="2"/>
      <c r="Q187" s="2"/>
      <c r="R187" s="2"/>
      <c r="S187" s="2"/>
      <c r="T187" s="2"/>
      <c r="U187" s="2"/>
    </row>
    <row r="188">
      <c r="A188" s="2"/>
      <c r="B188" s="2"/>
      <c r="C188" s="2"/>
      <c r="D188" s="2"/>
      <c r="E188" s="2"/>
      <c r="F188" s="2"/>
      <c r="G188" s="2"/>
      <c r="H188" s="2"/>
      <c r="I188" s="2"/>
      <c r="J188" s="2"/>
      <c r="K188" s="2"/>
      <c r="L188" s="2"/>
      <c r="M188" s="2"/>
      <c r="N188" s="2"/>
      <c r="O188" s="2"/>
      <c r="P188" s="2"/>
      <c r="Q188" s="2"/>
      <c r="R188" s="2"/>
      <c r="S188" s="2"/>
      <c r="T188" s="2"/>
      <c r="U188" s="2"/>
    </row>
    <row r="189">
      <c r="A189" s="2"/>
      <c r="B189" s="2"/>
      <c r="C189" s="2"/>
      <c r="D189" s="2"/>
      <c r="E189" s="2"/>
      <c r="F189" s="2"/>
      <c r="G189" s="2"/>
      <c r="H189" s="2"/>
      <c r="I189" s="2"/>
      <c r="J189" s="2"/>
      <c r="K189" s="2"/>
      <c r="L189" s="2"/>
      <c r="M189" s="2"/>
      <c r="N189" s="2"/>
      <c r="O189" s="2"/>
      <c r="P189" s="2"/>
      <c r="Q189" s="2"/>
      <c r="R189" s="2"/>
      <c r="S189" s="2"/>
      <c r="T189" s="2"/>
      <c r="U189" s="2"/>
    </row>
    <row r="190">
      <c r="A190" s="2"/>
      <c r="B190" s="2"/>
      <c r="C190" s="2"/>
      <c r="D190" s="2"/>
      <c r="E190" s="2"/>
      <c r="F190" s="2"/>
      <c r="G190" s="2"/>
      <c r="H190" s="2"/>
      <c r="I190" s="2"/>
      <c r="J190" s="2"/>
      <c r="K190" s="2"/>
      <c r="L190" s="2"/>
      <c r="M190" s="2"/>
      <c r="N190" s="2"/>
      <c r="O190" s="2"/>
      <c r="P190" s="2"/>
      <c r="Q190" s="2"/>
      <c r="R190" s="2"/>
      <c r="S190" s="2"/>
      <c r="T190" s="2"/>
      <c r="U190" s="2"/>
    </row>
    <row r="191">
      <c r="A191" s="2"/>
      <c r="B191" s="2"/>
      <c r="C191" s="2"/>
      <c r="D191" s="2"/>
      <c r="E191" s="2"/>
      <c r="F191" s="2"/>
      <c r="G191" s="2"/>
      <c r="H191" s="2"/>
      <c r="I191" s="2"/>
      <c r="J191" s="2"/>
      <c r="K191" s="2"/>
      <c r="L191" s="2"/>
      <c r="M191" s="2"/>
      <c r="N191" s="2"/>
      <c r="O191" s="2"/>
      <c r="P191" s="2"/>
      <c r="Q191" s="2"/>
      <c r="R191" s="2"/>
      <c r="S191" s="2"/>
      <c r="T191" s="2"/>
      <c r="U191" s="2"/>
    </row>
    <row r="192">
      <c r="A192" s="2"/>
      <c r="B192" s="2"/>
      <c r="C192" s="2"/>
      <c r="D192" s="2"/>
      <c r="E192" s="2"/>
      <c r="F192" s="2"/>
      <c r="G192" s="2"/>
      <c r="H192" s="2"/>
      <c r="I192" s="2"/>
      <c r="J192" s="2"/>
      <c r="K192" s="2"/>
      <c r="L192" s="2"/>
      <c r="M192" s="2"/>
      <c r="N192" s="2"/>
      <c r="O192" s="2"/>
      <c r="P192" s="2"/>
      <c r="Q192" s="2"/>
      <c r="R192" s="2"/>
      <c r="S192" s="2"/>
      <c r="T192" s="2"/>
      <c r="U192" s="2"/>
    </row>
    <row r="193">
      <c r="A193" s="2"/>
      <c r="B193" s="2"/>
      <c r="C193" s="2"/>
      <c r="D193" s="2"/>
      <c r="E193" s="2"/>
      <c r="F193" s="2"/>
      <c r="G193" s="2"/>
      <c r="H193" s="2"/>
      <c r="I193" s="2"/>
      <c r="J193" s="2"/>
      <c r="K193" s="2"/>
      <c r="L193" s="2"/>
      <c r="M193" s="2"/>
      <c r="N193" s="2"/>
      <c r="O193" s="2"/>
      <c r="P193" s="2"/>
      <c r="Q193" s="2"/>
      <c r="R193" s="2"/>
      <c r="S193" s="2"/>
      <c r="T193" s="2"/>
      <c r="U193" s="2"/>
    </row>
    <row r="194">
      <c r="A194" s="2"/>
      <c r="B194" s="2"/>
      <c r="C194" s="2"/>
      <c r="D194" s="2"/>
      <c r="E194" s="2"/>
      <c r="F194" s="2"/>
      <c r="G194" s="2"/>
      <c r="H194" s="2"/>
      <c r="I194" s="2"/>
      <c r="J194" s="2"/>
      <c r="K194" s="2"/>
      <c r="L194" s="2"/>
      <c r="M194" s="2"/>
      <c r="N194" s="2"/>
      <c r="O194" s="2"/>
      <c r="P194" s="2"/>
      <c r="Q194" s="2"/>
      <c r="R194" s="2"/>
      <c r="S194" s="2"/>
      <c r="T194" s="2"/>
      <c r="U194" s="2"/>
    </row>
    <row r="195">
      <c r="A195" s="2"/>
      <c r="B195" s="2"/>
      <c r="C195" s="2"/>
      <c r="D195" s="2"/>
      <c r="E195" s="2"/>
      <c r="F195" s="2"/>
      <c r="G195" s="2"/>
      <c r="H195" s="2"/>
      <c r="I195" s="2"/>
      <c r="J195" s="2"/>
      <c r="K195" s="2"/>
      <c r="L195" s="2"/>
      <c r="M195" s="2"/>
      <c r="N195" s="2"/>
      <c r="O195" s="2"/>
      <c r="P195" s="2"/>
      <c r="Q195" s="2"/>
      <c r="R195" s="2"/>
      <c r="S195" s="2"/>
      <c r="T195" s="2"/>
      <c r="U195" s="2"/>
    </row>
    <row r="196">
      <c r="A196" s="2"/>
      <c r="B196" s="2"/>
      <c r="C196" s="2"/>
      <c r="D196" s="2"/>
      <c r="E196" s="2"/>
      <c r="F196" s="2"/>
      <c r="G196" s="2"/>
      <c r="H196" s="2"/>
      <c r="I196" s="2"/>
      <c r="J196" s="2"/>
      <c r="K196" s="2"/>
      <c r="L196" s="2"/>
      <c r="M196" s="2"/>
      <c r="N196" s="2"/>
      <c r="O196" s="2"/>
      <c r="P196" s="2"/>
      <c r="Q196" s="2"/>
      <c r="R196" s="2"/>
      <c r="S196" s="2"/>
      <c r="T196" s="2"/>
      <c r="U196" s="2"/>
    </row>
    <row r="197">
      <c r="A197" s="2"/>
      <c r="B197" s="2"/>
      <c r="C197" s="2"/>
      <c r="D197" s="2"/>
      <c r="E197" s="2"/>
      <c r="F197" s="2"/>
      <c r="G197" s="2"/>
      <c r="H197" s="2"/>
      <c r="I197" s="2"/>
      <c r="J197" s="2"/>
      <c r="K197" s="2"/>
      <c r="L197" s="2"/>
      <c r="M197" s="2"/>
      <c r="N197" s="2"/>
      <c r="O197" s="2"/>
      <c r="P197" s="2"/>
      <c r="Q197" s="2"/>
      <c r="R197" s="2"/>
      <c r="S197" s="2"/>
      <c r="T197" s="2"/>
      <c r="U197" s="2"/>
    </row>
    <row r="198">
      <c r="A198" s="2"/>
      <c r="B198" s="2"/>
      <c r="C198" s="2"/>
      <c r="D198" s="2"/>
      <c r="E198" s="2"/>
      <c r="F198" s="2"/>
      <c r="G198" s="2"/>
      <c r="H198" s="2"/>
      <c r="I198" s="2"/>
      <c r="J198" s="2"/>
      <c r="K198" s="2"/>
      <c r="L198" s="2"/>
      <c r="M198" s="2"/>
      <c r="N198" s="2"/>
      <c r="O198" s="2"/>
      <c r="P198" s="2"/>
      <c r="Q198" s="2"/>
      <c r="R198" s="2"/>
      <c r="S198" s="2"/>
      <c r="T198" s="2"/>
      <c r="U198" s="2"/>
    </row>
    <row r="199">
      <c r="A199" s="2"/>
      <c r="B199" s="2"/>
      <c r="C199" s="2"/>
      <c r="D199" s="2"/>
      <c r="E199" s="2"/>
      <c r="F199" s="2"/>
      <c r="G199" s="2"/>
      <c r="H199" s="2"/>
      <c r="I199" s="2"/>
      <c r="J199" s="2"/>
      <c r="K199" s="2"/>
      <c r="L199" s="2"/>
      <c r="M199" s="2"/>
      <c r="N199" s="2"/>
      <c r="O199" s="2"/>
      <c r="P199" s="2"/>
      <c r="Q199" s="2"/>
      <c r="R199" s="2"/>
      <c r="S199" s="2"/>
      <c r="T199" s="2"/>
      <c r="U199" s="2"/>
    </row>
    <row r="200">
      <c r="A200" s="2"/>
      <c r="B200" s="2"/>
      <c r="C200" s="2"/>
      <c r="D200" s="2"/>
      <c r="E200" s="2"/>
      <c r="F200" s="2"/>
      <c r="G200" s="2"/>
      <c r="H200" s="2"/>
      <c r="I200" s="2"/>
      <c r="J200" s="2"/>
      <c r="K200" s="2"/>
      <c r="L200" s="2"/>
      <c r="M200" s="2"/>
      <c r="N200" s="2"/>
      <c r="O200" s="2"/>
      <c r="P200" s="2"/>
      <c r="Q200" s="2"/>
      <c r="R200" s="2"/>
      <c r="S200" s="2"/>
      <c r="T200" s="2"/>
      <c r="U200" s="2"/>
    </row>
    <row r="201">
      <c r="A201" s="2"/>
      <c r="B201" s="2"/>
      <c r="C201" s="2"/>
      <c r="D201" s="2"/>
      <c r="E201" s="2"/>
      <c r="F201" s="2"/>
      <c r="G201" s="2"/>
      <c r="H201" s="2"/>
      <c r="I201" s="2"/>
      <c r="J201" s="2"/>
      <c r="K201" s="2"/>
      <c r="L201" s="2"/>
      <c r="M201" s="2"/>
      <c r="N201" s="2"/>
      <c r="O201" s="2"/>
      <c r="P201" s="2"/>
      <c r="Q201" s="2"/>
      <c r="R201" s="2"/>
      <c r="S201" s="2"/>
      <c r="T201" s="2"/>
      <c r="U201" s="2"/>
    </row>
    <row r="202">
      <c r="A202" s="2"/>
      <c r="B202" s="2"/>
      <c r="C202" s="2"/>
      <c r="D202" s="2"/>
      <c r="E202" s="2"/>
      <c r="F202" s="2"/>
      <c r="G202" s="2"/>
      <c r="H202" s="2"/>
      <c r="I202" s="2"/>
      <c r="J202" s="2"/>
      <c r="K202" s="2"/>
      <c r="L202" s="2"/>
      <c r="M202" s="2"/>
      <c r="N202" s="2"/>
      <c r="O202" s="2"/>
      <c r="P202" s="2"/>
      <c r="Q202" s="2"/>
      <c r="R202" s="2"/>
      <c r="S202" s="2"/>
      <c r="T202" s="2"/>
      <c r="U202" s="2"/>
    </row>
    <row r="203">
      <c r="A203" s="2"/>
      <c r="B203" s="2"/>
      <c r="C203" s="2"/>
      <c r="D203" s="2"/>
      <c r="E203" s="2"/>
      <c r="F203" s="2"/>
      <c r="G203" s="2"/>
      <c r="H203" s="2"/>
      <c r="I203" s="2"/>
      <c r="J203" s="2"/>
      <c r="K203" s="2"/>
      <c r="L203" s="2"/>
      <c r="M203" s="2"/>
      <c r="N203" s="2"/>
      <c r="O203" s="2"/>
      <c r="P203" s="2"/>
      <c r="Q203" s="2"/>
      <c r="R203" s="2"/>
      <c r="S203" s="2"/>
      <c r="T203" s="2"/>
      <c r="U203" s="2"/>
    </row>
    <row r="204">
      <c r="A204" s="2"/>
      <c r="B204" s="2"/>
      <c r="C204" s="2"/>
      <c r="D204" s="2"/>
      <c r="E204" s="2"/>
      <c r="F204" s="2"/>
      <c r="G204" s="2"/>
      <c r="H204" s="2"/>
      <c r="I204" s="2"/>
      <c r="J204" s="2"/>
      <c r="K204" s="2"/>
      <c r="L204" s="2"/>
      <c r="M204" s="2"/>
      <c r="N204" s="2"/>
      <c r="O204" s="2"/>
      <c r="P204" s="2"/>
      <c r="Q204" s="2"/>
      <c r="R204" s="2"/>
      <c r="S204" s="2"/>
      <c r="T204" s="2"/>
      <c r="U204" s="2"/>
    </row>
    <row r="205">
      <c r="A205" s="2"/>
      <c r="B205" s="2"/>
      <c r="C205" s="2"/>
      <c r="D205" s="2"/>
      <c r="E205" s="2"/>
      <c r="F205" s="2"/>
      <c r="G205" s="2"/>
      <c r="H205" s="2"/>
      <c r="I205" s="2"/>
      <c r="J205" s="2"/>
      <c r="K205" s="2"/>
      <c r="L205" s="2"/>
      <c r="M205" s="2"/>
      <c r="N205" s="2"/>
      <c r="O205" s="2"/>
      <c r="P205" s="2"/>
      <c r="Q205" s="2"/>
      <c r="R205" s="2"/>
      <c r="S205" s="2"/>
      <c r="T205" s="2"/>
      <c r="U205" s="2"/>
    </row>
    <row r="206">
      <c r="A206" s="2"/>
      <c r="B206" s="2"/>
      <c r="C206" s="2"/>
      <c r="D206" s="2"/>
      <c r="E206" s="2"/>
      <c r="F206" s="2"/>
      <c r="G206" s="2"/>
      <c r="H206" s="2"/>
      <c r="I206" s="2"/>
      <c r="J206" s="2"/>
      <c r="K206" s="2"/>
      <c r="L206" s="2"/>
      <c r="M206" s="2"/>
      <c r="N206" s="2"/>
      <c r="O206" s="2"/>
      <c r="P206" s="2"/>
      <c r="Q206" s="2"/>
      <c r="R206" s="2"/>
      <c r="S206" s="2"/>
      <c r="T206" s="2"/>
      <c r="U206" s="2"/>
    </row>
    <row r="207">
      <c r="A207" s="2"/>
      <c r="B207" s="2"/>
      <c r="C207" s="2"/>
      <c r="D207" s="2"/>
      <c r="E207" s="2"/>
      <c r="F207" s="2"/>
      <c r="G207" s="2"/>
      <c r="H207" s="2"/>
      <c r="I207" s="2"/>
      <c r="J207" s="2"/>
      <c r="K207" s="2"/>
      <c r="L207" s="2"/>
      <c r="M207" s="2"/>
      <c r="N207" s="2"/>
      <c r="O207" s="2"/>
      <c r="P207" s="2"/>
      <c r="Q207" s="2"/>
      <c r="R207" s="2"/>
      <c r="S207" s="2"/>
      <c r="T207" s="2"/>
      <c r="U207" s="2"/>
    </row>
    <row r="208">
      <c r="A208" s="2"/>
      <c r="B208" s="2"/>
      <c r="C208" s="2"/>
      <c r="D208" s="2"/>
      <c r="E208" s="2"/>
      <c r="F208" s="2"/>
      <c r="G208" s="2"/>
      <c r="H208" s="2"/>
      <c r="I208" s="2"/>
      <c r="J208" s="2"/>
      <c r="K208" s="2"/>
      <c r="L208" s="2"/>
      <c r="M208" s="2"/>
      <c r="N208" s="2"/>
      <c r="O208" s="2"/>
      <c r="P208" s="2"/>
      <c r="Q208" s="2"/>
      <c r="R208" s="2"/>
      <c r="S208" s="2"/>
      <c r="T208" s="2"/>
      <c r="U208" s="2"/>
    </row>
    <row r="209">
      <c r="A209" s="2"/>
      <c r="B209" s="2"/>
      <c r="C209" s="2"/>
      <c r="D209" s="2"/>
      <c r="E209" s="2"/>
      <c r="F209" s="2"/>
      <c r="G209" s="2"/>
      <c r="H209" s="2"/>
      <c r="I209" s="2"/>
      <c r="J209" s="2"/>
      <c r="K209" s="2"/>
      <c r="L209" s="2"/>
      <c r="M209" s="2"/>
      <c r="N209" s="2"/>
      <c r="O209" s="2"/>
      <c r="P209" s="2"/>
      <c r="Q209" s="2"/>
      <c r="R209" s="2"/>
      <c r="S209" s="2"/>
      <c r="T209" s="2"/>
      <c r="U209" s="2"/>
    </row>
    <row r="210">
      <c r="A210" s="2"/>
      <c r="B210" s="2"/>
      <c r="C210" s="2"/>
      <c r="D210" s="2"/>
      <c r="E210" s="2"/>
      <c r="F210" s="2"/>
      <c r="G210" s="2"/>
      <c r="H210" s="2"/>
      <c r="I210" s="2"/>
      <c r="J210" s="2"/>
      <c r="K210" s="2"/>
      <c r="L210" s="2"/>
      <c r="M210" s="2"/>
      <c r="N210" s="2"/>
      <c r="O210" s="2"/>
      <c r="P210" s="2"/>
      <c r="Q210" s="2"/>
      <c r="R210" s="2"/>
      <c r="S210" s="2"/>
      <c r="T210" s="2"/>
      <c r="U210" s="2"/>
    </row>
    <row r="211">
      <c r="A211" s="2"/>
      <c r="B211" s="2"/>
      <c r="C211" s="2"/>
      <c r="D211" s="2"/>
      <c r="E211" s="2"/>
      <c r="F211" s="2"/>
      <c r="G211" s="2"/>
      <c r="H211" s="2"/>
      <c r="I211" s="2"/>
      <c r="J211" s="2"/>
      <c r="K211" s="2"/>
      <c r="L211" s="2"/>
      <c r="M211" s="2"/>
      <c r="N211" s="2"/>
      <c r="O211" s="2"/>
      <c r="P211" s="2"/>
      <c r="Q211" s="2"/>
      <c r="R211" s="2"/>
      <c r="S211" s="2"/>
      <c r="T211" s="2"/>
      <c r="U211" s="2"/>
    </row>
    <row r="212">
      <c r="A212" s="2"/>
      <c r="B212" s="2"/>
      <c r="C212" s="2"/>
      <c r="D212" s="2"/>
      <c r="E212" s="2"/>
      <c r="F212" s="2"/>
      <c r="G212" s="2"/>
      <c r="H212" s="2"/>
      <c r="I212" s="2"/>
      <c r="J212" s="2"/>
      <c r="K212" s="2"/>
      <c r="L212" s="2"/>
      <c r="M212" s="2"/>
      <c r="N212" s="2"/>
      <c r="O212" s="2"/>
      <c r="P212" s="2"/>
      <c r="Q212" s="2"/>
      <c r="R212" s="2"/>
      <c r="S212" s="2"/>
      <c r="T212" s="2"/>
      <c r="U212" s="2"/>
    </row>
    <row r="213">
      <c r="A213" s="2"/>
      <c r="B213" s="2"/>
      <c r="C213" s="2"/>
      <c r="D213" s="2"/>
      <c r="E213" s="2"/>
      <c r="F213" s="2"/>
      <c r="G213" s="2"/>
      <c r="H213" s="2"/>
      <c r="I213" s="2"/>
      <c r="J213" s="2"/>
      <c r="K213" s="2"/>
      <c r="L213" s="2"/>
      <c r="M213" s="2"/>
      <c r="N213" s="2"/>
      <c r="O213" s="2"/>
      <c r="P213" s="2"/>
      <c r="Q213" s="2"/>
      <c r="R213" s="2"/>
      <c r="S213" s="2"/>
      <c r="T213" s="2"/>
      <c r="U213" s="2"/>
    </row>
    <row r="214">
      <c r="A214" s="2"/>
      <c r="B214" s="2"/>
      <c r="C214" s="2"/>
      <c r="D214" s="2"/>
      <c r="E214" s="2"/>
      <c r="F214" s="2"/>
      <c r="G214" s="2"/>
      <c r="H214" s="2"/>
      <c r="I214" s="2"/>
      <c r="J214" s="2"/>
      <c r="K214" s="2"/>
      <c r="L214" s="2"/>
      <c r="M214" s="2"/>
      <c r="N214" s="2"/>
      <c r="O214" s="2"/>
      <c r="P214" s="2"/>
      <c r="Q214" s="2"/>
      <c r="R214" s="2"/>
      <c r="S214" s="2"/>
      <c r="T214" s="2"/>
      <c r="U214" s="2"/>
    </row>
    <row r="215">
      <c r="A215" s="2"/>
      <c r="B215" s="2"/>
      <c r="C215" s="2"/>
      <c r="D215" s="2"/>
      <c r="E215" s="2"/>
      <c r="F215" s="2"/>
      <c r="G215" s="2"/>
      <c r="H215" s="2"/>
      <c r="I215" s="2"/>
      <c r="J215" s="2"/>
      <c r="K215" s="2"/>
      <c r="L215" s="2"/>
      <c r="M215" s="2"/>
      <c r="N215" s="2"/>
      <c r="O215" s="2"/>
      <c r="P215" s="2"/>
      <c r="Q215" s="2"/>
      <c r="R215" s="2"/>
      <c r="S215" s="2"/>
      <c r="T215" s="2"/>
      <c r="U215" s="2"/>
    </row>
    <row r="216">
      <c r="A216" s="2"/>
      <c r="B216" s="2"/>
      <c r="C216" s="2"/>
      <c r="D216" s="2"/>
      <c r="E216" s="2"/>
      <c r="F216" s="2"/>
      <c r="G216" s="2"/>
      <c r="H216" s="2"/>
      <c r="I216" s="2"/>
      <c r="J216" s="2"/>
      <c r="K216" s="2"/>
      <c r="L216" s="2"/>
      <c r="M216" s="2"/>
      <c r="N216" s="2"/>
      <c r="O216" s="2"/>
      <c r="P216" s="2"/>
      <c r="Q216" s="2"/>
      <c r="R216" s="2"/>
      <c r="S216" s="2"/>
      <c r="T216" s="2"/>
      <c r="U216" s="2"/>
    </row>
    <row r="217">
      <c r="A217" s="2"/>
      <c r="B217" s="2"/>
      <c r="C217" s="2"/>
      <c r="D217" s="2"/>
      <c r="E217" s="2"/>
      <c r="F217" s="2"/>
      <c r="G217" s="2"/>
      <c r="H217" s="2"/>
      <c r="I217" s="2"/>
      <c r="J217" s="2"/>
      <c r="K217" s="2"/>
      <c r="L217" s="2"/>
      <c r="M217" s="2"/>
      <c r="N217" s="2"/>
      <c r="O217" s="2"/>
      <c r="P217" s="2"/>
      <c r="Q217" s="2"/>
      <c r="R217" s="2"/>
      <c r="S217" s="2"/>
      <c r="T217" s="2"/>
      <c r="U217" s="2"/>
    </row>
    <row r="218">
      <c r="A218" s="2"/>
      <c r="B218" s="2"/>
      <c r="C218" s="2"/>
      <c r="D218" s="2"/>
      <c r="E218" s="2"/>
      <c r="F218" s="2"/>
      <c r="G218" s="2"/>
      <c r="H218" s="2"/>
      <c r="I218" s="2"/>
      <c r="J218" s="2"/>
      <c r="K218" s="2"/>
      <c r="L218" s="2"/>
      <c r="M218" s="2"/>
      <c r="N218" s="2"/>
      <c r="O218" s="2"/>
      <c r="P218" s="2"/>
      <c r="Q218" s="2"/>
      <c r="R218" s="2"/>
      <c r="S218" s="2"/>
      <c r="T218" s="2"/>
      <c r="U218" s="2"/>
    </row>
    <row r="219">
      <c r="A219" s="2"/>
      <c r="B219" s="2"/>
      <c r="C219" s="2"/>
      <c r="D219" s="2"/>
      <c r="E219" s="2"/>
      <c r="F219" s="2"/>
      <c r="G219" s="2"/>
      <c r="H219" s="2"/>
      <c r="I219" s="2"/>
      <c r="J219" s="2"/>
      <c r="K219" s="2"/>
      <c r="L219" s="2"/>
      <c r="M219" s="2"/>
      <c r="N219" s="2"/>
      <c r="O219" s="2"/>
      <c r="P219" s="2"/>
      <c r="Q219" s="2"/>
      <c r="R219" s="2"/>
      <c r="S219" s="2"/>
      <c r="T219" s="2"/>
      <c r="U219" s="2"/>
    </row>
    <row r="220">
      <c r="A220" s="2"/>
      <c r="B220" s="2"/>
      <c r="C220" s="2"/>
      <c r="D220" s="2"/>
      <c r="E220" s="2"/>
      <c r="F220" s="2"/>
      <c r="G220" s="2"/>
      <c r="H220" s="2"/>
      <c r="I220" s="2"/>
      <c r="J220" s="2"/>
      <c r="K220" s="2"/>
      <c r="L220" s="2"/>
      <c r="M220" s="2"/>
      <c r="N220" s="2"/>
      <c r="O220" s="2"/>
      <c r="P220" s="2"/>
      <c r="Q220" s="2"/>
      <c r="R220" s="2"/>
      <c r="S220" s="2"/>
      <c r="T220" s="2"/>
      <c r="U220" s="2"/>
    </row>
    <row r="221">
      <c r="A221" s="2"/>
      <c r="B221" s="2"/>
      <c r="C221" s="2"/>
      <c r="D221" s="2"/>
      <c r="E221" s="2"/>
      <c r="F221" s="2"/>
      <c r="G221" s="2"/>
      <c r="H221" s="2"/>
      <c r="I221" s="2"/>
      <c r="J221" s="2"/>
      <c r="K221" s="2"/>
      <c r="L221" s="2"/>
      <c r="M221" s="2"/>
      <c r="N221" s="2"/>
      <c r="O221" s="2"/>
      <c r="P221" s="2"/>
      <c r="Q221" s="2"/>
      <c r="R221" s="2"/>
      <c r="S221" s="2"/>
      <c r="T221" s="2"/>
      <c r="U221" s="2"/>
    </row>
    <row r="222">
      <c r="A222" s="2"/>
      <c r="B222" s="2"/>
      <c r="C222" s="2"/>
      <c r="D222" s="2"/>
      <c r="E222" s="2"/>
      <c r="F222" s="2"/>
      <c r="G222" s="2"/>
      <c r="H222" s="2"/>
      <c r="I222" s="2"/>
      <c r="J222" s="2"/>
      <c r="K222" s="2"/>
      <c r="L222" s="2"/>
      <c r="M222" s="2"/>
      <c r="N222" s="2"/>
      <c r="O222" s="2"/>
      <c r="P222" s="2"/>
      <c r="Q222" s="2"/>
      <c r="R222" s="2"/>
      <c r="S222" s="2"/>
      <c r="T222" s="2"/>
      <c r="U222" s="2"/>
    </row>
    <row r="223">
      <c r="A223" s="2"/>
      <c r="B223" s="2"/>
      <c r="C223" s="2"/>
      <c r="D223" s="2"/>
      <c r="E223" s="2"/>
      <c r="F223" s="2"/>
      <c r="G223" s="2"/>
      <c r="H223" s="2"/>
      <c r="I223" s="2"/>
      <c r="J223" s="2"/>
      <c r="K223" s="2"/>
      <c r="L223" s="2"/>
      <c r="M223" s="2"/>
      <c r="N223" s="2"/>
      <c r="O223" s="2"/>
      <c r="P223" s="2"/>
      <c r="Q223" s="2"/>
      <c r="R223" s="2"/>
      <c r="S223" s="2"/>
      <c r="T223" s="2"/>
      <c r="U223" s="2"/>
    </row>
    <row r="224">
      <c r="A224" s="2"/>
      <c r="B224" s="2"/>
      <c r="C224" s="2"/>
      <c r="D224" s="2"/>
      <c r="E224" s="2"/>
      <c r="F224" s="2"/>
      <c r="G224" s="2"/>
      <c r="H224" s="2"/>
      <c r="I224" s="2"/>
      <c r="J224" s="2"/>
      <c r="K224" s="2"/>
      <c r="L224" s="2"/>
      <c r="M224" s="2"/>
      <c r="N224" s="2"/>
      <c r="O224" s="2"/>
      <c r="P224" s="2"/>
      <c r="Q224" s="2"/>
      <c r="R224" s="2"/>
      <c r="S224" s="2"/>
      <c r="T224" s="2"/>
      <c r="U224" s="2"/>
    </row>
    <row r="225">
      <c r="A225" s="2"/>
      <c r="B225" s="2"/>
      <c r="C225" s="2"/>
      <c r="D225" s="2"/>
      <c r="E225" s="2"/>
      <c r="F225" s="2"/>
      <c r="G225" s="2"/>
      <c r="H225" s="2"/>
      <c r="I225" s="2"/>
      <c r="J225" s="2"/>
      <c r="K225" s="2"/>
      <c r="L225" s="2"/>
      <c r="M225" s="2"/>
      <c r="N225" s="2"/>
      <c r="O225" s="2"/>
      <c r="P225" s="2"/>
      <c r="Q225" s="2"/>
      <c r="R225" s="2"/>
      <c r="S225" s="2"/>
      <c r="T225" s="2"/>
      <c r="U225" s="2"/>
    </row>
    <row r="226">
      <c r="A226" s="2"/>
      <c r="B226" s="2"/>
      <c r="C226" s="2"/>
      <c r="D226" s="2"/>
      <c r="E226" s="2"/>
      <c r="F226" s="2"/>
      <c r="G226" s="2"/>
      <c r="H226" s="2"/>
      <c r="I226" s="2"/>
      <c r="J226" s="2"/>
      <c r="K226" s="2"/>
      <c r="L226" s="2"/>
      <c r="M226" s="2"/>
      <c r="N226" s="2"/>
      <c r="O226" s="2"/>
      <c r="P226" s="2"/>
      <c r="Q226" s="2"/>
      <c r="R226" s="2"/>
      <c r="S226" s="2"/>
      <c r="T226" s="2"/>
      <c r="U226" s="2"/>
    </row>
    <row r="227">
      <c r="A227" s="2"/>
      <c r="B227" s="2"/>
      <c r="C227" s="2"/>
      <c r="D227" s="2"/>
      <c r="E227" s="2"/>
      <c r="F227" s="2"/>
      <c r="G227" s="2"/>
      <c r="H227" s="2"/>
      <c r="I227" s="2"/>
      <c r="J227" s="2"/>
      <c r="K227" s="2"/>
      <c r="L227" s="2"/>
      <c r="M227" s="2"/>
      <c r="N227" s="2"/>
      <c r="O227" s="2"/>
      <c r="P227" s="2"/>
      <c r="Q227" s="2"/>
      <c r="R227" s="2"/>
      <c r="S227" s="2"/>
      <c r="T227" s="2"/>
      <c r="U227" s="2"/>
    </row>
    <row r="228">
      <c r="A228" s="2"/>
      <c r="B228" s="2"/>
      <c r="C228" s="2"/>
      <c r="D228" s="2"/>
      <c r="E228" s="2"/>
      <c r="F228" s="2"/>
      <c r="G228" s="2"/>
      <c r="H228" s="2"/>
      <c r="I228" s="2"/>
      <c r="J228" s="2"/>
      <c r="K228" s="2"/>
      <c r="L228" s="2"/>
      <c r="M228" s="2"/>
      <c r="N228" s="2"/>
      <c r="O228" s="2"/>
      <c r="P228" s="2"/>
      <c r="Q228" s="2"/>
      <c r="R228" s="2"/>
      <c r="S228" s="2"/>
      <c r="T228" s="2"/>
      <c r="U228" s="2"/>
    </row>
    <row r="229">
      <c r="A229" s="2"/>
      <c r="B229" s="2"/>
      <c r="C229" s="2"/>
      <c r="D229" s="2"/>
      <c r="E229" s="2"/>
      <c r="F229" s="2"/>
      <c r="G229" s="2"/>
      <c r="H229" s="2"/>
      <c r="I229" s="2"/>
      <c r="J229" s="2"/>
      <c r="K229" s="2"/>
      <c r="L229" s="2"/>
      <c r="M229" s="2"/>
      <c r="N229" s="2"/>
      <c r="O229" s="2"/>
      <c r="P229" s="2"/>
      <c r="Q229" s="2"/>
      <c r="R229" s="2"/>
      <c r="S229" s="2"/>
      <c r="T229" s="2"/>
      <c r="U229" s="2"/>
    </row>
    <row r="230">
      <c r="A230" s="2"/>
      <c r="B230" s="2"/>
      <c r="C230" s="2"/>
      <c r="D230" s="2"/>
      <c r="E230" s="2"/>
      <c r="F230" s="2"/>
      <c r="G230" s="2"/>
      <c r="H230" s="2"/>
      <c r="I230" s="2"/>
      <c r="J230" s="2"/>
      <c r="K230" s="2"/>
      <c r="L230" s="2"/>
      <c r="M230" s="2"/>
      <c r="N230" s="2"/>
      <c r="O230" s="2"/>
      <c r="P230" s="2"/>
      <c r="Q230" s="2"/>
      <c r="R230" s="2"/>
      <c r="S230" s="2"/>
      <c r="T230" s="2"/>
      <c r="U230" s="2"/>
    </row>
    <row r="231">
      <c r="A231" s="2"/>
      <c r="B231" s="2"/>
      <c r="C231" s="2"/>
      <c r="D231" s="2"/>
      <c r="E231" s="2"/>
      <c r="F231" s="2"/>
      <c r="G231" s="2"/>
      <c r="H231" s="2"/>
      <c r="I231" s="2"/>
      <c r="J231" s="2"/>
      <c r="K231" s="2"/>
      <c r="L231" s="2"/>
      <c r="M231" s="2"/>
      <c r="N231" s="2"/>
      <c r="O231" s="2"/>
      <c r="P231" s="2"/>
      <c r="Q231" s="2"/>
      <c r="R231" s="2"/>
      <c r="S231" s="2"/>
      <c r="T231" s="2"/>
      <c r="U231" s="2"/>
    </row>
    <row r="232">
      <c r="A232" s="2"/>
      <c r="B232" s="2"/>
      <c r="C232" s="2"/>
      <c r="D232" s="2"/>
      <c r="E232" s="2"/>
      <c r="F232" s="2"/>
      <c r="G232" s="2"/>
      <c r="H232" s="2"/>
      <c r="I232" s="2"/>
      <c r="J232" s="2"/>
      <c r="K232" s="2"/>
      <c r="L232" s="2"/>
      <c r="M232" s="2"/>
      <c r="N232" s="2"/>
      <c r="O232" s="2"/>
      <c r="P232" s="2"/>
      <c r="Q232" s="2"/>
      <c r="R232" s="2"/>
      <c r="S232" s="2"/>
      <c r="T232" s="2"/>
      <c r="U232" s="2"/>
    </row>
    <row r="233">
      <c r="A233" s="2"/>
      <c r="B233" s="2"/>
      <c r="C233" s="2"/>
      <c r="D233" s="2"/>
      <c r="E233" s="2"/>
      <c r="F233" s="2"/>
      <c r="G233" s="2"/>
      <c r="H233" s="2"/>
      <c r="I233" s="2"/>
      <c r="J233" s="2"/>
      <c r="K233" s="2"/>
      <c r="L233" s="2"/>
      <c r="M233" s="2"/>
      <c r="N233" s="2"/>
      <c r="O233" s="2"/>
      <c r="P233" s="2"/>
      <c r="Q233" s="2"/>
      <c r="R233" s="2"/>
      <c r="S233" s="2"/>
      <c r="T233" s="2"/>
      <c r="U233" s="2"/>
    </row>
    <row r="234">
      <c r="A234" s="2"/>
      <c r="B234" s="2"/>
      <c r="C234" s="2"/>
      <c r="D234" s="2"/>
      <c r="E234" s="2"/>
      <c r="F234" s="2"/>
      <c r="G234" s="2"/>
      <c r="H234" s="2"/>
      <c r="I234" s="2"/>
      <c r="J234" s="2"/>
      <c r="K234" s="2"/>
      <c r="L234" s="2"/>
      <c r="M234" s="2"/>
      <c r="N234" s="2"/>
      <c r="O234" s="2"/>
      <c r="P234" s="2"/>
      <c r="Q234" s="2"/>
      <c r="R234" s="2"/>
      <c r="S234" s="2"/>
      <c r="T234" s="2"/>
      <c r="U234" s="2"/>
    </row>
    <row r="235">
      <c r="A235" s="2"/>
      <c r="B235" s="2"/>
      <c r="C235" s="2"/>
      <c r="D235" s="2"/>
      <c r="E235" s="2"/>
      <c r="F235" s="2"/>
      <c r="G235" s="2"/>
      <c r="H235" s="2"/>
      <c r="I235" s="2"/>
      <c r="J235" s="2"/>
      <c r="K235" s="2"/>
      <c r="L235" s="2"/>
      <c r="M235" s="2"/>
      <c r="N235" s="2"/>
      <c r="O235" s="2"/>
      <c r="P235" s="2"/>
      <c r="Q235" s="2"/>
      <c r="R235" s="2"/>
      <c r="S235" s="2"/>
      <c r="T235" s="2"/>
      <c r="U235" s="2"/>
    </row>
    <row r="236">
      <c r="A236" s="2"/>
      <c r="B236" s="2"/>
      <c r="C236" s="2"/>
      <c r="D236" s="2"/>
      <c r="E236" s="2"/>
      <c r="F236" s="2"/>
      <c r="G236" s="2"/>
      <c r="H236" s="2"/>
      <c r="I236" s="2"/>
      <c r="J236" s="2"/>
      <c r="K236" s="2"/>
      <c r="L236" s="2"/>
      <c r="M236" s="2"/>
      <c r="N236" s="2"/>
      <c r="O236" s="2"/>
      <c r="P236" s="2"/>
      <c r="Q236" s="2"/>
      <c r="R236" s="2"/>
      <c r="S236" s="2"/>
      <c r="T236" s="2"/>
      <c r="U236" s="2"/>
    </row>
    <row r="237">
      <c r="A237" s="2"/>
      <c r="B237" s="2"/>
      <c r="C237" s="2"/>
      <c r="D237" s="2"/>
      <c r="E237" s="2"/>
      <c r="F237" s="2"/>
      <c r="G237" s="2"/>
      <c r="H237" s="2"/>
      <c r="I237" s="2"/>
      <c r="J237" s="2"/>
      <c r="K237" s="2"/>
      <c r="L237" s="2"/>
      <c r="M237" s="2"/>
      <c r="N237" s="2"/>
      <c r="O237" s="2"/>
      <c r="P237" s="2"/>
      <c r="Q237" s="2"/>
      <c r="R237" s="2"/>
      <c r="S237" s="2"/>
      <c r="T237" s="2"/>
      <c r="U237" s="2"/>
    </row>
    <row r="238">
      <c r="A238" s="2"/>
      <c r="B238" s="2"/>
      <c r="C238" s="2"/>
      <c r="D238" s="2"/>
      <c r="E238" s="2"/>
      <c r="F238" s="2"/>
      <c r="G238" s="2"/>
      <c r="H238" s="2"/>
      <c r="I238" s="2"/>
      <c r="J238" s="2"/>
      <c r="K238" s="2"/>
      <c r="L238" s="2"/>
      <c r="M238" s="2"/>
      <c r="N238" s="2"/>
      <c r="O238" s="2"/>
      <c r="P238" s="2"/>
      <c r="Q238" s="2"/>
      <c r="R238" s="2"/>
      <c r="S238" s="2"/>
      <c r="T238" s="2"/>
      <c r="U238" s="2"/>
    </row>
    <row r="239">
      <c r="A239" s="2"/>
      <c r="B239" s="2"/>
      <c r="C239" s="2"/>
      <c r="D239" s="2"/>
      <c r="E239" s="2"/>
      <c r="F239" s="2"/>
      <c r="G239" s="2"/>
      <c r="H239" s="2"/>
      <c r="I239" s="2"/>
      <c r="J239" s="2"/>
      <c r="K239" s="2"/>
      <c r="L239" s="2"/>
      <c r="M239" s="2"/>
      <c r="N239" s="2"/>
      <c r="O239" s="2"/>
      <c r="P239" s="2"/>
      <c r="Q239" s="2"/>
      <c r="R239" s="2"/>
      <c r="S239" s="2"/>
      <c r="T239" s="2"/>
      <c r="U239" s="2"/>
    </row>
    <row r="240">
      <c r="A240" s="2"/>
      <c r="B240" s="2"/>
      <c r="C240" s="2"/>
      <c r="D240" s="2"/>
      <c r="E240" s="2"/>
      <c r="F240" s="2"/>
      <c r="G240" s="2"/>
      <c r="H240" s="2"/>
      <c r="I240" s="2"/>
      <c r="J240" s="2"/>
      <c r="K240" s="2"/>
      <c r="L240" s="2"/>
      <c r="M240" s="2"/>
      <c r="N240" s="2"/>
      <c r="O240" s="2"/>
      <c r="P240" s="2"/>
      <c r="Q240" s="2"/>
      <c r="R240" s="2"/>
      <c r="S240" s="2"/>
      <c r="T240" s="2"/>
      <c r="U240" s="2"/>
    </row>
    <row r="241">
      <c r="A241" s="2"/>
      <c r="B241" s="2"/>
      <c r="C241" s="2"/>
      <c r="D241" s="2"/>
      <c r="E241" s="2"/>
      <c r="F241" s="2"/>
      <c r="G241" s="2"/>
      <c r="H241" s="2"/>
      <c r="I241" s="2"/>
      <c r="J241" s="2"/>
      <c r="K241" s="2"/>
      <c r="L241" s="2"/>
      <c r="M241" s="2"/>
      <c r="N241" s="2"/>
      <c r="O241" s="2"/>
      <c r="P241" s="2"/>
      <c r="Q241" s="2"/>
      <c r="R241" s="2"/>
      <c r="S241" s="2"/>
      <c r="T241" s="2"/>
      <c r="U241" s="2"/>
    </row>
    <row r="242">
      <c r="A242" s="2"/>
      <c r="B242" s="2"/>
      <c r="C242" s="2"/>
      <c r="D242" s="2"/>
      <c r="E242" s="2"/>
      <c r="F242" s="2"/>
      <c r="G242" s="2"/>
      <c r="H242" s="2"/>
      <c r="I242" s="2"/>
      <c r="J242" s="2"/>
      <c r="K242" s="2"/>
      <c r="L242" s="2"/>
      <c r="M242" s="2"/>
      <c r="N242" s="2"/>
      <c r="O242" s="2"/>
      <c r="P242" s="2"/>
      <c r="Q242" s="2"/>
      <c r="R242" s="2"/>
      <c r="S242" s="2"/>
      <c r="T242" s="2"/>
      <c r="U242" s="2"/>
    </row>
    <row r="243">
      <c r="A243" s="2"/>
      <c r="B243" s="2"/>
      <c r="C243" s="2"/>
      <c r="D243" s="2"/>
      <c r="E243" s="2"/>
      <c r="F243" s="2"/>
      <c r="G243" s="2"/>
      <c r="H243" s="2"/>
      <c r="I243" s="2"/>
      <c r="J243" s="2"/>
      <c r="K243" s="2"/>
      <c r="L243" s="2"/>
      <c r="M243" s="2"/>
      <c r="N243" s="2"/>
      <c r="O243" s="2"/>
      <c r="P243" s="2"/>
      <c r="Q243" s="2"/>
      <c r="R243" s="2"/>
      <c r="S243" s="2"/>
      <c r="T243" s="2"/>
      <c r="U243" s="2"/>
    </row>
    <row r="244">
      <c r="A244" s="2"/>
      <c r="B244" s="2"/>
      <c r="C244" s="2"/>
      <c r="D244" s="2"/>
      <c r="E244" s="2"/>
      <c r="F244" s="2"/>
      <c r="G244" s="2"/>
      <c r="H244" s="2"/>
      <c r="I244" s="2"/>
      <c r="J244" s="2"/>
      <c r="K244" s="2"/>
      <c r="L244" s="2"/>
      <c r="M244" s="2"/>
      <c r="N244" s="2"/>
      <c r="O244" s="2"/>
      <c r="P244" s="2"/>
      <c r="Q244" s="2"/>
      <c r="R244" s="2"/>
      <c r="S244" s="2"/>
      <c r="T244" s="2"/>
      <c r="U244" s="2"/>
    </row>
    <row r="245">
      <c r="A245" s="2"/>
      <c r="B245" s="2"/>
      <c r="C245" s="2"/>
      <c r="D245" s="2"/>
      <c r="E245" s="2"/>
      <c r="F245" s="2"/>
      <c r="G245" s="2"/>
      <c r="H245" s="2"/>
      <c r="I245" s="2"/>
      <c r="J245" s="2"/>
      <c r="K245" s="2"/>
      <c r="L245" s="2"/>
      <c r="M245" s="2"/>
      <c r="N245" s="2"/>
      <c r="O245" s="2"/>
      <c r="P245" s="2"/>
      <c r="Q245" s="2"/>
      <c r="R245" s="2"/>
      <c r="S245" s="2"/>
      <c r="T245" s="2"/>
      <c r="U245" s="2"/>
    </row>
    <row r="246">
      <c r="A246" s="2"/>
      <c r="B246" s="2"/>
      <c r="C246" s="2"/>
      <c r="D246" s="2"/>
      <c r="E246" s="2"/>
      <c r="F246" s="2"/>
      <c r="G246" s="2"/>
      <c r="H246" s="2"/>
      <c r="I246" s="2"/>
      <c r="J246" s="2"/>
      <c r="K246" s="2"/>
      <c r="L246" s="2"/>
      <c r="M246" s="2"/>
      <c r="N246" s="2"/>
      <c r="O246" s="2"/>
      <c r="P246" s="2"/>
      <c r="Q246" s="2"/>
      <c r="R246" s="2"/>
      <c r="S246" s="2"/>
      <c r="T246" s="2"/>
      <c r="U246" s="2"/>
    </row>
    <row r="247">
      <c r="A247" s="2"/>
      <c r="B247" s="2"/>
      <c r="C247" s="2"/>
      <c r="D247" s="2"/>
      <c r="E247" s="2"/>
      <c r="F247" s="2"/>
      <c r="G247" s="2"/>
      <c r="H247" s="2"/>
      <c r="I247" s="2"/>
      <c r="J247" s="2"/>
      <c r="K247" s="2"/>
      <c r="L247" s="2"/>
      <c r="M247" s="2"/>
      <c r="N247" s="2"/>
      <c r="O247" s="2"/>
      <c r="P247" s="2"/>
      <c r="Q247" s="2"/>
      <c r="R247" s="2"/>
      <c r="S247" s="2"/>
      <c r="T247" s="2"/>
      <c r="U247" s="2"/>
    </row>
    <row r="248">
      <c r="A248" s="2"/>
      <c r="B248" s="2"/>
      <c r="C248" s="2"/>
      <c r="D248" s="2"/>
      <c r="E248" s="2"/>
      <c r="F248" s="2"/>
      <c r="G248" s="2"/>
      <c r="H248" s="2"/>
      <c r="I248" s="2"/>
      <c r="J248" s="2"/>
      <c r="K248" s="2"/>
      <c r="L248" s="2"/>
      <c r="M248" s="2"/>
      <c r="N248" s="2"/>
      <c r="O248" s="2"/>
      <c r="P248" s="2"/>
      <c r="Q248" s="2"/>
      <c r="R248" s="2"/>
      <c r="S248" s="2"/>
      <c r="T248" s="2"/>
      <c r="U248" s="2"/>
    </row>
    <row r="249">
      <c r="A249" s="2"/>
      <c r="B249" s="2"/>
      <c r="C249" s="2"/>
      <c r="D249" s="2"/>
      <c r="E249" s="2"/>
      <c r="F249" s="2"/>
      <c r="G249" s="2"/>
      <c r="H249" s="2"/>
      <c r="I249" s="2"/>
      <c r="J249" s="2"/>
      <c r="K249" s="2"/>
      <c r="L249" s="2"/>
      <c r="M249" s="2"/>
      <c r="N249" s="2"/>
      <c r="O249" s="2"/>
      <c r="P249" s="2"/>
      <c r="Q249" s="2"/>
      <c r="R249" s="2"/>
      <c r="S249" s="2"/>
      <c r="T249" s="2"/>
      <c r="U249" s="2"/>
    </row>
    <row r="250">
      <c r="A250" s="2"/>
      <c r="B250" s="2"/>
      <c r="C250" s="2"/>
      <c r="D250" s="2"/>
      <c r="E250" s="2"/>
      <c r="F250" s="2"/>
      <c r="G250" s="2"/>
      <c r="H250" s="2"/>
      <c r="I250" s="2"/>
      <c r="J250" s="2"/>
      <c r="K250" s="2"/>
      <c r="L250" s="2"/>
      <c r="M250" s="2"/>
      <c r="N250" s="2"/>
      <c r="O250" s="2"/>
      <c r="P250" s="2"/>
      <c r="Q250" s="2"/>
      <c r="R250" s="2"/>
      <c r="S250" s="2"/>
      <c r="T250" s="2"/>
      <c r="U250" s="2"/>
    </row>
    <row r="251">
      <c r="A251" s="2"/>
      <c r="B251" s="2"/>
      <c r="C251" s="2"/>
      <c r="D251" s="2"/>
      <c r="E251" s="2"/>
      <c r="F251" s="2"/>
      <c r="G251" s="2"/>
      <c r="H251" s="2"/>
      <c r="I251" s="2"/>
      <c r="J251" s="2"/>
      <c r="K251" s="2"/>
      <c r="L251" s="2"/>
      <c r="M251" s="2"/>
      <c r="N251" s="2"/>
      <c r="O251" s="2"/>
      <c r="P251" s="2"/>
      <c r="Q251" s="2"/>
      <c r="R251" s="2"/>
      <c r="S251" s="2"/>
      <c r="T251" s="2"/>
      <c r="U251" s="2"/>
    </row>
    <row r="252">
      <c r="A252" s="2"/>
      <c r="B252" s="2"/>
      <c r="C252" s="2"/>
      <c r="D252" s="2"/>
      <c r="E252" s="2"/>
      <c r="F252" s="2"/>
      <c r="G252" s="2"/>
      <c r="H252" s="2"/>
      <c r="I252" s="2"/>
      <c r="J252" s="2"/>
      <c r="K252" s="2"/>
      <c r="L252" s="2"/>
      <c r="M252" s="2"/>
      <c r="N252" s="2"/>
      <c r="O252" s="2"/>
      <c r="P252" s="2"/>
      <c r="Q252" s="2"/>
      <c r="R252" s="2"/>
      <c r="S252" s="2"/>
      <c r="T252" s="2"/>
      <c r="U252" s="2"/>
    </row>
    <row r="253">
      <c r="A253" s="2"/>
      <c r="B253" s="2"/>
      <c r="C253" s="2"/>
      <c r="D253" s="2"/>
      <c r="E253" s="2"/>
      <c r="F253" s="2"/>
      <c r="G253" s="2"/>
      <c r="H253" s="2"/>
      <c r="I253" s="2"/>
      <c r="J253" s="2"/>
      <c r="K253" s="2"/>
      <c r="L253" s="2"/>
      <c r="M253" s="2"/>
      <c r="N253" s="2"/>
      <c r="O253" s="2"/>
      <c r="P253" s="2"/>
      <c r="Q253" s="2"/>
      <c r="R253" s="2"/>
      <c r="S253" s="2"/>
      <c r="T253" s="2"/>
      <c r="U253" s="2"/>
    </row>
    <row r="254">
      <c r="A254" s="2"/>
      <c r="B254" s="2"/>
      <c r="C254" s="2"/>
      <c r="D254" s="2"/>
      <c r="E254" s="2"/>
      <c r="F254" s="2"/>
      <c r="G254" s="2"/>
      <c r="H254" s="2"/>
      <c r="I254" s="2"/>
      <c r="J254" s="2"/>
      <c r="K254" s="2"/>
      <c r="L254" s="2"/>
      <c r="M254" s="2"/>
      <c r="N254" s="2"/>
      <c r="O254" s="2"/>
      <c r="P254" s="2"/>
      <c r="Q254" s="2"/>
      <c r="R254" s="2"/>
      <c r="S254" s="2"/>
      <c r="T254" s="2"/>
      <c r="U254" s="2"/>
    </row>
    <row r="255">
      <c r="A255" s="2"/>
      <c r="B255" s="2"/>
      <c r="C255" s="2"/>
      <c r="D255" s="2"/>
      <c r="E255" s="2"/>
      <c r="F255" s="2"/>
      <c r="G255" s="2"/>
      <c r="H255" s="2"/>
      <c r="I255" s="2"/>
      <c r="J255" s="2"/>
      <c r="K255" s="2"/>
      <c r="L255" s="2"/>
      <c r="M255" s="2"/>
      <c r="N255" s="2"/>
      <c r="O255" s="2"/>
      <c r="P255" s="2"/>
      <c r="Q255" s="2"/>
      <c r="R255" s="2"/>
      <c r="S255" s="2"/>
      <c r="T255" s="2"/>
      <c r="U255" s="2"/>
    </row>
    <row r="256">
      <c r="A256" s="2"/>
      <c r="B256" s="2"/>
      <c r="C256" s="2"/>
      <c r="D256" s="2"/>
      <c r="E256" s="2"/>
      <c r="F256" s="2"/>
      <c r="G256" s="2"/>
      <c r="H256" s="2"/>
      <c r="I256" s="2"/>
      <c r="J256" s="2"/>
      <c r="K256" s="2"/>
      <c r="L256" s="2"/>
      <c r="M256" s="2"/>
      <c r="N256" s="2"/>
      <c r="O256" s="2"/>
      <c r="P256" s="2"/>
      <c r="Q256" s="2"/>
      <c r="R256" s="2"/>
      <c r="S256" s="2"/>
      <c r="T256" s="2"/>
      <c r="U256" s="2"/>
    </row>
    <row r="257">
      <c r="A257" s="2"/>
      <c r="B257" s="2"/>
      <c r="C257" s="2"/>
      <c r="D257" s="2"/>
      <c r="E257" s="2"/>
      <c r="F257" s="2"/>
      <c r="G257" s="2"/>
      <c r="H257" s="2"/>
      <c r="I257" s="2"/>
      <c r="J257" s="2"/>
      <c r="K257" s="2"/>
      <c r="L257" s="2"/>
      <c r="M257" s="2"/>
      <c r="N257" s="2"/>
      <c r="O257" s="2"/>
      <c r="P257" s="2"/>
      <c r="Q257" s="2"/>
      <c r="R257" s="2"/>
      <c r="S257" s="2"/>
      <c r="T257" s="2"/>
      <c r="U257" s="2"/>
    </row>
    <row r="258">
      <c r="A258" s="2"/>
      <c r="B258" s="2"/>
      <c r="C258" s="2"/>
      <c r="D258" s="2"/>
      <c r="E258" s="2"/>
      <c r="F258" s="2"/>
      <c r="G258" s="2"/>
      <c r="H258" s="2"/>
      <c r="I258" s="2"/>
      <c r="J258" s="2"/>
      <c r="K258" s="2"/>
      <c r="L258" s="2"/>
      <c r="M258" s="2"/>
      <c r="N258" s="2"/>
      <c r="O258" s="2"/>
      <c r="P258" s="2"/>
      <c r="Q258" s="2"/>
      <c r="R258" s="2"/>
      <c r="S258" s="2"/>
      <c r="T258" s="2"/>
      <c r="U258" s="2"/>
    </row>
    <row r="259">
      <c r="A259" s="2"/>
      <c r="B259" s="2"/>
      <c r="C259" s="2"/>
      <c r="D259" s="2"/>
      <c r="E259" s="2"/>
      <c r="F259" s="2"/>
      <c r="G259" s="2"/>
      <c r="H259" s="2"/>
      <c r="I259" s="2"/>
      <c r="J259" s="2"/>
      <c r="K259" s="2"/>
      <c r="L259" s="2"/>
      <c r="M259" s="2"/>
      <c r="N259" s="2"/>
      <c r="O259" s="2"/>
      <c r="P259" s="2"/>
      <c r="Q259" s="2"/>
      <c r="R259" s="2"/>
      <c r="S259" s="2"/>
      <c r="T259" s="2"/>
      <c r="U259" s="2"/>
    </row>
    <row r="260">
      <c r="A260" s="2"/>
      <c r="B260" s="2"/>
      <c r="C260" s="2"/>
      <c r="D260" s="2"/>
      <c r="E260" s="2"/>
      <c r="F260" s="2"/>
      <c r="G260" s="2"/>
      <c r="H260" s="2"/>
      <c r="I260" s="2"/>
      <c r="J260" s="2"/>
      <c r="K260" s="2"/>
      <c r="L260" s="2"/>
      <c r="M260" s="2"/>
      <c r="N260" s="2"/>
      <c r="O260" s="2"/>
      <c r="P260" s="2"/>
      <c r="Q260" s="2"/>
      <c r="R260" s="2"/>
      <c r="S260" s="2"/>
      <c r="T260" s="2"/>
      <c r="U260" s="2"/>
    </row>
    <row r="261">
      <c r="A261" s="2"/>
      <c r="B261" s="2"/>
      <c r="C261" s="2"/>
      <c r="D261" s="2"/>
      <c r="E261" s="2"/>
      <c r="F261" s="2"/>
      <c r="G261" s="2"/>
      <c r="H261" s="2"/>
      <c r="I261" s="2"/>
      <c r="J261" s="2"/>
      <c r="K261" s="2"/>
      <c r="L261" s="2"/>
      <c r="M261" s="2"/>
      <c r="N261" s="2"/>
      <c r="O261" s="2"/>
      <c r="P261" s="2"/>
      <c r="Q261" s="2"/>
      <c r="R261" s="2"/>
      <c r="S261" s="2"/>
      <c r="T261" s="2"/>
      <c r="U261" s="2"/>
    </row>
    <row r="262">
      <c r="A262" s="2"/>
      <c r="B262" s="2"/>
      <c r="C262" s="2"/>
      <c r="D262" s="2"/>
      <c r="E262" s="2"/>
      <c r="F262" s="2"/>
      <c r="G262" s="2"/>
      <c r="H262" s="2"/>
      <c r="I262" s="2"/>
      <c r="J262" s="2"/>
      <c r="K262" s="2"/>
      <c r="L262" s="2"/>
      <c r="M262" s="2"/>
      <c r="N262" s="2"/>
      <c r="O262" s="2"/>
      <c r="P262" s="2"/>
      <c r="Q262" s="2"/>
      <c r="R262" s="2"/>
      <c r="S262" s="2"/>
      <c r="T262" s="2"/>
      <c r="U262" s="2"/>
    </row>
    <row r="263">
      <c r="A263" s="2"/>
      <c r="B263" s="2"/>
      <c r="C263" s="2"/>
      <c r="D263" s="2"/>
      <c r="E263" s="2"/>
      <c r="F263" s="2"/>
      <c r="G263" s="2"/>
      <c r="H263" s="2"/>
      <c r="I263" s="2"/>
      <c r="J263" s="2"/>
      <c r="K263" s="2"/>
      <c r="L263" s="2"/>
      <c r="M263" s="2"/>
      <c r="N263" s="2"/>
      <c r="O263" s="2"/>
      <c r="P263" s="2"/>
      <c r="Q263" s="2"/>
      <c r="R263" s="2"/>
      <c r="S263" s="2"/>
      <c r="T263" s="2"/>
      <c r="U263" s="2"/>
    </row>
    <row r="264">
      <c r="A264" s="2"/>
      <c r="B264" s="2"/>
      <c r="C264" s="2"/>
      <c r="D264" s="2"/>
      <c r="E264" s="2"/>
      <c r="F264" s="2"/>
      <c r="G264" s="2"/>
      <c r="H264" s="2"/>
      <c r="I264" s="2"/>
      <c r="J264" s="2"/>
      <c r="K264" s="2"/>
      <c r="L264" s="2"/>
      <c r="M264" s="2"/>
      <c r="N264" s="2"/>
      <c r="O264" s="2"/>
      <c r="P264" s="2"/>
      <c r="Q264" s="2"/>
      <c r="R264" s="2"/>
      <c r="S264" s="2"/>
      <c r="T264" s="2"/>
      <c r="U264" s="2"/>
    </row>
    <row r="265">
      <c r="A265" s="2"/>
      <c r="B265" s="2"/>
      <c r="C265" s="2"/>
      <c r="D265" s="2"/>
      <c r="E265" s="2"/>
      <c r="F265" s="2"/>
      <c r="G265" s="2"/>
      <c r="H265" s="2"/>
      <c r="I265" s="2"/>
      <c r="J265" s="2"/>
      <c r="K265" s="2"/>
      <c r="L265" s="2"/>
      <c r="M265" s="2"/>
      <c r="N265" s="2"/>
      <c r="O265" s="2"/>
      <c r="P265" s="2"/>
      <c r="Q265" s="2"/>
      <c r="R265" s="2"/>
      <c r="S265" s="2"/>
      <c r="T265" s="2"/>
      <c r="U265" s="2"/>
    </row>
    <row r="266">
      <c r="A266" s="2"/>
      <c r="B266" s="2"/>
      <c r="C266" s="2"/>
      <c r="D266" s="2"/>
      <c r="E266" s="2"/>
      <c r="F266" s="2"/>
      <c r="G266" s="2"/>
      <c r="H266" s="2"/>
      <c r="I266" s="2"/>
      <c r="J266" s="2"/>
      <c r="K266" s="2"/>
      <c r="L266" s="2"/>
      <c r="M266" s="2"/>
      <c r="N266" s="2"/>
      <c r="O266" s="2"/>
      <c r="P266" s="2"/>
      <c r="Q266" s="2"/>
      <c r="R266" s="2"/>
      <c r="S266" s="2"/>
      <c r="T266" s="2"/>
      <c r="U266" s="2"/>
    </row>
    <row r="267">
      <c r="A267" s="2"/>
      <c r="B267" s="2"/>
      <c r="C267" s="2"/>
      <c r="D267" s="2"/>
      <c r="E267" s="2"/>
      <c r="F267" s="2"/>
      <c r="G267" s="2"/>
      <c r="H267" s="2"/>
      <c r="I267" s="2"/>
      <c r="J267" s="2"/>
      <c r="K267" s="2"/>
      <c r="L267" s="2"/>
      <c r="M267" s="2"/>
      <c r="N267" s="2"/>
      <c r="O267" s="2"/>
      <c r="P267" s="2"/>
      <c r="Q267" s="2"/>
      <c r="R267" s="2"/>
      <c r="S267" s="2"/>
      <c r="T267" s="2"/>
      <c r="U267" s="2"/>
    </row>
    <row r="268">
      <c r="A268" s="2"/>
      <c r="B268" s="2"/>
      <c r="C268" s="2"/>
      <c r="D268" s="2"/>
      <c r="E268" s="2"/>
      <c r="F268" s="2"/>
      <c r="G268" s="2"/>
      <c r="H268" s="2"/>
      <c r="I268" s="2"/>
      <c r="J268" s="2"/>
      <c r="K268" s="2"/>
      <c r="L268" s="2"/>
      <c r="M268" s="2"/>
      <c r="N268" s="2"/>
      <c r="O268" s="2"/>
      <c r="P268" s="2"/>
      <c r="Q268" s="2"/>
      <c r="R268" s="2"/>
      <c r="S268" s="2"/>
      <c r="T268" s="2"/>
      <c r="U268" s="2"/>
    </row>
    <row r="269">
      <c r="A269" s="2"/>
      <c r="B269" s="2"/>
      <c r="C269" s="2"/>
      <c r="D269" s="2"/>
      <c r="E269" s="2"/>
      <c r="F269" s="2"/>
      <c r="G269" s="2"/>
      <c r="H269" s="2"/>
      <c r="I269" s="2"/>
      <c r="J269" s="2"/>
      <c r="K269" s="2"/>
      <c r="L269" s="2"/>
      <c r="M269" s="2"/>
      <c r="N269" s="2"/>
      <c r="O269" s="2"/>
      <c r="P269" s="2"/>
      <c r="Q269" s="2"/>
      <c r="R269" s="2"/>
      <c r="S269" s="2"/>
      <c r="T269" s="2"/>
      <c r="U269" s="2"/>
    </row>
    <row r="270">
      <c r="A270" s="2"/>
      <c r="B270" s="2"/>
      <c r="C270" s="2"/>
      <c r="D270" s="2"/>
      <c r="E270" s="2"/>
      <c r="F270" s="2"/>
      <c r="G270" s="2"/>
      <c r="H270" s="2"/>
      <c r="I270" s="2"/>
      <c r="J270" s="2"/>
      <c r="K270" s="2"/>
      <c r="L270" s="2"/>
      <c r="M270" s="2"/>
      <c r="N270" s="2"/>
      <c r="O270" s="2"/>
      <c r="P270" s="2"/>
      <c r="Q270" s="2"/>
      <c r="R270" s="2"/>
      <c r="S270" s="2"/>
      <c r="T270" s="2"/>
      <c r="U270" s="2"/>
    </row>
    <row r="271">
      <c r="A271" s="2"/>
      <c r="B271" s="2"/>
      <c r="C271" s="2"/>
      <c r="D271" s="2"/>
      <c r="E271" s="2"/>
      <c r="F271" s="2"/>
      <c r="G271" s="2"/>
      <c r="H271" s="2"/>
      <c r="I271" s="2"/>
      <c r="J271" s="2"/>
      <c r="K271" s="2"/>
      <c r="L271" s="2"/>
      <c r="M271" s="2"/>
      <c r="N271" s="2"/>
      <c r="O271" s="2"/>
      <c r="P271" s="2"/>
      <c r="Q271" s="2"/>
      <c r="R271" s="2"/>
      <c r="S271" s="2"/>
      <c r="T271" s="2"/>
      <c r="U271" s="2"/>
    </row>
    <row r="272">
      <c r="A272" s="2"/>
      <c r="B272" s="2"/>
      <c r="C272" s="2"/>
      <c r="D272" s="2"/>
      <c r="E272" s="2"/>
      <c r="F272" s="2"/>
      <c r="G272" s="2"/>
      <c r="H272" s="2"/>
      <c r="I272" s="2"/>
      <c r="J272" s="2"/>
      <c r="K272" s="2"/>
      <c r="L272" s="2"/>
      <c r="M272" s="2"/>
      <c r="N272" s="2"/>
      <c r="O272" s="2"/>
      <c r="P272" s="2"/>
      <c r="Q272" s="2"/>
      <c r="R272" s="2"/>
      <c r="S272" s="2"/>
      <c r="T272" s="2"/>
      <c r="U272" s="2"/>
    </row>
    <row r="273">
      <c r="A273" s="2"/>
      <c r="B273" s="2"/>
      <c r="C273" s="2"/>
      <c r="D273" s="2"/>
      <c r="E273" s="2"/>
      <c r="F273" s="2"/>
      <c r="G273" s="2"/>
      <c r="H273" s="2"/>
      <c r="I273" s="2"/>
      <c r="J273" s="2"/>
      <c r="K273" s="2"/>
      <c r="L273" s="2"/>
      <c r="M273" s="2"/>
      <c r="N273" s="2"/>
      <c r="O273" s="2"/>
      <c r="P273" s="2"/>
      <c r="Q273" s="2"/>
      <c r="R273" s="2"/>
      <c r="S273" s="2"/>
      <c r="T273" s="2"/>
      <c r="U273" s="2"/>
    </row>
    <row r="274">
      <c r="A274" s="2"/>
      <c r="B274" s="2"/>
      <c r="C274" s="2"/>
      <c r="D274" s="2"/>
      <c r="E274" s="2"/>
      <c r="F274" s="2"/>
      <c r="G274" s="2"/>
      <c r="H274" s="2"/>
      <c r="I274" s="2"/>
      <c r="J274" s="2"/>
      <c r="K274" s="2"/>
      <c r="L274" s="2"/>
      <c r="M274" s="2"/>
      <c r="N274" s="2"/>
      <c r="O274" s="2"/>
      <c r="P274" s="2"/>
      <c r="Q274" s="2"/>
      <c r="R274" s="2"/>
      <c r="S274" s="2"/>
      <c r="T274" s="2"/>
      <c r="U274" s="2"/>
    </row>
    <row r="275">
      <c r="A275" s="2"/>
      <c r="B275" s="2"/>
      <c r="C275" s="2"/>
      <c r="D275" s="2"/>
      <c r="E275" s="2"/>
      <c r="F275" s="2"/>
      <c r="G275" s="2"/>
      <c r="H275" s="2"/>
      <c r="I275" s="2"/>
      <c r="J275" s="2"/>
      <c r="K275" s="2"/>
      <c r="L275" s="2"/>
      <c r="M275" s="2"/>
      <c r="N275" s="2"/>
      <c r="O275" s="2"/>
      <c r="P275" s="2"/>
      <c r="Q275" s="2"/>
      <c r="R275" s="2"/>
      <c r="S275" s="2"/>
      <c r="T275" s="2"/>
      <c r="U275" s="2"/>
    </row>
    <row r="276">
      <c r="A276" s="2"/>
      <c r="B276" s="2"/>
      <c r="C276" s="2"/>
      <c r="D276" s="2"/>
      <c r="E276" s="2"/>
      <c r="F276" s="2"/>
      <c r="G276" s="2"/>
      <c r="H276" s="2"/>
      <c r="I276" s="2"/>
      <c r="J276" s="2"/>
      <c r="K276" s="2"/>
      <c r="L276" s="2"/>
      <c r="M276" s="2"/>
      <c r="N276" s="2"/>
      <c r="O276" s="2"/>
      <c r="P276" s="2"/>
      <c r="Q276" s="2"/>
      <c r="R276" s="2"/>
      <c r="S276" s="2"/>
      <c r="T276" s="2"/>
      <c r="U276" s="2"/>
    </row>
    <row r="277">
      <c r="A277" s="2"/>
      <c r="B277" s="2"/>
      <c r="C277" s="2"/>
      <c r="D277" s="2"/>
      <c r="E277" s="2"/>
      <c r="F277" s="2"/>
      <c r="G277" s="2"/>
      <c r="H277" s="2"/>
      <c r="I277" s="2"/>
      <c r="J277" s="2"/>
      <c r="K277" s="2"/>
      <c r="L277" s="2"/>
      <c r="M277" s="2"/>
      <c r="N277" s="2"/>
      <c r="O277" s="2"/>
      <c r="P277" s="2"/>
      <c r="Q277" s="2"/>
      <c r="R277" s="2"/>
      <c r="S277" s="2"/>
      <c r="T277" s="2"/>
      <c r="U277" s="2"/>
    </row>
    <row r="278">
      <c r="A278" s="2"/>
      <c r="B278" s="2"/>
      <c r="C278" s="2"/>
      <c r="D278" s="2"/>
      <c r="E278" s="2"/>
      <c r="F278" s="2"/>
      <c r="G278" s="2"/>
      <c r="H278" s="2"/>
      <c r="I278" s="2"/>
      <c r="J278" s="2"/>
      <c r="K278" s="2"/>
      <c r="L278" s="2"/>
      <c r="M278" s="2"/>
      <c r="N278" s="2"/>
      <c r="O278" s="2"/>
      <c r="P278" s="2"/>
      <c r="Q278" s="2"/>
      <c r="R278" s="2"/>
      <c r="S278" s="2"/>
      <c r="T278" s="2"/>
      <c r="U278" s="2"/>
    </row>
    <row r="279">
      <c r="A279" s="2"/>
      <c r="B279" s="2"/>
      <c r="C279" s="2"/>
      <c r="D279" s="2"/>
      <c r="E279" s="2"/>
      <c r="F279" s="2"/>
      <c r="G279" s="2"/>
      <c r="H279" s="2"/>
      <c r="I279" s="2"/>
      <c r="J279" s="2"/>
      <c r="K279" s="2"/>
      <c r="L279" s="2"/>
      <c r="M279" s="2"/>
      <c r="N279" s="2"/>
      <c r="O279" s="2"/>
      <c r="P279" s="2"/>
      <c r="Q279" s="2"/>
      <c r="R279" s="2"/>
      <c r="S279" s="2"/>
      <c r="T279" s="2"/>
      <c r="U279" s="2"/>
    </row>
    <row r="280">
      <c r="A280" s="2"/>
      <c r="B280" s="2"/>
      <c r="C280" s="2"/>
      <c r="D280" s="2"/>
      <c r="E280" s="2"/>
      <c r="F280" s="2"/>
      <c r="G280" s="2"/>
      <c r="H280" s="2"/>
      <c r="I280" s="2"/>
      <c r="J280" s="2"/>
      <c r="K280" s="2"/>
      <c r="L280" s="2"/>
      <c r="M280" s="2"/>
      <c r="N280" s="2"/>
      <c r="O280" s="2"/>
      <c r="P280" s="2"/>
      <c r="Q280" s="2"/>
      <c r="R280" s="2"/>
      <c r="S280" s="2"/>
      <c r="T280" s="2"/>
      <c r="U280" s="2"/>
    </row>
    <row r="281">
      <c r="A281" s="2"/>
      <c r="B281" s="2"/>
      <c r="C281" s="2"/>
      <c r="D281" s="2"/>
      <c r="E281" s="2"/>
      <c r="F281" s="2"/>
      <c r="G281" s="2"/>
      <c r="H281" s="2"/>
      <c r="I281" s="2"/>
      <c r="J281" s="2"/>
      <c r="K281" s="2"/>
      <c r="L281" s="2"/>
      <c r="M281" s="2"/>
      <c r="N281" s="2"/>
      <c r="O281" s="2"/>
      <c r="P281" s="2"/>
      <c r="Q281" s="2"/>
      <c r="R281" s="2"/>
      <c r="S281" s="2"/>
      <c r="T281" s="2"/>
      <c r="U281" s="2"/>
    </row>
    <row r="282">
      <c r="A282" s="2"/>
      <c r="B282" s="2"/>
      <c r="C282" s="2"/>
      <c r="D282" s="2"/>
      <c r="E282" s="2"/>
      <c r="F282" s="2"/>
      <c r="G282" s="2"/>
      <c r="H282" s="2"/>
      <c r="I282" s="2"/>
      <c r="J282" s="2"/>
      <c r="K282" s="2"/>
      <c r="L282" s="2"/>
      <c r="M282" s="2"/>
      <c r="N282" s="2"/>
      <c r="O282" s="2"/>
      <c r="P282" s="2"/>
      <c r="Q282" s="2"/>
      <c r="R282" s="2"/>
      <c r="S282" s="2"/>
      <c r="T282" s="2"/>
      <c r="U282" s="2"/>
    </row>
    <row r="283">
      <c r="A283" s="2"/>
      <c r="B283" s="2"/>
      <c r="C283" s="2"/>
      <c r="D283" s="2"/>
      <c r="E283" s="2"/>
      <c r="F283" s="2"/>
      <c r="G283" s="2"/>
      <c r="H283" s="2"/>
      <c r="I283" s="2"/>
      <c r="J283" s="2"/>
      <c r="K283" s="2"/>
      <c r="L283" s="2"/>
      <c r="M283" s="2"/>
      <c r="N283" s="2"/>
      <c r="O283" s="2"/>
      <c r="P283" s="2"/>
      <c r="Q283" s="2"/>
      <c r="R283" s="2"/>
      <c r="S283" s="2"/>
      <c r="T283" s="2"/>
      <c r="U283" s="2"/>
    </row>
    <row r="284">
      <c r="A284" s="2"/>
      <c r="B284" s="2"/>
      <c r="C284" s="2"/>
      <c r="D284" s="2"/>
      <c r="E284" s="2"/>
      <c r="F284" s="2"/>
      <c r="G284" s="2"/>
      <c r="H284" s="2"/>
      <c r="I284" s="2"/>
      <c r="J284" s="2"/>
      <c r="K284" s="2"/>
      <c r="L284" s="2"/>
      <c r="M284" s="2"/>
      <c r="N284" s="2"/>
      <c r="O284" s="2"/>
      <c r="P284" s="2"/>
      <c r="Q284" s="2"/>
      <c r="R284" s="2"/>
      <c r="S284" s="2"/>
      <c r="T284" s="2"/>
      <c r="U284" s="2"/>
    </row>
    <row r="285">
      <c r="A285" s="2"/>
      <c r="B285" s="2"/>
      <c r="C285" s="2"/>
      <c r="D285" s="2"/>
      <c r="E285" s="2"/>
      <c r="F285" s="2"/>
      <c r="G285" s="2"/>
      <c r="H285" s="2"/>
      <c r="I285" s="2"/>
      <c r="J285" s="2"/>
      <c r="K285" s="2"/>
      <c r="L285" s="2"/>
      <c r="M285" s="2"/>
      <c r="N285" s="2"/>
      <c r="O285" s="2"/>
      <c r="P285" s="2"/>
      <c r="Q285" s="2"/>
      <c r="R285" s="2"/>
      <c r="S285" s="2"/>
      <c r="T285" s="2"/>
      <c r="U285" s="2"/>
    </row>
    <row r="286">
      <c r="A286" s="2"/>
      <c r="B286" s="2"/>
      <c r="C286" s="2"/>
      <c r="D286" s="2"/>
      <c r="E286" s="2"/>
      <c r="F286" s="2"/>
      <c r="G286" s="2"/>
      <c r="H286" s="2"/>
      <c r="I286" s="2"/>
      <c r="J286" s="2"/>
      <c r="K286" s="2"/>
      <c r="L286" s="2"/>
      <c r="M286" s="2"/>
      <c r="N286" s="2"/>
      <c r="O286" s="2"/>
      <c r="P286" s="2"/>
      <c r="Q286" s="2"/>
      <c r="R286" s="2"/>
      <c r="S286" s="2"/>
      <c r="T286" s="2"/>
      <c r="U286" s="2"/>
    </row>
    <row r="287">
      <c r="A287" s="2"/>
      <c r="B287" s="2"/>
      <c r="C287" s="2"/>
      <c r="D287" s="2"/>
      <c r="E287" s="2"/>
      <c r="F287" s="2"/>
      <c r="G287" s="2"/>
      <c r="H287" s="2"/>
      <c r="I287" s="2"/>
      <c r="J287" s="2"/>
      <c r="K287" s="2"/>
      <c r="L287" s="2"/>
      <c r="M287" s="2"/>
      <c r="N287" s="2"/>
      <c r="O287" s="2"/>
      <c r="P287" s="2"/>
      <c r="Q287" s="2"/>
      <c r="R287" s="2"/>
      <c r="S287" s="2"/>
      <c r="T287" s="2"/>
      <c r="U287" s="2"/>
    </row>
    <row r="288">
      <c r="A288" s="2"/>
      <c r="B288" s="2"/>
      <c r="C288" s="2"/>
      <c r="D288" s="2"/>
      <c r="E288" s="2"/>
      <c r="F288" s="2"/>
      <c r="G288" s="2"/>
      <c r="H288" s="2"/>
      <c r="I288" s="2"/>
      <c r="J288" s="2"/>
      <c r="K288" s="2"/>
      <c r="L288" s="2"/>
      <c r="M288" s="2"/>
      <c r="N288" s="2"/>
      <c r="O288" s="2"/>
      <c r="P288" s="2"/>
      <c r="Q288" s="2"/>
      <c r="R288" s="2"/>
      <c r="S288" s="2"/>
      <c r="T288" s="2"/>
      <c r="U288" s="2"/>
    </row>
    <row r="289">
      <c r="A289" s="2"/>
      <c r="B289" s="2"/>
      <c r="C289" s="2"/>
      <c r="D289" s="2"/>
      <c r="E289" s="2"/>
      <c r="F289" s="2"/>
      <c r="G289" s="2"/>
      <c r="H289" s="2"/>
      <c r="I289" s="2"/>
      <c r="J289" s="2"/>
      <c r="K289" s="2"/>
      <c r="L289" s="2"/>
      <c r="M289" s="2"/>
      <c r="N289" s="2"/>
      <c r="O289" s="2"/>
      <c r="P289" s="2"/>
      <c r="Q289" s="2"/>
      <c r="R289" s="2"/>
      <c r="S289" s="2"/>
      <c r="T289" s="2"/>
      <c r="U289" s="2"/>
    </row>
    <row r="290">
      <c r="A290" s="2"/>
      <c r="B290" s="2"/>
      <c r="C290" s="2"/>
      <c r="D290" s="2"/>
      <c r="E290" s="2"/>
      <c r="F290" s="2"/>
      <c r="G290" s="2"/>
      <c r="H290" s="2"/>
      <c r="I290" s="2"/>
      <c r="J290" s="2"/>
      <c r="K290" s="2"/>
      <c r="L290" s="2"/>
      <c r="M290" s="2"/>
      <c r="N290" s="2"/>
      <c r="O290" s="2"/>
      <c r="P290" s="2"/>
      <c r="Q290" s="2"/>
      <c r="R290" s="2"/>
      <c r="S290" s="2"/>
      <c r="T290" s="2"/>
      <c r="U290" s="2"/>
    </row>
    <row r="291">
      <c r="A291" s="2"/>
      <c r="B291" s="2"/>
      <c r="C291" s="2"/>
      <c r="D291" s="2"/>
      <c r="E291" s="2"/>
      <c r="F291" s="2"/>
      <c r="G291" s="2"/>
      <c r="H291" s="2"/>
      <c r="I291" s="2"/>
      <c r="J291" s="2"/>
      <c r="K291" s="2"/>
      <c r="L291" s="2"/>
      <c r="M291" s="2"/>
      <c r="N291" s="2"/>
      <c r="O291" s="2"/>
      <c r="P291" s="2"/>
      <c r="Q291" s="2"/>
      <c r="R291" s="2"/>
      <c r="S291" s="2"/>
      <c r="T291" s="2"/>
      <c r="U291" s="2"/>
    </row>
    <row r="292">
      <c r="A292" s="2"/>
      <c r="B292" s="2"/>
      <c r="C292" s="2"/>
      <c r="D292" s="2"/>
      <c r="E292" s="2"/>
      <c r="F292" s="2"/>
      <c r="G292" s="2"/>
      <c r="H292" s="2"/>
      <c r="I292" s="2"/>
      <c r="J292" s="2"/>
      <c r="K292" s="2"/>
      <c r="L292" s="2"/>
      <c r="M292" s="2"/>
      <c r="N292" s="2"/>
      <c r="O292" s="2"/>
      <c r="P292" s="2"/>
      <c r="Q292" s="2"/>
      <c r="R292" s="2"/>
      <c r="S292" s="2"/>
      <c r="T292" s="2"/>
      <c r="U292" s="2"/>
    </row>
    <row r="293">
      <c r="A293" s="2"/>
      <c r="B293" s="2"/>
      <c r="C293" s="2"/>
      <c r="D293" s="2"/>
      <c r="E293" s="2"/>
      <c r="F293" s="2"/>
      <c r="G293" s="2"/>
      <c r="H293" s="2"/>
      <c r="I293" s="2"/>
      <c r="J293" s="2"/>
      <c r="K293" s="2"/>
      <c r="L293" s="2"/>
      <c r="M293" s="2"/>
      <c r="N293" s="2"/>
      <c r="O293" s="2"/>
      <c r="P293" s="2"/>
      <c r="Q293" s="2"/>
      <c r="R293" s="2"/>
      <c r="S293" s="2"/>
      <c r="T293" s="2"/>
      <c r="U293" s="2"/>
    </row>
    <row r="294">
      <c r="A294" s="2"/>
      <c r="B294" s="2"/>
      <c r="C294" s="2"/>
      <c r="D294" s="2"/>
      <c r="E294" s="2"/>
      <c r="F294" s="2"/>
      <c r="G294" s="2"/>
      <c r="H294" s="2"/>
      <c r="I294" s="2"/>
      <c r="J294" s="2"/>
      <c r="K294" s="2"/>
      <c r="L294" s="2"/>
      <c r="M294" s="2"/>
      <c r="N294" s="2"/>
      <c r="O294" s="2"/>
      <c r="P294" s="2"/>
      <c r="Q294" s="2"/>
      <c r="R294" s="2"/>
      <c r="S294" s="2"/>
      <c r="T294" s="2"/>
      <c r="U294" s="2"/>
    </row>
    <row r="295">
      <c r="A295" s="2"/>
      <c r="B295" s="2"/>
      <c r="C295" s="2"/>
      <c r="D295" s="2"/>
      <c r="E295" s="2"/>
      <c r="F295" s="2"/>
      <c r="G295" s="2"/>
      <c r="H295" s="2"/>
      <c r="I295" s="2"/>
      <c r="J295" s="2"/>
      <c r="K295" s="2"/>
      <c r="L295" s="2"/>
      <c r="M295" s="2"/>
      <c r="N295" s="2"/>
      <c r="O295" s="2"/>
      <c r="P295" s="2"/>
      <c r="Q295" s="2"/>
      <c r="R295" s="2"/>
      <c r="S295" s="2"/>
      <c r="T295" s="2"/>
      <c r="U295" s="2"/>
    </row>
    <row r="296">
      <c r="A296" s="2"/>
      <c r="B296" s="2"/>
      <c r="C296" s="2"/>
      <c r="D296" s="2"/>
      <c r="E296" s="2"/>
      <c r="F296" s="2"/>
      <c r="G296" s="2"/>
      <c r="H296" s="2"/>
      <c r="I296" s="2"/>
      <c r="J296" s="2"/>
      <c r="K296" s="2"/>
      <c r="L296" s="2"/>
      <c r="M296" s="2"/>
      <c r="N296" s="2"/>
      <c r="O296" s="2"/>
      <c r="P296" s="2"/>
      <c r="Q296" s="2"/>
      <c r="R296" s="2"/>
      <c r="S296" s="2"/>
      <c r="T296" s="2"/>
      <c r="U296" s="2"/>
    </row>
    <row r="297">
      <c r="A297" s="2"/>
      <c r="B297" s="2"/>
      <c r="C297" s="2"/>
      <c r="D297" s="2"/>
      <c r="E297" s="2"/>
      <c r="F297" s="2"/>
      <c r="G297" s="2"/>
      <c r="H297" s="2"/>
      <c r="I297" s="2"/>
      <c r="J297" s="2"/>
      <c r="K297" s="2"/>
      <c r="L297" s="2"/>
      <c r="M297" s="2"/>
      <c r="N297" s="2"/>
      <c r="O297" s="2"/>
      <c r="P297" s="2"/>
      <c r="Q297" s="2"/>
      <c r="R297" s="2"/>
      <c r="S297" s="2"/>
      <c r="T297" s="2"/>
      <c r="U297" s="2"/>
    </row>
    <row r="298">
      <c r="A298" s="2"/>
      <c r="B298" s="2"/>
      <c r="C298" s="2"/>
      <c r="D298" s="2"/>
      <c r="E298" s="2"/>
      <c r="F298" s="2"/>
      <c r="G298" s="2"/>
      <c r="H298" s="2"/>
      <c r="I298" s="2"/>
      <c r="J298" s="2"/>
      <c r="K298" s="2"/>
      <c r="L298" s="2"/>
      <c r="M298" s="2"/>
      <c r="N298" s="2"/>
      <c r="O298" s="2"/>
      <c r="P298" s="2"/>
      <c r="Q298" s="2"/>
      <c r="R298" s="2"/>
      <c r="S298" s="2"/>
      <c r="T298" s="2"/>
      <c r="U298" s="2"/>
    </row>
    <row r="299">
      <c r="A299" s="2"/>
      <c r="B299" s="2"/>
      <c r="C299" s="2"/>
      <c r="D299" s="2"/>
      <c r="E299" s="2"/>
      <c r="F299" s="2"/>
      <c r="G299" s="2"/>
      <c r="H299" s="2"/>
      <c r="I299" s="2"/>
      <c r="J299" s="2"/>
      <c r="K299" s="2"/>
      <c r="L299" s="2"/>
      <c r="M299" s="2"/>
      <c r="N299" s="2"/>
      <c r="O299" s="2"/>
      <c r="P299" s="2"/>
      <c r="Q299" s="2"/>
      <c r="R299" s="2"/>
      <c r="S299" s="2"/>
      <c r="T299" s="2"/>
      <c r="U299" s="2"/>
    </row>
    <row r="300">
      <c r="A300" s="2"/>
      <c r="B300" s="2"/>
      <c r="C300" s="2"/>
      <c r="D300" s="2"/>
      <c r="E300" s="2"/>
      <c r="F300" s="2"/>
      <c r="G300" s="2"/>
      <c r="H300" s="2"/>
      <c r="I300" s="2"/>
      <c r="J300" s="2"/>
      <c r="K300" s="2"/>
      <c r="L300" s="2"/>
      <c r="M300" s="2"/>
      <c r="N300" s="2"/>
      <c r="O300" s="2"/>
      <c r="P300" s="2"/>
      <c r="Q300" s="2"/>
      <c r="R300" s="2"/>
      <c r="S300" s="2"/>
      <c r="T300" s="2"/>
      <c r="U300" s="2"/>
    </row>
    <row r="301">
      <c r="A301" s="2"/>
      <c r="B301" s="2"/>
      <c r="C301" s="2"/>
      <c r="D301" s="2"/>
      <c r="E301" s="2"/>
      <c r="F301" s="2"/>
      <c r="G301" s="2"/>
      <c r="H301" s="2"/>
      <c r="I301" s="2"/>
      <c r="J301" s="2"/>
      <c r="K301" s="2"/>
      <c r="L301" s="2"/>
      <c r="M301" s="2"/>
      <c r="N301" s="2"/>
      <c r="O301" s="2"/>
      <c r="P301" s="2"/>
      <c r="Q301" s="2"/>
      <c r="R301" s="2"/>
      <c r="S301" s="2"/>
      <c r="T301" s="2"/>
      <c r="U301" s="2"/>
    </row>
    <row r="302">
      <c r="A302" s="2"/>
      <c r="B302" s="2"/>
      <c r="C302" s="2"/>
      <c r="D302" s="2"/>
      <c r="E302" s="2"/>
      <c r="F302" s="2"/>
      <c r="G302" s="2"/>
      <c r="H302" s="2"/>
      <c r="I302" s="2"/>
      <c r="J302" s="2"/>
      <c r="K302" s="2"/>
      <c r="L302" s="2"/>
      <c r="M302" s="2"/>
      <c r="N302" s="2"/>
      <c r="O302" s="2"/>
      <c r="P302" s="2"/>
      <c r="Q302" s="2"/>
      <c r="R302" s="2"/>
      <c r="S302" s="2"/>
      <c r="T302" s="2"/>
      <c r="U302" s="2"/>
    </row>
    <row r="303">
      <c r="A303" s="2"/>
      <c r="B303" s="2"/>
      <c r="C303" s="2"/>
      <c r="D303" s="2"/>
      <c r="E303" s="2"/>
      <c r="F303" s="2"/>
      <c r="G303" s="2"/>
      <c r="H303" s="2"/>
      <c r="I303" s="2"/>
      <c r="J303" s="2"/>
      <c r="K303" s="2"/>
      <c r="L303" s="2"/>
      <c r="M303" s="2"/>
      <c r="N303" s="2"/>
      <c r="O303" s="2"/>
      <c r="P303" s="2"/>
      <c r="Q303" s="2"/>
      <c r="R303" s="2"/>
      <c r="S303" s="2"/>
      <c r="T303" s="2"/>
      <c r="U303" s="2"/>
    </row>
    <row r="304">
      <c r="A304" s="2"/>
      <c r="B304" s="2"/>
      <c r="C304" s="2"/>
      <c r="D304" s="2"/>
      <c r="E304" s="2"/>
      <c r="F304" s="2"/>
      <c r="G304" s="2"/>
      <c r="H304" s="2"/>
      <c r="I304" s="2"/>
      <c r="J304" s="2"/>
      <c r="K304" s="2"/>
      <c r="L304" s="2"/>
      <c r="M304" s="2"/>
      <c r="N304" s="2"/>
      <c r="O304" s="2"/>
      <c r="P304" s="2"/>
      <c r="Q304" s="2"/>
      <c r="R304" s="2"/>
      <c r="S304" s="2"/>
      <c r="T304" s="2"/>
      <c r="U304" s="2"/>
    </row>
    <row r="305">
      <c r="A305" s="2"/>
      <c r="B305" s="2"/>
      <c r="C305" s="2"/>
      <c r="D305" s="2"/>
      <c r="E305" s="2"/>
      <c r="F305" s="2"/>
      <c r="G305" s="2"/>
      <c r="H305" s="2"/>
      <c r="I305" s="2"/>
      <c r="J305" s="2"/>
      <c r="K305" s="2"/>
      <c r="L305" s="2"/>
      <c r="M305" s="2"/>
      <c r="N305" s="2"/>
      <c r="O305" s="2"/>
      <c r="P305" s="2"/>
      <c r="Q305" s="2"/>
      <c r="R305" s="2"/>
      <c r="S305" s="2"/>
      <c r="T305" s="2"/>
      <c r="U305" s="2"/>
    </row>
    <row r="306">
      <c r="A306" s="2"/>
      <c r="B306" s="2"/>
      <c r="C306" s="2"/>
      <c r="D306" s="2"/>
      <c r="E306" s="2"/>
      <c r="F306" s="2"/>
      <c r="G306" s="2"/>
      <c r="H306" s="2"/>
      <c r="I306" s="2"/>
      <c r="J306" s="2"/>
      <c r="K306" s="2"/>
      <c r="L306" s="2"/>
      <c r="M306" s="2"/>
      <c r="N306" s="2"/>
      <c r="O306" s="2"/>
      <c r="P306" s="2"/>
      <c r="Q306" s="2"/>
      <c r="R306" s="2"/>
      <c r="S306" s="2"/>
      <c r="T306" s="2"/>
      <c r="U306" s="2"/>
    </row>
    <row r="307">
      <c r="A307" s="2"/>
      <c r="B307" s="2"/>
      <c r="C307" s="2"/>
      <c r="D307" s="2"/>
      <c r="E307" s="2"/>
      <c r="F307" s="2"/>
      <c r="G307" s="2"/>
      <c r="H307" s="2"/>
      <c r="I307" s="2"/>
      <c r="J307" s="2"/>
      <c r="K307" s="2"/>
      <c r="L307" s="2"/>
      <c r="M307" s="2"/>
      <c r="N307" s="2"/>
      <c r="O307" s="2"/>
      <c r="P307" s="2"/>
      <c r="Q307" s="2"/>
      <c r="R307" s="2"/>
      <c r="S307" s="2"/>
      <c r="T307" s="2"/>
      <c r="U307" s="2"/>
    </row>
    <row r="308">
      <c r="A308" s="2"/>
      <c r="B308" s="2"/>
      <c r="C308" s="2"/>
      <c r="D308" s="2"/>
      <c r="E308" s="2"/>
      <c r="F308" s="2"/>
      <c r="G308" s="2"/>
      <c r="H308" s="2"/>
      <c r="I308" s="2"/>
      <c r="J308" s="2"/>
      <c r="K308" s="2"/>
      <c r="L308" s="2"/>
      <c r="M308" s="2"/>
      <c r="N308" s="2"/>
      <c r="O308" s="2"/>
      <c r="P308" s="2"/>
      <c r="Q308" s="2"/>
      <c r="R308" s="2"/>
      <c r="S308" s="2"/>
      <c r="T308" s="2"/>
      <c r="U308" s="2"/>
    </row>
    <row r="309">
      <c r="A309" s="2"/>
      <c r="B309" s="2"/>
      <c r="C309" s="2"/>
      <c r="D309" s="2"/>
      <c r="E309" s="2"/>
      <c r="F309" s="2"/>
      <c r="G309" s="2"/>
      <c r="H309" s="2"/>
      <c r="I309" s="2"/>
      <c r="J309" s="2"/>
      <c r="K309" s="2"/>
      <c r="L309" s="2"/>
      <c r="M309" s="2"/>
      <c r="N309" s="2"/>
      <c r="O309" s="2"/>
      <c r="P309" s="2"/>
      <c r="Q309" s="2"/>
      <c r="R309" s="2"/>
      <c r="S309" s="2"/>
      <c r="T309" s="2"/>
      <c r="U309" s="2"/>
    </row>
    <row r="310">
      <c r="A310" s="2"/>
      <c r="B310" s="2"/>
      <c r="C310" s="2"/>
      <c r="D310" s="2"/>
      <c r="E310" s="2"/>
      <c r="F310" s="2"/>
      <c r="G310" s="2"/>
      <c r="H310" s="2"/>
      <c r="I310" s="2"/>
      <c r="J310" s="2"/>
      <c r="K310" s="2"/>
      <c r="L310" s="2"/>
      <c r="M310" s="2"/>
      <c r="N310" s="2"/>
      <c r="O310" s="2"/>
      <c r="P310" s="2"/>
      <c r="Q310" s="2"/>
      <c r="R310" s="2"/>
      <c r="S310" s="2"/>
      <c r="T310" s="2"/>
      <c r="U310" s="2"/>
    </row>
    <row r="311">
      <c r="A311" s="2"/>
      <c r="B311" s="2"/>
      <c r="C311" s="2"/>
      <c r="D311" s="2"/>
      <c r="E311" s="2"/>
      <c r="F311" s="2"/>
      <c r="G311" s="2"/>
      <c r="H311" s="2"/>
      <c r="I311" s="2"/>
      <c r="J311" s="2"/>
      <c r="K311" s="2"/>
      <c r="L311" s="2"/>
      <c r="M311" s="2"/>
      <c r="N311" s="2"/>
      <c r="O311" s="2"/>
      <c r="P311" s="2"/>
      <c r="Q311" s="2"/>
      <c r="R311" s="2"/>
      <c r="S311" s="2"/>
      <c r="T311" s="2"/>
      <c r="U311" s="2"/>
    </row>
    <row r="312">
      <c r="A312" s="2"/>
      <c r="B312" s="2"/>
      <c r="C312" s="2"/>
      <c r="D312" s="2"/>
      <c r="E312" s="2"/>
      <c r="F312" s="2"/>
      <c r="G312" s="2"/>
      <c r="H312" s="2"/>
      <c r="I312" s="2"/>
      <c r="J312" s="2"/>
      <c r="K312" s="2"/>
      <c r="L312" s="2"/>
      <c r="M312" s="2"/>
      <c r="N312" s="2"/>
      <c r="O312" s="2"/>
      <c r="P312" s="2"/>
      <c r="Q312" s="2"/>
      <c r="R312" s="2"/>
      <c r="S312" s="2"/>
      <c r="T312" s="2"/>
      <c r="U312" s="2"/>
    </row>
    <row r="313">
      <c r="A313" s="2"/>
      <c r="B313" s="2"/>
      <c r="C313" s="2"/>
      <c r="D313" s="2"/>
      <c r="E313" s="2"/>
      <c r="F313" s="2"/>
      <c r="G313" s="2"/>
      <c r="H313" s="2"/>
      <c r="I313" s="2"/>
      <c r="J313" s="2"/>
      <c r="K313" s="2"/>
      <c r="L313" s="2"/>
      <c r="M313" s="2"/>
      <c r="N313" s="2"/>
      <c r="O313" s="2"/>
      <c r="P313" s="2"/>
      <c r="Q313" s="2"/>
      <c r="R313" s="2"/>
      <c r="S313" s="2"/>
      <c r="T313" s="2"/>
      <c r="U313" s="2"/>
    </row>
    <row r="314">
      <c r="A314" s="2"/>
      <c r="B314" s="2"/>
      <c r="C314" s="2"/>
      <c r="D314" s="2"/>
      <c r="E314" s="2"/>
      <c r="F314" s="2"/>
      <c r="G314" s="2"/>
      <c r="H314" s="2"/>
      <c r="I314" s="2"/>
      <c r="J314" s="2"/>
      <c r="K314" s="2"/>
      <c r="L314" s="2"/>
      <c r="M314" s="2"/>
      <c r="N314" s="2"/>
      <c r="O314" s="2"/>
      <c r="P314" s="2"/>
      <c r="Q314" s="2"/>
      <c r="R314" s="2"/>
      <c r="S314" s="2"/>
      <c r="T314" s="2"/>
      <c r="U314" s="2"/>
    </row>
    <row r="315">
      <c r="A315" s="2"/>
      <c r="B315" s="2"/>
      <c r="C315" s="2"/>
      <c r="D315" s="2"/>
      <c r="E315" s="2"/>
      <c r="F315" s="2"/>
      <c r="G315" s="2"/>
      <c r="H315" s="2"/>
      <c r="I315" s="2"/>
      <c r="J315" s="2"/>
      <c r="K315" s="2"/>
      <c r="L315" s="2"/>
      <c r="M315" s="2"/>
      <c r="N315" s="2"/>
      <c r="O315" s="2"/>
      <c r="P315" s="2"/>
      <c r="Q315" s="2"/>
      <c r="R315" s="2"/>
      <c r="S315" s="2"/>
      <c r="T315" s="2"/>
      <c r="U315" s="2"/>
    </row>
    <row r="316">
      <c r="A316" s="2"/>
      <c r="B316" s="2"/>
      <c r="C316" s="2"/>
      <c r="D316" s="2"/>
      <c r="E316" s="2"/>
      <c r="F316" s="2"/>
      <c r="G316" s="2"/>
      <c r="H316" s="2"/>
      <c r="I316" s="2"/>
      <c r="J316" s="2"/>
      <c r="K316" s="2"/>
      <c r="L316" s="2"/>
      <c r="M316" s="2"/>
      <c r="N316" s="2"/>
      <c r="O316" s="2"/>
      <c r="P316" s="2"/>
      <c r="Q316" s="2"/>
      <c r="R316" s="2"/>
      <c r="S316" s="2"/>
      <c r="T316" s="2"/>
      <c r="U316" s="2"/>
    </row>
    <row r="317">
      <c r="A317" s="2"/>
      <c r="B317" s="2"/>
      <c r="C317" s="2"/>
      <c r="D317" s="2"/>
      <c r="E317" s="2"/>
      <c r="F317" s="2"/>
      <c r="G317" s="2"/>
      <c r="H317" s="2"/>
      <c r="I317" s="2"/>
      <c r="J317" s="2"/>
      <c r="K317" s="2"/>
      <c r="L317" s="2"/>
      <c r="M317" s="2"/>
      <c r="N317" s="2"/>
      <c r="O317" s="2"/>
      <c r="P317" s="2"/>
      <c r="Q317" s="2"/>
      <c r="R317" s="2"/>
      <c r="S317" s="2"/>
      <c r="T317" s="2"/>
      <c r="U317" s="2"/>
    </row>
    <row r="318">
      <c r="A318" s="2"/>
      <c r="B318" s="2"/>
      <c r="C318" s="2"/>
      <c r="D318" s="2"/>
      <c r="E318" s="2"/>
      <c r="F318" s="2"/>
      <c r="G318" s="2"/>
      <c r="H318" s="2"/>
      <c r="I318" s="2"/>
      <c r="J318" s="2"/>
      <c r="K318" s="2"/>
      <c r="L318" s="2"/>
      <c r="M318" s="2"/>
      <c r="N318" s="2"/>
      <c r="O318" s="2"/>
      <c r="P318" s="2"/>
      <c r="Q318" s="2"/>
      <c r="R318" s="2"/>
      <c r="S318" s="2"/>
      <c r="T318" s="2"/>
      <c r="U318" s="2"/>
    </row>
    <row r="319">
      <c r="A319" s="2"/>
      <c r="B319" s="2"/>
      <c r="C319" s="2"/>
      <c r="D319" s="2"/>
      <c r="E319" s="2"/>
      <c r="F319" s="2"/>
      <c r="G319" s="2"/>
      <c r="H319" s="2"/>
      <c r="I319" s="2"/>
      <c r="J319" s="2"/>
      <c r="K319" s="2"/>
      <c r="L319" s="2"/>
      <c r="M319" s="2"/>
      <c r="N319" s="2"/>
      <c r="O319" s="2"/>
      <c r="P319" s="2"/>
      <c r="Q319" s="2"/>
      <c r="R319" s="2"/>
      <c r="S319" s="2"/>
      <c r="T319" s="2"/>
      <c r="U319" s="2"/>
    </row>
    <row r="320">
      <c r="A320" s="2"/>
      <c r="B320" s="2"/>
      <c r="C320" s="2"/>
      <c r="D320" s="2"/>
      <c r="E320" s="2"/>
      <c r="F320" s="2"/>
      <c r="G320" s="2"/>
      <c r="H320" s="2"/>
      <c r="I320" s="2"/>
      <c r="J320" s="2"/>
      <c r="K320" s="2"/>
      <c r="L320" s="2"/>
      <c r="M320" s="2"/>
      <c r="N320" s="2"/>
      <c r="O320" s="2"/>
      <c r="P320" s="2"/>
      <c r="Q320" s="2"/>
      <c r="R320" s="2"/>
      <c r="S320" s="2"/>
      <c r="T320" s="2"/>
      <c r="U320" s="2"/>
    </row>
    <row r="321">
      <c r="A321" s="2"/>
      <c r="B321" s="2"/>
      <c r="C321" s="2"/>
      <c r="D321" s="2"/>
      <c r="E321" s="2"/>
      <c r="F321" s="2"/>
      <c r="G321" s="2"/>
      <c r="H321" s="2"/>
      <c r="I321" s="2"/>
      <c r="J321" s="2"/>
      <c r="K321" s="2"/>
      <c r="L321" s="2"/>
      <c r="M321" s="2"/>
      <c r="N321" s="2"/>
      <c r="O321" s="2"/>
      <c r="P321" s="2"/>
      <c r="Q321" s="2"/>
      <c r="R321" s="2"/>
      <c r="S321" s="2"/>
      <c r="T321" s="2"/>
      <c r="U321" s="2"/>
    </row>
    <row r="322">
      <c r="A322" s="2"/>
      <c r="B322" s="2"/>
      <c r="C322" s="2"/>
      <c r="D322" s="2"/>
      <c r="E322" s="2"/>
      <c r="F322" s="2"/>
      <c r="G322" s="2"/>
      <c r="H322" s="2"/>
      <c r="I322" s="2"/>
      <c r="J322" s="2"/>
      <c r="K322" s="2"/>
      <c r="L322" s="2"/>
      <c r="M322" s="2"/>
      <c r="N322" s="2"/>
      <c r="O322" s="2"/>
      <c r="P322" s="2"/>
      <c r="Q322" s="2"/>
      <c r="R322" s="2"/>
      <c r="S322" s="2"/>
      <c r="T322" s="2"/>
      <c r="U322" s="2"/>
    </row>
    <row r="323">
      <c r="A323" s="2"/>
      <c r="B323" s="2"/>
      <c r="C323" s="2"/>
      <c r="D323" s="2"/>
      <c r="E323" s="2"/>
      <c r="F323" s="2"/>
      <c r="G323" s="2"/>
      <c r="H323" s="2"/>
      <c r="I323" s="2"/>
      <c r="J323" s="2"/>
      <c r="K323" s="2"/>
      <c r="L323" s="2"/>
      <c r="M323" s="2"/>
      <c r="N323" s="2"/>
      <c r="O323" s="2"/>
      <c r="P323" s="2"/>
      <c r="Q323" s="2"/>
      <c r="R323" s="2"/>
      <c r="S323" s="2"/>
      <c r="T323" s="2"/>
      <c r="U323" s="2"/>
    </row>
    <row r="324">
      <c r="A324" s="2"/>
      <c r="B324" s="2"/>
      <c r="C324" s="2"/>
      <c r="D324" s="2"/>
      <c r="E324" s="2"/>
      <c r="F324" s="2"/>
      <c r="G324" s="2"/>
      <c r="H324" s="2"/>
      <c r="I324" s="2"/>
      <c r="J324" s="2"/>
      <c r="K324" s="2"/>
      <c r="L324" s="2"/>
      <c r="M324" s="2"/>
      <c r="N324" s="2"/>
      <c r="O324" s="2"/>
      <c r="P324" s="2"/>
      <c r="Q324" s="2"/>
      <c r="R324" s="2"/>
      <c r="S324" s="2"/>
      <c r="T324" s="2"/>
      <c r="U324" s="2"/>
    </row>
    <row r="325">
      <c r="A325" s="2"/>
      <c r="B325" s="2"/>
      <c r="C325" s="2"/>
      <c r="D325" s="2"/>
      <c r="E325" s="2"/>
      <c r="F325" s="2"/>
      <c r="G325" s="2"/>
      <c r="H325" s="2"/>
      <c r="I325" s="2"/>
      <c r="J325" s="2"/>
      <c r="K325" s="2"/>
      <c r="L325" s="2"/>
      <c r="M325" s="2"/>
      <c r="N325" s="2"/>
      <c r="O325" s="2"/>
      <c r="P325" s="2"/>
      <c r="Q325" s="2"/>
      <c r="R325" s="2"/>
      <c r="S325" s="2"/>
      <c r="T325" s="2"/>
      <c r="U325" s="2"/>
    </row>
    <row r="326">
      <c r="A326" s="2"/>
      <c r="B326" s="2"/>
      <c r="C326" s="2"/>
      <c r="D326" s="2"/>
      <c r="E326" s="2"/>
      <c r="F326" s="2"/>
      <c r="G326" s="2"/>
      <c r="H326" s="2"/>
      <c r="I326" s="2"/>
      <c r="J326" s="2"/>
      <c r="K326" s="2"/>
      <c r="L326" s="2"/>
      <c r="M326" s="2"/>
      <c r="N326" s="2"/>
      <c r="O326" s="2"/>
      <c r="P326" s="2"/>
      <c r="Q326" s="2"/>
      <c r="R326" s="2"/>
      <c r="S326" s="2"/>
      <c r="T326" s="2"/>
      <c r="U326" s="2"/>
    </row>
    <row r="327">
      <c r="A327" s="2"/>
      <c r="B327" s="2"/>
      <c r="C327" s="2"/>
      <c r="D327" s="2"/>
      <c r="E327" s="2"/>
      <c r="F327" s="2"/>
      <c r="G327" s="2"/>
      <c r="H327" s="2"/>
      <c r="I327" s="2"/>
      <c r="J327" s="2"/>
      <c r="K327" s="2"/>
      <c r="L327" s="2"/>
      <c r="M327" s="2"/>
      <c r="N327" s="2"/>
      <c r="O327" s="2"/>
      <c r="P327" s="2"/>
      <c r="Q327" s="2"/>
      <c r="R327" s="2"/>
      <c r="S327" s="2"/>
      <c r="T327" s="2"/>
      <c r="U327" s="2"/>
    </row>
    <row r="328">
      <c r="A328" s="2"/>
      <c r="B328" s="2"/>
      <c r="C328" s="2"/>
      <c r="D328" s="2"/>
      <c r="E328" s="2"/>
      <c r="F328" s="2"/>
      <c r="G328" s="2"/>
      <c r="H328" s="2"/>
      <c r="I328" s="2"/>
      <c r="J328" s="2"/>
      <c r="K328" s="2"/>
      <c r="L328" s="2"/>
      <c r="M328" s="2"/>
      <c r="N328" s="2"/>
      <c r="O328" s="2"/>
      <c r="P328" s="2"/>
      <c r="Q328" s="2"/>
      <c r="R328" s="2"/>
      <c r="S328" s="2"/>
      <c r="T328" s="2"/>
      <c r="U328" s="2"/>
    </row>
    <row r="329">
      <c r="A329" s="2"/>
      <c r="B329" s="2"/>
      <c r="C329" s="2"/>
      <c r="D329" s="2"/>
      <c r="E329" s="2"/>
      <c r="F329" s="2"/>
      <c r="G329" s="2"/>
      <c r="H329" s="2"/>
      <c r="I329" s="2"/>
      <c r="J329" s="2"/>
      <c r="K329" s="2"/>
      <c r="L329" s="2"/>
      <c r="M329" s="2"/>
      <c r="N329" s="2"/>
      <c r="O329" s="2"/>
      <c r="P329" s="2"/>
      <c r="Q329" s="2"/>
      <c r="R329" s="2"/>
      <c r="S329" s="2"/>
      <c r="T329" s="2"/>
      <c r="U329" s="2"/>
    </row>
    <row r="330">
      <c r="A330" s="2"/>
      <c r="B330" s="2"/>
      <c r="C330" s="2"/>
      <c r="D330" s="2"/>
      <c r="E330" s="2"/>
      <c r="F330" s="2"/>
      <c r="G330" s="2"/>
      <c r="H330" s="2"/>
      <c r="I330" s="2"/>
      <c r="J330" s="2"/>
      <c r="K330" s="2"/>
      <c r="L330" s="2"/>
      <c r="M330" s="2"/>
      <c r="N330" s="2"/>
      <c r="O330" s="2"/>
      <c r="P330" s="2"/>
      <c r="Q330" s="2"/>
      <c r="R330" s="2"/>
      <c r="S330" s="2"/>
      <c r="T330" s="2"/>
      <c r="U330" s="2"/>
    </row>
    <row r="331">
      <c r="A331" s="2"/>
      <c r="B331" s="2"/>
      <c r="C331" s="2"/>
      <c r="D331" s="2"/>
      <c r="E331" s="2"/>
      <c r="F331" s="2"/>
      <c r="G331" s="2"/>
      <c r="H331" s="2"/>
      <c r="I331" s="2"/>
      <c r="J331" s="2"/>
      <c r="K331" s="2"/>
      <c r="L331" s="2"/>
      <c r="M331" s="2"/>
      <c r="N331" s="2"/>
      <c r="O331" s="2"/>
      <c r="P331" s="2"/>
      <c r="Q331" s="2"/>
      <c r="R331" s="2"/>
      <c r="S331" s="2"/>
      <c r="T331" s="2"/>
      <c r="U331" s="2"/>
    </row>
    <row r="332">
      <c r="A332" s="2"/>
      <c r="B332" s="2"/>
      <c r="C332" s="2"/>
      <c r="D332" s="2"/>
      <c r="E332" s="2"/>
      <c r="F332" s="2"/>
      <c r="G332" s="2"/>
      <c r="H332" s="2"/>
      <c r="I332" s="2"/>
      <c r="J332" s="2"/>
      <c r="K332" s="2"/>
      <c r="L332" s="2"/>
      <c r="M332" s="2"/>
      <c r="N332" s="2"/>
      <c r="O332" s="2"/>
      <c r="P332" s="2"/>
      <c r="Q332" s="2"/>
      <c r="R332" s="2"/>
      <c r="S332" s="2"/>
      <c r="T332" s="2"/>
      <c r="U332" s="2"/>
    </row>
    <row r="333">
      <c r="A333" s="2"/>
      <c r="B333" s="2"/>
      <c r="C333" s="2"/>
      <c r="D333" s="2"/>
      <c r="E333" s="2"/>
      <c r="F333" s="2"/>
      <c r="G333" s="2"/>
      <c r="H333" s="2"/>
      <c r="I333" s="2"/>
      <c r="J333" s="2"/>
      <c r="K333" s="2"/>
      <c r="L333" s="2"/>
      <c r="M333" s="2"/>
      <c r="N333" s="2"/>
      <c r="O333" s="2"/>
      <c r="P333" s="2"/>
      <c r="Q333" s="2"/>
      <c r="R333" s="2"/>
      <c r="S333" s="2"/>
      <c r="T333" s="2"/>
      <c r="U333" s="2"/>
    </row>
    <row r="334">
      <c r="A334" s="2"/>
      <c r="B334" s="2"/>
      <c r="C334" s="2"/>
      <c r="D334" s="2"/>
      <c r="E334" s="2"/>
      <c r="F334" s="2"/>
      <c r="G334" s="2"/>
      <c r="H334" s="2"/>
      <c r="I334" s="2"/>
      <c r="J334" s="2"/>
      <c r="K334" s="2"/>
      <c r="L334" s="2"/>
      <c r="M334" s="2"/>
      <c r="N334" s="2"/>
      <c r="O334" s="2"/>
      <c r="P334" s="2"/>
      <c r="Q334" s="2"/>
      <c r="R334" s="2"/>
      <c r="S334" s="2"/>
      <c r="T334" s="2"/>
      <c r="U334" s="2"/>
    </row>
    <row r="335">
      <c r="A335" s="2"/>
      <c r="B335" s="2"/>
      <c r="C335" s="2"/>
      <c r="D335" s="2"/>
      <c r="E335" s="2"/>
      <c r="F335" s="2"/>
      <c r="G335" s="2"/>
      <c r="H335" s="2"/>
      <c r="I335" s="2"/>
      <c r="J335" s="2"/>
      <c r="K335" s="2"/>
      <c r="L335" s="2"/>
      <c r="M335" s="2"/>
      <c r="N335" s="2"/>
      <c r="O335" s="2"/>
      <c r="P335" s="2"/>
      <c r="Q335" s="2"/>
      <c r="R335" s="2"/>
      <c r="S335" s="2"/>
      <c r="T335" s="2"/>
      <c r="U335" s="2"/>
    </row>
    <row r="336">
      <c r="A336" s="2"/>
      <c r="B336" s="2"/>
      <c r="C336" s="2"/>
      <c r="D336" s="2"/>
      <c r="E336" s="2"/>
      <c r="F336" s="2"/>
      <c r="G336" s="2"/>
      <c r="H336" s="2"/>
      <c r="I336" s="2"/>
      <c r="J336" s="2"/>
      <c r="K336" s="2"/>
      <c r="L336" s="2"/>
      <c r="M336" s="2"/>
      <c r="N336" s="2"/>
      <c r="O336" s="2"/>
      <c r="P336" s="2"/>
      <c r="Q336" s="2"/>
      <c r="R336" s="2"/>
      <c r="S336" s="2"/>
      <c r="T336" s="2"/>
      <c r="U336" s="2"/>
    </row>
    <row r="337">
      <c r="A337" s="2"/>
      <c r="B337" s="2"/>
      <c r="C337" s="2"/>
      <c r="D337" s="2"/>
      <c r="E337" s="2"/>
      <c r="F337" s="2"/>
      <c r="G337" s="2"/>
      <c r="H337" s="2"/>
      <c r="I337" s="2"/>
      <c r="J337" s="2"/>
      <c r="K337" s="2"/>
      <c r="L337" s="2"/>
      <c r="M337" s="2"/>
      <c r="N337" s="2"/>
      <c r="O337" s="2"/>
      <c r="P337" s="2"/>
      <c r="Q337" s="2"/>
      <c r="R337" s="2"/>
      <c r="S337" s="2"/>
      <c r="T337" s="2"/>
      <c r="U337" s="2"/>
    </row>
    <row r="338">
      <c r="A338" s="2"/>
      <c r="B338" s="2"/>
      <c r="C338" s="2"/>
      <c r="D338" s="2"/>
      <c r="E338" s="2"/>
      <c r="F338" s="2"/>
      <c r="G338" s="2"/>
      <c r="H338" s="2"/>
      <c r="I338" s="2"/>
      <c r="J338" s="2"/>
      <c r="K338" s="2"/>
      <c r="L338" s="2"/>
      <c r="M338" s="2"/>
      <c r="N338" s="2"/>
      <c r="O338" s="2"/>
      <c r="P338" s="2"/>
      <c r="Q338" s="2"/>
      <c r="R338" s="2"/>
      <c r="S338" s="2"/>
      <c r="T338" s="2"/>
      <c r="U338" s="2"/>
    </row>
    <row r="339">
      <c r="A339" s="2"/>
      <c r="B339" s="2"/>
      <c r="C339" s="2"/>
      <c r="D339" s="2"/>
      <c r="E339" s="2"/>
      <c r="F339" s="2"/>
      <c r="G339" s="2"/>
      <c r="H339" s="2"/>
      <c r="I339" s="2"/>
      <c r="J339" s="2"/>
      <c r="K339" s="2"/>
      <c r="L339" s="2"/>
      <c r="M339" s="2"/>
      <c r="N339" s="2"/>
      <c r="O339" s="2"/>
      <c r="P339" s="2"/>
      <c r="Q339" s="2"/>
      <c r="R339" s="2"/>
      <c r="S339" s="2"/>
      <c r="T339" s="2"/>
      <c r="U339" s="2"/>
    </row>
    <row r="340">
      <c r="A340" s="2"/>
      <c r="B340" s="2"/>
      <c r="C340" s="2"/>
      <c r="D340" s="2"/>
      <c r="E340" s="2"/>
      <c r="F340" s="2"/>
      <c r="G340" s="2"/>
      <c r="H340" s="2"/>
      <c r="I340" s="2"/>
      <c r="J340" s="2"/>
      <c r="K340" s="2"/>
      <c r="L340" s="2"/>
      <c r="M340" s="2"/>
      <c r="N340" s="2"/>
      <c r="O340" s="2"/>
      <c r="P340" s="2"/>
      <c r="Q340" s="2"/>
      <c r="R340" s="2"/>
      <c r="S340" s="2"/>
      <c r="T340" s="2"/>
      <c r="U340" s="2"/>
    </row>
    <row r="341">
      <c r="A341" s="2"/>
      <c r="B341" s="2"/>
      <c r="C341" s="2"/>
      <c r="D341" s="2"/>
      <c r="E341" s="2"/>
      <c r="F341" s="2"/>
      <c r="G341" s="2"/>
      <c r="H341" s="2"/>
      <c r="I341" s="2"/>
      <c r="J341" s="2"/>
      <c r="K341" s="2"/>
      <c r="L341" s="2"/>
      <c r="M341" s="2"/>
      <c r="N341" s="2"/>
      <c r="O341" s="2"/>
      <c r="P341" s="2"/>
      <c r="Q341" s="2"/>
      <c r="R341" s="2"/>
      <c r="S341" s="2"/>
      <c r="T341" s="2"/>
      <c r="U341" s="2"/>
    </row>
    <row r="342">
      <c r="A342" s="2"/>
      <c r="B342" s="2"/>
      <c r="C342" s="2"/>
      <c r="D342" s="2"/>
      <c r="E342" s="2"/>
      <c r="F342" s="2"/>
      <c r="G342" s="2"/>
      <c r="H342" s="2"/>
      <c r="I342" s="2"/>
      <c r="J342" s="2"/>
      <c r="K342" s="2"/>
      <c r="L342" s="2"/>
      <c r="M342" s="2"/>
      <c r="N342" s="2"/>
      <c r="O342" s="2"/>
      <c r="P342" s="2"/>
      <c r="Q342" s="2"/>
      <c r="R342" s="2"/>
      <c r="S342" s="2"/>
      <c r="T342" s="2"/>
      <c r="U342" s="2"/>
    </row>
    <row r="343">
      <c r="A343" s="2"/>
      <c r="B343" s="2"/>
      <c r="C343" s="2"/>
      <c r="D343" s="2"/>
      <c r="E343" s="2"/>
      <c r="F343" s="2"/>
      <c r="G343" s="2"/>
      <c r="H343" s="2"/>
      <c r="I343" s="2"/>
      <c r="J343" s="2"/>
      <c r="K343" s="2"/>
      <c r="L343" s="2"/>
      <c r="M343" s="2"/>
      <c r="N343" s="2"/>
      <c r="O343" s="2"/>
      <c r="P343" s="2"/>
      <c r="Q343" s="2"/>
      <c r="R343" s="2"/>
      <c r="S343" s="2"/>
      <c r="T343" s="2"/>
      <c r="U343" s="2"/>
    </row>
    <row r="344">
      <c r="A344" s="2"/>
      <c r="B344" s="2"/>
      <c r="C344" s="2"/>
      <c r="D344" s="2"/>
      <c r="E344" s="2"/>
      <c r="F344" s="2"/>
      <c r="G344" s="2"/>
      <c r="H344" s="2"/>
      <c r="I344" s="2"/>
      <c r="J344" s="2"/>
      <c r="K344" s="2"/>
      <c r="L344" s="2"/>
      <c r="M344" s="2"/>
      <c r="N344" s="2"/>
      <c r="O344" s="2"/>
      <c r="P344" s="2"/>
      <c r="Q344" s="2"/>
      <c r="R344" s="2"/>
      <c r="S344" s="2"/>
      <c r="T344" s="2"/>
      <c r="U344" s="2"/>
    </row>
    <row r="345">
      <c r="A345" s="2"/>
      <c r="B345" s="2"/>
      <c r="C345" s="2"/>
      <c r="D345" s="2"/>
      <c r="E345" s="2"/>
      <c r="F345" s="2"/>
      <c r="G345" s="2"/>
      <c r="H345" s="2"/>
      <c r="I345" s="2"/>
      <c r="J345" s="2"/>
      <c r="K345" s="2"/>
      <c r="L345" s="2"/>
      <c r="M345" s="2"/>
      <c r="N345" s="2"/>
      <c r="O345" s="2"/>
      <c r="P345" s="2"/>
      <c r="Q345" s="2"/>
      <c r="R345" s="2"/>
      <c r="S345" s="2"/>
      <c r="T345" s="2"/>
      <c r="U345" s="2"/>
    </row>
    <row r="346">
      <c r="A346" s="2"/>
      <c r="B346" s="2"/>
      <c r="C346" s="2"/>
      <c r="D346" s="2"/>
      <c r="E346" s="2"/>
      <c r="F346" s="2"/>
      <c r="G346" s="2"/>
      <c r="H346" s="2"/>
      <c r="I346" s="2"/>
      <c r="J346" s="2"/>
      <c r="K346" s="2"/>
      <c r="L346" s="2"/>
      <c r="M346" s="2"/>
      <c r="N346" s="2"/>
      <c r="O346" s="2"/>
      <c r="P346" s="2"/>
      <c r="Q346" s="2"/>
      <c r="R346" s="2"/>
      <c r="S346" s="2"/>
      <c r="T346" s="2"/>
      <c r="U346" s="2"/>
    </row>
    <row r="347">
      <c r="A347" s="2"/>
      <c r="B347" s="2"/>
      <c r="C347" s="2"/>
      <c r="D347" s="2"/>
      <c r="E347" s="2"/>
      <c r="F347" s="2"/>
      <c r="G347" s="2"/>
      <c r="H347" s="2"/>
      <c r="I347" s="2"/>
      <c r="J347" s="2"/>
      <c r="K347" s="2"/>
      <c r="L347" s="2"/>
      <c r="M347" s="2"/>
      <c r="N347" s="2"/>
      <c r="O347" s="2"/>
      <c r="P347" s="2"/>
      <c r="Q347" s="2"/>
      <c r="R347" s="2"/>
      <c r="S347" s="2"/>
      <c r="T347" s="2"/>
      <c r="U347" s="2"/>
    </row>
    <row r="348">
      <c r="A348" s="2"/>
      <c r="B348" s="2"/>
      <c r="C348" s="2"/>
      <c r="D348" s="2"/>
      <c r="E348" s="2"/>
      <c r="F348" s="2"/>
      <c r="G348" s="2"/>
      <c r="H348" s="2"/>
      <c r="I348" s="2"/>
      <c r="J348" s="2"/>
      <c r="K348" s="2"/>
      <c r="L348" s="2"/>
      <c r="M348" s="2"/>
      <c r="N348" s="2"/>
      <c r="O348" s="2"/>
      <c r="P348" s="2"/>
      <c r="Q348" s="2"/>
      <c r="R348" s="2"/>
      <c r="S348" s="2"/>
      <c r="T348" s="2"/>
      <c r="U348" s="2"/>
    </row>
    <row r="349">
      <c r="A349" s="2"/>
      <c r="B349" s="2"/>
      <c r="C349" s="2"/>
      <c r="D349" s="2"/>
      <c r="E349" s="2"/>
      <c r="F349" s="2"/>
      <c r="G349" s="2"/>
      <c r="H349" s="2"/>
      <c r="I349" s="2"/>
      <c r="J349" s="2"/>
      <c r="K349" s="2"/>
      <c r="L349" s="2"/>
      <c r="M349" s="2"/>
      <c r="N349" s="2"/>
      <c r="O349" s="2"/>
      <c r="P349" s="2"/>
      <c r="Q349" s="2"/>
      <c r="R349" s="2"/>
      <c r="S349" s="2"/>
      <c r="T349" s="2"/>
      <c r="U349" s="2"/>
    </row>
    <row r="350">
      <c r="A350" s="2"/>
      <c r="B350" s="2"/>
      <c r="C350" s="2"/>
      <c r="D350" s="2"/>
      <c r="E350" s="2"/>
      <c r="F350" s="2"/>
      <c r="G350" s="2"/>
      <c r="H350" s="2"/>
      <c r="I350" s="2"/>
      <c r="J350" s="2"/>
      <c r="K350" s="2"/>
      <c r="L350" s="2"/>
      <c r="M350" s="2"/>
      <c r="N350" s="2"/>
      <c r="O350" s="2"/>
      <c r="P350" s="2"/>
      <c r="Q350" s="2"/>
      <c r="R350" s="2"/>
      <c r="S350" s="2"/>
      <c r="T350" s="2"/>
      <c r="U350" s="2"/>
    </row>
    <row r="351">
      <c r="A351" s="2"/>
      <c r="B351" s="2"/>
      <c r="C351" s="2"/>
      <c r="D351" s="2"/>
      <c r="E351" s="2"/>
      <c r="F351" s="2"/>
      <c r="G351" s="2"/>
      <c r="H351" s="2"/>
      <c r="I351" s="2"/>
      <c r="J351" s="2"/>
      <c r="K351" s="2"/>
      <c r="L351" s="2"/>
      <c r="M351" s="2"/>
      <c r="N351" s="2"/>
      <c r="O351" s="2"/>
      <c r="P351" s="2"/>
      <c r="Q351" s="2"/>
      <c r="R351" s="2"/>
      <c r="S351" s="2"/>
      <c r="T351" s="2"/>
      <c r="U351" s="2"/>
    </row>
    <row r="352">
      <c r="A352" s="2"/>
      <c r="B352" s="2"/>
      <c r="C352" s="2"/>
      <c r="D352" s="2"/>
      <c r="E352" s="2"/>
      <c r="F352" s="2"/>
      <c r="G352" s="2"/>
      <c r="H352" s="2"/>
      <c r="I352" s="2"/>
      <c r="J352" s="2"/>
      <c r="K352" s="2"/>
      <c r="L352" s="2"/>
      <c r="M352" s="2"/>
      <c r="N352" s="2"/>
      <c r="O352" s="2"/>
      <c r="P352" s="2"/>
      <c r="Q352" s="2"/>
      <c r="R352" s="2"/>
      <c r="S352" s="2"/>
      <c r="T352" s="2"/>
      <c r="U352" s="2"/>
    </row>
    <row r="353">
      <c r="A353" s="2"/>
      <c r="B353" s="2"/>
      <c r="C353" s="2"/>
      <c r="D353" s="2"/>
      <c r="E353" s="2"/>
      <c r="F353" s="2"/>
      <c r="G353" s="2"/>
      <c r="H353" s="2"/>
      <c r="I353" s="2"/>
      <c r="J353" s="2"/>
      <c r="K353" s="2"/>
      <c r="L353" s="2"/>
      <c r="M353" s="2"/>
      <c r="N353" s="2"/>
      <c r="O353" s="2"/>
      <c r="P353" s="2"/>
      <c r="Q353" s="2"/>
      <c r="R353" s="2"/>
      <c r="S353" s="2"/>
      <c r="T353" s="2"/>
      <c r="U353" s="2"/>
    </row>
    <row r="354">
      <c r="A354" s="2"/>
      <c r="B354" s="2"/>
      <c r="C354" s="2"/>
      <c r="D354" s="2"/>
      <c r="E354" s="2"/>
      <c r="F354" s="2"/>
      <c r="G354" s="2"/>
      <c r="H354" s="2"/>
      <c r="I354" s="2"/>
      <c r="J354" s="2"/>
      <c r="K354" s="2"/>
      <c r="L354" s="2"/>
      <c r="M354" s="2"/>
      <c r="N354" s="2"/>
      <c r="O354" s="2"/>
      <c r="P354" s="2"/>
      <c r="Q354" s="2"/>
      <c r="R354" s="2"/>
      <c r="S354" s="2"/>
      <c r="T354" s="2"/>
      <c r="U354" s="2"/>
    </row>
    <row r="355">
      <c r="A355" s="2"/>
      <c r="B355" s="2"/>
      <c r="C355" s="2"/>
      <c r="D355" s="2"/>
      <c r="E355" s="2"/>
      <c r="F355" s="2"/>
      <c r="G355" s="2"/>
      <c r="H355" s="2"/>
      <c r="I355" s="2"/>
      <c r="J355" s="2"/>
      <c r="K355" s="2"/>
      <c r="L355" s="2"/>
      <c r="M355" s="2"/>
      <c r="N355" s="2"/>
      <c r="O355" s="2"/>
      <c r="P355" s="2"/>
      <c r="Q355" s="2"/>
      <c r="R355" s="2"/>
      <c r="S355" s="2"/>
      <c r="T355" s="2"/>
      <c r="U355" s="2"/>
    </row>
    <row r="356">
      <c r="A356" s="2"/>
      <c r="B356" s="2"/>
      <c r="C356" s="2"/>
      <c r="D356" s="2"/>
      <c r="E356" s="2"/>
      <c r="F356" s="2"/>
      <c r="G356" s="2"/>
      <c r="H356" s="2"/>
      <c r="I356" s="2"/>
      <c r="J356" s="2"/>
      <c r="K356" s="2"/>
      <c r="L356" s="2"/>
      <c r="M356" s="2"/>
      <c r="N356" s="2"/>
      <c r="O356" s="2"/>
      <c r="P356" s="2"/>
      <c r="Q356" s="2"/>
      <c r="R356" s="2"/>
      <c r="S356" s="2"/>
      <c r="T356" s="2"/>
      <c r="U356" s="2"/>
    </row>
    <row r="357">
      <c r="A357" s="2"/>
      <c r="B357" s="2"/>
      <c r="C357" s="2"/>
      <c r="D357" s="2"/>
      <c r="E357" s="2"/>
      <c r="F357" s="2"/>
      <c r="G357" s="2"/>
      <c r="H357" s="2"/>
      <c r="I357" s="2"/>
      <c r="J357" s="2"/>
      <c r="K357" s="2"/>
      <c r="L357" s="2"/>
      <c r="M357" s="2"/>
      <c r="N357" s="2"/>
      <c r="O357" s="2"/>
      <c r="P357" s="2"/>
      <c r="Q357" s="2"/>
      <c r="R357" s="2"/>
      <c r="S357" s="2"/>
      <c r="T357" s="2"/>
      <c r="U357" s="2"/>
    </row>
    <row r="358">
      <c r="A358" s="2"/>
      <c r="B358" s="2"/>
      <c r="C358" s="2"/>
      <c r="D358" s="2"/>
      <c r="E358" s="2"/>
      <c r="F358" s="2"/>
      <c r="G358" s="2"/>
      <c r="H358" s="2"/>
      <c r="I358" s="2"/>
      <c r="J358" s="2"/>
      <c r="K358" s="2"/>
      <c r="L358" s="2"/>
      <c r="M358" s="2"/>
      <c r="N358" s="2"/>
      <c r="O358" s="2"/>
      <c r="P358" s="2"/>
      <c r="Q358" s="2"/>
      <c r="R358" s="2"/>
      <c r="S358" s="2"/>
      <c r="T358" s="2"/>
      <c r="U358" s="2"/>
    </row>
    <row r="359">
      <c r="A359" s="2"/>
      <c r="B359" s="2"/>
      <c r="C359" s="2"/>
      <c r="D359" s="2"/>
      <c r="E359" s="2"/>
      <c r="F359" s="2"/>
      <c r="G359" s="2"/>
      <c r="H359" s="2"/>
      <c r="I359" s="2"/>
      <c r="J359" s="2"/>
      <c r="K359" s="2"/>
      <c r="L359" s="2"/>
      <c r="M359" s="2"/>
      <c r="N359" s="2"/>
      <c r="O359" s="2"/>
      <c r="P359" s="2"/>
      <c r="Q359" s="2"/>
      <c r="R359" s="2"/>
      <c r="S359" s="2"/>
      <c r="T359" s="2"/>
      <c r="U359" s="2"/>
    </row>
    <row r="360">
      <c r="A360" s="2"/>
      <c r="B360" s="2"/>
      <c r="C360" s="2"/>
      <c r="D360" s="2"/>
      <c r="E360" s="2"/>
      <c r="F360" s="2"/>
      <c r="G360" s="2"/>
      <c r="H360" s="2"/>
      <c r="I360" s="2"/>
      <c r="J360" s="2"/>
      <c r="K360" s="2"/>
      <c r="L360" s="2"/>
      <c r="M360" s="2"/>
      <c r="N360" s="2"/>
      <c r="O360" s="2"/>
      <c r="P360" s="2"/>
      <c r="Q360" s="2"/>
      <c r="R360" s="2"/>
      <c r="S360" s="2"/>
      <c r="T360" s="2"/>
      <c r="U360" s="2"/>
    </row>
    <row r="361">
      <c r="A361" s="2"/>
      <c r="B361" s="2"/>
      <c r="C361" s="2"/>
      <c r="D361" s="2"/>
      <c r="E361" s="2"/>
      <c r="F361" s="2"/>
      <c r="G361" s="2"/>
      <c r="H361" s="2"/>
      <c r="I361" s="2"/>
      <c r="J361" s="2"/>
      <c r="K361" s="2"/>
      <c r="L361" s="2"/>
      <c r="M361" s="2"/>
      <c r="N361" s="2"/>
      <c r="O361" s="2"/>
      <c r="P361" s="2"/>
      <c r="Q361" s="2"/>
      <c r="R361" s="2"/>
      <c r="S361" s="2"/>
      <c r="T361" s="2"/>
      <c r="U361" s="2"/>
    </row>
    <row r="362">
      <c r="A362" s="2"/>
      <c r="B362" s="2"/>
      <c r="C362" s="2"/>
      <c r="D362" s="2"/>
      <c r="E362" s="2"/>
      <c r="F362" s="2"/>
      <c r="G362" s="2"/>
      <c r="H362" s="2"/>
      <c r="I362" s="2"/>
      <c r="J362" s="2"/>
      <c r="K362" s="2"/>
      <c r="L362" s="2"/>
      <c r="M362" s="2"/>
      <c r="N362" s="2"/>
      <c r="O362" s="2"/>
      <c r="P362" s="2"/>
      <c r="Q362" s="2"/>
      <c r="R362" s="2"/>
      <c r="S362" s="2"/>
      <c r="T362" s="2"/>
      <c r="U362" s="2"/>
    </row>
    <row r="363">
      <c r="A363" s="2"/>
      <c r="B363" s="2"/>
      <c r="C363" s="2"/>
      <c r="D363" s="2"/>
      <c r="E363" s="2"/>
      <c r="F363" s="2"/>
      <c r="G363" s="2"/>
      <c r="H363" s="2"/>
      <c r="I363" s="2"/>
      <c r="J363" s="2"/>
      <c r="K363" s="2"/>
      <c r="L363" s="2"/>
      <c r="M363" s="2"/>
      <c r="N363" s="2"/>
      <c r="O363" s="2"/>
      <c r="P363" s="2"/>
      <c r="Q363" s="2"/>
      <c r="R363" s="2"/>
      <c r="S363" s="2"/>
      <c r="T363" s="2"/>
      <c r="U363" s="2"/>
    </row>
    <row r="364">
      <c r="A364" s="2"/>
      <c r="B364" s="2"/>
      <c r="C364" s="2"/>
      <c r="D364" s="2"/>
      <c r="E364" s="2"/>
      <c r="F364" s="2"/>
      <c r="G364" s="2"/>
      <c r="H364" s="2"/>
      <c r="I364" s="2"/>
      <c r="J364" s="2"/>
      <c r="K364" s="2"/>
      <c r="L364" s="2"/>
      <c r="M364" s="2"/>
      <c r="N364" s="2"/>
      <c r="O364" s="2"/>
      <c r="P364" s="2"/>
      <c r="Q364" s="2"/>
      <c r="R364" s="2"/>
      <c r="S364" s="2"/>
      <c r="T364" s="2"/>
      <c r="U364" s="2"/>
    </row>
    <row r="365">
      <c r="A365" s="2"/>
      <c r="B365" s="2"/>
      <c r="C365" s="2"/>
      <c r="D365" s="2"/>
      <c r="E365" s="2"/>
      <c r="F365" s="2"/>
      <c r="G365" s="2"/>
      <c r="H365" s="2"/>
      <c r="I365" s="2"/>
      <c r="J365" s="2"/>
      <c r="K365" s="2"/>
      <c r="L365" s="2"/>
      <c r="M365" s="2"/>
      <c r="N365" s="2"/>
      <c r="O365" s="2"/>
      <c r="P365" s="2"/>
      <c r="Q365" s="2"/>
      <c r="R365" s="2"/>
      <c r="S365" s="2"/>
      <c r="T365" s="2"/>
      <c r="U365" s="2"/>
    </row>
    <row r="366">
      <c r="A366" s="2"/>
      <c r="B366" s="2"/>
      <c r="C366" s="2"/>
      <c r="D366" s="2"/>
      <c r="E366" s="2"/>
      <c r="F366" s="2"/>
      <c r="G366" s="2"/>
      <c r="H366" s="2"/>
      <c r="I366" s="2"/>
      <c r="J366" s="2"/>
      <c r="K366" s="2"/>
      <c r="L366" s="2"/>
      <c r="M366" s="2"/>
      <c r="N366" s="2"/>
      <c r="O366" s="2"/>
      <c r="P366" s="2"/>
      <c r="Q366" s="2"/>
      <c r="R366" s="2"/>
      <c r="S366" s="2"/>
      <c r="T366" s="2"/>
      <c r="U366" s="2"/>
    </row>
    <row r="367">
      <c r="A367" s="2"/>
      <c r="B367" s="2"/>
      <c r="C367" s="2"/>
      <c r="D367" s="2"/>
      <c r="E367" s="2"/>
      <c r="F367" s="2"/>
      <c r="G367" s="2"/>
      <c r="H367" s="2"/>
      <c r="I367" s="2"/>
      <c r="J367" s="2"/>
      <c r="K367" s="2"/>
      <c r="L367" s="2"/>
      <c r="M367" s="2"/>
      <c r="N367" s="2"/>
      <c r="O367" s="2"/>
      <c r="P367" s="2"/>
      <c r="Q367" s="2"/>
      <c r="R367" s="2"/>
      <c r="S367" s="2"/>
      <c r="T367" s="2"/>
      <c r="U367" s="2"/>
    </row>
    <row r="368">
      <c r="A368" s="2"/>
      <c r="B368" s="2"/>
      <c r="C368" s="2"/>
      <c r="D368" s="2"/>
      <c r="E368" s="2"/>
      <c r="F368" s="2"/>
      <c r="G368" s="2"/>
      <c r="H368" s="2"/>
      <c r="I368" s="2"/>
      <c r="J368" s="2"/>
      <c r="K368" s="2"/>
      <c r="L368" s="2"/>
      <c r="M368" s="2"/>
      <c r="N368" s="2"/>
      <c r="O368" s="2"/>
      <c r="P368" s="2"/>
      <c r="Q368" s="2"/>
      <c r="R368" s="2"/>
      <c r="S368" s="2"/>
      <c r="T368" s="2"/>
      <c r="U368" s="2"/>
    </row>
    <row r="369">
      <c r="A369" s="2"/>
      <c r="B369" s="2"/>
      <c r="C369" s="2"/>
      <c r="D369" s="2"/>
      <c r="E369" s="2"/>
      <c r="F369" s="2"/>
      <c r="G369" s="2"/>
      <c r="H369" s="2"/>
      <c r="I369" s="2"/>
      <c r="J369" s="2"/>
      <c r="K369" s="2"/>
      <c r="L369" s="2"/>
      <c r="M369" s="2"/>
      <c r="N369" s="2"/>
      <c r="O369" s="2"/>
      <c r="P369" s="2"/>
      <c r="Q369" s="2"/>
      <c r="R369" s="2"/>
      <c r="S369" s="2"/>
      <c r="T369" s="2"/>
      <c r="U369" s="2"/>
    </row>
    <row r="370">
      <c r="A370" s="2"/>
      <c r="B370" s="2"/>
      <c r="C370" s="2"/>
      <c r="D370" s="2"/>
      <c r="E370" s="2"/>
      <c r="F370" s="2"/>
      <c r="G370" s="2"/>
      <c r="H370" s="2"/>
      <c r="I370" s="2"/>
      <c r="J370" s="2"/>
      <c r="K370" s="2"/>
      <c r="L370" s="2"/>
      <c r="M370" s="2"/>
      <c r="N370" s="2"/>
      <c r="O370" s="2"/>
      <c r="P370" s="2"/>
      <c r="Q370" s="2"/>
      <c r="R370" s="2"/>
      <c r="S370" s="2"/>
      <c r="T370" s="2"/>
      <c r="U370" s="2"/>
    </row>
    <row r="371">
      <c r="A371" s="2"/>
      <c r="B371" s="2"/>
      <c r="C371" s="2"/>
      <c r="D371" s="2"/>
      <c r="E371" s="2"/>
      <c r="F371" s="2"/>
      <c r="G371" s="2"/>
      <c r="H371" s="2"/>
      <c r="I371" s="2"/>
      <c r="J371" s="2"/>
      <c r="K371" s="2"/>
      <c r="L371" s="2"/>
      <c r="M371" s="2"/>
      <c r="N371" s="2"/>
      <c r="O371" s="2"/>
      <c r="P371" s="2"/>
      <c r="Q371" s="2"/>
      <c r="R371" s="2"/>
      <c r="S371" s="2"/>
      <c r="T371" s="2"/>
      <c r="U371" s="2"/>
    </row>
    <row r="372">
      <c r="A372" s="2"/>
      <c r="B372" s="2"/>
      <c r="C372" s="2"/>
      <c r="D372" s="2"/>
      <c r="E372" s="2"/>
      <c r="F372" s="2"/>
      <c r="G372" s="2"/>
      <c r="H372" s="2"/>
      <c r="I372" s="2"/>
      <c r="J372" s="2"/>
      <c r="K372" s="2"/>
      <c r="L372" s="2"/>
      <c r="M372" s="2"/>
      <c r="N372" s="2"/>
      <c r="O372" s="2"/>
      <c r="P372" s="2"/>
      <c r="Q372" s="2"/>
      <c r="R372" s="2"/>
      <c r="S372" s="2"/>
      <c r="T372" s="2"/>
      <c r="U372" s="2"/>
    </row>
    <row r="373">
      <c r="A373" s="2"/>
      <c r="B373" s="2"/>
      <c r="C373" s="2"/>
      <c r="D373" s="2"/>
      <c r="E373" s="2"/>
      <c r="F373" s="2"/>
      <c r="G373" s="2"/>
      <c r="H373" s="2"/>
      <c r="I373" s="2"/>
      <c r="J373" s="2"/>
      <c r="K373" s="2"/>
      <c r="L373" s="2"/>
      <c r="M373" s="2"/>
      <c r="N373" s="2"/>
      <c r="O373" s="2"/>
      <c r="P373" s="2"/>
      <c r="Q373" s="2"/>
      <c r="R373" s="2"/>
      <c r="S373" s="2"/>
      <c r="T373" s="2"/>
      <c r="U373" s="2"/>
    </row>
    <row r="374">
      <c r="A374" s="2"/>
      <c r="B374" s="2"/>
      <c r="C374" s="2"/>
      <c r="D374" s="2"/>
      <c r="E374" s="2"/>
      <c r="F374" s="2"/>
      <c r="G374" s="2"/>
      <c r="H374" s="2"/>
      <c r="I374" s="2"/>
      <c r="J374" s="2"/>
      <c r="K374" s="2"/>
      <c r="L374" s="2"/>
      <c r="M374" s="2"/>
      <c r="N374" s="2"/>
      <c r="O374" s="2"/>
      <c r="P374" s="2"/>
      <c r="Q374" s="2"/>
      <c r="R374" s="2"/>
      <c r="S374" s="2"/>
      <c r="T374" s="2"/>
      <c r="U374" s="2"/>
    </row>
    <row r="375">
      <c r="A375" s="2"/>
      <c r="B375" s="2"/>
      <c r="C375" s="2"/>
      <c r="D375" s="2"/>
      <c r="E375" s="2"/>
      <c r="F375" s="2"/>
      <c r="G375" s="2"/>
      <c r="H375" s="2"/>
      <c r="I375" s="2"/>
      <c r="J375" s="2"/>
      <c r="K375" s="2"/>
      <c r="L375" s="2"/>
      <c r="M375" s="2"/>
      <c r="N375" s="2"/>
      <c r="O375" s="2"/>
      <c r="P375" s="2"/>
      <c r="Q375" s="2"/>
      <c r="R375" s="2"/>
      <c r="S375" s="2"/>
      <c r="T375" s="2"/>
      <c r="U375" s="2"/>
    </row>
    <row r="376">
      <c r="A376" s="2"/>
      <c r="B376" s="2"/>
      <c r="C376" s="2"/>
      <c r="D376" s="2"/>
      <c r="E376" s="2"/>
      <c r="F376" s="2"/>
      <c r="G376" s="2"/>
      <c r="H376" s="2"/>
      <c r="I376" s="2"/>
      <c r="J376" s="2"/>
      <c r="K376" s="2"/>
      <c r="L376" s="2"/>
      <c r="M376" s="2"/>
      <c r="N376" s="2"/>
      <c r="O376" s="2"/>
      <c r="P376" s="2"/>
      <c r="Q376" s="2"/>
      <c r="R376" s="2"/>
      <c r="S376" s="2"/>
      <c r="T376" s="2"/>
      <c r="U376" s="2"/>
    </row>
    <row r="377">
      <c r="A377" s="2"/>
      <c r="B377" s="2"/>
      <c r="C377" s="2"/>
      <c r="D377" s="2"/>
      <c r="E377" s="2"/>
      <c r="F377" s="2"/>
      <c r="G377" s="2"/>
      <c r="H377" s="2"/>
      <c r="I377" s="2"/>
      <c r="J377" s="2"/>
      <c r="K377" s="2"/>
      <c r="L377" s="2"/>
      <c r="M377" s="2"/>
      <c r="N377" s="2"/>
      <c r="O377" s="2"/>
      <c r="P377" s="2"/>
      <c r="Q377" s="2"/>
      <c r="R377" s="2"/>
      <c r="S377" s="2"/>
      <c r="T377" s="2"/>
      <c r="U377" s="2"/>
    </row>
    <row r="378">
      <c r="A378" s="2"/>
      <c r="B378" s="2"/>
      <c r="C378" s="2"/>
      <c r="D378" s="2"/>
      <c r="E378" s="2"/>
      <c r="F378" s="2"/>
      <c r="G378" s="2"/>
      <c r="H378" s="2"/>
      <c r="I378" s="2"/>
      <c r="J378" s="2"/>
      <c r="K378" s="2"/>
      <c r="L378" s="2"/>
      <c r="M378" s="2"/>
      <c r="N378" s="2"/>
      <c r="O378" s="2"/>
      <c r="P378" s="2"/>
      <c r="Q378" s="2"/>
      <c r="R378" s="2"/>
      <c r="S378" s="2"/>
      <c r="T378" s="2"/>
      <c r="U378" s="2"/>
    </row>
    <row r="379">
      <c r="A379" s="2"/>
      <c r="B379" s="2"/>
      <c r="C379" s="2"/>
      <c r="D379" s="2"/>
      <c r="E379" s="2"/>
      <c r="F379" s="2"/>
      <c r="G379" s="2"/>
      <c r="H379" s="2"/>
      <c r="I379" s="2"/>
      <c r="J379" s="2"/>
      <c r="K379" s="2"/>
      <c r="L379" s="2"/>
      <c r="M379" s="2"/>
      <c r="N379" s="2"/>
      <c r="O379" s="2"/>
      <c r="P379" s="2"/>
      <c r="Q379" s="2"/>
      <c r="R379" s="2"/>
      <c r="S379" s="2"/>
      <c r="T379" s="2"/>
      <c r="U379" s="2"/>
    </row>
    <row r="380">
      <c r="A380" s="2"/>
      <c r="B380" s="2"/>
      <c r="C380" s="2"/>
      <c r="D380" s="2"/>
      <c r="E380" s="2"/>
      <c r="F380" s="2"/>
      <c r="G380" s="2"/>
      <c r="H380" s="2"/>
      <c r="I380" s="2"/>
      <c r="J380" s="2"/>
      <c r="K380" s="2"/>
      <c r="L380" s="2"/>
      <c r="M380" s="2"/>
      <c r="N380" s="2"/>
      <c r="O380" s="2"/>
      <c r="P380" s="2"/>
      <c r="Q380" s="2"/>
      <c r="R380" s="2"/>
      <c r="S380" s="2"/>
      <c r="T380" s="2"/>
      <c r="U380" s="2"/>
    </row>
    <row r="381">
      <c r="A381" s="2"/>
      <c r="B381" s="2"/>
      <c r="C381" s="2"/>
      <c r="D381" s="2"/>
      <c r="E381" s="2"/>
      <c r="F381" s="2"/>
      <c r="G381" s="2"/>
      <c r="H381" s="2"/>
      <c r="I381" s="2"/>
      <c r="J381" s="2"/>
      <c r="K381" s="2"/>
      <c r="L381" s="2"/>
      <c r="M381" s="2"/>
      <c r="N381" s="2"/>
      <c r="O381" s="2"/>
      <c r="P381" s="2"/>
      <c r="Q381" s="2"/>
      <c r="R381" s="2"/>
      <c r="S381" s="2"/>
      <c r="T381" s="2"/>
      <c r="U381" s="2"/>
    </row>
    <row r="382">
      <c r="A382" s="2"/>
      <c r="B382" s="2"/>
      <c r="C382" s="2"/>
      <c r="D382" s="2"/>
      <c r="E382" s="2"/>
      <c r="F382" s="2"/>
      <c r="G382" s="2"/>
      <c r="H382" s="2"/>
      <c r="I382" s="2"/>
      <c r="J382" s="2"/>
      <c r="K382" s="2"/>
      <c r="L382" s="2"/>
      <c r="M382" s="2"/>
      <c r="N382" s="2"/>
      <c r="O382" s="2"/>
      <c r="P382" s="2"/>
      <c r="Q382" s="2"/>
      <c r="R382" s="2"/>
      <c r="S382" s="2"/>
      <c r="T382" s="2"/>
      <c r="U382" s="2"/>
    </row>
    <row r="383">
      <c r="A383" s="2"/>
      <c r="B383" s="2"/>
      <c r="C383" s="2"/>
      <c r="D383" s="2"/>
      <c r="E383" s="2"/>
      <c r="F383" s="2"/>
      <c r="G383" s="2"/>
      <c r="H383" s="2"/>
      <c r="I383" s="2"/>
      <c r="J383" s="2"/>
      <c r="K383" s="2"/>
      <c r="L383" s="2"/>
      <c r="M383" s="2"/>
      <c r="N383" s="2"/>
      <c r="O383" s="2"/>
      <c r="P383" s="2"/>
      <c r="Q383" s="2"/>
      <c r="R383" s="2"/>
      <c r="S383" s="2"/>
      <c r="T383" s="2"/>
      <c r="U383" s="2"/>
    </row>
    <row r="384">
      <c r="A384" s="2"/>
      <c r="B384" s="2"/>
      <c r="C384" s="2"/>
      <c r="D384" s="2"/>
      <c r="E384" s="2"/>
      <c r="F384" s="2"/>
      <c r="G384" s="2"/>
      <c r="H384" s="2"/>
      <c r="I384" s="2"/>
      <c r="J384" s="2"/>
      <c r="K384" s="2"/>
      <c r="L384" s="2"/>
      <c r="M384" s="2"/>
      <c r="N384" s="2"/>
      <c r="O384" s="2"/>
      <c r="P384" s="2"/>
      <c r="Q384" s="2"/>
      <c r="R384" s="2"/>
      <c r="S384" s="2"/>
      <c r="T384" s="2"/>
      <c r="U384" s="2"/>
    </row>
    <row r="385">
      <c r="A385" s="2"/>
      <c r="B385" s="2"/>
      <c r="C385" s="2"/>
      <c r="D385" s="2"/>
      <c r="E385" s="2"/>
      <c r="F385" s="2"/>
      <c r="G385" s="2"/>
      <c r="H385" s="2"/>
      <c r="I385" s="2"/>
      <c r="J385" s="2"/>
      <c r="K385" s="2"/>
      <c r="L385" s="2"/>
      <c r="M385" s="2"/>
      <c r="N385" s="2"/>
      <c r="O385" s="2"/>
      <c r="P385" s="2"/>
      <c r="Q385" s="2"/>
      <c r="R385" s="2"/>
      <c r="S385" s="2"/>
      <c r="T385" s="2"/>
      <c r="U385" s="2"/>
    </row>
    <row r="386">
      <c r="A386" s="2"/>
      <c r="B386" s="2"/>
      <c r="C386" s="2"/>
      <c r="D386" s="2"/>
      <c r="E386" s="2"/>
      <c r="F386" s="2"/>
      <c r="G386" s="2"/>
      <c r="H386" s="2"/>
      <c r="I386" s="2"/>
      <c r="J386" s="2"/>
      <c r="K386" s="2"/>
      <c r="L386" s="2"/>
      <c r="M386" s="2"/>
      <c r="N386" s="2"/>
      <c r="O386" s="2"/>
      <c r="P386" s="2"/>
      <c r="Q386" s="2"/>
      <c r="R386" s="2"/>
      <c r="S386" s="2"/>
      <c r="T386" s="2"/>
      <c r="U386" s="2"/>
    </row>
    <row r="387">
      <c r="A387" s="2"/>
      <c r="B387" s="2"/>
      <c r="C387" s="2"/>
      <c r="D387" s="2"/>
      <c r="E387" s="2"/>
      <c r="F387" s="2"/>
      <c r="G387" s="2"/>
      <c r="H387" s="2"/>
      <c r="I387" s="2"/>
      <c r="J387" s="2"/>
      <c r="K387" s="2"/>
      <c r="L387" s="2"/>
      <c r="M387" s="2"/>
      <c r="N387" s="2"/>
      <c r="O387" s="2"/>
      <c r="P387" s="2"/>
      <c r="Q387" s="2"/>
      <c r="R387" s="2"/>
      <c r="S387" s="2"/>
      <c r="T387" s="2"/>
      <c r="U387" s="2"/>
    </row>
    <row r="388">
      <c r="A388" s="2"/>
      <c r="B388" s="2"/>
      <c r="C388" s="2"/>
      <c r="D388" s="2"/>
      <c r="E388" s="2"/>
      <c r="F388" s="2"/>
      <c r="G388" s="2"/>
      <c r="H388" s="2"/>
      <c r="I388" s="2"/>
      <c r="J388" s="2"/>
      <c r="K388" s="2"/>
      <c r="L388" s="2"/>
      <c r="M388" s="2"/>
      <c r="N388" s="2"/>
      <c r="O388" s="2"/>
      <c r="P388" s="2"/>
      <c r="Q388" s="2"/>
      <c r="R388" s="2"/>
      <c r="S388" s="2"/>
      <c r="T388" s="2"/>
      <c r="U388" s="2"/>
    </row>
    <row r="389">
      <c r="A389" s="2"/>
      <c r="B389" s="2"/>
      <c r="C389" s="2"/>
      <c r="D389" s="2"/>
      <c r="E389" s="2"/>
      <c r="F389" s="2"/>
      <c r="G389" s="2"/>
      <c r="H389" s="2"/>
      <c r="I389" s="2"/>
      <c r="J389" s="2"/>
      <c r="K389" s="2"/>
      <c r="L389" s="2"/>
      <c r="M389" s="2"/>
      <c r="N389" s="2"/>
      <c r="O389" s="2"/>
      <c r="P389" s="2"/>
      <c r="Q389" s="2"/>
      <c r="R389" s="2"/>
      <c r="S389" s="2"/>
      <c r="T389" s="2"/>
      <c r="U389" s="2"/>
    </row>
    <row r="390">
      <c r="A390" s="2"/>
      <c r="B390" s="2"/>
      <c r="C390" s="2"/>
      <c r="D390" s="2"/>
      <c r="E390" s="2"/>
      <c r="F390" s="2"/>
      <c r="G390" s="2"/>
      <c r="H390" s="2"/>
      <c r="I390" s="2"/>
      <c r="J390" s="2"/>
      <c r="K390" s="2"/>
      <c r="L390" s="2"/>
      <c r="M390" s="2"/>
      <c r="N390" s="2"/>
      <c r="O390" s="2"/>
      <c r="P390" s="2"/>
      <c r="Q390" s="2"/>
      <c r="R390" s="2"/>
      <c r="S390" s="2"/>
      <c r="T390" s="2"/>
      <c r="U390" s="2"/>
    </row>
    <row r="391">
      <c r="A391" s="2"/>
      <c r="B391" s="2"/>
      <c r="C391" s="2"/>
      <c r="D391" s="2"/>
      <c r="E391" s="2"/>
      <c r="F391" s="2"/>
      <c r="G391" s="2"/>
      <c r="H391" s="2"/>
      <c r="I391" s="2"/>
      <c r="J391" s="2"/>
      <c r="K391" s="2"/>
      <c r="L391" s="2"/>
      <c r="M391" s="2"/>
      <c r="N391" s="2"/>
      <c r="O391" s="2"/>
      <c r="P391" s="2"/>
      <c r="Q391" s="2"/>
      <c r="R391" s="2"/>
      <c r="S391" s="2"/>
      <c r="T391" s="2"/>
      <c r="U391" s="2"/>
    </row>
    <row r="392">
      <c r="A392" s="2"/>
      <c r="B392" s="2"/>
      <c r="C392" s="2"/>
      <c r="D392" s="2"/>
      <c r="E392" s="2"/>
      <c r="F392" s="2"/>
      <c r="G392" s="2"/>
      <c r="H392" s="2"/>
      <c r="I392" s="2"/>
      <c r="J392" s="2"/>
      <c r="K392" s="2"/>
      <c r="L392" s="2"/>
      <c r="M392" s="2"/>
      <c r="N392" s="2"/>
      <c r="O392" s="2"/>
      <c r="P392" s="2"/>
      <c r="Q392" s="2"/>
      <c r="R392" s="2"/>
      <c r="S392" s="2"/>
      <c r="T392" s="2"/>
      <c r="U392" s="2"/>
    </row>
    <row r="393">
      <c r="A393" s="2"/>
      <c r="B393" s="2"/>
      <c r="C393" s="2"/>
      <c r="D393" s="2"/>
      <c r="E393" s="2"/>
      <c r="F393" s="2"/>
      <c r="G393" s="2"/>
      <c r="H393" s="2"/>
      <c r="I393" s="2"/>
      <c r="J393" s="2"/>
      <c r="K393" s="2"/>
      <c r="L393" s="2"/>
      <c r="M393" s="2"/>
      <c r="N393" s="2"/>
      <c r="O393" s="2"/>
      <c r="P393" s="2"/>
      <c r="Q393" s="2"/>
      <c r="R393" s="2"/>
      <c r="S393" s="2"/>
      <c r="T393" s="2"/>
      <c r="U393" s="2"/>
    </row>
    <row r="394">
      <c r="A394" s="2"/>
      <c r="B394" s="2"/>
      <c r="C394" s="2"/>
      <c r="D394" s="2"/>
      <c r="E394" s="2"/>
      <c r="F394" s="2"/>
      <c r="G394" s="2"/>
      <c r="H394" s="2"/>
      <c r="I394" s="2"/>
      <c r="J394" s="2"/>
      <c r="K394" s="2"/>
      <c r="L394" s="2"/>
      <c r="M394" s="2"/>
      <c r="N394" s="2"/>
      <c r="O394" s="2"/>
      <c r="P394" s="2"/>
      <c r="Q394" s="2"/>
      <c r="R394" s="2"/>
      <c r="S394" s="2"/>
      <c r="T394" s="2"/>
      <c r="U394" s="2"/>
    </row>
    <row r="395">
      <c r="A395" s="2"/>
      <c r="B395" s="2"/>
      <c r="C395" s="2"/>
      <c r="D395" s="2"/>
      <c r="E395" s="2"/>
      <c r="F395" s="2"/>
      <c r="G395" s="2"/>
      <c r="H395" s="2"/>
      <c r="I395" s="2"/>
      <c r="J395" s="2"/>
      <c r="K395" s="2"/>
      <c r="L395" s="2"/>
      <c r="M395" s="2"/>
      <c r="N395" s="2"/>
      <c r="O395" s="2"/>
      <c r="P395" s="2"/>
      <c r="Q395" s="2"/>
      <c r="R395" s="2"/>
      <c r="S395" s="2"/>
      <c r="T395" s="2"/>
      <c r="U395" s="2"/>
    </row>
    <row r="396">
      <c r="A396" s="2"/>
      <c r="B396" s="2"/>
      <c r="C396" s="2"/>
      <c r="D396" s="2"/>
      <c r="E396" s="2"/>
      <c r="F396" s="2"/>
      <c r="G396" s="2"/>
      <c r="H396" s="2"/>
      <c r="I396" s="2"/>
      <c r="J396" s="2"/>
      <c r="K396" s="2"/>
      <c r="L396" s="2"/>
      <c r="M396" s="2"/>
      <c r="N396" s="2"/>
      <c r="O396" s="2"/>
      <c r="P396" s="2"/>
      <c r="Q396" s="2"/>
      <c r="R396" s="2"/>
      <c r="S396" s="2"/>
      <c r="T396" s="2"/>
      <c r="U396" s="2"/>
    </row>
    <row r="397">
      <c r="A397" s="2"/>
      <c r="B397" s="2"/>
      <c r="C397" s="2"/>
      <c r="D397" s="2"/>
      <c r="E397" s="2"/>
      <c r="F397" s="2"/>
      <c r="G397" s="2"/>
      <c r="H397" s="2"/>
      <c r="I397" s="2"/>
      <c r="J397" s="2"/>
      <c r="K397" s="2"/>
      <c r="L397" s="2"/>
      <c r="M397" s="2"/>
      <c r="N397" s="2"/>
      <c r="O397" s="2"/>
      <c r="P397" s="2"/>
      <c r="Q397" s="2"/>
      <c r="R397" s="2"/>
      <c r="S397" s="2"/>
      <c r="T397" s="2"/>
      <c r="U397" s="2"/>
    </row>
    <row r="398">
      <c r="A398" s="2"/>
      <c r="B398" s="2"/>
      <c r="C398" s="2"/>
      <c r="D398" s="2"/>
      <c r="E398" s="2"/>
      <c r="F398" s="2"/>
      <c r="G398" s="2"/>
      <c r="H398" s="2"/>
      <c r="I398" s="2"/>
      <c r="J398" s="2"/>
      <c r="K398" s="2"/>
      <c r="L398" s="2"/>
      <c r="M398" s="2"/>
      <c r="N398" s="2"/>
      <c r="O398" s="2"/>
      <c r="P398" s="2"/>
      <c r="Q398" s="2"/>
      <c r="R398" s="2"/>
      <c r="S398" s="2"/>
      <c r="T398" s="2"/>
      <c r="U398" s="2"/>
    </row>
    <row r="399">
      <c r="A399" s="2"/>
      <c r="B399" s="2"/>
      <c r="C399" s="2"/>
      <c r="D399" s="2"/>
      <c r="E399" s="2"/>
      <c r="F399" s="2"/>
      <c r="G399" s="2"/>
      <c r="H399" s="2"/>
      <c r="I399" s="2"/>
      <c r="J399" s="2"/>
      <c r="K399" s="2"/>
      <c r="L399" s="2"/>
      <c r="M399" s="2"/>
      <c r="N399" s="2"/>
      <c r="O399" s="2"/>
      <c r="P399" s="2"/>
      <c r="Q399" s="2"/>
      <c r="R399" s="2"/>
      <c r="S399" s="2"/>
      <c r="T399" s="2"/>
      <c r="U399" s="2"/>
    </row>
    <row r="400">
      <c r="A400" s="2"/>
      <c r="B400" s="2"/>
      <c r="C400" s="2"/>
      <c r="D400" s="2"/>
      <c r="E400" s="2"/>
      <c r="F400" s="2"/>
      <c r="G400" s="2"/>
      <c r="H400" s="2"/>
      <c r="I400" s="2"/>
      <c r="J400" s="2"/>
      <c r="K400" s="2"/>
      <c r="L400" s="2"/>
      <c r="M400" s="2"/>
      <c r="N400" s="2"/>
      <c r="O400" s="2"/>
      <c r="P400" s="2"/>
      <c r="Q400" s="2"/>
      <c r="R400" s="2"/>
      <c r="S400" s="2"/>
      <c r="T400" s="2"/>
      <c r="U400" s="2"/>
    </row>
    <row r="401">
      <c r="A401" s="2"/>
      <c r="B401" s="2"/>
      <c r="C401" s="2"/>
      <c r="D401" s="2"/>
      <c r="E401" s="2"/>
      <c r="F401" s="2"/>
      <c r="G401" s="2"/>
      <c r="H401" s="2"/>
      <c r="I401" s="2"/>
      <c r="J401" s="2"/>
      <c r="K401" s="2"/>
      <c r="L401" s="2"/>
      <c r="M401" s="2"/>
      <c r="N401" s="2"/>
      <c r="O401" s="2"/>
      <c r="P401" s="2"/>
      <c r="Q401" s="2"/>
      <c r="R401" s="2"/>
      <c r="S401" s="2"/>
      <c r="T401" s="2"/>
      <c r="U401" s="2"/>
    </row>
    <row r="402">
      <c r="A402" s="2"/>
      <c r="B402" s="2"/>
      <c r="C402" s="2"/>
      <c r="D402" s="2"/>
      <c r="E402" s="2"/>
      <c r="F402" s="2"/>
      <c r="G402" s="2"/>
      <c r="H402" s="2"/>
      <c r="I402" s="2"/>
      <c r="J402" s="2"/>
      <c r="K402" s="2"/>
      <c r="L402" s="2"/>
      <c r="M402" s="2"/>
      <c r="N402" s="2"/>
      <c r="O402" s="2"/>
      <c r="P402" s="2"/>
      <c r="Q402" s="2"/>
      <c r="R402" s="2"/>
      <c r="S402" s="2"/>
      <c r="T402" s="2"/>
      <c r="U402" s="2"/>
    </row>
    <row r="403">
      <c r="A403" s="2"/>
      <c r="B403" s="2"/>
      <c r="C403" s="2"/>
      <c r="D403" s="2"/>
      <c r="E403" s="2"/>
      <c r="F403" s="2"/>
      <c r="G403" s="2"/>
      <c r="H403" s="2"/>
      <c r="I403" s="2"/>
      <c r="J403" s="2"/>
      <c r="K403" s="2"/>
      <c r="L403" s="2"/>
      <c r="M403" s="2"/>
      <c r="N403" s="2"/>
      <c r="O403" s="2"/>
      <c r="P403" s="2"/>
      <c r="Q403" s="2"/>
      <c r="R403" s="2"/>
      <c r="S403" s="2"/>
      <c r="T403" s="2"/>
      <c r="U403" s="2"/>
    </row>
    <row r="404">
      <c r="A404" s="2"/>
      <c r="B404" s="2"/>
      <c r="C404" s="2"/>
      <c r="D404" s="2"/>
      <c r="E404" s="2"/>
      <c r="F404" s="2"/>
      <c r="G404" s="2"/>
      <c r="H404" s="2"/>
      <c r="I404" s="2"/>
      <c r="J404" s="2"/>
      <c r="K404" s="2"/>
      <c r="L404" s="2"/>
      <c r="M404" s="2"/>
      <c r="N404" s="2"/>
      <c r="O404" s="2"/>
      <c r="P404" s="2"/>
      <c r="Q404" s="2"/>
      <c r="R404" s="2"/>
      <c r="S404" s="2"/>
      <c r="T404" s="2"/>
      <c r="U404" s="2"/>
    </row>
    <row r="405">
      <c r="A405" s="2"/>
      <c r="B405" s="2"/>
      <c r="C405" s="2"/>
      <c r="D405" s="2"/>
      <c r="E405" s="2"/>
      <c r="F405" s="2"/>
      <c r="G405" s="2"/>
      <c r="H405" s="2"/>
      <c r="I405" s="2"/>
      <c r="J405" s="2"/>
      <c r="K405" s="2"/>
      <c r="L405" s="2"/>
      <c r="M405" s="2"/>
      <c r="N405" s="2"/>
      <c r="O405" s="2"/>
      <c r="P405" s="2"/>
      <c r="Q405" s="2"/>
      <c r="R405" s="2"/>
      <c r="S405" s="2"/>
      <c r="T405" s="2"/>
      <c r="U405" s="2"/>
    </row>
    <row r="406">
      <c r="A406" s="2"/>
      <c r="B406" s="2"/>
      <c r="C406" s="2"/>
      <c r="D406" s="2"/>
      <c r="E406" s="2"/>
      <c r="F406" s="2"/>
      <c r="G406" s="2"/>
      <c r="H406" s="2"/>
      <c r="I406" s="2"/>
      <c r="J406" s="2"/>
      <c r="K406" s="2"/>
      <c r="L406" s="2"/>
      <c r="M406" s="2"/>
      <c r="N406" s="2"/>
      <c r="O406" s="2"/>
      <c r="P406" s="2"/>
      <c r="Q406" s="2"/>
      <c r="R406" s="2"/>
      <c r="S406" s="2"/>
      <c r="T406" s="2"/>
      <c r="U406" s="2"/>
    </row>
    <row r="407">
      <c r="A407" s="2"/>
      <c r="B407" s="2"/>
      <c r="C407" s="2"/>
      <c r="D407" s="2"/>
      <c r="E407" s="2"/>
      <c r="F407" s="2"/>
      <c r="G407" s="2"/>
      <c r="H407" s="2"/>
      <c r="I407" s="2"/>
      <c r="J407" s="2"/>
      <c r="K407" s="2"/>
      <c r="L407" s="2"/>
      <c r="M407" s="2"/>
      <c r="N407" s="2"/>
      <c r="O407" s="2"/>
      <c r="P407" s="2"/>
      <c r="Q407" s="2"/>
      <c r="R407" s="2"/>
      <c r="S407" s="2"/>
      <c r="T407" s="2"/>
      <c r="U407" s="2"/>
    </row>
    <row r="408">
      <c r="A408" s="2"/>
      <c r="B408" s="2"/>
      <c r="C408" s="2"/>
      <c r="D408" s="2"/>
      <c r="E408" s="2"/>
      <c r="F408" s="2"/>
      <c r="G408" s="2"/>
      <c r="H408" s="2"/>
      <c r="I408" s="2"/>
      <c r="J408" s="2"/>
      <c r="K408" s="2"/>
      <c r="L408" s="2"/>
      <c r="M408" s="2"/>
      <c r="N408" s="2"/>
      <c r="O408" s="2"/>
      <c r="P408" s="2"/>
      <c r="Q408" s="2"/>
      <c r="R408" s="2"/>
      <c r="S408" s="2"/>
      <c r="T408" s="2"/>
      <c r="U408" s="2"/>
    </row>
    <row r="409">
      <c r="A409" s="2"/>
      <c r="B409" s="2"/>
      <c r="C409" s="2"/>
      <c r="D409" s="2"/>
      <c r="E409" s="2"/>
      <c r="F409" s="2"/>
      <c r="G409" s="2"/>
      <c r="H409" s="2"/>
      <c r="I409" s="2"/>
      <c r="J409" s="2"/>
      <c r="K409" s="2"/>
      <c r="L409" s="2"/>
      <c r="M409" s="2"/>
      <c r="N409" s="2"/>
      <c r="O409" s="2"/>
      <c r="P409" s="2"/>
      <c r="Q409" s="2"/>
      <c r="R409" s="2"/>
      <c r="S409" s="2"/>
      <c r="T409" s="2"/>
      <c r="U409" s="2"/>
    </row>
    <row r="410">
      <c r="A410" s="2"/>
      <c r="B410" s="2"/>
      <c r="C410" s="2"/>
      <c r="D410" s="2"/>
      <c r="E410" s="2"/>
      <c r="F410" s="2"/>
      <c r="G410" s="2"/>
      <c r="H410" s="2"/>
      <c r="I410" s="2"/>
      <c r="J410" s="2"/>
      <c r="K410" s="2"/>
      <c r="L410" s="2"/>
      <c r="M410" s="2"/>
      <c r="N410" s="2"/>
      <c r="O410" s="2"/>
      <c r="P410" s="2"/>
      <c r="Q410" s="2"/>
      <c r="R410" s="2"/>
      <c r="S410" s="2"/>
      <c r="T410" s="2"/>
      <c r="U410" s="2"/>
    </row>
    <row r="411">
      <c r="A411" s="2"/>
      <c r="B411" s="2"/>
      <c r="C411" s="2"/>
      <c r="D411" s="2"/>
      <c r="E411" s="2"/>
      <c r="F411" s="2"/>
      <c r="G411" s="2"/>
      <c r="H411" s="2"/>
      <c r="I411" s="2"/>
      <c r="J411" s="2"/>
      <c r="K411" s="2"/>
      <c r="L411" s="2"/>
      <c r="M411" s="2"/>
      <c r="N411" s="2"/>
      <c r="O411" s="2"/>
      <c r="P411" s="2"/>
      <c r="Q411" s="2"/>
      <c r="R411" s="2"/>
      <c r="S411" s="2"/>
      <c r="T411" s="2"/>
      <c r="U411" s="2"/>
    </row>
    <row r="412">
      <c r="A412" s="2"/>
      <c r="B412" s="2"/>
      <c r="C412" s="2"/>
      <c r="D412" s="2"/>
      <c r="E412" s="2"/>
      <c r="F412" s="2"/>
      <c r="G412" s="2"/>
      <c r="H412" s="2"/>
      <c r="I412" s="2"/>
      <c r="J412" s="2"/>
      <c r="K412" s="2"/>
      <c r="L412" s="2"/>
      <c r="M412" s="2"/>
      <c r="N412" s="2"/>
      <c r="O412" s="2"/>
      <c r="P412" s="2"/>
      <c r="Q412" s="2"/>
      <c r="R412" s="2"/>
      <c r="S412" s="2"/>
      <c r="T412" s="2"/>
      <c r="U412" s="2"/>
    </row>
    <row r="413">
      <c r="A413" s="2"/>
      <c r="B413" s="2"/>
      <c r="C413" s="2"/>
      <c r="D413" s="2"/>
      <c r="E413" s="2"/>
      <c r="F413" s="2"/>
      <c r="G413" s="2"/>
      <c r="H413" s="2"/>
      <c r="I413" s="2"/>
      <c r="J413" s="2"/>
      <c r="K413" s="2"/>
      <c r="L413" s="2"/>
      <c r="M413" s="2"/>
      <c r="N413" s="2"/>
      <c r="O413" s="2"/>
      <c r="P413" s="2"/>
      <c r="Q413" s="2"/>
      <c r="R413" s="2"/>
      <c r="S413" s="2"/>
      <c r="T413" s="2"/>
      <c r="U413" s="2"/>
    </row>
    <row r="414">
      <c r="A414" s="2"/>
      <c r="B414" s="2"/>
      <c r="C414" s="2"/>
      <c r="D414" s="2"/>
      <c r="E414" s="2"/>
      <c r="F414" s="2"/>
      <c r="G414" s="2"/>
      <c r="H414" s="2"/>
      <c r="I414" s="2"/>
      <c r="J414" s="2"/>
      <c r="K414" s="2"/>
      <c r="L414" s="2"/>
      <c r="M414" s="2"/>
      <c r="N414" s="2"/>
      <c r="O414" s="2"/>
      <c r="P414" s="2"/>
      <c r="Q414" s="2"/>
      <c r="R414" s="2"/>
      <c r="S414" s="2"/>
      <c r="T414" s="2"/>
      <c r="U414" s="2"/>
    </row>
    <row r="415">
      <c r="A415" s="2"/>
      <c r="B415" s="2"/>
      <c r="C415" s="2"/>
      <c r="D415" s="2"/>
      <c r="E415" s="2"/>
      <c r="F415" s="2"/>
      <c r="G415" s="2"/>
      <c r="H415" s="2"/>
      <c r="I415" s="2"/>
      <c r="J415" s="2"/>
      <c r="K415" s="2"/>
      <c r="L415" s="2"/>
      <c r="M415" s="2"/>
      <c r="N415" s="2"/>
      <c r="O415" s="2"/>
      <c r="P415" s="2"/>
      <c r="Q415" s="2"/>
      <c r="R415" s="2"/>
      <c r="S415" s="2"/>
      <c r="T415" s="2"/>
      <c r="U415" s="2"/>
    </row>
    <row r="416">
      <c r="A416" s="2"/>
      <c r="B416" s="2"/>
      <c r="C416" s="2"/>
      <c r="D416" s="2"/>
      <c r="E416" s="2"/>
      <c r="F416" s="2"/>
      <c r="G416" s="2"/>
      <c r="H416" s="2"/>
      <c r="I416" s="2"/>
      <c r="J416" s="2"/>
      <c r="K416" s="2"/>
      <c r="L416" s="2"/>
      <c r="M416" s="2"/>
      <c r="N416" s="2"/>
      <c r="O416" s="2"/>
      <c r="P416" s="2"/>
      <c r="Q416" s="2"/>
      <c r="R416" s="2"/>
      <c r="S416" s="2"/>
      <c r="T416" s="2"/>
      <c r="U416" s="2"/>
    </row>
    <row r="417">
      <c r="A417" s="2"/>
      <c r="B417" s="2"/>
      <c r="C417" s="2"/>
      <c r="D417" s="2"/>
      <c r="E417" s="2"/>
      <c r="F417" s="2"/>
      <c r="G417" s="2"/>
      <c r="H417" s="2"/>
      <c r="I417" s="2"/>
      <c r="J417" s="2"/>
      <c r="K417" s="2"/>
      <c r="L417" s="2"/>
      <c r="M417" s="2"/>
      <c r="N417" s="2"/>
      <c r="O417" s="2"/>
      <c r="P417" s="2"/>
      <c r="Q417" s="2"/>
      <c r="R417" s="2"/>
      <c r="S417" s="2"/>
      <c r="T417" s="2"/>
      <c r="U417" s="2"/>
    </row>
    <row r="418">
      <c r="A418" s="2"/>
      <c r="B418" s="2"/>
      <c r="C418" s="2"/>
      <c r="D418" s="2"/>
      <c r="E418" s="2"/>
      <c r="F418" s="2"/>
      <c r="G418" s="2"/>
      <c r="H418" s="2"/>
      <c r="I418" s="2"/>
      <c r="J418" s="2"/>
      <c r="K418" s="2"/>
      <c r="L418" s="2"/>
      <c r="M418" s="2"/>
      <c r="N418" s="2"/>
      <c r="O418" s="2"/>
      <c r="P418" s="2"/>
      <c r="Q418" s="2"/>
      <c r="R418" s="2"/>
      <c r="S418" s="2"/>
      <c r="T418" s="2"/>
      <c r="U418" s="2"/>
    </row>
    <row r="419">
      <c r="A419" s="2"/>
      <c r="B419" s="2"/>
      <c r="C419" s="2"/>
      <c r="D419" s="2"/>
      <c r="E419" s="2"/>
      <c r="F419" s="2"/>
      <c r="G419" s="2"/>
      <c r="H419" s="2"/>
      <c r="I419" s="2"/>
      <c r="J419" s="2"/>
      <c r="K419" s="2"/>
      <c r="L419" s="2"/>
      <c r="M419" s="2"/>
      <c r="N419" s="2"/>
      <c r="O419" s="2"/>
      <c r="P419" s="2"/>
      <c r="Q419" s="2"/>
      <c r="R419" s="2"/>
      <c r="S419" s="2"/>
      <c r="T419" s="2"/>
      <c r="U419" s="2"/>
    </row>
    <row r="420">
      <c r="A420" s="2"/>
      <c r="B420" s="2"/>
      <c r="C420" s="2"/>
      <c r="D420" s="2"/>
      <c r="E420" s="2"/>
      <c r="F420" s="2"/>
      <c r="G420" s="2"/>
      <c r="H420" s="2"/>
      <c r="I420" s="2"/>
      <c r="J420" s="2"/>
      <c r="K420" s="2"/>
      <c r="L420" s="2"/>
      <c r="M420" s="2"/>
      <c r="N420" s="2"/>
      <c r="O420" s="2"/>
      <c r="P420" s="2"/>
      <c r="Q420" s="2"/>
      <c r="R420" s="2"/>
      <c r="S420" s="2"/>
      <c r="T420" s="2"/>
      <c r="U420" s="2"/>
    </row>
    <row r="421">
      <c r="A421" s="2"/>
      <c r="B421" s="2"/>
      <c r="C421" s="2"/>
      <c r="D421" s="2"/>
      <c r="E421" s="2"/>
      <c r="F421" s="2"/>
      <c r="G421" s="2"/>
      <c r="H421" s="2"/>
      <c r="I421" s="2"/>
      <c r="J421" s="2"/>
      <c r="K421" s="2"/>
      <c r="L421" s="2"/>
      <c r="M421" s="2"/>
      <c r="N421" s="2"/>
      <c r="O421" s="2"/>
      <c r="P421" s="2"/>
      <c r="Q421" s="2"/>
      <c r="R421" s="2"/>
      <c r="S421" s="2"/>
      <c r="T421" s="2"/>
      <c r="U421" s="2"/>
    </row>
    <row r="422">
      <c r="A422" s="2"/>
      <c r="B422" s="2"/>
      <c r="C422" s="2"/>
      <c r="D422" s="2"/>
      <c r="E422" s="2"/>
      <c r="F422" s="2"/>
      <c r="G422" s="2"/>
      <c r="H422" s="2"/>
      <c r="I422" s="2"/>
      <c r="J422" s="2"/>
      <c r="K422" s="2"/>
      <c r="L422" s="2"/>
      <c r="M422" s="2"/>
      <c r="N422" s="2"/>
      <c r="O422" s="2"/>
      <c r="P422" s="2"/>
      <c r="Q422" s="2"/>
      <c r="R422" s="2"/>
      <c r="S422" s="2"/>
      <c r="T422" s="2"/>
      <c r="U422" s="2"/>
    </row>
    <row r="423">
      <c r="A423" s="2"/>
      <c r="B423" s="2"/>
      <c r="C423" s="2"/>
      <c r="D423" s="2"/>
      <c r="E423" s="2"/>
      <c r="F423" s="2"/>
      <c r="G423" s="2"/>
      <c r="H423" s="2"/>
      <c r="I423" s="2"/>
      <c r="J423" s="2"/>
      <c r="K423" s="2"/>
      <c r="L423" s="2"/>
      <c r="M423" s="2"/>
      <c r="N423" s="2"/>
      <c r="O423" s="2"/>
      <c r="P423" s="2"/>
      <c r="Q423" s="2"/>
      <c r="R423" s="2"/>
      <c r="S423" s="2"/>
      <c r="T423" s="2"/>
      <c r="U423" s="2"/>
    </row>
    <row r="424">
      <c r="A424" s="2"/>
      <c r="B424" s="2"/>
      <c r="C424" s="2"/>
      <c r="D424" s="2"/>
      <c r="E424" s="2"/>
      <c r="F424" s="2"/>
      <c r="G424" s="2"/>
      <c r="H424" s="2"/>
      <c r="I424" s="2"/>
      <c r="J424" s="2"/>
      <c r="K424" s="2"/>
      <c r="L424" s="2"/>
      <c r="M424" s="2"/>
      <c r="N424" s="2"/>
      <c r="O424" s="2"/>
      <c r="P424" s="2"/>
      <c r="Q424" s="2"/>
      <c r="R424" s="2"/>
      <c r="S424" s="2"/>
      <c r="T424" s="2"/>
      <c r="U424" s="2"/>
    </row>
    <row r="425">
      <c r="A425" s="2"/>
      <c r="B425" s="2"/>
      <c r="C425" s="2"/>
      <c r="D425" s="2"/>
      <c r="E425" s="2"/>
      <c r="F425" s="2"/>
      <c r="G425" s="2"/>
      <c r="H425" s="2"/>
      <c r="I425" s="2"/>
      <c r="J425" s="2"/>
      <c r="K425" s="2"/>
      <c r="L425" s="2"/>
      <c r="M425" s="2"/>
      <c r="N425" s="2"/>
      <c r="O425" s="2"/>
      <c r="P425" s="2"/>
      <c r="Q425" s="2"/>
      <c r="R425" s="2"/>
      <c r="S425" s="2"/>
      <c r="T425" s="2"/>
      <c r="U425" s="2"/>
    </row>
    <row r="426">
      <c r="A426" s="2"/>
      <c r="B426" s="2"/>
      <c r="C426" s="2"/>
      <c r="D426" s="2"/>
      <c r="E426" s="2"/>
      <c r="F426" s="2"/>
      <c r="G426" s="2"/>
      <c r="H426" s="2"/>
      <c r="I426" s="2"/>
      <c r="J426" s="2"/>
      <c r="K426" s="2"/>
      <c r="L426" s="2"/>
      <c r="M426" s="2"/>
      <c r="N426" s="2"/>
      <c r="O426" s="2"/>
      <c r="P426" s="2"/>
      <c r="Q426" s="2"/>
      <c r="R426" s="2"/>
      <c r="S426" s="2"/>
      <c r="T426" s="2"/>
      <c r="U426" s="2"/>
    </row>
    <row r="427">
      <c r="A427" s="2"/>
      <c r="B427" s="2"/>
      <c r="C427" s="2"/>
      <c r="D427" s="2"/>
      <c r="E427" s="2"/>
      <c r="F427" s="2"/>
      <c r="G427" s="2"/>
      <c r="H427" s="2"/>
      <c r="I427" s="2"/>
      <c r="J427" s="2"/>
      <c r="K427" s="2"/>
      <c r="L427" s="2"/>
      <c r="M427" s="2"/>
      <c r="N427" s="2"/>
      <c r="O427" s="2"/>
      <c r="P427" s="2"/>
      <c r="Q427" s="2"/>
      <c r="R427" s="2"/>
      <c r="S427" s="2"/>
      <c r="T427" s="2"/>
      <c r="U427" s="2"/>
    </row>
    <row r="428">
      <c r="A428" s="2"/>
      <c r="B428" s="2"/>
      <c r="C428" s="2"/>
      <c r="D428" s="2"/>
      <c r="E428" s="2"/>
      <c r="F428" s="2"/>
      <c r="G428" s="2"/>
      <c r="H428" s="2"/>
      <c r="I428" s="2"/>
      <c r="J428" s="2"/>
      <c r="K428" s="2"/>
      <c r="L428" s="2"/>
      <c r="M428" s="2"/>
      <c r="N428" s="2"/>
      <c r="O428" s="2"/>
      <c r="P428" s="2"/>
      <c r="Q428" s="2"/>
      <c r="R428" s="2"/>
      <c r="S428" s="2"/>
      <c r="T428" s="2"/>
      <c r="U428" s="2"/>
    </row>
    <row r="429">
      <c r="A429" s="2"/>
      <c r="B429" s="2"/>
      <c r="C429" s="2"/>
      <c r="D429" s="2"/>
      <c r="E429" s="2"/>
      <c r="F429" s="2"/>
      <c r="G429" s="2"/>
      <c r="H429" s="2"/>
      <c r="I429" s="2"/>
      <c r="J429" s="2"/>
      <c r="K429" s="2"/>
      <c r="L429" s="2"/>
      <c r="M429" s="2"/>
      <c r="N429" s="2"/>
      <c r="O429" s="2"/>
      <c r="P429" s="2"/>
      <c r="Q429" s="2"/>
      <c r="R429" s="2"/>
      <c r="S429" s="2"/>
      <c r="T429" s="2"/>
      <c r="U429" s="2"/>
    </row>
    <row r="430">
      <c r="A430" s="2"/>
      <c r="B430" s="2"/>
      <c r="C430" s="2"/>
      <c r="D430" s="2"/>
      <c r="E430" s="2"/>
      <c r="F430" s="2"/>
      <c r="G430" s="2"/>
      <c r="H430" s="2"/>
      <c r="I430" s="2"/>
      <c r="J430" s="2"/>
      <c r="K430" s="2"/>
      <c r="L430" s="2"/>
      <c r="M430" s="2"/>
      <c r="N430" s="2"/>
      <c r="O430" s="2"/>
      <c r="P430" s="2"/>
      <c r="Q430" s="2"/>
      <c r="R430" s="2"/>
      <c r="S430" s="2"/>
      <c r="T430" s="2"/>
      <c r="U430" s="2"/>
    </row>
    <row r="431">
      <c r="A431" s="2"/>
      <c r="B431" s="2"/>
      <c r="C431" s="2"/>
      <c r="D431" s="2"/>
      <c r="E431" s="2"/>
      <c r="F431" s="2"/>
      <c r="G431" s="2"/>
      <c r="H431" s="2"/>
      <c r="I431" s="2"/>
      <c r="J431" s="2"/>
      <c r="K431" s="2"/>
      <c r="L431" s="2"/>
      <c r="M431" s="2"/>
      <c r="N431" s="2"/>
      <c r="O431" s="2"/>
      <c r="P431" s="2"/>
      <c r="Q431" s="2"/>
      <c r="R431" s="2"/>
      <c r="S431" s="2"/>
      <c r="T431" s="2"/>
      <c r="U431" s="2"/>
    </row>
    <row r="432">
      <c r="A432" s="2"/>
      <c r="B432" s="2"/>
      <c r="C432" s="2"/>
      <c r="D432" s="2"/>
      <c r="E432" s="2"/>
      <c r="F432" s="2"/>
      <c r="G432" s="2"/>
      <c r="H432" s="2"/>
      <c r="I432" s="2"/>
      <c r="J432" s="2"/>
      <c r="K432" s="2"/>
      <c r="L432" s="2"/>
      <c r="M432" s="2"/>
      <c r="N432" s="2"/>
      <c r="O432" s="2"/>
      <c r="P432" s="2"/>
      <c r="Q432" s="2"/>
      <c r="R432" s="2"/>
      <c r="S432" s="2"/>
      <c r="T432" s="2"/>
      <c r="U432" s="2"/>
    </row>
    <row r="433">
      <c r="A433" s="2"/>
      <c r="B433" s="2"/>
      <c r="C433" s="2"/>
      <c r="D433" s="2"/>
      <c r="E433" s="2"/>
      <c r="F433" s="2"/>
      <c r="G433" s="2"/>
      <c r="H433" s="2"/>
      <c r="I433" s="2"/>
      <c r="J433" s="2"/>
      <c r="K433" s="2"/>
      <c r="L433" s="2"/>
      <c r="M433" s="2"/>
      <c r="N433" s="2"/>
      <c r="O433" s="2"/>
      <c r="P433" s="2"/>
      <c r="Q433" s="2"/>
      <c r="R433" s="2"/>
      <c r="S433" s="2"/>
      <c r="T433" s="2"/>
      <c r="U433" s="2"/>
    </row>
    <row r="434">
      <c r="A434" s="2"/>
      <c r="B434" s="2"/>
      <c r="C434" s="2"/>
      <c r="D434" s="2"/>
      <c r="E434" s="2"/>
      <c r="F434" s="2"/>
      <c r="G434" s="2"/>
      <c r="H434" s="2"/>
      <c r="I434" s="2"/>
      <c r="J434" s="2"/>
      <c r="K434" s="2"/>
      <c r="L434" s="2"/>
      <c r="M434" s="2"/>
      <c r="N434" s="2"/>
      <c r="O434" s="2"/>
      <c r="P434" s="2"/>
      <c r="Q434" s="2"/>
      <c r="R434" s="2"/>
      <c r="S434" s="2"/>
      <c r="T434" s="2"/>
      <c r="U434" s="2"/>
    </row>
    <row r="435">
      <c r="A435" s="2"/>
      <c r="B435" s="2"/>
      <c r="C435" s="2"/>
      <c r="D435" s="2"/>
      <c r="E435" s="2"/>
      <c r="F435" s="2"/>
      <c r="G435" s="2"/>
      <c r="H435" s="2"/>
      <c r="I435" s="2"/>
      <c r="J435" s="2"/>
      <c r="K435" s="2"/>
      <c r="L435" s="2"/>
      <c r="M435" s="2"/>
      <c r="N435" s="2"/>
      <c r="O435" s="2"/>
      <c r="P435" s="2"/>
      <c r="Q435" s="2"/>
      <c r="R435" s="2"/>
      <c r="S435" s="2"/>
      <c r="T435" s="2"/>
      <c r="U435" s="2"/>
    </row>
    <row r="436">
      <c r="A436" s="2"/>
      <c r="B436" s="2"/>
      <c r="C436" s="2"/>
      <c r="D436" s="2"/>
      <c r="E436" s="2"/>
      <c r="F436" s="2"/>
      <c r="G436" s="2"/>
      <c r="H436" s="2"/>
      <c r="I436" s="2"/>
      <c r="J436" s="2"/>
      <c r="K436" s="2"/>
      <c r="L436" s="2"/>
      <c r="M436" s="2"/>
      <c r="N436" s="2"/>
      <c r="O436" s="2"/>
      <c r="P436" s="2"/>
      <c r="Q436" s="2"/>
      <c r="R436" s="2"/>
      <c r="S436" s="2"/>
      <c r="T436" s="2"/>
      <c r="U436" s="2"/>
    </row>
    <row r="437">
      <c r="A437" s="2"/>
      <c r="B437" s="2"/>
      <c r="C437" s="2"/>
      <c r="D437" s="2"/>
      <c r="E437" s="2"/>
      <c r="F437" s="2"/>
      <c r="G437" s="2"/>
      <c r="H437" s="2"/>
      <c r="I437" s="2"/>
      <c r="J437" s="2"/>
      <c r="K437" s="2"/>
      <c r="L437" s="2"/>
      <c r="M437" s="2"/>
      <c r="N437" s="2"/>
      <c r="O437" s="2"/>
      <c r="P437" s="2"/>
      <c r="Q437" s="2"/>
      <c r="R437" s="2"/>
      <c r="S437" s="2"/>
      <c r="T437" s="2"/>
      <c r="U437" s="2"/>
    </row>
    <row r="438">
      <c r="A438" s="2"/>
      <c r="B438" s="2"/>
      <c r="C438" s="2"/>
      <c r="D438" s="2"/>
      <c r="E438" s="2"/>
      <c r="F438" s="2"/>
      <c r="G438" s="2"/>
      <c r="H438" s="2"/>
      <c r="I438" s="2"/>
      <c r="J438" s="2"/>
      <c r="K438" s="2"/>
      <c r="L438" s="2"/>
      <c r="M438" s="2"/>
      <c r="N438" s="2"/>
      <c r="O438" s="2"/>
      <c r="P438" s="2"/>
      <c r="Q438" s="2"/>
      <c r="R438" s="2"/>
      <c r="S438" s="2"/>
      <c r="T438" s="2"/>
      <c r="U438" s="2"/>
    </row>
    <row r="439">
      <c r="A439" s="2"/>
      <c r="B439" s="2"/>
      <c r="C439" s="2"/>
      <c r="D439" s="2"/>
      <c r="E439" s="2"/>
      <c r="F439" s="2"/>
      <c r="G439" s="2"/>
      <c r="H439" s="2"/>
      <c r="I439" s="2"/>
      <c r="J439" s="2"/>
      <c r="K439" s="2"/>
      <c r="L439" s="2"/>
      <c r="M439" s="2"/>
      <c r="N439" s="2"/>
      <c r="O439" s="2"/>
      <c r="P439" s="2"/>
      <c r="Q439" s="2"/>
      <c r="R439" s="2"/>
      <c r="S439" s="2"/>
      <c r="T439" s="2"/>
      <c r="U439" s="2"/>
    </row>
    <row r="440">
      <c r="A440" s="2"/>
      <c r="B440" s="2"/>
      <c r="C440" s="2"/>
      <c r="D440" s="2"/>
      <c r="E440" s="2"/>
      <c r="F440" s="2"/>
      <c r="G440" s="2"/>
      <c r="H440" s="2"/>
      <c r="I440" s="2"/>
      <c r="J440" s="2"/>
      <c r="K440" s="2"/>
      <c r="L440" s="2"/>
      <c r="M440" s="2"/>
      <c r="N440" s="2"/>
      <c r="O440" s="2"/>
      <c r="P440" s="2"/>
      <c r="Q440" s="2"/>
      <c r="R440" s="2"/>
      <c r="S440" s="2"/>
      <c r="T440" s="2"/>
      <c r="U440" s="2"/>
    </row>
    <row r="441">
      <c r="A441" s="2"/>
      <c r="B441" s="2"/>
      <c r="C441" s="2"/>
      <c r="D441" s="2"/>
      <c r="E441" s="2"/>
      <c r="F441" s="2"/>
      <c r="G441" s="2"/>
      <c r="H441" s="2"/>
      <c r="I441" s="2"/>
      <c r="J441" s="2"/>
      <c r="K441" s="2"/>
      <c r="L441" s="2"/>
      <c r="M441" s="2"/>
      <c r="N441" s="2"/>
      <c r="O441" s="2"/>
      <c r="P441" s="2"/>
      <c r="Q441" s="2"/>
      <c r="R441" s="2"/>
      <c r="S441" s="2"/>
      <c r="T441" s="2"/>
      <c r="U441" s="2"/>
    </row>
    <row r="442">
      <c r="A442" s="2"/>
      <c r="B442" s="2"/>
      <c r="C442" s="2"/>
      <c r="D442" s="2"/>
      <c r="E442" s="2"/>
      <c r="F442" s="2"/>
      <c r="G442" s="2"/>
      <c r="H442" s="2"/>
      <c r="I442" s="2"/>
      <c r="J442" s="2"/>
      <c r="K442" s="2"/>
      <c r="L442" s="2"/>
      <c r="M442" s="2"/>
      <c r="N442" s="2"/>
      <c r="O442" s="2"/>
      <c r="P442" s="2"/>
      <c r="Q442" s="2"/>
      <c r="R442" s="2"/>
      <c r="S442" s="2"/>
      <c r="T442" s="2"/>
      <c r="U442" s="2"/>
    </row>
    <row r="443">
      <c r="A443" s="2"/>
      <c r="B443" s="2"/>
      <c r="C443" s="2"/>
      <c r="D443" s="2"/>
      <c r="E443" s="2"/>
      <c r="F443" s="2"/>
      <c r="G443" s="2"/>
      <c r="H443" s="2"/>
      <c r="I443" s="2"/>
      <c r="J443" s="2"/>
      <c r="K443" s="2"/>
      <c r="L443" s="2"/>
      <c r="M443" s="2"/>
      <c r="N443" s="2"/>
      <c r="O443" s="2"/>
      <c r="P443" s="2"/>
      <c r="Q443" s="2"/>
      <c r="R443" s="2"/>
      <c r="S443" s="2"/>
      <c r="T443" s="2"/>
      <c r="U443" s="2"/>
    </row>
    <row r="444">
      <c r="A444" s="2"/>
      <c r="B444" s="2"/>
      <c r="C444" s="2"/>
      <c r="D444" s="2"/>
      <c r="E444" s="2"/>
      <c r="F444" s="2"/>
      <c r="G444" s="2"/>
      <c r="H444" s="2"/>
      <c r="I444" s="2"/>
      <c r="J444" s="2"/>
      <c r="K444" s="2"/>
      <c r="L444" s="2"/>
      <c r="M444" s="2"/>
      <c r="N444" s="2"/>
      <c r="O444" s="2"/>
      <c r="P444" s="2"/>
      <c r="Q444" s="2"/>
      <c r="R444" s="2"/>
      <c r="S444" s="2"/>
      <c r="T444" s="2"/>
      <c r="U444" s="2"/>
    </row>
    <row r="445">
      <c r="A445" s="2"/>
      <c r="B445" s="2"/>
      <c r="C445" s="2"/>
      <c r="D445" s="2"/>
      <c r="E445" s="2"/>
      <c r="F445" s="2"/>
      <c r="G445" s="2"/>
      <c r="H445" s="2"/>
      <c r="I445" s="2"/>
      <c r="J445" s="2"/>
      <c r="K445" s="2"/>
      <c r="L445" s="2"/>
      <c r="M445" s="2"/>
      <c r="N445" s="2"/>
      <c r="O445" s="2"/>
      <c r="P445" s="2"/>
      <c r="Q445" s="2"/>
      <c r="R445" s="2"/>
      <c r="S445" s="2"/>
      <c r="T445" s="2"/>
      <c r="U445" s="2"/>
    </row>
    <row r="446">
      <c r="A446" s="2"/>
      <c r="B446" s="2"/>
      <c r="C446" s="2"/>
      <c r="D446" s="2"/>
      <c r="E446" s="2"/>
      <c r="F446" s="2"/>
      <c r="G446" s="2"/>
      <c r="H446" s="2"/>
      <c r="I446" s="2"/>
      <c r="J446" s="2"/>
      <c r="K446" s="2"/>
      <c r="L446" s="2"/>
      <c r="M446" s="2"/>
      <c r="N446" s="2"/>
      <c r="O446" s="2"/>
      <c r="P446" s="2"/>
      <c r="Q446" s="2"/>
      <c r="R446" s="2"/>
      <c r="S446" s="2"/>
      <c r="T446" s="2"/>
      <c r="U446" s="2"/>
    </row>
    <row r="447">
      <c r="A447" s="2"/>
      <c r="B447" s="2"/>
      <c r="C447" s="2"/>
      <c r="D447" s="2"/>
      <c r="E447" s="2"/>
      <c r="F447" s="2"/>
      <c r="G447" s="2"/>
      <c r="H447" s="2"/>
      <c r="I447" s="2"/>
      <c r="J447" s="2"/>
      <c r="K447" s="2"/>
      <c r="L447" s="2"/>
      <c r="M447" s="2"/>
      <c r="N447" s="2"/>
      <c r="O447" s="2"/>
      <c r="P447" s="2"/>
      <c r="Q447" s="2"/>
      <c r="R447" s="2"/>
      <c r="S447" s="2"/>
      <c r="T447" s="2"/>
      <c r="U447" s="2"/>
    </row>
    <row r="448">
      <c r="A448" s="2"/>
      <c r="B448" s="2"/>
      <c r="C448" s="2"/>
      <c r="D448" s="2"/>
      <c r="E448" s="2"/>
      <c r="F448" s="2"/>
      <c r="G448" s="2"/>
      <c r="H448" s="2"/>
      <c r="I448" s="2"/>
      <c r="J448" s="2"/>
      <c r="K448" s="2"/>
      <c r="L448" s="2"/>
      <c r="M448" s="2"/>
      <c r="N448" s="2"/>
      <c r="O448" s="2"/>
      <c r="P448" s="2"/>
      <c r="Q448" s="2"/>
      <c r="R448" s="2"/>
      <c r="S448" s="2"/>
      <c r="T448" s="2"/>
      <c r="U448" s="2"/>
    </row>
    <row r="449">
      <c r="A449" s="2"/>
      <c r="B449" s="2"/>
      <c r="C449" s="2"/>
      <c r="D449" s="2"/>
      <c r="E449" s="2"/>
      <c r="F449" s="2"/>
      <c r="G449" s="2"/>
      <c r="H449" s="2"/>
      <c r="I449" s="2"/>
      <c r="J449" s="2"/>
      <c r="K449" s="2"/>
      <c r="L449" s="2"/>
      <c r="M449" s="2"/>
      <c r="N449" s="2"/>
      <c r="O449" s="2"/>
      <c r="P449" s="2"/>
      <c r="Q449" s="2"/>
      <c r="R449" s="2"/>
      <c r="S449" s="2"/>
      <c r="T449" s="2"/>
      <c r="U449" s="2"/>
    </row>
    <row r="450">
      <c r="A450" s="2"/>
      <c r="B450" s="2"/>
      <c r="C450" s="2"/>
      <c r="D450" s="2"/>
      <c r="E450" s="2"/>
      <c r="F450" s="2"/>
      <c r="G450" s="2"/>
      <c r="H450" s="2"/>
      <c r="I450" s="2"/>
      <c r="J450" s="2"/>
      <c r="K450" s="2"/>
      <c r="L450" s="2"/>
      <c r="M450" s="2"/>
      <c r="N450" s="2"/>
      <c r="O450" s="2"/>
      <c r="P450" s="2"/>
      <c r="Q450" s="2"/>
      <c r="R450" s="2"/>
      <c r="S450" s="2"/>
      <c r="T450" s="2"/>
      <c r="U450" s="2"/>
    </row>
    <row r="451">
      <c r="A451" s="2"/>
      <c r="B451" s="2"/>
      <c r="C451" s="2"/>
      <c r="D451" s="2"/>
      <c r="E451" s="2"/>
      <c r="F451" s="2"/>
      <c r="G451" s="2"/>
      <c r="H451" s="2"/>
      <c r="I451" s="2"/>
      <c r="J451" s="2"/>
      <c r="K451" s="2"/>
      <c r="L451" s="2"/>
      <c r="M451" s="2"/>
      <c r="N451" s="2"/>
      <c r="O451" s="2"/>
      <c r="P451" s="2"/>
      <c r="Q451" s="2"/>
      <c r="R451" s="2"/>
      <c r="S451" s="2"/>
      <c r="T451" s="2"/>
      <c r="U451" s="2"/>
    </row>
    <row r="452">
      <c r="A452" s="2"/>
      <c r="B452" s="2"/>
      <c r="C452" s="2"/>
      <c r="D452" s="2"/>
      <c r="E452" s="2"/>
      <c r="F452" s="2"/>
      <c r="G452" s="2"/>
      <c r="H452" s="2"/>
      <c r="I452" s="2"/>
      <c r="J452" s="2"/>
      <c r="K452" s="2"/>
      <c r="L452" s="2"/>
      <c r="M452" s="2"/>
      <c r="N452" s="2"/>
      <c r="O452" s="2"/>
      <c r="P452" s="2"/>
      <c r="Q452" s="2"/>
      <c r="R452" s="2"/>
      <c r="S452" s="2"/>
      <c r="T452" s="2"/>
      <c r="U452" s="2"/>
    </row>
    <row r="453">
      <c r="A453" s="2"/>
      <c r="B453" s="2"/>
      <c r="C453" s="2"/>
      <c r="D453" s="2"/>
      <c r="E453" s="2"/>
      <c r="F453" s="2"/>
      <c r="G453" s="2"/>
      <c r="H453" s="2"/>
      <c r="I453" s="2"/>
      <c r="J453" s="2"/>
      <c r="K453" s="2"/>
      <c r="L453" s="2"/>
      <c r="M453" s="2"/>
      <c r="N453" s="2"/>
      <c r="O453" s="2"/>
      <c r="P453" s="2"/>
      <c r="Q453" s="2"/>
      <c r="R453" s="2"/>
      <c r="S453" s="2"/>
      <c r="T453" s="2"/>
      <c r="U453" s="2"/>
    </row>
    <row r="454">
      <c r="A454" s="2"/>
      <c r="B454" s="2"/>
      <c r="C454" s="2"/>
      <c r="D454" s="2"/>
      <c r="E454" s="2"/>
      <c r="F454" s="2"/>
      <c r="G454" s="2"/>
      <c r="H454" s="2"/>
      <c r="I454" s="2"/>
      <c r="J454" s="2"/>
      <c r="K454" s="2"/>
      <c r="L454" s="2"/>
      <c r="M454" s="2"/>
      <c r="N454" s="2"/>
      <c r="O454" s="2"/>
      <c r="P454" s="2"/>
      <c r="Q454" s="2"/>
      <c r="R454" s="2"/>
      <c r="S454" s="2"/>
      <c r="T454" s="2"/>
      <c r="U454" s="2"/>
    </row>
    <row r="455">
      <c r="A455" s="2"/>
      <c r="B455" s="2"/>
      <c r="C455" s="2"/>
      <c r="D455" s="2"/>
      <c r="E455" s="2"/>
      <c r="F455" s="2"/>
      <c r="G455" s="2"/>
      <c r="H455" s="2"/>
      <c r="I455" s="2"/>
      <c r="J455" s="2"/>
      <c r="K455" s="2"/>
      <c r="L455" s="2"/>
      <c r="M455" s="2"/>
      <c r="N455" s="2"/>
      <c r="O455" s="2"/>
      <c r="P455" s="2"/>
      <c r="Q455" s="2"/>
      <c r="R455" s="2"/>
      <c r="S455" s="2"/>
      <c r="T455" s="2"/>
      <c r="U455" s="2"/>
    </row>
    <row r="456">
      <c r="A456" s="2"/>
      <c r="B456" s="2"/>
      <c r="C456" s="2"/>
      <c r="D456" s="2"/>
      <c r="E456" s="2"/>
      <c r="F456" s="2"/>
      <c r="G456" s="2"/>
      <c r="H456" s="2"/>
      <c r="I456" s="2"/>
      <c r="J456" s="2"/>
      <c r="K456" s="2"/>
      <c r="L456" s="2"/>
      <c r="M456" s="2"/>
      <c r="N456" s="2"/>
      <c r="O456" s="2"/>
      <c r="P456" s="2"/>
      <c r="Q456" s="2"/>
      <c r="R456" s="2"/>
      <c r="S456" s="2"/>
      <c r="T456" s="2"/>
      <c r="U456" s="2"/>
    </row>
    <row r="457">
      <c r="A457" s="2"/>
      <c r="B457" s="2"/>
      <c r="C457" s="2"/>
      <c r="D457" s="2"/>
      <c r="E457" s="2"/>
      <c r="F457" s="2"/>
      <c r="G457" s="2"/>
      <c r="H457" s="2"/>
      <c r="I457" s="2"/>
      <c r="J457" s="2"/>
      <c r="K457" s="2"/>
      <c r="L457" s="2"/>
      <c r="M457" s="2"/>
      <c r="N457" s="2"/>
      <c r="O457" s="2"/>
      <c r="P457" s="2"/>
      <c r="Q457" s="2"/>
      <c r="R457" s="2"/>
      <c r="S457" s="2"/>
      <c r="T457" s="2"/>
      <c r="U457" s="2"/>
    </row>
    <row r="458">
      <c r="A458" s="2"/>
      <c r="B458" s="2"/>
      <c r="C458" s="2"/>
      <c r="D458" s="2"/>
      <c r="E458" s="2"/>
      <c r="F458" s="2"/>
      <c r="G458" s="2"/>
      <c r="H458" s="2"/>
      <c r="I458" s="2"/>
      <c r="J458" s="2"/>
      <c r="K458" s="2"/>
      <c r="L458" s="2"/>
      <c r="M458" s="2"/>
      <c r="N458" s="2"/>
      <c r="O458" s="2"/>
      <c r="P458" s="2"/>
      <c r="Q458" s="2"/>
      <c r="R458" s="2"/>
      <c r="S458" s="2"/>
      <c r="T458" s="2"/>
      <c r="U458" s="2"/>
    </row>
    <row r="459">
      <c r="A459" s="2"/>
      <c r="B459" s="2"/>
      <c r="C459" s="2"/>
      <c r="D459" s="2"/>
      <c r="E459" s="2"/>
      <c r="F459" s="2"/>
      <c r="G459" s="2"/>
      <c r="H459" s="2"/>
      <c r="I459" s="2"/>
      <c r="J459" s="2"/>
      <c r="K459" s="2"/>
      <c r="L459" s="2"/>
      <c r="M459" s="2"/>
      <c r="N459" s="2"/>
      <c r="O459" s="2"/>
      <c r="P459" s="2"/>
      <c r="Q459" s="2"/>
      <c r="R459" s="2"/>
      <c r="S459" s="2"/>
      <c r="T459" s="2"/>
      <c r="U459" s="2"/>
    </row>
    <row r="460">
      <c r="A460" s="2"/>
      <c r="B460" s="2"/>
      <c r="C460" s="2"/>
      <c r="D460" s="2"/>
      <c r="E460" s="2"/>
      <c r="F460" s="2"/>
      <c r="G460" s="2"/>
      <c r="H460" s="2"/>
      <c r="I460" s="2"/>
      <c r="J460" s="2"/>
      <c r="K460" s="2"/>
      <c r="L460" s="2"/>
      <c r="M460" s="2"/>
      <c r="N460" s="2"/>
      <c r="O460" s="2"/>
      <c r="P460" s="2"/>
      <c r="Q460" s="2"/>
      <c r="R460" s="2"/>
      <c r="S460" s="2"/>
      <c r="T460" s="2"/>
      <c r="U460" s="2"/>
    </row>
    <row r="461">
      <c r="A461" s="2"/>
      <c r="B461" s="2"/>
      <c r="C461" s="2"/>
      <c r="D461" s="2"/>
      <c r="E461" s="2"/>
      <c r="F461" s="2"/>
      <c r="G461" s="2"/>
      <c r="H461" s="2"/>
      <c r="I461" s="2"/>
      <c r="J461" s="2"/>
      <c r="K461" s="2"/>
      <c r="L461" s="2"/>
      <c r="M461" s="2"/>
      <c r="N461" s="2"/>
      <c r="O461" s="2"/>
      <c r="P461" s="2"/>
      <c r="Q461" s="2"/>
      <c r="R461" s="2"/>
      <c r="S461" s="2"/>
      <c r="T461" s="2"/>
      <c r="U461" s="2"/>
    </row>
    <row r="462">
      <c r="A462" s="2"/>
      <c r="B462" s="2"/>
      <c r="C462" s="2"/>
      <c r="D462" s="2"/>
      <c r="E462" s="2"/>
      <c r="F462" s="2"/>
      <c r="G462" s="2"/>
      <c r="H462" s="2"/>
      <c r="I462" s="2"/>
      <c r="J462" s="2"/>
      <c r="K462" s="2"/>
      <c r="L462" s="2"/>
      <c r="M462" s="2"/>
      <c r="N462" s="2"/>
      <c r="O462" s="2"/>
      <c r="P462" s="2"/>
      <c r="Q462" s="2"/>
      <c r="R462" s="2"/>
      <c r="S462" s="2"/>
      <c r="T462" s="2"/>
      <c r="U462" s="2"/>
    </row>
    <row r="463">
      <c r="A463" s="2"/>
      <c r="B463" s="2"/>
      <c r="C463" s="2"/>
      <c r="D463" s="2"/>
      <c r="E463" s="2"/>
      <c r="F463" s="2"/>
      <c r="G463" s="2"/>
      <c r="H463" s="2"/>
      <c r="I463" s="2"/>
      <c r="J463" s="2"/>
      <c r="K463" s="2"/>
      <c r="L463" s="2"/>
      <c r="M463" s="2"/>
      <c r="N463" s="2"/>
      <c r="O463" s="2"/>
      <c r="P463" s="2"/>
      <c r="Q463" s="2"/>
      <c r="R463" s="2"/>
      <c r="S463" s="2"/>
      <c r="T463" s="2"/>
      <c r="U463" s="2"/>
    </row>
    <row r="464">
      <c r="A464" s="2"/>
      <c r="B464" s="2"/>
      <c r="C464" s="2"/>
      <c r="D464" s="2"/>
      <c r="E464" s="2"/>
      <c r="F464" s="2"/>
      <c r="G464" s="2"/>
      <c r="H464" s="2"/>
      <c r="I464" s="2"/>
      <c r="J464" s="2"/>
      <c r="K464" s="2"/>
      <c r="L464" s="2"/>
      <c r="M464" s="2"/>
      <c r="N464" s="2"/>
      <c r="O464" s="2"/>
      <c r="P464" s="2"/>
      <c r="Q464" s="2"/>
      <c r="R464" s="2"/>
      <c r="S464" s="2"/>
      <c r="T464" s="2"/>
      <c r="U464" s="2"/>
    </row>
    <row r="465">
      <c r="A465" s="2"/>
      <c r="B465" s="2"/>
      <c r="C465" s="2"/>
      <c r="D465" s="2"/>
      <c r="E465" s="2"/>
      <c r="F465" s="2"/>
      <c r="G465" s="2"/>
      <c r="H465" s="2"/>
      <c r="I465" s="2"/>
      <c r="J465" s="2"/>
      <c r="K465" s="2"/>
      <c r="L465" s="2"/>
      <c r="M465" s="2"/>
      <c r="N465" s="2"/>
      <c r="O465" s="2"/>
      <c r="P465" s="2"/>
      <c r="Q465" s="2"/>
      <c r="R465" s="2"/>
      <c r="S465" s="2"/>
      <c r="T465" s="2"/>
      <c r="U465" s="2"/>
    </row>
    <row r="466">
      <c r="A466" s="2"/>
      <c r="B466" s="2"/>
      <c r="C466" s="2"/>
      <c r="D466" s="2"/>
      <c r="E466" s="2"/>
      <c r="F466" s="2"/>
      <c r="G466" s="2"/>
      <c r="H466" s="2"/>
      <c r="I466" s="2"/>
      <c r="J466" s="2"/>
      <c r="K466" s="2"/>
      <c r="L466" s="2"/>
      <c r="M466" s="2"/>
      <c r="N466" s="2"/>
      <c r="O466" s="2"/>
      <c r="P466" s="2"/>
      <c r="Q466" s="2"/>
      <c r="R466" s="2"/>
      <c r="S466" s="2"/>
      <c r="T466" s="2"/>
      <c r="U466" s="2"/>
    </row>
    <row r="467">
      <c r="A467" s="2"/>
      <c r="B467" s="2"/>
      <c r="C467" s="2"/>
      <c r="D467" s="2"/>
      <c r="E467" s="2"/>
      <c r="F467" s="2"/>
      <c r="G467" s="2"/>
      <c r="H467" s="2"/>
      <c r="I467" s="2"/>
      <c r="J467" s="2"/>
      <c r="K467" s="2"/>
      <c r="L467" s="2"/>
      <c r="M467" s="2"/>
      <c r="N467" s="2"/>
      <c r="O467" s="2"/>
      <c r="P467" s="2"/>
      <c r="Q467" s="2"/>
      <c r="R467" s="2"/>
      <c r="S467" s="2"/>
      <c r="T467" s="2"/>
      <c r="U467" s="2"/>
    </row>
    <row r="468">
      <c r="A468" s="2"/>
      <c r="B468" s="2"/>
      <c r="C468" s="2"/>
      <c r="D468" s="2"/>
      <c r="E468" s="2"/>
      <c r="F468" s="2"/>
      <c r="G468" s="2"/>
      <c r="H468" s="2"/>
      <c r="I468" s="2"/>
      <c r="J468" s="2"/>
      <c r="K468" s="2"/>
      <c r="L468" s="2"/>
      <c r="M468" s="2"/>
      <c r="N468" s="2"/>
      <c r="O468" s="2"/>
      <c r="P468" s="2"/>
      <c r="Q468" s="2"/>
      <c r="R468" s="2"/>
      <c r="S468" s="2"/>
      <c r="T468" s="2"/>
      <c r="U468" s="2"/>
    </row>
    <row r="469">
      <c r="A469" s="2"/>
      <c r="B469" s="2"/>
      <c r="C469" s="2"/>
      <c r="D469" s="2"/>
      <c r="E469" s="2"/>
      <c r="F469" s="2"/>
      <c r="G469" s="2"/>
      <c r="H469" s="2"/>
      <c r="I469" s="2"/>
      <c r="J469" s="2"/>
      <c r="K469" s="2"/>
      <c r="L469" s="2"/>
      <c r="M469" s="2"/>
      <c r="N469" s="2"/>
      <c r="O469" s="2"/>
      <c r="P469" s="2"/>
      <c r="Q469" s="2"/>
      <c r="R469" s="2"/>
      <c r="S469" s="2"/>
      <c r="T469" s="2"/>
      <c r="U469" s="2"/>
    </row>
    <row r="470">
      <c r="A470" s="2"/>
      <c r="B470" s="2"/>
      <c r="C470" s="2"/>
      <c r="D470" s="2"/>
      <c r="E470" s="2"/>
      <c r="F470" s="2"/>
      <c r="G470" s="2"/>
      <c r="H470" s="2"/>
      <c r="I470" s="2"/>
      <c r="J470" s="2"/>
      <c r="K470" s="2"/>
      <c r="L470" s="2"/>
      <c r="M470" s="2"/>
      <c r="N470" s="2"/>
      <c r="O470" s="2"/>
      <c r="P470" s="2"/>
      <c r="Q470" s="2"/>
      <c r="R470" s="2"/>
      <c r="S470" s="2"/>
      <c r="T470" s="2"/>
      <c r="U470" s="2"/>
    </row>
    <row r="471">
      <c r="A471" s="2"/>
      <c r="B471" s="2"/>
      <c r="C471" s="2"/>
      <c r="D471" s="2"/>
      <c r="E471" s="2"/>
      <c r="F471" s="2"/>
      <c r="G471" s="2"/>
      <c r="H471" s="2"/>
      <c r="I471" s="2"/>
      <c r="J471" s="2"/>
      <c r="K471" s="2"/>
      <c r="L471" s="2"/>
      <c r="M471" s="2"/>
      <c r="N471" s="2"/>
      <c r="O471" s="2"/>
      <c r="P471" s="2"/>
      <c r="Q471" s="2"/>
      <c r="R471" s="2"/>
      <c r="S471" s="2"/>
      <c r="T471" s="2"/>
      <c r="U471" s="2"/>
    </row>
    <row r="472">
      <c r="A472" s="2"/>
      <c r="B472" s="2"/>
      <c r="C472" s="2"/>
      <c r="D472" s="2"/>
      <c r="E472" s="2"/>
      <c r="F472" s="2"/>
      <c r="G472" s="2"/>
      <c r="H472" s="2"/>
      <c r="I472" s="2"/>
      <c r="J472" s="2"/>
      <c r="K472" s="2"/>
      <c r="L472" s="2"/>
      <c r="M472" s="2"/>
      <c r="N472" s="2"/>
      <c r="O472" s="2"/>
      <c r="P472" s="2"/>
      <c r="Q472" s="2"/>
      <c r="R472" s="2"/>
      <c r="S472" s="2"/>
      <c r="T472" s="2"/>
      <c r="U472" s="2"/>
    </row>
    <row r="473">
      <c r="A473" s="2"/>
      <c r="B473" s="2"/>
      <c r="C473" s="2"/>
      <c r="D473" s="2"/>
      <c r="E473" s="2"/>
      <c r="F473" s="2"/>
      <c r="G473" s="2"/>
      <c r="H473" s="2"/>
      <c r="I473" s="2"/>
      <c r="J473" s="2"/>
      <c r="K473" s="2"/>
      <c r="L473" s="2"/>
      <c r="M473" s="2"/>
      <c r="N473" s="2"/>
      <c r="O473" s="2"/>
      <c r="P473" s="2"/>
      <c r="Q473" s="2"/>
      <c r="R473" s="2"/>
      <c r="S473" s="2"/>
      <c r="T473" s="2"/>
      <c r="U473" s="2"/>
    </row>
    <row r="474">
      <c r="A474" s="2"/>
      <c r="B474" s="2"/>
      <c r="C474" s="2"/>
      <c r="D474" s="2"/>
      <c r="E474" s="2"/>
      <c r="F474" s="2"/>
      <c r="G474" s="2"/>
      <c r="H474" s="2"/>
      <c r="I474" s="2"/>
      <c r="J474" s="2"/>
      <c r="K474" s="2"/>
      <c r="L474" s="2"/>
      <c r="M474" s="2"/>
      <c r="N474" s="2"/>
      <c r="O474" s="2"/>
      <c r="P474" s="2"/>
      <c r="Q474" s="2"/>
      <c r="R474" s="2"/>
      <c r="S474" s="2"/>
      <c r="T474" s="2"/>
      <c r="U474" s="2"/>
    </row>
    <row r="475">
      <c r="A475" s="2"/>
      <c r="B475" s="2"/>
      <c r="C475" s="2"/>
      <c r="D475" s="2"/>
      <c r="E475" s="2"/>
      <c r="F475" s="2"/>
      <c r="G475" s="2"/>
      <c r="H475" s="2"/>
      <c r="I475" s="2"/>
      <c r="J475" s="2"/>
      <c r="K475" s="2"/>
      <c r="L475" s="2"/>
      <c r="M475" s="2"/>
      <c r="N475" s="2"/>
      <c r="O475" s="2"/>
      <c r="P475" s="2"/>
      <c r="Q475" s="2"/>
      <c r="R475" s="2"/>
      <c r="S475" s="2"/>
      <c r="T475" s="2"/>
      <c r="U475" s="2"/>
    </row>
    <row r="476">
      <c r="A476" s="2"/>
      <c r="B476" s="2"/>
      <c r="C476" s="2"/>
      <c r="D476" s="2"/>
      <c r="E476" s="2"/>
      <c r="F476" s="2"/>
      <c r="G476" s="2"/>
      <c r="H476" s="2"/>
      <c r="I476" s="2"/>
      <c r="J476" s="2"/>
      <c r="K476" s="2"/>
      <c r="L476" s="2"/>
      <c r="M476" s="2"/>
      <c r="N476" s="2"/>
      <c r="O476" s="2"/>
      <c r="P476" s="2"/>
      <c r="Q476" s="2"/>
      <c r="R476" s="2"/>
      <c r="S476" s="2"/>
      <c r="T476" s="2"/>
      <c r="U476" s="2"/>
    </row>
    <row r="477">
      <c r="A477" s="2"/>
      <c r="B477" s="2"/>
      <c r="C477" s="2"/>
      <c r="D477" s="2"/>
      <c r="E477" s="2"/>
      <c r="F477" s="2"/>
      <c r="G477" s="2"/>
      <c r="H477" s="2"/>
      <c r="I477" s="2"/>
      <c r="J477" s="2"/>
      <c r="K477" s="2"/>
      <c r="L477" s="2"/>
      <c r="M477" s="2"/>
      <c r="N477" s="2"/>
      <c r="O477" s="2"/>
      <c r="P477" s="2"/>
      <c r="Q477" s="2"/>
      <c r="R477" s="2"/>
      <c r="S477" s="2"/>
      <c r="T477" s="2"/>
      <c r="U477" s="2"/>
    </row>
    <row r="478">
      <c r="A478" s="2"/>
      <c r="B478" s="2"/>
      <c r="C478" s="2"/>
      <c r="D478" s="2"/>
      <c r="E478" s="2"/>
      <c r="F478" s="2"/>
      <c r="G478" s="2"/>
      <c r="H478" s="2"/>
      <c r="I478" s="2"/>
      <c r="J478" s="2"/>
      <c r="K478" s="2"/>
      <c r="L478" s="2"/>
      <c r="M478" s="2"/>
      <c r="N478" s="2"/>
      <c r="O478" s="2"/>
      <c r="P478" s="2"/>
      <c r="Q478" s="2"/>
      <c r="R478" s="2"/>
      <c r="S478" s="2"/>
      <c r="T478" s="2"/>
      <c r="U478" s="2"/>
    </row>
    <row r="479">
      <c r="A479" s="2"/>
      <c r="B479" s="2"/>
      <c r="C479" s="2"/>
      <c r="D479" s="2"/>
      <c r="E479" s="2"/>
      <c r="F479" s="2"/>
      <c r="G479" s="2"/>
      <c r="H479" s="2"/>
      <c r="I479" s="2"/>
      <c r="J479" s="2"/>
      <c r="K479" s="2"/>
      <c r="L479" s="2"/>
      <c r="M479" s="2"/>
      <c r="N479" s="2"/>
      <c r="O479" s="2"/>
      <c r="P479" s="2"/>
      <c r="Q479" s="2"/>
      <c r="R479" s="2"/>
      <c r="S479" s="2"/>
      <c r="T479" s="2"/>
      <c r="U479" s="2"/>
    </row>
    <row r="480">
      <c r="A480" s="2"/>
      <c r="B480" s="2"/>
      <c r="C480" s="2"/>
      <c r="D480" s="2"/>
      <c r="E480" s="2"/>
      <c r="F480" s="2"/>
      <c r="G480" s="2"/>
      <c r="H480" s="2"/>
      <c r="I480" s="2"/>
      <c r="J480" s="2"/>
      <c r="K480" s="2"/>
      <c r="L480" s="2"/>
      <c r="M480" s="2"/>
      <c r="N480" s="2"/>
      <c r="O480" s="2"/>
      <c r="P480" s="2"/>
      <c r="Q480" s="2"/>
      <c r="R480" s="2"/>
      <c r="S480" s="2"/>
      <c r="T480" s="2"/>
      <c r="U480" s="2"/>
    </row>
    <row r="481">
      <c r="A481" s="2"/>
      <c r="B481" s="2"/>
      <c r="C481" s="2"/>
      <c r="D481" s="2"/>
      <c r="E481" s="2"/>
      <c r="F481" s="2"/>
      <c r="G481" s="2"/>
      <c r="H481" s="2"/>
      <c r="I481" s="2"/>
      <c r="J481" s="2"/>
      <c r="K481" s="2"/>
      <c r="L481" s="2"/>
      <c r="M481" s="2"/>
      <c r="N481" s="2"/>
      <c r="O481" s="2"/>
      <c r="P481" s="2"/>
      <c r="Q481" s="2"/>
      <c r="R481" s="2"/>
      <c r="S481" s="2"/>
      <c r="T481" s="2"/>
      <c r="U481" s="2"/>
    </row>
    <row r="482">
      <c r="A482" s="2"/>
      <c r="B482" s="2"/>
      <c r="C482" s="2"/>
      <c r="D482" s="2"/>
      <c r="E482" s="2"/>
      <c r="F482" s="2"/>
      <c r="G482" s="2"/>
      <c r="H482" s="2"/>
      <c r="I482" s="2"/>
      <c r="J482" s="2"/>
      <c r="K482" s="2"/>
      <c r="L482" s="2"/>
      <c r="M482" s="2"/>
      <c r="N482" s="2"/>
      <c r="O482" s="2"/>
      <c r="P482" s="2"/>
      <c r="Q482" s="2"/>
      <c r="R482" s="2"/>
      <c r="S482" s="2"/>
      <c r="T482" s="2"/>
      <c r="U482" s="2"/>
    </row>
    <row r="483">
      <c r="A483" s="2"/>
      <c r="B483" s="2"/>
      <c r="C483" s="2"/>
      <c r="D483" s="2"/>
      <c r="E483" s="2"/>
      <c r="F483" s="2"/>
      <c r="G483" s="2"/>
      <c r="H483" s="2"/>
      <c r="I483" s="2"/>
      <c r="J483" s="2"/>
      <c r="K483" s="2"/>
      <c r="L483" s="2"/>
      <c r="M483" s="2"/>
      <c r="N483" s="2"/>
      <c r="O483" s="2"/>
      <c r="P483" s="2"/>
      <c r="Q483" s="2"/>
      <c r="R483" s="2"/>
      <c r="S483" s="2"/>
      <c r="T483" s="2"/>
      <c r="U483" s="2"/>
    </row>
    <row r="484">
      <c r="A484" s="2"/>
      <c r="B484" s="2"/>
      <c r="C484" s="2"/>
      <c r="D484" s="2"/>
      <c r="E484" s="2"/>
      <c r="F484" s="2"/>
      <c r="G484" s="2"/>
      <c r="H484" s="2"/>
      <c r="I484" s="2"/>
      <c r="J484" s="2"/>
      <c r="K484" s="2"/>
      <c r="L484" s="2"/>
      <c r="M484" s="2"/>
      <c r="N484" s="2"/>
      <c r="O484" s="2"/>
      <c r="P484" s="2"/>
      <c r="Q484" s="2"/>
      <c r="R484" s="2"/>
      <c r="S484" s="2"/>
      <c r="T484" s="2"/>
      <c r="U484" s="2"/>
    </row>
    <row r="485">
      <c r="A485" s="2"/>
      <c r="B485" s="2"/>
      <c r="C485" s="2"/>
      <c r="D485" s="2"/>
      <c r="E485" s="2"/>
      <c r="F485" s="2"/>
      <c r="G485" s="2"/>
      <c r="H485" s="2"/>
      <c r="I485" s="2"/>
      <c r="J485" s="2"/>
      <c r="K485" s="2"/>
      <c r="L485" s="2"/>
      <c r="M485" s="2"/>
      <c r="N485" s="2"/>
      <c r="O485" s="2"/>
      <c r="P485" s="2"/>
      <c r="Q485" s="2"/>
      <c r="R485" s="2"/>
      <c r="S485" s="2"/>
      <c r="T485" s="2"/>
      <c r="U485" s="2"/>
    </row>
    <row r="486">
      <c r="A486" s="2"/>
      <c r="B486" s="2"/>
      <c r="C486" s="2"/>
      <c r="D486" s="2"/>
      <c r="E486" s="2"/>
      <c r="F486" s="2"/>
      <c r="G486" s="2"/>
      <c r="H486" s="2"/>
      <c r="I486" s="2"/>
      <c r="J486" s="2"/>
      <c r="K486" s="2"/>
      <c r="L486" s="2"/>
      <c r="M486" s="2"/>
      <c r="N486" s="2"/>
      <c r="O486" s="2"/>
      <c r="P486" s="2"/>
      <c r="Q486" s="2"/>
      <c r="R486" s="2"/>
      <c r="S486" s="2"/>
      <c r="T486" s="2"/>
      <c r="U486" s="2"/>
    </row>
    <row r="487">
      <c r="A487" s="2"/>
      <c r="B487" s="2"/>
      <c r="C487" s="2"/>
      <c r="D487" s="2"/>
      <c r="E487" s="2"/>
      <c r="F487" s="2"/>
      <c r="G487" s="2"/>
      <c r="H487" s="2"/>
      <c r="I487" s="2"/>
      <c r="J487" s="2"/>
      <c r="K487" s="2"/>
      <c r="L487" s="2"/>
      <c r="M487" s="2"/>
      <c r="N487" s="2"/>
      <c r="O487" s="2"/>
      <c r="P487" s="2"/>
      <c r="Q487" s="2"/>
      <c r="R487" s="2"/>
      <c r="S487" s="2"/>
      <c r="T487" s="2"/>
      <c r="U487" s="2"/>
    </row>
    <row r="488">
      <c r="A488" s="2"/>
      <c r="B488" s="2"/>
      <c r="C488" s="2"/>
      <c r="D488" s="2"/>
      <c r="E488" s="2"/>
      <c r="F488" s="2"/>
      <c r="G488" s="2"/>
      <c r="H488" s="2"/>
      <c r="I488" s="2"/>
      <c r="J488" s="2"/>
      <c r="K488" s="2"/>
      <c r="L488" s="2"/>
      <c r="M488" s="2"/>
      <c r="N488" s="2"/>
      <c r="O488" s="2"/>
      <c r="P488" s="2"/>
      <c r="Q488" s="2"/>
      <c r="R488" s="2"/>
      <c r="S488" s="2"/>
      <c r="T488" s="2"/>
      <c r="U488" s="2"/>
    </row>
    <row r="489">
      <c r="A489" s="2"/>
      <c r="B489" s="2"/>
      <c r="C489" s="2"/>
      <c r="D489" s="2"/>
      <c r="E489" s="2"/>
      <c r="F489" s="2"/>
      <c r="G489" s="2"/>
      <c r="H489" s="2"/>
      <c r="I489" s="2"/>
      <c r="J489" s="2"/>
      <c r="K489" s="2"/>
      <c r="L489" s="2"/>
      <c r="M489" s="2"/>
      <c r="N489" s="2"/>
      <c r="O489" s="2"/>
      <c r="P489" s="2"/>
      <c r="Q489" s="2"/>
      <c r="R489" s="2"/>
      <c r="S489" s="2"/>
      <c r="T489" s="2"/>
      <c r="U489" s="2"/>
    </row>
    <row r="490">
      <c r="A490" s="2"/>
      <c r="B490" s="2"/>
      <c r="C490" s="2"/>
      <c r="D490" s="2"/>
      <c r="E490" s="2"/>
      <c r="F490" s="2"/>
      <c r="G490" s="2"/>
      <c r="H490" s="2"/>
      <c r="I490" s="2"/>
      <c r="J490" s="2"/>
      <c r="K490" s="2"/>
      <c r="L490" s="2"/>
      <c r="M490" s="2"/>
      <c r="N490" s="2"/>
      <c r="O490" s="2"/>
      <c r="P490" s="2"/>
      <c r="Q490" s="2"/>
      <c r="R490" s="2"/>
      <c r="S490" s="2"/>
      <c r="T490" s="2"/>
      <c r="U490" s="2"/>
    </row>
    <row r="491">
      <c r="A491" s="2"/>
      <c r="B491" s="2"/>
      <c r="C491" s="2"/>
      <c r="D491" s="2"/>
      <c r="E491" s="2"/>
      <c r="F491" s="2"/>
      <c r="G491" s="2"/>
      <c r="H491" s="2"/>
      <c r="I491" s="2"/>
      <c r="J491" s="2"/>
      <c r="K491" s="2"/>
      <c r="L491" s="2"/>
      <c r="M491" s="2"/>
      <c r="N491" s="2"/>
      <c r="O491" s="2"/>
      <c r="P491" s="2"/>
      <c r="Q491" s="2"/>
      <c r="R491" s="2"/>
      <c r="S491" s="2"/>
      <c r="T491" s="2"/>
      <c r="U491" s="2"/>
    </row>
    <row r="492">
      <c r="A492" s="2"/>
      <c r="B492" s="2"/>
      <c r="C492" s="2"/>
      <c r="D492" s="2"/>
      <c r="E492" s="2"/>
      <c r="F492" s="2"/>
      <c r="G492" s="2"/>
      <c r="H492" s="2"/>
      <c r="I492" s="2"/>
      <c r="J492" s="2"/>
      <c r="K492" s="2"/>
      <c r="L492" s="2"/>
      <c r="M492" s="2"/>
      <c r="N492" s="2"/>
      <c r="O492" s="2"/>
      <c r="P492" s="2"/>
      <c r="Q492" s="2"/>
      <c r="R492" s="2"/>
      <c r="S492" s="2"/>
      <c r="T492" s="2"/>
      <c r="U492" s="2"/>
    </row>
    <row r="493">
      <c r="A493" s="2"/>
      <c r="B493" s="2"/>
      <c r="C493" s="2"/>
      <c r="D493" s="2"/>
      <c r="E493" s="2"/>
      <c r="F493" s="2"/>
      <c r="G493" s="2"/>
      <c r="H493" s="2"/>
      <c r="I493" s="2"/>
      <c r="J493" s="2"/>
      <c r="K493" s="2"/>
      <c r="L493" s="2"/>
      <c r="M493" s="2"/>
      <c r="N493" s="2"/>
      <c r="O493" s="2"/>
      <c r="P493" s="2"/>
      <c r="Q493" s="2"/>
      <c r="R493" s="2"/>
      <c r="S493" s="2"/>
      <c r="T493" s="2"/>
      <c r="U493" s="2"/>
    </row>
    <row r="494">
      <c r="A494" s="2"/>
      <c r="B494" s="2"/>
      <c r="C494" s="2"/>
      <c r="D494" s="2"/>
      <c r="E494" s="2"/>
      <c r="F494" s="2"/>
      <c r="G494" s="2"/>
      <c r="H494" s="2"/>
      <c r="I494" s="2"/>
      <c r="J494" s="2"/>
      <c r="K494" s="2"/>
      <c r="L494" s="2"/>
      <c r="M494" s="2"/>
      <c r="N494" s="2"/>
      <c r="O494" s="2"/>
      <c r="P494" s="2"/>
      <c r="Q494" s="2"/>
      <c r="R494" s="2"/>
      <c r="S494" s="2"/>
      <c r="T494" s="2"/>
      <c r="U494" s="2"/>
    </row>
    <row r="495">
      <c r="A495" s="2"/>
      <c r="B495" s="2"/>
      <c r="C495" s="2"/>
      <c r="D495" s="2"/>
      <c r="E495" s="2"/>
      <c r="F495" s="2"/>
      <c r="G495" s="2"/>
      <c r="H495" s="2"/>
      <c r="I495" s="2"/>
      <c r="J495" s="2"/>
      <c r="K495" s="2"/>
      <c r="L495" s="2"/>
      <c r="M495" s="2"/>
      <c r="N495" s="2"/>
      <c r="O495" s="2"/>
      <c r="P495" s="2"/>
      <c r="Q495" s="2"/>
      <c r="R495" s="2"/>
      <c r="S495" s="2"/>
      <c r="T495" s="2"/>
      <c r="U495" s="2"/>
    </row>
    <row r="496">
      <c r="A496" s="2"/>
      <c r="B496" s="2"/>
      <c r="C496" s="2"/>
      <c r="D496" s="2"/>
      <c r="E496" s="2"/>
      <c r="F496" s="2"/>
      <c r="G496" s="2"/>
      <c r="H496" s="2"/>
      <c r="I496" s="2"/>
      <c r="J496" s="2"/>
      <c r="K496" s="2"/>
      <c r="L496" s="2"/>
      <c r="M496" s="2"/>
      <c r="N496" s="2"/>
      <c r="O496" s="2"/>
      <c r="P496" s="2"/>
      <c r="Q496" s="2"/>
      <c r="R496" s="2"/>
      <c r="S496" s="2"/>
      <c r="T496" s="2"/>
      <c r="U496" s="2"/>
    </row>
    <row r="497">
      <c r="A497" s="2"/>
      <c r="B497" s="2"/>
      <c r="C497" s="2"/>
      <c r="D497" s="2"/>
      <c r="E497" s="2"/>
      <c r="F497" s="2"/>
      <c r="G497" s="2"/>
      <c r="H497" s="2"/>
      <c r="I497" s="2"/>
      <c r="J497" s="2"/>
      <c r="K497" s="2"/>
      <c r="L497" s="2"/>
      <c r="M497" s="2"/>
      <c r="N497" s="2"/>
      <c r="O497" s="2"/>
      <c r="P497" s="2"/>
      <c r="Q497" s="2"/>
      <c r="R497" s="2"/>
      <c r="S497" s="2"/>
      <c r="T497" s="2"/>
      <c r="U497" s="2"/>
    </row>
    <row r="498">
      <c r="A498" s="2"/>
      <c r="B498" s="2"/>
      <c r="C498" s="2"/>
      <c r="D498" s="2"/>
      <c r="E498" s="2"/>
      <c r="F498" s="2"/>
      <c r="G498" s="2"/>
      <c r="H498" s="2"/>
      <c r="I498" s="2"/>
      <c r="J498" s="2"/>
      <c r="K498" s="2"/>
      <c r="L498" s="2"/>
      <c r="M498" s="2"/>
      <c r="N498" s="2"/>
      <c r="O498" s="2"/>
      <c r="P498" s="2"/>
      <c r="Q498" s="2"/>
      <c r="R498" s="2"/>
      <c r="S498" s="2"/>
      <c r="T498" s="2"/>
      <c r="U498" s="2"/>
    </row>
    <row r="499">
      <c r="A499" s="2"/>
      <c r="B499" s="2"/>
      <c r="C499" s="2"/>
      <c r="D499" s="2"/>
      <c r="E499" s="2"/>
      <c r="F499" s="2"/>
      <c r="G499" s="2"/>
      <c r="H499" s="2"/>
      <c r="I499" s="2"/>
      <c r="J499" s="2"/>
      <c r="K499" s="2"/>
      <c r="L499" s="2"/>
      <c r="M499" s="2"/>
      <c r="N499" s="2"/>
      <c r="O499" s="2"/>
      <c r="P499" s="2"/>
      <c r="Q499" s="2"/>
      <c r="R499" s="2"/>
      <c r="S499" s="2"/>
      <c r="T499" s="2"/>
      <c r="U499" s="2"/>
    </row>
    <row r="500">
      <c r="A500" s="2"/>
      <c r="B500" s="2"/>
      <c r="C500" s="2"/>
      <c r="D500" s="2"/>
      <c r="E500" s="2"/>
      <c r="F500" s="2"/>
      <c r="G500" s="2"/>
      <c r="H500" s="2"/>
      <c r="I500" s="2"/>
      <c r="J500" s="2"/>
      <c r="K500" s="2"/>
      <c r="L500" s="2"/>
      <c r="M500" s="2"/>
      <c r="N500" s="2"/>
      <c r="O500" s="2"/>
      <c r="P500" s="2"/>
      <c r="Q500" s="2"/>
      <c r="R500" s="2"/>
      <c r="S500" s="2"/>
      <c r="T500" s="2"/>
      <c r="U500" s="2"/>
    </row>
    <row r="501">
      <c r="A501" s="2"/>
      <c r="B501" s="2"/>
      <c r="C501" s="2"/>
      <c r="D501" s="2"/>
      <c r="E501" s="2"/>
      <c r="F501" s="2"/>
      <c r="G501" s="2"/>
      <c r="H501" s="2"/>
      <c r="I501" s="2"/>
      <c r="J501" s="2"/>
      <c r="K501" s="2"/>
      <c r="L501" s="2"/>
      <c r="M501" s="2"/>
      <c r="N501" s="2"/>
      <c r="O501" s="2"/>
      <c r="P501" s="2"/>
      <c r="Q501" s="2"/>
      <c r="R501" s="2"/>
      <c r="S501" s="2"/>
      <c r="T501" s="2"/>
      <c r="U501" s="2"/>
    </row>
    <row r="502">
      <c r="A502" s="2"/>
      <c r="B502" s="2"/>
      <c r="C502" s="2"/>
      <c r="D502" s="2"/>
      <c r="E502" s="2"/>
      <c r="F502" s="2"/>
      <c r="G502" s="2"/>
      <c r="H502" s="2"/>
      <c r="I502" s="2"/>
      <c r="J502" s="2"/>
      <c r="K502" s="2"/>
      <c r="L502" s="2"/>
      <c r="M502" s="2"/>
      <c r="N502" s="2"/>
      <c r="O502" s="2"/>
      <c r="P502" s="2"/>
      <c r="Q502" s="2"/>
      <c r="R502" s="2"/>
      <c r="S502" s="2"/>
      <c r="T502" s="2"/>
      <c r="U502" s="2"/>
    </row>
    <row r="503">
      <c r="A503" s="2"/>
      <c r="B503" s="2"/>
      <c r="C503" s="2"/>
      <c r="D503" s="2"/>
      <c r="E503" s="2"/>
      <c r="F503" s="2"/>
      <c r="G503" s="2"/>
      <c r="H503" s="2"/>
      <c r="I503" s="2"/>
      <c r="J503" s="2"/>
      <c r="K503" s="2"/>
      <c r="L503" s="2"/>
      <c r="M503" s="2"/>
      <c r="N503" s="2"/>
      <c r="O503" s="2"/>
      <c r="P503" s="2"/>
      <c r="Q503" s="2"/>
      <c r="R503" s="2"/>
      <c r="S503" s="2"/>
      <c r="T503" s="2"/>
      <c r="U503" s="2"/>
    </row>
    <row r="504">
      <c r="A504" s="2"/>
      <c r="B504" s="2"/>
      <c r="C504" s="2"/>
      <c r="D504" s="2"/>
      <c r="E504" s="2"/>
      <c r="F504" s="2"/>
      <c r="G504" s="2"/>
      <c r="H504" s="2"/>
      <c r="I504" s="2"/>
      <c r="J504" s="2"/>
      <c r="K504" s="2"/>
      <c r="L504" s="2"/>
      <c r="M504" s="2"/>
      <c r="N504" s="2"/>
      <c r="O504" s="2"/>
      <c r="P504" s="2"/>
      <c r="Q504" s="2"/>
      <c r="R504" s="2"/>
      <c r="S504" s="2"/>
      <c r="T504" s="2"/>
      <c r="U504" s="2"/>
    </row>
    <row r="505">
      <c r="A505" s="2"/>
      <c r="B505" s="2"/>
      <c r="C505" s="2"/>
      <c r="D505" s="2"/>
      <c r="E505" s="2"/>
      <c r="F505" s="2"/>
      <c r="G505" s="2"/>
      <c r="H505" s="2"/>
      <c r="I505" s="2"/>
      <c r="J505" s="2"/>
      <c r="K505" s="2"/>
      <c r="L505" s="2"/>
      <c r="M505" s="2"/>
      <c r="N505" s="2"/>
      <c r="O505" s="2"/>
      <c r="P505" s="2"/>
      <c r="Q505" s="2"/>
      <c r="R505" s="2"/>
      <c r="S505" s="2"/>
      <c r="T505" s="2"/>
      <c r="U505" s="2"/>
    </row>
    <row r="506">
      <c r="A506" s="2"/>
      <c r="B506" s="2"/>
      <c r="C506" s="2"/>
      <c r="D506" s="2"/>
      <c r="E506" s="2"/>
      <c r="F506" s="2"/>
      <c r="G506" s="2"/>
      <c r="H506" s="2"/>
      <c r="I506" s="2"/>
      <c r="J506" s="2"/>
      <c r="K506" s="2"/>
      <c r="L506" s="2"/>
      <c r="M506" s="2"/>
      <c r="N506" s="2"/>
      <c r="O506" s="2"/>
      <c r="P506" s="2"/>
      <c r="Q506" s="2"/>
      <c r="R506" s="2"/>
      <c r="S506" s="2"/>
      <c r="T506" s="2"/>
      <c r="U506" s="2"/>
    </row>
    <row r="507">
      <c r="A507" s="2"/>
      <c r="B507" s="2"/>
      <c r="C507" s="2"/>
      <c r="D507" s="2"/>
      <c r="E507" s="2"/>
      <c r="F507" s="2"/>
      <c r="G507" s="2"/>
      <c r="H507" s="2"/>
      <c r="I507" s="2"/>
      <c r="J507" s="2"/>
      <c r="K507" s="2"/>
      <c r="L507" s="2"/>
      <c r="M507" s="2"/>
      <c r="N507" s="2"/>
      <c r="O507" s="2"/>
      <c r="P507" s="2"/>
      <c r="Q507" s="2"/>
      <c r="R507" s="2"/>
      <c r="S507" s="2"/>
      <c r="T507" s="2"/>
      <c r="U507" s="2"/>
    </row>
    <row r="508">
      <c r="A508" s="2"/>
      <c r="B508" s="2"/>
      <c r="C508" s="2"/>
      <c r="D508" s="2"/>
      <c r="E508" s="2"/>
      <c r="F508" s="2"/>
      <c r="G508" s="2"/>
      <c r="H508" s="2"/>
      <c r="I508" s="2"/>
      <c r="J508" s="2"/>
      <c r="K508" s="2"/>
      <c r="L508" s="2"/>
      <c r="M508" s="2"/>
      <c r="N508" s="2"/>
      <c r="O508" s="2"/>
      <c r="P508" s="2"/>
      <c r="Q508" s="2"/>
      <c r="R508" s="2"/>
      <c r="S508" s="2"/>
      <c r="T508" s="2"/>
      <c r="U508" s="2"/>
    </row>
    <row r="509">
      <c r="A509" s="2"/>
      <c r="B509" s="2"/>
      <c r="C509" s="2"/>
      <c r="D509" s="2"/>
      <c r="E509" s="2"/>
      <c r="F509" s="2"/>
      <c r="G509" s="2"/>
      <c r="H509" s="2"/>
      <c r="I509" s="2"/>
      <c r="J509" s="2"/>
      <c r="K509" s="2"/>
      <c r="L509" s="2"/>
      <c r="M509" s="2"/>
      <c r="N509" s="2"/>
      <c r="O509" s="2"/>
      <c r="P509" s="2"/>
      <c r="Q509" s="2"/>
      <c r="R509" s="2"/>
      <c r="S509" s="2"/>
      <c r="T509" s="2"/>
      <c r="U509" s="2"/>
    </row>
    <row r="510">
      <c r="A510" s="2"/>
      <c r="B510" s="2"/>
      <c r="C510" s="2"/>
      <c r="D510" s="2"/>
      <c r="E510" s="2"/>
      <c r="F510" s="2"/>
      <c r="G510" s="2"/>
      <c r="H510" s="2"/>
      <c r="I510" s="2"/>
      <c r="J510" s="2"/>
      <c r="K510" s="2"/>
      <c r="L510" s="2"/>
      <c r="M510" s="2"/>
      <c r="N510" s="2"/>
      <c r="O510" s="2"/>
      <c r="P510" s="2"/>
      <c r="Q510" s="2"/>
      <c r="R510" s="2"/>
      <c r="S510" s="2"/>
      <c r="T510" s="2"/>
      <c r="U510" s="2"/>
    </row>
    <row r="511">
      <c r="A511" s="2"/>
      <c r="B511" s="2"/>
      <c r="C511" s="2"/>
      <c r="D511" s="2"/>
      <c r="E511" s="2"/>
      <c r="F511" s="2"/>
      <c r="G511" s="2"/>
      <c r="H511" s="2"/>
      <c r="I511" s="2"/>
      <c r="J511" s="2"/>
      <c r="K511" s="2"/>
      <c r="L511" s="2"/>
      <c r="M511" s="2"/>
      <c r="N511" s="2"/>
      <c r="O511" s="2"/>
      <c r="P511" s="2"/>
      <c r="Q511" s="2"/>
      <c r="R511" s="2"/>
      <c r="S511" s="2"/>
      <c r="T511" s="2"/>
      <c r="U511" s="2"/>
    </row>
    <row r="512">
      <c r="A512" s="2"/>
      <c r="B512" s="2"/>
      <c r="C512" s="2"/>
      <c r="D512" s="2"/>
      <c r="E512" s="2"/>
      <c r="F512" s="2"/>
      <c r="G512" s="2"/>
      <c r="H512" s="2"/>
      <c r="I512" s="2"/>
      <c r="J512" s="2"/>
      <c r="K512" s="2"/>
      <c r="L512" s="2"/>
      <c r="M512" s="2"/>
      <c r="N512" s="2"/>
      <c r="O512" s="2"/>
      <c r="P512" s="2"/>
      <c r="Q512" s="2"/>
      <c r="R512" s="2"/>
      <c r="S512" s="2"/>
      <c r="T512" s="2"/>
      <c r="U512" s="2"/>
    </row>
    <row r="513">
      <c r="A513" s="2"/>
      <c r="B513" s="2"/>
      <c r="C513" s="2"/>
      <c r="D513" s="2"/>
      <c r="E513" s="2"/>
      <c r="F513" s="2"/>
      <c r="G513" s="2"/>
      <c r="H513" s="2"/>
      <c r="I513" s="2"/>
      <c r="J513" s="2"/>
      <c r="K513" s="2"/>
      <c r="L513" s="2"/>
      <c r="M513" s="2"/>
      <c r="N513" s="2"/>
      <c r="O513" s="2"/>
      <c r="P513" s="2"/>
      <c r="Q513" s="2"/>
      <c r="R513" s="2"/>
      <c r="S513" s="2"/>
      <c r="T513" s="2"/>
      <c r="U513" s="2"/>
    </row>
    <row r="514">
      <c r="A514" s="2"/>
      <c r="B514" s="2"/>
      <c r="C514" s="2"/>
      <c r="D514" s="2"/>
      <c r="E514" s="2"/>
      <c r="F514" s="2"/>
      <c r="G514" s="2"/>
      <c r="H514" s="2"/>
      <c r="I514" s="2"/>
      <c r="J514" s="2"/>
      <c r="K514" s="2"/>
      <c r="L514" s="2"/>
      <c r="M514" s="2"/>
      <c r="N514" s="2"/>
      <c r="O514" s="2"/>
      <c r="P514" s="2"/>
      <c r="Q514" s="2"/>
      <c r="R514" s="2"/>
      <c r="S514" s="2"/>
      <c r="T514" s="2"/>
      <c r="U514" s="2"/>
    </row>
    <row r="515">
      <c r="A515" s="2"/>
      <c r="B515" s="2"/>
      <c r="C515" s="2"/>
      <c r="D515" s="2"/>
      <c r="E515" s="2"/>
      <c r="F515" s="2"/>
      <c r="G515" s="2"/>
      <c r="H515" s="2"/>
      <c r="I515" s="2"/>
      <c r="J515" s="2"/>
      <c r="K515" s="2"/>
      <c r="L515" s="2"/>
      <c r="M515" s="2"/>
      <c r="N515" s="2"/>
      <c r="O515" s="2"/>
      <c r="P515" s="2"/>
      <c r="Q515" s="2"/>
      <c r="R515" s="2"/>
      <c r="S515" s="2"/>
      <c r="T515" s="2"/>
      <c r="U515" s="2"/>
    </row>
    <row r="516">
      <c r="A516" s="2"/>
      <c r="B516" s="2"/>
      <c r="C516" s="2"/>
      <c r="D516" s="2"/>
      <c r="E516" s="2"/>
      <c r="F516" s="2"/>
      <c r="G516" s="2"/>
      <c r="H516" s="2"/>
      <c r="I516" s="2"/>
      <c r="J516" s="2"/>
      <c r="K516" s="2"/>
      <c r="L516" s="2"/>
      <c r="M516" s="2"/>
      <c r="N516" s="2"/>
      <c r="O516" s="2"/>
      <c r="P516" s="2"/>
      <c r="Q516" s="2"/>
      <c r="R516" s="2"/>
      <c r="S516" s="2"/>
      <c r="T516" s="2"/>
      <c r="U516" s="2"/>
    </row>
    <row r="517">
      <c r="A517" s="2"/>
      <c r="B517" s="2"/>
      <c r="C517" s="2"/>
      <c r="D517" s="2"/>
      <c r="E517" s="2"/>
      <c r="F517" s="2"/>
      <c r="G517" s="2"/>
      <c r="H517" s="2"/>
      <c r="I517" s="2"/>
      <c r="J517" s="2"/>
      <c r="K517" s="2"/>
      <c r="L517" s="2"/>
      <c r="M517" s="2"/>
      <c r="N517" s="2"/>
      <c r="O517" s="2"/>
      <c r="P517" s="2"/>
      <c r="Q517" s="2"/>
      <c r="R517" s="2"/>
      <c r="S517" s="2"/>
      <c r="T517" s="2"/>
      <c r="U517" s="2"/>
    </row>
    <row r="518">
      <c r="A518" s="2"/>
      <c r="B518" s="2"/>
      <c r="C518" s="2"/>
      <c r="D518" s="2"/>
      <c r="E518" s="2"/>
      <c r="F518" s="2"/>
      <c r="G518" s="2"/>
      <c r="H518" s="2"/>
      <c r="I518" s="2"/>
      <c r="J518" s="2"/>
      <c r="K518" s="2"/>
      <c r="L518" s="2"/>
      <c r="M518" s="2"/>
      <c r="N518" s="2"/>
      <c r="O518" s="2"/>
      <c r="P518" s="2"/>
      <c r="Q518" s="2"/>
      <c r="R518" s="2"/>
      <c r="S518" s="2"/>
      <c r="T518" s="2"/>
      <c r="U518" s="2"/>
    </row>
    <row r="519">
      <c r="A519" s="2"/>
      <c r="B519" s="2"/>
      <c r="C519" s="2"/>
      <c r="D519" s="2"/>
      <c r="E519" s="2"/>
      <c r="F519" s="2"/>
      <c r="G519" s="2"/>
      <c r="H519" s="2"/>
      <c r="I519" s="2"/>
      <c r="J519" s="2"/>
      <c r="K519" s="2"/>
      <c r="L519" s="2"/>
      <c r="M519" s="2"/>
      <c r="N519" s="2"/>
      <c r="O519" s="2"/>
      <c r="P519" s="2"/>
      <c r="Q519" s="2"/>
      <c r="R519" s="2"/>
      <c r="S519" s="2"/>
      <c r="T519" s="2"/>
      <c r="U519" s="2"/>
    </row>
    <row r="520">
      <c r="A520" s="2"/>
      <c r="B520" s="2"/>
      <c r="C520" s="2"/>
      <c r="D520" s="2"/>
      <c r="E520" s="2"/>
      <c r="F520" s="2"/>
      <c r="G520" s="2"/>
      <c r="H520" s="2"/>
      <c r="I520" s="2"/>
      <c r="J520" s="2"/>
      <c r="K520" s="2"/>
      <c r="L520" s="2"/>
      <c r="M520" s="2"/>
      <c r="N520" s="2"/>
      <c r="O520" s="2"/>
      <c r="P520" s="2"/>
      <c r="Q520" s="2"/>
      <c r="R520" s="2"/>
      <c r="S520" s="2"/>
      <c r="T520" s="2"/>
      <c r="U520" s="2"/>
    </row>
    <row r="521">
      <c r="A521" s="2"/>
      <c r="B521" s="2"/>
      <c r="C521" s="2"/>
      <c r="D521" s="2"/>
      <c r="E521" s="2"/>
      <c r="F521" s="2"/>
      <c r="G521" s="2"/>
      <c r="H521" s="2"/>
      <c r="I521" s="2"/>
      <c r="J521" s="2"/>
      <c r="K521" s="2"/>
      <c r="L521" s="2"/>
      <c r="M521" s="2"/>
      <c r="N521" s="2"/>
      <c r="O521" s="2"/>
      <c r="P521" s="2"/>
      <c r="Q521" s="2"/>
      <c r="R521" s="2"/>
      <c r="S521" s="2"/>
      <c r="T521" s="2"/>
      <c r="U521" s="2"/>
    </row>
    <row r="522">
      <c r="A522" s="2"/>
      <c r="B522" s="2"/>
      <c r="C522" s="2"/>
      <c r="D522" s="2"/>
      <c r="E522" s="2"/>
      <c r="F522" s="2"/>
      <c r="G522" s="2"/>
      <c r="H522" s="2"/>
      <c r="I522" s="2"/>
      <c r="J522" s="2"/>
      <c r="K522" s="2"/>
      <c r="L522" s="2"/>
      <c r="M522" s="2"/>
      <c r="N522" s="2"/>
      <c r="O522" s="2"/>
      <c r="P522" s="2"/>
      <c r="Q522" s="2"/>
      <c r="R522" s="2"/>
      <c r="S522" s="2"/>
      <c r="T522" s="2"/>
      <c r="U522" s="2"/>
    </row>
    <row r="523">
      <c r="A523" s="2"/>
      <c r="B523" s="2"/>
      <c r="C523" s="2"/>
      <c r="D523" s="2"/>
      <c r="E523" s="2"/>
      <c r="F523" s="2"/>
      <c r="G523" s="2"/>
      <c r="H523" s="2"/>
      <c r="I523" s="2"/>
      <c r="J523" s="2"/>
      <c r="K523" s="2"/>
      <c r="L523" s="2"/>
      <c r="M523" s="2"/>
      <c r="N523" s="2"/>
      <c r="O523" s="2"/>
      <c r="P523" s="2"/>
      <c r="Q523" s="2"/>
      <c r="R523" s="2"/>
      <c r="S523" s="2"/>
      <c r="T523" s="2"/>
      <c r="U523" s="2"/>
    </row>
    <row r="524">
      <c r="A524" s="2"/>
      <c r="B524" s="2"/>
      <c r="C524" s="2"/>
      <c r="D524" s="2"/>
      <c r="E524" s="2"/>
      <c r="F524" s="2"/>
      <c r="G524" s="2"/>
      <c r="H524" s="2"/>
      <c r="I524" s="2"/>
      <c r="J524" s="2"/>
      <c r="K524" s="2"/>
      <c r="L524" s="2"/>
      <c r="M524" s="2"/>
      <c r="N524" s="2"/>
      <c r="O524" s="2"/>
      <c r="P524" s="2"/>
      <c r="Q524" s="2"/>
      <c r="R524" s="2"/>
      <c r="S524" s="2"/>
      <c r="T524" s="2"/>
      <c r="U524" s="2"/>
    </row>
    <row r="525">
      <c r="A525" s="2"/>
      <c r="B525" s="2"/>
      <c r="C525" s="2"/>
      <c r="D525" s="2"/>
      <c r="E525" s="2"/>
      <c r="F525" s="2"/>
      <c r="G525" s="2"/>
      <c r="H525" s="2"/>
      <c r="I525" s="2"/>
      <c r="J525" s="2"/>
      <c r="K525" s="2"/>
      <c r="L525" s="2"/>
      <c r="M525" s="2"/>
      <c r="N525" s="2"/>
      <c r="O525" s="2"/>
      <c r="P525" s="2"/>
      <c r="Q525" s="2"/>
      <c r="R525" s="2"/>
      <c r="S525" s="2"/>
      <c r="T525" s="2"/>
      <c r="U525" s="2"/>
    </row>
    <row r="526">
      <c r="A526" s="2"/>
      <c r="B526" s="2"/>
      <c r="C526" s="2"/>
      <c r="D526" s="2"/>
      <c r="E526" s="2"/>
      <c r="F526" s="2"/>
      <c r="G526" s="2"/>
      <c r="H526" s="2"/>
      <c r="I526" s="2"/>
      <c r="J526" s="2"/>
      <c r="K526" s="2"/>
      <c r="L526" s="2"/>
      <c r="M526" s="2"/>
      <c r="N526" s="2"/>
      <c r="O526" s="2"/>
      <c r="P526" s="2"/>
      <c r="Q526" s="2"/>
      <c r="R526" s="2"/>
      <c r="S526" s="2"/>
      <c r="T526" s="2"/>
      <c r="U526" s="2"/>
    </row>
    <row r="527">
      <c r="A527" s="2"/>
      <c r="B527" s="2"/>
      <c r="C527" s="2"/>
      <c r="D527" s="2"/>
      <c r="E527" s="2"/>
      <c r="F527" s="2"/>
      <c r="G527" s="2"/>
      <c r="H527" s="2"/>
      <c r="I527" s="2"/>
      <c r="J527" s="2"/>
      <c r="K527" s="2"/>
      <c r="L527" s="2"/>
      <c r="M527" s="2"/>
      <c r="N527" s="2"/>
      <c r="O527" s="2"/>
      <c r="P527" s="2"/>
      <c r="Q527" s="2"/>
      <c r="R527" s="2"/>
      <c r="S527" s="2"/>
      <c r="T527" s="2"/>
      <c r="U527" s="2"/>
    </row>
    <row r="528">
      <c r="A528" s="2"/>
      <c r="B528" s="2"/>
      <c r="C528" s="2"/>
      <c r="D528" s="2"/>
      <c r="E528" s="2"/>
      <c r="F528" s="2"/>
      <c r="G528" s="2"/>
      <c r="H528" s="2"/>
      <c r="I528" s="2"/>
      <c r="J528" s="2"/>
      <c r="K528" s="2"/>
      <c r="L528" s="2"/>
      <c r="M528" s="2"/>
      <c r="N528" s="2"/>
      <c r="O528" s="2"/>
      <c r="P528" s="2"/>
      <c r="Q528" s="2"/>
      <c r="R528" s="2"/>
      <c r="S528" s="2"/>
      <c r="T528" s="2"/>
      <c r="U528" s="2"/>
    </row>
    <row r="529">
      <c r="A529" s="2"/>
      <c r="B529" s="2"/>
      <c r="C529" s="2"/>
      <c r="D529" s="2"/>
      <c r="E529" s="2"/>
      <c r="F529" s="2"/>
      <c r="G529" s="2"/>
      <c r="H529" s="2"/>
      <c r="I529" s="2"/>
      <c r="J529" s="2"/>
      <c r="K529" s="2"/>
      <c r="L529" s="2"/>
      <c r="M529" s="2"/>
      <c r="N529" s="2"/>
      <c r="O529" s="2"/>
      <c r="P529" s="2"/>
      <c r="Q529" s="2"/>
      <c r="R529" s="2"/>
      <c r="S529" s="2"/>
      <c r="T529" s="2"/>
      <c r="U529" s="2"/>
    </row>
    <row r="530">
      <c r="A530" s="2"/>
      <c r="B530" s="2"/>
      <c r="C530" s="2"/>
      <c r="D530" s="2"/>
      <c r="E530" s="2"/>
      <c r="F530" s="2"/>
      <c r="G530" s="2"/>
      <c r="H530" s="2"/>
      <c r="I530" s="2"/>
      <c r="J530" s="2"/>
      <c r="K530" s="2"/>
      <c r="L530" s="2"/>
      <c r="M530" s="2"/>
      <c r="N530" s="2"/>
      <c r="O530" s="2"/>
      <c r="P530" s="2"/>
      <c r="Q530" s="2"/>
      <c r="R530" s="2"/>
      <c r="S530" s="2"/>
      <c r="T530" s="2"/>
      <c r="U530" s="2"/>
    </row>
    <row r="531">
      <c r="A531" s="2"/>
      <c r="B531" s="2"/>
      <c r="C531" s="2"/>
      <c r="D531" s="2"/>
      <c r="E531" s="2"/>
      <c r="F531" s="2"/>
      <c r="G531" s="2"/>
      <c r="H531" s="2"/>
      <c r="I531" s="2"/>
      <c r="J531" s="2"/>
      <c r="K531" s="2"/>
      <c r="L531" s="2"/>
      <c r="M531" s="2"/>
      <c r="N531" s="2"/>
      <c r="O531" s="2"/>
      <c r="P531" s="2"/>
      <c r="Q531" s="2"/>
      <c r="R531" s="2"/>
      <c r="S531" s="2"/>
      <c r="T531" s="2"/>
      <c r="U531" s="2"/>
    </row>
    <row r="532">
      <c r="A532" s="2"/>
      <c r="B532" s="2"/>
      <c r="C532" s="2"/>
      <c r="D532" s="2"/>
      <c r="E532" s="2"/>
      <c r="F532" s="2"/>
      <c r="G532" s="2"/>
      <c r="H532" s="2"/>
      <c r="I532" s="2"/>
      <c r="J532" s="2"/>
      <c r="K532" s="2"/>
      <c r="L532" s="2"/>
      <c r="M532" s="2"/>
      <c r="N532" s="2"/>
      <c r="O532" s="2"/>
      <c r="P532" s="2"/>
      <c r="Q532" s="2"/>
      <c r="R532" s="2"/>
      <c r="S532" s="2"/>
      <c r="T532" s="2"/>
      <c r="U532" s="2"/>
    </row>
    <row r="533">
      <c r="A533" s="2"/>
      <c r="B533" s="2"/>
      <c r="C533" s="2"/>
      <c r="D533" s="2"/>
      <c r="E533" s="2"/>
      <c r="F533" s="2"/>
      <c r="G533" s="2"/>
      <c r="H533" s="2"/>
      <c r="I533" s="2"/>
      <c r="J533" s="2"/>
      <c r="K533" s="2"/>
      <c r="L533" s="2"/>
      <c r="M533" s="2"/>
      <c r="N533" s="2"/>
      <c r="O533" s="2"/>
      <c r="P533" s="2"/>
      <c r="Q533" s="2"/>
      <c r="R533" s="2"/>
      <c r="S533" s="2"/>
      <c r="T533" s="2"/>
      <c r="U533" s="2"/>
    </row>
    <row r="534">
      <c r="A534" s="2"/>
      <c r="B534" s="2"/>
      <c r="C534" s="2"/>
      <c r="D534" s="2"/>
      <c r="E534" s="2"/>
      <c r="F534" s="2"/>
      <c r="G534" s="2"/>
      <c r="H534" s="2"/>
      <c r="I534" s="2"/>
      <c r="J534" s="2"/>
      <c r="K534" s="2"/>
      <c r="L534" s="2"/>
      <c r="M534" s="2"/>
      <c r="N534" s="2"/>
      <c r="O534" s="2"/>
      <c r="P534" s="2"/>
      <c r="Q534" s="2"/>
      <c r="R534" s="2"/>
      <c r="S534" s="2"/>
      <c r="T534" s="2"/>
      <c r="U534" s="2"/>
    </row>
    <row r="535">
      <c r="A535" s="2"/>
      <c r="B535" s="2"/>
      <c r="C535" s="2"/>
      <c r="D535" s="2"/>
      <c r="E535" s="2"/>
      <c r="F535" s="2"/>
      <c r="G535" s="2"/>
      <c r="H535" s="2"/>
      <c r="I535" s="2"/>
      <c r="J535" s="2"/>
      <c r="K535" s="2"/>
      <c r="L535" s="2"/>
      <c r="M535" s="2"/>
      <c r="N535" s="2"/>
      <c r="O535" s="2"/>
      <c r="P535" s="2"/>
      <c r="Q535" s="2"/>
      <c r="R535" s="2"/>
      <c r="S535" s="2"/>
      <c r="T535" s="2"/>
      <c r="U535" s="2"/>
    </row>
    <row r="536">
      <c r="A536" s="2"/>
      <c r="B536" s="2"/>
      <c r="C536" s="2"/>
      <c r="D536" s="2"/>
      <c r="E536" s="2"/>
      <c r="F536" s="2"/>
      <c r="G536" s="2"/>
      <c r="H536" s="2"/>
      <c r="I536" s="2"/>
      <c r="J536" s="2"/>
      <c r="K536" s="2"/>
      <c r="L536" s="2"/>
      <c r="M536" s="2"/>
      <c r="N536" s="2"/>
      <c r="O536" s="2"/>
      <c r="P536" s="2"/>
      <c r="Q536" s="2"/>
      <c r="R536" s="2"/>
      <c r="S536" s="2"/>
      <c r="T536" s="2"/>
      <c r="U536" s="2"/>
    </row>
    <row r="537">
      <c r="A537" s="2"/>
      <c r="B537" s="2"/>
      <c r="C537" s="2"/>
      <c r="D537" s="2"/>
      <c r="E537" s="2"/>
      <c r="F537" s="2"/>
      <c r="G537" s="2"/>
      <c r="H537" s="2"/>
      <c r="I537" s="2"/>
      <c r="J537" s="2"/>
      <c r="K537" s="2"/>
      <c r="L537" s="2"/>
      <c r="M537" s="2"/>
      <c r="N537" s="2"/>
      <c r="O537" s="2"/>
      <c r="P537" s="2"/>
      <c r="Q537" s="2"/>
      <c r="R537" s="2"/>
      <c r="S537" s="2"/>
      <c r="T537" s="2"/>
      <c r="U537" s="2"/>
    </row>
    <row r="538">
      <c r="A538" s="2"/>
      <c r="B538" s="2"/>
      <c r="C538" s="2"/>
      <c r="D538" s="2"/>
      <c r="E538" s="2"/>
      <c r="F538" s="2"/>
      <c r="G538" s="2"/>
      <c r="H538" s="2"/>
      <c r="I538" s="2"/>
      <c r="J538" s="2"/>
      <c r="K538" s="2"/>
      <c r="L538" s="2"/>
      <c r="M538" s="2"/>
      <c r="N538" s="2"/>
      <c r="O538" s="2"/>
      <c r="P538" s="2"/>
      <c r="Q538" s="2"/>
      <c r="R538" s="2"/>
      <c r="S538" s="2"/>
      <c r="T538" s="2"/>
      <c r="U538" s="2"/>
    </row>
    <row r="539">
      <c r="A539" s="2"/>
      <c r="B539" s="2"/>
      <c r="C539" s="2"/>
      <c r="D539" s="2"/>
      <c r="E539" s="2"/>
      <c r="F539" s="2"/>
      <c r="G539" s="2"/>
      <c r="H539" s="2"/>
      <c r="I539" s="2"/>
      <c r="J539" s="2"/>
      <c r="K539" s="2"/>
      <c r="L539" s="2"/>
      <c r="M539" s="2"/>
      <c r="N539" s="2"/>
      <c r="O539" s="2"/>
      <c r="P539" s="2"/>
      <c r="Q539" s="2"/>
      <c r="R539" s="2"/>
      <c r="S539" s="2"/>
      <c r="T539" s="2"/>
      <c r="U539" s="2"/>
    </row>
    <row r="540">
      <c r="A540" s="2"/>
      <c r="B540" s="2"/>
      <c r="C540" s="2"/>
      <c r="D540" s="2"/>
      <c r="E540" s="2"/>
      <c r="F540" s="2"/>
      <c r="G540" s="2"/>
      <c r="H540" s="2"/>
      <c r="I540" s="2"/>
      <c r="J540" s="2"/>
      <c r="K540" s="2"/>
      <c r="L540" s="2"/>
      <c r="M540" s="2"/>
      <c r="N540" s="2"/>
      <c r="O540" s="2"/>
      <c r="P540" s="2"/>
      <c r="Q540" s="2"/>
      <c r="R540" s="2"/>
      <c r="S540" s="2"/>
      <c r="T540" s="2"/>
      <c r="U540" s="2"/>
    </row>
    <row r="541">
      <c r="A541" s="2"/>
      <c r="B541" s="2"/>
      <c r="C541" s="2"/>
      <c r="D541" s="2"/>
      <c r="E541" s="2"/>
      <c r="F541" s="2"/>
      <c r="G541" s="2"/>
      <c r="H541" s="2"/>
      <c r="I541" s="2"/>
      <c r="J541" s="2"/>
      <c r="K541" s="2"/>
      <c r="L541" s="2"/>
      <c r="M541" s="2"/>
      <c r="N541" s="2"/>
      <c r="O541" s="2"/>
      <c r="P541" s="2"/>
      <c r="Q541" s="2"/>
      <c r="R541" s="2"/>
      <c r="S541" s="2"/>
      <c r="T541" s="2"/>
      <c r="U541" s="2"/>
    </row>
    <row r="542">
      <c r="A542" s="2"/>
      <c r="B542" s="2"/>
      <c r="C542" s="2"/>
      <c r="D542" s="2"/>
      <c r="E542" s="2"/>
      <c r="F542" s="2"/>
      <c r="G542" s="2"/>
      <c r="H542" s="2"/>
      <c r="I542" s="2"/>
      <c r="J542" s="2"/>
      <c r="K542" s="2"/>
      <c r="L542" s="2"/>
      <c r="M542" s="2"/>
      <c r="N542" s="2"/>
      <c r="O542" s="2"/>
      <c r="P542" s="2"/>
      <c r="Q542" s="2"/>
      <c r="R542" s="2"/>
      <c r="S542" s="2"/>
      <c r="T542" s="2"/>
      <c r="U542" s="2"/>
    </row>
    <row r="543">
      <c r="A543" s="2"/>
      <c r="B543" s="2"/>
      <c r="C543" s="2"/>
      <c r="D543" s="2"/>
      <c r="E543" s="2"/>
      <c r="F543" s="2"/>
      <c r="G543" s="2"/>
      <c r="H543" s="2"/>
      <c r="I543" s="2"/>
      <c r="J543" s="2"/>
      <c r="K543" s="2"/>
      <c r="L543" s="2"/>
      <c r="M543" s="2"/>
      <c r="N543" s="2"/>
      <c r="O543" s="2"/>
      <c r="P543" s="2"/>
      <c r="Q543" s="2"/>
      <c r="R543" s="2"/>
      <c r="S543" s="2"/>
      <c r="T543" s="2"/>
      <c r="U543" s="2"/>
    </row>
    <row r="544">
      <c r="A544" s="2"/>
      <c r="B544" s="2"/>
      <c r="C544" s="2"/>
      <c r="D544" s="2"/>
      <c r="E544" s="2"/>
      <c r="F544" s="2"/>
      <c r="G544" s="2"/>
      <c r="H544" s="2"/>
      <c r="I544" s="2"/>
      <c r="J544" s="2"/>
      <c r="K544" s="2"/>
      <c r="L544" s="2"/>
      <c r="M544" s="2"/>
      <c r="N544" s="2"/>
      <c r="O544" s="2"/>
      <c r="P544" s="2"/>
      <c r="Q544" s="2"/>
      <c r="R544" s="2"/>
      <c r="S544" s="2"/>
      <c r="T544" s="2"/>
      <c r="U544" s="2"/>
    </row>
    <row r="545">
      <c r="A545" s="2"/>
      <c r="B545" s="2"/>
      <c r="C545" s="2"/>
      <c r="D545" s="2"/>
      <c r="E545" s="2"/>
      <c r="F545" s="2"/>
      <c r="G545" s="2"/>
      <c r="H545" s="2"/>
      <c r="I545" s="2"/>
      <c r="J545" s="2"/>
      <c r="K545" s="2"/>
      <c r="L545" s="2"/>
      <c r="M545" s="2"/>
      <c r="N545" s="2"/>
      <c r="O545" s="2"/>
      <c r="P545" s="2"/>
      <c r="Q545" s="2"/>
      <c r="R545" s="2"/>
      <c r="S545" s="2"/>
      <c r="T545" s="2"/>
      <c r="U545" s="2"/>
    </row>
    <row r="546">
      <c r="A546" s="2"/>
      <c r="B546" s="2"/>
      <c r="C546" s="2"/>
      <c r="D546" s="2"/>
      <c r="E546" s="2"/>
      <c r="F546" s="2"/>
      <c r="G546" s="2"/>
      <c r="H546" s="2"/>
      <c r="I546" s="2"/>
      <c r="J546" s="2"/>
      <c r="K546" s="2"/>
      <c r="L546" s="2"/>
      <c r="M546" s="2"/>
      <c r="N546" s="2"/>
      <c r="O546" s="2"/>
      <c r="P546" s="2"/>
      <c r="Q546" s="2"/>
      <c r="R546" s="2"/>
      <c r="S546" s="2"/>
      <c r="T546" s="2"/>
      <c r="U546" s="2"/>
    </row>
    <row r="547">
      <c r="A547" s="2"/>
      <c r="B547" s="2"/>
      <c r="C547" s="2"/>
      <c r="D547" s="2"/>
      <c r="E547" s="2"/>
      <c r="F547" s="2"/>
      <c r="G547" s="2"/>
      <c r="H547" s="2"/>
      <c r="I547" s="2"/>
      <c r="J547" s="2"/>
      <c r="K547" s="2"/>
      <c r="L547" s="2"/>
      <c r="M547" s="2"/>
      <c r="N547" s="2"/>
      <c r="O547" s="2"/>
      <c r="P547" s="2"/>
      <c r="Q547" s="2"/>
      <c r="R547" s="2"/>
      <c r="S547" s="2"/>
      <c r="T547" s="2"/>
      <c r="U547" s="2"/>
    </row>
    <row r="548">
      <c r="A548" s="2"/>
      <c r="B548" s="2"/>
      <c r="C548" s="2"/>
      <c r="D548" s="2"/>
      <c r="E548" s="2"/>
      <c r="F548" s="2"/>
      <c r="G548" s="2"/>
      <c r="H548" s="2"/>
      <c r="I548" s="2"/>
      <c r="J548" s="2"/>
      <c r="K548" s="2"/>
      <c r="L548" s="2"/>
      <c r="M548" s="2"/>
      <c r="N548" s="2"/>
      <c r="O548" s="2"/>
      <c r="P548" s="2"/>
      <c r="Q548" s="2"/>
      <c r="R548" s="2"/>
      <c r="S548" s="2"/>
      <c r="T548" s="2"/>
      <c r="U548" s="2"/>
    </row>
    <row r="549">
      <c r="A549" s="2"/>
      <c r="B549" s="2"/>
      <c r="C549" s="2"/>
      <c r="D549" s="2"/>
      <c r="E549" s="2"/>
      <c r="F549" s="2"/>
      <c r="G549" s="2"/>
      <c r="H549" s="2"/>
      <c r="I549" s="2"/>
      <c r="J549" s="2"/>
      <c r="K549" s="2"/>
      <c r="L549" s="2"/>
      <c r="M549" s="2"/>
      <c r="N549" s="2"/>
      <c r="O549" s="2"/>
      <c r="P549" s="2"/>
      <c r="Q549" s="2"/>
      <c r="R549" s="2"/>
      <c r="S549" s="2"/>
      <c r="T549" s="2"/>
      <c r="U549" s="2"/>
    </row>
    <row r="550">
      <c r="A550" s="2"/>
      <c r="B550" s="2"/>
      <c r="C550" s="2"/>
      <c r="D550" s="2"/>
      <c r="E550" s="2"/>
      <c r="F550" s="2"/>
      <c r="G550" s="2"/>
      <c r="H550" s="2"/>
      <c r="I550" s="2"/>
      <c r="J550" s="2"/>
      <c r="K550" s="2"/>
      <c r="L550" s="2"/>
      <c r="M550" s="2"/>
      <c r="N550" s="2"/>
      <c r="O550" s="2"/>
      <c r="P550" s="2"/>
      <c r="Q550" s="2"/>
      <c r="R550" s="2"/>
      <c r="S550" s="2"/>
      <c r="T550" s="2"/>
      <c r="U550" s="2"/>
    </row>
    <row r="551">
      <c r="A551" s="2"/>
      <c r="B551" s="2"/>
      <c r="C551" s="2"/>
      <c r="D551" s="2"/>
      <c r="E551" s="2"/>
      <c r="F551" s="2"/>
      <c r="G551" s="2"/>
      <c r="H551" s="2"/>
      <c r="I551" s="2"/>
      <c r="J551" s="2"/>
      <c r="K551" s="2"/>
      <c r="L551" s="2"/>
      <c r="M551" s="2"/>
      <c r="N551" s="2"/>
      <c r="O551" s="2"/>
      <c r="P551" s="2"/>
      <c r="Q551" s="2"/>
      <c r="R551" s="2"/>
      <c r="S551" s="2"/>
      <c r="T551" s="2"/>
      <c r="U551" s="2"/>
    </row>
    <row r="552">
      <c r="A552" s="2"/>
      <c r="B552" s="2"/>
      <c r="C552" s="2"/>
      <c r="D552" s="2"/>
      <c r="E552" s="2"/>
      <c r="F552" s="2"/>
      <c r="G552" s="2"/>
      <c r="H552" s="2"/>
      <c r="I552" s="2"/>
      <c r="J552" s="2"/>
      <c r="K552" s="2"/>
      <c r="L552" s="2"/>
      <c r="M552" s="2"/>
      <c r="N552" s="2"/>
      <c r="O552" s="2"/>
      <c r="P552" s="2"/>
      <c r="Q552" s="2"/>
      <c r="R552" s="2"/>
      <c r="S552" s="2"/>
      <c r="T552" s="2"/>
      <c r="U552" s="2"/>
    </row>
    <row r="553">
      <c r="A553" s="2"/>
      <c r="B553" s="2"/>
      <c r="C553" s="2"/>
      <c r="D553" s="2"/>
      <c r="E553" s="2"/>
      <c r="F553" s="2"/>
      <c r="G553" s="2"/>
      <c r="H553" s="2"/>
      <c r="I553" s="2"/>
      <c r="J553" s="2"/>
      <c r="K553" s="2"/>
      <c r="L553" s="2"/>
      <c r="M553" s="2"/>
      <c r="N553" s="2"/>
      <c r="O553" s="2"/>
      <c r="P553" s="2"/>
      <c r="Q553" s="2"/>
      <c r="R553" s="2"/>
      <c r="S553" s="2"/>
      <c r="T553" s="2"/>
      <c r="U553" s="2"/>
    </row>
    <row r="554">
      <c r="A554" s="2"/>
      <c r="B554" s="2"/>
      <c r="C554" s="2"/>
      <c r="D554" s="2"/>
      <c r="E554" s="2"/>
      <c r="F554" s="2"/>
      <c r="G554" s="2"/>
      <c r="H554" s="2"/>
      <c r="I554" s="2"/>
      <c r="J554" s="2"/>
      <c r="K554" s="2"/>
      <c r="L554" s="2"/>
      <c r="M554" s="2"/>
      <c r="N554" s="2"/>
      <c r="O554" s="2"/>
      <c r="P554" s="2"/>
      <c r="Q554" s="2"/>
      <c r="R554" s="2"/>
      <c r="S554" s="2"/>
      <c r="T554" s="2"/>
      <c r="U554" s="2"/>
    </row>
    <row r="555">
      <c r="A555" s="2"/>
      <c r="B555" s="2"/>
      <c r="C555" s="2"/>
      <c r="D555" s="2"/>
      <c r="E555" s="2"/>
      <c r="F555" s="2"/>
      <c r="G555" s="2"/>
      <c r="H555" s="2"/>
      <c r="I555" s="2"/>
      <c r="J555" s="2"/>
      <c r="K555" s="2"/>
      <c r="L555" s="2"/>
      <c r="M555" s="2"/>
      <c r="N555" s="2"/>
      <c r="O555" s="2"/>
      <c r="P555" s="2"/>
      <c r="Q555" s="2"/>
      <c r="R555" s="2"/>
      <c r="S555" s="2"/>
      <c r="T555" s="2"/>
      <c r="U555" s="2"/>
    </row>
    <row r="556">
      <c r="A556" s="2"/>
      <c r="B556" s="2"/>
      <c r="C556" s="2"/>
      <c r="D556" s="2"/>
      <c r="E556" s="2"/>
      <c r="F556" s="2"/>
      <c r="G556" s="2"/>
      <c r="H556" s="2"/>
      <c r="I556" s="2"/>
      <c r="J556" s="2"/>
      <c r="K556" s="2"/>
      <c r="L556" s="2"/>
      <c r="M556" s="2"/>
      <c r="N556" s="2"/>
      <c r="O556" s="2"/>
      <c r="P556" s="2"/>
      <c r="Q556" s="2"/>
      <c r="R556" s="2"/>
      <c r="S556" s="2"/>
      <c r="T556" s="2"/>
      <c r="U556" s="2"/>
    </row>
    <row r="557">
      <c r="A557" s="2"/>
      <c r="B557" s="2"/>
      <c r="C557" s="2"/>
      <c r="D557" s="2"/>
      <c r="E557" s="2"/>
      <c r="F557" s="2"/>
      <c r="G557" s="2"/>
      <c r="H557" s="2"/>
      <c r="I557" s="2"/>
      <c r="J557" s="2"/>
      <c r="K557" s="2"/>
      <c r="L557" s="2"/>
      <c r="M557" s="2"/>
      <c r="N557" s="2"/>
      <c r="O557" s="2"/>
      <c r="P557" s="2"/>
      <c r="Q557" s="2"/>
      <c r="R557" s="2"/>
      <c r="S557" s="2"/>
      <c r="T557" s="2"/>
      <c r="U557" s="2"/>
    </row>
    <row r="558">
      <c r="A558" s="2"/>
      <c r="B558" s="2"/>
      <c r="C558" s="2"/>
      <c r="D558" s="2"/>
      <c r="E558" s="2"/>
      <c r="F558" s="2"/>
      <c r="G558" s="2"/>
      <c r="H558" s="2"/>
      <c r="I558" s="2"/>
      <c r="J558" s="2"/>
      <c r="K558" s="2"/>
      <c r="L558" s="2"/>
      <c r="M558" s="2"/>
      <c r="N558" s="2"/>
      <c r="O558" s="2"/>
      <c r="P558" s="2"/>
      <c r="Q558" s="2"/>
      <c r="R558" s="2"/>
      <c r="S558" s="2"/>
      <c r="T558" s="2"/>
      <c r="U558" s="2"/>
    </row>
    <row r="559">
      <c r="A559" s="2"/>
      <c r="B559" s="2"/>
      <c r="C559" s="2"/>
      <c r="D559" s="2"/>
      <c r="E559" s="2"/>
      <c r="F559" s="2"/>
      <c r="G559" s="2"/>
      <c r="H559" s="2"/>
      <c r="I559" s="2"/>
      <c r="J559" s="2"/>
      <c r="K559" s="2"/>
      <c r="L559" s="2"/>
      <c r="M559" s="2"/>
      <c r="N559" s="2"/>
      <c r="O559" s="2"/>
      <c r="P559" s="2"/>
      <c r="Q559" s="2"/>
      <c r="R559" s="2"/>
      <c r="S559" s="2"/>
      <c r="T559" s="2"/>
      <c r="U559" s="2"/>
    </row>
    <row r="560">
      <c r="A560" s="2"/>
      <c r="B560" s="2"/>
      <c r="C560" s="2"/>
      <c r="D560" s="2"/>
      <c r="E560" s="2"/>
      <c r="F560" s="2"/>
      <c r="G560" s="2"/>
      <c r="H560" s="2"/>
      <c r="I560" s="2"/>
      <c r="J560" s="2"/>
      <c r="K560" s="2"/>
      <c r="L560" s="2"/>
      <c r="M560" s="2"/>
      <c r="N560" s="2"/>
      <c r="O560" s="2"/>
      <c r="P560" s="2"/>
      <c r="Q560" s="2"/>
      <c r="R560" s="2"/>
      <c r="S560" s="2"/>
      <c r="T560" s="2"/>
      <c r="U560" s="2"/>
    </row>
    <row r="561">
      <c r="A561" s="2"/>
      <c r="B561" s="2"/>
      <c r="C561" s="2"/>
      <c r="D561" s="2"/>
      <c r="E561" s="2"/>
      <c r="F561" s="2"/>
      <c r="G561" s="2"/>
      <c r="H561" s="2"/>
      <c r="I561" s="2"/>
      <c r="J561" s="2"/>
      <c r="K561" s="2"/>
      <c r="L561" s="2"/>
      <c r="M561" s="2"/>
      <c r="N561" s="2"/>
      <c r="O561" s="2"/>
      <c r="P561" s="2"/>
      <c r="Q561" s="2"/>
      <c r="R561" s="2"/>
      <c r="S561" s="2"/>
      <c r="T561" s="2"/>
      <c r="U561" s="2"/>
    </row>
    <row r="562">
      <c r="A562" s="2"/>
      <c r="B562" s="2"/>
      <c r="C562" s="2"/>
      <c r="D562" s="2"/>
      <c r="E562" s="2"/>
      <c r="F562" s="2"/>
      <c r="G562" s="2"/>
      <c r="H562" s="2"/>
      <c r="I562" s="2"/>
      <c r="J562" s="2"/>
      <c r="K562" s="2"/>
      <c r="L562" s="2"/>
      <c r="M562" s="2"/>
      <c r="N562" s="2"/>
      <c r="O562" s="2"/>
      <c r="P562" s="2"/>
      <c r="Q562" s="2"/>
      <c r="R562" s="2"/>
      <c r="S562" s="2"/>
      <c r="T562" s="2"/>
      <c r="U562" s="2"/>
    </row>
    <row r="563">
      <c r="A563" s="2"/>
      <c r="B563" s="2"/>
      <c r="C563" s="2"/>
      <c r="D563" s="2"/>
      <c r="E563" s="2"/>
      <c r="F563" s="2"/>
      <c r="G563" s="2"/>
      <c r="H563" s="2"/>
      <c r="I563" s="2"/>
      <c r="J563" s="2"/>
      <c r="K563" s="2"/>
      <c r="L563" s="2"/>
      <c r="M563" s="2"/>
      <c r="N563" s="2"/>
      <c r="O563" s="2"/>
      <c r="P563" s="2"/>
      <c r="Q563" s="2"/>
      <c r="R563" s="2"/>
      <c r="S563" s="2"/>
      <c r="T563" s="2"/>
      <c r="U563" s="2"/>
    </row>
    <row r="564">
      <c r="A564" s="2"/>
      <c r="B564" s="2"/>
      <c r="C564" s="2"/>
      <c r="D564" s="2"/>
      <c r="E564" s="2"/>
      <c r="F564" s="2"/>
      <c r="G564" s="2"/>
      <c r="H564" s="2"/>
      <c r="I564" s="2"/>
      <c r="J564" s="2"/>
      <c r="K564" s="2"/>
      <c r="L564" s="2"/>
      <c r="M564" s="2"/>
      <c r="N564" s="2"/>
      <c r="O564" s="2"/>
      <c r="P564" s="2"/>
      <c r="Q564" s="2"/>
      <c r="R564" s="2"/>
      <c r="S564" s="2"/>
      <c r="T564" s="2"/>
      <c r="U564" s="2"/>
    </row>
    <row r="565">
      <c r="A565" s="2"/>
      <c r="B565" s="2"/>
      <c r="C565" s="2"/>
      <c r="D565" s="2"/>
      <c r="E565" s="2"/>
      <c r="F565" s="2"/>
      <c r="G565" s="2"/>
      <c r="H565" s="2"/>
      <c r="I565" s="2"/>
      <c r="J565" s="2"/>
      <c r="K565" s="2"/>
      <c r="L565" s="2"/>
      <c r="M565" s="2"/>
      <c r="N565" s="2"/>
      <c r="O565" s="2"/>
      <c r="P565" s="2"/>
      <c r="Q565" s="2"/>
      <c r="R565" s="2"/>
      <c r="S565" s="2"/>
      <c r="T565" s="2"/>
      <c r="U565" s="2"/>
    </row>
    <row r="566">
      <c r="A566" s="2"/>
      <c r="B566" s="2"/>
      <c r="C566" s="2"/>
      <c r="D566" s="2"/>
      <c r="E566" s="2"/>
      <c r="F566" s="2"/>
      <c r="G566" s="2"/>
      <c r="H566" s="2"/>
      <c r="I566" s="2"/>
      <c r="J566" s="2"/>
      <c r="K566" s="2"/>
      <c r="L566" s="2"/>
      <c r="M566" s="2"/>
      <c r="N566" s="2"/>
      <c r="O566" s="2"/>
      <c r="P566" s="2"/>
      <c r="Q566" s="2"/>
      <c r="R566" s="2"/>
      <c r="S566" s="2"/>
      <c r="T566" s="2"/>
      <c r="U566" s="2"/>
    </row>
    <row r="567">
      <c r="A567" s="2"/>
      <c r="B567" s="2"/>
      <c r="C567" s="2"/>
      <c r="D567" s="2"/>
      <c r="E567" s="2"/>
      <c r="F567" s="2"/>
      <c r="G567" s="2"/>
      <c r="H567" s="2"/>
      <c r="I567" s="2"/>
      <c r="J567" s="2"/>
      <c r="K567" s="2"/>
      <c r="L567" s="2"/>
      <c r="M567" s="2"/>
      <c r="N567" s="2"/>
      <c r="O567" s="2"/>
      <c r="P567" s="2"/>
      <c r="Q567" s="2"/>
      <c r="R567" s="2"/>
      <c r="S567" s="2"/>
      <c r="T567" s="2"/>
      <c r="U567" s="2"/>
    </row>
    <row r="568">
      <c r="A568" s="2"/>
      <c r="B568" s="2"/>
      <c r="C568" s="2"/>
      <c r="D568" s="2"/>
      <c r="E568" s="2"/>
      <c r="F568" s="2"/>
      <c r="G568" s="2"/>
      <c r="H568" s="2"/>
      <c r="I568" s="2"/>
      <c r="J568" s="2"/>
      <c r="K568" s="2"/>
      <c r="L568" s="2"/>
      <c r="M568" s="2"/>
      <c r="N568" s="2"/>
      <c r="O568" s="2"/>
      <c r="P568" s="2"/>
      <c r="Q568" s="2"/>
      <c r="R568" s="2"/>
      <c r="S568" s="2"/>
      <c r="T568" s="2"/>
      <c r="U568" s="2"/>
    </row>
    <row r="569">
      <c r="A569" s="2"/>
      <c r="B569" s="2"/>
      <c r="C569" s="2"/>
      <c r="D569" s="2"/>
      <c r="E569" s="2"/>
      <c r="F569" s="2"/>
      <c r="G569" s="2"/>
      <c r="H569" s="2"/>
      <c r="I569" s="2"/>
      <c r="J569" s="2"/>
      <c r="K569" s="2"/>
      <c r="L569" s="2"/>
      <c r="M569" s="2"/>
      <c r="N569" s="2"/>
      <c r="O569" s="2"/>
      <c r="P569" s="2"/>
      <c r="Q569" s="2"/>
      <c r="R569" s="2"/>
      <c r="S569" s="2"/>
      <c r="T569" s="2"/>
      <c r="U569" s="2"/>
    </row>
    <row r="570">
      <c r="A570" s="2"/>
      <c r="B570" s="2"/>
      <c r="C570" s="2"/>
      <c r="D570" s="2"/>
      <c r="E570" s="2"/>
      <c r="F570" s="2"/>
      <c r="G570" s="2"/>
      <c r="H570" s="2"/>
      <c r="I570" s="2"/>
      <c r="J570" s="2"/>
      <c r="K570" s="2"/>
      <c r="L570" s="2"/>
      <c r="M570" s="2"/>
      <c r="N570" s="2"/>
      <c r="O570" s="2"/>
      <c r="P570" s="2"/>
      <c r="Q570" s="2"/>
      <c r="R570" s="2"/>
      <c r="S570" s="2"/>
      <c r="T570" s="2"/>
      <c r="U570" s="2"/>
    </row>
    <row r="571">
      <c r="A571" s="2"/>
      <c r="B571" s="2"/>
      <c r="C571" s="2"/>
      <c r="D571" s="2"/>
      <c r="E571" s="2"/>
      <c r="F571" s="2"/>
      <c r="G571" s="2"/>
      <c r="H571" s="2"/>
      <c r="I571" s="2"/>
      <c r="J571" s="2"/>
      <c r="K571" s="2"/>
      <c r="L571" s="2"/>
      <c r="M571" s="2"/>
      <c r="N571" s="2"/>
      <c r="O571" s="2"/>
      <c r="P571" s="2"/>
      <c r="Q571" s="2"/>
      <c r="R571" s="2"/>
      <c r="S571" s="2"/>
      <c r="T571" s="2"/>
      <c r="U571" s="2"/>
    </row>
    <row r="572">
      <c r="A572" s="2"/>
      <c r="B572" s="2"/>
      <c r="C572" s="2"/>
      <c r="D572" s="2"/>
      <c r="E572" s="2"/>
      <c r="F572" s="2"/>
      <c r="G572" s="2"/>
      <c r="H572" s="2"/>
      <c r="I572" s="2"/>
      <c r="J572" s="2"/>
      <c r="K572" s="2"/>
      <c r="L572" s="2"/>
      <c r="M572" s="2"/>
      <c r="N572" s="2"/>
      <c r="O572" s="2"/>
      <c r="P572" s="2"/>
      <c r="Q572" s="2"/>
      <c r="R572" s="2"/>
      <c r="S572" s="2"/>
      <c r="T572" s="2"/>
      <c r="U572" s="2"/>
    </row>
    <row r="573">
      <c r="A573" s="2"/>
      <c r="B573" s="2"/>
      <c r="C573" s="2"/>
      <c r="D573" s="2"/>
      <c r="E573" s="2"/>
      <c r="F573" s="2"/>
      <c r="G573" s="2"/>
      <c r="H573" s="2"/>
      <c r="I573" s="2"/>
      <c r="J573" s="2"/>
      <c r="K573" s="2"/>
      <c r="L573" s="2"/>
      <c r="M573" s="2"/>
      <c r="N573" s="2"/>
      <c r="O573" s="2"/>
      <c r="P573" s="2"/>
      <c r="Q573" s="2"/>
      <c r="R573" s="2"/>
      <c r="S573" s="2"/>
      <c r="T573" s="2"/>
      <c r="U573" s="2"/>
    </row>
    <row r="574">
      <c r="A574" s="2"/>
      <c r="B574" s="2"/>
      <c r="C574" s="2"/>
      <c r="D574" s="2"/>
      <c r="E574" s="2"/>
      <c r="F574" s="2"/>
      <c r="G574" s="2"/>
      <c r="H574" s="2"/>
      <c r="I574" s="2"/>
      <c r="J574" s="2"/>
      <c r="K574" s="2"/>
      <c r="L574" s="2"/>
      <c r="M574" s="2"/>
      <c r="N574" s="2"/>
      <c r="O574" s="2"/>
      <c r="P574" s="2"/>
      <c r="Q574" s="2"/>
      <c r="R574" s="2"/>
      <c r="S574" s="2"/>
      <c r="T574" s="2"/>
      <c r="U574" s="2"/>
    </row>
    <row r="575">
      <c r="A575" s="2"/>
      <c r="B575" s="2"/>
      <c r="C575" s="2"/>
      <c r="D575" s="2"/>
      <c r="E575" s="2"/>
      <c r="F575" s="2"/>
      <c r="G575" s="2"/>
      <c r="H575" s="2"/>
      <c r="I575" s="2"/>
      <c r="J575" s="2"/>
      <c r="K575" s="2"/>
      <c r="L575" s="2"/>
      <c r="M575" s="2"/>
      <c r="N575" s="2"/>
      <c r="O575" s="2"/>
      <c r="P575" s="2"/>
      <c r="Q575" s="2"/>
      <c r="R575" s="2"/>
      <c r="S575" s="2"/>
      <c r="T575" s="2"/>
      <c r="U575" s="2"/>
    </row>
    <row r="576">
      <c r="A576" s="2"/>
      <c r="B576" s="2"/>
      <c r="C576" s="2"/>
      <c r="D576" s="2"/>
      <c r="E576" s="2"/>
      <c r="F576" s="2"/>
      <c r="G576" s="2"/>
      <c r="H576" s="2"/>
      <c r="I576" s="2"/>
      <c r="J576" s="2"/>
      <c r="K576" s="2"/>
      <c r="L576" s="2"/>
      <c r="M576" s="2"/>
      <c r="N576" s="2"/>
      <c r="O576" s="2"/>
      <c r="P576" s="2"/>
      <c r="Q576" s="2"/>
      <c r="R576" s="2"/>
      <c r="S576" s="2"/>
      <c r="T576" s="2"/>
      <c r="U576" s="2"/>
    </row>
    <row r="577">
      <c r="A577" s="2"/>
      <c r="B577" s="2"/>
      <c r="C577" s="2"/>
      <c r="D577" s="2"/>
      <c r="E577" s="2"/>
      <c r="F577" s="2"/>
      <c r="G577" s="2"/>
      <c r="H577" s="2"/>
      <c r="I577" s="2"/>
      <c r="J577" s="2"/>
      <c r="K577" s="2"/>
      <c r="L577" s="2"/>
      <c r="M577" s="2"/>
      <c r="N577" s="2"/>
      <c r="O577" s="2"/>
      <c r="P577" s="2"/>
      <c r="Q577" s="2"/>
      <c r="R577" s="2"/>
      <c r="S577" s="2"/>
      <c r="T577" s="2"/>
      <c r="U577" s="2"/>
    </row>
    <row r="578">
      <c r="A578" s="2"/>
      <c r="B578" s="2"/>
      <c r="C578" s="2"/>
      <c r="D578" s="2"/>
      <c r="E578" s="2"/>
      <c r="F578" s="2"/>
      <c r="G578" s="2"/>
      <c r="H578" s="2"/>
      <c r="I578" s="2"/>
      <c r="J578" s="2"/>
      <c r="K578" s="2"/>
      <c r="L578" s="2"/>
      <c r="M578" s="2"/>
      <c r="N578" s="2"/>
      <c r="O578" s="2"/>
      <c r="P578" s="2"/>
      <c r="Q578" s="2"/>
      <c r="R578" s="2"/>
      <c r="S578" s="2"/>
      <c r="T578" s="2"/>
      <c r="U578" s="2"/>
    </row>
    <row r="579">
      <c r="A579" s="2"/>
      <c r="B579" s="2"/>
      <c r="C579" s="2"/>
      <c r="D579" s="2"/>
      <c r="E579" s="2"/>
      <c r="F579" s="2"/>
      <c r="G579" s="2"/>
      <c r="H579" s="2"/>
      <c r="I579" s="2"/>
      <c r="J579" s="2"/>
      <c r="K579" s="2"/>
      <c r="L579" s="2"/>
      <c r="M579" s="2"/>
      <c r="N579" s="2"/>
      <c r="O579" s="2"/>
      <c r="P579" s="2"/>
      <c r="Q579" s="2"/>
      <c r="R579" s="2"/>
      <c r="S579" s="2"/>
      <c r="T579" s="2"/>
      <c r="U579" s="2"/>
    </row>
    <row r="580">
      <c r="A580" s="2"/>
      <c r="B580" s="2"/>
      <c r="C580" s="2"/>
      <c r="D580" s="2"/>
      <c r="E580" s="2"/>
      <c r="F580" s="2"/>
      <c r="G580" s="2"/>
      <c r="H580" s="2"/>
      <c r="I580" s="2"/>
      <c r="J580" s="2"/>
      <c r="K580" s="2"/>
      <c r="L580" s="2"/>
      <c r="M580" s="2"/>
      <c r="N580" s="2"/>
      <c r="O580" s="2"/>
      <c r="P580" s="2"/>
      <c r="Q580" s="2"/>
      <c r="R580" s="2"/>
      <c r="S580" s="2"/>
      <c r="T580" s="2"/>
      <c r="U580" s="2"/>
    </row>
    <row r="581">
      <c r="A581" s="2"/>
      <c r="B581" s="2"/>
      <c r="C581" s="2"/>
      <c r="D581" s="2"/>
      <c r="E581" s="2"/>
      <c r="F581" s="2"/>
      <c r="G581" s="2"/>
      <c r="H581" s="2"/>
      <c r="I581" s="2"/>
      <c r="J581" s="2"/>
      <c r="K581" s="2"/>
      <c r="L581" s="2"/>
      <c r="M581" s="2"/>
      <c r="N581" s="2"/>
      <c r="O581" s="2"/>
      <c r="P581" s="2"/>
      <c r="Q581" s="2"/>
      <c r="R581" s="2"/>
      <c r="S581" s="2"/>
      <c r="T581" s="2"/>
      <c r="U581" s="2"/>
    </row>
    <row r="582">
      <c r="A582" s="2"/>
      <c r="B582" s="2"/>
      <c r="C582" s="2"/>
      <c r="D582" s="2"/>
      <c r="E582" s="2"/>
      <c r="F582" s="2"/>
      <c r="G582" s="2"/>
      <c r="H582" s="2"/>
      <c r="I582" s="2"/>
      <c r="J582" s="2"/>
      <c r="K582" s="2"/>
      <c r="L582" s="2"/>
      <c r="M582" s="2"/>
      <c r="N582" s="2"/>
      <c r="O582" s="2"/>
      <c r="P582" s="2"/>
      <c r="Q582" s="2"/>
      <c r="R582" s="2"/>
      <c r="S582" s="2"/>
      <c r="T582" s="2"/>
      <c r="U582" s="2"/>
    </row>
    <row r="583">
      <c r="A583" s="2"/>
      <c r="B583" s="2"/>
      <c r="C583" s="2"/>
      <c r="D583" s="2"/>
      <c r="E583" s="2"/>
      <c r="F583" s="2"/>
      <c r="G583" s="2"/>
      <c r="H583" s="2"/>
      <c r="I583" s="2"/>
      <c r="J583" s="2"/>
      <c r="K583" s="2"/>
      <c r="L583" s="2"/>
      <c r="M583" s="2"/>
      <c r="N583" s="2"/>
      <c r="O583" s="2"/>
      <c r="P583" s="2"/>
      <c r="Q583" s="2"/>
      <c r="R583" s="2"/>
      <c r="S583" s="2"/>
      <c r="T583" s="2"/>
      <c r="U583" s="2"/>
    </row>
    <row r="584">
      <c r="A584" s="2"/>
      <c r="B584" s="2"/>
      <c r="C584" s="2"/>
      <c r="D584" s="2"/>
      <c r="E584" s="2"/>
      <c r="F584" s="2"/>
      <c r="G584" s="2"/>
      <c r="H584" s="2"/>
      <c r="I584" s="2"/>
      <c r="J584" s="2"/>
      <c r="K584" s="2"/>
      <c r="L584" s="2"/>
      <c r="M584" s="2"/>
      <c r="N584" s="2"/>
      <c r="O584" s="2"/>
      <c r="P584" s="2"/>
      <c r="Q584" s="2"/>
      <c r="R584" s="2"/>
      <c r="S584" s="2"/>
      <c r="T584" s="2"/>
      <c r="U584" s="2"/>
    </row>
    <row r="585">
      <c r="A585" s="2"/>
      <c r="B585" s="2"/>
      <c r="C585" s="2"/>
      <c r="D585" s="2"/>
      <c r="E585" s="2"/>
      <c r="F585" s="2"/>
      <c r="G585" s="2"/>
      <c r="H585" s="2"/>
      <c r="I585" s="2"/>
      <c r="J585" s="2"/>
      <c r="K585" s="2"/>
      <c r="L585" s="2"/>
      <c r="M585" s="2"/>
      <c r="N585" s="2"/>
      <c r="O585" s="2"/>
      <c r="P585" s="2"/>
      <c r="Q585" s="2"/>
      <c r="R585" s="2"/>
      <c r="S585" s="2"/>
      <c r="T585" s="2"/>
      <c r="U585" s="2"/>
    </row>
    <row r="586">
      <c r="A586" s="2"/>
      <c r="B586" s="2"/>
      <c r="C586" s="2"/>
      <c r="D586" s="2"/>
      <c r="E586" s="2"/>
      <c r="F586" s="2"/>
      <c r="G586" s="2"/>
      <c r="H586" s="2"/>
      <c r="I586" s="2"/>
      <c r="J586" s="2"/>
      <c r="K586" s="2"/>
      <c r="L586" s="2"/>
      <c r="M586" s="2"/>
      <c r="N586" s="2"/>
      <c r="O586" s="2"/>
      <c r="P586" s="2"/>
      <c r="Q586" s="2"/>
      <c r="R586" s="2"/>
      <c r="S586" s="2"/>
      <c r="T586" s="2"/>
      <c r="U586" s="2"/>
    </row>
    <row r="587">
      <c r="A587" s="2"/>
      <c r="B587" s="2"/>
      <c r="C587" s="2"/>
      <c r="D587" s="2"/>
      <c r="E587" s="2"/>
      <c r="F587" s="2"/>
      <c r="G587" s="2"/>
      <c r="H587" s="2"/>
      <c r="I587" s="2"/>
      <c r="J587" s="2"/>
      <c r="K587" s="2"/>
      <c r="L587" s="2"/>
      <c r="M587" s="2"/>
      <c r="N587" s="2"/>
      <c r="O587" s="2"/>
      <c r="P587" s="2"/>
      <c r="Q587" s="2"/>
      <c r="R587" s="2"/>
      <c r="S587" s="2"/>
      <c r="T587" s="2"/>
      <c r="U587" s="2"/>
    </row>
    <row r="588">
      <c r="A588" s="2"/>
      <c r="B588" s="2"/>
      <c r="C588" s="2"/>
      <c r="D588" s="2"/>
      <c r="E588" s="2"/>
      <c r="F588" s="2"/>
      <c r="G588" s="2"/>
      <c r="H588" s="2"/>
      <c r="I588" s="2"/>
      <c r="J588" s="2"/>
      <c r="K588" s="2"/>
      <c r="L588" s="2"/>
      <c r="M588" s="2"/>
      <c r="N588" s="2"/>
      <c r="O588" s="2"/>
      <c r="P588" s="2"/>
      <c r="Q588" s="2"/>
      <c r="R588" s="2"/>
      <c r="S588" s="2"/>
      <c r="T588" s="2"/>
      <c r="U588" s="2"/>
    </row>
    <row r="589">
      <c r="A589" s="2"/>
      <c r="B589" s="2"/>
      <c r="C589" s="2"/>
      <c r="D589" s="2"/>
      <c r="E589" s="2"/>
      <c r="F589" s="2"/>
      <c r="G589" s="2"/>
      <c r="H589" s="2"/>
      <c r="I589" s="2"/>
      <c r="J589" s="2"/>
      <c r="K589" s="2"/>
      <c r="L589" s="2"/>
      <c r="M589" s="2"/>
      <c r="N589" s="2"/>
      <c r="O589" s="2"/>
      <c r="P589" s="2"/>
      <c r="Q589" s="2"/>
      <c r="R589" s="2"/>
      <c r="S589" s="2"/>
      <c r="T589" s="2"/>
      <c r="U589" s="2"/>
    </row>
    <row r="590">
      <c r="A590" s="2"/>
      <c r="B590" s="2"/>
      <c r="C590" s="2"/>
      <c r="D590" s="2"/>
      <c r="E590" s="2"/>
      <c r="F590" s="2"/>
      <c r="G590" s="2"/>
      <c r="H590" s="2"/>
      <c r="I590" s="2"/>
      <c r="J590" s="2"/>
      <c r="K590" s="2"/>
      <c r="L590" s="2"/>
      <c r="M590" s="2"/>
      <c r="N590" s="2"/>
      <c r="O590" s="2"/>
      <c r="P590" s="2"/>
      <c r="Q590" s="2"/>
      <c r="R590" s="2"/>
      <c r="S590" s="2"/>
      <c r="T590" s="2"/>
      <c r="U590" s="2"/>
    </row>
    <row r="591">
      <c r="A591" s="2"/>
      <c r="B591" s="2"/>
      <c r="C591" s="2"/>
      <c r="D591" s="2"/>
      <c r="E591" s="2"/>
      <c r="F591" s="2"/>
      <c r="G591" s="2"/>
      <c r="H591" s="2"/>
      <c r="I591" s="2"/>
      <c r="J591" s="2"/>
      <c r="K591" s="2"/>
      <c r="L591" s="2"/>
      <c r="M591" s="2"/>
      <c r="N591" s="2"/>
      <c r="O591" s="2"/>
      <c r="P591" s="2"/>
      <c r="Q591" s="2"/>
      <c r="R591" s="2"/>
      <c r="S591" s="2"/>
      <c r="T591" s="2"/>
      <c r="U591" s="2"/>
    </row>
    <row r="592">
      <c r="A592" s="2"/>
      <c r="B592" s="2"/>
      <c r="C592" s="2"/>
      <c r="D592" s="2"/>
      <c r="E592" s="2"/>
      <c r="F592" s="2"/>
      <c r="G592" s="2"/>
      <c r="H592" s="2"/>
      <c r="I592" s="2"/>
      <c r="J592" s="2"/>
      <c r="K592" s="2"/>
      <c r="L592" s="2"/>
      <c r="M592" s="2"/>
      <c r="N592" s="2"/>
      <c r="O592" s="2"/>
      <c r="P592" s="2"/>
      <c r="Q592" s="2"/>
      <c r="R592" s="2"/>
      <c r="S592" s="2"/>
      <c r="T592" s="2"/>
      <c r="U592" s="2"/>
    </row>
    <row r="593">
      <c r="A593" s="2"/>
      <c r="B593" s="2"/>
      <c r="C593" s="2"/>
      <c r="D593" s="2"/>
      <c r="E593" s="2"/>
      <c r="F593" s="2"/>
      <c r="G593" s="2"/>
      <c r="H593" s="2"/>
      <c r="I593" s="2"/>
      <c r="J593" s="2"/>
      <c r="K593" s="2"/>
      <c r="L593" s="2"/>
      <c r="M593" s="2"/>
      <c r="N593" s="2"/>
      <c r="O593" s="2"/>
      <c r="P593" s="2"/>
      <c r="Q593" s="2"/>
      <c r="R593" s="2"/>
      <c r="S593" s="2"/>
      <c r="T593" s="2"/>
      <c r="U593" s="2"/>
    </row>
    <row r="594">
      <c r="A594" s="2"/>
      <c r="B594" s="2"/>
      <c r="C594" s="2"/>
      <c r="D594" s="2"/>
      <c r="E594" s="2"/>
      <c r="F594" s="2"/>
      <c r="G594" s="2"/>
      <c r="H594" s="2"/>
      <c r="I594" s="2"/>
      <c r="J594" s="2"/>
      <c r="K594" s="2"/>
      <c r="L594" s="2"/>
      <c r="M594" s="2"/>
      <c r="N594" s="2"/>
      <c r="O594" s="2"/>
      <c r="P594" s="2"/>
      <c r="Q594" s="2"/>
      <c r="R594" s="2"/>
      <c r="S594" s="2"/>
      <c r="T594" s="2"/>
      <c r="U594" s="2"/>
    </row>
    <row r="595">
      <c r="A595" s="2"/>
      <c r="B595" s="2"/>
      <c r="C595" s="2"/>
      <c r="D595" s="2"/>
      <c r="E595" s="2"/>
      <c r="F595" s="2"/>
      <c r="G595" s="2"/>
      <c r="H595" s="2"/>
      <c r="I595" s="2"/>
      <c r="J595" s="2"/>
      <c r="K595" s="2"/>
      <c r="L595" s="2"/>
      <c r="M595" s="2"/>
      <c r="N595" s="2"/>
      <c r="O595" s="2"/>
      <c r="P595" s="2"/>
      <c r="Q595" s="2"/>
      <c r="R595" s="2"/>
      <c r="S595" s="2"/>
      <c r="T595" s="2"/>
      <c r="U595" s="2"/>
    </row>
    <row r="596">
      <c r="A596" s="2"/>
      <c r="B596" s="2"/>
      <c r="C596" s="2"/>
      <c r="D596" s="2"/>
      <c r="E596" s="2"/>
      <c r="F596" s="2"/>
      <c r="G596" s="2"/>
      <c r="H596" s="2"/>
      <c r="I596" s="2"/>
      <c r="J596" s="2"/>
      <c r="K596" s="2"/>
      <c r="L596" s="2"/>
      <c r="M596" s="2"/>
      <c r="N596" s="2"/>
      <c r="O596" s="2"/>
      <c r="P596" s="2"/>
      <c r="Q596" s="2"/>
      <c r="R596" s="2"/>
      <c r="S596" s="2"/>
      <c r="T596" s="2"/>
      <c r="U596" s="2"/>
    </row>
    <row r="597">
      <c r="A597" s="2"/>
      <c r="B597" s="2"/>
      <c r="C597" s="2"/>
      <c r="D597" s="2"/>
      <c r="E597" s="2"/>
      <c r="F597" s="2"/>
      <c r="G597" s="2"/>
      <c r="H597" s="2"/>
      <c r="I597" s="2"/>
      <c r="J597" s="2"/>
      <c r="K597" s="2"/>
      <c r="L597" s="2"/>
      <c r="M597" s="2"/>
      <c r="N597" s="2"/>
      <c r="O597" s="2"/>
      <c r="P597" s="2"/>
      <c r="Q597" s="2"/>
      <c r="R597" s="2"/>
      <c r="S597" s="2"/>
      <c r="T597" s="2"/>
      <c r="U597" s="2"/>
    </row>
    <row r="598">
      <c r="A598" s="2"/>
      <c r="B598" s="2"/>
      <c r="C598" s="2"/>
      <c r="D598" s="2"/>
      <c r="E598" s="2"/>
      <c r="F598" s="2"/>
      <c r="G598" s="2"/>
      <c r="H598" s="2"/>
      <c r="I598" s="2"/>
      <c r="J598" s="2"/>
      <c r="K598" s="2"/>
      <c r="L598" s="2"/>
      <c r="M598" s="2"/>
      <c r="N598" s="2"/>
      <c r="O598" s="2"/>
      <c r="P598" s="2"/>
      <c r="Q598" s="2"/>
      <c r="R598" s="2"/>
      <c r="S598" s="2"/>
      <c r="T598" s="2"/>
      <c r="U598" s="2"/>
    </row>
    <row r="599">
      <c r="A599" s="2"/>
      <c r="B599" s="2"/>
      <c r="C599" s="2"/>
      <c r="D599" s="2"/>
      <c r="E599" s="2"/>
      <c r="F599" s="2"/>
      <c r="G599" s="2"/>
      <c r="H599" s="2"/>
      <c r="I599" s="2"/>
      <c r="J599" s="2"/>
      <c r="K599" s="2"/>
      <c r="L599" s="2"/>
      <c r="M599" s="2"/>
      <c r="N599" s="2"/>
      <c r="O599" s="2"/>
      <c r="P599" s="2"/>
      <c r="Q599" s="2"/>
      <c r="R599" s="2"/>
      <c r="S599" s="2"/>
      <c r="T599" s="2"/>
      <c r="U599" s="2"/>
    </row>
    <row r="600">
      <c r="A600" s="2"/>
      <c r="B600" s="2"/>
      <c r="C600" s="2"/>
      <c r="D600" s="2"/>
      <c r="E600" s="2"/>
      <c r="F600" s="2"/>
      <c r="G600" s="2"/>
      <c r="H600" s="2"/>
      <c r="I600" s="2"/>
      <c r="J600" s="2"/>
      <c r="K600" s="2"/>
      <c r="L600" s="2"/>
      <c r="M600" s="2"/>
      <c r="N600" s="2"/>
      <c r="O600" s="2"/>
      <c r="P600" s="2"/>
      <c r="Q600" s="2"/>
      <c r="R600" s="2"/>
      <c r="S600" s="2"/>
      <c r="T600" s="2"/>
      <c r="U600" s="2"/>
    </row>
    <row r="601">
      <c r="A601" s="2"/>
      <c r="B601" s="2"/>
      <c r="C601" s="2"/>
      <c r="D601" s="2"/>
      <c r="E601" s="2"/>
      <c r="F601" s="2"/>
      <c r="G601" s="2"/>
      <c r="H601" s="2"/>
      <c r="I601" s="2"/>
      <c r="J601" s="2"/>
      <c r="K601" s="2"/>
      <c r="L601" s="2"/>
      <c r="M601" s="2"/>
      <c r="N601" s="2"/>
      <c r="O601" s="2"/>
      <c r="P601" s="2"/>
      <c r="Q601" s="2"/>
      <c r="R601" s="2"/>
      <c r="S601" s="2"/>
      <c r="T601" s="2"/>
      <c r="U601" s="2"/>
    </row>
    <row r="602">
      <c r="A602" s="2"/>
      <c r="B602" s="2"/>
      <c r="C602" s="2"/>
      <c r="D602" s="2"/>
      <c r="E602" s="2"/>
      <c r="F602" s="2"/>
      <c r="G602" s="2"/>
      <c r="H602" s="2"/>
      <c r="I602" s="2"/>
      <c r="J602" s="2"/>
      <c r="K602" s="2"/>
      <c r="L602" s="2"/>
      <c r="M602" s="2"/>
      <c r="N602" s="2"/>
      <c r="O602" s="2"/>
      <c r="P602" s="2"/>
      <c r="Q602" s="2"/>
      <c r="R602" s="2"/>
      <c r="S602" s="2"/>
      <c r="T602" s="2"/>
      <c r="U602" s="2"/>
    </row>
    <row r="603">
      <c r="A603" s="2"/>
      <c r="B603" s="2"/>
      <c r="C603" s="2"/>
      <c r="D603" s="2"/>
      <c r="E603" s="2"/>
      <c r="F603" s="2"/>
      <c r="G603" s="2"/>
      <c r="H603" s="2"/>
      <c r="I603" s="2"/>
      <c r="J603" s="2"/>
      <c r="K603" s="2"/>
      <c r="L603" s="2"/>
      <c r="M603" s="2"/>
      <c r="N603" s="2"/>
      <c r="O603" s="2"/>
      <c r="P603" s="2"/>
      <c r="Q603" s="2"/>
      <c r="R603" s="2"/>
      <c r="S603" s="2"/>
      <c r="T603" s="2"/>
      <c r="U603" s="2"/>
    </row>
    <row r="604">
      <c r="A604" s="2"/>
      <c r="B604" s="2"/>
      <c r="C604" s="2"/>
      <c r="D604" s="2"/>
      <c r="E604" s="2"/>
      <c r="F604" s="2"/>
      <c r="G604" s="2"/>
      <c r="H604" s="2"/>
      <c r="I604" s="2"/>
      <c r="J604" s="2"/>
      <c r="K604" s="2"/>
      <c r="L604" s="2"/>
      <c r="M604" s="2"/>
      <c r="N604" s="2"/>
      <c r="O604" s="2"/>
      <c r="P604" s="2"/>
      <c r="Q604" s="2"/>
      <c r="R604" s="2"/>
      <c r="S604" s="2"/>
      <c r="T604" s="2"/>
      <c r="U604" s="2"/>
    </row>
    <row r="605">
      <c r="A605" s="2"/>
      <c r="B605" s="2"/>
      <c r="C605" s="2"/>
      <c r="D605" s="2"/>
      <c r="E605" s="2"/>
      <c r="F605" s="2"/>
      <c r="G605" s="2"/>
      <c r="H605" s="2"/>
      <c r="I605" s="2"/>
      <c r="J605" s="2"/>
      <c r="K605" s="2"/>
      <c r="L605" s="2"/>
      <c r="M605" s="2"/>
      <c r="N605" s="2"/>
      <c r="O605" s="2"/>
      <c r="P605" s="2"/>
      <c r="Q605" s="2"/>
      <c r="R605" s="2"/>
      <c r="S605" s="2"/>
      <c r="T605" s="2"/>
      <c r="U605" s="2"/>
    </row>
    <row r="606">
      <c r="A606" s="2"/>
      <c r="B606" s="2"/>
      <c r="C606" s="2"/>
      <c r="D606" s="2"/>
      <c r="E606" s="2"/>
      <c r="F606" s="2"/>
      <c r="G606" s="2"/>
      <c r="H606" s="2"/>
      <c r="I606" s="2"/>
      <c r="J606" s="2"/>
      <c r="K606" s="2"/>
      <c r="L606" s="2"/>
      <c r="M606" s="2"/>
      <c r="N606" s="2"/>
      <c r="O606" s="2"/>
      <c r="P606" s="2"/>
      <c r="Q606" s="2"/>
      <c r="R606" s="2"/>
      <c r="S606" s="2"/>
      <c r="T606" s="2"/>
      <c r="U606" s="2"/>
    </row>
    <row r="607">
      <c r="A607" s="2"/>
      <c r="B607" s="2"/>
      <c r="C607" s="2"/>
      <c r="D607" s="2"/>
      <c r="E607" s="2"/>
      <c r="F607" s="2"/>
      <c r="G607" s="2"/>
      <c r="H607" s="2"/>
      <c r="I607" s="2"/>
      <c r="J607" s="2"/>
      <c r="K607" s="2"/>
      <c r="L607" s="2"/>
      <c r="M607" s="2"/>
      <c r="N607" s="2"/>
      <c r="O607" s="2"/>
      <c r="P607" s="2"/>
      <c r="Q607" s="2"/>
      <c r="R607" s="2"/>
      <c r="S607" s="2"/>
      <c r="T607" s="2"/>
      <c r="U607" s="2"/>
    </row>
    <row r="608">
      <c r="A608" s="2"/>
      <c r="B608" s="2"/>
      <c r="C608" s="2"/>
      <c r="D608" s="2"/>
      <c r="E608" s="2"/>
      <c r="F608" s="2"/>
      <c r="G608" s="2"/>
      <c r="H608" s="2"/>
      <c r="I608" s="2"/>
      <c r="J608" s="2"/>
      <c r="K608" s="2"/>
      <c r="L608" s="2"/>
      <c r="M608" s="2"/>
      <c r="N608" s="2"/>
      <c r="O608" s="2"/>
      <c r="P608" s="2"/>
      <c r="Q608" s="2"/>
      <c r="R608" s="2"/>
      <c r="S608" s="2"/>
      <c r="T608" s="2"/>
      <c r="U608" s="2"/>
    </row>
    <row r="609">
      <c r="A609" s="2"/>
      <c r="B609" s="2"/>
      <c r="C609" s="2"/>
      <c r="D609" s="2"/>
      <c r="E609" s="2"/>
      <c r="F609" s="2"/>
      <c r="G609" s="2"/>
      <c r="H609" s="2"/>
      <c r="I609" s="2"/>
      <c r="J609" s="2"/>
      <c r="K609" s="2"/>
      <c r="L609" s="2"/>
      <c r="M609" s="2"/>
      <c r="N609" s="2"/>
      <c r="O609" s="2"/>
      <c r="P609" s="2"/>
      <c r="Q609" s="2"/>
      <c r="R609" s="2"/>
      <c r="S609" s="2"/>
      <c r="T609" s="2"/>
      <c r="U609" s="2"/>
    </row>
    <row r="610">
      <c r="A610" s="2"/>
      <c r="B610" s="2"/>
      <c r="C610" s="2"/>
      <c r="D610" s="2"/>
      <c r="E610" s="2"/>
      <c r="F610" s="2"/>
      <c r="G610" s="2"/>
      <c r="H610" s="2"/>
      <c r="I610" s="2"/>
      <c r="J610" s="2"/>
      <c r="K610" s="2"/>
      <c r="L610" s="2"/>
      <c r="M610" s="2"/>
      <c r="N610" s="2"/>
      <c r="O610" s="2"/>
      <c r="P610" s="2"/>
      <c r="Q610" s="2"/>
      <c r="R610" s="2"/>
      <c r="S610" s="2"/>
      <c r="T610" s="2"/>
      <c r="U610" s="2"/>
    </row>
    <row r="611">
      <c r="A611" s="2"/>
      <c r="B611" s="2"/>
      <c r="C611" s="2"/>
      <c r="D611" s="2"/>
      <c r="E611" s="2"/>
      <c r="F611" s="2"/>
      <c r="G611" s="2"/>
      <c r="H611" s="2"/>
      <c r="I611" s="2"/>
      <c r="J611" s="2"/>
      <c r="K611" s="2"/>
      <c r="L611" s="2"/>
      <c r="M611" s="2"/>
      <c r="N611" s="2"/>
      <c r="O611" s="2"/>
      <c r="P611" s="2"/>
      <c r="Q611" s="2"/>
      <c r="R611" s="2"/>
      <c r="S611" s="2"/>
      <c r="T611" s="2"/>
      <c r="U611" s="2"/>
    </row>
    <row r="612">
      <c r="A612" s="2"/>
      <c r="B612" s="2"/>
      <c r="C612" s="2"/>
      <c r="D612" s="2"/>
      <c r="E612" s="2"/>
      <c r="F612" s="2"/>
      <c r="G612" s="2"/>
      <c r="H612" s="2"/>
      <c r="I612" s="2"/>
      <c r="J612" s="2"/>
      <c r="K612" s="2"/>
      <c r="L612" s="2"/>
      <c r="M612" s="2"/>
      <c r="N612" s="2"/>
      <c r="O612" s="2"/>
      <c r="P612" s="2"/>
      <c r="Q612" s="2"/>
      <c r="R612" s="2"/>
      <c r="S612" s="2"/>
      <c r="T612" s="2"/>
      <c r="U612" s="2"/>
    </row>
    <row r="613">
      <c r="A613" s="2"/>
      <c r="B613" s="2"/>
      <c r="C613" s="2"/>
      <c r="D613" s="2"/>
      <c r="E613" s="2"/>
      <c r="F613" s="2"/>
      <c r="G613" s="2"/>
      <c r="H613" s="2"/>
      <c r="I613" s="2"/>
      <c r="J613" s="2"/>
      <c r="K613" s="2"/>
      <c r="L613" s="2"/>
      <c r="M613" s="2"/>
      <c r="N613" s="2"/>
      <c r="O613" s="2"/>
      <c r="P613" s="2"/>
      <c r="Q613" s="2"/>
      <c r="R613" s="2"/>
      <c r="S613" s="2"/>
      <c r="T613" s="2"/>
      <c r="U613" s="2"/>
    </row>
    <row r="614">
      <c r="A614" s="2"/>
      <c r="B614" s="2"/>
      <c r="C614" s="2"/>
      <c r="D614" s="2"/>
      <c r="E614" s="2"/>
      <c r="F614" s="2"/>
      <c r="G614" s="2"/>
      <c r="H614" s="2"/>
      <c r="I614" s="2"/>
      <c r="J614" s="2"/>
      <c r="K614" s="2"/>
      <c r="L614" s="2"/>
      <c r="M614" s="2"/>
      <c r="N614" s="2"/>
      <c r="O614" s="2"/>
      <c r="P614" s="2"/>
      <c r="Q614" s="2"/>
      <c r="R614" s="2"/>
      <c r="S614" s="2"/>
      <c r="T614" s="2"/>
      <c r="U614" s="2"/>
    </row>
    <row r="615">
      <c r="A615" s="2"/>
      <c r="B615" s="2"/>
      <c r="C615" s="2"/>
      <c r="D615" s="2"/>
      <c r="E615" s="2"/>
      <c r="F615" s="2"/>
      <c r="G615" s="2"/>
      <c r="H615" s="2"/>
      <c r="I615" s="2"/>
      <c r="J615" s="2"/>
      <c r="K615" s="2"/>
      <c r="L615" s="2"/>
      <c r="M615" s="2"/>
      <c r="N615" s="2"/>
      <c r="O615" s="2"/>
      <c r="P615" s="2"/>
      <c r="Q615" s="2"/>
      <c r="R615" s="2"/>
      <c r="S615" s="2"/>
      <c r="T615" s="2"/>
      <c r="U615" s="2"/>
    </row>
    <row r="616">
      <c r="A616" s="2"/>
      <c r="B616" s="2"/>
      <c r="C616" s="2"/>
      <c r="D616" s="2"/>
      <c r="E616" s="2"/>
      <c r="F616" s="2"/>
      <c r="G616" s="2"/>
      <c r="H616" s="2"/>
      <c r="I616" s="2"/>
      <c r="J616" s="2"/>
      <c r="K616" s="2"/>
      <c r="L616" s="2"/>
      <c r="M616" s="2"/>
      <c r="N616" s="2"/>
      <c r="O616" s="2"/>
      <c r="P616" s="2"/>
      <c r="Q616" s="2"/>
      <c r="R616" s="2"/>
      <c r="S616" s="2"/>
      <c r="T616" s="2"/>
      <c r="U616" s="2"/>
    </row>
    <row r="617">
      <c r="A617" s="2"/>
      <c r="B617" s="2"/>
      <c r="C617" s="2"/>
      <c r="D617" s="2"/>
      <c r="E617" s="2"/>
      <c r="F617" s="2"/>
      <c r="G617" s="2"/>
      <c r="H617" s="2"/>
      <c r="I617" s="2"/>
      <c r="J617" s="2"/>
      <c r="K617" s="2"/>
      <c r="L617" s="2"/>
      <c r="M617" s="2"/>
      <c r="N617" s="2"/>
      <c r="O617" s="2"/>
      <c r="P617" s="2"/>
      <c r="Q617" s="2"/>
      <c r="R617" s="2"/>
      <c r="S617" s="2"/>
      <c r="T617" s="2"/>
      <c r="U617" s="2"/>
    </row>
    <row r="618">
      <c r="A618" s="2"/>
      <c r="B618" s="2"/>
      <c r="C618" s="2"/>
      <c r="D618" s="2"/>
      <c r="E618" s="2"/>
      <c r="F618" s="2"/>
      <c r="G618" s="2"/>
      <c r="H618" s="2"/>
      <c r="I618" s="2"/>
      <c r="J618" s="2"/>
      <c r="K618" s="2"/>
      <c r="L618" s="2"/>
      <c r="M618" s="2"/>
      <c r="N618" s="2"/>
      <c r="O618" s="2"/>
      <c r="P618" s="2"/>
      <c r="Q618" s="2"/>
      <c r="R618" s="2"/>
      <c r="S618" s="2"/>
      <c r="T618" s="2"/>
      <c r="U618" s="2"/>
    </row>
    <row r="619">
      <c r="A619" s="2"/>
      <c r="B619" s="2"/>
      <c r="C619" s="2"/>
      <c r="D619" s="2"/>
      <c r="E619" s="2"/>
      <c r="F619" s="2"/>
      <c r="G619" s="2"/>
      <c r="H619" s="2"/>
      <c r="I619" s="2"/>
      <c r="J619" s="2"/>
      <c r="K619" s="2"/>
      <c r="L619" s="2"/>
      <c r="M619" s="2"/>
      <c r="N619" s="2"/>
      <c r="O619" s="2"/>
      <c r="P619" s="2"/>
      <c r="Q619" s="2"/>
      <c r="R619" s="2"/>
      <c r="S619" s="2"/>
      <c r="T619" s="2"/>
      <c r="U619" s="2"/>
    </row>
    <row r="620">
      <c r="A620" s="2"/>
      <c r="B620" s="2"/>
      <c r="C620" s="2"/>
      <c r="D620" s="2"/>
      <c r="E620" s="2"/>
      <c r="F620" s="2"/>
      <c r="G620" s="2"/>
      <c r="H620" s="2"/>
      <c r="I620" s="2"/>
      <c r="J620" s="2"/>
      <c r="K620" s="2"/>
      <c r="L620" s="2"/>
      <c r="M620" s="2"/>
      <c r="N620" s="2"/>
      <c r="O620" s="2"/>
      <c r="P620" s="2"/>
      <c r="Q620" s="2"/>
      <c r="R620" s="2"/>
      <c r="S620" s="2"/>
      <c r="T620" s="2"/>
      <c r="U620" s="2"/>
    </row>
    <row r="621">
      <c r="A621" s="2"/>
      <c r="B621" s="2"/>
      <c r="C621" s="2"/>
      <c r="D621" s="2"/>
      <c r="E621" s="2"/>
      <c r="F621" s="2"/>
      <c r="G621" s="2"/>
      <c r="H621" s="2"/>
      <c r="I621" s="2"/>
      <c r="J621" s="2"/>
      <c r="K621" s="2"/>
      <c r="L621" s="2"/>
      <c r="M621" s="2"/>
      <c r="N621" s="2"/>
      <c r="O621" s="2"/>
      <c r="P621" s="2"/>
      <c r="Q621" s="2"/>
      <c r="R621" s="2"/>
      <c r="S621" s="2"/>
      <c r="T621" s="2"/>
      <c r="U621" s="2"/>
    </row>
    <row r="622">
      <c r="A622" s="2"/>
      <c r="B622" s="2"/>
      <c r="C622" s="2"/>
      <c r="D622" s="2"/>
      <c r="E622" s="2"/>
      <c r="F622" s="2"/>
      <c r="G622" s="2"/>
      <c r="H622" s="2"/>
      <c r="I622" s="2"/>
      <c r="J622" s="2"/>
      <c r="K622" s="2"/>
      <c r="L622" s="2"/>
      <c r="M622" s="2"/>
      <c r="N622" s="2"/>
      <c r="O622" s="2"/>
      <c r="P622" s="2"/>
      <c r="Q622" s="2"/>
      <c r="R622" s="2"/>
      <c r="S622" s="2"/>
      <c r="T622" s="2"/>
      <c r="U622" s="2"/>
    </row>
    <row r="623">
      <c r="A623" s="2"/>
      <c r="B623" s="2"/>
      <c r="C623" s="2"/>
      <c r="D623" s="2"/>
      <c r="E623" s="2"/>
      <c r="F623" s="2"/>
      <c r="G623" s="2"/>
      <c r="H623" s="2"/>
      <c r="I623" s="2"/>
      <c r="J623" s="2"/>
      <c r="K623" s="2"/>
      <c r="L623" s="2"/>
      <c r="M623" s="2"/>
      <c r="N623" s="2"/>
      <c r="O623" s="2"/>
      <c r="P623" s="2"/>
      <c r="Q623" s="2"/>
      <c r="R623" s="2"/>
      <c r="S623" s="2"/>
      <c r="T623" s="2"/>
      <c r="U623" s="2"/>
    </row>
    <row r="624">
      <c r="A624" s="2"/>
      <c r="B624" s="2"/>
      <c r="C624" s="2"/>
      <c r="D624" s="2"/>
      <c r="E624" s="2"/>
      <c r="F624" s="2"/>
      <c r="G624" s="2"/>
      <c r="H624" s="2"/>
      <c r="I624" s="2"/>
      <c r="J624" s="2"/>
      <c r="K624" s="2"/>
      <c r="L624" s="2"/>
      <c r="M624" s="2"/>
      <c r="N624" s="2"/>
      <c r="O624" s="2"/>
      <c r="P624" s="2"/>
      <c r="Q624" s="2"/>
      <c r="R624" s="2"/>
      <c r="S624" s="2"/>
      <c r="T624" s="2"/>
      <c r="U624" s="2"/>
    </row>
    <row r="625">
      <c r="A625" s="2"/>
      <c r="B625" s="2"/>
      <c r="C625" s="2"/>
      <c r="D625" s="2"/>
      <c r="E625" s="2"/>
      <c r="F625" s="2"/>
      <c r="G625" s="2"/>
      <c r="H625" s="2"/>
      <c r="I625" s="2"/>
      <c r="J625" s="2"/>
      <c r="K625" s="2"/>
      <c r="L625" s="2"/>
      <c r="M625" s="2"/>
      <c r="N625" s="2"/>
      <c r="O625" s="2"/>
      <c r="P625" s="2"/>
      <c r="Q625" s="2"/>
      <c r="R625" s="2"/>
      <c r="S625" s="2"/>
      <c r="T625" s="2"/>
      <c r="U625" s="2"/>
    </row>
    <row r="626">
      <c r="A626" s="2"/>
      <c r="B626" s="2"/>
      <c r="C626" s="2"/>
      <c r="D626" s="2"/>
      <c r="E626" s="2"/>
      <c r="F626" s="2"/>
      <c r="G626" s="2"/>
      <c r="H626" s="2"/>
      <c r="I626" s="2"/>
      <c r="J626" s="2"/>
      <c r="K626" s="2"/>
      <c r="L626" s="2"/>
      <c r="M626" s="2"/>
      <c r="N626" s="2"/>
      <c r="O626" s="2"/>
      <c r="P626" s="2"/>
      <c r="Q626" s="2"/>
      <c r="R626" s="2"/>
      <c r="S626" s="2"/>
      <c r="T626" s="2"/>
      <c r="U626" s="2"/>
    </row>
    <row r="627">
      <c r="A627" s="2"/>
      <c r="B627" s="2"/>
      <c r="C627" s="2"/>
      <c r="D627" s="2"/>
      <c r="E627" s="2"/>
      <c r="F627" s="2"/>
      <c r="G627" s="2"/>
      <c r="H627" s="2"/>
      <c r="I627" s="2"/>
      <c r="J627" s="2"/>
      <c r="K627" s="2"/>
      <c r="L627" s="2"/>
      <c r="M627" s="2"/>
      <c r="N627" s="2"/>
      <c r="O627" s="2"/>
      <c r="P627" s="2"/>
      <c r="Q627" s="2"/>
      <c r="R627" s="2"/>
      <c r="S627" s="2"/>
      <c r="T627" s="2"/>
      <c r="U627" s="2"/>
    </row>
    <row r="628">
      <c r="A628" s="2"/>
      <c r="B628" s="2"/>
      <c r="C628" s="2"/>
      <c r="D628" s="2"/>
      <c r="E628" s="2"/>
      <c r="F628" s="2"/>
      <c r="G628" s="2"/>
      <c r="H628" s="2"/>
      <c r="I628" s="2"/>
      <c r="J628" s="2"/>
      <c r="K628" s="2"/>
      <c r="L628" s="2"/>
      <c r="M628" s="2"/>
      <c r="N628" s="2"/>
      <c r="O628" s="2"/>
      <c r="P628" s="2"/>
      <c r="Q628" s="2"/>
      <c r="R628" s="2"/>
      <c r="S628" s="2"/>
      <c r="T628" s="2"/>
      <c r="U628" s="2"/>
    </row>
    <row r="629">
      <c r="A629" s="2"/>
      <c r="B629" s="2"/>
      <c r="C629" s="2"/>
      <c r="D629" s="2"/>
      <c r="E629" s="2"/>
      <c r="F629" s="2"/>
      <c r="G629" s="2"/>
      <c r="H629" s="2"/>
      <c r="I629" s="2"/>
      <c r="J629" s="2"/>
      <c r="K629" s="2"/>
      <c r="L629" s="2"/>
      <c r="M629" s="2"/>
      <c r="N629" s="2"/>
      <c r="O629" s="2"/>
      <c r="P629" s="2"/>
      <c r="Q629" s="2"/>
      <c r="R629" s="2"/>
      <c r="S629" s="2"/>
      <c r="T629" s="2"/>
      <c r="U629" s="2"/>
    </row>
    <row r="630">
      <c r="A630" s="2"/>
      <c r="B630" s="2"/>
      <c r="C630" s="2"/>
      <c r="D630" s="2"/>
      <c r="E630" s="2"/>
      <c r="F630" s="2"/>
      <c r="G630" s="2"/>
      <c r="H630" s="2"/>
      <c r="I630" s="2"/>
      <c r="J630" s="2"/>
      <c r="K630" s="2"/>
      <c r="L630" s="2"/>
      <c r="M630" s="2"/>
      <c r="N630" s="2"/>
      <c r="O630" s="2"/>
      <c r="P630" s="2"/>
      <c r="Q630" s="2"/>
      <c r="R630" s="2"/>
      <c r="S630" s="2"/>
      <c r="T630" s="2"/>
      <c r="U630" s="2"/>
    </row>
    <row r="631">
      <c r="A631" s="2"/>
      <c r="B631" s="2"/>
      <c r="C631" s="2"/>
      <c r="D631" s="2"/>
      <c r="E631" s="2"/>
      <c r="F631" s="2"/>
      <c r="G631" s="2"/>
      <c r="H631" s="2"/>
      <c r="I631" s="2"/>
      <c r="J631" s="2"/>
      <c r="K631" s="2"/>
      <c r="L631" s="2"/>
      <c r="M631" s="2"/>
      <c r="N631" s="2"/>
      <c r="O631" s="2"/>
      <c r="P631" s="2"/>
      <c r="Q631" s="2"/>
      <c r="R631" s="2"/>
      <c r="S631" s="2"/>
      <c r="T631" s="2"/>
      <c r="U631" s="2"/>
    </row>
    <row r="632">
      <c r="A632" s="2"/>
      <c r="B632" s="2"/>
      <c r="C632" s="2"/>
      <c r="D632" s="2"/>
      <c r="E632" s="2"/>
      <c r="F632" s="2"/>
      <c r="G632" s="2"/>
      <c r="H632" s="2"/>
      <c r="I632" s="2"/>
      <c r="J632" s="2"/>
      <c r="K632" s="2"/>
      <c r="L632" s="2"/>
      <c r="M632" s="2"/>
      <c r="N632" s="2"/>
      <c r="O632" s="2"/>
      <c r="P632" s="2"/>
      <c r="Q632" s="2"/>
      <c r="R632" s="2"/>
      <c r="S632" s="2"/>
      <c r="T632" s="2"/>
      <c r="U632" s="2"/>
    </row>
    <row r="633">
      <c r="A633" s="2"/>
      <c r="B633" s="2"/>
      <c r="C633" s="2"/>
      <c r="D633" s="2"/>
      <c r="E633" s="2"/>
      <c r="F633" s="2"/>
      <c r="G633" s="2"/>
      <c r="H633" s="2"/>
      <c r="I633" s="2"/>
      <c r="J633" s="2"/>
      <c r="K633" s="2"/>
      <c r="L633" s="2"/>
      <c r="M633" s="2"/>
      <c r="N633" s="2"/>
      <c r="O633" s="2"/>
      <c r="P633" s="2"/>
      <c r="Q633" s="2"/>
      <c r="R633" s="2"/>
      <c r="S633" s="2"/>
      <c r="T633" s="2"/>
      <c r="U633" s="2"/>
    </row>
    <row r="634">
      <c r="A634" s="2"/>
      <c r="B634" s="2"/>
      <c r="C634" s="2"/>
      <c r="D634" s="2"/>
      <c r="E634" s="2"/>
      <c r="F634" s="2"/>
      <c r="G634" s="2"/>
      <c r="H634" s="2"/>
      <c r="I634" s="2"/>
      <c r="J634" s="2"/>
      <c r="K634" s="2"/>
      <c r="L634" s="2"/>
      <c r="M634" s="2"/>
      <c r="N634" s="2"/>
      <c r="O634" s="2"/>
      <c r="P634" s="2"/>
      <c r="Q634" s="2"/>
      <c r="R634" s="2"/>
      <c r="S634" s="2"/>
      <c r="T634" s="2"/>
      <c r="U634" s="2"/>
    </row>
    <row r="635">
      <c r="A635" s="2"/>
      <c r="B635" s="2"/>
      <c r="C635" s="2"/>
      <c r="D635" s="2"/>
      <c r="E635" s="2"/>
      <c r="F635" s="2"/>
      <c r="G635" s="2"/>
      <c r="H635" s="2"/>
      <c r="I635" s="2"/>
      <c r="J635" s="2"/>
      <c r="K635" s="2"/>
      <c r="L635" s="2"/>
      <c r="M635" s="2"/>
      <c r="N635" s="2"/>
      <c r="O635" s="2"/>
      <c r="P635" s="2"/>
      <c r="Q635" s="2"/>
      <c r="R635" s="2"/>
      <c r="S635" s="2"/>
      <c r="T635" s="2"/>
      <c r="U635" s="2"/>
    </row>
    <row r="636">
      <c r="A636" s="2"/>
      <c r="B636" s="2"/>
      <c r="C636" s="2"/>
      <c r="D636" s="2"/>
      <c r="E636" s="2"/>
      <c r="F636" s="2"/>
      <c r="G636" s="2"/>
      <c r="H636" s="2"/>
      <c r="I636" s="2"/>
      <c r="J636" s="2"/>
      <c r="K636" s="2"/>
      <c r="L636" s="2"/>
      <c r="M636" s="2"/>
      <c r="N636" s="2"/>
      <c r="O636" s="2"/>
      <c r="P636" s="2"/>
      <c r="Q636" s="2"/>
      <c r="R636" s="2"/>
      <c r="S636" s="2"/>
      <c r="T636" s="2"/>
      <c r="U636" s="2"/>
    </row>
    <row r="637">
      <c r="A637" s="2"/>
      <c r="B637" s="2"/>
      <c r="C637" s="2"/>
      <c r="D637" s="2"/>
      <c r="E637" s="2"/>
      <c r="F637" s="2"/>
      <c r="G637" s="2"/>
      <c r="H637" s="2"/>
      <c r="I637" s="2"/>
      <c r="J637" s="2"/>
      <c r="K637" s="2"/>
      <c r="L637" s="2"/>
      <c r="M637" s="2"/>
      <c r="N637" s="2"/>
      <c r="O637" s="2"/>
      <c r="P637" s="2"/>
      <c r="Q637" s="2"/>
      <c r="R637" s="2"/>
      <c r="S637" s="2"/>
      <c r="T637" s="2"/>
      <c r="U637" s="2"/>
    </row>
    <row r="638">
      <c r="A638" s="2"/>
      <c r="B638" s="2"/>
      <c r="C638" s="2"/>
      <c r="D638" s="2"/>
      <c r="E638" s="2"/>
      <c r="F638" s="2"/>
      <c r="G638" s="2"/>
      <c r="H638" s="2"/>
      <c r="I638" s="2"/>
      <c r="J638" s="2"/>
      <c r="K638" s="2"/>
      <c r="L638" s="2"/>
      <c r="M638" s="2"/>
      <c r="N638" s="2"/>
      <c r="O638" s="2"/>
      <c r="P638" s="2"/>
      <c r="Q638" s="2"/>
      <c r="R638" s="2"/>
      <c r="S638" s="2"/>
      <c r="T638" s="2"/>
      <c r="U638" s="2"/>
    </row>
    <row r="639">
      <c r="A639" s="2"/>
      <c r="B639" s="2"/>
      <c r="C639" s="2"/>
      <c r="D639" s="2"/>
      <c r="E639" s="2"/>
      <c r="F639" s="2"/>
      <c r="G639" s="2"/>
      <c r="H639" s="2"/>
      <c r="I639" s="2"/>
      <c r="J639" s="2"/>
      <c r="K639" s="2"/>
      <c r="L639" s="2"/>
      <c r="M639" s="2"/>
      <c r="N639" s="2"/>
      <c r="O639" s="2"/>
      <c r="P639" s="2"/>
      <c r="Q639" s="2"/>
      <c r="R639" s="2"/>
      <c r="S639" s="2"/>
      <c r="T639" s="2"/>
      <c r="U639" s="2"/>
    </row>
    <row r="640">
      <c r="A640" s="2"/>
      <c r="B640" s="2"/>
      <c r="C640" s="2"/>
      <c r="D640" s="2"/>
      <c r="E640" s="2"/>
      <c r="F640" s="2"/>
      <c r="G640" s="2"/>
      <c r="H640" s="2"/>
      <c r="I640" s="2"/>
      <c r="J640" s="2"/>
      <c r="K640" s="2"/>
      <c r="L640" s="2"/>
      <c r="M640" s="2"/>
      <c r="N640" s="2"/>
      <c r="O640" s="2"/>
      <c r="P640" s="2"/>
      <c r="Q640" s="2"/>
      <c r="R640" s="2"/>
      <c r="S640" s="2"/>
      <c r="T640" s="2"/>
      <c r="U640" s="2"/>
    </row>
    <row r="641">
      <c r="A641" s="2"/>
      <c r="B641" s="2"/>
      <c r="C641" s="2"/>
      <c r="D641" s="2"/>
      <c r="E641" s="2"/>
      <c r="F641" s="2"/>
      <c r="G641" s="2"/>
      <c r="H641" s="2"/>
      <c r="I641" s="2"/>
      <c r="J641" s="2"/>
      <c r="K641" s="2"/>
      <c r="L641" s="2"/>
      <c r="M641" s="2"/>
      <c r="N641" s="2"/>
      <c r="O641" s="2"/>
      <c r="P641" s="2"/>
      <c r="Q641" s="2"/>
      <c r="R641" s="2"/>
      <c r="S641" s="2"/>
      <c r="T641" s="2"/>
      <c r="U641" s="2"/>
    </row>
    <row r="642">
      <c r="A642" s="2"/>
      <c r="B642" s="2"/>
      <c r="C642" s="2"/>
      <c r="D642" s="2"/>
      <c r="E642" s="2"/>
      <c r="F642" s="2"/>
      <c r="G642" s="2"/>
      <c r="H642" s="2"/>
      <c r="I642" s="2"/>
      <c r="J642" s="2"/>
      <c r="K642" s="2"/>
      <c r="L642" s="2"/>
      <c r="M642" s="2"/>
      <c r="N642" s="2"/>
      <c r="O642" s="2"/>
      <c r="P642" s="2"/>
      <c r="Q642" s="2"/>
      <c r="R642" s="2"/>
      <c r="S642" s="2"/>
      <c r="T642" s="2"/>
      <c r="U642" s="2"/>
    </row>
    <row r="643">
      <c r="A643" s="2"/>
      <c r="B643" s="2"/>
      <c r="C643" s="2"/>
      <c r="D643" s="2"/>
      <c r="E643" s="2"/>
      <c r="F643" s="2"/>
      <c r="G643" s="2"/>
      <c r="H643" s="2"/>
      <c r="I643" s="2"/>
      <c r="J643" s="2"/>
      <c r="K643" s="2"/>
      <c r="L643" s="2"/>
      <c r="M643" s="2"/>
      <c r="N643" s="2"/>
      <c r="O643" s="2"/>
      <c r="P643" s="2"/>
      <c r="Q643" s="2"/>
      <c r="R643" s="2"/>
      <c r="S643" s="2"/>
      <c r="T643" s="2"/>
      <c r="U643" s="2"/>
    </row>
    <row r="644">
      <c r="A644" s="2"/>
      <c r="B644" s="2"/>
      <c r="C644" s="2"/>
      <c r="D644" s="2"/>
      <c r="E644" s="2"/>
      <c r="F644" s="2"/>
      <c r="G644" s="2"/>
      <c r="H644" s="2"/>
      <c r="I644" s="2"/>
      <c r="J644" s="2"/>
      <c r="K644" s="2"/>
      <c r="L644" s="2"/>
      <c r="M644" s="2"/>
      <c r="N644" s="2"/>
      <c r="O644" s="2"/>
      <c r="P644" s="2"/>
      <c r="Q644" s="2"/>
      <c r="R644" s="2"/>
      <c r="S644" s="2"/>
      <c r="T644" s="2"/>
      <c r="U644" s="2"/>
    </row>
    <row r="645">
      <c r="A645" s="2"/>
      <c r="B645" s="2"/>
      <c r="C645" s="2"/>
      <c r="D645" s="2"/>
      <c r="E645" s="2"/>
      <c r="F645" s="2"/>
      <c r="G645" s="2"/>
      <c r="H645" s="2"/>
      <c r="I645" s="2"/>
      <c r="J645" s="2"/>
      <c r="K645" s="2"/>
      <c r="L645" s="2"/>
      <c r="M645" s="2"/>
      <c r="N645" s="2"/>
      <c r="O645" s="2"/>
      <c r="P645" s="2"/>
      <c r="Q645" s="2"/>
      <c r="R645" s="2"/>
      <c r="S645" s="2"/>
      <c r="T645" s="2"/>
      <c r="U645" s="2"/>
    </row>
    <row r="646">
      <c r="A646" s="2"/>
      <c r="B646" s="2"/>
      <c r="C646" s="2"/>
      <c r="D646" s="2"/>
      <c r="E646" s="2"/>
      <c r="F646" s="2"/>
      <c r="G646" s="2"/>
      <c r="H646" s="2"/>
      <c r="I646" s="2"/>
      <c r="J646" s="2"/>
      <c r="K646" s="2"/>
      <c r="L646" s="2"/>
      <c r="M646" s="2"/>
      <c r="N646" s="2"/>
      <c r="O646" s="2"/>
      <c r="P646" s="2"/>
      <c r="Q646" s="2"/>
      <c r="R646" s="2"/>
      <c r="S646" s="2"/>
      <c r="T646" s="2"/>
      <c r="U646" s="2"/>
    </row>
    <row r="647">
      <c r="A647" s="2"/>
      <c r="B647" s="2"/>
      <c r="C647" s="2"/>
      <c r="D647" s="2"/>
      <c r="E647" s="2"/>
      <c r="F647" s="2"/>
      <c r="G647" s="2"/>
      <c r="H647" s="2"/>
      <c r="I647" s="2"/>
      <c r="J647" s="2"/>
      <c r="K647" s="2"/>
      <c r="L647" s="2"/>
      <c r="M647" s="2"/>
      <c r="N647" s="2"/>
      <c r="O647" s="2"/>
      <c r="P647" s="2"/>
      <c r="Q647" s="2"/>
      <c r="R647" s="2"/>
      <c r="S647" s="2"/>
      <c r="T647" s="2"/>
      <c r="U647" s="2"/>
    </row>
    <row r="648">
      <c r="A648" s="2"/>
      <c r="B648" s="2"/>
      <c r="C648" s="2"/>
      <c r="D648" s="2"/>
      <c r="E648" s="2"/>
      <c r="F648" s="2"/>
      <c r="G648" s="2"/>
      <c r="H648" s="2"/>
      <c r="I648" s="2"/>
      <c r="J648" s="2"/>
      <c r="K648" s="2"/>
      <c r="L648" s="2"/>
      <c r="M648" s="2"/>
      <c r="N648" s="2"/>
      <c r="O648" s="2"/>
      <c r="P648" s="2"/>
      <c r="Q648" s="2"/>
      <c r="R648" s="2"/>
      <c r="S648" s="2"/>
      <c r="T648" s="2"/>
      <c r="U648" s="2"/>
    </row>
    <row r="649">
      <c r="A649" s="2"/>
      <c r="B649" s="2"/>
      <c r="C649" s="2"/>
      <c r="D649" s="2"/>
      <c r="E649" s="2"/>
      <c r="F649" s="2"/>
      <c r="G649" s="2"/>
      <c r="H649" s="2"/>
      <c r="I649" s="2"/>
      <c r="J649" s="2"/>
      <c r="K649" s="2"/>
      <c r="L649" s="2"/>
      <c r="M649" s="2"/>
      <c r="N649" s="2"/>
      <c r="O649" s="2"/>
      <c r="P649" s="2"/>
      <c r="Q649" s="2"/>
      <c r="R649" s="2"/>
      <c r="S649" s="2"/>
      <c r="T649" s="2"/>
      <c r="U649" s="2"/>
    </row>
    <row r="650">
      <c r="A650" s="2"/>
      <c r="B650" s="2"/>
      <c r="C650" s="2"/>
      <c r="D650" s="2"/>
      <c r="E650" s="2"/>
      <c r="F650" s="2"/>
      <c r="G650" s="2"/>
      <c r="H650" s="2"/>
      <c r="I650" s="2"/>
      <c r="J650" s="2"/>
      <c r="K650" s="2"/>
      <c r="L650" s="2"/>
      <c r="M650" s="2"/>
      <c r="N650" s="2"/>
      <c r="O650" s="2"/>
      <c r="P650" s="2"/>
      <c r="Q650" s="2"/>
      <c r="R650" s="2"/>
      <c r="S650" s="2"/>
      <c r="T650" s="2"/>
      <c r="U650" s="2"/>
    </row>
    <row r="651">
      <c r="A651" s="2"/>
      <c r="B651" s="2"/>
      <c r="C651" s="2"/>
      <c r="D651" s="2"/>
      <c r="E651" s="2"/>
      <c r="F651" s="2"/>
      <c r="G651" s="2"/>
      <c r="H651" s="2"/>
      <c r="I651" s="2"/>
      <c r="J651" s="2"/>
      <c r="K651" s="2"/>
      <c r="L651" s="2"/>
      <c r="M651" s="2"/>
      <c r="N651" s="2"/>
      <c r="O651" s="2"/>
      <c r="P651" s="2"/>
      <c r="Q651" s="2"/>
      <c r="R651" s="2"/>
      <c r="S651" s="2"/>
      <c r="T651" s="2"/>
      <c r="U651" s="2"/>
    </row>
    <row r="652">
      <c r="A652" s="2"/>
      <c r="B652" s="2"/>
      <c r="C652" s="2"/>
      <c r="D652" s="2"/>
      <c r="E652" s="2"/>
      <c r="F652" s="2"/>
      <c r="G652" s="2"/>
      <c r="H652" s="2"/>
      <c r="I652" s="2"/>
      <c r="J652" s="2"/>
      <c r="K652" s="2"/>
      <c r="L652" s="2"/>
      <c r="M652" s="2"/>
      <c r="N652" s="2"/>
      <c r="O652" s="2"/>
      <c r="P652" s="2"/>
      <c r="Q652" s="2"/>
      <c r="R652" s="2"/>
      <c r="S652" s="2"/>
      <c r="T652" s="2"/>
      <c r="U652" s="2"/>
    </row>
    <row r="653">
      <c r="A653" s="2"/>
      <c r="B653" s="2"/>
      <c r="C653" s="2"/>
      <c r="D653" s="2"/>
      <c r="E653" s="2"/>
      <c r="F653" s="2"/>
      <c r="G653" s="2"/>
      <c r="H653" s="2"/>
      <c r="I653" s="2"/>
      <c r="J653" s="2"/>
      <c r="K653" s="2"/>
      <c r="L653" s="2"/>
      <c r="M653" s="2"/>
      <c r="N653" s="2"/>
      <c r="O653" s="2"/>
      <c r="P653" s="2"/>
      <c r="Q653" s="2"/>
      <c r="R653" s="2"/>
      <c r="S653" s="2"/>
      <c r="T653" s="2"/>
      <c r="U653" s="2"/>
    </row>
    <row r="654">
      <c r="A654" s="2"/>
      <c r="B654" s="2"/>
      <c r="C654" s="2"/>
      <c r="D654" s="2"/>
      <c r="E654" s="2"/>
      <c r="F654" s="2"/>
      <c r="G654" s="2"/>
      <c r="H654" s="2"/>
      <c r="I654" s="2"/>
      <c r="J654" s="2"/>
      <c r="K654" s="2"/>
      <c r="L654" s="2"/>
      <c r="M654" s="2"/>
      <c r="N654" s="2"/>
      <c r="O654" s="2"/>
      <c r="P654" s="2"/>
      <c r="Q654" s="2"/>
      <c r="R654" s="2"/>
      <c r="S654" s="2"/>
      <c r="T654" s="2"/>
      <c r="U654" s="2"/>
    </row>
    <row r="655">
      <c r="A655" s="2"/>
      <c r="B655" s="2"/>
      <c r="C655" s="2"/>
      <c r="D655" s="2"/>
      <c r="E655" s="2"/>
      <c r="F655" s="2"/>
      <c r="G655" s="2"/>
      <c r="H655" s="2"/>
      <c r="I655" s="2"/>
      <c r="J655" s="2"/>
      <c r="K655" s="2"/>
      <c r="L655" s="2"/>
      <c r="M655" s="2"/>
      <c r="N655" s="2"/>
      <c r="O655" s="2"/>
      <c r="P655" s="2"/>
      <c r="Q655" s="2"/>
      <c r="R655" s="2"/>
      <c r="S655" s="2"/>
      <c r="T655" s="2"/>
      <c r="U655" s="2"/>
    </row>
    <row r="656">
      <c r="A656" s="2"/>
      <c r="B656" s="2"/>
      <c r="C656" s="2"/>
      <c r="D656" s="2"/>
      <c r="E656" s="2"/>
      <c r="F656" s="2"/>
      <c r="G656" s="2"/>
      <c r="H656" s="2"/>
      <c r="I656" s="2"/>
      <c r="J656" s="2"/>
      <c r="K656" s="2"/>
      <c r="L656" s="2"/>
      <c r="M656" s="2"/>
      <c r="N656" s="2"/>
      <c r="O656" s="2"/>
      <c r="P656" s="2"/>
      <c r="Q656" s="2"/>
      <c r="R656" s="2"/>
      <c r="S656" s="2"/>
      <c r="T656" s="2"/>
      <c r="U656" s="2"/>
    </row>
    <row r="657">
      <c r="A657" s="2"/>
      <c r="B657" s="2"/>
      <c r="C657" s="2"/>
      <c r="D657" s="2"/>
      <c r="E657" s="2"/>
      <c r="F657" s="2"/>
      <c r="G657" s="2"/>
      <c r="H657" s="2"/>
      <c r="I657" s="2"/>
      <c r="J657" s="2"/>
      <c r="K657" s="2"/>
      <c r="L657" s="2"/>
      <c r="M657" s="2"/>
      <c r="N657" s="2"/>
      <c r="O657" s="2"/>
      <c r="P657" s="2"/>
      <c r="Q657" s="2"/>
      <c r="R657" s="2"/>
      <c r="S657" s="2"/>
      <c r="T657" s="2"/>
      <c r="U657" s="2"/>
    </row>
    <row r="658">
      <c r="A658" s="2"/>
      <c r="B658" s="2"/>
      <c r="C658" s="2"/>
      <c r="D658" s="2"/>
      <c r="E658" s="2"/>
      <c r="F658" s="2"/>
      <c r="G658" s="2"/>
      <c r="H658" s="2"/>
      <c r="I658" s="2"/>
      <c r="J658" s="2"/>
      <c r="K658" s="2"/>
      <c r="L658" s="2"/>
      <c r="M658" s="2"/>
      <c r="N658" s="2"/>
      <c r="O658" s="2"/>
      <c r="P658" s="2"/>
      <c r="Q658" s="2"/>
      <c r="R658" s="2"/>
      <c r="S658" s="2"/>
      <c r="T658" s="2"/>
      <c r="U658" s="2"/>
    </row>
    <row r="659">
      <c r="A659" s="2"/>
      <c r="B659" s="2"/>
      <c r="C659" s="2"/>
      <c r="D659" s="2"/>
      <c r="E659" s="2"/>
      <c r="F659" s="2"/>
      <c r="G659" s="2"/>
      <c r="H659" s="2"/>
      <c r="I659" s="2"/>
      <c r="J659" s="2"/>
      <c r="K659" s="2"/>
      <c r="L659" s="2"/>
      <c r="M659" s="2"/>
      <c r="N659" s="2"/>
      <c r="O659" s="2"/>
      <c r="P659" s="2"/>
      <c r="Q659" s="2"/>
      <c r="R659" s="2"/>
      <c r="S659" s="2"/>
      <c r="T659" s="2"/>
      <c r="U659" s="2"/>
    </row>
    <row r="660">
      <c r="A660" s="2"/>
      <c r="B660" s="2"/>
      <c r="C660" s="2"/>
      <c r="D660" s="2"/>
      <c r="E660" s="2"/>
      <c r="F660" s="2"/>
      <c r="G660" s="2"/>
      <c r="H660" s="2"/>
      <c r="I660" s="2"/>
      <c r="J660" s="2"/>
      <c r="K660" s="2"/>
      <c r="L660" s="2"/>
      <c r="M660" s="2"/>
      <c r="N660" s="2"/>
      <c r="O660" s="2"/>
      <c r="P660" s="2"/>
      <c r="Q660" s="2"/>
      <c r="R660" s="2"/>
      <c r="S660" s="2"/>
      <c r="T660" s="2"/>
      <c r="U660" s="2"/>
    </row>
    <row r="661">
      <c r="A661" s="2"/>
      <c r="B661" s="2"/>
      <c r="C661" s="2"/>
      <c r="D661" s="2"/>
      <c r="E661" s="2"/>
      <c r="F661" s="2"/>
      <c r="G661" s="2"/>
      <c r="H661" s="2"/>
      <c r="I661" s="2"/>
      <c r="J661" s="2"/>
      <c r="K661" s="2"/>
      <c r="L661" s="2"/>
      <c r="M661" s="2"/>
      <c r="N661" s="2"/>
      <c r="O661" s="2"/>
      <c r="P661" s="2"/>
      <c r="Q661" s="2"/>
      <c r="R661" s="2"/>
      <c r="S661" s="2"/>
      <c r="T661" s="2"/>
      <c r="U661" s="2"/>
    </row>
    <row r="662">
      <c r="A662" s="2"/>
      <c r="B662" s="2"/>
      <c r="C662" s="2"/>
      <c r="D662" s="2"/>
      <c r="E662" s="2"/>
      <c r="F662" s="2"/>
      <c r="G662" s="2"/>
      <c r="H662" s="2"/>
      <c r="I662" s="2"/>
      <c r="J662" s="2"/>
      <c r="K662" s="2"/>
      <c r="L662" s="2"/>
      <c r="M662" s="2"/>
      <c r="N662" s="2"/>
      <c r="O662" s="2"/>
      <c r="P662" s="2"/>
      <c r="Q662" s="2"/>
      <c r="R662" s="2"/>
      <c r="S662" s="2"/>
      <c r="T662" s="2"/>
      <c r="U662" s="2"/>
    </row>
    <row r="663">
      <c r="A663" s="2"/>
      <c r="B663" s="2"/>
      <c r="C663" s="2"/>
      <c r="D663" s="2"/>
      <c r="E663" s="2"/>
      <c r="F663" s="2"/>
      <c r="G663" s="2"/>
      <c r="H663" s="2"/>
      <c r="I663" s="2"/>
      <c r="J663" s="2"/>
      <c r="K663" s="2"/>
      <c r="L663" s="2"/>
      <c r="M663" s="2"/>
      <c r="N663" s="2"/>
      <c r="O663" s="2"/>
      <c r="P663" s="2"/>
      <c r="Q663" s="2"/>
      <c r="R663" s="2"/>
      <c r="S663" s="2"/>
      <c r="T663" s="2"/>
      <c r="U663" s="2"/>
    </row>
    <row r="664">
      <c r="A664" s="2"/>
      <c r="B664" s="2"/>
      <c r="C664" s="2"/>
      <c r="D664" s="2"/>
      <c r="E664" s="2"/>
      <c r="F664" s="2"/>
      <c r="G664" s="2"/>
      <c r="H664" s="2"/>
      <c r="I664" s="2"/>
      <c r="J664" s="2"/>
      <c r="K664" s="2"/>
      <c r="L664" s="2"/>
      <c r="M664" s="2"/>
      <c r="N664" s="2"/>
      <c r="O664" s="2"/>
      <c r="P664" s="2"/>
      <c r="Q664" s="2"/>
      <c r="R664" s="2"/>
      <c r="S664" s="2"/>
      <c r="T664" s="2"/>
      <c r="U664" s="2"/>
    </row>
    <row r="665">
      <c r="A665" s="2"/>
      <c r="B665" s="2"/>
      <c r="C665" s="2"/>
      <c r="D665" s="2"/>
      <c r="E665" s="2"/>
      <c r="F665" s="2"/>
      <c r="G665" s="2"/>
      <c r="H665" s="2"/>
      <c r="I665" s="2"/>
      <c r="J665" s="2"/>
      <c r="K665" s="2"/>
      <c r="L665" s="2"/>
      <c r="M665" s="2"/>
      <c r="N665" s="2"/>
      <c r="O665" s="2"/>
      <c r="P665" s="2"/>
      <c r="Q665" s="2"/>
      <c r="R665" s="2"/>
      <c r="S665" s="2"/>
      <c r="T665" s="2"/>
      <c r="U665" s="2"/>
    </row>
    <row r="666">
      <c r="A666" s="2"/>
      <c r="B666" s="2"/>
      <c r="C666" s="2"/>
      <c r="D666" s="2"/>
      <c r="E666" s="2"/>
      <c r="F666" s="2"/>
      <c r="G666" s="2"/>
      <c r="H666" s="2"/>
      <c r="I666" s="2"/>
      <c r="J666" s="2"/>
      <c r="K666" s="2"/>
      <c r="L666" s="2"/>
      <c r="M666" s="2"/>
      <c r="N666" s="2"/>
      <c r="O666" s="2"/>
      <c r="P666" s="2"/>
      <c r="Q666" s="2"/>
      <c r="R666" s="2"/>
      <c r="S666" s="2"/>
      <c r="T666" s="2"/>
      <c r="U666" s="2"/>
    </row>
    <row r="667">
      <c r="A667" s="2"/>
      <c r="B667" s="2"/>
      <c r="C667" s="2"/>
      <c r="D667" s="2"/>
      <c r="E667" s="2"/>
      <c r="F667" s="2"/>
      <c r="G667" s="2"/>
      <c r="H667" s="2"/>
      <c r="I667" s="2"/>
      <c r="J667" s="2"/>
      <c r="K667" s="2"/>
      <c r="L667" s="2"/>
      <c r="M667" s="2"/>
      <c r="N667" s="2"/>
      <c r="O667" s="2"/>
      <c r="P667" s="2"/>
      <c r="Q667" s="2"/>
      <c r="R667" s="2"/>
      <c r="S667" s="2"/>
      <c r="T667" s="2"/>
      <c r="U667" s="2"/>
    </row>
    <row r="668">
      <c r="A668" s="2"/>
      <c r="B668" s="2"/>
      <c r="C668" s="2"/>
      <c r="D668" s="2"/>
      <c r="E668" s="2"/>
      <c r="F668" s="2"/>
      <c r="G668" s="2"/>
      <c r="H668" s="2"/>
      <c r="I668" s="2"/>
      <c r="J668" s="2"/>
      <c r="K668" s="2"/>
      <c r="L668" s="2"/>
      <c r="M668" s="2"/>
      <c r="N668" s="2"/>
      <c r="O668" s="2"/>
      <c r="P668" s="2"/>
      <c r="Q668" s="2"/>
      <c r="R668" s="2"/>
      <c r="S668" s="2"/>
      <c r="T668" s="2"/>
      <c r="U668" s="2"/>
    </row>
    <row r="669">
      <c r="A669" s="2"/>
      <c r="B669" s="2"/>
      <c r="C669" s="2"/>
      <c r="D669" s="2"/>
      <c r="E669" s="2"/>
      <c r="F669" s="2"/>
      <c r="G669" s="2"/>
      <c r="H669" s="2"/>
      <c r="I669" s="2"/>
      <c r="J669" s="2"/>
      <c r="K669" s="2"/>
      <c r="L669" s="2"/>
      <c r="M669" s="2"/>
      <c r="N669" s="2"/>
      <c r="O669" s="2"/>
      <c r="P669" s="2"/>
      <c r="Q669" s="2"/>
      <c r="R669" s="2"/>
      <c r="S669" s="2"/>
      <c r="T669" s="2"/>
      <c r="U669" s="2"/>
    </row>
    <row r="670">
      <c r="A670" s="2"/>
      <c r="B670" s="2"/>
      <c r="C670" s="2"/>
      <c r="D670" s="2"/>
      <c r="E670" s="2"/>
      <c r="F670" s="2"/>
      <c r="G670" s="2"/>
      <c r="H670" s="2"/>
      <c r="I670" s="2"/>
      <c r="J670" s="2"/>
      <c r="K670" s="2"/>
      <c r="L670" s="2"/>
      <c r="M670" s="2"/>
      <c r="N670" s="2"/>
      <c r="O670" s="2"/>
      <c r="P670" s="2"/>
      <c r="Q670" s="2"/>
      <c r="R670" s="2"/>
      <c r="S670" s="2"/>
      <c r="T670" s="2"/>
      <c r="U670" s="2"/>
    </row>
    <row r="671">
      <c r="A671" s="2"/>
      <c r="B671" s="2"/>
      <c r="C671" s="2"/>
      <c r="D671" s="2"/>
      <c r="E671" s="2"/>
      <c r="F671" s="2"/>
      <c r="G671" s="2"/>
      <c r="H671" s="2"/>
      <c r="I671" s="2"/>
      <c r="J671" s="2"/>
      <c r="K671" s="2"/>
      <c r="L671" s="2"/>
      <c r="M671" s="2"/>
      <c r="N671" s="2"/>
      <c r="O671" s="2"/>
      <c r="P671" s="2"/>
      <c r="Q671" s="2"/>
      <c r="R671" s="2"/>
      <c r="S671" s="2"/>
      <c r="T671" s="2"/>
      <c r="U671" s="2"/>
    </row>
    <row r="672">
      <c r="A672" s="2"/>
      <c r="B672" s="2"/>
      <c r="C672" s="2"/>
      <c r="D672" s="2"/>
      <c r="E672" s="2"/>
      <c r="F672" s="2"/>
      <c r="G672" s="2"/>
      <c r="H672" s="2"/>
      <c r="I672" s="2"/>
      <c r="J672" s="2"/>
      <c r="K672" s="2"/>
      <c r="L672" s="2"/>
      <c r="M672" s="2"/>
      <c r="N672" s="2"/>
      <c r="O672" s="2"/>
      <c r="P672" s="2"/>
      <c r="Q672" s="2"/>
      <c r="R672" s="2"/>
      <c r="S672" s="2"/>
      <c r="T672" s="2"/>
      <c r="U672" s="2"/>
    </row>
    <row r="673">
      <c r="A673" s="2"/>
      <c r="B673" s="2"/>
      <c r="C673" s="2"/>
      <c r="D673" s="2"/>
      <c r="E673" s="2"/>
      <c r="F673" s="2"/>
      <c r="G673" s="2"/>
      <c r="H673" s="2"/>
      <c r="I673" s="2"/>
      <c r="J673" s="2"/>
      <c r="K673" s="2"/>
      <c r="L673" s="2"/>
      <c r="M673" s="2"/>
      <c r="N673" s="2"/>
      <c r="O673" s="2"/>
      <c r="P673" s="2"/>
      <c r="Q673" s="2"/>
      <c r="R673" s="2"/>
      <c r="S673" s="2"/>
      <c r="T673" s="2"/>
      <c r="U673" s="2"/>
    </row>
    <row r="674">
      <c r="A674" s="2"/>
      <c r="B674" s="2"/>
      <c r="C674" s="2"/>
      <c r="D674" s="2"/>
      <c r="E674" s="2"/>
      <c r="F674" s="2"/>
      <c r="G674" s="2"/>
      <c r="H674" s="2"/>
      <c r="I674" s="2"/>
      <c r="J674" s="2"/>
      <c r="K674" s="2"/>
      <c r="L674" s="2"/>
      <c r="M674" s="2"/>
      <c r="N674" s="2"/>
      <c r="O674" s="2"/>
      <c r="P674" s="2"/>
      <c r="Q674" s="2"/>
      <c r="R674" s="2"/>
      <c r="S674" s="2"/>
      <c r="T674" s="2"/>
      <c r="U674" s="2"/>
    </row>
    <row r="675">
      <c r="A675" s="2"/>
      <c r="B675" s="2"/>
      <c r="C675" s="2"/>
      <c r="D675" s="2"/>
      <c r="E675" s="2"/>
      <c r="F675" s="2"/>
      <c r="G675" s="2"/>
      <c r="H675" s="2"/>
      <c r="I675" s="2"/>
      <c r="J675" s="2"/>
      <c r="K675" s="2"/>
      <c r="L675" s="2"/>
      <c r="M675" s="2"/>
      <c r="N675" s="2"/>
      <c r="O675" s="2"/>
      <c r="P675" s="2"/>
      <c r="Q675" s="2"/>
      <c r="R675" s="2"/>
      <c r="S675" s="2"/>
      <c r="T675" s="2"/>
      <c r="U675" s="2"/>
    </row>
    <row r="676">
      <c r="A676" s="2"/>
      <c r="B676" s="2"/>
      <c r="C676" s="2"/>
      <c r="D676" s="2"/>
      <c r="E676" s="2"/>
      <c r="F676" s="2"/>
      <c r="G676" s="2"/>
      <c r="H676" s="2"/>
      <c r="I676" s="2"/>
      <c r="J676" s="2"/>
      <c r="K676" s="2"/>
      <c r="L676" s="2"/>
      <c r="M676" s="2"/>
      <c r="N676" s="2"/>
      <c r="O676" s="2"/>
      <c r="P676" s="2"/>
      <c r="Q676" s="2"/>
      <c r="R676" s="2"/>
      <c r="S676" s="2"/>
      <c r="T676" s="2"/>
      <c r="U676" s="2"/>
    </row>
    <row r="677">
      <c r="A677" s="2"/>
      <c r="B677" s="2"/>
      <c r="C677" s="2"/>
      <c r="D677" s="2"/>
      <c r="E677" s="2"/>
      <c r="F677" s="2"/>
      <c r="G677" s="2"/>
      <c r="H677" s="2"/>
      <c r="I677" s="2"/>
      <c r="J677" s="2"/>
      <c r="K677" s="2"/>
      <c r="L677" s="2"/>
      <c r="M677" s="2"/>
      <c r="N677" s="2"/>
      <c r="O677" s="2"/>
      <c r="P677" s="2"/>
      <c r="Q677" s="2"/>
      <c r="R677" s="2"/>
      <c r="S677" s="2"/>
      <c r="T677" s="2"/>
      <c r="U677" s="2"/>
    </row>
    <row r="678">
      <c r="A678" s="2"/>
      <c r="B678" s="2"/>
      <c r="C678" s="2"/>
      <c r="D678" s="2"/>
      <c r="E678" s="2"/>
      <c r="F678" s="2"/>
      <c r="G678" s="2"/>
      <c r="H678" s="2"/>
      <c r="I678" s="2"/>
      <c r="J678" s="2"/>
      <c r="K678" s="2"/>
      <c r="L678" s="2"/>
      <c r="M678" s="2"/>
      <c r="N678" s="2"/>
      <c r="O678" s="2"/>
      <c r="P678" s="2"/>
      <c r="Q678" s="2"/>
      <c r="R678" s="2"/>
      <c r="S678" s="2"/>
      <c r="T678" s="2"/>
      <c r="U678" s="2"/>
    </row>
    <row r="679">
      <c r="A679" s="2"/>
      <c r="B679" s="2"/>
      <c r="C679" s="2"/>
      <c r="D679" s="2"/>
      <c r="E679" s="2"/>
      <c r="F679" s="2"/>
      <c r="G679" s="2"/>
      <c r="H679" s="2"/>
      <c r="I679" s="2"/>
      <c r="J679" s="2"/>
      <c r="K679" s="2"/>
      <c r="L679" s="2"/>
      <c r="M679" s="2"/>
      <c r="N679" s="2"/>
      <c r="O679" s="2"/>
      <c r="P679" s="2"/>
      <c r="Q679" s="2"/>
      <c r="R679" s="2"/>
      <c r="S679" s="2"/>
      <c r="T679" s="2"/>
      <c r="U679" s="2"/>
    </row>
    <row r="680">
      <c r="A680" s="2"/>
      <c r="B680" s="2"/>
      <c r="C680" s="2"/>
      <c r="D680" s="2"/>
      <c r="E680" s="2"/>
      <c r="F680" s="2"/>
      <c r="G680" s="2"/>
      <c r="H680" s="2"/>
      <c r="I680" s="2"/>
      <c r="J680" s="2"/>
      <c r="K680" s="2"/>
      <c r="L680" s="2"/>
      <c r="M680" s="2"/>
      <c r="N680" s="2"/>
      <c r="O680" s="2"/>
      <c r="P680" s="2"/>
      <c r="Q680" s="2"/>
      <c r="R680" s="2"/>
      <c r="S680" s="2"/>
      <c r="T680" s="2"/>
      <c r="U680" s="2"/>
    </row>
    <row r="681">
      <c r="A681" s="2"/>
      <c r="B681" s="2"/>
      <c r="C681" s="2"/>
      <c r="D681" s="2"/>
      <c r="E681" s="2"/>
      <c r="F681" s="2"/>
      <c r="G681" s="2"/>
      <c r="H681" s="2"/>
      <c r="I681" s="2"/>
      <c r="J681" s="2"/>
      <c r="K681" s="2"/>
      <c r="L681" s="2"/>
      <c r="M681" s="2"/>
      <c r="N681" s="2"/>
      <c r="O681" s="2"/>
      <c r="P681" s="2"/>
      <c r="Q681" s="2"/>
      <c r="R681" s="2"/>
      <c r="S681" s="2"/>
      <c r="T681" s="2"/>
      <c r="U681" s="2"/>
    </row>
    <row r="682">
      <c r="A682" s="2"/>
      <c r="B682" s="2"/>
      <c r="C682" s="2"/>
      <c r="D682" s="2"/>
      <c r="E682" s="2"/>
      <c r="F682" s="2"/>
      <c r="G682" s="2"/>
      <c r="H682" s="2"/>
      <c r="I682" s="2"/>
      <c r="J682" s="2"/>
      <c r="K682" s="2"/>
      <c r="L682" s="2"/>
      <c r="M682" s="2"/>
      <c r="N682" s="2"/>
      <c r="O682" s="2"/>
      <c r="P682" s="2"/>
      <c r="Q682" s="2"/>
      <c r="R682" s="2"/>
      <c r="S682" s="2"/>
      <c r="T682" s="2"/>
      <c r="U682" s="2"/>
    </row>
    <row r="683">
      <c r="A683" s="2"/>
      <c r="B683" s="2"/>
      <c r="C683" s="2"/>
      <c r="D683" s="2"/>
      <c r="E683" s="2"/>
      <c r="F683" s="2"/>
      <c r="G683" s="2"/>
      <c r="H683" s="2"/>
      <c r="I683" s="2"/>
      <c r="J683" s="2"/>
      <c r="K683" s="2"/>
      <c r="L683" s="2"/>
      <c r="M683" s="2"/>
      <c r="N683" s="2"/>
      <c r="O683" s="2"/>
      <c r="P683" s="2"/>
      <c r="Q683" s="2"/>
      <c r="R683" s="2"/>
      <c r="S683" s="2"/>
      <c r="T683" s="2"/>
      <c r="U683" s="2"/>
    </row>
    <row r="684">
      <c r="A684" s="2"/>
      <c r="B684" s="2"/>
      <c r="C684" s="2"/>
      <c r="D684" s="2"/>
      <c r="E684" s="2"/>
      <c r="F684" s="2"/>
      <c r="G684" s="2"/>
      <c r="H684" s="2"/>
      <c r="I684" s="2"/>
      <c r="J684" s="2"/>
      <c r="K684" s="2"/>
      <c r="L684" s="2"/>
      <c r="M684" s="2"/>
      <c r="N684" s="2"/>
      <c r="O684" s="2"/>
      <c r="P684" s="2"/>
      <c r="Q684" s="2"/>
      <c r="R684" s="2"/>
      <c r="S684" s="2"/>
      <c r="T684" s="2"/>
      <c r="U684" s="2"/>
    </row>
    <row r="685">
      <c r="A685" s="2"/>
      <c r="B685" s="2"/>
      <c r="C685" s="2"/>
      <c r="D685" s="2"/>
      <c r="E685" s="2"/>
      <c r="F685" s="2"/>
      <c r="G685" s="2"/>
      <c r="H685" s="2"/>
      <c r="I685" s="2"/>
      <c r="J685" s="2"/>
      <c r="K685" s="2"/>
      <c r="L685" s="2"/>
      <c r="M685" s="2"/>
      <c r="N685" s="2"/>
      <c r="O685" s="2"/>
      <c r="P685" s="2"/>
      <c r="Q685" s="2"/>
      <c r="R685" s="2"/>
      <c r="S685" s="2"/>
      <c r="T685" s="2"/>
      <c r="U685" s="2"/>
    </row>
    <row r="686">
      <c r="A686" s="2"/>
      <c r="B686" s="2"/>
      <c r="C686" s="2"/>
      <c r="D686" s="2"/>
      <c r="E686" s="2"/>
      <c r="F686" s="2"/>
      <c r="G686" s="2"/>
      <c r="H686" s="2"/>
      <c r="I686" s="2"/>
      <c r="J686" s="2"/>
      <c r="K686" s="2"/>
      <c r="L686" s="2"/>
      <c r="M686" s="2"/>
      <c r="N686" s="2"/>
      <c r="O686" s="2"/>
      <c r="P686" s="2"/>
      <c r="Q686" s="2"/>
      <c r="R686" s="2"/>
      <c r="S686" s="2"/>
      <c r="T686" s="2"/>
      <c r="U686" s="2"/>
    </row>
    <row r="687">
      <c r="A687" s="2"/>
      <c r="B687" s="2"/>
      <c r="C687" s="2"/>
      <c r="D687" s="2"/>
      <c r="E687" s="2"/>
      <c r="F687" s="2"/>
      <c r="G687" s="2"/>
      <c r="H687" s="2"/>
      <c r="I687" s="2"/>
      <c r="J687" s="2"/>
      <c r="K687" s="2"/>
      <c r="L687" s="2"/>
      <c r="M687" s="2"/>
      <c r="N687" s="2"/>
      <c r="O687" s="2"/>
      <c r="P687" s="2"/>
      <c r="Q687" s="2"/>
      <c r="R687" s="2"/>
      <c r="S687" s="2"/>
      <c r="T687" s="2"/>
      <c r="U687" s="2"/>
    </row>
    <row r="688">
      <c r="A688" s="2"/>
      <c r="B688" s="2"/>
      <c r="C688" s="2"/>
      <c r="D688" s="2"/>
      <c r="E688" s="2"/>
      <c r="F688" s="2"/>
      <c r="G688" s="2"/>
      <c r="H688" s="2"/>
      <c r="I688" s="2"/>
      <c r="J688" s="2"/>
      <c r="K688" s="2"/>
      <c r="L688" s="2"/>
      <c r="M688" s="2"/>
      <c r="N688" s="2"/>
      <c r="O688" s="2"/>
      <c r="P688" s="2"/>
      <c r="Q688" s="2"/>
      <c r="R688" s="2"/>
      <c r="S688" s="2"/>
      <c r="T688" s="2"/>
      <c r="U688" s="2"/>
    </row>
    <row r="689">
      <c r="A689" s="2"/>
      <c r="B689" s="2"/>
      <c r="C689" s="2"/>
      <c r="D689" s="2"/>
      <c r="E689" s="2"/>
      <c r="F689" s="2"/>
      <c r="G689" s="2"/>
      <c r="H689" s="2"/>
      <c r="I689" s="2"/>
      <c r="J689" s="2"/>
      <c r="K689" s="2"/>
      <c r="L689" s="2"/>
      <c r="M689" s="2"/>
      <c r="N689" s="2"/>
      <c r="O689" s="2"/>
      <c r="P689" s="2"/>
      <c r="Q689" s="2"/>
      <c r="R689" s="2"/>
      <c r="S689" s="2"/>
      <c r="T689" s="2"/>
      <c r="U689" s="2"/>
    </row>
    <row r="690">
      <c r="A690" s="2"/>
      <c r="B690" s="2"/>
      <c r="C690" s="2"/>
      <c r="D690" s="2"/>
      <c r="E690" s="2"/>
      <c r="F690" s="2"/>
      <c r="G690" s="2"/>
      <c r="H690" s="2"/>
      <c r="I690" s="2"/>
      <c r="J690" s="2"/>
      <c r="K690" s="2"/>
      <c r="L690" s="2"/>
      <c r="M690" s="2"/>
      <c r="N690" s="2"/>
      <c r="O690" s="2"/>
      <c r="P690" s="2"/>
      <c r="Q690" s="2"/>
      <c r="R690" s="2"/>
      <c r="S690" s="2"/>
      <c r="T690" s="2"/>
      <c r="U690" s="2"/>
    </row>
    <row r="691">
      <c r="A691" s="2"/>
      <c r="B691" s="2"/>
      <c r="C691" s="2"/>
      <c r="D691" s="2"/>
      <c r="E691" s="2"/>
      <c r="F691" s="2"/>
      <c r="G691" s="2"/>
      <c r="H691" s="2"/>
      <c r="I691" s="2"/>
      <c r="J691" s="2"/>
      <c r="K691" s="2"/>
      <c r="L691" s="2"/>
      <c r="M691" s="2"/>
      <c r="N691" s="2"/>
      <c r="O691" s="2"/>
      <c r="P691" s="2"/>
      <c r="Q691" s="2"/>
      <c r="R691" s="2"/>
      <c r="S691" s="2"/>
      <c r="T691" s="2"/>
      <c r="U691" s="2"/>
    </row>
    <row r="692">
      <c r="A692" s="2"/>
      <c r="B692" s="2"/>
      <c r="C692" s="2"/>
      <c r="D692" s="2"/>
      <c r="E692" s="2"/>
      <c r="F692" s="2"/>
      <c r="G692" s="2"/>
      <c r="H692" s="2"/>
      <c r="I692" s="2"/>
      <c r="J692" s="2"/>
      <c r="K692" s="2"/>
      <c r="L692" s="2"/>
      <c r="M692" s="2"/>
      <c r="N692" s="2"/>
      <c r="O692" s="2"/>
      <c r="P692" s="2"/>
      <c r="Q692" s="2"/>
      <c r="R692" s="2"/>
      <c r="S692" s="2"/>
      <c r="T692" s="2"/>
      <c r="U692" s="2"/>
    </row>
    <row r="693">
      <c r="A693" s="2"/>
      <c r="B693" s="2"/>
      <c r="C693" s="2"/>
      <c r="D693" s="2"/>
      <c r="E693" s="2"/>
      <c r="F693" s="2"/>
      <c r="G693" s="2"/>
      <c r="H693" s="2"/>
      <c r="I693" s="2"/>
      <c r="J693" s="2"/>
      <c r="K693" s="2"/>
      <c r="L693" s="2"/>
      <c r="M693" s="2"/>
      <c r="N693" s="2"/>
      <c r="O693" s="2"/>
      <c r="P693" s="2"/>
      <c r="Q693" s="2"/>
      <c r="R693" s="2"/>
      <c r="S693" s="2"/>
      <c r="T693" s="2"/>
      <c r="U693" s="2"/>
    </row>
    <row r="694">
      <c r="A694" s="2"/>
      <c r="B694" s="2"/>
      <c r="C694" s="2"/>
      <c r="D694" s="2"/>
      <c r="E694" s="2"/>
      <c r="F694" s="2"/>
      <c r="G694" s="2"/>
      <c r="H694" s="2"/>
      <c r="I694" s="2"/>
      <c r="J694" s="2"/>
      <c r="K694" s="2"/>
      <c r="L694" s="2"/>
      <c r="M694" s="2"/>
      <c r="N694" s="2"/>
      <c r="O694" s="2"/>
      <c r="P694" s="2"/>
      <c r="Q694" s="2"/>
      <c r="R694" s="2"/>
      <c r="S694" s="2"/>
      <c r="T694" s="2"/>
      <c r="U694" s="2"/>
    </row>
    <row r="695">
      <c r="A695" s="2"/>
      <c r="B695" s="2"/>
      <c r="C695" s="2"/>
      <c r="D695" s="2"/>
      <c r="E695" s="2"/>
      <c r="F695" s="2"/>
      <c r="G695" s="2"/>
      <c r="H695" s="2"/>
      <c r="I695" s="2"/>
      <c r="J695" s="2"/>
      <c r="K695" s="2"/>
      <c r="L695" s="2"/>
      <c r="M695" s="2"/>
      <c r="N695" s="2"/>
      <c r="O695" s="2"/>
      <c r="P695" s="2"/>
      <c r="Q695" s="2"/>
      <c r="R695" s="2"/>
      <c r="S695" s="2"/>
      <c r="T695" s="2"/>
      <c r="U695" s="2"/>
    </row>
    <row r="696">
      <c r="A696" s="2"/>
      <c r="B696" s="2"/>
      <c r="C696" s="2"/>
      <c r="D696" s="2"/>
      <c r="E696" s="2"/>
      <c r="F696" s="2"/>
      <c r="G696" s="2"/>
      <c r="H696" s="2"/>
      <c r="I696" s="2"/>
      <c r="J696" s="2"/>
      <c r="K696" s="2"/>
      <c r="L696" s="2"/>
      <c r="M696" s="2"/>
      <c r="N696" s="2"/>
      <c r="O696" s="2"/>
      <c r="P696" s="2"/>
      <c r="Q696" s="2"/>
      <c r="R696" s="2"/>
      <c r="S696" s="2"/>
      <c r="T696" s="2"/>
      <c r="U696" s="2"/>
    </row>
    <row r="697">
      <c r="A697" s="2"/>
      <c r="B697" s="2"/>
      <c r="C697" s="2"/>
      <c r="D697" s="2"/>
      <c r="E697" s="2"/>
      <c r="F697" s="2"/>
      <c r="G697" s="2"/>
      <c r="H697" s="2"/>
      <c r="I697" s="2"/>
      <c r="J697" s="2"/>
      <c r="K697" s="2"/>
      <c r="L697" s="2"/>
      <c r="M697" s="2"/>
      <c r="N697" s="2"/>
      <c r="O697" s="2"/>
      <c r="P697" s="2"/>
      <c r="Q697" s="2"/>
      <c r="R697" s="2"/>
      <c r="S697" s="2"/>
      <c r="T697" s="2"/>
      <c r="U697" s="2"/>
    </row>
    <row r="698">
      <c r="A698" s="2"/>
      <c r="B698" s="2"/>
      <c r="C698" s="2"/>
      <c r="D698" s="2"/>
      <c r="E698" s="2"/>
      <c r="F698" s="2"/>
      <c r="G698" s="2"/>
      <c r="H698" s="2"/>
      <c r="I698" s="2"/>
      <c r="J698" s="2"/>
      <c r="K698" s="2"/>
      <c r="L698" s="2"/>
      <c r="M698" s="2"/>
      <c r="N698" s="2"/>
      <c r="O698" s="2"/>
      <c r="P698" s="2"/>
      <c r="Q698" s="2"/>
      <c r="R698" s="2"/>
      <c r="S698" s="2"/>
      <c r="T698" s="2"/>
      <c r="U698" s="2"/>
    </row>
    <row r="699">
      <c r="A699" s="2"/>
      <c r="B699" s="2"/>
      <c r="C699" s="2"/>
      <c r="D699" s="2"/>
      <c r="E699" s="2"/>
      <c r="F699" s="2"/>
      <c r="G699" s="2"/>
      <c r="H699" s="2"/>
      <c r="I699" s="2"/>
      <c r="J699" s="2"/>
      <c r="K699" s="2"/>
      <c r="L699" s="2"/>
      <c r="M699" s="2"/>
      <c r="N699" s="2"/>
      <c r="O699" s="2"/>
      <c r="P699" s="2"/>
      <c r="Q699" s="2"/>
      <c r="R699" s="2"/>
      <c r="S699" s="2"/>
      <c r="T699" s="2"/>
      <c r="U699" s="2"/>
    </row>
    <row r="700">
      <c r="A700" s="2"/>
      <c r="B700" s="2"/>
      <c r="C700" s="2"/>
      <c r="D700" s="2"/>
      <c r="E700" s="2"/>
      <c r="F700" s="2"/>
      <c r="G700" s="2"/>
      <c r="H700" s="2"/>
      <c r="I700" s="2"/>
      <c r="J700" s="2"/>
      <c r="K700" s="2"/>
      <c r="L700" s="2"/>
      <c r="M700" s="2"/>
      <c r="N700" s="2"/>
      <c r="O700" s="2"/>
      <c r="P700" s="2"/>
      <c r="Q700" s="2"/>
      <c r="R700" s="2"/>
      <c r="S700" s="2"/>
      <c r="T700" s="2"/>
      <c r="U700" s="2"/>
    </row>
    <row r="701">
      <c r="A701" s="2"/>
      <c r="B701" s="2"/>
      <c r="C701" s="2"/>
      <c r="D701" s="2"/>
      <c r="E701" s="2"/>
      <c r="F701" s="2"/>
      <c r="G701" s="2"/>
      <c r="H701" s="2"/>
      <c r="I701" s="2"/>
      <c r="J701" s="2"/>
      <c r="K701" s="2"/>
      <c r="L701" s="2"/>
      <c r="M701" s="2"/>
      <c r="N701" s="2"/>
      <c r="O701" s="2"/>
      <c r="P701" s="2"/>
      <c r="Q701" s="2"/>
      <c r="R701" s="2"/>
      <c r="S701" s="2"/>
      <c r="T701" s="2"/>
      <c r="U701" s="2"/>
    </row>
    <row r="702">
      <c r="A702" s="2"/>
      <c r="B702" s="2"/>
      <c r="C702" s="2"/>
      <c r="D702" s="2"/>
      <c r="E702" s="2"/>
      <c r="F702" s="2"/>
      <c r="G702" s="2"/>
      <c r="H702" s="2"/>
      <c r="I702" s="2"/>
      <c r="J702" s="2"/>
      <c r="K702" s="2"/>
      <c r="L702" s="2"/>
      <c r="M702" s="2"/>
      <c r="N702" s="2"/>
      <c r="O702" s="2"/>
      <c r="P702" s="2"/>
      <c r="Q702" s="2"/>
      <c r="R702" s="2"/>
      <c r="S702" s="2"/>
      <c r="T702" s="2"/>
      <c r="U702" s="2"/>
    </row>
    <row r="703">
      <c r="A703" s="2"/>
      <c r="B703" s="2"/>
      <c r="C703" s="2"/>
      <c r="D703" s="2"/>
      <c r="E703" s="2"/>
      <c r="F703" s="2"/>
      <c r="G703" s="2"/>
      <c r="H703" s="2"/>
      <c r="I703" s="2"/>
      <c r="J703" s="2"/>
      <c r="K703" s="2"/>
      <c r="L703" s="2"/>
      <c r="M703" s="2"/>
      <c r="N703" s="2"/>
      <c r="O703" s="2"/>
      <c r="P703" s="2"/>
      <c r="Q703" s="2"/>
      <c r="R703" s="2"/>
      <c r="S703" s="2"/>
      <c r="T703" s="2"/>
      <c r="U703" s="2"/>
    </row>
    <row r="704">
      <c r="A704" s="2"/>
      <c r="B704" s="2"/>
      <c r="C704" s="2"/>
      <c r="D704" s="2"/>
      <c r="E704" s="2"/>
      <c r="F704" s="2"/>
      <c r="G704" s="2"/>
      <c r="H704" s="2"/>
      <c r="I704" s="2"/>
      <c r="J704" s="2"/>
      <c r="K704" s="2"/>
      <c r="L704" s="2"/>
      <c r="M704" s="2"/>
      <c r="N704" s="2"/>
      <c r="O704" s="2"/>
      <c r="P704" s="2"/>
      <c r="Q704" s="2"/>
      <c r="R704" s="2"/>
      <c r="S704" s="2"/>
      <c r="T704" s="2"/>
      <c r="U704" s="2"/>
    </row>
    <row r="705">
      <c r="A705" s="2"/>
      <c r="B705" s="2"/>
      <c r="C705" s="2"/>
      <c r="D705" s="2"/>
      <c r="E705" s="2"/>
      <c r="F705" s="2"/>
      <c r="G705" s="2"/>
      <c r="H705" s="2"/>
      <c r="I705" s="2"/>
      <c r="J705" s="2"/>
      <c r="K705" s="2"/>
      <c r="L705" s="2"/>
      <c r="M705" s="2"/>
      <c r="N705" s="2"/>
      <c r="O705" s="2"/>
      <c r="P705" s="2"/>
      <c r="Q705" s="2"/>
      <c r="R705" s="2"/>
      <c r="S705" s="2"/>
      <c r="T705" s="2"/>
      <c r="U705" s="2"/>
    </row>
    <row r="706">
      <c r="A706" s="2"/>
      <c r="B706" s="2"/>
      <c r="C706" s="2"/>
      <c r="D706" s="2"/>
      <c r="E706" s="2"/>
      <c r="F706" s="2"/>
      <c r="G706" s="2"/>
      <c r="H706" s="2"/>
      <c r="I706" s="2"/>
      <c r="J706" s="2"/>
      <c r="K706" s="2"/>
      <c r="L706" s="2"/>
      <c r="M706" s="2"/>
      <c r="N706" s="2"/>
      <c r="O706" s="2"/>
      <c r="P706" s="2"/>
      <c r="Q706" s="2"/>
      <c r="R706" s="2"/>
      <c r="S706" s="2"/>
      <c r="T706" s="2"/>
      <c r="U706" s="2"/>
    </row>
    <row r="707">
      <c r="A707" s="2"/>
      <c r="B707" s="2"/>
      <c r="C707" s="2"/>
      <c r="D707" s="2"/>
      <c r="E707" s="2"/>
      <c r="F707" s="2"/>
      <c r="G707" s="2"/>
      <c r="H707" s="2"/>
      <c r="I707" s="2"/>
      <c r="J707" s="2"/>
      <c r="K707" s="2"/>
      <c r="L707" s="2"/>
      <c r="M707" s="2"/>
      <c r="N707" s="2"/>
      <c r="O707" s="2"/>
      <c r="P707" s="2"/>
      <c r="Q707" s="2"/>
      <c r="R707" s="2"/>
      <c r="S707" s="2"/>
      <c r="T707" s="2"/>
      <c r="U707" s="2"/>
    </row>
    <row r="708">
      <c r="A708" s="2"/>
      <c r="B708" s="2"/>
      <c r="C708" s="2"/>
      <c r="D708" s="2"/>
      <c r="E708" s="2"/>
      <c r="F708" s="2"/>
      <c r="G708" s="2"/>
      <c r="H708" s="2"/>
      <c r="I708" s="2"/>
      <c r="J708" s="2"/>
      <c r="K708" s="2"/>
      <c r="L708" s="2"/>
      <c r="M708" s="2"/>
      <c r="N708" s="2"/>
      <c r="O708" s="2"/>
      <c r="P708" s="2"/>
      <c r="Q708" s="2"/>
      <c r="R708" s="2"/>
      <c r="S708" s="2"/>
      <c r="T708" s="2"/>
      <c r="U708" s="2"/>
    </row>
    <row r="709">
      <c r="A709" s="2"/>
      <c r="B709" s="2"/>
      <c r="C709" s="2"/>
      <c r="D709" s="2"/>
      <c r="E709" s="2"/>
      <c r="F709" s="2"/>
      <c r="G709" s="2"/>
      <c r="H709" s="2"/>
      <c r="I709" s="2"/>
      <c r="J709" s="2"/>
      <c r="K709" s="2"/>
      <c r="L709" s="2"/>
      <c r="M709" s="2"/>
      <c r="N709" s="2"/>
      <c r="O709" s="2"/>
      <c r="P709" s="2"/>
      <c r="Q709" s="2"/>
      <c r="R709" s="2"/>
      <c r="S709" s="2"/>
      <c r="T709" s="2"/>
      <c r="U709" s="2"/>
    </row>
    <row r="710">
      <c r="A710" s="2"/>
      <c r="B710" s="2"/>
      <c r="C710" s="2"/>
      <c r="D710" s="2"/>
      <c r="E710" s="2"/>
      <c r="F710" s="2"/>
      <c r="G710" s="2"/>
      <c r="H710" s="2"/>
      <c r="I710" s="2"/>
      <c r="J710" s="2"/>
      <c r="K710" s="2"/>
      <c r="L710" s="2"/>
      <c r="M710" s="2"/>
      <c r="N710" s="2"/>
      <c r="O710" s="2"/>
      <c r="P710" s="2"/>
      <c r="Q710" s="2"/>
      <c r="R710" s="2"/>
      <c r="S710" s="2"/>
      <c r="T710" s="2"/>
      <c r="U710" s="2"/>
    </row>
    <row r="711">
      <c r="A711" s="2"/>
      <c r="B711" s="2"/>
      <c r="C711" s="2"/>
      <c r="D711" s="2"/>
      <c r="E711" s="2"/>
      <c r="F711" s="2"/>
      <c r="G711" s="2"/>
      <c r="H711" s="2"/>
      <c r="I711" s="2"/>
      <c r="J711" s="2"/>
      <c r="K711" s="2"/>
      <c r="L711" s="2"/>
      <c r="M711" s="2"/>
      <c r="N711" s="2"/>
      <c r="O711" s="2"/>
      <c r="P711" s="2"/>
      <c r="Q711" s="2"/>
      <c r="R711" s="2"/>
      <c r="S711" s="2"/>
      <c r="T711" s="2"/>
      <c r="U711" s="2"/>
    </row>
    <row r="712">
      <c r="A712" s="2"/>
      <c r="B712" s="2"/>
      <c r="C712" s="2"/>
      <c r="D712" s="2"/>
      <c r="E712" s="2"/>
      <c r="F712" s="2"/>
      <c r="G712" s="2"/>
      <c r="H712" s="2"/>
      <c r="I712" s="2"/>
      <c r="J712" s="2"/>
      <c r="K712" s="2"/>
      <c r="L712" s="2"/>
      <c r="M712" s="2"/>
      <c r="N712" s="2"/>
      <c r="O712" s="2"/>
      <c r="P712" s="2"/>
      <c r="Q712" s="2"/>
      <c r="R712" s="2"/>
      <c r="S712" s="2"/>
      <c r="T712" s="2"/>
      <c r="U712" s="2"/>
    </row>
    <row r="713">
      <c r="A713" s="2"/>
      <c r="B713" s="2"/>
      <c r="C713" s="2"/>
      <c r="D713" s="2"/>
      <c r="E713" s="2"/>
      <c r="F713" s="2"/>
      <c r="G713" s="2"/>
      <c r="H713" s="2"/>
      <c r="I713" s="2"/>
      <c r="J713" s="2"/>
      <c r="K713" s="2"/>
      <c r="L713" s="2"/>
      <c r="M713" s="2"/>
      <c r="N713" s="2"/>
      <c r="O713" s="2"/>
      <c r="P713" s="2"/>
      <c r="Q713" s="2"/>
      <c r="R713" s="2"/>
      <c r="S713" s="2"/>
      <c r="T713" s="2"/>
      <c r="U713" s="2"/>
    </row>
    <row r="714">
      <c r="A714" s="2"/>
      <c r="B714" s="2"/>
      <c r="C714" s="2"/>
      <c r="D714" s="2"/>
      <c r="E714" s="2"/>
      <c r="F714" s="2"/>
      <c r="G714" s="2"/>
      <c r="H714" s="2"/>
      <c r="I714" s="2"/>
      <c r="J714" s="2"/>
      <c r="K714" s="2"/>
      <c r="L714" s="2"/>
      <c r="M714" s="2"/>
      <c r="N714" s="2"/>
      <c r="O714" s="2"/>
      <c r="P714" s="2"/>
      <c r="Q714" s="2"/>
      <c r="R714" s="2"/>
      <c r="S714" s="2"/>
      <c r="T714" s="2"/>
      <c r="U714" s="2"/>
    </row>
    <row r="715">
      <c r="A715" s="2"/>
      <c r="B715" s="2"/>
      <c r="C715" s="2"/>
      <c r="D715" s="2"/>
      <c r="E715" s="2"/>
      <c r="F715" s="2"/>
      <c r="G715" s="2"/>
      <c r="H715" s="2"/>
      <c r="I715" s="2"/>
      <c r="J715" s="2"/>
      <c r="K715" s="2"/>
      <c r="L715" s="2"/>
      <c r="M715" s="2"/>
      <c r="N715" s="2"/>
      <c r="O715" s="2"/>
      <c r="P715" s="2"/>
      <c r="Q715" s="2"/>
      <c r="R715" s="2"/>
      <c r="S715" s="2"/>
      <c r="T715" s="2"/>
      <c r="U715" s="2"/>
    </row>
    <row r="716">
      <c r="A716" s="2"/>
      <c r="B716" s="2"/>
      <c r="C716" s="2"/>
      <c r="D716" s="2"/>
      <c r="E716" s="2"/>
      <c r="F716" s="2"/>
      <c r="G716" s="2"/>
      <c r="H716" s="2"/>
      <c r="I716" s="2"/>
      <c r="J716" s="2"/>
      <c r="K716" s="2"/>
      <c r="L716" s="2"/>
      <c r="M716" s="2"/>
      <c r="N716" s="2"/>
      <c r="O716" s="2"/>
      <c r="P716" s="2"/>
      <c r="Q716" s="2"/>
      <c r="R716" s="2"/>
      <c r="S716" s="2"/>
      <c r="T716" s="2"/>
      <c r="U716" s="2"/>
    </row>
    <row r="717">
      <c r="A717" s="2"/>
      <c r="B717" s="2"/>
      <c r="C717" s="2"/>
      <c r="D717" s="2"/>
      <c r="E717" s="2"/>
      <c r="F717" s="2"/>
      <c r="G717" s="2"/>
      <c r="H717" s="2"/>
      <c r="I717" s="2"/>
      <c r="J717" s="2"/>
      <c r="K717" s="2"/>
      <c r="L717" s="2"/>
      <c r="M717" s="2"/>
      <c r="N717" s="2"/>
      <c r="O717" s="2"/>
      <c r="P717" s="2"/>
      <c r="Q717" s="2"/>
      <c r="R717" s="2"/>
      <c r="S717" s="2"/>
      <c r="T717" s="2"/>
      <c r="U717" s="2"/>
    </row>
    <row r="718">
      <c r="A718" s="2"/>
      <c r="B718" s="2"/>
      <c r="C718" s="2"/>
      <c r="D718" s="2"/>
      <c r="E718" s="2"/>
      <c r="F718" s="2"/>
      <c r="G718" s="2"/>
      <c r="H718" s="2"/>
      <c r="I718" s="2"/>
      <c r="J718" s="2"/>
      <c r="K718" s="2"/>
      <c r="L718" s="2"/>
      <c r="M718" s="2"/>
      <c r="N718" s="2"/>
      <c r="O718" s="2"/>
      <c r="P718" s="2"/>
      <c r="Q718" s="2"/>
      <c r="R718" s="2"/>
      <c r="S718" s="2"/>
      <c r="T718" s="2"/>
      <c r="U718" s="2"/>
    </row>
    <row r="719">
      <c r="A719" s="2"/>
      <c r="B719" s="2"/>
      <c r="C719" s="2"/>
      <c r="D719" s="2"/>
      <c r="E719" s="2"/>
      <c r="F719" s="2"/>
      <c r="G719" s="2"/>
      <c r="H719" s="2"/>
      <c r="I719" s="2"/>
      <c r="J719" s="2"/>
      <c r="K719" s="2"/>
      <c r="L719" s="2"/>
      <c r="M719" s="2"/>
      <c r="N719" s="2"/>
      <c r="O719" s="2"/>
      <c r="P719" s="2"/>
      <c r="Q719" s="2"/>
      <c r="R719" s="2"/>
      <c r="S719" s="2"/>
      <c r="T719" s="2"/>
      <c r="U719" s="2"/>
    </row>
    <row r="720">
      <c r="A720" s="2"/>
      <c r="B720" s="2"/>
      <c r="C720" s="2"/>
      <c r="D720" s="2"/>
      <c r="E720" s="2"/>
      <c r="F720" s="2"/>
      <c r="G720" s="2"/>
      <c r="H720" s="2"/>
      <c r="I720" s="2"/>
      <c r="J720" s="2"/>
      <c r="K720" s="2"/>
      <c r="L720" s="2"/>
      <c r="M720" s="2"/>
      <c r="N720" s="2"/>
      <c r="O720" s="2"/>
      <c r="P720" s="2"/>
      <c r="Q720" s="2"/>
      <c r="R720" s="2"/>
      <c r="S720" s="2"/>
      <c r="T720" s="2"/>
      <c r="U720" s="2"/>
    </row>
    <row r="721">
      <c r="A721" s="2"/>
      <c r="B721" s="2"/>
      <c r="C721" s="2"/>
      <c r="D721" s="2"/>
      <c r="E721" s="2"/>
      <c r="F721" s="2"/>
      <c r="G721" s="2"/>
      <c r="H721" s="2"/>
      <c r="I721" s="2"/>
      <c r="J721" s="2"/>
      <c r="K721" s="2"/>
      <c r="L721" s="2"/>
      <c r="M721" s="2"/>
      <c r="N721" s="2"/>
      <c r="O721" s="2"/>
      <c r="P721" s="2"/>
      <c r="Q721" s="2"/>
      <c r="R721" s="2"/>
      <c r="S721" s="2"/>
      <c r="T721" s="2"/>
      <c r="U721" s="2"/>
    </row>
    <row r="722">
      <c r="A722" s="2"/>
      <c r="B722" s="2"/>
      <c r="C722" s="2"/>
      <c r="D722" s="2"/>
      <c r="E722" s="2"/>
      <c r="F722" s="2"/>
      <c r="G722" s="2"/>
      <c r="H722" s="2"/>
      <c r="I722" s="2"/>
      <c r="J722" s="2"/>
      <c r="K722" s="2"/>
      <c r="L722" s="2"/>
      <c r="M722" s="2"/>
      <c r="N722" s="2"/>
      <c r="O722" s="2"/>
      <c r="P722" s="2"/>
      <c r="Q722" s="2"/>
      <c r="R722" s="2"/>
      <c r="S722" s="2"/>
      <c r="T722" s="2"/>
      <c r="U722" s="2"/>
    </row>
    <row r="723">
      <c r="A723" s="2"/>
      <c r="B723" s="2"/>
      <c r="C723" s="2"/>
      <c r="D723" s="2"/>
      <c r="E723" s="2"/>
      <c r="F723" s="2"/>
      <c r="G723" s="2"/>
      <c r="H723" s="2"/>
      <c r="I723" s="2"/>
      <c r="J723" s="2"/>
      <c r="K723" s="2"/>
      <c r="L723" s="2"/>
      <c r="M723" s="2"/>
      <c r="N723" s="2"/>
      <c r="O723" s="2"/>
      <c r="P723" s="2"/>
      <c r="Q723" s="2"/>
      <c r="R723" s="2"/>
      <c r="S723" s="2"/>
      <c r="T723" s="2"/>
      <c r="U723" s="2"/>
    </row>
    <row r="724">
      <c r="A724" s="2"/>
      <c r="B724" s="2"/>
      <c r="C724" s="2"/>
      <c r="D724" s="2"/>
      <c r="E724" s="2"/>
      <c r="F724" s="2"/>
      <c r="G724" s="2"/>
      <c r="H724" s="2"/>
      <c r="I724" s="2"/>
      <c r="J724" s="2"/>
      <c r="K724" s="2"/>
      <c r="L724" s="2"/>
      <c r="M724" s="2"/>
      <c r="N724" s="2"/>
      <c r="O724" s="2"/>
      <c r="P724" s="2"/>
      <c r="Q724" s="2"/>
      <c r="R724" s="2"/>
      <c r="S724" s="2"/>
      <c r="T724" s="2"/>
      <c r="U724" s="2"/>
    </row>
    <row r="725">
      <c r="A725" s="2"/>
      <c r="B725" s="2"/>
      <c r="C725" s="2"/>
      <c r="D725" s="2"/>
      <c r="E725" s="2"/>
      <c r="F725" s="2"/>
      <c r="G725" s="2"/>
      <c r="H725" s="2"/>
      <c r="I725" s="2"/>
      <c r="J725" s="2"/>
      <c r="K725" s="2"/>
      <c r="L725" s="2"/>
      <c r="M725" s="2"/>
      <c r="N725" s="2"/>
      <c r="O725" s="2"/>
      <c r="P725" s="2"/>
      <c r="Q725" s="2"/>
      <c r="R725" s="2"/>
      <c r="S725" s="2"/>
      <c r="T725" s="2"/>
      <c r="U725" s="2"/>
    </row>
    <row r="726">
      <c r="A726" s="2"/>
      <c r="B726" s="2"/>
      <c r="C726" s="2"/>
      <c r="D726" s="2"/>
      <c r="E726" s="2"/>
      <c r="F726" s="2"/>
      <c r="G726" s="2"/>
      <c r="H726" s="2"/>
      <c r="I726" s="2"/>
      <c r="J726" s="2"/>
      <c r="K726" s="2"/>
      <c r="L726" s="2"/>
      <c r="M726" s="2"/>
      <c r="N726" s="2"/>
      <c r="O726" s="2"/>
      <c r="P726" s="2"/>
      <c r="Q726" s="2"/>
      <c r="R726" s="2"/>
      <c r="S726" s="2"/>
      <c r="T726" s="2"/>
      <c r="U726" s="2"/>
    </row>
    <row r="727">
      <c r="A727" s="2"/>
      <c r="B727" s="2"/>
      <c r="C727" s="2"/>
      <c r="D727" s="2"/>
      <c r="E727" s="2"/>
      <c r="F727" s="2"/>
      <c r="G727" s="2"/>
      <c r="H727" s="2"/>
      <c r="I727" s="2"/>
      <c r="J727" s="2"/>
      <c r="K727" s="2"/>
      <c r="L727" s="2"/>
      <c r="M727" s="2"/>
      <c r="N727" s="2"/>
      <c r="O727" s="2"/>
      <c r="P727" s="2"/>
      <c r="Q727" s="2"/>
      <c r="R727" s="2"/>
      <c r="S727" s="2"/>
      <c r="T727" s="2"/>
      <c r="U727" s="2"/>
    </row>
    <row r="728">
      <c r="A728" s="2"/>
      <c r="B728" s="2"/>
      <c r="C728" s="2"/>
      <c r="D728" s="2"/>
      <c r="E728" s="2"/>
      <c r="F728" s="2"/>
      <c r="G728" s="2"/>
      <c r="H728" s="2"/>
      <c r="I728" s="2"/>
      <c r="J728" s="2"/>
      <c r="K728" s="2"/>
      <c r="L728" s="2"/>
      <c r="M728" s="2"/>
      <c r="N728" s="2"/>
      <c r="O728" s="2"/>
      <c r="P728" s="2"/>
      <c r="Q728" s="2"/>
      <c r="R728" s="2"/>
      <c r="S728" s="2"/>
      <c r="T728" s="2"/>
      <c r="U728" s="2"/>
    </row>
    <row r="729">
      <c r="A729" s="2"/>
      <c r="B729" s="2"/>
      <c r="C729" s="2"/>
      <c r="D729" s="2"/>
      <c r="E729" s="2"/>
      <c r="F729" s="2"/>
      <c r="G729" s="2"/>
      <c r="H729" s="2"/>
      <c r="I729" s="2"/>
      <c r="J729" s="2"/>
      <c r="K729" s="2"/>
      <c r="L729" s="2"/>
      <c r="M729" s="2"/>
      <c r="N729" s="2"/>
      <c r="O729" s="2"/>
      <c r="P729" s="2"/>
      <c r="Q729" s="2"/>
      <c r="R729" s="2"/>
      <c r="S729" s="2"/>
      <c r="T729" s="2"/>
      <c r="U729" s="2"/>
    </row>
    <row r="730">
      <c r="A730" s="2"/>
      <c r="B730" s="2"/>
      <c r="C730" s="2"/>
      <c r="D730" s="2"/>
      <c r="E730" s="2"/>
      <c r="F730" s="2"/>
      <c r="G730" s="2"/>
      <c r="H730" s="2"/>
      <c r="I730" s="2"/>
      <c r="J730" s="2"/>
      <c r="K730" s="2"/>
      <c r="L730" s="2"/>
      <c r="M730" s="2"/>
      <c r="N730" s="2"/>
      <c r="O730" s="2"/>
      <c r="P730" s="2"/>
      <c r="Q730" s="2"/>
      <c r="R730" s="2"/>
      <c r="S730" s="2"/>
      <c r="T730" s="2"/>
      <c r="U730" s="2"/>
    </row>
    <row r="731">
      <c r="A731" s="2"/>
      <c r="B731" s="2"/>
      <c r="C731" s="2"/>
      <c r="D731" s="2"/>
      <c r="E731" s="2"/>
      <c r="F731" s="2"/>
      <c r="G731" s="2"/>
      <c r="H731" s="2"/>
      <c r="I731" s="2"/>
      <c r="J731" s="2"/>
      <c r="K731" s="2"/>
      <c r="L731" s="2"/>
      <c r="M731" s="2"/>
      <c r="N731" s="2"/>
      <c r="O731" s="2"/>
      <c r="P731" s="2"/>
      <c r="Q731" s="2"/>
      <c r="R731" s="2"/>
      <c r="S731" s="2"/>
      <c r="T731" s="2"/>
      <c r="U731" s="2"/>
    </row>
    <row r="732">
      <c r="A732" s="2"/>
      <c r="B732" s="2"/>
      <c r="C732" s="2"/>
      <c r="D732" s="2"/>
      <c r="E732" s="2"/>
      <c r="F732" s="2"/>
      <c r="G732" s="2"/>
      <c r="H732" s="2"/>
      <c r="I732" s="2"/>
      <c r="J732" s="2"/>
      <c r="K732" s="2"/>
      <c r="L732" s="2"/>
      <c r="M732" s="2"/>
      <c r="N732" s="2"/>
      <c r="O732" s="2"/>
      <c r="P732" s="2"/>
      <c r="Q732" s="2"/>
      <c r="R732" s="2"/>
      <c r="S732" s="2"/>
      <c r="T732" s="2"/>
      <c r="U732" s="2"/>
    </row>
    <row r="733">
      <c r="A733" s="2"/>
      <c r="B733" s="2"/>
      <c r="C733" s="2"/>
      <c r="D733" s="2"/>
      <c r="E733" s="2"/>
      <c r="F733" s="2"/>
      <c r="G733" s="2"/>
      <c r="H733" s="2"/>
      <c r="I733" s="2"/>
      <c r="J733" s="2"/>
      <c r="K733" s="2"/>
      <c r="L733" s="2"/>
      <c r="M733" s="2"/>
      <c r="N733" s="2"/>
      <c r="O733" s="2"/>
      <c r="P733" s="2"/>
      <c r="Q733" s="2"/>
      <c r="R733" s="2"/>
      <c r="S733" s="2"/>
      <c r="T733" s="2"/>
      <c r="U733" s="2"/>
    </row>
    <row r="734">
      <c r="A734" s="2"/>
      <c r="B734" s="2"/>
      <c r="C734" s="2"/>
      <c r="D734" s="2"/>
      <c r="E734" s="2"/>
      <c r="F734" s="2"/>
      <c r="G734" s="2"/>
      <c r="H734" s="2"/>
      <c r="I734" s="2"/>
      <c r="J734" s="2"/>
      <c r="K734" s="2"/>
      <c r="L734" s="2"/>
      <c r="M734" s="2"/>
      <c r="N734" s="2"/>
      <c r="O734" s="2"/>
      <c r="P734" s="2"/>
      <c r="Q734" s="2"/>
      <c r="R734" s="2"/>
      <c r="S734" s="2"/>
      <c r="T734" s="2"/>
      <c r="U734" s="2"/>
    </row>
    <row r="735">
      <c r="A735" s="2"/>
      <c r="B735" s="2"/>
      <c r="C735" s="2"/>
      <c r="D735" s="2"/>
      <c r="E735" s="2"/>
      <c r="F735" s="2"/>
      <c r="G735" s="2"/>
      <c r="H735" s="2"/>
      <c r="I735" s="2"/>
      <c r="J735" s="2"/>
      <c r="K735" s="2"/>
      <c r="L735" s="2"/>
      <c r="M735" s="2"/>
      <c r="N735" s="2"/>
      <c r="O735" s="2"/>
      <c r="P735" s="2"/>
      <c r="Q735" s="2"/>
      <c r="R735" s="2"/>
      <c r="S735" s="2"/>
      <c r="T735" s="2"/>
      <c r="U735" s="2"/>
    </row>
    <row r="736">
      <c r="A736" s="2"/>
      <c r="B736" s="2"/>
      <c r="C736" s="2"/>
      <c r="D736" s="2"/>
      <c r="E736" s="2"/>
      <c r="F736" s="2"/>
      <c r="G736" s="2"/>
      <c r="H736" s="2"/>
      <c r="I736" s="2"/>
      <c r="J736" s="2"/>
      <c r="K736" s="2"/>
      <c r="L736" s="2"/>
      <c r="M736" s="2"/>
      <c r="N736" s="2"/>
      <c r="O736" s="2"/>
      <c r="P736" s="2"/>
      <c r="Q736" s="2"/>
      <c r="R736" s="2"/>
      <c r="S736" s="2"/>
      <c r="T736" s="2"/>
      <c r="U736" s="2"/>
    </row>
    <row r="737">
      <c r="A737" s="2"/>
      <c r="B737" s="2"/>
      <c r="C737" s="2"/>
      <c r="D737" s="2"/>
      <c r="E737" s="2"/>
      <c r="F737" s="2"/>
      <c r="G737" s="2"/>
      <c r="H737" s="2"/>
      <c r="I737" s="2"/>
      <c r="J737" s="2"/>
      <c r="K737" s="2"/>
      <c r="L737" s="2"/>
      <c r="M737" s="2"/>
      <c r="N737" s="2"/>
      <c r="O737" s="2"/>
      <c r="P737" s="2"/>
      <c r="Q737" s="2"/>
      <c r="R737" s="2"/>
      <c r="S737" s="2"/>
      <c r="T737" s="2"/>
      <c r="U737" s="2"/>
    </row>
    <row r="738">
      <c r="A738" s="2"/>
      <c r="B738" s="2"/>
      <c r="C738" s="2"/>
      <c r="D738" s="2"/>
      <c r="E738" s="2"/>
      <c r="F738" s="2"/>
      <c r="G738" s="2"/>
      <c r="H738" s="2"/>
      <c r="I738" s="2"/>
      <c r="J738" s="2"/>
      <c r="K738" s="2"/>
      <c r="L738" s="2"/>
      <c r="M738" s="2"/>
      <c r="N738" s="2"/>
      <c r="O738" s="2"/>
      <c r="P738" s="2"/>
      <c r="Q738" s="2"/>
      <c r="R738" s="2"/>
      <c r="S738" s="2"/>
      <c r="T738" s="2"/>
      <c r="U738" s="2"/>
    </row>
    <row r="739">
      <c r="A739" s="2"/>
      <c r="B739" s="2"/>
      <c r="C739" s="2"/>
      <c r="D739" s="2"/>
      <c r="E739" s="2"/>
      <c r="F739" s="2"/>
      <c r="G739" s="2"/>
      <c r="H739" s="2"/>
      <c r="I739" s="2"/>
      <c r="J739" s="2"/>
      <c r="K739" s="2"/>
      <c r="L739" s="2"/>
      <c r="M739" s="2"/>
      <c r="N739" s="2"/>
      <c r="O739" s="2"/>
      <c r="P739" s="2"/>
      <c r="Q739" s="2"/>
      <c r="R739" s="2"/>
      <c r="S739" s="2"/>
      <c r="T739" s="2"/>
      <c r="U739" s="2"/>
    </row>
    <row r="740">
      <c r="A740" s="2"/>
      <c r="B740" s="2"/>
      <c r="C740" s="2"/>
      <c r="D740" s="2"/>
      <c r="E740" s="2"/>
      <c r="F740" s="2"/>
      <c r="G740" s="2"/>
      <c r="H740" s="2"/>
      <c r="I740" s="2"/>
      <c r="J740" s="2"/>
      <c r="K740" s="2"/>
      <c r="L740" s="2"/>
      <c r="M740" s="2"/>
      <c r="N740" s="2"/>
      <c r="O740" s="2"/>
      <c r="P740" s="2"/>
      <c r="Q740" s="2"/>
      <c r="R740" s="2"/>
      <c r="S740" s="2"/>
      <c r="T740" s="2"/>
      <c r="U740" s="2"/>
    </row>
    <row r="741">
      <c r="A741" s="2"/>
      <c r="B741" s="2"/>
      <c r="C741" s="2"/>
      <c r="D741" s="2"/>
      <c r="E741" s="2"/>
      <c r="F741" s="2"/>
      <c r="G741" s="2"/>
      <c r="H741" s="2"/>
      <c r="I741" s="2"/>
      <c r="J741" s="2"/>
      <c r="K741" s="2"/>
      <c r="L741" s="2"/>
      <c r="M741" s="2"/>
      <c r="N741" s="2"/>
      <c r="O741" s="2"/>
      <c r="P741" s="2"/>
      <c r="Q741" s="2"/>
      <c r="R741" s="2"/>
      <c r="S741" s="2"/>
      <c r="T741" s="2"/>
      <c r="U741" s="2"/>
    </row>
    <row r="742">
      <c r="A742" s="2"/>
      <c r="B742" s="2"/>
      <c r="C742" s="2"/>
      <c r="D742" s="2"/>
      <c r="E742" s="2"/>
      <c r="F742" s="2"/>
      <c r="G742" s="2"/>
      <c r="H742" s="2"/>
      <c r="I742" s="2"/>
      <c r="J742" s="2"/>
      <c r="K742" s="2"/>
      <c r="L742" s="2"/>
      <c r="M742" s="2"/>
      <c r="N742" s="2"/>
      <c r="O742" s="2"/>
      <c r="P742" s="2"/>
      <c r="Q742" s="2"/>
      <c r="R742" s="2"/>
      <c r="S742" s="2"/>
      <c r="T742" s="2"/>
      <c r="U742" s="2"/>
    </row>
    <row r="743">
      <c r="A743" s="2"/>
      <c r="B743" s="2"/>
      <c r="C743" s="2"/>
      <c r="D743" s="2"/>
      <c r="E743" s="2"/>
      <c r="F743" s="2"/>
      <c r="G743" s="2"/>
      <c r="H743" s="2"/>
      <c r="I743" s="2"/>
      <c r="J743" s="2"/>
      <c r="K743" s="2"/>
      <c r="L743" s="2"/>
      <c r="M743" s="2"/>
      <c r="N743" s="2"/>
      <c r="O743" s="2"/>
      <c r="P743" s="2"/>
      <c r="Q743" s="2"/>
      <c r="R743" s="2"/>
      <c r="S743" s="2"/>
      <c r="T743" s="2"/>
      <c r="U743" s="2"/>
    </row>
    <row r="744">
      <c r="A744" s="2"/>
      <c r="B744" s="2"/>
      <c r="C744" s="2"/>
      <c r="D744" s="2"/>
      <c r="E744" s="2"/>
      <c r="F744" s="2"/>
      <c r="G744" s="2"/>
      <c r="H744" s="2"/>
      <c r="I744" s="2"/>
      <c r="J744" s="2"/>
      <c r="K744" s="2"/>
      <c r="L744" s="2"/>
      <c r="M744" s="2"/>
      <c r="N744" s="2"/>
      <c r="O744" s="2"/>
      <c r="P744" s="2"/>
      <c r="Q744" s="2"/>
      <c r="R744" s="2"/>
      <c r="S744" s="2"/>
      <c r="T744" s="2"/>
      <c r="U744" s="2"/>
    </row>
    <row r="745">
      <c r="A745" s="2"/>
      <c r="B745" s="2"/>
      <c r="C745" s="2"/>
      <c r="D745" s="2"/>
      <c r="E745" s="2"/>
      <c r="F745" s="2"/>
      <c r="G745" s="2"/>
      <c r="H745" s="2"/>
      <c r="I745" s="2"/>
      <c r="J745" s="2"/>
      <c r="K745" s="2"/>
      <c r="L745" s="2"/>
      <c r="M745" s="2"/>
      <c r="N745" s="2"/>
      <c r="O745" s="2"/>
      <c r="P745" s="2"/>
      <c r="Q745" s="2"/>
      <c r="R745" s="2"/>
      <c r="S745" s="2"/>
      <c r="T745" s="2"/>
      <c r="U745" s="2"/>
    </row>
    <row r="746">
      <c r="A746" s="2"/>
      <c r="B746" s="2"/>
      <c r="C746" s="2"/>
      <c r="D746" s="2"/>
      <c r="E746" s="2"/>
      <c r="F746" s="2"/>
      <c r="G746" s="2"/>
      <c r="H746" s="2"/>
      <c r="I746" s="2"/>
      <c r="J746" s="2"/>
      <c r="K746" s="2"/>
      <c r="L746" s="2"/>
      <c r="M746" s="2"/>
      <c r="N746" s="2"/>
      <c r="O746" s="2"/>
      <c r="P746" s="2"/>
      <c r="Q746" s="2"/>
      <c r="R746" s="2"/>
      <c r="S746" s="2"/>
      <c r="T746" s="2"/>
      <c r="U746" s="2"/>
    </row>
    <row r="747">
      <c r="A747" s="2"/>
      <c r="B747" s="2"/>
      <c r="C747" s="2"/>
      <c r="D747" s="2"/>
      <c r="E747" s="2"/>
      <c r="F747" s="2"/>
      <c r="G747" s="2"/>
      <c r="H747" s="2"/>
      <c r="I747" s="2"/>
      <c r="J747" s="2"/>
      <c r="K747" s="2"/>
      <c r="L747" s="2"/>
      <c r="M747" s="2"/>
      <c r="N747" s="2"/>
      <c r="O747" s="2"/>
      <c r="P747" s="2"/>
      <c r="Q747" s="2"/>
      <c r="R747" s="2"/>
      <c r="S747" s="2"/>
      <c r="T747" s="2"/>
      <c r="U747" s="2"/>
    </row>
    <row r="748">
      <c r="A748" s="2"/>
      <c r="B748" s="2"/>
      <c r="C748" s="2"/>
      <c r="D748" s="2"/>
      <c r="E748" s="2"/>
      <c r="F748" s="2"/>
      <c r="G748" s="2"/>
      <c r="H748" s="2"/>
      <c r="I748" s="2"/>
      <c r="J748" s="2"/>
      <c r="K748" s="2"/>
      <c r="L748" s="2"/>
      <c r="M748" s="2"/>
      <c r="N748" s="2"/>
      <c r="O748" s="2"/>
      <c r="P748" s="2"/>
      <c r="Q748" s="2"/>
      <c r="R748" s="2"/>
      <c r="S748" s="2"/>
      <c r="T748" s="2"/>
      <c r="U748" s="2"/>
    </row>
    <row r="749">
      <c r="A749" s="2"/>
      <c r="B749" s="2"/>
      <c r="C749" s="2"/>
      <c r="D749" s="2"/>
      <c r="E749" s="2"/>
      <c r="F749" s="2"/>
      <c r="G749" s="2"/>
      <c r="H749" s="2"/>
      <c r="I749" s="2"/>
      <c r="J749" s="2"/>
      <c r="K749" s="2"/>
      <c r="L749" s="2"/>
      <c r="M749" s="2"/>
      <c r="N749" s="2"/>
      <c r="O749" s="2"/>
      <c r="P749" s="2"/>
      <c r="Q749" s="2"/>
      <c r="R749" s="2"/>
      <c r="S749" s="2"/>
      <c r="T749" s="2"/>
      <c r="U749" s="2"/>
    </row>
    <row r="750">
      <c r="A750" s="2"/>
      <c r="B750" s="2"/>
      <c r="C750" s="2"/>
      <c r="D750" s="2"/>
      <c r="E750" s="2"/>
      <c r="F750" s="2"/>
      <c r="G750" s="2"/>
      <c r="H750" s="2"/>
      <c r="I750" s="2"/>
      <c r="J750" s="2"/>
      <c r="K750" s="2"/>
      <c r="L750" s="2"/>
      <c r="M750" s="2"/>
      <c r="N750" s="2"/>
      <c r="O750" s="2"/>
      <c r="P750" s="2"/>
      <c r="Q750" s="2"/>
      <c r="R750" s="2"/>
      <c r="S750" s="2"/>
      <c r="T750" s="2"/>
      <c r="U750" s="2"/>
    </row>
    <row r="751">
      <c r="A751" s="2"/>
      <c r="B751" s="2"/>
      <c r="C751" s="2"/>
      <c r="D751" s="2"/>
      <c r="E751" s="2"/>
      <c r="F751" s="2"/>
      <c r="G751" s="2"/>
      <c r="H751" s="2"/>
      <c r="I751" s="2"/>
      <c r="J751" s="2"/>
      <c r="K751" s="2"/>
      <c r="L751" s="2"/>
      <c r="M751" s="2"/>
      <c r="N751" s="2"/>
      <c r="O751" s="2"/>
      <c r="P751" s="2"/>
      <c r="Q751" s="2"/>
      <c r="R751" s="2"/>
      <c r="S751" s="2"/>
      <c r="T751" s="2"/>
      <c r="U751" s="2"/>
    </row>
    <row r="752">
      <c r="A752" s="2"/>
      <c r="B752" s="2"/>
      <c r="C752" s="2"/>
      <c r="D752" s="2"/>
      <c r="E752" s="2"/>
      <c r="F752" s="2"/>
      <c r="G752" s="2"/>
      <c r="H752" s="2"/>
      <c r="I752" s="2"/>
      <c r="J752" s="2"/>
      <c r="K752" s="2"/>
      <c r="L752" s="2"/>
      <c r="M752" s="2"/>
      <c r="N752" s="2"/>
      <c r="O752" s="2"/>
      <c r="P752" s="2"/>
      <c r="Q752" s="2"/>
      <c r="R752" s="2"/>
      <c r="S752" s="2"/>
      <c r="T752" s="2"/>
      <c r="U752" s="2"/>
    </row>
    <row r="753">
      <c r="A753" s="2"/>
      <c r="B753" s="2"/>
      <c r="C753" s="2"/>
      <c r="D753" s="2"/>
      <c r="E753" s="2"/>
      <c r="F753" s="2"/>
      <c r="G753" s="2"/>
      <c r="H753" s="2"/>
      <c r="I753" s="2"/>
      <c r="J753" s="2"/>
      <c r="K753" s="2"/>
      <c r="L753" s="2"/>
      <c r="M753" s="2"/>
      <c r="N753" s="2"/>
      <c r="O753" s="2"/>
      <c r="P753" s="2"/>
      <c r="Q753" s="2"/>
      <c r="R753" s="2"/>
      <c r="S753" s="2"/>
      <c r="T753" s="2"/>
      <c r="U753" s="2"/>
    </row>
    <row r="754">
      <c r="A754" s="2"/>
      <c r="B754" s="2"/>
      <c r="C754" s="2"/>
      <c r="D754" s="2"/>
      <c r="E754" s="2"/>
      <c r="F754" s="2"/>
      <c r="G754" s="2"/>
      <c r="H754" s="2"/>
      <c r="I754" s="2"/>
      <c r="J754" s="2"/>
      <c r="K754" s="2"/>
      <c r="L754" s="2"/>
      <c r="M754" s="2"/>
      <c r="N754" s="2"/>
      <c r="O754" s="2"/>
      <c r="P754" s="2"/>
      <c r="Q754" s="2"/>
      <c r="R754" s="2"/>
      <c r="S754" s="2"/>
      <c r="T754" s="2"/>
      <c r="U754" s="2"/>
    </row>
    <row r="755">
      <c r="A755" s="2"/>
      <c r="B755" s="2"/>
      <c r="C755" s="2"/>
      <c r="D755" s="2"/>
      <c r="E755" s="2"/>
      <c r="F755" s="2"/>
      <c r="G755" s="2"/>
      <c r="H755" s="2"/>
      <c r="I755" s="2"/>
      <c r="J755" s="2"/>
      <c r="K755" s="2"/>
      <c r="L755" s="2"/>
      <c r="M755" s="2"/>
      <c r="N755" s="2"/>
      <c r="O755" s="2"/>
      <c r="P755" s="2"/>
      <c r="Q755" s="2"/>
      <c r="R755" s="2"/>
      <c r="S755" s="2"/>
      <c r="T755" s="2"/>
      <c r="U755" s="2"/>
    </row>
    <row r="756">
      <c r="A756" s="2"/>
      <c r="B756" s="2"/>
      <c r="C756" s="2"/>
      <c r="D756" s="2"/>
      <c r="E756" s="2"/>
      <c r="F756" s="2"/>
      <c r="G756" s="2"/>
      <c r="H756" s="2"/>
      <c r="I756" s="2"/>
      <c r="J756" s="2"/>
      <c r="K756" s="2"/>
      <c r="L756" s="2"/>
      <c r="M756" s="2"/>
      <c r="N756" s="2"/>
      <c r="O756" s="2"/>
      <c r="P756" s="2"/>
      <c r="Q756" s="2"/>
      <c r="R756" s="2"/>
      <c r="S756" s="2"/>
      <c r="T756" s="2"/>
      <c r="U756" s="2"/>
    </row>
    <row r="757">
      <c r="A757" s="2"/>
      <c r="B757" s="2"/>
      <c r="C757" s="2"/>
      <c r="D757" s="2"/>
      <c r="E757" s="2"/>
      <c r="F757" s="2"/>
      <c r="G757" s="2"/>
      <c r="H757" s="2"/>
      <c r="I757" s="2"/>
      <c r="J757" s="2"/>
      <c r="K757" s="2"/>
      <c r="L757" s="2"/>
      <c r="M757" s="2"/>
      <c r="N757" s="2"/>
      <c r="O757" s="2"/>
      <c r="P757" s="2"/>
      <c r="Q757" s="2"/>
      <c r="R757" s="2"/>
      <c r="S757" s="2"/>
      <c r="T757" s="2"/>
      <c r="U757" s="2"/>
    </row>
    <row r="758">
      <c r="A758" s="2"/>
      <c r="B758" s="2"/>
      <c r="C758" s="2"/>
      <c r="D758" s="2"/>
      <c r="E758" s="2"/>
      <c r="F758" s="2"/>
      <c r="G758" s="2"/>
      <c r="H758" s="2"/>
      <c r="I758" s="2"/>
      <c r="J758" s="2"/>
      <c r="K758" s="2"/>
      <c r="L758" s="2"/>
      <c r="M758" s="2"/>
      <c r="N758" s="2"/>
      <c r="O758" s="2"/>
      <c r="P758" s="2"/>
      <c r="Q758" s="2"/>
      <c r="R758" s="2"/>
      <c r="S758" s="2"/>
      <c r="T758" s="2"/>
      <c r="U758" s="2"/>
    </row>
    <row r="759">
      <c r="A759" s="2"/>
      <c r="B759" s="2"/>
      <c r="C759" s="2"/>
      <c r="D759" s="2"/>
      <c r="E759" s="2"/>
      <c r="F759" s="2"/>
      <c r="G759" s="2"/>
      <c r="H759" s="2"/>
      <c r="I759" s="2"/>
      <c r="J759" s="2"/>
      <c r="K759" s="2"/>
      <c r="L759" s="2"/>
      <c r="M759" s="2"/>
      <c r="N759" s="2"/>
      <c r="O759" s="2"/>
      <c r="P759" s="2"/>
      <c r="Q759" s="2"/>
      <c r="R759" s="2"/>
      <c r="S759" s="2"/>
      <c r="T759" s="2"/>
      <c r="U759" s="2"/>
    </row>
    <row r="760">
      <c r="A760" s="2"/>
      <c r="B760" s="2"/>
      <c r="C760" s="2"/>
      <c r="D760" s="2"/>
      <c r="E760" s="2"/>
      <c r="F760" s="2"/>
      <c r="G760" s="2"/>
      <c r="H760" s="2"/>
      <c r="I760" s="2"/>
      <c r="J760" s="2"/>
      <c r="K760" s="2"/>
      <c r="L760" s="2"/>
      <c r="M760" s="2"/>
      <c r="N760" s="2"/>
      <c r="O760" s="2"/>
      <c r="P760" s="2"/>
      <c r="Q760" s="2"/>
      <c r="R760" s="2"/>
      <c r="S760" s="2"/>
      <c r="T760" s="2"/>
      <c r="U760" s="2"/>
    </row>
    <row r="761">
      <c r="A761" s="2"/>
      <c r="B761" s="2"/>
      <c r="C761" s="2"/>
      <c r="D761" s="2"/>
      <c r="E761" s="2"/>
      <c r="F761" s="2"/>
      <c r="G761" s="2"/>
      <c r="H761" s="2"/>
      <c r="I761" s="2"/>
      <c r="J761" s="2"/>
      <c r="K761" s="2"/>
      <c r="L761" s="2"/>
      <c r="M761" s="2"/>
      <c r="N761" s="2"/>
      <c r="O761" s="2"/>
      <c r="P761" s="2"/>
      <c r="Q761" s="2"/>
      <c r="R761" s="2"/>
      <c r="S761" s="2"/>
      <c r="T761" s="2"/>
      <c r="U761" s="2"/>
    </row>
    <row r="762">
      <c r="A762" s="2"/>
      <c r="B762" s="2"/>
      <c r="C762" s="2"/>
      <c r="D762" s="2"/>
      <c r="E762" s="2"/>
      <c r="F762" s="2"/>
      <c r="G762" s="2"/>
      <c r="H762" s="2"/>
      <c r="I762" s="2"/>
      <c r="J762" s="2"/>
      <c r="K762" s="2"/>
      <c r="L762" s="2"/>
      <c r="M762" s="2"/>
      <c r="N762" s="2"/>
      <c r="O762" s="2"/>
      <c r="P762" s="2"/>
      <c r="Q762" s="2"/>
      <c r="R762" s="2"/>
      <c r="S762" s="2"/>
      <c r="T762" s="2"/>
      <c r="U762" s="2"/>
    </row>
    <row r="763">
      <c r="A763" s="2"/>
      <c r="B763" s="2"/>
      <c r="C763" s="2"/>
      <c r="D763" s="2"/>
      <c r="E763" s="2"/>
      <c r="F763" s="2"/>
      <c r="G763" s="2"/>
      <c r="H763" s="2"/>
      <c r="I763" s="2"/>
      <c r="J763" s="2"/>
      <c r="K763" s="2"/>
      <c r="L763" s="2"/>
      <c r="M763" s="2"/>
      <c r="N763" s="2"/>
      <c r="O763" s="2"/>
      <c r="P763" s="2"/>
      <c r="Q763" s="2"/>
      <c r="R763" s="2"/>
      <c r="S763" s="2"/>
      <c r="T763" s="2"/>
      <c r="U763" s="2"/>
    </row>
    <row r="764">
      <c r="A764" s="2"/>
      <c r="B764" s="2"/>
      <c r="C764" s="2"/>
      <c r="D764" s="2"/>
      <c r="E764" s="2"/>
      <c r="F764" s="2"/>
      <c r="G764" s="2"/>
      <c r="H764" s="2"/>
      <c r="I764" s="2"/>
      <c r="J764" s="2"/>
      <c r="K764" s="2"/>
      <c r="L764" s="2"/>
      <c r="M764" s="2"/>
      <c r="N764" s="2"/>
      <c r="O764" s="2"/>
      <c r="P764" s="2"/>
      <c r="Q764" s="2"/>
      <c r="R764" s="2"/>
      <c r="S764" s="2"/>
      <c r="T764" s="2"/>
      <c r="U764" s="2"/>
    </row>
    <row r="765">
      <c r="A765" s="2"/>
      <c r="B765" s="2"/>
      <c r="C765" s="2"/>
      <c r="D765" s="2"/>
      <c r="E765" s="2"/>
      <c r="F765" s="2"/>
      <c r="G765" s="2"/>
      <c r="H765" s="2"/>
      <c r="I765" s="2"/>
      <c r="J765" s="2"/>
      <c r="K765" s="2"/>
      <c r="L765" s="2"/>
      <c r="M765" s="2"/>
      <c r="N765" s="2"/>
      <c r="O765" s="2"/>
      <c r="P765" s="2"/>
      <c r="Q765" s="2"/>
      <c r="R765" s="2"/>
      <c r="S765" s="2"/>
      <c r="T765" s="2"/>
      <c r="U765" s="2"/>
    </row>
    <row r="766">
      <c r="A766" s="2"/>
      <c r="B766" s="2"/>
      <c r="C766" s="2"/>
      <c r="D766" s="2"/>
      <c r="E766" s="2"/>
      <c r="F766" s="2"/>
      <c r="G766" s="2"/>
      <c r="H766" s="2"/>
      <c r="I766" s="2"/>
      <c r="J766" s="2"/>
      <c r="K766" s="2"/>
      <c r="L766" s="2"/>
      <c r="M766" s="2"/>
      <c r="N766" s="2"/>
      <c r="O766" s="2"/>
      <c r="P766" s="2"/>
      <c r="Q766" s="2"/>
      <c r="R766" s="2"/>
      <c r="S766" s="2"/>
      <c r="T766" s="2"/>
      <c r="U766" s="2"/>
    </row>
    <row r="767">
      <c r="A767" s="2"/>
      <c r="B767" s="2"/>
      <c r="C767" s="2"/>
      <c r="D767" s="2"/>
      <c r="E767" s="2"/>
      <c r="F767" s="2"/>
      <c r="G767" s="2"/>
      <c r="H767" s="2"/>
      <c r="I767" s="2"/>
      <c r="J767" s="2"/>
      <c r="K767" s="2"/>
      <c r="L767" s="2"/>
      <c r="M767" s="2"/>
      <c r="N767" s="2"/>
      <c r="O767" s="2"/>
      <c r="P767" s="2"/>
      <c r="Q767" s="2"/>
      <c r="R767" s="2"/>
      <c r="S767" s="2"/>
      <c r="T767" s="2"/>
      <c r="U767" s="2"/>
    </row>
    <row r="768">
      <c r="A768" s="2"/>
      <c r="B768" s="2"/>
      <c r="C768" s="2"/>
      <c r="D768" s="2"/>
      <c r="E768" s="2"/>
      <c r="F768" s="2"/>
      <c r="G768" s="2"/>
      <c r="H768" s="2"/>
      <c r="I768" s="2"/>
      <c r="J768" s="2"/>
      <c r="K768" s="2"/>
      <c r="L768" s="2"/>
      <c r="M768" s="2"/>
      <c r="N768" s="2"/>
      <c r="O768" s="2"/>
      <c r="P768" s="2"/>
      <c r="Q768" s="2"/>
      <c r="R768" s="2"/>
      <c r="S768" s="2"/>
      <c r="T768" s="2"/>
      <c r="U768" s="2"/>
    </row>
    <row r="769">
      <c r="A769" s="2"/>
      <c r="B769" s="2"/>
      <c r="C769" s="2"/>
      <c r="D769" s="2"/>
      <c r="E769" s="2"/>
      <c r="F769" s="2"/>
      <c r="G769" s="2"/>
      <c r="H769" s="2"/>
      <c r="I769" s="2"/>
      <c r="J769" s="2"/>
      <c r="K769" s="2"/>
      <c r="L769" s="2"/>
      <c r="M769" s="2"/>
      <c r="N769" s="2"/>
      <c r="O769" s="2"/>
      <c r="P769" s="2"/>
      <c r="Q769" s="2"/>
      <c r="R769" s="2"/>
      <c r="S769" s="2"/>
      <c r="T769" s="2"/>
      <c r="U769" s="2"/>
    </row>
    <row r="770">
      <c r="A770" s="2"/>
      <c r="B770" s="2"/>
      <c r="C770" s="2"/>
      <c r="D770" s="2"/>
      <c r="E770" s="2"/>
      <c r="F770" s="2"/>
      <c r="G770" s="2"/>
      <c r="H770" s="2"/>
      <c r="I770" s="2"/>
      <c r="J770" s="2"/>
      <c r="K770" s="2"/>
      <c r="L770" s="2"/>
      <c r="M770" s="2"/>
      <c r="N770" s="2"/>
      <c r="O770" s="2"/>
      <c r="P770" s="2"/>
      <c r="Q770" s="2"/>
      <c r="R770" s="2"/>
      <c r="S770" s="2"/>
      <c r="T770" s="2"/>
      <c r="U770" s="2"/>
    </row>
    <row r="771">
      <c r="A771" s="2"/>
      <c r="B771" s="2"/>
      <c r="C771" s="2"/>
      <c r="D771" s="2"/>
      <c r="E771" s="2"/>
      <c r="F771" s="2"/>
      <c r="G771" s="2"/>
      <c r="H771" s="2"/>
      <c r="I771" s="2"/>
      <c r="J771" s="2"/>
      <c r="K771" s="2"/>
      <c r="L771" s="2"/>
      <c r="M771" s="2"/>
      <c r="N771" s="2"/>
      <c r="O771" s="2"/>
      <c r="P771" s="2"/>
      <c r="Q771" s="2"/>
      <c r="R771" s="2"/>
      <c r="S771" s="2"/>
      <c r="T771" s="2"/>
      <c r="U771" s="2"/>
    </row>
    <row r="772">
      <c r="A772" s="2"/>
      <c r="B772" s="2"/>
      <c r="C772" s="2"/>
      <c r="D772" s="2"/>
      <c r="E772" s="2"/>
      <c r="F772" s="2"/>
      <c r="G772" s="2"/>
      <c r="H772" s="2"/>
      <c r="I772" s="2"/>
      <c r="J772" s="2"/>
      <c r="K772" s="2"/>
      <c r="L772" s="2"/>
      <c r="M772" s="2"/>
      <c r="N772" s="2"/>
      <c r="O772" s="2"/>
      <c r="P772" s="2"/>
      <c r="Q772" s="2"/>
      <c r="R772" s="2"/>
      <c r="S772" s="2"/>
      <c r="T772" s="2"/>
      <c r="U772" s="2"/>
    </row>
    <row r="773">
      <c r="A773" s="2"/>
      <c r="B773" s="2"/>
      <c r="C773" s="2"/>
      <c r="D773" s="2"/>
      <c r="E773" s="2"/>
      <c r="F773" s="2"/>
      <c r="G773" s="2"/>
      <c r="H773" s="2"/>
      <c r="I773" s="2"/>
      <c r="J773" s="2"/>
      <c r="K773" s="2"/>
      <c r="L773" s="2"/>
      <c r="M773" s="2"/>
      <c r="N773" s="2"/>
      <c r="O773" s="2"/>
      <c r="P773" s="2"/>
      <c r="Q773" s="2"/>
      <c r="R773" s="2"/>
      <c r="S773" s="2"/>
      <c r="T773" s="2"/>
      <c r="U773" s="2"/>
    </row>
    <row r="774">
      <c r="A774" s="2"/>
      <c r="B774" s="2"/>
      <c r="C774" s="2"/>
      <c r="D774" s="2"/>
      <c r="E774" s="2"/>
      <c r="F774" s="2"/>
      <c r="G774" s="2"/>
      <c r="H774" s="2"/>
      <c r="I774" s="2"/>
      <c r="J774" s="2"/>
      <c r="K774" s="2"/>
      <c r="L774" s="2"/>
      <c r="M774" s="2"/>
      <c r="N774" s="2"/>
      <c r="O774" s="2"/>
      <c r="P774" s="2"/>
      <c r="Q774" s="2"/>
      <c r="R774" s="2"/>
      <c r="S774" s="2"/>
      <c r="T774" s="2"/>
      <c r="U774" s="2"/>
    </row>
    <row r="775">
      <c r="A775" s="2"/>
      <c r="B775" s="2"/>
      <c r="C775" s="2"/>
      <c r="D775" s="2"/>
      <c r="E775" s="2"/>
      <c r="F775" s="2"/>
      <c r="G775" s="2"/>
      <c r="H775" s="2"/>
      <c r="I775" s="2"/>
      <c r="J775" s="2"/>
      <c r="K775" s="2"/>
      <c r="L775" s="2"/>
      <c r="M775" s="2"/>
      <c r="N775" s="2"/>
      <c r="O775" s="2"/>
      <c r="P775" s="2"/>
      <c r="Q775" s="2"/>
      <c r="R775" s="2"/>
      <c r="S775" s="2"/>
      <c r="T775" s="2"/>
      <c r="U775" s="2"/>
    </row>
    <row r="776">
      <c r="A776" s="2"/>
      <c r="B776" s="2"/>
      <c r="C776" s="2"/>
      <c r="D776" s="2"/>
      <c r="E776" s="2"/>
      <c r="F776" s="2"/>
      <c r="G776" s="2"/>
      <c r="H776" s="2"/>
      <c r="I776" s="2"/>
      <c r="J776" s="2"/>
      <c r="K776" s="2"/>
      <c r="L776" s="2"/>
      <c r="M776" s="2"/>
      <c r="N776" s="2"/>
      <c r="O776" s="2"/>
      <c r="P776" s="2"/>
      <c r="Q776" s="2"/>
      <c r="R776" s="2"/>
      <c r="S776" s="2"/>
      <c r="T776" s="2"/>
      <c r="U776" s="2"/>
    </row>
    <row r="777">
      <c r="A777" s="2"/>
      <c r="B777" s="2"/>
      <c r="C777" s="2"/>
      <c r="D777" s="2"/>
      <c r="E777" s="2"/>
      <c r="F777" s="2"/>
      <c r="G777" s="2"/>
      <c r="H777" s="2"/>
      <c r="I777" s="2"/>
      <c r="J777" s="2"/>
      <c r="K777" s="2"/>
      <c r="L777" s="2"/>
      <c r="M777" s="2"/>
      <c r="N777" s="2"/>
      <c r="O777" s="2"/>
      <c r="P777" s="2"/>
      <c r="Q777" s="2"/>
      <c r="R777" s="2"/>
      <c r="S777" s="2"/>
      <c r="T777" s="2"/>
      <c r="U777" s="2"/>
    </row>
    <row r="778">
      <c r="A778" s="2"/>
      <c r="B778" s="2"/>
      <c r="C778" s="2"/>
      <c r="D778" s="2"/>
      <c r="E778" s="2"/>
      <c r="F778" s="2"/>
      <c r="G778" s="2"/>
      <c r="H778" s="2"/>
      <c r="I778" s="2"/>
      <c r="J778" s="2"/>
      <c r="K778" s="2"/>
      <c r="L778" s="2"/>
      <c r="M778" s="2"/>
      <c r="N778" s="2"/>
      <c r="O778" s="2"/>
      <c r="P778" s="2"/>
      <c r="Q778" s="2"/>
      <c r="R778" s="2"/>
      <c r="S778" s="2"/>
      <c r="T778" s="2"/>
      <c r="U778" s="2"/>
    </row>
    <row r="779">
      <c r="A779" s="2"/>
      <c r="B779" s="2"/>
      <c r="C779" s="2"/>
      <c r="D779" s="2"/>
      <c r="E779" s="2"/>
      <c r="F779" s="2"/>
      <c r="G779" s="2"/>
      <c r="H779" s="2"/>
      <c r="I779" s="2"/>
      <c r="J779" s="2"/>
      <c r="K779" s="2"/>
      <c r="L779" s="2"/>
      <c r="M779" s="2"/>
      <c r="N779" s="2"/>
      <c r="O779" s="2"/>
      <c r="P779" s="2"/>
      <c r="Q779" s="2"/>
      <c r="R779" s="2"/>
      <c r="S779" s="2"/>
      <c r="T779" s="2"/>
      <c r="U779" s="2"/>
    </row>
    <row r="780">
      <c r="A780" s="2"/>
      <c r="B780" s="2"/>
      <c r="C780" s="2"/>
      <c r="D780" s="2"/>
      <c r="E780" s="2"/>
      <c r="F780" s="2"/>
      <c r="G780" s="2"/>
      <c r="H780" s="2"/>
      <c r="I780" s="2"/>
      <c r="J780" s="2"/>
      <c r="K780" s="2"/>
      <c r="L780" s="2"/>
      <c r="M780" s="2"/>
      <c r="N780" s="2"/>
      <c r="O780" s="2"/>
      <c r="P780" s="2"/>
      <c r="Q780" s="2"/>
      <c r="R780" s="2"/>
      <c r="S780" s="2"/>
      <c r="T780" s="2"/>
      <c r="U780" s="2"/>
    </row>
    <row r="781">
      <c r="A781" s="2"/>
      <c r="B781" s="2"/>
      <c r="C781" s="2"/>
      <c r="D781" s="2"/>
      <c r="E781" s="2"/>
      <c r="F781" s="2"/>
      <c r="G781" s="2"/>
      <c r="H781" s="2"/>
      <c r="I781" s="2"/>
      <c r="J781" s="2"/>
      <c r="K781" s="2"/>
      <c r="L781" s="2"/>
      <c r="M781" s="2"/>
      <c r="N781" s="2"/>
      <c r="O781" s="2"/>
      <c r="P781" s="2"/>
      <c r="Q781" s="2"/>
      <c r="R781" s="2"/>
      <c r="S781" s="2"/>
      <c r="T781" s="2"/>
      <c r="U781" s="2"/>
    </row>
    <row r="782">
      <c r="A782" s="2"/>
      <c r="B782" s="2"/>
      <c r="C782" s="2"/>
      <c r="D782" s="2"/>
      <c r="E782" s="2"/>
      <c r="F782" s="2"/>
      <c r="G782" s="2"/>
      <c r="H782" s="2"/>
      <c r="I782" s="2"/>
      <c r="J782" s="2"/>
      <c r="K782" s="2"/>
      <c r="L782" s="2"/>
      <c r="M782" s="2"/>
      <c r="N782" s="2"/>
      <c r="O782" s="2"/>
      <c r="P782" s="2"/>
      <c r="Q782" s="2"/>
      <c r="R782" s="2"/>
      <c r="S782" s="2"/>
      <c r="T782" s="2"/>
      <c r="U782" s="2"/>
    </row>
    <row r="783">
      <c r="A783" s="2"/>
      <c r="B783" s="2"/>
      <c r="C783" s="2"/>
      <c r="D783" s="2"/>
      <c r="E783" s="2"/>
      <c r="F783" s="2"/>
      <c r="G783" s="2"/>
      <c r="H783" s="2"/>
      <c r="I783" s="2"/>
      <c r="J783" s="2"/>
      <c r="K783" s="2"/>
      <c r="L783" s="2"/>
      <c r="M783" s="2"/>
      <c r="N783" s="2"/>
      <c r="O783" s="2"/>
      <c r="P783" s="2"/>
      <c r="Q783" s="2"/>
      <c r="R783" s="2"/>
      <c r="S783" s="2"/>
      <c r="T783" s="2"/>
      <c r="U783" s="2"/>
    </row>
    <row r="784">
      <c r="A784" s="2"/>
      <c r="B784" s="2"/>
      <c r="C784" s="2"/>
      <c r="D784" s="2"/>
      <c r="E784" s="2"/>
      <c r="F784" s="2"/>
      <c r="G784" s="2"/>
      <c r="H784" s="2"/>
      <c r="I784" s="2"/>
      <c r="J784" s="2"/>
      <c r="K784" s="2"/>
      <c r="L784" s="2"/>
      <c r="M784" s="2"/>
      <c r="N784" s="2"/>
      <c r="O784" s="2"/>
      <c r="P784" s="2"/>
      <c r="Q784" s="2"/>
      <c r="R784" s="2"/>
      <c r="S784" s="2"/>
      <c r="T784" s="2"/>
      <c r="U784" s="2"/>
    </row>
    <row r="785">
      <c r="A785" s="2"/>
      <c r="B785" s="2"/>
      <c r="C785" s="2"/>
      <c r="D785" s="2"/>
      <c r="E785" s="2"/>
      <c r="F785" s="2"/>
      <c r="G785" s="2"/>
      <c r="H785" s="2"/>
      <c r="I785" s="2"/>
      <c r="J785" s="2"/>
      <c r="K785" s="2"/>
      <c r="L785" s="2"/>
      <c r="M785" s="2"/>
      <c r="N785" s="2"/>
      <c r="O785" s="2"/>
      <c r="P785" s="2"/>
      <c r="Q785" s="2"/>
      <c r="R785" s="2"/>
      <c r="S785" s="2"/>
      <c r="T785" s="2"/>
      <c r="U785" s="2"/>
    </row>
    <row r="786">
      <c r="A786" s="2"/>
      <c r="B786" s="2"/>
      <c r="C786" s="2"/>
      <c r="D786" s="2"/>
      <c r="E786" s="2"/>
      <c r="F786" s="2"/>
      <c r="G786" s="2"/>
      <c r="H786" s="2"/>
      <c r="I786" s="2"/>
      <c r="J786" s="2"/>
      <c r="K786" s="2"/>
      <c r="L786" s="2"/>
      <c r="M786" s="2"/>
      <c r="N786" s="2"/>
      <c r="O786" s="2"/>
      <c r="P786" s="2"/>
      <c r="Q786" s="2"/>
      <c r="R786" s="2"/>
      <c r="S786" s="2"/>
      <c r="T786" s="2"/>
      <c r="U786" s="2"/>
    </row>
    <row r="787">
      <c r="A787" s="2"/>
      <c r="B787" s="2"/>
      <c r="C787" s="2"/>
      <c r="D787" s="2"/>
      <c r="E787" s="2"/>
      <c r="F787" s="2"/>
      <c r="G787" s="2"/>
      <c r="H787" s="2"/>
      <c r="I787" s="2"/>
      <c r="J787" s="2"/>
      <c r="K787" s="2"/>
      <c r="L787" s="2"/>
      <c r="M787" s="2"/>
      <c r="N787" s="2"/>
      <c r="O787" s="2"/>
      <c r="P787" s="2"/>
      <c r="Q787" s="2"/>
      <c r="R787" s="2"/>
      <c r="S787" s="2"/>
      <c r="T787" s="2"/>
      <c r="U787" s="2"/>
    </row>
    <row r="788">
      <c r="A788" s="2"/>
      <c r="B788" s="2"/>
      <c r="C788" s="2"/>
      <c r="D788" s="2"/>
      <c r="E788" s="2"/>
      <c r="F788" s="2"/>
      <c r="G788" s="2"/>
      <c r="H788" s="2"/>
      <c r="I788" s="2"/>
      <c r="J788" s="2"/>
      <c r="K788" s="2"/>
      <c r="L788" s="2"/>
      <c r="M788" s="2"/>
      <c r="N788" s="2"/>
      <c r="O788" s="2"/>
      <c r="P788" s="2"/>
      <c r="Q788" s="2"/>
      <c r="R788" s="2"/>
      <c r="S788" s="2"/>
      <c r="T788" s="2"/>
      <c r="U788" s="2"/>
    </row>
    <row r="789">
      <c r="A789" s="2"/>
      <c r="B789" s="2"/>
      <c r="C789" s="2"/>
      <c r="D789" s="2"/>
      <c r="E789" s="2"/>
      <c r="F789" s="2"/>
      <c r="G789" s="2"/>
      <c r="H789" s="2"/>
      <c r="I789" s="2"/>
      <c r="J789" s="2"/>
      <c r="K789" s="2"/>
      <c r="L789" s="2"/>
      <c r="M789" s="2"/>
      <c r="N789" s="2"/>
      <c r="O789" s="2"/>
      <c r="P789" s="2"/>
      <c r="Q789" s="2"/>
      <c r="R789" s="2"/>
      <c r="S789" s="2"/>
      <c r="T789" s="2"/>
      <c r="U789" s="2"/>
    </row>
    <row r="790">
      <c r="A790" s="2"/>
      <c r="B790" s="2"/>
      <c r="C790" s="2"/>
      <c r="D790" s="2"/>
      <c r="E790" s="2"/>
      <c r="F790" s="2"/>
      <c r="G790" s="2"/>
      <c r="H790" s="2"/>
      <c r="I790" s="2"/>
      <c r="J790" s="2"/>
      <c r="K790" s="2"/>
      <c r="L790" s="2"/>
      <c r="M790" s="2"/>
      <c r="N790" s="2"/>
      <c r="O790" s="2"/>
      <c r="P790" s="2"/>
      <c r="Q790" s="2"/>
      <c r="R790" s="2"/>
      <c r="S790" s="2"/>
      <c r="T790" s="2"/>
      <c r="U790" s="2"/>
    </row>
    <row r="791">
      <c r="A791" s="2"/>
      <c r="B791" s="2"/>
      <c r="C791" s="2"/>
      <c r="D791" s="2"/>
      <c r="E791" s="2"/>
      <c r="F791" s="2"/>
      <c r="G791" s="2"/>
      <c r="H791" s="2"/>
      <c r="I791" s="2"/>
      <c r="J791" s="2"/>
      <c r="K791" s="2"/>
      <c r="L791" s="2"/>
      <c r="M791" s="2"/>
      <c r="N791" s="2"/>
      <c r="O791" s="2"/>
      <c r="P791" s="2"/>
      <c r="Q791" s="2"/>
      <c r="R791" s="2"/>
      <c r="S791" s="2"/>
      <c r="T791" s="2"/>
      <c r="U791" s="2"/>
    </row>
    <row r="792">
      <c r="A792" s="2"/>
      <c r="B792" s="2"/>
      <c r="C792" s="2"/>
      <c r="D792" s="2"/>
      <c r="E792" s="2"/>
      <c r="F792" s="2"/>
      <c r="G792" s="2"/>
      <c r="H792" s="2"/>
      <c r="I792" s="2"/>
      <c r="J792" s="2"/>
      <c r="K792" s="2"/>
      <c r="L792" s="2"/>
      <c r="M792" s="2"/>
      <c r="N792" s="2"/>
      <c r="O792" s="2"/>
      <c r="P792" s="2"/>
      <c r="Q792" s="2"/>
      <c r="R792" s="2"/>
      <c r="S792" s="2"/>
      <c r="T792" s="2"/>
      <c r="U792" s="2"/>
    </row>
    <row r="793">
      <c r="A793" s="2"/>
      <c r="B793" s="2"/>
      <c r="C793" s="2"/>
      <c r="D793" s="2"/>
      <c r="E793" s="2"/>
      <c r="F793" s="2"/>
      <c r="G793" s="2"/>
      <c r="H793" s="2"/>
      <c r="I793" s="2"/>
      <c r="J793" s="2"/>
      <c r="K793" s="2"/>
      <c r="L793" s="2"/>
      <c r="M793" s="2"/>
      <c r="N793" s="2"/>
      <c r="O793" s="2"/>
      <c r="P793" s="2"/>
      <c r="Q793" s="2"/>
      <c r="R793" s="2"/>
      <c r="S793" s="2"/>
      <c r="T793" s="2"/>
      <c r="U793" s="2"/>
    </row>
    <row r="794">
      <c r="A794" s="2"/>
      <c r="B794" s="2"/>
      <c r="C794" s="2"/>
      <c r="D794" s="2"/>
      <c r="E794" s="2"/>
      <c r="F794" s="2"/>
      <c r="G794" s="2"/>
      <c r="H794" s="2"/>
      <c r="I794" s="2"/>
      <c r="J794" s="2"/>
      <c r="K794" s="2"/>
      <c r="L794" s="2"/>
      <c r="M794" s="2"/>
      <c r="N794" s="2"/>
      <c r="O794" s="2"/>
      <c r="P794" s="2"/>
      <c r="Q794" s="2"/>
      <c r="R794" s="2"/>
      <c r="S794" s="2"/>
      <c r="T794" s="2"/>
      <c r="U794" s="2"/>
    </row>
    <row r="795">
      <c r="A795" s="2"/>
      <c r="B795" s="2"/>
      <c r="C795" s="2"/>
      <c r="D795" s="2"/>
      <c r="E795" s="2"/>
      <c r="F795" s="2"/>
      <c r="G795" s="2"/>
      <c r="H795" s="2"/>
      <c r="I795" s="2"/>
      <c r="J795" s="2"/>
      <c r="K795" s="2"/>
      <c r="L795" s="2"/>
      <c r="M795" s="2"/>
      <c r="N795" s="2"/>
      <c r="O795" s="2"/>
      <c r="P795" s="2"/>
      <c r="Q795" s="2"/>
      <c r="R795" s="2"/>
      <c r="S795" s="2"/>
      <c r="T795" s="2"/>
      <c r="U795" s="2"/>
    </row>
    <row r="796">
      <c r="A796" s="2"/>
      <c r="B796" s="2"/>
      <c r="C796" s="2"/>
      <c r="D796" s="2"/>
      <c r="E796" s="2"/>
      <c r="F796" s="2"/>
      <c r="G796" s="2"/>
      <c r="H796" s="2"/>
      <c r="I796" s="2"/>
      <c r="J796" s="2"/>
      <c r="K796" s="2"/>
      <c r="L796" s="2"/>
      <c r="M796" s="2"/>
      <c r="N796" s="2"/>
      <c r="O796" s="2"/>
      <c r="P796" s="2"/>
      <c r="Q796" s="2"/>
      <c r="R796" s="2"/>
      <c r="S796" s="2"/>
      <c r="T796" s="2"/>
      <c r="U796" s="2"/>
    </row>
    <row r="797">
      <c r="A797" s="2"/>
      <c r="B797" s="2"/>
      <c r="C797" s="2"/>
      <c r="D797" s="2"/>
      <c r="E797" s="2"/>
      <c r="F797" s="2"/>
      <c r="G797" s="2"/>
      <c r="H797" s="2"/>
      <c r="I797" s="2"/>
      <c r="J797" s="2"/>
      <c r="K797" s="2"/>
      <c r="L797" s="2"/>
      <c r="M797" s="2"/>
      <c r="N797" s="2"/>
      <c r="O797" s="2"/>
      <c r="P797" s="2"/>
      <c r="Q797" s="2"/>
      <c r="R797" s="2"/>
      <c r="S797" s="2"/>
      <c r="T797" s="2"/>
      <c r="U797" s="2"/>
    </row>
    <row r="798">
      <c r="A798" s="2"/>
      <c r="B798" s="2"/>
      <c r="C798" s="2"/>
      <c r="D798" s="2"/>
      <c r="E798" s="2"/>
      <c r="F798" s="2"/>
      <c r="G798" s="2"/>
      <c r="H798" s="2"/>
      <c r="I798" s="2"/>
      <c r="J798" s="2"/>
      <c r="K798" s="2"/>
      <c r="L798" s="2"/>
      <c r="M798" s="2"/>
      <c r="N798" s="2"/>
      <c r="O798" s="2"/>
      <c r="P798" s="2"/>
      <c r="Q798" s="2"/>
      <c r="R798" s="2"/>
      <c r="S798" s="2"/>
      <c r="T798" s="2"/>
      <c r="U798" s="2"/>
    </row>
    <row r="799">
      <c r="A799" s="2"/>
      <c r="B799" s="2"/>
      <c r="C799" s="2"/>
      <c r="D799" s="2"/>
      <c r="E799" s="2"/>
      <c r="F799" s="2"/>
      <c r="G799" s="2"/>
      <c r="H799" s="2"/>
      <c r="I799" s="2"/>
      <c r="J799" s="2"/>
      <c r="K799" s="2"/>
      <c r="L799" s="2"/>
      <c r="M799" s="2"/>
      <c r="N799" s="2"/>
      <c r="O799" s="2"/>
      <c r="P799" s="2"/>
      <c r="Q799" s="2"/>
      <c r="R799" s="2"/>
      <c r="S799" s="2"/>
      <c r="T799" s="2"/>
      <c r="U799" s="2"/>
    </row>
    <row r="800">
      <c r="A800" s="2"/>
      <c r="B800" s="2"/>
      <c r="C800" s="2"/>
      <c r="D800" s="2"/>
      <c r="E800" s="2"/>
      <c r="F800" s="2"/>
      <c r="G800" s="2"/>
      <c r="H800" s="2"/>
      <c r="I800" s="2"/>
      <c r="J800" s="2"/>
      <c r="K800" s="2"/>
      <c r="L800" s="2"/>
      <c r="M800" s="2"/>
      <c r="N800" s="2"/>
      <c r="O800" s="2"/>
      <c r="P800" s="2"/>
      <c r="Q800" s="2"/>
      <c r="R800" s="2"/>
      <c r="S800" s="2"/>
      <c r="T800" s="2"/>
      <c r="U800" s="2"/>
    </row>
    <row r="801">
      <c r="A801" s="2"/>
      <c r="B801" s="2"/>
      <c r="C801" s="2"/>
      <c r="D801" s="2"/>
      <c r="E801" s="2"/>
      <c r="F801" s="2"/>
      <c r="G801" s="2"/>
      <c r="H801" s="2"/>
      <c r="I801" s="2"/>
      <c r="J801" s="2"/>
      <c r="K801" s="2"/>
      <c r="L801" s="2"/>
      <c r="M801" s="2"/>
      <c r="N801" s="2"/>
      <c r="O801" s="2"/>
      <c r="P801" s="2"/>
      <c r="Q801" s="2"/>
      <c r="R801" s="2"/>
      <c r="S801" s="2"/>
      <c r="T801" s="2"/>
      <c r="U801" s="2"/>
    </row>
    <row r="802">
      <c r="A802" s="2"/>
      <c r="B802" s="2"/>
      <c r="C802" s="2"/>
      <c r="D802" s="2"/>
      <c r="E802" s="2"/>
      <c r="F802" s="2"/>
      <c r="G802" s="2"/>
      <c r="H802" s="2"/>
      <c r="I802" s="2"/>
      <c r="J802" s="2"/>
      <c r="K802" s="2"/>
      <c r="L802" s="2"/>
      <c r="M802" s="2"/>
      <c r="N802" s="2"/>
      <c r="O802" s="2"/>
      <c r="P802" s="2"/>
      <c r="Q802" s="2"/>
      <c r="R802" s="2"/>
      <c r="S802" s="2"/>
      <c r="T802" s="2"/>
      <c r="U802" s="2"/>
    </row>
    <row r="803">
      <c r="A803" s="2"/>
      <c r="B803" s="2"/>
      <c r="C803" s="2"/>
      <c r="D803" s="2"/>
      <c r="E803" s="2"/>
      <c r="F803" s="2"/>
      <c r="G803" s="2"/>
      <c r="H803" s="2"/>
      <c r="I803" s="2"/>
      <c r="J803" s="2"/>
      <c r="K803" s="2"/>
      <c r="L803" s="2"/>
      <c r="M803" s="2"/>
      <c r="N803" s="2"/>
      <c r="O803" s="2"/>
      <c r="P803" s="2"/>
      <c r="Q803" s="2"/>
      <c r="R803" s="2"/>
      <c r="S803" s="2"/>
      <c r="T803" s="2"/>
      <c r="U803" s="2"/>
    </row>
    <row r="804">
      <c r="A804" s="2"/>
      <c r="B804" s="2"/>
      <c r="C804" s="2"/>
      <c r="D804" s="2"/>
      <c r="E804" s="2"/>
      <c r="F804" s="2"/>
      <c r="G804" s="2"/>
      <c r="H804" s="2"/>
      <c r="I804" s="2"/>
      <c r="J804" s="2"/>
      <c r="K804" s="2"/>
      <c r="L804" s="2"/>
      <c r="M804" s="2"/>
      <c r="N804" s="2"/>
      <c r="O804" s="2"/>
      <c r="P804" s="2"/>
      <c r="Q804" s="2"/>
      <c r="R804" s="2"/>
      <c r="S804" s="2"/>
      <c r="T804" s="2"/>
      <c r="U804" s="2"/>
    </row>
    <row r="805">
      <c r="A805" s="2"/>
      <c r="B805" s="2"/>
      <c r="C805" s="2"/>
      <c r="D805" s="2"/>
      <c r="E805" s="2"/>
      <c r="F805" s="2"/>
      <c r="G805" s="2"/>
      <c r="H805" s="2"/>
      <c r="I805" s="2"/>
      <c r="J805" s="2"/>
      <c r="K805" s="2"/>
      <c r="L805" s="2"/>
      <c r="M805" s="2"/>
      <c r="N805" s="2"/>
      <c r="O805" s="2"/>
      <c r="P805" s="2"/>
      <c r="Q805" s="2"/>
      <c r="R805" s="2"/>
      <c r="S805" s="2"/>
      <c r="T805" s="2"/>
      <c r="U805" s="2"/>
    </row>
    <row r="806">
      <c r="A806" s="2"/>
      <c r="B806" s="2"/>
      <c r="C806" s="2"/>
      <c r="D806" s="2"/>
      <c r="E806" s="2"/>
      <c r="F806" s="2"/>
      <c r="G806" s="2"/>
      <c r="H806" s="2"/>
      <c r="I806" s="2"/>
      <c r="J806" s="2"/>
      <c r="K806" s="2"/>
      <c r="L806" s="2"/>
      <c r="M806" s="2"/>
      <c r="N806" s="2"/>
      <c r="O806" s="2"/>
      <c r="P806" s="2"/>
      <c r="Q806" s="2"/>
      <c r="R806" s="2"/>
      <c r="S806" s="2"/>
      <c r="T806" s="2"/>
      <c r="U806" s="2"/>
    </row>
    <row r="807">
      <c r="A807" s="2"/>
      <c r="B807" s="2"/>
      <c r="C807" s="2"/>
      <c r="D807" s="2"/>
      <c r="E807" s="2"/>
      <c r="F807" s="2"/>
      <c r="G807" s="2"/>
      <c r="H807" s="2"/>
      <c r="I807" s="2"/>
      <c r="J807" s="2"/>
      <c r="K807" s="2"/>
      <c r="L807" s="2"/>
      <c r="M807" s="2"/>
      <c r="N807" s="2"/>
      <c r="O807" s="2"/>
      <c r="P807" s="2"/>
      <c r="Q807" s="2"/>
      <c r="R807" s="2"/>
      <c r="S807" s="2"/>
      <c r="T807" s="2"/>
      <c r="U807" s="2"/>
    </row>
    <row r="808">
      <c r="A808" s="2"/>
      <c r="B808" s="2"/>
      <c r="C808" s="2"/>
      <c r="D808" s="2"/>
      <c r="E808" s="2"/>
      <c r="F808" s="2"/>
      <c r="G808" s="2"/>
      <c r="H808" s="2"/>
      <c r="I808" s="2"/>
      <c r="J808" s="2"/>
      <c r="K808" s="2"/>
      <c r="L808" s="2"/>
      <c r="M808" s="2"/>
      <c r="N808" s="2"/>
      <c r="O808" s="2"/>
      <c r="P808" s="2"/>
      <c r="Q808" s="2"/>
      <c r="R808" s="2"/>
      <c r="S808" s="2"/>
      <c r="T808" s="2"/>
      <c r="U808" s="2"/>
    </row>
    <row r="809">
      <c r="A809" s="2"/>
      <c r="B809" s="2"/>
      <c r="C809" s="2"/>
      <c r="D809" s="2"/>
      <c r="E809" s="2"/>
      <c r="F809" s="2"/>
      <c r="G809" s="2"/>
      <c r="H809" s="2"/>
      <c r="I809" s="2"/>
      <c r="J809" s="2"/>
      <c r="K809" s="2"/>
      <c r="L809" s="2"/>
      <c r="M809" s="2"/>
      <c r="N809" s="2"/>
      <c r="O809" s="2"/>
      <c r="P809" s="2"/>
      <c r="Q809" s="2"/>
      <c r="R809" s="2"/>
      <c r="S809" s="2"/>
      <c r="T809" s="2"/>
      <c r="U809" s="2"/>
    </row>
    <row r="810">
      <c r="A810" s="2"/>
      <c r="B810" s="2"/>
      <c r="C810" s="2"/>
      <c r="D810" s="2"/>
      <c r="E810" s="2"/>
      <c r="F810" s="2"/>
      <c r="G810" s="2"/>
      <c r="H810" s="2"/>
      <c r="I810" s="2"/>
      <c r="J810" s="2"/>
      <c r="K810" s="2"/>
      <c r="L810" s="2"/>
      <c r="M810" s="2"/>
      <c r="N810" s="2"/>
      <c r="O810" s="2"/>
      <c r="P810" s="2"/>
      <c r="Q810" s="2"/>
      <c r="R810" s="2"/>
      <c r="S810" s="2"/>
      <c r="T810" s="2"/>
      <c r="U810" s="2"/>
    </row>
    <row r="811">
      <c r="A811" s="2"/>
      <c r="B811" s="2"/>
      <c r="C811" s="2"/>
      <c r="D811" s="2"/>
      <c r="E811" s="2"/>
      <c r="F811" s="2"/>
      <c r="G811" s="2"/>
      <c r="H811" s="2"/>
      <c r="I811" s="2"/>
      <c r="J811" s="2"/>
      <c r="K811" s="2"/>
      <c r="L811" s="2"/>
      <c r="M811" s="2"/>
      <c r="N811" s="2"/>
      <c r="O811" s="2"/>
      <c r="P811" s="2"/>
      <c r="Q811" s="2"/>
      <c r="R811" s="2"/>
      <c r="S811" s="2"/>
      <c r="T811" s="2"/>
      <c r="U811" s="2"/>
    </row>
    <row r="812">
      <c r="A812" s="2"/>
      <c r="B812" s="2"/>
      <c r="C812" s="2"/>
      <c r="D812" s="2"/>
      <c r="E812" s="2"/>
      <c r="F812" s="2"/>
      <c r="G812" s="2"/>
      <c r="H812" s="2"/>
      <c r="I812" s="2"/>
      <c r="J812" s="2"/>
      <c r="K812" s="2"/>
      <c r="L812" s="2"/>
      <c r="M812" s="2"/>
      <c r="N812" s="2"/>
      <c r="O812" s="2"/>
      <c r="P812" s="2"/>
      <c r="Q812" s="2"/>
      <c r="R812" s="2"/>
      <c r="S812" s="2"/>
      <c r="T812" s="2"/>
      <c r="U812" s="2"/>
    </row>
    <row r="813">
      <c r="A813" s="2"/>
      <c r="B813" s="2"/>
      <c r="C813" s="2"/>
      <c r="D813" s="2"/>
      <c r="E813" s="2"/>
      <c r="F813" s="2"/>
      <c r="G813" s="2"/>
      <c r="H813" s="2"/>
      <c r="I813" s="2"/>
      <c r="J813" s="2"/>
      <c r="K813" s="2"/>
      <c r="L813" s="2"/>
      <c r="M813" s="2"/>
      <c r="N813" s="2"/>
      <c r="O813" s="2"/>
      <c r="P813" s="2"/>
      <c r="Q813" s="2"/>
      <c r="R813" s="2"/>
      <c r="S813" s="2"/>
      <c r="T813" s="2"/>
      <c r="U813" s="2"/>
    </row>
    <row r="814">
      <c r="A814" s="2"/>
      <c r="B814" s="2"/>
      <c r="C814" s="2"/>
      <c r="D814" s="2"/>
      <c r="E814" s="2"/>
      <c r="F814" s="2"/>
      <c r="G814" s="2"/>
      <c r="H814" s="2"/>
      <c r="I814" s="2"/>
      <c r="J814" s="2"/>
      <c r="K814" s="2"/>
      <c r="L814" s="2"/>
      <c r="M814" s="2"/>
      <c r="N814" s="2"/>
      <c r="O814" s="2"/>
      <c r="P814" s="2"/>
      <c r="Q814" s="2"/>
      <c r="R814" s="2"/>
      <c r="S814" s="2"/>
      <c r="T814" s="2"/>
      <c r="U814" s="2"/>
    </row>
    <row r="815">
      <c r="A815" s="2"/>
      <c r="B815" s="2"/>
      <c r="C815" s="2"/>
      <c r="D815" s="2"/>
      <c r="E815" s="2"/>
      <c r="F815" s="2"/>
      <c r="G815" s="2"/>
      <c r="H815" s="2"/>
      <c r="I815" s="2"/>
      <c r="J815" s="2"/>
      <c r="K815" s="2"/>
      <c r="L815" s="2"/>
      <c r="M815" s="2"/>
      <c r="N815" s="2"/>
      <c r="O815" s="2"/>
      <c r="P815" s="2"/>
      <c r="Q815" s="2"/>
      <c r="R815" s="2"/>
      <c r="S815" s="2"/>
      <c r="T815" s="2"/>
      <c r="U815" s="2"/>
    </row>
    <row r="816">
      <c r="A816" s="2"/>
      <c r="B816" s="2"/>
      <c r="C816" s="2"/>
      <c r="D816" s="2"/>
      <c r="E816" s="2"/>
      <c r="F816" s="2"/>
      <c r="G816" s="2"/>
      <c r="H816" s="2"/>
      <c r="I816" s="2"/>
      <c r="J816" s="2"/>
      <c r="K816" s="2"/>
      <c r="L816" s="2"/>
      <c r="M816" s="2"/>
      <c r="N816" s="2"/>
      <c r="O816" s="2"/>
      <c r="P816" s="2"/>
      <c r="Q816" s="2"/>
      <c r="R816" s="2"/>
      <c r="S816" s="2"/>
      <c r="T816" s="2"/>
      <c r="U816" s="2"/>
    </row>
    <row r="817">
      <c r="A817" s="2"/>
      <c r="B817" s="2"/>
      <c r="C817" s="2"/>
      <c r="D817" s="2"/>
      <c r="E817" s="2"/>
      <c r="F817" s="2"/>
      <c r="G817" s="2"/>
      <c r="H817" s="2"/>
      <c r="I817" s="2"/>
      <c r="J817" s="2"/>
      <c r="K817" s="2"/>
      <c r="L817" s="2"/>
      <c r="M817" s="2"/>
      <c r="N817" s="2"/>
      <c r="O817" s="2"/>
      <c r="P817" s="2"/>
      <c r="Q817" s="2"/>
      <c r="R817" s="2"/>
      <c r="S817" s="2"/>
      <c r="T817" s="2"/>
      <c r="U817" s="2"/>
    </row>
    <row r="818">
      <c r="A818" s="2"/>
      <c r="B818" s="2"/>
      <c r="C818" s="2"/>
      <c r="D818" s="2"/>
      <c r="E818" s="2"/>
      <c r="F818" s="2"/>
      <c r="G818" s="2"/>
      <c r="H818" s="2"/>
      <c r="I818" s="2"/>
      <c r="J818" s="2"/>
      <c r="K818" s="2"/>
      <c r="L818" s="2"/>
      <c r="M818" s="2"/>
      <c r="N818" s="2"/>
      <c r="O818" s="2"/>
      <c r="P818" s="2"/>
      <c r="Q818" s="2"/>
      <c r="R818" s="2"/>
      <c r="S818" s="2"/>
      <c r="T818" s="2"/>
      <c r="U818" s="2"/>
    </row>
    <row r="819">
      <c r="A819" s="2"/>
      <c r="B819" s="2"/>
      <c r="C819" s="2"/>
      <c r="D819" s="2"/>
      <c r="E819" s="2"/>
      <c r="F819" s="2"/>
      <c r="G819" s="2"/>
      <c r="H819" s="2"/>
      <c r="I819" s="2"/>
      <c r="J819" s="2"/>
      <c r="K819" s="2"/>
      <c r="L819" s="2"/>
      <c r="M819" s="2"/>
      <c r="N819" s="2"/>
      <c r="O819" s="2"/>
      <c r="P819" s="2"/>
      <c r="Q819" s="2"/>
      <c r="R819" s="2"/>
      <c r="S819" s="2"/>
      <c r="T819" s="2"/>
      <c r="U819" s="2"/>
    </row>
    <row r="820">
      <c r="A820" s="2"/>
      <c r="B820" s="2"/>
      <c r="C820" s="2"/>
      <c r="D820" s="2"/>
      <c r="E820" s="2"/>
      <c r="F820" s="2"/>
      <c r="G820" s="2"/>
      <c r="H820" s="2"/>
      <c r="I820" s="2"/>
      <c r="J820" s="2"/>
      <c r="K820" s="2"/>
      <c r="L820" s="2"/>
      <c r="M820" s="2"/>
      <c r="N820" s="2"/>
      <c r="O820" s="2"/>
      <c r="P820" s="2"/>
      <c r="Q820" s="2"/>
      <c r="R820" s="2"/>
      <c r="S820" s="2"/>
      <c r="T820" s="2"/>
      <c r="U820" s="2"/>
    </row>
    <row r="821">
      <c r="A821" s="2"/>
      <c r="B821" s="2"/>
      <c r="C821" s="2"/>
      <c r="D821" s="2"/>
      <c r="E821" s="2"/>
      <c r="F821" s="2"/>
      <c r="G821" s="2"/>
      <c r="H821" s="2"/>
      <c r="I821" s="2"/>
      <c r="J821" s="2"/>
      <c r="K821" s="2"/>
      <c r="L821" s="2"/>
      <c r="M821" s="2"/>
      <c r="N821" s="2"/>
      <c r="O821" s="2"/>
      <c r="P821" s="2"/>
      <c r="Q821" s="2"/>
      <c r="R821" s="2"/>
      <c r="S821" s="2"/>
      <c r="T821" s="2"/>
      <c r="U821" s="2"/>
    </row>
    <row r="822">
      <c r="A822" s="2"/>
      <c r="B822" s="2"/>
      <c r="C822" s="2"/>
      <c r="D822" s="2"/>
      <c r="E822" s="2"/>
      <c r="F822" s="2"/>
      <c r="G822" s="2"/>
      <c r="H822" s="2"/>
      <c r="I822" s="2"/>
      <c r="J822" s="2"/>
      <c r="K822" s="2"/>
      <c r="L822" s="2"/>
      <c r="M822" s="2"/>
      <c r="N822" s="2"/>
      <c r="O822" s="2"/>
      <c r="P822" s="2"/>
      <c r="Q822" s="2"/>
      <c r="R822" s="2"/>
      <c r="S822" s="2"/>
      <c r="T822" s="2"/>
      <c r="U822" s="2"/>
    </row>
    <row r="823">
      <c r="A823" s="2"/>
      <c r="B823" s="2"/>
      <c r="C823" s="2"/>
      <c r="D823" s="2"/>
      <c r="E823" s="2"/>
      <c r="F823" s="2"/>
      <c r="G823" s="2"/>
      <c r="H823" s="2"/>
      <c r="I823" s="2"/>
      <c r="J823" s="2"/>
      <c r="K823" s="2"/>
      <c r="L823" s="2"/>
      <c r="M823" s="2"/>
      <c r="N823" s="2"/>
      <c r="O823" s="2"/>
      <c r="P823" s="2"/>
      <c r="Q823" s="2"/>
      <c r="R823" s="2"/>
      <c r="S823" s="2"/>
      <c r="T823" s="2"/>
      <c r="U823" s="2"/>
    </row>
    <row r="824">
      <c r="A824" s="2"/>
      <c r="B824" s="2"/>
      <c r="C824" s="2"/>
      <c r="D824" s="2"/>
      <c r="E824" s="2"/>
      <c r="F824" s="2"/>
      <c r="G824" s="2"/>
      <c r="H824" s="2"/>
      <c r="I824" s="2"/>
      <c r="J824" s="2"/>
      <c r="K824" s="2"/>
      <c r="L824" s="2"/>
      <c r="M824" s="2"/>
      <c r="N824" s="2"/>
      <c r="O824" s="2"/>
      <c r="P824" s="2"/>
      <c r="Q824" s="2"/>
      <c r="R824" s="2"/>
      <c r="S824" s="2"/>
      <c r="T824" s="2"/>
      <c r="U824" s="2"/>
    </row>
    <row r="825">
      <c r="A825" s="2"/>
      <c r="B825" s="2"/>
      <c r="C825" s="2"/>
      <c r="D825" s="2"/>
      <c r="E825" s="2"/>
      <c r="F825" s="2"/>
      <c r="G825" s="2"/>
      <c r="H825" s="2"/>
      <c r="I825" s="2"/>
      <c r="J825" s="2"/>
      <c r="K825" s="2"/>
      <c r="L825" s="2"/>
      <c r="M825" s="2"/>
      <c r="N825" s="2"/>
      <c r="O825" s="2"/>
      <c r="P825" s="2"/>
      <c r="Q825" s="2"/>
      <c r="R825" s="2"/>
      <c r="S825" s="2"/>
      <c r="T825" s="2"/>
      <c r="U825" s="2"/>
    </row>
    <row r="826">
      <c r="A826" s="2"/>
      <c r="B826" s="2"/>
      <c r="C826" s="2"/>
      <c r="D826" s="2"/>
      <c r="E826" s="2"/>
      <c r="F826" s="2"/>
      <c r="G826" s="2"/>
      <c r="H826" s="2"/>
      <c r="I826" s="2"/>
      <c r="J826" s="2"/>
      <c r="K826" s="2"/>
      <c r="L826" s="2"/>
      <c r="M826" s="2"/>
      <c r="N826" s="2"/>
      <c r="O826" s="2"/>
      <c r="P826" s="2"/>
      <c r="Q826" s="2"/>
      <c r="R826" s="2"/>
      <c r="S826" s="2"/>
      <c r="T826" s="2"/>
      <c r="U826" s="2"/>
    </row>
    <row r="827">
      <c r="A827" s="2"/>
      <c r="B827" s="2"/>
      <c r="C827" s="2"/>
      <c r="D827" s="2"/>
      <c r="E827" s="2"/>
      <c r="F827" s="2"/>
      <c r="G827" s="2"/>
      <c r="H827" s="2"/>
      <c r="I827" s="2"/>
      <c r="J827" s="2"/>
      <c r="K827" s="2"/>
      <c r="L827" s="2"/>
      <c r="M827" s="2"/>
      <c r="N827" s="2"/>
      <c r="O827" s="2"/>
      <c r="P827" s="2"/>
      <c r="Q827" s="2"/>
      <c r="R827" s="2"/>
      <c r="S827" s="2"/>
      <c r="T827" s="2"/>
      <c r="U827" s="2"/>
    </row>
    <row r="828">
      <c r="A828" s="2"/>
      <c r="B828" s="2"/>
      <c r="C828" s="2"/>
      <c r="D828" s="2"/>
      <c r="E828" s="2"/>
      <c r="F828" s="2"/>
      <c r="G828" s="2"/>
      <c r="H828" s="2"/>
      <c r="I828" s="2"/>
      <c r="J828" s="2"/>
      <c r="K828" s="2"/>
      <c r="L828" s="2"/>
      <c r="M828" s="2"/>
      <c r="N828" s="2"/>
      <c r="O828" s="2"/>
      <c r="P828" s="2"/>
      <c r="Q828" s="2"/>
      <c r="R828" s="2"/>
      <c r="S828" s="2"/>
      <c r="T828" s="2"/>
      <c r="U828" s="2"/>
    </row>
    <row r="829">
      <c r="A829" s="2"/>
      <c r="B829" s="2"/>
      <c r="C829" s="2"/>
      <c r="D829" s="2"/>
      <c r="E829" s="2"/>
      <c r="F829" s="2"/>
      <c r="G829" s="2"/>
      <c r="H829" s="2"/>
      <c r="I829" s="2"/>
      <c r="J829" s="2"/>
      <c r="K829" s="2"/>
      <c r="L829" s="2"/>
      <c r="M829" s="2"/>
      <c r="N829" s="2"/>
      <c r="O829" s="2"/>
      <c r="P829" s="2"/>
      <c r="Q829" s="2"/>
      <c r="R829" s="2"/>
      <c r="S829" s="2"/>
      <c r="T829" s="2"/>
      <c r="U829" s="2"/>
    </row>
    <row r="830">
      <c r="A830" s="2"/>
      <c r="B830" s="2"/>
      <c r="C830" s="2"/>
      <c r="D830" s="2"/>
      <c r="E830" s="2"/>
      <c r="F830" s="2"/>
      <c r="G830" s="2"/>
      <c r="H830" s="2"/>
      <c r="I830" s="2"/>
      <c r="J830" s="2"/>
      <c r="K830" s="2"/>
      <c r="L830" s="2"/>
      <c r="M830" s="2"/>
      <c r="N830" s="2"/>
      <c r="O830" s="2"/>
      <c r="P830" s="2"/>
      <c r="Q830" s="2"/>
      <c r="R830" s="2"/>
      <c r="S830" s="2"/>
      <c r="T830" s="2"/>
      <c r="U830" s="2"/>
    </row>
    <row r="831">
      <c r="A831" s="2"/>
      <c r="B831" s="2"/>
      <c r="C831" s="2"/>
      <c r="D831" s="2"/>
      <c r="E831" s="2"/>
      <c r="F831" s="2"/>
      <c r="G831" s="2"/>
      <c r="H831" s="2"/>
      <c r="I831" s="2"/>
      <c r="J831" s="2"/>
      <c r="K831" s="2"/>
      <c r="L831" s="2"/>
      <c r="M831" s="2"/>
      <c r="N831" s="2"/>
      <c r="O831" s="2"/>
      <c r="P831" s="2"/>
      <c r="Q831" s="2"/>
      <c r="R831" s="2"/>
      <c r="S831" s="2"/>
      <c r="T831" s="2"/>
      <c r="U831" s="2"/>
    </row>
    <row r="832">
      <c r="A832" s="2"/>
      <c r="B832" s="2"/>
      <c r="C832" s="2"/>
      <c r="D832" s="2"/>
      <c r="E832" s="2"/>
      <c r="F832" s="2"/>
      <c r="G832" s="2"/>
      <c r="H832" s="2"/>
      <c r="I832" s="2"/>
      <c r="J832" s="2"/>
      <c r="K832" s="2"/>
      <c r="L832" s="2"/>
      <c r="M832" s="2"/>
      <c r="N832" s="2"/>
      <c r="O832" s="2"/>
      <c r="P832" s="2"/>
      <c r="Q832" s="2"/>
      <c r="R832" s="2"/>
      <c r="S832" s="2"/>
      <c r="T832" s="2"/>
      <c r="U832" s="2"/>
    </row>
    <row r="833">
      <c r="A833" s="2"/>
      <c r="B833" s="2"/>
      <c r="C833" s="2"/>
      <c r="D833" s="2"/>
      <c r="E833" s="2"/>
      <c r="F833" s="2"/>
      <c r="G833" s="2"/>
      <c r="H833" s="2"/>
      <c r="I833" s="2"/>
      <c r="J833" s="2"/>
      <c r="K833" s="2"/>
      <c r="L833" s="2"/>
      <c r="M833" s="2"/>
      <c r="N833" s="2"/>
      <c r="O833" s="2"/>
      <c r="P833" s="2"/>
      <c r="Q833" s="2"/>
      <c r="R833" s="2"/>
      <c r="S833" s="2"/>
      <c r="T833" s="2"/>
      <c r="U833" s="2"/>
    </row>
    <row r="834">
      <c r="A834" s="2"/>
      <c r="B834" s="2"/>
      <c r="C834" s="2"/>
      <c r="D834" s="2"/>
      <c r="E834" s="2"/>
      <c r="F834" s="2"/>
      <c r="G834" s="2"/>
      <c r="H834" s="2"/>
      <c r="I834" s="2"/>
      <c r="J834" s="2"/>
      <c r="K834" s="2"/>
      <c r="L834" s="2"/>
      <c r="M834" s="2"/>
      <c r="N834" s="2"/>
      <c r="O834" s="2"/>
      <c r="P834" s="2"/>
      <c r="Q834" s="2"/>
      <c r="R834" s="2"/>
      <c r="S834" s="2"/>
      <c r="T834" s="2"/>
      <c r="U834" s="2"/>
    </row>
    <row r="835">
      <c r="A835" s="2"/>
      <c r="B835" s="2"/>
      <c r="C835" s="2"/>
      <c r="D835" s="2"/>
      <c r="E835" s="2"/>
      <c r="F835" s="2"/>
      <c r="G835" s="2"/>
      <c r="H835" s="2"/>
      <c r="I835" s="2"/>
      <c r="J835" s="2"/>
      <c r="K835" s="2"/>
      <c r="L835" s="2"/>
      <c r="M835" s="2"/>
      <c r="N835" s="2"/>
      <c r="O835" s="2"/>
      <c r="P835" s="2"/>
      <c r="Q835" s="2"/>
      <c r="R835" s="2"/>
      <c r="S835" s="2"/>
      <c r="T835" s="2"/>
      <c r="U835" s="2"/>
    </row>
    <row r="836">
      <c r="A836" s="2"/>
      <c r="B836" s="2"/>
      <c r="C836" s="2"/>
      <c r="D836" s="2"/>
      <c r="E836" s="2"/>
      <c r="F836" s="2"/>
      <c r="G836" s="2"/>
      <c r="H836" s="2"/>
      <c r="I836" s="2"/>
      <c r="J836" s="2"/>
      <c r="K836" s="2"/>
      <c r="L836" s="2"/>
      <c r="M836" s="2"/>
      <c r="N836" s="2"/>
      <c r="O836" s="2"/>
      <c r="P836" s="2"/>
      <c r="Q836" s="2"/>
      <c r="R836" s="2"/>
      <c r="S836" s="2"/>
      <c r="T836" s="2"/>
      <c r="U836" s="2"/>
    </row>
    <row r="837">
      <c r="A837" s="2"/>
      <c r="B837" s="2"/>
      <c r="C837" s="2"/>
      <c r="D837" s="2"/>
      <c r="E837" s="2"/>
      <c r="F837" s="2"/>
      <c r="G837" s="2"/>
      <c r="H837" s="2"/>
      <c r="I837" s="2"/>
      <c r="J837" s="2"/>
      <c r="K837" s="2"/>
      <c r="L837" s="2"/>
      <c r="M837" s="2"/>
      <c r="N837" s="2"/>
      <c r="O837" s="2"/>
      <c r="P837" s="2"/>
      <c r="Q837" s="2"/>
      <c r="R837" s="2"/>
      <c r="S837" s="2"/>
      <c r="T837" s="2"/>
      <c r="U837" s="2"/>
    </row>
    <row r="838">
      <c r="A838" s="2"/>
      <c r="B838" s="2"/>
      <c r="C838" s="2"/>
      <c r="D838" s="2"/>
      <c r="E838" s="2"/>
      <c r="F838" s="2"/>
      <c r="G838" s="2"/>
      <c r="H838" s="2"/>
      <c r="I838" s="2"/>
      <c r="J838" s="2"/>
      <c r="K838" s="2"/>
      <c r="L838" s="2"/>
      <c r="M838" s="2"/>
      <c r="N838" s="2"/>
      <c r="O838" s="2"/>
      <c r="P838" s="2"/>
      <c r="Q838" s="2"/>
      <c r="R838" s="2"/>
      <c r="S838" s="2"/>
      <c r="T838" s="2"/>
      <c r="U838" s="2"/>
    </row>
    <row r="839">
      <c r="A839" s="2"/>
      <c r="B839" s="2"/>
      <c r="C839" s="2"/>
      <c r="D839" s="2"/>
      <c r="E839" s="2"/>
      <c r="F839" s="2"/>
      <c r="G839" s="2"/>
      <c r="H839" s="2"/>
      <c r="I839" s="2"/>
      <c r="J839" s="2"/>
      <c r="K839" s="2"/>
      <c r="L839" s="2"/>
      <c r="M839" s="2"/>
      <c r="N839" s="2"/>
      <c r="O839" s="2"/>
      <c r="P839" s="2"/>
      <c r="Q839" s="2"/>
      <c r="R839" s="2"/>
      <c r="S839" s="2"/>
      <c r="T839" s="2"/>
      <c r="U839" s="2"/>
    </row>
    <row r="840">
      <c r="A840" s="2"/>
      <c r="B840" s="2"/>
      <c r="C840" s="2"/>
      <c r="D840" s="2"/>
      <c r="E840" s="2"/>
      <c r="F840" s="2"/>
      <c r="G840" s="2"/>
      <c r="H840" s="2"/>
      <c r="I840" s="2"/>
      <c r="J840" s="2"/>
      <c r="K840" s="2"/>
      <c r="L840" s="2"/>
      <c r="M840" s="2"/>
      <c r="N840" s="2"/>
      <c r="O840" s="2"/>
      <c r="P840" s="2"/>
      <c r="Q840" s="2"/>
      <c r="R840" s="2"/>
      <c r="S840" s="2"/>
      <c r="T840" s="2"/>
      <c r="U840" s="2"/>
    </row>
    <row r="841">
      <c r="A841" s="2"/>
      <c r="B841" s="2"/>
      <c r="C841" s="2"/>
      <c r="D841" s="2"/>
      <c r="E841" s="2"/>
      <c r="F841" s="2"/>
      <c r="G841" s="2"/>
      <c r="H841" s="2"/>
      <c r="I841" s="2"/>
      <c r="J841" s="2"/>
      <c r="K841" s="2"/>
      <c r="L841" s="2"/>
      <c r="M841" s="2"/>
      <c r="N841" s="2"/>
      <c r="O841" s="2"/>
      <c r="P841" s="2"/>
      <c r="Q841" s="2"/>
      <c r="R841" s="2"/>
      <c r="S841" s="2"/>
      <c r="T841" s="2"/>
      <c r="U841" s="2"/>
    </row>
    <row r="842">
      <c r="A842" s="2"/>
      <c r="B842" s="2"/>
      <c r="C842" s="2"/>
      <c r="D842" s="2"/>
      <c r="E842" s="2"/>
      <c r="F842" s="2"/>
      <c r="G842" s="2"/>
      <c r="H842" s="2"/>
      <c r="I842" s="2"/>
      <c r="J842" s="2"/>
      <c r="K842" s="2"/>
      <c r="L842" s="2"/>
      <c r="M842" s="2"/>
      <c r="N842" s="2"/>
      <c r="O842" s="2"/>
      <c r="P842" s="2"/>
      <c r="Q842" s="2"/>
      <c r="R842" s="2"/>
      <c r="S842" s="2"/>
      <c r="T842" s="2"/>
      <c r="U842" s="2"/>
    </row>
    <row r="843">
      <c r="A843" s="2"/>
      <c r="B843" s="2"/>
      <c r="C843" s="2"/>
      <c r="D843" s="2"/>
      <c r="E843" s="2"/>
      <c r="F843" s="2"/>
      <c r="G843" s="2"/>
      <c r="H843" s="2"/>
      <c r="I843" s="2"/>
      <c r="J843" s="2"/>
      <c r="K843" s="2"/>
      <c r="L843" s="2"/>
      <c r="M843" s="2"/>
      <c r="N843" s="2"/>
      <c r="O843" s="2"/>
      <c r="P843" s="2"/>
      <c r="Q843" s="2"/>
      <c r="R843" s="2"/>
      <c r="S843" s="2"/>
      <c r="T843" s="2"/>
      <c r="U843" s="2"/>
    </row>
    <row r="844">
      <c r="A844" s="2"/>
      <c r="B844" s="2"/>
      <c r="C844" s="2"/>
      <c r="D844" s="2"/>
      <c r="E844" s="2"/>
      <c r="F844" s="2"/>
      <c r="G844" s="2"/>
      <c r="H844" s="2"/>
      <c r="I844" s="2"/>
      <c r="J844" s="2"/>
      <c r="K844" s="2"/>
      <c r="L844" s="2"/>
      <c r="M844" s="2"/>
      <c r="N844" s="2"/>
      <c r="O844" s="2"/>
      <c r="P844" s="2"/>
      <c r="Q844" s="2"/>
      <c r="R844" s="2"/>
      <c r="S844" s="2"/>
      <c r="T844" s="2"/>
      <c r="U844" s="2"/>
    </row>
    <row r="845">
      <c r="A845" s="2"/>
      <c r="B845" s="2"/>
      <c r="C845" s="2"/>
      <c r="D845" s="2"/>
      <c r="E845" s="2"/>
      <c r="F845" s="2"/>
      <c r="G845" s="2"/>
      <c r="H845" s="2"/>
      <c r="I845" s="2"/>
      <c r="J845" s="2"/>
      <c r="K845" s="2"/>
      <c r="L845" s="2"/>
      <c r="M845" s="2"/>
      <c r="N845" s="2"/>
      <c r="O845" s="2"/>
      <c r="P845" s="2"/>
      <c r="Q845" s="2"/>
      <c r="R845" s="2"/>
      <c r="S845" s="2"/>
      <c r="T845" s="2"/>
      <c r="U845" s="2"/>
    </row>
    <row r="846">
      <c r="A846" s="2"/>
      <c r="B846" s="2"/>
      <c r="C846" s="2"/>
      <c r="D846" s="2"/>
      <c r="E846" s="2"/>
      <c r="F846" s="2"/>
      <c r="G846" s="2"/>
      <c r="H846" s="2"/>
      <c r="I846" s="2"/>
      <c r="J846" s="2"/>
      <c r="K846" s="2"/>
      <c r="L846" s="2"/>
      <c r="M846" s="2"/>
      <c r="N846" s="2"/>
      <c r="O846" s="2"/>
      <c r="P846" s="2"/>
      <c r="Q846" s="2"/>
      <c r="R846" s="2"/>
      <c r="S846" s="2"/>
      <c r="T846" s="2"/>
      <c r="U846" s="2"/>
    </row>
    <row r="847">
      <c r="A847" s="2"/>
      <c r="B847" s="2"/>
      <c r="C847" s="2"/>
      <c r="D847" s="2"/>
      <c r="E847" s="2"/>
      <c r="F847" s="2"/>
      <c r="G847" s="2"/>
      <c r="H847" s="2"/>
      <c r="I847" s="2"/>
      <c r="J847" s="2"/>
      <c r="K847" s="2"/>
      <c r="L847" s="2"/>
      <c r="M847" s="2"/>
      <c r="N847" s="2"/>
      <c r="O847" s="2"/>
      <c r="P847" s="2"/>
      <c r="Q847" s="2"/>
      <c r="R847" s="2"/>
      <c r="S847" s="2"/>
      <c r="T847" s="2"/>
      <c r="U847" s="2"/>
    </row>
    <row r="848">
      <c r="A848" s="2"/>
      <c r="B848" s="2"/>
      <c r="C848" s="2"/>
      <c r="D848" s="2"/>
      <c r="E848" s="2"/>
      <c r="F848" s="2"/>
      <c r="G848" s="2"/>
      <c r="H848" s="2"/>
      <c r="I848" s="2"/>
      <c r="J848" s="2"/>
      <c r="K848" s="2"/>
      <c r="L848" s="2"/>
      <c r="M848" s="2"/>
      <c r="N848" s="2"/>
      <c r="O848" s="2"/>
      <c r="P848" s="2"/>
      <c r="Q848" s="2"/>
      <c r="R848" s="2"/>
      <c r="S848" s="2"/>
      <c r="T848" s="2"/>
      <c r="U848" s="2"/>
    </row>
    <row r="849">
      <c r="A849" s="2"/>
      <c r="B849" s="2"/>
      <c r="C849" s="2"/>
      <c r="D849" s="2"/>
      <c r="E849" s="2"/>
      <c r="F849" s="2"/>
      <c r="G849" s="2"/>
      <c r="H849" s="2"/>
      <c r="I849" s="2"/>
      <c r="J849" s="2"/>
      <c r="K849" s="2"/>
      <c r="L849" s="2"/>
      <c r="M849" s="2"/>
      <c r="N849" s="2"/>
      <c r="O849" s="2"/>
      <c r="P849" s="2"/>
      <c r="Q849" s="2"/>
      <c r="R849" s="2"/>
      <c r="S849" s="2"/>
      <c r="T849" s="2"/>
      <c r="U849" s="2"/>
    </row>
    <row r="850">
      <c r="A850" s="2"/>
      <c r="B850" s="2"/>
      <c r="C850" s="2"/>
      <c r="D850" s="2"/>
      <c r="E850" s="2"/>
      <c r="F850" s="2"/>
      <c r="G850" s="2"/>
      <c r="H850" s="2"/>
      <c r="I850" s="2"/>
      <c r="J850" s="2"/>
      <c r="K850" s="2"/>
      <c r="L850" s="2"/>
      <c r="M850" s="2"/>
      <c r="N850" s="2"/>
      <c r="O850" s="2"/>
      <c r="P850" s="2"/>
      <c r="Q850" s="2"/>
      <c r="R850" s="2"/>
      <c r="S850" s="2"/>
      <c r="T850" s="2"/>
      <c r="U850" s="2"/>
    </row>
    <row r="851">
      <c r="A851" s="2"/>
      <c r="B851" s="2"/>
      <c r="C851" s="2"/>
      <c r="D851" s="2"/>
      <c r="E851" s="2"/>
      <c r="F851" s="2"/>
      <c r="G851" s="2"/>
      <c r="H851" s="2"/>
      <c r="I851" s="2"/>
      <c r="J851" s="2"/>
      <c r="K851" s="2"/>
      <c r="L851" s="2"/>
      <c r="M851" s="2"/>
      <c r="N851" s="2"/>
      <c r="O851" s="2"/>
      <c r="P851" s="2"/>
      <c r="Q851" s="2"/>
      <c r="R851" s="2"/>
      <c r="S851" s="2"/>
      <c r="T851" s="2"/>
      <c r="U851" s="2"/>
    </row>
    <row r="852">
      <c r="A852" s="2"/>
      <c r="B852" s="2"/>
      <c r="C852" s="2"/>
      <c r="D852" s="2"/>
      <c r="E852" s="2"/>
      <c r="F852" s="2"/>
      <c r="G852" s="2"/>
      <c r="H852" s="2"/>
      <c r="I852" s="2"/>
      <c r="J852" s="2"/>
      <c r="K852" s="2"/>
      <c r="L852" s="2"/>
      <c r="M852" s="2"/>
      <c r="N852" s="2"/>
      <c r="O852" s="2"/>
      <c r="P852" s="2"/>
      <c r="Q852" s="2"/>
      <c r="R852" s="2"/>
      <c r="S852" s="2"/>
      <c r="T852" s="2"/>
      <c r="U852" s="2"/>
    </row>
    <row r="853">
      <c r="A853" s="2"/>
      <c r="B853" s="2"/>
      <c r="C853" s="2"/>
      <c r="D853" s="2"/>
      <c r="E853" s="2"/>
      <c r="F853" s="2"/>
      <c r="G853" s="2"/>
      <c r="H853" s="2"/>
      <c r="I853" s="2"/>
      <c r="J853" s="2"/>
      <c r="K853" s="2"/>
      <c r="L853" s="2"/>
      <c r="M853" s="2"/>
      <c r="N853" s="2"/>
      <c r="O853" s="2"/>
      <c r="P853" s="2"/>
      <c r="Q853" s="2"/>
      <c r="R853" s="2"/>
      <c r="S853" s="2"/>
      <c r="T853" s="2"/>
      <c r="U853" s="2"/>
    </row>
    <row r="854">
      <c r="A854" s="2"/>
      <c r="B854" s="2"/>
      <c r="C854" s="2"/>
      <c r="D854" s="2"/>
      <c r="E854" s="2"/>
      <c r="F854" s="2"/>
      <c r="G854" s="2"/>
      <c r="H854" s="2"/>
      <c r="I854" s="2"/>
      <c r="J854" s="2"/>
      <c r="K854" s="2"/>
      <c r="L854" s="2"/>
      <c r="M854" s="2"/>
      <c r="N854" s="2"/>
      <c r="O854" s="2"/>
      <c r="P854" s="2"/>
      <c r="Q854" s="2"/>
      <c r="R854" s="2"/>
      <c r="S854" s="2"/>
      <c r="T854" s="2"/>
      <c r="U854" s="2"/>
    </row>
    <row r="855">
      <c r="A855" s="2"/>
      <c r="B855" s="2"/>
      <c r="C855" s="2"/>
      <c r="D855" s="2"/>
      <c r="E855" s="2"/>
      <c r="F855" s="2"/>
      <c r="G855" s="2"/>
      <c r="H855" s="2"/>
      <c r="I855" s="2"/>
      <c r="J855" s="2"/>
      <c r="K855" s="2"/>
      <c r="L855" s="2"/>
      <c r="M855" s="2"/>
      <c r="N855" s="2"/>
      <c r="O855" s="2"/>
      <c r="P855" s="2"/>
      <c r="Q855" s="2"/>
      <c r="R855" s="2"/>
      <c r="S855" s="2"/>
      <c r="T855" s="2"/>
      <c r="U855" s="2"/>
    </row>
    <row r="856">
      <c r="A856" s="2"/>
      <c r="B856" s="2"/>
      <c r="C856" s="2"/>
      <c r="D856" s="2"/>
      <c r="E856" s="2"/>
      <c r="F856" s="2"/>
      <c r="G856" s="2"/>
      <c r="H856" s="2"/>
      <c r="I856" s="2"/>
      <c r="J856" s="2"/>
      <c r="K856" s="2"/>
      <c r="L856" s="2"/>
      <c r="M856" s="2"/>
      <c r="N856" s="2"/>
      <c r="O856" s="2"/>
      <c r="P856" s="2"/>
      <c r="Q856" s="2"/>
      <c r="R856" s="2"/>
      <c r="S856" s="2"/>
      <c r="T856" s="2"/>
      <c r="U856" s="2"/>
    </row>
    <row r="857">
      <c r="A857" s="2"/>
      <c r="B857" s="2"/>
      <c r="C857" s="2"/>
      <c r="D857" s="2"/>
      <c r="E857" s="2"/>
      <c r="F857" s="2"/>
      <c r="G857" s="2"/>
      <c r="H857" s="2"/>
      <c r="I857" s="2"/>
      <c r="J857" s="2"/>
      <c r="K857" s="2"/>
      <c r="L857" s="2"/>
      <c r="M857" s="2"/>
      <c r="N857" s="2"/>
      <c r="O857" s="2"/>
      <c r="P857" s="2"/>
      <c r="Q857" s="2"/>
      <c r="R857" s="2"/>
      <c r="S857" s="2"/>
      <c r="T857" s="2"/>
      <c r="U857" s="2"/>
    </row>
    <row r="858">
      <c r="A858" s="2"/>
      <c r="B858" s="2"/>
      <c r="C858" s="2"/>
      <c r="D858" s="2"/>
      <c r="E858" s="2"/>
      <c r="F858" s="2"/>
      <c r="G858" s="2"/>
      <c r="H858" s="2"/>
      <c r="I858" s="2"/>
      <c r="J858" s="2"/>
      <c r="K858" s="2"/>
      <c r="L858" s="2"/>
      <c r="M858" s="2"/>
      <c r="N858" s="2"/>
      <c r="O858" s="2"/>
      <c r="P858" s="2"/>
      <c r="Q858" s="2"/>
      <c r="R858" s="2"/>
      <c r="S858" s="2"/>
      <c r="T858" s="2"/>
      <c r="U858" s="2"/>
    </row>
    <row r="859">
      <c r="A859" s="2"/>
      <c r="B859" s="2"/>
      <c r="C859" s="2"/>
      <c r="D859" s="2"/>
      <c r="E859" s="2"/>
      <c r="F859" s="2"/>
      <c r="G859" s="2"/>
      <c r="H859" s="2"/>
      <c r="I859" s="2"/>
      <c r="J859" s="2"/>
      <c r="K859" s="2"/>
      <c r="L859" s="2"/>
      <c r="M859" s="2"/>
      <c r="N859" s="2"/>
      <c r="O859" s="2"/>
      <c r="P859" s="2"/>
      <c r="Q859" s="2"/>
      <c r="R859" s="2"/>
      <c r="S859" s="2"/>
      <c r="T859" s="2"/>
      <c r="U859" s="2"/>
    </row>
    <row r="860">
      <c r="A860" s="2"/>
      <c r="B860" s="2"/>
      <c r="C860" s="2"/>
      <c r="D860" s="2"/>
      <c r="E860" s="2"/>
      <c r="F860" s="2"/>
      <c r="G860" s="2"/>
      <c r="H860" s="2"/>
      <c r="I860" s="2"/>
      <c r="J860" s="2"/>
      <c r="K860" s="2"/>
      <c r="L860" s="2"/>
      <c r="M860" s="2"/>
      <c r="N860" s="2"/>
      <c r="O860" s="2"/>
      <c r="P860" s="2"/>
      <c r="Q860" s="2"/>
      <c r="R860" s="2"/>
      <c r="S860" s="2"/>
      <c r="T860" s="2"/>
      <c r="U860" s="2"/>
    </row>
    <row r="861">
      <c r="A861" s="2"/>
      <c r="B861" s="2"/>
      <c r="C861" s="2"/>
      <c r="D861" s="2"/>
      <c r="E861" s="2"/>
      <c r="F861" s="2"/>
      <c r="G861" s="2"/>
      <c r="H861" s="2"/>
      <c r="I861" s="2"/>
      <c r="J861" s="2"/>
      <c r="K861" s="2"/>
      <c r="L861" s="2"/>
      <c r="M861" s="2"/>
      <c r="N861" s="2"/>
      <c r="O861" s="2"/>
      <c r="P861" s="2"/>
      <c r="Q861" s="2"/>
      <c r="R861" s="2"/>
      <c r="S861" s="2"/>
      <c r="T861" s="2"/>
      <c r="U861" s="2"/>
    </row>
    <row r="862">
      <c r="A862" s="2"/>
      <c r="B862" s="2"/>
      <c r="C862" s="2"/>
      <c r="D862" s="2"/>
      <c r="E862" s="2"/>
      <c r="F862" s="2"/>
      <c r="G862" s="2"/>
      <c r="H862" s="2"/>
      <c r="I862" s="2"/>
      <c r="J862" s="2"/>
      <c r="K862" s="2"/>
      <c r="L862" s="2"/>
      <c r="M862" s="2"/>
      <c r="N862" s="2"/>
      <c r="O862" s="2"/>
      <c r="P862" s="2"/>
      <c r="Q862" s="2"/>
      <c r="R862" s="2"/>
      <c r="S862" s="2"/>
      <c r="T862" s="2"/>
      <c r="U862" s="2"/>
    </row>
    <row r="863">
      <c r="A863" s="2"/>
      <c r="B863" s="2"/>
      <c r="C863" s="2"/>
      <c r="D863" s="2"/>
      <c r="E863" s="2"/>
      <c r="F863" s="2"/>
      <c r="G863" s="2"/>
      <c r="H863" s="2"/>
      <c r="I863" s="2"/>
      <c r="J863" s="2"/>
      <c r="K863" s="2"/>
      <c r="L863" s="2"/>
      <c r="M863" s="2"/>
      <c r="N863" s="2"/>
      <c r="O863" s="2"/>
      <c r="P863" s="2"/>
      <c r="Q863" s="2"/>
      <c r="R863" s="2"/>
      <c r="S863" s="2"/>
      <c r="T863" s="2"/>
      <c r="U863" s="2"/>
    </row>
    <row r="864">
      <c r="A864" s="2"/>
      <c r="B864" s="2"/>
      <c r="C864" s="2"/>
      <c r="D864" s="2"/>
      <c r="E864" s="2"/>
      <c r="F864" s="2"/>
      <c r="G864" s="2"/>
      <c r="H864" s="2"/>
      <c r="I864" s="2"/>
      <c r="J864" s="2"/>
      <c r="K864" s="2"/>
      <c r="L864" s="2"/>
      <c r="M864" s="2"/>
      <c r="N864" s="2"/>
      <c r="O864" s="2"/>
      <c r="P864" s="2"/>
      <c r="Q864" s="2"/>
      <c r="R864" s="2"/>
      <c r="S864" s="2"/>
      <c r="T864" s="2"/>
      <c r="U864" s="2"/>
    </row>
    <row r="865">
      <c r="A865" s="2"/>
      <c r="B865" s="2"/>
      <c r="C865" s="2"/>
      <c r="D865" s="2"/>
      <c r="E865" s="2"/>
      <c r="F865" s="2"/>
      <c r="G865" s="2"/>
      <c r="H865" s="2"/>
      <c r="I865" s="2"/>
      <c r="J865" s="2"/>
      <c r="K865" s="2"/>
      <c r="L865" s="2"/>
      <c r="M865" s="2"/>
      <c r="N865" s="2"/>
      <c r="O865" s="2"/>
      <c r="P865" s="2"/>
      <c r="Q865" s="2"/>
      <c r="R865" s="2"/>
      <c r="S865" s="2"/>
      <c r="T865" s="2"/>
      <c r="U865" s="2"/>
    </row>
    <row r="866">
      <c r="A866" s="2"/>
      <c r="B866" s="2"/>
      <c r="C866" s="2"/>
      <c r="D866" s="2"/>
      <c r="E866" s="2"/>
      <c r="F866" s="2"/>
      <c r="G866" s="2"/>
      <c r="H866" s="2"/>
      <c r="I866" s="2"/>
      <c r="J866" s="2"/>
      <c r="K866" s="2"/>
      <c r="L866" s="2"/>
      <c r="M866" s="2"/>
      <c r="N866" s="2"/>
      <c r="O866" s="2"/>
      <c r="P866" s="2"/>
      <c r="Q866" s="2"/>
      <c r="R866" s="2"/>
      <c r="S866" s="2"/>
      <c r="T866" s="2"/>
      <c r="U866" s="2"/>
    </row>
    <row r="867">
      <c r="A867" s="2"/>
      <c r="B867" s="2"/>
      <c r="C867" s="2"/>
      <c r="D867" s="2"/>
      <c r="E867" s="2"/>
      <c r="F867" s="2"/>
      <c r="G867" s="2"/>
      <c r="H867" s="2"/>
      <c r="I867" s="2"/>
      <c r="J867" s="2"/>
      <c r="K867" s="2"/>
      <c r="L867" s="2"/>
      <c r="M867" s="2"/>
      <c r="N867" s="2"/>
      <c r="O867" s="2"/>
      <c r="P867" s="2"/>
      <c r="Q867" s="2"/>
      <c r="R867" s="2"/>
      <c r="S867" s="2"/>
      <c r="T867" s="2"/>
      <c r="U867" s="2"/>
    </row>
    <row r="868">
      <c r="A868" s="2"/>
      <c r="B868" s="2"/>
      <c r="C868" s="2"/>
      <c r="D868" s="2"/>
      <c r="E868" s="2"/>
      <c r="F868" s="2"/>
      <c r="G868" s="2"/>
      <c r="H868" s="2"/>
      <c r="I868" s="2"/>
      <c r="J868" s="2"/>
      <c r="K868" s="2"/>
      <c r="L868" s="2"/>
      <c r="M868" s="2"/>
      <c r="N868" s="2"/>
      <c r="O868" s="2"/>
      <c r="P868" s="2"/>
      <c r="Q868" s="2"/>
      <c r="R868" s="2"/>
      <c r="S868" s="2"/>
      <c r="T868" s="2"/>
      <c r="U868" s="2"/>
    </row>
    <row r="869">
      <c r="A869" s="2"/>
      <c r="B869" s="2"/>
      <c r="C869" s="2"/>
      <c r="D869" s="2"/>
      <c r="E869" s="2"/>
      <c r="F869" s="2"/>
      <c r="G869" s="2"/>
      <c r="H869" s="2"/>
      <c r="I869" s="2"/>
      <c r="J869" s="2"/>
      <c r="K869" s="2"/>
      <c r="L869" s="2"/>
      <c r="M869" s="2"/>
      <c r="N869" s="2"/>
      <c r="O869" s="2"/>
      <c r="P869" s="2"/>
      <c r="Q869" s="2"/>
      <c r="R869" s="2"/>
      <c r="S869" s="2"/>
      <c r="T869" s="2"/>
      <c r="U869" s="2"/>
    </row>
    <row r="870">
      <c r="A870" s="2"/>
      <c r="B870" s="2"/>
      <c r="C870" s="2"/>
      <c r="D870" s="2"/>
      <c r="E870" s="2"/>
      <c r="F870" s="2"/>
      <c r="G870" s="2"/>
      <c r="H870" s="2"/>
      <c r="I870" s="2"/>
      <c r="J870" s="2"/>
      <c r="K870" s="2"/>
      <c r="L870" s="2"/>
      <c r="M870" s="2"/>
      <c r="N870" s="2"/>
      <c r="O870" s="2"/>
      <c r="P870" s="2"/>
      <c r="Q870" s="2"/>
      <c r="R870" s="2"/>
      <c r="S870" s="2"/>
      <c r="T870" s="2"/>
      <c r="U870" s="2"/>
    </row>
    <row r="871">
      <c r="A871" s="2"/>
      <c r="B871" s="2"/>
      <c r="C871" s="2"/>
      <c r="D871" s="2"/>
      <c r="E871" s="2"/>
      <c r="F871" s="2"/>
      <c r="G871" s="2"/>
      <c r="H871" s="2"/>
      <c r="I871" s="2"/>
      <c r="J871" s="2"/>
      <c r="K871" s="2"/>
      <c r="L871" s="2"/>
      <c r="M871" s="2"/>
      <c r="N871" s="2"/>
      <c r="O871" s="2"/>
      <c r="P871" s="2"/>
      <c r="Q871" s="2"/>
      <c r="R871" s="2"/>
      <c r="S871" s="2"/>
      <c r="T871" s="2"/>
      <c r="U871" s="2"/>
    </row>
    <row r="872">
      <c r="A872" s="2"/>
      <c r="B872" s="2"/>
      <c r="C872" s="2"/>
      <c r="D872" s="2"/>
      <c r="E872" s="2"/>
      <c r="F872" s="2"/>
      <c r="G872" s="2"/>
      <c r="H872" s="2"/>
      <c r="I872" s="2"/>
      <c r="J872" s="2"/>
      <c r="K872" s="2"/>
      <c r="L872" s="2"/>
      <c r="M872" s="2"/>
      <c r="N872" s="2"/>
      <c r="O872" s="2"/>
      <c r="P872" s="2"/>
      <c r="Q872" s="2"/>
      <c r="R872" s="2"/>
      <c r="S872" s="2"/>
      <c r="T872" s="2"/>
      <c r="U872" s="2"/>
    </row>
    <row r="873">
      <c r="A873" s="2"/>
      <c r="B873" s="2"/>
      <c r="C873" s="2"/>
      <c r="D873" s="2"/>
      <c r="E873" s="2"/>
      <c r="F873" s="2"/>
      <c r="G873" s="2"/>
      <c r="H873" s="2"/>
      <c r="I873" s="2"/>
      <c r="J873" s="2"/>
      <c r="K873" s="2"/>
      <c r="L873" s="2"/>
      <c r="M873" s="2"/>
      <c r="N873" s="2"/>
      <c r="O873" s="2"/>
      <c r="P873" s="2"/>
      <c r="Q873" s="2"/>
      <c r="R873" s="2"/>
      <c r="S873" s="2"/>
      <c r="T873" s="2"/>
      <c r="U873" s="2"/>
    </row>
    <row r="874">
      <c r="A874" s="2"/>
      <c r="B874" s="2"/>
      <c r="C874" s="2"/>
      <c r="D874" s="2"/>
      <c r="E874" s="2"/>
      <c r="F874" s="2"/>
      <c r="G874" s="2"/>
      <c r="H874" s="2"/>
      <c r="I874" s="2"/>
      <c r="J874" s="2"/>
      <c r="K874" s="2"/>
      <c r="L874" s="2"/>
      <c r="M874" s="2"/>
      <c r="N874" s="2"/>
      <c r="O874" s="2"/>
      <c r="P874" s="2"/>
      <c r="Q874" s="2"/>
      <c r="R874" s="2"/>
      <c r="S874" s="2"/>
      <c r="T874" s="2"/>
      <c r="U874" s="2"/>
    </row>
    <row r="875">
      <c r="A875" s="2"/>
      <c r="B875" s="2"/>
      <c r="C875" s="2"/>
      <c r="D875" s="2"/>
      <c r="E875" s="2"/>
      <c r="F875" s="2"/>
      <c r="G875" s="2"/>
      <c r="H875" s="2"/>
      <c r="I875" s="2"/>
      <c r="J875" s="2"/>
      <c r="K875" s="2"/>
      <c r="L875" s="2"/>
      <c r="M875" s="2"/>
      <c r="N875" s="2"/>
      <c r="O875" s="2"/>
      <c r="P875" s="2"/>
      <c r="Q875" s="2"/>
      <c r="R875" s="2"/>
      <c r="S875" s="2"/>
      <c r="T875" s="2"/>
      <c r="U875" s="2"/>
    </row>
    <row r="876">
      <c r="A876" s="2"/>
      <c r="B876" s="2"/>
      <c r="C876" s="2"/>
      <c r="D876" s="2"/>
      <c r="E876" s="2"/>
      <c r="F876" s="2"/>
      <c r="G876" s="2"/>
      <c r="H876" s="2"/>
      <c r="I876" s="2"/>
      <c r="J876" s="2"/>
      <c r="K876" s="2"/>
      <c r="L876" s="2"/>
      <c r="M876" s="2"/>
      <c r="N876" s="2"/>
      <c r="O876" s="2"/>
      <c r="P876" s="2"/>
      <c r="Q876" s="2"/>
      <c r="R876" s="2"/>
      <c r="S876" s="2"/>
      <c r="T876" s="2"/>
      <c r="U876" s="2"/>
    </row>
    <row r="877">
      <c r="A877" s="2"/>
      <c r="B877" s="2"/>
      <c r="C877" s="2"/>
      <c r="D877" s="2"/>
      <c r="E877" s="2"/>
      <c r="F877" s="2"/>
      <c r="G877" s="2"/>
      <c r="H877" s="2"/>
      <c r="I877" s="2"/>
      <c r="J877" s="2"/>
      <c r="K877" s="2"/>
      <c r="L877" s="2"/>
      <c r="M877" s="2"/>
      <c r="N877" s="2"/>
      <c r="O877" s="2"/>
      <c r="P877" s="2"/>
      <c r="Q877" s="2"/>
      <c r="R877" s="2"/>
      <c r="S877" s="2"/>
      <c r="T877" s="2"/>
      <c r="U877" s="2"/>
    </row>
    <row r="878">
      <c r="A878" s="2"/>
      <c r="B878" s="2"/>
      <c r="C878" s="2"/>
      <c r="D878" s="2"/>
      <c r="E878" s="2"/>
      <c r="F878" s="2"/>
      <c r="G878" s="2"/>
      <c r="H878" s="2"/>
      <c r="I878" s="2"/>
      <c r="J878" s="2"/>
      <c r="K878" s="2"/>
      <c r="L878" s="2"/>
      <c r="M878" s="2"/>
      <c r="N878" s="2"/>
      <c r="O878" s="2"/>
      <c r="P878" s="2"/>
      <c r="Q878" s="2"/>
      <c r="R878" s="2"/>
      <c r="S878" s="2"/>
      <c r="T878" s="2"/>
      <c r="U878" s="2"/>
    </row>
    <row r="879">
      <c r="A879" s="2"/>
      <c r="B879" s="2"/>
      <c r="C879" s="2"/>
      <c r="D879" s="2"/>
      <c r="E879" s="2"/>
      <c r="F879" s="2"/>
      <c r="G879" s="2"/>
      <c r="H879" s="2"/>
      <c r="I879" s="2"/>
      <c r="J879" s="2"/>
      <c r="K879" s="2"/>
      <c r="L879" s="2"/>
      <c r="M879" s="2"/>
      <c r="N879" s="2"/>
      <c r="O879" s="2"/>
      <c r="P879" s="2"/>
      <c r="Q879" s="2"/>
      <c r="R879" s="2"/>
      <c r="S879" s="2"/>
      <c r="T879" s="2"/>
      <c r="U879" s="2"/>
    </row>
    <row r="880">
      <c r="A880" s="2"/>
      <c r="B880" s="2"/>
      <c r="C880" s="2"/>
      <c r="D880" s="2"/>
      <c r="E880" s="2"/>
      <c r="F880" s="2"/>
      <c r="G880" s="2"/>
      <c r="H880" s="2"/>
      <c r="I880" s="2"/>
      <c r="J880" s="2"/>
      <c r="K880" s="2"/>
      <c r="L880" s="2"/>
      <c r="M880" s="2"/>
      <c r="N880" s="2"/>
      <c r="O880" s="2"/>
      <c r="P880" s="2"/>
      <c r="Q880" s="2"/>
      <c r="R880" s="2"/>
      <c r="S880" s="2"/>
      <c r="T880" s="2"/>
      <c r="U880" s="2"/>
    </row>
    <row r="881">
      <c r="A881" s="2"/>
      <c r="B881" s="2"/>
      <c r="C881" s="2"/>
      <c r="D881" s="2"/>
      <c r="E881" s="2"/>
      <c r="F881" s="2"/>
      <c r="G881" s="2"/>
      <c r="H881" s="2"/>
      <c r="I881" s="2"/>
      <c r="J881" s="2"/>
      <c r="K881" s="2"/>
      <c r="L881" s="2"/>
      <c r="M881" s="2"/>
      <c r="N881" s="2"/>
      <c r="O881" s="2"/>
      <c r="P881" s="2"/>
      <c r="Q881" s="2"/>
      <c r="R881" s="2"/>
      <c r="S881" s="2"/>
      <c r="T881" s="2"/>
      <c r="U881" s="2"/>
    </row>
    <row r="882">
      <c r="A882" s="2"/>
      <c r="B882" s="2"/>
      <c r="C882" s="2"/>
      <c r="D882" s="2"/>
      <c r="E882" s="2"/>
      <c r="F882" s="2"/>
      <c r="G882" s="2"/>
      <c r="H882" s="2"/>
      <c r="I882" s="2"/>
      <c r="J882" s="2"/>
      <c r="K882" s="2"/>
      <c r="L882" s="2"/>
      <c r="M882" s="2"/>
      <c r="N882" s="2"/>
      <c r="O882" s="2"/>
      <c r="P882" s="2"/>
      <c r="Q882" s="2"/>
      <c r="R882" s="2"/>
      <c r="S882" s="2"/>
      <c r="T882" s="2"/>
      <c r="U882" s="2"/>
    </row>
    <row r="883">
      <c r="A883" s="2"/>
      <c r="B883" s="2"/>
      <c r="C883" s="2"/>
      <c r="D883" s="2"/>
      <c r="E883" s="2"/>
      <c r="F883" s="2"/>
      <c r="G883" s="2"/>
      <c r="H883" s="2"/>
      <c r="I883" s="2"/>
      <c r="J883" s="2"/>
      <c r="K883" s="2"/>
      <c r="L883" s="2"/>
      <c r="M883" s="2"/>
      <c r="N883" s="2"/>
      <c r="O883" s="2"/>
      <c r="P883" s="2"/>
      <c r="Q883" s="2"/>
      <c r="R883" s="2"/>
      <c r="S883" s="2"/>
      <c r="T883" s="2"/>
      <c r="U883" s="2"/>
    </row>
    <row r="884">
      <c r="A884" s="2"/>
      <c r="B884" s="2"/>
      <c r="C884" s="2"/>
      <c r="D884" s="2"/>
      <c r="E884" s="2"/>
      <c r="F884" s="2"/>
      <c r="G884" s="2"/>
      <c r="H884" s="2"/>
      <c r="I884" s="2"/>
      <c r="J884" s="2"/>
      <c r="K884" s="2"/>
      <c r="L884" s="2"/>
      <c r="M884" s="2"/>
      <c r="N884" s="2"/>
      <c r="O884" s="2"/>
      <c r="P884" s="2"/>
      <c r="Q884" s="2"/>
      <c r="R884" s="2"/>
      <c r="S884" s="2"/>
      <c r="T884" s="2"/>
      <c r="U884" s="2"/>
    </row>
    <row r="885">
      <c r="A885" s="2"/>
      <c r="B885" s="2"/>
      <c r="C885" s="2"/>
      <c r="D885" s="2"/>
      <c r="E885" s="2"/>
      <c r="F885" s="2"/>
      <c r="G885" s="2"/>
      <c r="H885" s="2"/>
      <c r="I885" s="2"/>
      <c r="J885" s="2"/>
      <c r="K885" s="2"/>
      <c r="L885" s="2"/>
      <c r="M885" s="2"/>
      <c r="N885" s="2"/>
      <c r="O885" s="2"/>
      <c r="P885" s="2"/>
      <c r="Q885" s="2"/>
      <c r="R885" s="2"/>
      <c r="S885" s="2"/>
      <c r="T885" s="2"/>
      <c r="U885" s="2"/>
    </row>
    <row r="886">
      <c r="A886" s="2"/>
      <c r="B886" s="2"/>
      <c r="C886" s="2"/>
      <c r="D886" s="2"/>
      <c r="E886" s="2"/>
      <c r="F886" s="2"/>
      <c r="G886" s="2"/>
      <c r="H886" s="2"/>
      <c r="I886" s="2"/>
      <c r="J886" s="2"/>
      <c r="K886" s="2"/>
      <c r="L886" s="2"/>
      <c r="M886" s="2"/>
      <c r="N886" s="2"/>
      <c r="O886" s="2"/>
      <c r="P886" s="2"/>
      <c r="Q886" s="2"/>
      <c r="R886" s="2"/>
      <c r="S886" s="2"/>
      <c r="T886" s="2"/>
      <c r="U886" s="2"/>
    </row>
    <row r="887">
      <c r="A887" s="2"/>
      <c r="B887" s="2"/>
      <c r="C887" s="2"/>
      <c r="D887" s="2"/>
      <c r="E887" s="2"/>
      <c r="F887" s="2"/>
      <c r="G887" s="2"/>
      <c r="H887" s="2"/>
      <c r="I887" s="2"/>
      <c r="J887" s="2"/>
      <c r="K887" s="2"/>
      <c r="L887" s="2"/>
      <c r="M887" s="2"/>
      <c r="N887" s="2"/>
      <c r="O887" s="2"/>
      <c r="P887" s="2"/>
      <c r="Q887" s="2"/>
      <c r="R887" s="2"/>
      <c r="S887" s="2"/>
      <c r="T887" s="2"/>
      <c r="U887" s="2"/>
    </row>
    <row r="888">
      <c r="A888" s="2"/>
      <c r="B888" s="2"/>
      <c r="C888" s="2"/>
      <c r="D888" s="2"/>
      <c r="E888" s="2"/>
      <c r="F888" s="2"/>
      <c r="G888" s="2"/>
      <c r="H888" s="2"/>
      <c r="I888" s="2"/>
      <c r="J888" s="2"/>
      <c r="K888" s="2"/>
      <c r="L888" s="2"/>
      <c r="M888" s="2"/>
      <c r="N888" s="2"/>
      <c r="O888" s="2"/>
      <c r="P888" s="2"/>
      <c r="Q888" s="2"/>
      <c r="R888" s="2"/>
      <c r="S888" s="2"/>
      <c r="T888" s="2"/>
      <c r="U888" s="2"/>
    </row>
    <row r="889">
      <c r="A889" s="2"/>
      <c r="B889" s="2"/>
      <c r="C889" s="2"/>
      <c r="D889" s="2"/>
      <c r="E889" s="2"/>
      <c r="F889" s="2"/>
      <c r="G889" s="2"/>
      <c r="H889" s="2"/>
      <c r="I889" s="2"/>
      <c r="J889" s="2"/>
      <c r="K889" s="2"/>
      <c r="L889" s="2"/>
      <c r="M889" s="2"/>
      <c r="N889" s="2"/>
      <c r="O889" s="2"/>
      <c r="P889" s="2"/>
      <c r="Q889" s="2"/>
      <c r="R889" s="2"/>
      <c r="S889" s="2"/>
      <c r="T889" s="2"/>
      <c r="U889" s="2"/>
    </row>
    <row r="890">
      <c r="A890" s="2"/>
      <c r="B890" s="2"/>
      <c r="C890" s="2"/>
      <c r="D890" s="2"/>
      <c r="E890" s="2"/>
      <c r="F890" s="2"/>
      <c r="G890" s="2"/>
      <c r="H890" s="2"/>
      <c r="I890" s="2"/>
      <c r="J890" s="2"/>
      <c r="K890" s="2"/>
      <c r="L890" s="2"/>
      <c r="M890" s="2"/>
      <c r="N890" s="2"/>
      <c r="O890" s="2"/>
      <c r="P890" s="2"/>
      <c r="Q890" s="2"/>
      <c r="R890" s="2"/>
      <c r="S890" s="2"/>
      <c r="T890" s="2"/>
      <c r="U890" s="2"/>
    </row>
    <row r="891">
      <c r="A891" s="2"/>
      <c r="B891" s="2"/>
      <c r="C891" s="2"/>
      <c r="D891" s="2"/>
      <c r="E891" s="2"/>
      <c r="F891" s="2"/>
      <c r="G891" s="2"/>
      <c r="H891" s="2"/>
      <c r="I891" s="2"/>
      <c r="J891" s="2"/>
      <c r="K891" s="2"/>
      <c r="L891" s="2"/>
      <c r="M891" s="2"/>
      <c r="N891" s="2"/>
      <c r="O891" s="2"/>
      <c r="P891" s="2"/>
      <c r="Q891" s="2"/>
      <c r="R891" s="2"/>
      <c r="S891" s="2"/>
      <c r="T891" s="2"/>
      <c r="U891" s="2"/>
    </row>
    <row r="892">
      <c r="A892" s="2"/>
      <c r="B892" s="2"/>
      <c r="C892" s="2"/>
      <c r="D892" s="2"/>
      <c r="E892" s="2"/>
      <c r="F892" s="2"/>
      <c r="G892" s="2"/>
      <c r="H892" s="2"/>
      <c r="I892" s="2"/>
      <c r="J892" s="2"/>
      <c r="K892" s="2"/>
      <c r="L892" s="2"/>
      <c r="M892" s="2"/>
      <c r="N892" s="2"/>
      <c r="O892" s="2"/>
      <c r="P892" s="2"/>
      <c r="Q892" s="2"/>
      <c r="R892" s="2"/>
      <c r="S892" s="2"/>
      <c r="T892" s="2"/>
      <c r="U892" s="2"/>
    </row>
    <row r="893">
      <c r="A893" s="2"/>
      <c r="B893" s="2"/>
      <c r="C893" s="2"/>
      <c r="D893" s="2"/>
      <c r="E893" s="2"/>
      <c r="F893" s="2"/>
      <c r="G893" s="2"/>
      <c r="H893" s="2"/>
      <c r="I893" s="2"/>
      <c r="J893" s="2"/>
      <c r="K893" s="2"/>
      <c r="L893" s="2"/>
      <c r="M893" s="2"/>
      <c r="N893" s="2"/>
      <c r="O893" s="2"/>
      <c r="P893" s="2"/>
      <c r="Q893" s="2"/>
      <c r="R893" s="2"/>
      <c r="S893" s="2"/>
      <c r="T893" s="2"/>
      <c r="U893" s="2"/>
    </row>
    <row r="894">
      <c r="A894" s="2"/>
      <c r="B894" s="2"/>
      <c r="C894" s="2"/>
      <c r="D894" s="2"/>
      <c r="E894" s="2"/>
      <c r="F894" s="2"/>
      <c r="G894" s="2"/>
      <c r="H894" s="2"/>
      <c r="I894" s="2"/>
      <c r="J894" s="2"/>
      <c r="K894" s="2"/>
      <c r="L894" s="2"/>
      <c r="M894" s="2"/>
      <c r="N894" s="2"/>
      <c r="O894" s="2"/>
      <c r="P894" s="2"/>
      <c r="Q894" s="2"/>
      <c r="R894" s="2"/>
      <c r="S894" s="2"/>
      <c r="T894" s="2"/>
      <c r="U894" s="2"/>
    </row>
    <row r="895">
      <c r="A895" s="2"/>
      <c r="B895" s="2"/>
      <c r="C895" s="2"/>
      <c r="D895" s="2"/>
      <c r="E895" s="2"/>
      <c r="F895" s="2"/>
      <c r="G895" s="2"/>
      <c r="H895" s="2"/>
      <c r="I895" s="2"/>
      <c r="J895" s="2"/>
      <c r="K895" s="2"/>
      <c r="L895" s="2"/>
      <c r="M895" s="2"/>
      <c r="N895" s="2"/>
      <c r="O895" s="2"/>
      <c r="P895" s="2"/>
      <c r="Q895" s="2"/>
      <c r="R895" s="2"/>
      <c r="S895" s="2"/>
      <c r="T895" s="2"/>
      <c r="U895" s="2"/>
    </row>
    <row r="896">
      <c r="A896" s="2"/>
      <c r="B896" s="2"/>
      <c r="C896" s="2"/>
      <c r="D896" s="2"/>
      <c r="E896" s="2"/>
      <c r="F896" s="2"/>
      <c r="G896" s="2"/>
      <c r="H896" s="2"/>
      <c r="I896" s="2"/>
      <c r="J896" s="2"/>
      <c r="K896" s="2"/>
      <c r="L896" s="2"/>
      <c r="M896" s="2"/>
      <c r="N896" s="2"/>
      <c r="O896" s="2"/>
      <c r="P896" s="2"/>
      <c r="Q896" s="2"/>
      <c r="R896" s="2"/>
      <c r="S896" s="2"/>
      <c r="T896" s="2"/>
      <c r="U896" s="2"/>
    </row>
    <row r="897">
      <c r="A897" s="2"/>
      <c r="B897" s="2"/>
      <c r="C897" s="2"/>
      <c r="D897" s="2"/>
      <c r="E897" s="2"/>
      <c r="F897" s="2"/>
      <c r="G897" s="2"/>
      <c r="H897" s="2"/>
      <c r="I897" s="2"/>
      <c r="J897" s="2"/>
      <c r="K897" s="2"/>
      <c r="L897" s="2"/>
      <c r="M897" s="2"/>
      <c r="N897" s="2"/>
      <c r="O897" s="2"/>
      <c r="P897" s="2"/>
      <c r="Q897" s="2"/>
      <c r="R897" s="2"/>
      <c r="S897" s="2"/>
      <c r="T897" s="2"/>
      <c r="U897" s="2"/>
    </row>
    <row r="898">
      <c r="A898" s="2"/>
      <c r="B898" s="2"/>
      <c r="C898" s="2"/>
      <c r="D898" s="2"/>
      <c r="E898" s="2"/>
      <c r="F898" s="2"/>
      <c r="G898" s="2"/>
      <c r="H898" s="2"/>
      <c r="I898" s="2"/>
      <c r="J898" s="2"/>
      <c r="K898" s="2"/>
      <c r="L898" s="2"/>
      <c r="M898" s="2"/>
      <c r="N898" s="2"/>
      <c r="O898" s="2"/>
      <c r="P898" s="2"/>
      <c r="Q898" s="2"/>
      <c r="R898" s="2"/>
      <c r="S898" s="2"/>
      <c r="T898" s="2"/>
      <c r="U898" s="2"/>
    </row>
    <row r="899">
      <c r="A899" s="2"/>
      <c r="B899" s="2"/>
      <c r="C899" s="2"/>
      <c r="D899" s="2"/>
      <c r="E899" s="2"/>
      <c r="F899" s="2"/>
      <c r="G899" s="2"/>
      <c r="H899" s="2"/>
      <c r="I899" s="2"/>
      <c r="J899" s="2"/>
      <c r="K899" s="2"/>
      <c r="L899" s="2"/>
      <c r="M899" s="2"/>
      <c r="N899" s="2"/>
      <c r="O899" s="2"/>
      <c r="P899" s="2"/>
      <c r="Q899" s="2"/>
      <c r="R899" s="2"/>
      <c r="S899" s="2"/>
      <c r="T899" s="2"/>
      <c r="U899" s="2"/>
    </row>
    <row r="900">
      <c r="A900" s="2"/>
      <c r="B900" s="2"/>
      <c r="C900" s="2"/>
      <c r="D900" s="2"/>
      <c r="E900" s="2"/>
      <c r="F900" s="2"/>
      <c r="G900" s="2"/>
      <c r="H900" s="2"/>
      <c r="I900" s="2"/>
      <c r="J900" s="2"/>
      <c r="K900" s="2"/>
      <c r="L900" s="2"/>
      <c r="M900" s="2"/>
      <c r="N900" s="2"/>
      <c r="O900" s="2"/>
      <c r="P900" s="2"/>
      <c r="Q900" s="2"/>
      <c r="R900" s="2"/>
      <c r="S900" s="2"/>
      <c r="T900" s="2"/>
      <c r="U900" s="2"/>
    </row>
    <row r="901">
      <c r="A901" s="2"/>
      <c r="B901" s="2"/>
      <c r="C901" s="2"/>
      <c r="D901" s="2"/>
      <c r="E901" s="2"/>
      <c r="F901" s="2"/>
      <c r="G901" s="2"/>
      <c r="H901" s="2"/>
      <c r="I901" s="2"/>
      <c r="J901" s="2"/>
      <c r="K901" s="2"/>
      <c r="L901" s="2"/>
      <c r="M901" s="2"/>
      <c r="N901" s="2"/>
      <c r="O901" s="2"/>
      <c r="P901" s="2"/>
      <c r="Q901" s="2"/>
      <c r="R901" s="2"/>
      <c r="S901" s="2"/>
      <c r="T901" s="2"/>
      <c r="U901" s="2"/>
    </row>
    <row r="902">
      <c r="A902" s="2"/>
      <c r="B902" s="2"/>
      <c r="C902" s="2"/>
      <c r="D902" s="2"/>
      <c r="E902" s="2"/>
      <c r="F902" s="2"/>
      <c r="G902" s="2"/>
      <c r="H902" s="2"/>
      <c r="I902" s="2"/>
      <c r="J902" s="2"/>
      <c r="K902" s="2"/>
      <c r="L902" s="2"/>
      <c r="M902" s="2"/>
      <c r="N902" s="2"/>
      <c r="O902" s="2"/>
      <c r="P902" s="2"/>
      <c r="Q902" s="2"/>
      <c r="R902" s="2"/>
      <c r="S902" s="2"/>
      <c r="T902" s="2"/>
      <c r="U902" s="2"/>
    </row>
    <row r="903">
      <c r="A903" s="2"/>
      <c r="B903" s="2"/>
      <c r="C903" s="2"/>
      <c r="D903" s="2"/>
      <c r="E903" s="2"/>
      <c r="F903" s="2"/>
      <c r="G903" s="2"/>
      <c r="H903" s="2"/>
      <c r="I903" s="2"/>
      <c r="J903" s="2"/>
      <c r="K903" s="2"/>
      <c r="L903" s="2"/>
      <c r="M903" s="2"/>
      <c r="N903" s="2"/>
      <c r="O903" s="2"/>
      <c r="P903" s="2"/>
      <c r="Q903" s="2"/>
      <c r="R903" s="2"/>
      <c r="S903" s="2"/>
      <c r="T903" s="2"/>
      <c r="U903" s="2"/>
    </row>
    <row r="904">
      <c r="A904" s="2"/>
      <c r="B904" s="2"/>
      <c r="C904" s="2"/>
      <c r="D904" s="2"/>
      <c r="E904" s="2"/>
      <c r="F904" s="2"/>
      <c r="G904" s="2"/>
      <c r="H904" s="2"/>
      <c r="I904" s="2"/>
      <c r="J904" s="2"/>
      <c r="K904" s="2"/>
      <c r="L904" s="2"/>
      <c r="M904" s="2"/>
      <c r="N904" s="2"/>
      <c r="O904" s="2"/>
      <c r="P904" s="2"/>
      <c r="Q904" s="2"/>
      <c r="R904" s="2"/>
      <c r="S904" s="2"/>
      <c r="T904" s="2"/>
      <c r="U904" s="2"/>
    </row>
    <row r="905">
      <c r="A905" s="2"/>
      <c r="B905" s="2"/>
      <c r="C905" s="2"/>
      <c r="D905" s="2"/>
      <c r="E905" s="2"/>
      <c r="F905" s="2"/>
      <c r="G905" s="2"/>
      <c r="H905" s="2"/>
      <c r="I905" s="2"/>
      <c r="J905" s="2"/>
      <c r="K905" s="2"/>
      <c r="L905" s="2"/>
      <c r="M905" s="2"/>
      <c r="N905" s="2"/>
      <c r="O905" s="2"/>
      <c r="P905" s="2"/>
      <c r="Q905" s="2"/>
      <c r="R905" s="2"/>
      <c r="S905" s="2"/>
      <c r="T905" s="2"/>
      <c r="U905" s="2"/>
    </row>
    <row r="906">
      <c r="A906" s="2"/>
      <c r="B906" s="2"/>
      <c r="C906" s="2"/>
      <c r="D906" s="2"/>
      <c r="E906" s="2"/>
      <c r="F906" s="2"/>
      <c r="G906" s="2"/>
      <c r="H906" s="2"/>
      <c r="I906" s="2"/>
      <c r="J906" s="2"/>
      <c r="K906" s="2"/>
      <c r="L906" s="2"/>
      <c r="M906" s="2"/>
      <c r="N906" s="2"/>
      <c r="O906" s="2"/>
      <c r="P906" s="2"/>
      <c r="Q906" s="2"/>
      <c r="R906" s="2"/>
      <c r="S906" s="2"/>
      <c r="T906" s="2"/>
      <c r="U906" s="2"/>
    </row>
    <row r="907">
      <c r="A907" s="2"/>
      <c r="B907" s="2"/>
      <c r="C907" s="2"/>
      <c r="D907" s="2"/>
      <c r="E907" s="2"/>
      <c r="F907" s="2"/>
      <c r="G907" s="2"/>
      <c r="H907" s="2"/>
      <c r="I907" s="2"/>
      <c r="J907" s="2"/>
      <c r="K907" s="2"/>
      <c r="L907" s="2"/>
      <c r="M907" s="2"/>
      <c r="N907" s="2"/>
      <c r="O907" s="2"/>
      <c r="P907" s="2"/>
      <c r="Q907" s="2"/>
      <c r="R907" s="2"/>
      <c r="S907" s="2"/>
      <c r="T907" s="2"/>
      <c r="U907" s="2"/>
    </row>
    <row r="908">
      <c r="A908" s="2"/>
      <c r="B908" s="2"/>
      <c r="C908" s="2"/>
      <c r="D908" s="2"/>
      <c r="E908" s="2"/>
      <c r="F908" s="2"/>
      <c r="G908" s="2"/>
      <c r="H908" s="2"/>
      <c r="I908" s="2"/>
      <c r="J908" s="2"/>
      <c r="K908" s="2"/>
      <c r="L908" s="2"/>
      <c r="M908" s="2"/>
      <c r="N908" s="2"/>
      <c r="O908" s="2"/>
      <c r="P908" s="2"/>
      <c r="Q908" s="2"/>
      <c r="R908" s="2"/>
      <c r="S908" s="2"/>
      <c r="T908" s="2"/>
      <c r="U908" s="2"/>
    </row>
    <row r="909">
      <c r="A909" s="2"/>
      <c r="B909" s="2"/>
      <c r="C909" s="2"/>
      <c r="D909" s="2"/>
      <c r="E909" s="2"/>
      <c r="F909" s="2"/>
      <c r="G909" s="2"/>
      <c r="H909" s="2"/>
      <c r="I909" s="2"/>
      <c r="J909" s="2"/>
      <c r="K909" s="2"/>
      <c r="L909" s="2"/>
      <c r="M909" s="2"/>
      <c r="N909" s="2"/>
      <c r="O909" s="2"/>
      <c r="P909" s="2"/>
      <c r="Q909" s="2"/>
      <c r="R909" s="2"/>
      <c r="S909" s="2"/>
      <c r="T909" s="2"/>
      <c r="U909" s="2"/>
    </row>
    <row r="910">
      <c r="A910" s="2"/>
      <c r="B910" s="2"/>
      <c r="C910" s="2"/>
      <c r="D910" s="2"/>
      <c r="E910" s="2"/>
      <c r="F910" s="2"/>
      <c r="G910" s="2"/>
      <c r="H910" s="2"/>
      <c r="I910" s="2"/>
      <c r="J910" s="2"/>
      <c r="K910" s="2"/>
      <c r="L910" s="2"/>
      <c r="M910" s="2"/>
      <c r="N910" s="2"/>
      <c r="O910" s="2"/>
      <c r="P910" s="2"/>
      <c r="Q910" s="2"/>
      <c r="R910" s="2"/>
      <c r="S910" s="2"/>
      <c r="T910" s="2"/>
      <c r="U910" s="2"/>
    </row>
    <row r="911">
      <c r="A911" s="2"/>
      <c r="B911" s="2"/>
      <c r="C911" s="2"/>
      <c r="D911" s="2"/>
      <c r="E911" s="2"/>
      <c r="F911" s="2"/>
      <c r="G911" s="2"/>
      <c r="H911" s="2"/>
      <c r="I911" s="2"/>
      <c r="J911" s="2"/>
      <c r="K911" s="2"/>
      <c r="L911" s="2"/>
      <c r="M911" s="2"/>
      <c r="N911" s="2"/>
      <c r="O911" s="2"/>
      <c r="P911" s="2"/>
      <c r="Q911" s="2"/>
      <c r="R911" s="2"/>
      <c r="S911" s="2"/>
      <c r="T911" s="2"/>
      <c r="U911" s="2"/>
    </row>
    <row r="912">
      <c r="A912" s="2"/>
      <c r="B912" s="2"/>
      <c r="C912" s="2"/>
      <c r="D912" s="2"/>
      <c r="E912" s="2"/>
      <c r="F912" s="2"/>
      <c r="G912" s="2"/>
      <c r="H912" s="2"/>
      <c r="I912" s="2"/>
      <c r="J912" s="2"/>
      <c r="K912" s="2"/>
      <c r="L912" s="2"/>
      <c r="M912" s="2"/>
      <c r="N912" s="2"/>
      <c r="O912" s="2"/>
      <c r="P912" s="2"/>
      <c r="Q912" s="2"/>
      <c r="R912" s="2"/>
      <c r="S912" s="2"/>
      <c r="T912" s="2"/>
      <c r="U912" s="2"/>
    </row>
    <row r="913">
      <c r="A913" s="2"/>
      <c r="B913" s="2"/>
      <c r="C913" s="2"/>
      <c r="D913" s="2"/>
      <c r="E913" s="2"/>
      <c r="F913" s="2"/>
      <c r="G913" s="2"/>
      <c r="H913" s="2"/>
      <c r="I913" s="2"/>
      <c r="J913" s="2"/>
      <c r="K913" s="2"/>
      <c r="L913" s="2"/>
      <c r="M913" s="2"/>
      <c r="N913" s="2"/>
      <c r="O913" s="2"/>
      <c r="P913" s="2"/>
      <c r="Q913" s="2"/>
      <c r="R913" s="2"/>
      <c r="S913" s="2"/>
      <c r="T913" s="2"/>
      <c r="U913" s="2"/>
    </row>
    <row r="914">
      <c r="A914" s="2"/>
      <c r="B914" s="2"/>
      <c r="C914" s="2"/>
      <c r="D914" s="2"/>
      <c r="E914" s="2"/>
      <c r="F914" s="2"/>
      <c r="G914" s="2"/>
      <c r="H914" s="2"/>
      <c r="I914" s="2"/>
      <c r="J914" s="2"/>
      <c r="K914" s="2"/>
      <c r="L914" s="2"/>
      <c r="M914" s="2"/>
      <c r="N914" s="2"/>
      <c r="O914" s="2"/>
      <c r="P914" s="2"/>
      <c r="Q914" s="2"/>
      <c r="R914" s="2"/>
      <c r="S914" s="2"/>
      <c r="T914" s="2"/>
      <c r="U914" s="2"/>
    </row>
    <row r="915">
      <c r="A915" s="2"/>
      <c r="B915" s="2"/>
      <c r="C915" s="2"/>
      <c r="D915" s="2"/>
      <c r="E915" s="2"/>
      <c r="F915" s="2"/>
      <c r="G915" s="2"/>
      <c r="H915" s="2"/>
      <c r="I915" s="2"/>
      <c r="J915" s="2"/>
      <c r="K915" s="2"/>
      <c r="L915" s="2"/>
      <c r="M915" s="2"/>
      <c r="N915" s="2"/>
      <c r="O915" s="2"/>
      <c r="P915" s="2"/>
      <c r="Q915" s="2"/>
      <c r="R915" s="2"/>
      <c r="S915" s="2"/>
      <c r="T915" s="2"/>
      <c r="U915" s="2"/>
    </row>
    <row r="916">
      <c r="A916" s="2"/>
      <c r="B916" s="2"/>
      <c r="C916" s="2"/>
      <c r="D916" s="2"/>
      <c r="E916" s="2"/>
      <c r="F916" s="2"/>
      <c r="G916" s="2"/>
      <c r="H916" s="2"/>
      <c r="I916" s="2"/>
      <c r="J916" s="2"/>
      <c r="K916" s="2"/>
      <c r="L916" s="2"/>
      <c r="M916" s="2"/>
      <c r="N916" s="2"/>
      <c r="O916" s="2"/>
      <c r="P916" s="2"/>
      <c r="Q916" s="2"/>
      <c r="R916" s="2"/>
      <c r="S916" s="2"/>
      <c r="T916" s="2"/>
      <c r="U916" s="2"/>
    </row>
    <row r="917">
      <c r="A917" s="2"/>
      <c r="B917" s="2"/>
      <c r="C917" s="2"/>
      <c r="D917" s="2"/>
      <c r="E917" s="2"/>
      <c r="F917" s="2"/>
      <c r="G917" s="2"/>
      <c r="H917" s="2"/>
      <c r="I917" s="2"/>
      <c r="J917" s="2"/>
      <c r="K917" s="2"/>
      <c r="L917" s="2"/>
      <c r="M917" s="2"/>
      <c r="N917" s="2"/>
      <c r="O917" s="2"/>
      <c r="P917" s="2"/>
      <c r="Q917" s="2"/>
      <c r="R917" s="2"/>
      <c r="S917" s="2"/>
      <c r="T917" s="2"/>
      <c r="U917" s="2"/>
    </row>
    <row r="918">
      <c r="A918" s="2"/>
      <c r="B918" s="2"/>
      <c r="C918" s="2"/>
      <c r="D918" s="2"/>
      <c r="E918" s="2"/>
      <c r="F918" s="2"/>
      <c r="G918" s="2"/>
      <c r="H918" s="2"/>
      <c r="I918" s="2"/>
      <c r="J918" s="2"/>
      <c r="K918" s="2"/>
      <c r="L918" s="2"/>
      <c r="M918" s="2"/>
      <c r="N918" s="2"/>
      <c r="O918" s="2"/>
      <c r="P918" s="2"/>
      <c r="Q918" s="2"/>
      <c r="R918" s="2"/>
      <c r="S918" s="2"/>
      <c r="T918" s="2"/>
      <c r="U918" s="2"/>
    </row>
    <row r="919">
      <c r="A919" s="2"/>
      <c r="B919" s="2"/>
      <c r="C919" s="2"/>
      <c r="D919" s="2"/>
      <c r="E919" s="2"/>
      <c r="F919" s="2"/>
      <c r="G919" s="2"/>
      <c r="H919" s="2"/>
      <c r="I919" s="2"/>
      <c r="J919" s="2"/>
      <c r="K919" s="2"/>
      <c r="L919" s="2"/>
      <c r="M919" s="2"/>
      <c r="N919" s="2"/>
      <c r="O919" s="2"/>
      <c r="P919" s="2"/>
      <c r="Q919" s="2"/>
      <c r="R919" s="2"/>
      <c r="S919" s="2"/>
      <c r="T919" s="2"/>
      <c r="U919" s="2"/>
    </row>
    <row r="920">
      <c r="A920" s="2"/>
      <c r="B920" s="2"/>
      <c r="C920" s="2"/>
      <c r="D920" s="2"/>
      <c r="E920" s="2"/>
      <c r="F920" s="2"/>
      <c r="G920" s="2"/>
      <c r="H920" s="2"/>
      <c r="I920" s="2"/>
      <c r="J920" s="2"/>
      <c r="K920" s="2"/>
      <c r="L920" s="2"/>
      <c r="M920" s="2"/>
      <c r="N920" s="2"/>
      <c r="O920" s="2"/>
      <c r="P920" s="2"/>
      <c r="Q920" s="2"/>
      <c r="R920" s="2"/>
      <c r="S920" s="2"/>
      <c r="T920" s="2"/>
      <c r="U920" s="2"/>
    </row>
    <row r="921">
      <c r="A921" s="2"/>
      <c r="B921" s="2"/>
      <c r="C921" s="2"/>
      <c r="D921" s="2"/>
      <c r="E921" s="2"/>
      <c r="F921" s="2"/>
      <c r="G921" s="2"/>
      <c r="H921" s="2"/>
      <c r="I921" s="2"/>
      <c r="J921" s="2"/>
      <c r="K921" s="2"/>
      <c r="L921" s="2"/>
      <c r="M921" s="2"/>
      <c r="N921" s="2"/>
      <c r="O921" s="2"/>
      <c r="P921" s="2"/>
      <c r="Q921" s="2"/>
      <c r="R921" s="2"/>
      <c r="S921" s="2"/>
      <c r="T921" s="2"/>
      <c r="U921" s="2"/>
    </row>
    <row r="922">
      <c r="A922" s="2"/>
      <c r="B922" s="2"/>
      <c r="C922" s="2"/>
      <c r="D922" s="2"/>
      <c r="E922" s="2"/>
      <c r="F922" s="2"/>
      <c r="G922" s="2"/>
      <c r="H922" s="2"/>
      <c r="I922" s="2"/>
      <c r="J922" s="2"/>
      <c r="K922" s="2"/>
      <c r="L922" s="2"/>
      <c r="M922" s="2"/>
      <c r="N922" s="2"/>
      <c r="O922" s="2"/>
      <c r="P922" s="2"/>
      <c r="Q922" s="2"/>
      <c r="R922" s="2"/>
      <c r="S922" s="2"/>
      <c r="T922" s="2"/>
      <c r="U922" s="2"/>
    </row>
    <row r="923">
      <c r="A923" s="2"/>
      <c r="B923" s="2"/>
      <c r="C923" s="2"/>
      <c r="D923" s="2"/>
      <c r="E923" s="2"/>
      <c r="F923" s="2"/>
      <c r="G923" s="2"/>
      <c r="H923" s="2"/>
      <c r="I923" s="2"/>
      <c r="J923" s="2"/>
      <c r="K923" s="2"/>
      <c r="L923" s="2"/>
      <c r="M923" s="2"/>
      <c r="N923" s="2"/>
      <c r="O923" s="2"/>
      <c r="P923" s="2"/>
      <c r="Q923" s="2"/>
      <c r="R923" s="2"/>
      <c r="S923" s="2"/>
      <c r="T923" s="2"/>
      <c r="U923" s="2"/>
    </row>
    <row r="924">
      <c r="A924" s="2"/>
      <c r="B924" s="2"/>
      <c r="C924" s="2"/>
      <c r="D924" s="2"/>
      <c r="E924" s="2"/>
      <c r="F924" s="2"/>
      <c r="G924" s="2"/>
      <c r="H924" s="2"/>
      <c r="I924" s="2"/>
      <c r="J924" s="2"/>
      <c r="K924" s="2"/>
      <c r="L924" s="2"/>
      <c r="M924" s="2"/>
      <c r="N924" s="2"/>
      <c r="O924" s="2"/>
      <c r="P924" s="2"/>
      <c r="Q924" s="2"/>
      <c r="R924" s="2"/>
      <c r="S924" s="2"/>
      <c r="T924" s="2"/>
      <c r="U924" s="2"/>
    </row>
    <row r="925">
      <c r="A925" s="2"/>
      <c r="B925" s="2"/>
      <c r="C925" s="2"/>
      <c r="D925" s="2"/>
      <c r="E925" s="2"/>
      <c r="F925" s="2"/>
      <c r="G925" s="2"/>
      <c r="H925" s="2"/>
      <c r="I925" s="2"/>
      <c r="J925" s="2"/>
      <c r="K925" s="2"/>
      <c r="L925" s="2"/>
      <c r="M925" s="2"/>
      <c r="N925" s="2"/>
      <c r="O925" s="2"/>
      <c r="P925" s="2"/>
      <c r="Q925" s="2"/>
      <c r="R925" s="2"/>
      <c r="S925" s="2"/>
      <c r="T925" s="2"/>
      <c r="U925" s="2"/>
    </row>
    <row r="926">
      <c r="A926" s="2"/>
      <c r="B926" s="2"/>
      <c r="C926" s="2"/>
      <c r="D926" s="2"/>
      <c r="E926" s="2"/>
      <c r="F926" s="2"/>
      <c r="G926" s="2"/>
      <c r="H926" s="2"/>
      <c r="I926" s="2"/>
      <c r="J926" s="2"/>
      <c r="K926" s="2"/>
      <c r="L926" s="2"/>
      <c r="M926" s="2"/>
      <c r="N926" s="2"/>
      <c r="O926" s="2"/>
      <c r="P926" s="2"/>
      <c r="Q926" s="2"/>
      <c r="R926" s="2"/>
      <c r="S926" s="2"/>
      <c r="T926" s="2"/>
      <c r="U926" s="2"/>
    </row>
    <row r="927">
      <c r="A927" s="2"/>
      <c r="B927" s="2"/>
      <c r="C927" s="2"/>
      <c r="D927" s="2"/>
      <c r="E927" s="2"/>
      <c r="F927" s="2"/>
      <c r="G927" s="2"/>
      <c r="H927" s="2"/>
      <c r="I927" s="2"/>
      <c r="J927" s="2"/>
      <c r="K927" s="2"/>
      <c r="L927" s="2"/>
      <c r="M927" s="2"/>
      <c r="N927" s="2"/>
      <c r="O927" s="2"/>
      <c r="P927" s="2"/>
      <c r="Q927" s="2"/>
      <c r="R927" s="2"/>
      <c r="S927" s="2"/>
      <c r="T927" s="2"/>
      <c r="U927" s="2"/>
    </row>
    <row r="928">
      <c r="A928" s="2"/>
      <c r="B928" s="2"/>
      <c r="C928" s="2"/>
      <c r="D928" s="2"/>
      <c r="E928" s="2"/>
      <c r="F928" s="2"/>
      <c r="G928" s="2"/>
      <c r="H928" s="2"/>
      <c r="I928" s="2"/>
      <c r="J928" s="2"/>
      <c r="K928" s="2"/>
      <c r="L928" s="2"/>
      <c r="M928" s="2"/>
      <c r="N928" s="2"/>
      <c r="O928" s="2"/>
      <c r="P928" s="2"/>
      <c r="Q928" s="2"/>
      <c r="R928" s="2"/>
      <c r="S928" s="2"/>
      <c r="T928" s="2"/>
      <c r="U928" s="2"/>
    </row>
    <row r="929">
      <c r="A929" s="2"/>
      <c r="B929" s="2"/>
      <c r="C929" s="2"/>
      <c r="D929" s="2"/>
      <c r="E929" s="2"/>
      <c r="F929" s="2"/>
      <c r="G929" s="2"/>
      <c r="H929" s="2"/>
      <c r="I929" s="2"/>
      <c r="J929" s="2"/>
      <c r="K929" s="2"/>
      <c r="L929" s="2"/>
      <c r="M929" s="2"/>
      <c r="N929" s="2"/>
      <c r="O929" s="2"/>
      <c r="P929" s="2"/>
      <c r="Q929" s="2"/>
      <c r="R929" s="2"/>
      <c r="S929" s="2"/>
      <c r="T929" s="2"/>
      <c r="U929" s="2"/>
    </row>
    <row r="930">
      <c r="A930" s="2"/>
      <c r="B930" s="2"/>
      <c r="C930" s="2"/>
      <c r="D930" s="2"/>
      <c r="E930" s="2"/>
      <c r="F930" s="2"/>
      <c r="G930" s="2"/>
      <c r="H930" s="2"/>
      <c r="I930" s="2"/>
      <c r="J930" s="2"/>
      <c r="K930" s="2"/>
      <c r="L930" s="2"/>
      <c r="M930" s="2"/>
      <c r="N930" s="2"/>
      <c r="O930" s="2"/>
      <c r="P930" s="2"/>
      <c r="Q930" s="2"/>
      <c r="R930" s="2"/>
      <c r="S930" s="2"/>
      <c r="T930" s="2"/>
      <c r="U930" s="2"/>
    </row>
    <row r="931">
      <c r="A931" s="2"/>
      <c r="B931" s="2"/>
      <c r="C931" s="2"/>
      <c r="D931" s="2"/>
      <c r="E931" s="2"/>
      <c r="F931" s="2"/>
      <c r="G931" s="2"/>
      <c r="H931" s="2"/>
      <c r="I931" s="2"/>
      <c r="J931" s="2"/>
      <c r="K931" s="2"/>
      <c r="L931" s="2"/>
      <c r="M931" s="2"/>
      <c r="N931" s="2"/>
      <c r="O931" s="2"/>
      <c r="P931" s="2"/>
      <c r="Q931" s="2"/>
      <c r="R931" s="2"/>
      <c r="S931" s="2"/>
      <c r="T931" s="2"/>
      <c r="U931" s="2"/>
    </row>
    <row r="932">
      <c r="A932" s="2"/>
      <c r="B932" s="2"/>
      <c r="C932" s="2"/>
      <c r="D932" s="2"/>
      <c r="E932" s="2"/>
      <c r="F932" s="2"/>
      <c r="G932" s="2"/>
      <c r="H932" s="2"/>
      <c r="I932" s="2"/>
      <c r="J932" s="2"/>
      <c r="K932" s="2"/>
      <c r="L932" s="2"/>
      <c r="M932" s="2"/>
      <c r="N932" s="2"/>
      <c r="O932" s="2"/>
      <c r="P932" s="2"/>
      <c r="Q932" s="2"/>
      <c r="R932" s="2"/>
      <c r="S932" s="2"/>
      <c r="T932" s="2"/>
      <c r="U932" s="2"/>
    </row>
    <row r="933">
      <c r="A933" s="2"/>
      <c r="B933" s="2"/>
      <c r="C933" s="2"/>
      <c r="D933" s="2"/>
      <c r="E933" s="2"/>
      <c r="F933" s="2"/>
      <c r="G933" s="2"/>
      <c r="H933" s="2"/>
      <c r="I933" s="2"/>
      <c r="J933" s="2"/>
      <c r="K933" s="2"/>
      <c r="L933" s="2"/>
      <c r="M933" s="2"/>
      <c r="N933" s="2"/>
      <c r="O933" s="2"/>
      <c r="P933" s="2"/>
      <c r="Q933" s="2"/>
      <c r="R933" s="2"/>
      <c r="S933" s="2"/>
      <c r="T933" s="2"/>
      <c r="U933" s="2"/>
    </row>
    <row r="934">
      <c r="A934" s="2"/>
      <c r="B934" s="2"/>
      <c r="C934" s="2"/>
      <c r="D934" s="2"/>
      <c r="E934" s="2"/>
      <c r="F934" s="2"/>
      <c r="G934" s="2"/>
      <c r="H934" s="2"/>
      <c r="I934" s="2"/>
      <c r="J934" s="2"/>
      <c r="K934" s="2"/>
      <c r="L934" s="2"/>
      <c r="M934" s="2"/>
      <c r="N934" s="2"/>
      <c r="O934" s="2"/>
      <c r="P934" s="2"/>
      <c r="Q934" s="2"/>
      <c r="R934" s="2"/>
      <c r="S934" s="2"/>
      <c r="T934" s="2"/>
      <c r="U934" s="2"/>
    </row>
    <row r="935">
      <c r="A935" s="2"/>
      <c r="B935" s="2"/>
      <c r="C935" s="2"/>
      <c r="D935" s="2"/>
      <c r="E935" s="2"/>
      <c r="F935" s="2"/>
      <c r="G935" s="2"/>
      <c r="H935" s="2"/>
      <c r="I935" s="2"/>
      <c r="J935" s="2"/>
      <c r="K935" s="2"/>
      <c r="L935" s="2"/>
      <c r="M935" s="2"/>
      <c r="N935" s="2"/>
      <c r="O935" s="2"/>
      <c r="P935" s="2"/>
      <c r="Q935" s="2"/>
      <c r="R935" s="2"/>
      <c r="S935" s="2"/>
      <c r="T935" s="2"/>
      <c r="U935" s="2"/>
    </row>
    <row r="936">
      <c r="A936" s="2"/>
      <c r="B936" s="2"/>
      <c r="C936" s="2"/>
      <c r="D936" s="2"/>
      <c r="E936" s="2"/>
      <c r="F936" s="2"/>
      <c r="G936" s="2"/>
      <c r="H936" s="2"/>
      <c r="I936" s="2"/>
      <c r="J936" s="2"/>
      <c r="K936" s="2"/>
      <c r="L936" s="2"/>
      <c r="M936" s="2"/>
      <c r="N936" s="2"/>
      <c r="O936" s="2"/>
      <c r="P936" s="2"/>
      <c r="Q936" s="2"/>
      <c r="R936" s="2"/>
      <c r="S936" s="2"/>
      <c r="T936" s="2"/>
      <c r="U936" s="2"/>
    </row>
    <row r="937">
      <c r="A937" s="2"/>
      <c r="B937" s="2"/>
      <c r="C937" s="2"/>
      <c r="D937" s="2"/>
      <c r="E937" s="2"/>
      <c r="F937" s="2"/>
      <c r="G937" s="2"/>
      <c r="H937" s="2"/>
      <c r="I937" s="2"/>
      <c r="J937" s="2"/>
      <c r="K937" s="2"/>
      <c r="L937" s="2"/>
      <c r="M937" s="2"/>
      <c r="N937" s="2"/>
      <c r="O937" s="2"/>
      <c r="P937" s="2"/>
      <c r="Q937" s="2"/>
      <c r="R937" s="2"/>
      <c r="S937" s="2"/>
      <c r="T937" s="2"/>
      <c r="U937" s="2"/>
    </row>
    <row r="938">
      <c r="A938" s="2"/>
      <c r="B938" s="2"/>
      <c r="C938" s="2"/>
      <c r="D938" s="2"/>
      <c r="E938" s="2"/>
      <c r="F938" s="2"/>
      <c r="G938" s="2"/>
      <c r="H938" s="2"/>
      <c r="I938" s="2"/>
      <c r="J938" s="2"/>
      <c r="K938" s="2"/>
      <c r="L938" s="2"/>
      <c r="M938" s="2"/>
      <c r="N938" s="2"/>
      <c r="O938" s="2"/>
      <c r="P938" s="2"/>
      <c r="Q938" s="2"/>
      <c r="R938" s="2"/>
      <c r="S938" s="2"/>
      <c r="T938" s="2"/>
      <c r="U938" s="2"/>
    </row>
    <row r="939">
      <c r="A939" s="2"/>
      <c r="B939" s="2"/>
      <c r="C939" s="2"/>
      <c r="D939" s="2"/>
      <c r="E939" s="2"/>
      <c r="F939" s="2"/>
      <c r="G939" s="2"/>
      <c r="H939" s="2"/>
      <c r="I939" s="2"/>
      <c r="J939" s="2"/>
      <c r="K939" s="2"/>
      <c r="L939" s="2"/>
      <c r="M939" s="2"/>
      <c r="N939" s="2"/>
      <c r="O939" s="2"/>
      <c r="P939" s="2"/>
      <c r="Q939" s="2"/>
      <c r="R939" s="2"/>
      <c r="S939" s="2"/>
      <c r="T939" s="2"/>
      <c r="U939" s="2"/>
    </row>
    <row r="940">
      <c r="A940" s="2"/>
      <c r="B940" s="2"/>
      <c r="C940" s="2"/>
      <c r="D940" s="2"/>
      <c r="E940" s="2"/>
      <c r="F940" s="2"/>
      <c r="G940" s="2"/>
      <c r="H940" s="2"/>
      <c r="I940" s="2"/>
      <c r="J940" s="2"/>
      <c r="K940" s="2"/>
      <c r="L940" s="2"/>
      <c r="M940" s="2"/>
      <c r="N940" s="2"/>
      <c r="O940" s="2"/>
      <c r="P940" s="2"/>
      <c r="Q940" s="2"/>
      <c r="R940" s="2"/>
      <c r="S940" s="2"/>
      <c r="T940" s="2"/>
      <c r="U940" s="2"/>
    </row>
    <row r="941">
      <c r="A941" s="2"/>
      <c r="B941" s="2"/>
      <c r="C941" s="2"/>
      <c r="D941" s="2"/>
      <c r="E941" s="2"/>
      <c r="F941" s="2"/>
      <c r="G941" s="2"/>
      <c r="H941" s="2"/>
      <c r="I941" s="2"/>
      <c r="J941" s="2"/>
      <c r="K941" s="2"/>
      <c r="L941" s="2"/>
      <c r="M941" s="2"/>
      <c r="N941" s="2"/>
      <c r="O941" s="2"/>
      <c r="P941" s="2"/>
      <c r="Q941" s="2"/>
      <c r="R941" s="2"/>
      <c r="S941" s="2"/>
      <c r="T941" s="2"/>
      <c r="U941" s="2"/>
    </row>
    <row r="942">
      <c r="A942" s="2"/>
      <c r="B942" s="2"/>
      <c r="C942" s="2"/>
      <c r="D942" s="2"/>
      <c r="E942" s="2"/>
      <c r="F942" s="2"/>
      <c r="G942" s="2"/>
      <c r="H942" s="2"/>
      <c r="I942" s="2"/>
      <c r="J942" s="2"/>
      <c r="K942" s="2"/>
      <c r="L942" s="2"/>
      <c r="M942" s="2"/>
      <c r="N942" s="2"/>
      <c r="O942" s="2"/>
      <c r="P942" s="2"/>
      <c r="Q942" s="2"/>
      <c r="R942" s="2"/>
      <c r="S942" s="2"/>
      <c r="T942" s="2"/>
      <c r="U942" s="2"/>
    </row>
    <row r="943">
      <c r="A943" s="2"/>
      <c r="B943" s="2"/>
      <c r="C943" s="2"/>
      <c r="D943" s="2"/>
      <c r="E943" s="2"/>
      <c r="F943" s="2"/>
      <c r="G943" s="2"/>
      <c r="H943" s="2"/>
      <c r="I943" s="2"/>
      <c r="J943" s="2"/>
      <c r="K943" s="2"/>
      <c r="L943" s="2"/>
      <c r="M943" s="2"/>
      <c r="N943" s="2"/>
      <c r="O943" s="2"/>
      <c r="P943" s="2"/>
      <c r="Q943" s="2"/>
      <c r="R943" s="2"/>
      <c r="S943" s="2"/>
      <c r="T943" s="2"/>
      <c r="U943" s="2"/>
    </row>
    <row r="944">
      <c r="A944" s="2"/>
      <c r="B944" s="2"/>
      <c r="C944" s="2"/>
      <c r="D944" s="2"/>
      <c r="E944" s="2"/>
      <c r="F944" s="2"/>
      <c r="G944" s="2"/>
      <c r="H944" s="2"/>
      <c r="I944" s="2"/>
      <c r="J944" s="2"/>
      <c r="K944" s="2"/>
      <c r="L944" s="2"/>
      <c r="M944" s="2"/>
      <c r="N944" s="2"/>
      <c r="O944" s="2"/>
      <c r="P944" s="2"/>
      <c r="Q944" s="2"/>
      <c r="R944" s="2"/>
      <c r="S944" s="2"/>
      <c r="T944" s="2"/>
      <c r="U944" s="2"/>
    </row>
    <row r="945">
      <c r="A945" s="2"/>
      <c r="B945" s="2"/>
      <c r="C945" s="2"/>
      <c r="D945" s="2"/>
      <c r="E945" s="2"/>
      <c r="F945" s="2"/>
      <c r="G945" s="2"/>
      <c r="H945" s="2"/>
      <c r="I945" s="2"/>
      <c r="J945" s="2"/>
      <c r="K945" s="2"/>
      <c r="L945" s="2"/>
      <c r="M945" s="2"/>
      <c r="N945" s="2"/>
      <c r="O945" s="2"/>
      <c r="P945" s="2"/>
      <c r="Q945" s="2"/>
      <c r="R945" s="2"/>
      <c r="S945" s="2"/>
      <c r="T945" s="2"/>
      <c r="U945" s="2"/>
    </row>
    <row r="946">
      <c r="A946" s="2"/>
      <c r="B946" s="2"/>
      <c r="C946" s="2"/>
      <c r="D946" s="2"/>
      <c r="E946" s="2"/>
      <c r="F946" s="2"/>
      <c r="G946" s="2"/>
      <c r="H946" s="2"/>
      <c r="I946" s="2"/>
      <c r="J946" s="2"/>
      <c r="K946" s="2"/>
      <c r="L946" s="2"/>
      <c r="M946" s="2"/>
      <c r="N946" s="2"/>
      <c r="O946" s="2"/>
      <c r="P946" s="2"/>
      <c r="Q946" s="2"/>
      <c r="R946" s="2"/>
      <c r="S946" s="2"/>
      <c r="T946" s="2"/>
      <c r="U946" s="2"/>
    </row>
    <row r="947">
      <c r="A947" s="2"/>
      <c r="B947" s="2"/>
      <c r="C947" s="2"/>
      <c r="D947" s="2"/>
      <c r="E947" s="2"/>
      <c r="F947" s="2"/>
      <c r="G947" s="2"/>
      <c r="H947" s="2"/>
      <c r="I947" s="2"/>
      <c r="J947" s="2"/>
      <c r="K947" s="2"/>
      <c r="L947" s="2"/>
      <c r="M947" s="2"/>
      <c r="N947" s="2"/>
      <c r="O947" s="2"/>
      <c r="P947" s="2"/>
      <c r="Q947" s="2"/>
      <c r="R947" s="2"/>
      <c r="S947" s="2"/>
      <c r="T947" s="2"/>
      <c r="U947" s="2"/>
    </row>
    <row r="948">
      <c r="A948" s="2"/>
      <c r="B948" s="2"/>
      <c r="C948" s="2"/>
      <c r="D948" s="2"/>
      <c r="E948" s="2"/>
      <c r="F948" s="2"/>
      <c r="G948" s="2"/>
      <c r="H948" s="2"/>
      <c r="I948" s="2"/>
      <c r="J948" s="2"/>
      <c r="K948" s="2"/>
      <c r="L948" s="2"/>
      <c r="M948" s="2"/>
      <c r="N948" s="2"/>
      <c r="O948" s="2"/>
      <c r="P948" s="2"/>
      <c r="Q948" s="2"/>
      <c r="R948" s="2"/>
      <c r="S948" s="2"/>
      <c r="T948" s="2"/>
      <c r="U948" s="2"/>
    </row>
    <row r="949">
      <c r="A949" s="2"/>
      <c r="B949" s="2"/>
      <c r="C949" s="2"/>
      <c r="D949" s="2"/>
      <c r="E949" s="2"/>
      <c r="F949" s="2"/>
      <c r="G949" s="2"/>
      <c r="H949" s="2"/>
      <c r="I949" s="2"/>
      <c r="J949" s="2"/>
      <c r="K949" s="2"/>
      <c r="L949" s="2"/>
      <c r="M949" s="2"/>
      <c r="N949" s="2"/>
      <c r="O949" s="2"/>
      <c r="P949" s="2"/>
      <c r="Q949" s="2"/>
      <c r="R949" s="2"/>
      <c r="S949" s="2"/>
      <c r="T949" s="2"/>
      <c r="U949" s="2"/>
    </row>
    <row r="950">
      <c r="A950" s="2"/>
      <c r="B950" s="2"/>
      <c r="C950" s="2"/>
      <c r="D950" s="2"/>
      <c r="E950" s="2"/>
      <c r="F950" s="2"/>
      <c r="G950" s="2"/>
      <c r="H950" s="2"/>
      <c r="I950" s="2"/>
      <c r="J950" s="2"/>
      <c r="K950" s="2"/>
      <c r="L950" s="2"/>
      <c r="M950" s="2"/>
      <c r="N950" s="2"/>
      <c r="O950" s="2"/>
      <c r="P950" s="2"/>
      <c r="Q950" s="2"/>
      <c r="R950" s="2"/>
      <c r="S950" s="2"/>
      <c r="T950" s="2"/>
      <c r="U950" s="2"/>
    </row>
    <row r="951">
      <c r="A951" s="2"/>
      <c r="B951" s="2"/>
      <c r="C951" s="2"/>
      <c r="D951" s="2"/>
      <c r="E951" s="2"/>
      <c r="F951" s="2"/>
      <c r="G951" s="2"/>
      <c r="H951" s="2"/>
      <c r="I951" s="2"/>
      <c r="J951" s="2"/>
      <c r="K951" s="2"/>
      <c r="L951" s="2"/>
      <c r="M951" s="2"/>
      <c r="N951" s="2"/>
      <c r="O951" s="2"/>
      <c r="P951" s="2"/>
      <c r="Q951" s="2"/>
      <c r="R951" s="2"/>
      <c r="S951" s="2"/>
      <c r="T951" s="2"/>
      <c r="U951" s="2"/>
    </row>
    <row r="952">
      <c r="A952" s="2"/>
      <c r="B952" s="2"/>
      <c r="C952" s="2"/>
      <c r="D952" s="2"/>
      <c r="E952" s="2"/>
      <c r="F952" s="2"/>
      <c r="G952" s="2"/>
      <c r="H952" s="2"/>
      <c r="I952" s="2"/>
      <c r="J952" s="2"/>
      <c r="K952" s="2"/>
      <c r="L952" s="2"/>
      <c r="M952" s="2"/>
      <c r="N952" s="2"/>
      <c r="O952" s="2"/>
      <c r="P952" s="2"/>
      <c r="Q952" s="2"/>
      <c r="R952" s="2"/>
      <c r="S952" s="2"/>
      <c r="T952" s="2"/>
      <c r="U952" s="2"/>
    </row>
    <row r="953">
      <c r="A953" s="2"/>
      <c r="B953" s="2"/>
      <c r="C953" s="2"/>
      <c r="D953" s="2"/>
      <c r="E953" s="2"/>
      <c r="F953" s="2"/>
      <c r="G953" s="2"/>
      <c r="H953" s="2"/>
      <c r="I953" s="2"/>
      <c r="J953" s="2"/>
      <c r="K953" s="2"/>
      <c r="L953" s="2"/>
      <c r="M953" s="2"/>
      <c r="N953" s="2"/>
      <c r="O953" s="2"/>
      <c r="P953" s="2"/>
      <c r="Q953" s="2"/>
      <c r="R953" s="2"/>
      <c r="S953" s="2"/>
      <c r="T953" s="2"/>
      <c r="U953" s="2"/>
    </row>
    <row r="954">
      <c r="A954" s="2"/>
      <c r="B954" s="2"/>
      <c r="C954" s="2"/>
      <c r="D954" s="2"/>
      <c r="E954" s="2"/>
      <c r="F954" s="2"/>
      <c r="G954" s="2"/>
      <c r="H954" s="2"/>
      <c r="I954" s="2"/>
      <c r="J954" s="2"/>
      <c r="K954" s="2"/>
      <c r="L954" s="2"/>
      <c r="M954" s="2"/>
      <c r="N954" s="2"/>
      <c r="O954" s="2"/>
      <c r="P954" s="2"/>
      <c r="Q954" s="2"/>
      <c r="R954" s="2"/>
      <c r="S954" s="2"/>
      <c r="T954" s="2"/>
      <c r="U954" s="2"/>
    </row>
    <row r="955">
      <c r="A955" s="2"/>
      <c r="B955" s="2"/>
      <c r="C955" s="2"/>
      <c r="D955" s="2"/>
      <c r="E955" s="2"/>
      <c r="F955" s="2"/>
      <c r="G955" s="2"/>
      <c r="H955" s="2"/>
      <c r="I955" s="2"/>
      <c r="J955" s="2"/>
      <c r="K955" s="2"/>
      <c r="L955" s="2"/>
      <c r="M955" s="2"/>
      <c r="N955" s="2"/>
      <c r="O955" s="2"/>
      <c r="P955" s="2"/>
      <c r="Q955" s="2"/>
      <c r="R955" s="2"/>
      <c r="S955" s="2"/>
      <c r="T955" s="2"/>
      <c r="U955" s="2"/>
    </row>
    <row r="956">
      <c r="A956" s="2"/>
      <c r="B956" s="2"/>
      <c r="C956" s="2"/>
      <c r="D956" s="2"/>
      <c r="E956" s="2"/>
      <c r="F956" s="2"/>
      <c r="G956" s="2"/>
      <c r="H956" s="2"/>
      <c r="I956" s="2"/>
      <c r="J956" s="2"/>
      <c r="K956" s="2"/>
      <c r="L956" s="2"/>
      <c r="M956" s="2"/>
      <c r="N956" s="2"/>
      <c r="O956" s="2"/>
      <c r="P956" s="2"/>
      <c r="Q956" s="2"/>
      <c r="R956" s="2"/>
      <c r="S956" s="2"/>
      <c r="T956" s="2"/>
      <c r="U956" s="2"/>
    </row>
    <row r="957">
      <c r="A957" s="2"/>
      <c r="B957" s="2"/>
      <c r="C957" s="2"/>
      <c r="D957" s="2"/>
      <c r="E957" s="2"/>
      <c r="F957" s="2"/>
      <c r="G957" s="2"/>
      <c r="H957" s="2"/>
      <c r="I957" s="2"/>
      <c r="J957" s="2"/>
      <c r="K957" s="2"/>
      <c r="L957" s="2"/>
      <c r="M957" s="2"/>
      <c r="N957" s="2"/>
      <c r="O957" s="2"/>
      <c r="P957" s="2"/>
      <c r="Q957" s="2"/>
      <c r="R957" s="2"/>
      <c r="S957" s="2"/>
      <c r="T957" s="2"/>
      <c r="U957" s="2"/>
    </row>
    <row r="958">
      <c r="A958" s="2"/>
      <c r="B958" s="2"/>
      <c r="C958" s="2"/>
      <c r="D958" s="2"/>
      <c r="E958" s="2"/>
      <c r="F958" s="2"/>
      <c r="G958" s="2"/>
      <c r="H958" s="2"/>
      <c r="I958" s="2"/>
      <c r="J958" s="2"/>
      <c r="K958" s="2"/>
      <c r="L958" s="2"/>
      <c r="M958" s="2"/>
      <c r="N958" s="2"/>
      <c r="O958" s="2"/>
      <c r="P958" s="2"/>
      <c r="Q958" s="2"/>
      <c r="R958" s="2"/>
      <c r="S958" s="2"/>
      <c r="T958" s="2"/>
      <c r="U958" s="2"/>
    </row>
    <row r="959">
      <c r="A959" s="2"/>
      <c r="B959" s="2"/>
      <c r="C959" s="2"/>
      <c r="D959" s="2"/>
      <c r="E959" s="2"/>
      <c r="F959" s="2"/>
      <c r="G959" s="2"/>
      <c r="H959" s="2"/>
      <c r="I959" s="2"/>
      <c r="J959" s="2"/>
      <c r="K959" s="2"/>
      <c r="L959" s="2"/>
      <c r="M959" s="2"/>
      <c r="N959" s="2"/>
      <c r="O959" s="2"/>
      <c r="P959" s="2"/>
      <c r="Q959" s="2"/>
      <c r="R959" s="2"/>
      <c r="S959" s="2"/>
      <c r="T959" s="2"/>
      <c r="U959" s="2"/>
    </row>
    <row r="960">
      <c r="A960" s="2"/>
      <c r="B960" s="2"/>
      <c r="C960" s="2"/>
      <c r="D960" s="2"/>
      <c r="E960" s="2"/>
      <c r="F960" s="2"/>
      <c r="G960" s="2"/>
      <c r="H960" s="2"/>
      <c r="I960" s="2"/>
      <c r="J960" s="2"/>
      <c r="K960" s="2"/>
      <c r="L960" s="2"/>
      <c r="M960" s="2"/>
      <c r="N960" s="2"/>
      <c r="O960" s="2"/>
      <c r="P960" s="2"/>
      <c r="Q960" s="2"/>
      <c r="R960" s="2"/>
      <c r="S960" s="2"/>
      <c r="T960" s="2"/>
      <c r="U960" s="2"/>
    </row>
    <row r="961">
      <c r="A961" s="2"/>
      <c r="B961" s="2"/>
      <c r="C961" s="2"/>
      <c r="D961" s="2"/>
      <c r="E961" s="2"/>
      <c r="F961" s="2"/>
      <c r="G961" s="2"/>
      <c r="H961" s="2"/>
      <c r="I961" s="2"/>
      <c r="J961" s="2"/>
      <c r="K961" s="2"/>
      <c r="L961" s="2"/>
      <c r="M961" s="2"/>
      <c r="N961" s="2"/>
      <c r="O961" s="2"/>
      <c r="P961" s="2"/>
      <c r="Q961" s="2"/>
      <c r="R961" s="2"/>
      <c r="S961" s="2"/>
      <c r="T961" s="2"/>
      <c r="U961" s="2"/>
    </row>
    <row r="962">
      <c r="A962" s="2"/>
      <c r="B962" s="2"/>
      <c r="C962" s="2"/>
      <c r="D962" s="2"/>
      <c r="E962" s="2"/>
      <c r="F962" s="2"/>
      <c r="G962" s="2"/>
      <c r="H962" s="2"/>
      <c r="I962" s="2"/>
      <c r="J962" s="2"/>
      <c r="K962" s="2"/>
      <c r="L962" s="2"/>
      <c r="M962" s="2"/>
      <c r="N962" s="2"/>
      <c r="O962" s="2"/>
      <c r="P962" s="2"/>
      <c r="Q962" s="2"/>
      <c r="R962" s="2"/>
      <c r="S962" s="2"/>
      <c r="T962" s="2"/>
      <c r="U962" s="2"/>
    </row>
    <row r="963">
      <c r="A963" s="2"/>
      <c r="B963" s="2"/>
      <c r="C963" s="2"/>
      <c r="D963" s="2"/>
      <c r="E963" s="2"/>
      <c r="F963" s="2"/>
      <c r="G963" s="2"/>
      <c r="H963" s="2"/>
      <c r="I963" s="2"/>
      <c r="J963" s="2"/>
      <c r="K963" s="2"/>
      <c r="L963" s="2"/>
      <c r="M963" s="2"/>
      <c r="N963" s="2"/>
      <c r="O963" s="2"/>
      <c r="P963" s="2"/>
      <c r="Q963" s="2"/>
      <c r="R963" s="2"/>
      <c r="S963" s="2"/>
      <c r="T963" s="2"/>
      <c r="U963" s="2"/>
    </row>
    <row r="964">
      <c r="A964" s="2"/>
      <c r="B964" s="2"/>
      <c r="C964" s="2"/>
      <c r="D964" s="2"/>
      <c r="E964" s="2"/>
      <c r="F964" s="2"/>
      <c r="G964" s="2"/>
      <c r="H964" s="2"/>
      <c r="I964" s="2"/>
      <c r="J964" s="2"/>
      <c r="K964" s="2"/>
      <c r="L964" s="2"/>
      <c r="M964" s="2"/>
      <c r="N964" s="2"/>
      <c r="O964" s="2"/>
      <c r="P964" s="2"/>
      <c r="Q964" s="2"/>
      <c r="R964" s="2"/>
      <c r="S964" s="2"/>
      <c r="T964" s="2"/>
      <c r="U964" s="2"/>
    </row>
    <row r="965">
      <c r="A965" s="2"/>
      <c r="B965" s="2"/>
      <c r="C965" s="2"/>
      <c r="D965" s="2"/>
      <c r="E965" s="2"/>
      <c r="F965" s="2"/>
      <c r="G965" s="2"/>
      <c r="H965" s="2"/>
      <c r="I965" s="2"/>
      <c r="J965" s="2"/>
      <c r="K965" s="2"/>
      <c r="L965" s="2"/>
      <c r="M965" s="2"/>
      <c r="N965" s="2"/>
      <c r="O965" s="2"/>
      <c r="P965" s="2"/>
      <c r="Q965" s="2"/>
      <c r="R965" s="2"/>
      <c r="S965" s="2"/>
      <c r="T965" s="2"/>
      <c r="U965" s="2"/>
    </row>
    <row r="966">
      <c r="A966" s="2"/>
      <c r="B966" s="2"/>
      <c r="C966" s="2"/>
      <c r="D966" s="2"/>
      <c r="E966" s="2"/>
      <c r="F966" s="2"/>
      <c r="G966" s="2"/>
      <c r="H966" s="2"/>
      <c r="I966" s="2"/>
      <c r="J966" s="2"/>
      <c r="K966" s="2"/>
      <c r="L966" s="2"/>
      <c r="M966" s="2"/>
      <c r="N966" s="2"/>
      <c r="O966" s="2"/>
      <c r="P966" s="2"/>
      <c r="Q966" s="2"/>
      <c r="R966" s="2"/>
      <c r="S966" s="2"/>
      <c r="T966" s="2"/>
      <c r="U966" s="2"/>
    </row>
    <row r="967">
      <c r="A967" s="2"/>
      <c r="B967" s="2"/>
      <c r="C967" s="2"/>
      <c r="D967" s="2"/>
      <c r="E967" s="2"/>
      <c r="F967" s="2"/>
      <c r="G967" s="2"/>
      <c r="H967" s="2"/>
      <c r="I967" s="2"/>
      <c r="J967" s="2"/>
      <c r="K967" s="2"/>
      <c r="L967" s="2"/>
      <c r="M967" s="2"/>
      <c r="N967" s="2"/>
      <c r="O967" s="2"/>
      <c r="P967" s="2"/>
      <c r="Q967" s="2"/>
      <c r="R967" s="2"/>
      <c r="S967" s="2"/>
      <c r="T967" s="2"/>
      <c r="U967" s="2"/>
    </row>
    <row r="968">
      <c r="A968" s="2"/>
      <c r="B968" s="2"/>
      <c r="C968" s="2"/>
      <c r="D968" s="2"/>
      <c r="E968" s="2"/>
      <c r="F968" s="2"/>
      <c r="G968" s="2"/>
      <c r="H968" s="2"/>
      <c r="I968" s="2"/>
      <c r="J968" s="2"/>
      <c r="K968" s="2"/>
      <c r="L968" s="2"/>
      <c r="M968" s="2"/>
      <c r="N968" s="2"/>
      <c r="O968" s="2"/>
      <c r="P968" s="2"/>
      <c r="Q968" s="2"/>
      <c r="R968" s="2"/>
      <c r="S968" s="2"/>
      <c r="T968" s="2"/>
      <c r="U968" s="2"/>
    </row>
    <row r="969">
      <c r="A969" s="2"/>
      <c r="B969" s="2"/>
      <c r="C969" s="2"/>
      <c r="D969" s="2"/>
      <c r="E969" s="2"/>
      <c r="F969" s="2"/>
      <c r="G969" s="2"/>
      <c r="H969" s="2"/>
      <c r="I969" s="2"/>
      <c r="J969" s="2"/>
      <c r="K969" s="2"/>
      <c r="L969" s="2"/>
      <c r="M969" s="2"/>
      <c r="N969" s="2"/>
      <c r="O969" s="2"/>
      <c r="P969" s="2"/>
      <c r="Q969" s="2"/>
      <c r="R969" s="2"/>
      <c r="S969" s="2"/>
      <c r="T969" s="2"/>
      <c r="U969" s="2"/>
    </row>
    <row r="970">
      <c r="A970" s="2"/>
      <c r="B970" s="2"/>
      <c r="C970" s="2"/>
      <c r="D970" s="2"/>
      <c r="E970" s="2"/>
      <c r="F970" s="2"/>
      <c r="G970" s="2"/>
      <c r="H970" s="2"/>
      <c r="I970" s="2"/>
      <c r="J970" s="2"/>
      <c r="K970" s="2"/>
      <c r="L970" s="2"/>
      <c r="M970" s="2"/>
      <c r="N970" s="2"/>
      <c r="O970" s="2"/>
      <c r="P970" s="2"/>
      <c r="Q970" s="2"/>
      <c r="R970" s="2"/>
      <c r="S970" s="2"/>
      <c r="T970" s="2"/>
      <c r="U970" s="2"/>
    </row>
    <row r="971">
      <c r="A971" s="2"/>
      <c r="B971" s="2"/>
      <c r="C971" s="2"/>
      <c r="D971" s="2"/>
      <c r="E971" s="2"/>
      <c r="F971" s="2"/>
      <c r="G971" s="2"/>
      <c r="H971" s="2"/>
      <c r="I971" s="2"/>
      <c r="J971" s="2"/>
      <c r="K971" s="2"/>
      <c r="L971" s="2"/>
      <c r="M971" s="2"/>
      <c r="N971" s="2"/>
      <c r="O971" s="2"/>
      <c r="P971" s="2"/>
      <c r="Q971" s="2"/>
      <c r="R971" s="2"/>
      <c r="S971" s="2"/>
      <c r="T971" s="2"/>
      <c r="U971" s="2"/>
    </row>
    <row r="972">
      <c r="A972" s="2"/>
      <c r="B972" s="2"/>
      <c r="C972" s="2"/>
      <c r="D972" s="2"/>
      <c r="E972" s="2"/>
      <c r="F972" s="2"/>
      <c r="G972" s="2"/>
      <c r="H972" s="2"/>
      <c r="I972" s="2"/>
      <c r="J972" s="2"/>
      <c r="K972" s="2"/>
      <c r="L972" s="2"/>
      <c r="M972" s="2"/>
      <c r="N972" s="2"/>
      <c r="O972" s="2"/>
      <c r="P972" s="2"/>
      <c r="Q972" s="2"/>
      <c r="R972" s="2"/>
      <c r="S972" s="2"/>
      <c r="T972" s="2"/>
      <c r="U972" s="2"/>
    </row>
    <row r="973">
      <c r="A973" s="2"/>
      <c r="B973" s="2"/>
      <c r="C973" s="2"/>
      <c r="D973" s="2"/>
      <c r="E973" s="2"/>
      <c r="F973" s="2"/>
      <c r="G973" s="2"/>
      <c r="H973" s="2"/>
      <c r="I973" s="2"/>
      <c r="J973" s="2"/>
      <c r="K973" s="2"/>
      <c r="L973" s="2"/>
      <c r="M973" s="2"/>
      <c r="N973" s="2"/>
      <c r="O973" s="2"/>
      <c r="P973" s="2"/>
      <c r="Q973" s="2"/>
      <c r="R973" s="2"/>
      <c r="S973" s="2"/>
      <c r="T973" s="2"/>
      <c r="U973" s="2"/>
    </row>
    <row r="974">
      <c r="A974" s="2"/>
      <c r="B974" s="2"/>
      <c r="C974" s="2"/>
      <c r="D974" s="2"/>
      <c r="E974" s="2"/>
      <c r="F974" s="2"/>
      <c r="G974" s="2"/>
      <c r="H974" s="2"/>
      <c r="I974" s="2"/>
      <c r="J974" s="2"/>
      <c r="K974" s="2"/>
      <c r="L974" s="2"/>
      <c r="M974" s="2"/>
      <c r="N974" s="2"/>
      <c r="O974" s="2"/>
      <c r="P974" s="2"/>
      <c r="Q974" s="2"/>
      <c r="R974" s="2"/>
      <c r="S974" s="2"/>
      <c r="T974" s="2"/>
      <c r="U974" s="2"/>
    </row>
    <row r="975">
      <c r="A975" s="2"/>
      <c r="B975" s="2"/>
      <c r="C975" s="2"/>
      <c r="D975" s="2"/>
      <c r="E975" s="2"/>
      <c r="F975" s="2"/>
      <c r="G975" s="2"/>
      <c r="H975" s="2"/>
      <c r="I975" s="2"/>
      <c r="J975" s="2"/>
      <c r="K975" s="2"/>
      <c r="L975" s="2"/>
      <c r="M975" s="2"/>
      <c r="N975" s="2"/>
      <c r="O975" s="2"/>
      <c r="P975" s="2"/>
      <c r="Q975" s="2"/>
      <c r="R975" s="2"/>
      <c r="S975" s="2"/>
      <c r="T975" s="2"/>
      <c r="U975" s="2"/>
    </row>
    <row r="976">
      <c r="A976" s="2"/>
      <c r="B976" s="2"/>
      <c r="C976" s="2"/>
      <c r="D976" s="2"/>
      <c r="E976" s="2"/>
      <c r="F976" s="2"/>
      <c r="G976" s="2"/>
      <c r="H976" s="2"/>
      <c r="I976" s="2"/>
      <c r="J976" s="2"/>
      <c r="K976" s="2"/>
      <c r="L976" s="2"/>
      <c r="M976" s="2"/>
      <c r="N976" s="2"/>
      <c r="O976" s="2"/>
      <c r="P976" s="2"/>
      <c r="Q976" s="2"/>
      <c r="R976" s="2"/>
      <c r="S976" s="2"/>
      <c r="T976" s="2"/>
      <c r="U976" s="2"/>
    </row>
    <row r="977">
      <c r="A977" s="2"/>
      <c r="B977" s="2"/>
      <c r="C977" s="2"/>
      <c r="D977" s="2"/>
      <c r="E977" s="2"/>
      <c r="F977" s="2"/>
      <c r="G977" s="2"/>
      <c r="H977" s="2"/>
      <c r="I977" s="2"/>
      <c r="J977" s="2"/>
      <c r="K977" s="2"/>
      <c r="L977" s="2"/>
      <c r="M977" s="2"/>
      <c r="N977" s="2"/>
      <c r="O977" s="2"/>
      <c r="P977" s="2"/>
      <c r="Q977" s="2"/>
      <c r="R977" s="2"/>
      <c r="S977" s="2"/>
      <c r="T977" s="2"/>
      <c r="U977" s="2"/>
    </row>
    <row r="978">
      <c r="A978" s="2"/>
      <c r="B978" s="2"/>
      <c r="C978" s="2"/>
      <c r="D978" s="2"/>
      <c r="E978" s="2"/>
      <c r="F978" s="2"/>
      <c r="G978" s="2"/>
      <c r="H978" s="2"/>
      <c r="I978" s="2"/>
      <c r="J978" s="2"/>
      <c r="K978" s="2"/>
      <c r="L978" s="2"/>
      <c r="M978" s="2"/>
      <c r="N978" s="2"/>
      <c r="O978" s="2"/>
      <c r="P978" s="2"/>
      <c r="Q978" s="2"/>
      <c r="R978" s="2"/>
      <c r="S978" s="2"/>
      <c r="T978" s="2"/>
      <c r="U978" s="2"/>
    </row>
    <row r="979">
      <c r="A979" s="2"/>
      <c r="B979" s="2"/>
      <c r="C979" s="2"/>
      <c r="D979" s="2"/>
      <c r="E979" s="2"/>
      <c r="F979" s="2"/>
      <c r="G979" s="2"/>
      <c r="H979" s="2"/>
      <c r="I979" s="2"/>
      <c r="J979" s="2"/>
      <c r="K979" s="2"/>
      <c r="L979" s="2"/>
      <c r="M979" s="2"/>
      <c r="N979" s="2"/>
      <c r="O979" s="2"/>
      <c r="P979" s="2"/>
      <c r="Q979" s="2"/>
      <c r="R979" s="2"/>
      <c r="S979" s="2"/>
      <c r="T979" s="2"/>
      <c r="U979" s="2"/>
    </row>
    <row r="980">
      <c r="A980" s="2"/>
      <c r="B980" s="2"/>
      <c r="C980" s="2"/>
      <c r="D980" s="2"/>
      <c r="E980" s="2"/>
      <c r="F980" s="2"/>
      <c r="G980" s="2"/>
      <c r="H980" s="2"/>
      <c r="I980" s="2"/>
      <c r="J980" s="2"/>
      <c r="K980" s="2"/>
      <c r="L980" s="2"/>
      <c r="M980" s="2"/>
      <c r="N980" s="2"/>
      <c r="O980" s="2"/>
      <c r="P980" s="2"/>
      <c r="Q980" s="2"/>
      <c r="R980" s="2"/>
      <c r="S980" s="2"/>
      <c r="T980" s="2"/>
      <c r="U980" s="2"/>
    </row>
    <row r="981">
      <c r="A981" s="2"/>
      <c r="B981" s="2"/>
      <c r="C981" s="2"/>
      <c r="D981" s="2"/>
      <c r="E981" s="2"/>
      <c r="F981" s="2"/>
      <c r="G981" s="2"/>
      <c r="H981" s="2"/>
      <c r="I981" s="2"/>
      <c r="J981" s="2"/>
      <c r="K981" s="2"/>
      <c r="L981" s="2"/>
      <c r="M981" s="2"/>
      <c r="N981" s="2"/>
      <c r="O981" s="2"/>
      <c r="P981" s="2"/>
      <c r="Q981" s="2"/>
      <c r="R981" s="2"/>
      <c r="S981" s="2"/>
      <c r="T981" s="2"/>
      <c r="U981" s="2"/>
    </row>
    <row r="982">
      <c r="A982" s="2"/>
      <c r="B982" s="2"/>
      <c r="C982" s="2"/>
      <c r="D982" s="2"/>
      <c r="E982" s="2"/>
      <c r="F982" s="2"/>
      <c r="G982" s="2"/>
      <c r="H982" s="2"/>
      <c r="I982" s="2"/>
      <c r="J982" s="2"/>
      <c r="K982" s="2"/>
      <c r="L982" s="2"/>
      <c r="M982" s="2"/>
      <c r="N982" s="2"/>
      <c r="O982" s="2"/>
      <c r="P982" s="2"/>
      <c r="Q982" s="2"/>
      <c r="R982" s="2"/>
      <c r="S982" s="2"/>
      <c r="T982" s="2"/>
      <c r="U982" s="2"/>
    </row>
    <row r="983">
      <c r="A983" s="2"/>
      <c r="B983" s="2"/>
      <c r="C983" s="2"/>
      <c r="D983" s="2"/>
      <c r="E983" s="2"/>
      <c r="F983" s="2"/>
      <c r="G983" s="2"/>
      <c r="H983" s="2"/>
      <c r="I983" s="2"/>
      <c r="J983" s="2"/>
      <c r="K983" s="2"/>
      <c r="L983" s="2"/>
      <c r="M983" s="2"/>
      <c r="N983" s="2"/>
      <c r="O983" s="2"/>
      <c r="P983" s="2"/>
      <c r="Q983" s="2"/>
      <c r="R983" s="2"/>
      <c r="S983" s="2"/>
      <c r="T983" s="2"/>
      <c r="U983" s="2"/>
    </row>
    <row r="984">
      <c r="A984" s="2"/>
      <c r="B984" s="2"/>
      <c r="C984" s="2"/>
      <c r="D984" s="2"/>
      <c r="E984" s="2"/>
      <c r="F984" s="2"/>
      <c r="G984" s="2"/>
      <c r="H984" s="2"/>
      <c r="I984" s="2"/>
      <c r="J984" s="2"/>
      <c r="K984" s="2"/>
      <c r="L984" s="2"/>
      <c r="M984" s="2"/>
      <c r="N984" s="2"/>
      <c r="O984" s="2"/>
      <c r="P984" s="2"/>
      <c r="Q984" s="2"/>
      <c r="R984" s="2"/>
      <c r="S984" s="2"/>
      <c r="T984" s="2"/>
      <c r="U984" s="2"/>
    </row>
    <row r="985">
      <c r="A985" s="2"/>
      <c r="B985" s="2"/>
      <c r="C985" s="2"/>
      <c r="D985" s="2"/>
      <c r="E985" s="2"/>
      <c r="F985" s="2"/>
      <c r="G985" s="2"/>
      <c r="H985" s="2"/>
      <c r="I985" s="2"/>
      <c r="J985" s="2"/>
      <c r="K985" s="2"/>
      <c r="L985" s="2"/>
      <c r="M985" s="2"/>
      <c r="N985" s="2"/>
      <c r="O985" s="2"/>
      <c r="P985" s="2"/>
      <c r="Q985" s="2"/>
      <c r="R985" s="2"/>
      <c r="S985" s="2"/>
      <c r="T985" s="2"/>
      <c r="U985" s="2"/>
    </row>
    <row r="986">
      <c r="A986" s="2"/>
      <c r="B986" s="2"/>
      <c r="C986" s="2"/>
      <c r="D986" s="2"/>
      <c r="E986" s="2"/>
      <c r="F986" s="2"/>
      <c r="G986" s="2"/>
      <c r="H986" s="2"/>
      <c r="I986" s="2"/>
      <c r="J986" s="2"/>
      <c r="K986" s="2"/>
      <c r="L986" s="2"/>
      <c r="M986" s="2"/>
      <c r="N986" s="2"/>
      <c r="O986" s="2"/>
      <c r="P986" s="2"/>
      <c r="Q986" s="2"/>
      <c r="R986" s="2"/>
      <c r="S986" s="2"/>
      <c r="T986" s="2"/>
      <c r="U986" s="2"/>
    </row>
    <row r="987">
      <c r="A987" s="2"/>
      <c r="B987" s="2"/>
      <c r="C987" s="2"/>
      <c r="D987" s="2"/>
      <c r="E987" s="2"/>
      <c r="F987" s="2"/>
      <c r="G987" s="2"/>
      <c r="H987" s="2"/>
      <c r="I987" s="2"/>
      <c r="J987" s="2"/>
      <c r="K987" s="2"/>
      <c r="L987" s="2"/>
      <c r="M987" s="2"/>
      <c r="N987" s="2"/>
      <c r="O987" s="2"/>
      <c r="P987" s="2"/>
      <c r="Q987" s="2"/>
      <c r="R987" s="2"/>
      <c r="S987" s="2"/>
      <c r="T987" s="2"/>
      <c r="U987" s="2"/>
    </row>
    <row r="988">
      <c r="A988" s="2"/>
      <c r="B988" s="2"/>
      <c r="C988" s="2"/>
      <c r="D988" s="2"/>
      <c r="E988" s="2"/>
      <c r="F988" s="2"/>
      <c r="G988" s="2"/>
      <c r="H988" s="2"/>
      <c r="I988" s="2"/>
      <c r="J988" s="2"/>
      <c r="K988" s="2"/>
      <c r="L988" s="2"/>
      <c r="M988" s="2"/>
      <c r="N988" s="2"/>
      <c r="O988" s="2"/>
      <c r="P988" s="2"/>
      <c r="Q988" s="2"/>
      <c r="R988" s="2"/>
      <c r="S988" s="2"/>
      <c r="T988" s="2"/>
      <c r="U988" s="2"/>
    </row>
    <row r="989">
      <c r="A989" s="2"/>
      <c r="B989" s="2"/>
      <c r="C989" s="2"/>
      <c r="D989" s="2"/>
      <c r="E989" s="2"/>
      <c r="F989" s="2"/>
      <c r="G989" s="2"/>
      <c r="H989" s="2"/>
      <c r="I989" s="2"/>
      <c r="J989" s="2"/>
      <c r="K989" s="2"/>
      <c r="L989" s="2"/>
      <c r="M989" s="2"/>
      <c r="N989" s="2"/>
      <c r="O989" s="2"/>
      <c r="P989" s="2"/>
      <c r="Q989" s="2"/>
      <c r="R989" s="2"/>
      <c r="S989" s="2"/>
      <c r="T989" s="2"/>
      <c r="U989" s="2"/>
    </row>
    <row r="990">
      <c r="A990" s="2"/>
      <c r="B990" s="2"/>
      <c r="C990" s="2"/>
      <c r="D990" s="2"/>
      <c r="E990" s="2"/>
      <c r="F990" s="2"/>
      <c r="G990" s="2"/>
      <c r="H990" s="2"/>
      <c r="I990" s="2"/>
      <c r="J990" s="2"/>
      <c r="K990" s="2"/>
      <c r="L990" s="2"/>
      <c r="M990" s="2"/>
      <c r="N990" s="2"/>
      <c r="O990" s="2"/>
      <c r="P990" s="2"/>
      <c r="Q990" s="2"/>
      <c r="R990" s="2"/>
      <c r="S990" s="2"/>
      <c r="T990" s="2"/>
      <c r="U990" s="2"/>
    </row>
    <row r="991">
      <c r="A991" s="2"/>
      <c r="B991" s="2"/>
      <c r="C991" s="2"/>
      <c r="D991" s="2"/>
      <c r="E991" s="2"/>
      <c r="F991" s="2"/>
      <c r="G991" s="2"/>
      <c r="H991" s="2"/>
      <c r="I991" s="2"/>
      <c r="J991" s="2"/>
      <c r="K991" s="2"/>
      <c r="L991" s="2"/>
      <c r="M991" s="2"/>
      <c r="N991" s="2"/>
      <c r="O991" s="2"/>
      <c r="P991" s="2"/>
      <c r="Q991" s="2"/>
      <c r="R991" s="2"/>
      <c r="S991" s="2"/>
      <c r="T991" s="2"/>
      <c r="U991" s="2"/>
    </row>
    <row r="992">
      <c r="A992" s="2"/>
      <c r="B992" s="2"/>
      <c r="C992" s="2"/>
      <c r="D992" s="2"/>
      <c r="E992" s="2"/>
      <c r="F992" s="2"/>
      <c r="G992" s="2"/>
      <c r="H992" s="2"/>
      <c r="I992" s="2"/>
      <c r="J992" s="2"/>
      <c r="K992" s="2"/>
      <c r="L992" s="2"/>
      <c r="M992" s="2"/>
      <c r="N992" s="2"/>
      <c r="O992" s="2"/>
      <c r="P992" s="2"/>
      <c r="Q992" s="2"/>
      <c r="R992" s="2"/>
      <c r="S992" s="2"/>
      <c r="T992" s="2"/>
      <c r="U992" s="2"/>
    </row>
    <row r="993">
      <c r="A993" s="2"/>
      <c r="B993" s="2"/>
      <c r="C993" s="2"/>
      <c r="D993" s="2"/>
      <c r="E993" s="2"/>
      <c r="F993" s="2"/>
      <c r="G993" s="2"/>
      <c r="H993" s="2"/>
      <c r="I993" s="2"/>
      <c r="J993" s="2"/>
      <c r="K993" s="2"/>
      <c r="L993" s="2"/>
      <c r="M993" s="2"/>
      <c r="N993" s="2"/>
      <c r="O993" s="2"/>
      <c r="P993" s="2"/>
      <c r="Q993" s="2"/>
      <c r="R993" s="2"/>
      <c r="S993" s="2"/>
      <c r="T993" s="2"/>
      <c r="U993" s="2"/>
    </row>
    <row r="994">
      <c r="A994" s="2"/>
      <c r="B994" s="2"/>
      <c r="C994" s="2"/>
      <c r="D994" s="2"/>
      <c r="E994" s="2"/>
      <c r="F994" s="2"/>
      <c r="G994" s="2"/>
      <c r="H994" s="2"/>
      <c r="I994" s="2"/>
      <c r="J994" s="2"/>
      <c r="K994" s="2"/>
      <c r="L994" s="2"/>
      <c r="M994" s="2"/>
      <c r="N994" s="2"/>
      <c r="O994" s="2"/>
      <c r="P994" s="2"/>
      <c r="Q994" s="2"/>
      <c r="R994" s="2"/>
      <c r="S994" s="2"/>
      <c r="T994" s="2"/>
      <c r="U994" s="2"/>
    </row>
    <row r="995">
      <c r="A995" s="2"/>
      <c r="B995" s="2"/>
      <c r="C995" s="2"/>
      <c r="D995" s="2"/>
      <c r="E995" s="2"/>
      <c r="F995" s="2"/>
      <c r="G995" s="2"/>
      <c r="H995" s="2"/>
      <c r="I995" s="2"/>
      <c r="J995" s="2"/>
      <c r="K995" s="2"/>
      <c r="L995" s="2"/>
      <c r="M995" s="2"/>
      <c r="N995" s="2"/>
      <c r="O995" s="2"/>
      <c r="P995" s="2"/>
      <c r="Q995" s="2"/>
      <c r="R995" s="2"/>
      <c r="S995" s="2"/>
      <c r="T995" s="2"/>
      <c r="U995" s="2"/>
    </row>
    <row r="996">
      <c r="A996" s="2"/>
      <c r="B996" s="2"/>
      <c r="C996" s="2"/>
      <c r="D996" s="2"/>
      <c r="E996" s="2"/>
      <c r="F996" s="2"/>
      <c r="G996" s="2"/>
      <c r="H996" s="2"/>
      <c r="I996" s="2"/>
      <c r="J996" s="2"/>
      <c r="K996" s="2"/>
      <c r="L996" s="2"/>
      <c r="M996" s="2"/>
      <c r="N996" s="2"/>
      <c r="O996" s="2"/>
      <c r="P996" s="2"/>
      <c r="Q996" s="2"/>
      <c r="R996" s="2"/>
      <c r="S996" s="2"/>
      <c r="T996" s="2"/>
      <c r="U996" s="2"/>
    </row>
    <row r="997">
      <c r="A997" s="2"/>
      <c r="B997" s="2"/>
      <c r="C997" s="2"/>
      <c r="D997" s="2"/>
      <c r="E997" s="2"/>
      <c r="F997" s="2"/>
      <c r="G997" s="2"/>
      <c r="H997" s="2"/>
      <c r="I997" s="2"/>
      <c r="J997" s="2"/>
      <c r="K997" s="2"/>
      <c r="L997" s="2"/>
      <c r="M997" s="2"/>
      <c r="N997" s="2"/>
      <c r="O997" s="2"/>
      <c r="P997" s="2"/>
      <c r="Q997" s="2"/>
      <c r="R997" s="2"/>
      <c r="S997" s="2"/>
      <c r="T997" s="2"/>
      <c r="U997" s="2"/>
    </row>
    <row r="998">
      <c r="A998" s="2"/>
      <c r="B998" s="2"/>
      <c r="C998" s="2"/>
      <c r="D998" s="2"/>
      <c r="E998" s="2"/>
      <c r="F998" s="2"/>
      <c r="G998" s="2"/>
      <c r="H998" s="2"/>
      <c r="I998" s="2"/>
      <c r="J998" s="2"/>
      <c r="K998" s="2"/>
      <c r="L998" s="2"/>
      <c r="M998" s="2"/>
      <c r="N998" s="2"/>
      <c r="O998" s="2"/>
      <c r="P998" s="2"/>
      <c r="Q998" s="2"/>
      <c r="R998" s="2"/>
      <c r="S998" s="2"/>
      <c r="T998" s="2"/>
      <c r="U998" s="2"/>
    </row>
    <row r="999">
      <c r="A999" s="2"/>
      <c r="B999" s="2"/>
      <c r="C999" s="2"/>
      <c r="D999" s="2"/>
      <c r="E999" s="2"/>
      <c r="F999" s="2"/>
      <c r="G999" s="2"/>
      <c r="H999" s="2"/>
      <c r="I999" s="2"/>
      <c r="J999" s="2"/>
      <c r="K999" s="2"/>
      <c r="L999" s="2"/>
      <c r="M999" s="2"/>
      <c r="N999" s="2"/>
      <c r="O999" s="2"/>
      <c r="P999" s="2"/>
      <c r="Q999" s="2"/>
      <c r="R999" s="2"/>
      <c r="S999" s="2"/>
      <c r="T999" s="2"/>
      <c r="U999" s="2"/>
    </row>
    <row r="1000">
      <c r="A1000" s="2"/>
      <c r="B1000" s="2"/>
      <c r="C1000" s="2"/>
      <c r="D1000" s="2"/>
      <c r="E1000" s="2"/>
      <c r="F1000" s="2"/>
      <c r="G1000" s="2"/>
      <c r="H1000" s="2"/>
      <c r="I1000" s="2"/>
      <c r="J1000" s="2"/>
      <c r="K1000" s="2"/>
      <c r="L1000" s="2"/>
      <c r="M1000" s="2"/>
      <c r="N1000" s="2"/>
      <c r="O1000" s="2"/>
      <c r="P1000" s="2"/>
      <c r="Q1000" s="2"/>
      <c r="R1000" s="2"/>
      <c r="S1000" s="2"/>
      <c r="T1000" s="2"/>
      <c r="U1000" s="2"/>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3" width="37.63"/>
    <col customWidth="1" min="4" max="4" width="33.75"/>
    <col customWidth="1" min="5" max="5" width="37.63"/>
    <col customWidth="1" min="7" max="7" width="18.25"/>
    <col customWidth="1" min="8" max="8" width="37.63"/>
    <col customWidth="1" min="9" max="9" width="30.88"/>
    <col customWidth="1" min="10" max="10" width="37.63"/>
  </cols>
  <sheetData>
    <row r="1" ht="22.5" customHeight="1">
      <c r="A1" s="1" t="s">
        <v>0</v>
      </c>
      <c r="B1" s="1" t="s">
        <v>2426</v>
      </c>
      <c r="C1" s="1" t="s">
        <v>2</v>
      </c>
      <c r="D1" s="1" t="s">
        <v>262</v>
      </c>
      <c r="E1" s="1" t="s">
        <v>4</v>
      </c>
      <c r="F1" s="2"/>
      <c r="G1" s="9" t="s">
        <v>5</v>
      </c>
      <c r="H1" s="3" t="s">
        <v>6</v>
      </c>
      <c r="I1" s="3" t="s">
        <v>7</v>
      </c>
      <c r="J1" s="3" t="s">
        <v>8</v>
      </c>
      <c r="K1" s="3" t="s">
        <v>9</v>
      </c>
      <c r="L1" s="2"/>
      <c r="R1" s="2"/>
      <c r="S1" s="2"/>
      <c r="T1" s="2"/>
      <c r="U1" s="2"/>
    </row>
    <row r="2" ht="22.5" customHeight="1">
      <c r="A2" s="4" t="str">
        <f>IFERROR(__xludf.DUMMYFUNCTION("GOOGLETRANSLATE(G2, ""de"", ""en"")"),"1")</f>
        <v>1</v>
      </c>
      <c r="B2" s="4" t="str">
        <f>IFERROR(__xludf.DUMMYFUNCTION("GOOGLETRANSLATE(H2, ""de"", ""en"")"),"What is the maximum distance a throw can travel and still be valid?")</f>
        <v>What is the maximum distance a throw can travel and still be valid?</v>
      </c>
      <c r="C2" s="4" t="s">
        <v>2427</v>
      </c>
      <c r="D2" s="4" t="str">
        <f>IFERROR(__xludf.DUMMYFUNCTION("GOOGLETRANSLATE(J2, ""de"", ""en"")"),"Unlimited")</f>
        <v>Unlimited</v>
      </c>
      <c r="E2" s="4" t="str">
        <f>IFERROR(__xludf.DUMMYFUNCTION("GOOGLETRANSLATE(K2, ""de"", ""en"")"),"The distance of a throw is unlimited as long as it follows the rules.")</f>
        <v>The distance of a throw is unlimited as long as it follows the rules.</v>
      </c>
      <c r="F2" s="2"/>
      <c r="G2" s="5">
        <v>1.0</v>
      </c>
      <c r="H2" s="4" t="s">
        <v>2428</v>
      </c>
      <c r="I2" s="4" t="s">
        <v>2429</v>
      </c>
      <c r="J2" s="4" t="s">
        <v>2430</v>
      </c>
      <c r="K2" s="4" t="s">
        <v>2431</v>
      </c>
      <c r="L2" s="2"/>
      <c r="R2" s="2"/>
      <c r="S2" s="2"/>
      <c r="T2" s="2"/>
      <c r="U2" s="2"/>
    </row>
    <row r="3" ht="22.5" customHeight="1">
      <c r="A3" s="4" t="str">
        <f>IFERROR(__xludf.DUMMYFUNCTION("GOOGLETRANSLATE(G3, ""de"", ""en"")"),"2")</f>
        <v>2</v>
      </c>
      <c r="B3" s="4" t="str">
        <f>IFERROR(__xludf.DUMMYFUNCTION("GOOGLETRANSLATE(H3, ""de"", ""en"")"),"What happens if the throw lands in the water?")</f>
        <v>What happens if the throw lands in the water?</v>
      </c>
      <c r="C3" s="4" t="s">
        <v>2432</v>
      </c>
      <c r="D3" s="4" t="str">
        <f>IFERROR(__xludf.DUMMYFUNCTION("GOOGLETRANSLATE(J3, ""de"", ""en"")"),"The throw is considered invalid.")</f>
        <v>The throw is considered invalid.</v>
      </c>
      <c r="E3" s="4" t="str">
        <f>IFERROR(__xludf.DUMMYFUNCTION("GOOGLETRANSLATE(K3, ""de"", ""en"")"),"A toilet that ends up in the water will be declared invalid.")</f>
        <v>A toilet that ends up in the water will be declared invalid.</v>
      </c>
      <c r="F3" s="2"/>
      <c r="G3" s="5">
        <v>2.0</v>
      </c>
      <c r="H3" s="4" t="s">
        <v>2433</v>
      </c>
      <c r="I3" s="4" t="s">
        <v>2434</v>
      </c>
      <c r="J3" s="4" t="s">
        <v>2435</v>
      </c>
      <c r="K3" s="4" t="s">
        <v>2436</v>
      </c>
      <c r="L3" s="2"/>
      <c r="R3" s="2"/>
      <c r="S3" s="2"/>
      <c r="T3" s="2"/>
      <c r="U3" s="2"/>
    </row>
    <row r="4" ht="22.5" customHeight="1">
      <c r="A4" s="4" t="str">
        <f>IFERROR(__xludf.DUMMYFUNCTION("GOOGLETRANSLATE(G4, ""de"", ""en"")"),"3")</f>
        <v>3</v>
      </c>
      <c r="B4" s="4" t="str">
        <f>IFERROR(__xludf.DUMMYFUNCTION("GOOGLETRANSLATE(H4, ""de"", ""en"")"),"How many players are in a team for Klootschießen (a traditional Frisian sport similar to Klootschießen).")</f>
        <v>How many players are in a team for Klootschießen (a traditional Frisian sport similar to Klootschießen).</v>
      </c>
      <c r="C4" s="4" t="s">
        <v>2437</v>
      </c>
      <c r="D4" s="4" t="str">
        <f>IFERROR(__xludf.DUMMYFUNCTION("GOOGLETRANSLATE(J4, ""de"", ""en"")"),"6 to 10 players")</f>
        <v>6 to 10 players</v>
      </c>
      <c r="E4" s="4" t="str">
        <f>IFERROR(__xludf.DUMMYFUNCTION("GOOGLETRANSLATE(K4, ""de"", ""en"")"),"A team usually consists of 6 to 10 players.")</f>
        <v>A team usually consists of 6 to 10 players.</v>
      </c>
      <c r="F4" s="2"/>
      <c r="G4" s="5">
        <v>3.0</v>
      </c>
      <c r="H4" s="4" t="s">
        <v>2438</v>
      </c>
      <c r="I4" s="4" t="s">
        <v>2439</v>
      </c>
      <c r="J4" s="4" t="s">
        <v>2440</v>
      </c>
      <c r="K4" s="4" t="s">
        <v>2441</v>
      </c>
      <c r="L4" s="2"/>
      <c r="R4" s="2"/>
      <c r="S4" s="2"/>
      <c r="T4" s="2"/>
      <c r="U4" s="2"/>
    </row>
    <row r="5" ht="22.5" customHeight="1">
      <c r="A5" s="4" t="str">
        <f>IFERROR(__xludf.DUMMYFUNCTION("GOOGLETRANSLATE(G5, ""de"", ""en"")"),"4")</f>
        <v>4</v>
      </c>
      <c r="B5" s="4" t="str">
        <f>IFERROR(__xludf.DUMMYFUNCTION("GOOGLETRANSLATE(H5, ""de"", ""en"")"),"Can the player pick up the kloot after a missed throw?")</f>
        <v>Can the player pick up the kloot after a missed throw?</v>
      </c>
      <c r="C5" s="4" t="s">
        <v>2442</v>
      </c>
      <c r="D5" s="4" t="str">
        <f>IFERROR(__xludf.DUMMYFUNCTION("GOOGLETRANSLATE(J5, ""de"", ""en"")"),"Yes, with the referee's approval.")</f>
        <v>Yes, with the referee's approval.</v>
      </c>
      <c r="E5" s="4" t="str">
        <f>IFERROR(__xludf.DUMMYFUNCTION("GOOGLETRANSLATE(K5, ""de"", ""en"")"),"After a failed throw, the kloot can only be resumed with the referee's approval.")</f>
        <v>After a failed throw, the kloot can only be resumed with the referee's approval.</v>
      </c>
      <c r="F5" s="2"/>
      <c r="G5" s="5">
        <v>4.0</v>
      </c>
      <c r="H5" s="4" t="s">
        <v>2443</v>
      </c>
      <c r="I5" s="4" t="s">
        <v>2444</v>
      </c>
      <c r="J5" s="4" t="s">
        <v>2445</v>
      </c>
      <c r="K5" s="4" t="s">
        <v>2446</v>
      </c>
      <c r="L5" s="2"/>
      <c r="R5" s="2"/>
      <c r="S5" s="2"/>
      <c r="T5" s="2"/>
      <c r="U5" s="2"/>
    </row>
    <row r="6" ht="22.5" customHeight="1">
      <c r="A6" s="4" t="str">
        <f>IFERROR(__xludf.DUMMYFUNCTION("GOOGLETRANSLATE(G6, ""de"", ""en"")"),"5")</f>
        <v>5</v>
      </c>
      <c r="B6" s="4" t="str">
        <f>IFERROR(__xludf.DUMMYFUNCTION("GOOGLETRANSLATE(H6, ""de"", ""en"")"),"What material is used for a traditional Kloot?")</f>
        <v>What material is used for a traditional Kloot?</v>
      </c>
      <c r="C6" s="4" t="s">
        <v>2447</v>
      </c>
      <c r="D6" s="4" t="str">
        <f>IFERROR(__xludf.DUMMYFUNCTION("GOOGLETRANSLATE(J6, ""de"", ""en"")"),"clay")</f>
        <v>clay</v>
      </c>
      <c r="E6" s="4" t="str">
        <f>IFERROR(__xludf.DUMMYFUNCTION("GOOGLETRANSLATE(K6, ""de"", ""en"")"),"Traditional Kloots are made from clay.")</f>
        <v>Traditional Kloots are made from clay.</v>
      </c>
      <c r="F6" s="2"/>
      <c r="G6" s="5">
        <v>5.0</v>
      </c>
      <c r="H6" s="4" t="s">
        <v>2448</v>
      </c>
      <c r="I6" s="4" t="s">
        <v>2449</v>
      </c>
      <c r="J6" s="4" t="s">
        <v>2450</v>
      </c>
      <c r="K6" s="4" t="s">
        <v>2451</v>
      </c>
      <c r="L6" s="2"/>
      <c r="R6" s="2"/>
      <c r="S6" s="2"/>
      <c r="T6" s="2"/>
      <c r="U6" s="2"/>
    </row>
    <row r="7" ht="22.5" customHeight="1">
      <c r="A7" s="4" t="str">
        <f>IFERROR(__xludf.DUMMYFUNCTION("GOOGLETRANSLATE(G7, ""de"", ""en"")"),"6")</f>
        <v>6</v>
      </c>
      <c r="B7" s="4" t="str">
        <f>IFERROR(__xludf.DUMMYFUNCTION("GOOGLETRANSLATE(H7, ""de"", ""en"")"),"How is the throwing distance measured?")</f>
        <v>How is the throwing distance measured?</v>
      </c>
      <c r="C7" s="4" t="s">
        <v>2452</v>
      </c>
      <c r="D7" s="4" t="str">
        <f>IFERROR(__xludf.DUMMYFUNCTION("GOOGLETRANSLATE(J7, ""de"", ""en"")"),"From the release point to the final position")</f>
        <v>From the release point to the final position</v>
      </c>
      <c r="E7" s="4" t="str">
        <f>IFERROR(__xludf.DUMMYFUNCTION("GOOGLETRANSLATE(K7, ""de"", ""en"")"),"The throwing distance is measured from the trigger point to the final position.")</f>
        <v>The throwing distance is measured from the trigger point to the final position.</v>
      </c>
      <c r="F7" s="2"/>
      <c r="G7" s="5">
        <v>6.0</v>
      </c>
      <c r="H7" s="4" t="s">
        <v>2453</v>
      </c>
      <c r="I7" s="4" t="s">
        <v>2454</v>
      </c>
      <c r="J7" s="4" t="s">
        <v>2455</v>
      </c>
      <c r="K7" s="4" t="s">
        <v>2456</v>
      </c>
      <c r="L7" s="2"/>
      <c r="R7" s="2"/>
      <c r="S7" s="2"/>
      <c r="T7" s="2"/>
      <c r="U7" s="2"/>
    </row>
    <row r="8" ht="22.5" customHeight="1">
      <c r="A8" s="4" t="str">
        <f>IFERROR(__xludf.DUMMYFUNCTION("GOOGLETRANSLATE(G8, ""de"", ""en"")"),"7")</f>
        <v>7</v>
      </c>
      <c r="B8" s="4" t="str">
        <f>IFERROR(__xludf.DUMMYFUNCTION("GOOGLETRANSLATE(H8, ""de"", ""en"")"),"What happens if a player throws the kloot outside the drop zone?")</f>
        <v>What happens if a player throws the kloot outside the drop zone?</v>
      </c>
      <c r="C8" s="4" t="s">
        <v>2457</v>
      </c>
      <c r="D8" s="4" t="str">
        <f>IFERROR(__xludf.DUMMYFUNCTION("GOOGLETRANSLATE(J8, ""de"", ""en"")"),"The throw is invalid.")</f>
        <v>The throw is invalid.</v>
      </c>
      <c r="E8" s="4" t="str">
        <f>IFERROR(__xludf.DUMMYFUNCTION("GOOGLETRANSLATE(K8, ""de"", ""en"")"),"Throws made outside the drop zone are considered invalid.")</f>
        <v>Throws made outside the drop zone are considered invalid.</v>
      </c>
      <c r="F8" s="2"/>
      <c r="G8" s="5">
        <v>7.0</v>
      </c>
      <c r="H8" s="4" t="s">
        <v>2458</v>
      </c>
      <c r="I8" s="4" t="s">
        <v>2459</v>
      </c>
      <c r="J8" s="4" t="s">
        <v>2460</v>
      </c>
      <c r="K8" s="4" t="s">
        <v>2461</v>
      </c>
      <c r="L8" s="2"/>
      <c r="R8" s="2"/>
      <c r="S8" s="2"/>
      <c r="T8" s="2"/>
      <c r="U8" s="2"/>
    </row>
    <row r="9" ht="22.5" customHeight="1">
      <c r="A9" s="4" t="str">
        <f>IFERROR(__xludf.DUMMYFUNCTION("GOOGLETRANSLATE(G9, ""de"", ""en"")"),"8")</f>
        <v>8</v>
      </c>
      <c r="B9" s="4" t="str">
        <f>IFERROR(__xludf.DUMMYFUNCTION("GOOGLETRANSLATE(H9, ""de"", ""en"")"),"How many rounds does a typical Kloot shooter game have?")</f>
        <v>How many rounds does a typical Kloot shooter game have?</v>
      </c>
      <c r="C9" s="4" t="s">
        <v>2462</v>
      </c>
      <c r="D9" s="4" t="str">
        <f>IFERROR(__xludf.DUMMYFUNCTION("GOOGLETRANSLATE(J9, ""de"", ""en"")"),"10 rounds")</f>
        <v>10 rounds</v>
      </c>
      <c r="E9" s="4" t="str">
        <f>IFERROR(__xludf.DUMMYFUNCTION("GOOGLETRANSLATE(K9, ""de"", ""en"")"),"A typical game consists of 10 rounds.")</f>
        <v>A typical game consists of 10 rounds.</v>
      </c>
      <c r="F9" s="2"/>
      <c r="G9" s="5">
        <v>8.0</v>
      </c>
      <c r="H9" s="4" t="s">
        <v>2463</v>
      </c>
      <c r="I9" s="4" t="s">
        <v>2464</v>
      </c>
      <c r="J9" s="4" t="s">
        <v>2465</v>
      </c>
      <c r="K9" s="4" t="s">
        <v>2466</v>
      </c>
      <c r="L9" s="2"/>
      <c r="R9" s="2"/>
      <c r="S9" s="2"/>
      <c r="T9" s="2"/>
      <c r="U9" s="2"/>
    </row>
    <row r="10" ht="22.5" customHeight="1">
      <c r="A10" s="4" t="str">
        <f>IFERROR(__xludf.DUMMYFUNCTION("GOOGLETRANSLATE(G10, ""de"", ""en"")"),"9")</f>
        <v>9</v>
      </c>
      <c r="B10" s="4" t="str">
        <f>IFERROR(__xludf.DUMMYFUNCTION("GOOGLETRANSLATE(H10, ""de"", ""en"")"),"Which part of the body is allowed to touch the ground when throwing?")</f>
        <v>Which part of the body is allowed to touch the ground when throwing?</v>
      </c>
      <c r="C10" s="4" t="s">
        <v>2467</v>
      </c>
      <c r="D10" s="4" t="str">
        <f>IFERROR(__xludf.DUMMYFUNCTION("GOOGLETRANSLATE(J10, ""de"", ""en"")"),"Only the feet")</f>
        <v>Only the feet</v>
      </c>
      <c r="E10" s="4" t="str">
        <f>IFERROR(__xludf.DUMMYFUNCTION("GOOGLETRANSLATE(K10, ""de"", ""en"")"),"Only the feet may touch the ground when throwing.")</f>
        <v>Only the feet may touch the ground when throwing.</v>
      </c>
      <c r="F10" s="2"/>
      <c r="G10" s="5">
        <v>9.0</v>
      </c>
      <c r="H10" s="4" t="s">
        <v>2468</v>
      </c>
      <c r="I10" s="4" t="s">
        <v>2469</v>
      </c>
      <c r="J10" s="4" t="s">
        <v>2470</v>
      </c>
      <c r="K10" s="4" t="s">
        <v>2471</v>
      </c>
      <c r="L10" s="2"/>
      <c r="R10" s="2"/>
      <c r="S10" s="2"/>
      <c r="T10" s="2"/>
      <c r="U10" s="2"/>
    </row>
    <row r="11" ht="22.5" customHeight="1">
      <c r="A11" s="4" t="str">
        <f>IFERROR(__xludf.DUMMYFUNCTION("GOOGLETRANSLATE(G11, ""de"", ""en"")"),"10")</f>
        <v>10</v>
      </c>
      <c r="B11" s="4" t="str">
        <f>IFERROR(__xludf.DUMMYFUNCTION("GOOGLETRANSLATE(H11, ""de"", ""en"")"),"What happens if the toilet breaks?")</f>
        <v>What happens if the toilet breaks?</v>
      </c>
      <c r="C11" s="4" t="s">
        <v>2472</v>
      </c>
      <c r="D11" s="4" t="str">
        <f>IFERROR(__xludf.DUMMYFUNCTION("GOOGLETRANSLATE(J11, ""de"", ""en"")"),"The player receives a new throw")</f>
        <v>The player receives a new throw</v>
      </c>
      <c r="E11" s="4" t="str">
        <f>IFERROR(__xludf.DUMMYFUNCTION("GOOGLETRANSLATE(K11, ""de"", ""en"")"),"If the kloot breaks, the player can throw again.")</f>
        <v>If the kloot breaks, the player can throw again.</v>
      </c>
      <c r="F11" s="2"/>
      <c r="G11" s="5">
        <v>10.0</v>
      </c>
      <c r="H11" s="4" t="s">
        <v>2473</v>
      </c>
      <c r="I11" s="4" t="s">
        <v>2474</v>
      </c>
      <c r="J11" s="4" t="s">
        <v>2475</v>
      </c>
      <c r="K11" s="4" t="s">
        <v>2476</v>
      </c>
      <c r="L11" s="2"/>
      <c r="R11" s="2"/>
      <c r="S11" s="2"/>
      <c r="T11" s="2"/>
      <c r="U11" s="2"/>
    </row>
    <row r="12" ht="22.5" customHeight="1">
      <c r="A12" s="4" t="str">
        <f>IFERROR(__xludf.DUMMYFUNCTION("GOOGLETRANSLATE(G12, ""de"", ""en"")"),"11")</f>
        <v>11</v>
      </c>
      <c r="B12" s="4" t="str">
        <f>IFERROR(__xludf.DUMMYFUNCTION("GOOGLETRANSLATE(H12, ""de"", ""en"")"),"What happens if a team member is missing?")</f>
        <v>What happens if a team member is missing?</v>
      </c>
      <c r="C12" s="4" t="s">
        <v>2477</v>
      </c>
      <c r="D12" s="4" t="str">
        <f>IFERROR(__xludf.DUMMYFUNCTION("GOOGLETRANSLATE(J12, ""de"", ""en"")"),"The team is playing with fewer players")</f>
        <v>The team is playing with fewer players</v>
      </c>
      <c r="E12" s="4" t="str">
        <f>IFERROR(__xludf.DUMMYFUNCTION("GOOGLETRANSLATE(K12, ""de"", ""en"")"),"A team can also compete with fewer players.")</f>
        <v>A team can also compete with fewer players.</v>
      </c>
      <c r="F12" s="2"/>
      <c r="G12" s="5">
        <v>11.0</v>
      </c>
      <c r="H12" s="4" t="s">
        <v>2478</v>
      </c>
      <c r="I12" s="4" t="s">
        <v>2479</v>
      </c>
      <c r="J12" s="4" t="s">
        <v>2480</v>
      </c>
      <c r="K12" s="4" t="s">
        <v>2481</v>
      </c>
      <c r="L12" s="2"/>
      <c r="R12" s="2"/>
      <c r="S12" s="2"/>
      <c r="T12" s="2"/>
      <c r="U12" s="2"/>
    </row>
    <row r="13" ht="22.5" customHeight="1">
      <c r="A13" s="4" t="str">
        <f>IFERROR(__xludf.DUMMYFUNCTION("GOOGLETRANSLATE(G13, ""de"", ""en"")"),"12")</f>
        <v>12</v>
      </c>
      <c r="B13" s="4" t="str">
        <f>IFERROR(__xludf.DUMMYFUNCTION("GOOGLETRANSLATE(H13, ""de"", ""en"")"),"Which throwing techniques are not allowed?")</f>
        <v>Which throwing techniques are not allowed?</v>
      </c>
      <c r="C13" s="4" t="s">
        <v>2482</v>
      </c>
      <c r="D13" s="4" t="str">
        <f>IFERROR(__xludf.DUMMYFUNCTION("GOOGLETRANSLATE(J13, ""de"", ""en"")"),"The overhead throw")</f>
        <v>The overhead throw</v>
      </c>
      <c r="E13" s="4" t="str">
        <f>IFERROR(__xludf.DUMMYFUNCTION("GOOGLETRANSLATE(K13, ""de"", ""en"")"),"Overhead throws are not allowed.")</f>
        <v>Overhead throws are not allowed.</v>
      </c>
      <c r="F13" s="2"/>
      <c r="G13" s="5">
        <v>12.0</v>
      </c>
      <c r="H13" s="4" t="s">
        <v>2483</v>
      </c>
      <c r="I13" s="4" t="s">
        <v>2484</v>
      </c>
      <c r="J13" s="4" t="s">
        <v>2485</v>
      </c>
      <c r="K13" s="4" t="s">
        <v>2486</v>
      </c>
      <c r="L13" s="2"/>
      <c r="R13" s="2"/>
      <c r="S13" s="2"/>
      <c r="T13" s="2"/>
      <c r="U13" s="2"/>
    </row>
    <row r="14" ht="22.5" customHeight="1">
      <c r="A14" s="4" t="str">
        <f>IFERROR(__xludf.DUMMYFUNCTION("GOOGLETRANSLATE(G14, ""de"", ""en"")"),"13")</f>
        <v>13</v>
      </c>
      <c r="B14" s="4" t="str">
        <f>IFERROR(__xludf.DUMMYFUNCTION("GOOGLETRANSLATE(H14, ""de"", ""en"")"),"How big is a standard toilet?")</f>
        <v>How big is a standard toilet?</v>
      </c>
      <c r="C14" s="4" t="s">
        <v>2487</v>
      </c>
      <c r="D14" s="4" t="str">
        <f>IFERROR(__xludf.DUMMYFUNCTION("GOOGLETRANSLATE(J14, ""de"", ""en"")"),"10cm diameter")</f>
        <v>10cm diameter</v>
      </c>
      <c r="E14" s="4" t="str">
        <f>IFERROR(__xludf.DUMMYFUNCTION("GOOGLETRANSLATE(K14, ""de"", ""en"")"),"A normal Kloot has a diameter of 10 cm.")</f>
        <v>A normal Kloot has a diameter of 10 cm.</v>
      </c>
      <c r="F14" s="2"/>
      <c r="G14" s="5">
        <v>13.0</v>
      </c>
      <c r="H14" s="4" t="s">
        <v>2488</v>
      </c>
      <c r="I14" s="4" t="s">
        <v>2489</v>
      </c>
      <c r="J14" s="4" t="s">
        <v>2490</v>
      </c>
      <c r="K14" s="4" t="s">
        <v>2491</v>
      </c>
      <c r="L14" s="2"/>
      <c r="R14" s="2"/>
      <c r="S14" s="2"/>
      <c r="T14" s="2"/>
      <c r="U14" s="2"/>
    </row>
    <row r="15" ht="22.5" customHeight="1">
      <c r="A15" s="4" t="str">
        <f>IFERROR(__xludf.DUMMYFUNCTION("GOOGLETRANSLATE(G15, ""de"", ""en"")"),"14")</f>
        <v>14</v>
      </c>
      <c r="B15" s="4" t="str">
        <f>IFERROR(__xludf.DUMMYFUNCTION("GOOGLETRANSLATE(H15, ""de"", ""en"")"),"What happens if two teams have the same score?")</f>
        <v>What happens if two teams have the same score?</v>
      </c>
      <c r="C15" s="4" t="s">
        <v>2492</v>
      </c>
      <c r="D15" s="4" t="str">
        <f>IFERROR(__xludf.DUMMYFUNCTION("GOOGLETRANSLATE(J15, ""de"", ""en"")"),"A sharp, stinging sensation arises.")</f>
        <v>A sharp, stinging sensation arises.</v>
      </c>
      <c r="E15" s="4" t="str">
        <f>IFERROR(__xludf.DUMMYFUNCTION("GOOGLETRANSLATE(K15, ""de"", ""en"")"),"In case of a tie, a playoff will take place.")</f>
        <v>In case of a tie, a playoff will take place.</v>
      </c>
      <c r="F15" s="2"/>
      <c r="G15" s="5">
        <v>14.0</v>
      </c>
      <c r="H15" s="4" t="s">
        <v>2493</v>
      </c>
      <c r="I15" s="4" t="s">
        <v>2494</v>
      </c>
      <c r="J15" s="4" t="s">
        <v>2495</v>
      </c>
      <c r="K15" s="4" t="s">
        <v>2496</v>
      </c>
      <c r="L15" s="2"/>
      <c r="R15" s="2"/>
      <c r="S15" s="2"/>
      <c r="T15" s="2"/>
      <c r="U15" s="2"/>
    </row>
    <row r="16" ht="22.5" customHeight="1">
      <c r="A16" s="4" t="str">
        <f>IFERROR(__xludf.DUMMYFUNCTION("GOOGLETRANSLATE(G16, ""de"", ""en"")"),"15")</f>
        <v>15</v>
      </c>
      <c r="B16" s="4" t="str">
        <f>IFERROR(__xludf.DUMMYFUNCTION("GOOGLETRANSLATE(H16, ""de"", ""en"")"),"Can a player change the drop zone during the game?")</f>
        <v>Can a player change the drop zone during the game?</v>
      </c>
      <c r="C16" s="4" t="s">
        <v>2497</v>
      </c>
      <c r="D16" s="4" t="str">
        <f>IFERROR(__xludf.DUMMYFUNCTION("GOOGLETRANSLATE(J16, ""de"", ""en"")"),"Yes, with the referee's approval.")</f>
        <v>Yes, with the referee's approval.</v>
      </c>
      <c r="E16" s="4" t="str">
        <f>IFERROR(__xludf.DUMMYFUNCTION("GOOGLETRANSLATE(K16, ""de"", ""en"")"),"The throwing zone may only be changed with the referee's approval.")</f>
        <v>The throwing zone may only be changed with the referee's approval.</v>
      </c>
      <c r="F16" s="2"/>
      <c r="G16" s="5">
        <v>15.0</v>
      </c>
      <c r="H16" s="4" t="s">
        <v>2498</v>
      </c>
      <c r="I16" s="4" t="s">
        <v>2499</v>
      </c>
      <c r="J16" s="4" t="s">
        <v>2445</v>
      </c>
      <c r="K16" s="4" t="s">
        <v>2500</v>
      </c>
      <c r="L16" s="2"/>
      <c r="R16" s="2"/>
      <c r="S16" s="2"/>
      <c r="T16" s="2"/>
      <c r="U16" s="2"/>
    </row>
    <row r="17" ht="22.5" customHeight="1">
      <c r="A17" s="4" t="str">
        <f>IFERROR(__xludf.DUMMYFUNCTION("GOOGLETRANSLATE(G17, ""de"", ""en"")"),"16")</f>
        <v>16</v>
      </c>
      <c r="B17" s="4" t="str">
        <f>IFERROR(__xludf.DUMMYFUNCTION("GOOGLETRANSLATE(H17, ""de"", ""en"")"),"What clothing is required for the Klot photoshoot?")</f>
        <v>What clothing is required for the Klot photoshoot?</v>
      </c>
      <c r="C17" s="4" t="s">
        <v>2501</v>
      </c>
      <c r="D17" s="4" t="str">
        <f>IFERROR(__xludf.DUMMYFUNCTION("GOOGLETRANSLATE(J17, ""de"", ""en"")"),"No special clothing required.")</f>
        <v>No special clothing required.</v>
      </c>
      <c r="E17" s="4" t="str">
        <f>IFERROR(__xludf.DUMMYFUNCTION("GOOGLETRANSLATE(K17, ""de"", ""en"")"),"There are no regulations regarding clothing when shooting.")</f>
        <v>There are no regulations regarding clothing when shooting.</v>
      </c>
      <c r="F17" s="2"/>
      <c r="G17" s="5">
        <v>16.0</v>
      </c>
      <c r="H17" s="4" t="s">
        <v>2502</v>
      </c>
      <c r="I17" s="4" t="s">
        <v>2503</v>
      </c>
      <c r="J17" s="4" t="s">
        <v>2504</v>
      </c>
      <c r="K17" s="4" t="s">
        <v>2505</v>
      </c>
      <c r="L17" s="2"/>
      <c r="R17" s="2"/>
      <c r="S17" s="2"/>
      <c r="T17" s="2"/>
      <c r="U17" s="2"/>
    </row>
    <row r="18" ht="22.5" customHeight="1">
      <c r="A18" s="4" t="str">
        <f>IFERROR(__xludf.DUMMYFUNCTION("GOOGLETRANSLATE(G18, ""de"", ""en"")"),"17")</f>
        <v>17</v>
      </c>
      <c r="B18" s="4" t="str">
        <f>IFERROR(__xludf.DUMMYFUNCTION("GOOGLETRANSLATE(H18, ""de"", ""en"")"),"Can the Kloot be thrown with both hands at the same time?")</f>
        <v>Can the Kloot be thrown with both hands at the same time?</v>
      </c>
      <c r="C18" s="4" t="s">
        <v>2506</v>
      </c>
      <c r="D18" s="4" t="str">
        <f>IFERROR(__xludf.DUMMYFUNCTION("GOOGLETRANSLATE(J18, ""de"", ""en"")"),"No, never")</f>
        <v>No, never</v>
      </c>
      <c r="E18" s="4" t="str">
        <f>IFERROR(__xludf.DUMMYFUNCTION("GOOGLETRANSLATE(K18, ""de"", ""en"")"),"Throwing with both hands simultaneously is not permitted.")</f>
        <v>Throwing with both hands simultaneously is not permitted.</v>
      </c>
      <c r="F18" s="2"/>
      <c r="G18" s="5">
        <v>17.0</v>
      </c>
      <c r="H18" s="4" t="s">
        <v>2507</v>
      </c>
      <c r="I18" s="4" t="s">
        <v>2508</v>
      </c>
      <c r="J18" s="4" t="s">
        <v>2509</v>
      </c>
      <c r="K18" s="4" t="s">
        <v>2510</v>
      </c>
      <c r="L18" s="2"/>
      <c r="R18" s="2"/>
      <c r="S18" s="2"/>
      <c r="T18" s="2"/>
      <c r="U18" s="2"/>
    </row>
    <row r="19" ht="22.5" customHeight="1">
      <c r="A19" s="4" t="str">
        <f>IFERROR(__xludf.DUMMYFUNCTION("GOOGLETRANSLATE(G19, ""de"", ""en"")"),"18")</f>
        <v>18</v>
      </c>
      <c r="B19" s="4" t="str">
        <f>IFERROR(__xludf.DUMMYFUNCTION("GOOGLETRANSLATE(H19, ""de"", ""en"")"),"What is the minimum size required for the drop zone?")</f>
        <v>What is the minimum size required for the drop zone?</v>
      </c>
      <c r="C19" s="4" t="s">
        <v>2511</v>
      </c>
      <c r="D19" s="4" t="str">
        <f>IFERROR(__xludf.DUMMYFUNCTION("GOOGLETRANSLATE(J19, ""de"", ""en"")"),"2 meters")</f>
        <v>2 meters</v>
      </c>
      <c r="E19" s="4" t="str">
        <f>IFERROR(__xludf.DUMMYFUNCTION("GOOGLETRANSLATE(K19, ""de"", ""en"")"),"The drop zone must be at least 2 meters in size.")</f>
        <v>The drop zone must be at least 2 meters in size.</v>
      </c>
      <c r="F19" s="2"/>
      <c r="G19" s="5">
        <v>18.0</v>
      </c>
      <c r="H19" s="4" t="s">
        <v>2512</v>
      </c>
      <c r="I19" s="4" t="s">
        <v>2513</v>
      </c>
      <c r="J19" s="4" t="s">
        <v>2514</v>
      </c>
      <c r="K19" s="4" t="s">
        <v>2515</v>
      </c>
      <c r="L19" s="2"/>
      <c r="R19" s="2"/>
      <c r="S19" s="2"/>
      <c r="T19" s="2"/>
      <c r="U19" s="2"/>
    </row>
    <row r="20" ht="22.5" customHeight="1">
      <c r="A20" s="4" t="str">
        <f>IFERROR(__xludf.DUMMYFUNCTION("GOOGLETRANSLATE(G20, ""de"", ""en"")"),"19")</f>
        <v>19</v>
      </c>
      <c r="B20" s="4" t="str">
        <f>IFERROR(__xludf.DUMMYFUNCTION("GOOGLETRANSLATE(H20, ""de"", ""en"")"),"Who decides whether a throw is valid?")</f>
        <v>Who decides whether a throw is valid?</v>
      </c>
      <c r="C20" s="4" t="s">
        <v>2516</v>
      </c>
      <c r="D20" s="4" t="str">
        <f>IFERROR(__xludf.DUMMYFUNCTION("GOOGLETRANSLATE(J20, ""de"", ""en"")"),"The referee")</f>
        <v>The referee</v>
      </c>
      <c r="E20" s="4" t="str">
        <f>IFERROR(__xludf.DUMMYFUNCTION("GOOGLETRANSLATE(K20, ""de"", ""en"")"),"The referee decides whether a throw is valid.")</f>
        <v>The referee decides whether a throw is valid.</v>
      </c>
      <c r="F20" s="2"/>
      <c r="G20" s="5">
        <v>19.0</v>
      </c>
      <c r="H20" s="4" t="s">
        <v>2517</v>
      </c>
      <c r="I20" s="4" t="s">
        <v>2518</v>
      </c>
      <c r="J20" s="4" t="s">
        <v>2519</v>
      </c>
      <c r="K20" s="4" t="s">
        <v>2520</v>
      </c>
      <c r="L20" s="2"/>
      <c r="R20" s="2"/>
      <c r="S20" s="2"/>
      <c r="T20" s="2"/>
      <c r="U20" s="2"/>
    </row>
    <row r="21" ht="22.5" customHeight="1">
      <c r="A21" s="4" t="str">
        <f>IFERROR(__xludf.DUMMYFUNCTION("GOOGLETRANSLATE(G21, ""de"", ""en"")"),"20")</f>
        <v>20</v>
      </c>
      <c r="B21" s="4" t="str">
        <f>IFERROR(__xludf.DUMMYFUNCTION("GOOGLETRANSLATE(H21, ""de"", ""en"")"),"What happens if a player crosses the throwing line before throwing?")</f>
        <v>What happens if a player crosses the throwing line before throwing?</v>
      </c>
      <c r="C21" s="4" t="s">
        <v>2521</v>
      </c>
      <c r="D21" s="4" t="str">
        <f>IFERROR(__xludf.DUMMYFUNCTION("GOOGLETRANSLATE(J21, ""de"", ""en"")"),"The throw is invalid.")</f>
        <v>The throw is invalid.</v>
      </c>
      <c r="E21" s="4" t="str">
        <f>IFERROR(__xludf.DUMMYFUNCTION("GOOGLETRANSLATE(K21, ""de"", ""en"")"),"Violating the marking will result in the throw being invalid.")</f>
        <v>Violating the marking will result in the throw being invalid.</v>
      </c>
      <c r="F21" s="2"/>
      <c r="G21" s="5">
        <v>20.0</v>
      </c>
      <c r="H21" s="4" t="s">
        <v>2522</v>
      </c>
      <c r="I21" s="4" t="s">
        <v>2523</v>
      </c>
      <c r="J21" s="4" t="s">
        <v>2460</v>
      </c>
      <c r="K21" s="4" t="s">
        <v>2524</v>
      </c>
      <c r="L21" s="2"/>
      <c r="R21" s="2"/>
      <c r="S21" s="2"/>
      <c r="T21" s="2"/>
      <c r="U21" s="2"/>
    </row>
    <row r="22" ht="22.5" customHeight="1">
      <c r="A22" s="4" t="str">
        <f>IFERROR(__xludf.DUMMYFUNCTION("GOOGLETRANSLATE(G22, ""de"", ""en"")"),"21")</f>
        <v>21</v>
      </c>
      <c r="B22" s="4" t="str">
        <f>IFERROR(__xludf.DUMMYFUNCTION("GOOGLETRANSLATE(H22, ""de"", ""en"")"),"How many substitute Klots can a team have during a match?")</f>
        <v>How many substitute Klots can a team have during a match?</v>
      </c>
      <c r="C22" s="4" t="s">
        <v>229</v>
      </c>
      <c r="D22" s="4" t="str">
        <f>IFERROR(__xludf.DUMMYFUNCTION("GOOGLETRANSLATE(J22, ""de"", ""en"")"),"A")</f>
        <v>A</v>
      </c>
      <c r="E22" s="4" t="str">
        <f>IFERROR(__xludf.DUMMYFUNCTION("GOOGLETRANSLATE(K22, ""de"", ""en"")"),"A team is allowed a maximum of one spare toilet.")</f>
        <v>A team is allowed a maximum of one spare toilet.</v>
      </c>
      <c r="F22" s="2"/>
      <c r="G22" s="5">
        <v>21.0</v>
      </c>
      <c r="H22" s="4" t="s">
        <v>2525</v>
      </c>
      <c r="I22" s="4" t="s">
        <v>2526</v>
      </c>
      <c r="J22" s="4" t="s">
        <v>232</v>
      </c>
      <c r="K22" s="4" t="s">
        <v>2527</v>
      </c>
      <c r="L22" s="2"/>
      <c r="R22" s="2"/>
      <c r="S22" s="2"/>
      <c r="T22" s="2"/>
      <c r="U22" s="2"/>
    </row>
    <row r="23" ht="22.5" customHeight="1">
      <c r="A23" s="4" t="str">
        <f>IFERROR(__xludf.DUMMYFUNCTION("GOOGLETRANSLATE(G23, ""de"", ""en"")"),"22")</f>
        <v>22</v>
      </c>
      <c r="B23" s="4" t="str">
        <f>IFERROR(__xludf.DUMMYFUNCTION("GOOGLETRANSLATE(H23, ""de"", ""en"")"),"What happens if a throw hits an obstacle?")</f>
        <v>What happens if a throw hits an obstacle?</v>
      </c>
      <c r="C23" s="4" t="s">
        <v>2528</v>
      </c>
      <c r="D23" s="4" t="str">
        <f>IFERROR(__xludf.DUMMYFUNCTION("GOOGLETRANSLATE(J23, ""de"", ""en"")"),"The throw counts")</f>
        <v>The throw counts</v>
      </c>
      <c r="E23" s="4" t="str">
        <f>IFERROR(__xludf.DUMMYFUNCTION("GOOGLETRANSLATE(K23, ""de"", ""en"")"),"A throw that hits an obstacle still counts, as long as it remains within the boundaries of the playing field.")</f>
        <v>A throw that hits an obstacle still counts, as long as it remains within the boundaries of the playing field.</v>
      </c>
      <c r="F23" s="2"/>
      <c r="G23" s="5">
        <v>22.0</v>
      </c>
      <c r="H23" s="4" t="s">
        <v>2529</v>
      </c>
      <c r="I23" s="4" t="s">
        <v>2530</v>
      </c>
      <c r="J23" s="4" t="s">
        <v>2531</v>
      </c>
      <c r="K23" s="4" t="s">
        <v>2532</v>
      </c>
      <c r="L23" s="2"/>
      <c r="R23" s="2"/>
      <c r="S23" s="2"/>
      <c r="T23" s="2"/>
      <c r="U23" s="2"/>
    </row>
    <row r="24" ht="22.5" customHeight="1">
      <c r="A24" s="4" t="str">
        <f>IFERROR(__xludf.DUMMYFUNCTION("GOOGLETRANSLATE(G24, ""de"", ""en"")"),"23")</f>
        <v>23</v>
      </c>
      <c r="B24" s="4" t="str">
        <f>IFERROR(__xludf.DUMMYFUNCTION("GOOGLETRANSLATE(H24, ""de"", ""en"")"),"How is the winner of a game determined?")</f>
        <v>How is the winner of a game determined?</v>
      </c>
      <c r="C24" s="4" t="s">
        <v>2533</v>
      </c>
      <c r="D24" s="4" t="str">
        <f>IFERROR(__xludf.DUMMYFUNCTION("GOOGLETRANSLATE(J24, ""de"", ""en"")"),"Based on most points")</f>
        <v>Based on most points</v>
      </c>
      <c r="E24" s="4" t="str">
        <f>IFERROR(__xludf.DUMMYFUNCTION("GOOGLETRANSLATE(K24, ""de"", ""en"")"),"The team with the most points wins.")</f>
        <v>The team with the most points wins.</v>
      </c>
      <c r="F24" s="2"/>
      <c r="G24" s="5">
        <v>23.0</v>
      </c>
      <c r="H24" s="4" t="s">
        <v>2534</v>
      </c>
      <c r="I24" s="4" t="s">
        <v>2535</v>
      </c>
      <c r="J24" s="4" t="s">
        <v>2536</v>
      </c>
      <c r="K24" s="4" t="s">
        <v>2537</v>
      </c>
      <c r="L24" s="2"/>
      <c r="R24" s="2"/>
      <c r="S24" s="2"/>
      <c r="T24" s="2"/>
      <c r="U24" s="2"/>
    </row>
    <row r="25" ht="22.5" customHeight="1">
      <c r="A25" s="4" t="str">
        <f>IFERROR(__xludf.DUMMYFUNCTION("GOOGLETRANSLATE(G25, ""de"", ""en"")"),"24")</f>
        <v>24</v>
      </c>
      <c r="B25" s="4" t="str">
        <f>IFERROR(__xludf.DUMMYFUNCTION("GOOGLETRANSLATE(H25, ""de"", ""en"")"),"Can a player use another team's kloot during the game?")</f>
        <v>Can a player use another team's kloot during the game?</v>
      </c>
      <c r="C25" s="4" t="s">
        <v>2538</v>
      </c>
      <c r="D25" s="4" t="str">
        <f>IFERROR(__xludf.DUMMYFUNCTION("GOOGLETRANSLATE(J25, ""de"", ""en"")"),"Yes, with permission")</f>
        <v>Yes, with permission</v>
      </c>
      <c r="E25" s="4" t="str">
        <f>IFERROR(__xludf.DUMMYFUNCTION("GOOGLETRANSLATE(K25, ""de"", ""en"")"),"The use of public restrooms is only permitted with authorization.")</f>
        <v>The use of public restrooms is only permitted with authorization.</v>
      </c>
      <c r="F25" s="2"/>
      <c r="G25" s="5">
        <v>24.0</v>
      </c>
      <c r="H25" s="4" t="s">
        <v>2539</v>
      </c>
      <c r="I25" s="4" t="s">
        <v>2540</v>
      </c>
      <c r="J25" s="4" t="s">
        <v>2541</v>
      </c>
      <c r="K25" s="4" t="s">
        <v>2542</v>
      </c>
      <c r="L25" s="2"/>
      <c r="R25" s="2"/>
      <c r="S25" s="2"/>
      <c r="T25" s="2"/>
      <c r="U25" s="2"/>
    </row>
    <row r="26" ht="22.5" customHeight="1">
      <c r="A26" s="4" t="str">
        <f>IFERROR(__xludf.DUMMYFUNCTION("GOOGLETRANSLATE(G26, ""de"", ""en"")"),"25")</f>
        <v>25</v>
      </c>
      <c r="B26" s="4" t="str">
        <f>IFERROR(__xludf.DUMMYFUNCTION("GOOGLETRANSLATE(H26, ""de"", ""en"")"),"What is the maximum playing time for a game?")</f>
        <v>What is the maximum playing time for a game?</v>
      </c>
      <c r="C26" s="4" t="s">
        <v>2543</v>
      </c>
      <c r="D26" s="4" t="str">
        <f>IFERROR(__xludf.DUMMYFUNCTION("GOOGLETRANSLATE(J26, ""de"", ""en"")"),"No limit")</f>
        <v>No limit</v>
      </c>
      <c r="E26" s="4" t="str">
        <f>IFERROR(__xludf.DUMMYFUNCTION("GOOGLETRANSLATE(K26, ""de"", ""en"")"),"The playing time is not limited and is governed by the tournament rules.")</f>
        <v>The playing time is not limited and is governed by the tournament rules.</v>
      </c>
      <c r="F26" s="2"/>
      <c r="G26" s="5">
        <v>25.0</v>
      </c>
      <c r="H26" s="4" t="s">
        <v>2544</v>
      </c>
      <c r="I26" s="4" t="s">
        <v>2545</v>
      </c>
      <c r="J26" s="4" t="s">
        <v>2546</v>
      </c>
      <c r="K26" s="4" t="s">
        <v>2547</v>
      </c>
      <c r="L26" s="2"/>
      <c r="R26" s="2"/>
      <c r="S26" s="2"/>
      <c r="T26" s="2"/>
      <c r="U26" s="2"/>
    </row>
    <row r="27" ht="22.5" customHeight="1">
      <c r="A27" s="4" t="str">
        <f>IFERROR(__xludf.DUMMYFUNCTION("GOOGLETRANSLATE(G27, ""de"", ""en"")"),"26")</f>
        <v>26</v>
      </c>
      <c r="B27" s="4" t="str">
        <f>IFERROR(__xludf.DUMMYFUNCTION("GOOGLETRANSLATE(H27, ""de"", ""en"")"),"What happens if the score is tied after the last round?")</f>
        <v>What happens if the score is tied after the last round?</v>
      </c>
      <c r="C27" s="4" t="s">
        <v>2548</v>
      </c>
      <c r="D27" s="4" t="str">
        <f>IFERROR(__xludf.DUMMYFUNCTION("GOOGLETRANSLATE(J27, ""de"", ""en"")"),"A playoff will be played.")</f>
        <v>A playoff will be played.</v>
      </c>
      <c r="E27" s="4" t="str">
        <f>IFERROR(__xludf.DUMMYFUNCTION("GOOGLETRANSLATE(K27, ""de"", ""en"")"),"In case of a tie, a play-off will be held.")</f>
        <v>In case of a tie, a play-off will be held.</v>
      </c>
      <c r="F27" s="2"/>
      <c r="G27" s="5">
        <v>26.0</v>
      </c>
      <c r="H27" s="4" t="s">
        <v>2549</v>
      </c>
      <c r="I27" s="4" t="s">
        <v>2550</v>
      </c>
      <c r="J27" s="4" t="s">
        <v>2551</v>
      </c>
      <c r="K27" s="4" t="s">
        <v>2552</v>
      </c>
      <c r="L27" s="2"/>
      <c r="R27" s="2"/>
      <c r="S27" s="2"/>
      <c r="T27" s="2"/>
      <c r="U27" s="2"/>
    </row>
    <row r="28" ht="22.5" customHeight="1">
      <c r="A28" s="4" t="str">
        <f>IFERROR(__xludf.DUMMYFUNCTION("GOOGLETRANSLATE(G28, ""de"", ""en"")"),"27")</f>
        <v>27</v>
      </c>
      <c r="B28" s="4" t="str">
        <f>IFERROR(__xludf.DUMMYFUNCTION("GOOGLETRANSLATE(H28, ""de"", ""en"")"),"What should the playing surface be like?")</f>
        <v>What should the playing surface be like?</v>
      </c>
      <c r="C28" s="4" t="s">
        <v>2553</v>
      </c>
      <c r="D28" s="4" t="str">
        <f>IFERROR(__xludf.DUMMYFUNCTION("GOOGLETRANSLATE(J28, ""de"", ""en"")"),"Field paths or roads")</f>
        <v>Field paths or roads</v>
      </c>
      <c r="E28" s="4" t="str">
        <f>IFERROR(__xludf.DUMMYFUNCTION("GOOGLETRANSLATE(K28, ""de"", ""en"")"),"Toilet shooting is usually played on dirt roads or streets.")</f>
        <v>Toilet shooting is usually played on dirt roads or streets.</v>
      </c>
      <c r="F28" s="2"/>
      <c r="G28" s="5">
        <v>27.0</v>
      </c>
      <c r="H28" s="4" t="s">
        <v>2554</v>
      </c>
      <c r="I28" s="4" t="s">
        <v>2555</v>
      </c>
      <c r="J28" s="4" t="s">
        <v>2556</v>
      </c>
      <c r="K28" s="4" t="s">
        <v>2557</v>
      </c>
      <c r="L28" s="2"/>
      <c r="R28" s="2"/>
      <c r="S28" s="2"/>
      <c r="T28" s="2"/>
      <c r="U28" s="2"/>
    </row>
    <row r="29" ht="22.5" customHeight="1">
      <c r="A29" s="4" t="str">
        <f>IFERROR(__xludf.DUMMYFUNCTION("GOOGLETRANSLATE(G29, ""de"", ""en"")"),"28")</f>
        <v>28</v>
      </c>
      <c r="B29" s="4" t="str">
        <f>IFERROR(__xludf.DUMMYFUNCTION("GOOGLETRANSLATE(H29, ""de"", ""en"")"),"Can a player deflect the Kloot in the air?")</f>
        <v>Can a player deflect the Kloot in the air?</v>
      </c>
      <c r="C29" s="4" t="s">
        <v>2558</v>
      </c>
      <c r="D29" s="4" t="str">
        <f>IFERROR(__xludf.DUMMYFUNCTION("GOOGLETRANSLATE(J29, ""de"", ""en"")"),"No, never")</f>
        <v>No, never</v>
      </c>
      <c r="E29" s="4" t="str">
        <f>IFERROR(__xludf.DUMMYFUNCTION("GOOGLETRANSLATE(K29, ""de"", ""en"")"),"Deflecting the toilet in the air is prohibited.")</f>
        <v>Deflecting the toilet in the air is prohibited.</v>
      </c>
      <c r="F29" s="2"/>
      <c r="G29" s="5">
        <v>28.0</v>
      </c>
      <c r="H29" s="4" t="s">
        <v>2559</v>
      </c>
      <c r="I29" s="4" t="s">
        <v>2560</v>
      </c>
      <c r="J29" s="4" t="s">
        <v>2509</v>
      </c>
      <c r="K29" s="4" t="s">
        <v>2561</v>
      </c>
      <c r="L29" s="2"/>
      <c r="R29" s="2"/>
      <c r="S29" s="2"/>
      <c r="T29" s="2"/>
      <c r="U29" s="2"/>
    </row>
    <row r="30" ht="22.5" customHeight="1">
      <c r="A30" s="4" t="str">
        <f>IFERROR(__xludf.DUMMYFUNCTION("GOOGLETRANSLATE(G30, ""de"", ""en"")"),"29")</f>
        <v>29</v>
      </c>
      <c r="B30" s="4" t="str">
        <f>IFERROR(__xludf.DUMMYFUNCTION("GOOGLETRANSLATE(H30, ""de"", ""en"")"),"What shape does a standard toilet have?")</f>
        <v>What shape does a standard toilet have?</v>
      </c>
      <c r="C30" s="4" t="s">
        <v>2562</v>
      </c>
      <c r="D30" s="4" t="str">
        <f>IFERROR(__xludf.DUMMYFUNCTION("GOOGLETRANSLATE(J30, ""de"", ""en"")"),"Spherical")</f>
        <v>Spherical</v>
      </c>
      <c r="E30" s="4" t="str">
        <f>IFERROR(__xludf.DUMMYFUNCTION("GOOGLETRANSLATE(K30, ""de"", ""en"")"),"A Kloot is spherical in shape.")</f>
        <v>A Kloot is spherical in shape.</v>
      </c>
      <c r="F30" s="2"/>
      <c r="G30" s="5">
        <v>29.0</v>
      </c>
      <c r="H30" s="4" t="s">
        <v>2563</v>
      </c>
      <c r="I30" s="4" t="s">
        <v>2564</v>
      </c>
      <c r="J30" s="4" t="s">
        <v>2565</v>
      </c>
      <c r="K30" s="4" t="s">
        <v>2566</v>
      </c>
      <c r="L30" s="2"/>
      <c r="R30" s="2"/>
      <c r="S30" s="2"/>
      <c r="T30" s="2"/>
      <c r="U30" s="2"/>
    </row>
    <row r="31" ht="22.5" customHeight="1">
      <c r="A31" s="4" t="str">
        <f>IFERROR(__xludf.DUMMYFUNCTION("GOOGLETRANSLATE(G31, ""de"", ""en"")"),"30")</f>
        <v>30</v>
      </c>
      <c r="B31" s="4" t="str">
        <f>IFERROR(__xludf.DUMMYFUNCTION("GOOGLETRANSLATE(H31, ""de"", ""en"")"),"How many points are awarded for the longest throw?")</f>
        <v>How many points are awarded for the longest throw?</v>
      </c>
      <c r="C31" s="4" t="s">
        <v>2567</v>
      </c>
      <c r="D31" s="4" t="str">
        <f>IFERROR(__xludf.DUMMYFUNCTION("GOOGLETRANSLATE(J31, ""de"", ""en"")"),"There are no bonus points.")</f>
        <v>There are no bonus points.</v>
      </c>
      <c r="E31" s="4" t="str">
        <f>IFERROR(__xludf.DUMMYFUNCTION("GOOGLETRANSLATE(K31, ""de"", ""en"")"),"The longest throw does not bring any additional points, but it counts towards the total distance.")</f>
        <v>The longest throw does not bring any additional points, but it counts towards the total distance.</v>
      </c>
      <c r="F31" s="2"/>
      <c r="G31" s="5">
        <v>30.0</v>
      </c>
      <c r="H31" s="4" t="s">
        <v>2568</v>
      </c>
      <c r="I31" s="4" t="s">
        <v>2569</v>
      </c>
      <c r="J31" s="4" t="s">
        <v>2570</v>
      </c>
      <c r="K31" s="4" t="s">
        <v>2571</v>
      </c>
      <c r="L31" s="2"/>
      <c r="R31" s="2"/>
      <c r="S31" s="2"/>
      <c r="T31" s="2"/>
      <c r="U31" s="2"/>
    </row>
    <row r="32" ht="22.5" customHeight="1">
      <c r="A32" s="4" t="str">
        <f>IFERROR(__xludf.DUMMYFUNCTION("GOOGLETRANSLATE(G32, ""de"", ""en"")"),"31")</f>
        <v>31</v>
      </c>
      <c r="B32" s="4" t="str">
        <f>IFERROR(__xludf.DUMMYFUNCTION("GOOGLETRANSLATE(H32, ""de"", ""en"")"),"Can a player repeat a throw if they slipped?")</f>
        <v>Can a player repeat a throw if they slipped?</v>
      </c>
      <c r="C32" s="4" t="s">
        <v>2572</v>
      </c>
      <c r="D32" s="4" t="str">
        <f>IFERROR(__xludf.DUMMYFUNCTION("GOOGLETRANSLATE(J32, ""de"", ""en"")"),"Yes, with the referee's approval.")</f>
        <v>Yes, with the referee's approval.</v>
      </c>
      <c r="E32" s="4" t="str">
        <f>IFERROR(__xludf.DUMMYFUNCTION("GOOGLETRANSLATE(K32, ""de"", ""en"")"),"A second throw is only permitted with the referee's approval.")</f>
        <v>A second throw is only permitted with the referee's approval.</v>
      </c>
      <c r="F32" s="2"/>
      <c r="G32" s="5">
        <v>31.0</v>
      </c>
      <c r="H32" s="4" t="s">
        <v>2573</v>
      </c>
      <c r="I32" s="4" t="s">
        <v>2574</v>
      </c>
      <c r="J32" s="4" t="s">
        <v>2445</v>
      </c>
      <c r="K32" s="4" t="s">
        <v>2575</v>
      </c>
      <c r="L32" s="2"/>
      <c r="R32" s="2"/>
      <c r="S32" s="2"/>
      <c r="T32" s="2"/>
      <c r="U32" s="2"/>
    </row>
    <row r="33" ht="22.5" customHeight="1">
      <c r="A33" s="4" t="str">
        <f>IFERROR(__xludf.DUMMYFUNCTION("GOOGLETRANSLATE(G33, ""de"", ""en"")"),"32")</f>
        <v>32</v>
      </c>
      <c r="B33" s="4" t="str">
        <f>IFERROR(__xludf.DUMMYFUNCTION("GOOGLETRANSLATE(H33, ""de"", ""en"")"),"Who can record a team's points?")</f>
        <v>Who can record a team's points?</v>
      </c>
      <c r="C33" s="4" t="s">
        <v>2576</v>
      </c>
      <c r="D33" s="4" t="str">
        <f>IFERROR(__xludf.DUMMYFUNCTION("GOOGLETRANSLATE(J33, ""de"", ""en"")"),"The captain")</f>
        <v>The captain</v>
      </c>
      <c r="E33" s="4" t="str">
        <f>IFERROR(__xludf.DUMMYFUNCTION("GOOGLETRANSLATE(K33, ""de"", ""en"")"),"The captain is responsible for recording the points.")</f>
        <v>The captain is responsible for recording the points.</v>
      </c>
      <c r="F33" s="2"/>
      <c r="G33" s="5">
        <v>32.0</v>
      </c>
      <c r="H33" s="4" t="s">
        <v>2577</v>
      </c>
      <c r="I33" s="4" t="s">
        <v>2578</v>
      </c>
      <c r="J33" s="4" t="s">
        <v>2579</v>
      </c>
      <c r="K33" s="4" t="s">
        <v>2580</v>
      </c>
      <c r="L33" s="2"/>
      <c r="R33" s="2"/>
      <c r="S33" s="2"/>
      <c r="T33" s="2"/>
      <c r="U33" s="2"/>
    </row>
    <row r="34" ht="22.5" customHeight="1">
      <c r="A34" s="4" t="str">
        <f>IFERROR(__xludf.DUMMYFUNCTION("GOOGLETRANSLATE(G34, ""de"", ""en"")"),"33")</f>
        <v>33</v>
      </c>
      <c r="B34" s="4" t="str">
        <f>IFERROR(__xludf.DUMMYFUNCTION("GOOGLETRANSLATE(H34, ""de"", ""en"")"),"How many rounds does a tournament game usually have?")</f>
        <v>How many rounds does a tournament game usually have?</v>
      </c>
      <c r="C34" s="4" t="s">
        <v>2581</v>
      </c>
      <c r="D34" s="4" t="str">
        <f>IFERROR(__xludf.DUMMYFUNCTION("GOOGLETRANSLATE(J34, ""de"", ""en"")"),"Varies depending on the tournament")</f>
        <v>Varies depending on the tournament</v>
      </c>
      <c r="E34" s="4" t="str">
        <f>IFERROR(__xludf.DUMMYFUNCTION("GOOGLETRANSLATE(K34, ""de"", ""en"")"),"The number of rounds is determined by the tournament rules.")</f>
        <v>The number of rounds is determined by the tournament rules.</v>
      </c>
      <c r="F34" s="2"/>
      <c r="G34" s="5">
        <v>33.0</v>
      </c>
      <c r="H34" s="4" t="s">
        <v>2582</v>
      </c>
      <c r="I34" s="4" t="s">
        <v>2583</v>
      </c>
      <c r="J34" s="4" t="s">
        <v>2584</v>
      </c>
      <c r="K34" s="4" t="s">
        <v>2585</v>
      </c>
      <c r="L34" s="2"/>
      <c r="R34" s="2"/>
      <c r="S34" s="2"/>
      <c r="T34" s="2"/>
      <c r="U34" s="2"/>
    </row>
    <row r="35" ht="22.5" customHeight="1">
      <c r="A35" s="4" t="str">
        <f>IFERROR(__xludf.DUMMYFUNCTION("GOOGLETRANSLATE(G35, ""de"", ""en"")"),"34")</f>
        <v>34</v>
      </c>
      <c r="B35" s="4" t="str">
        <f>IFERROR(__xludf.DUMMYFUNCTION("GOOGLETRANSLATE(H35, ""de"", ""en"")"),"What is the penalty for unsportsmanlike conduct?")</f>
        <v>What is the penalty for unsportsmanlike conduct?</v>
      </c>
      <c r="C35" s="4" t="s">
        <v>2586</v>
      </c>
      <c r="D35" s="4" t="str">
        <f>IFERROR(__xludf.DUMMYFUNCTION("GOOGLETRANSLATE(J35, ""de"", ""en"")"),"warning")</f>
        <v>warning</v>
      </c>
      <c r="E35" s="4" t="str">
        <f>IFERROR(__xludf.DUMMYFUNCTION("GOOGLETRANSLATE(K35, ""de"", ""en"")"),"Unsportsmanlike conduct is usually punished with a warning.")</f>
        <v>Unsportsmanlike conduct is usually punished with a warning.</v>
      </c>
      <c r="F35" s="2"/>
      <c r="G35" s="5">
        <v>34.0</v>
      </c>
      <c r="H35" s="4" t="s">
        <v>2587</v>
      </c>
      <c r="I35" s="4" t="s">
        <v>2588</v>
      </c>
      <c r="J35" s="4" t="s">
        <v>2589</v>
      </c>
      <c r="K35" s="4" t="s">
        <v>2590</v>
      </c>
      <c r="L35" s="2"/>
      <c r="R35" s="2"/>
      <c r="S35" s="2"/>
      <c r="T35" s="2"/>
      <c r="U35" s="2"/>
    </row>
    <row r="36" ht="22.5" customHeight="1">
      <c r="A36" s="4" t="str">
        <f>IFERROR(__xludf.DUMMYFUNCTION("GOOGLETRANSLATE(G36, ""de"", ""en"")"),"35")</f>
        <v>35</v>
      </c>
      <c r="B36" s="4" t="str">
        <f>IFERROR(__xludf.DUMMYFUNCTION("GOOGLETRANSLATE(H36, ""de"", ""en"")"),"Is a player allowed to clean the toilet before each throw?")</f>
        <v>Is a player allowed to clean the toilet before each throw?</v>
      </c>
      <c r="C36" s="4" t="s">
        <v>2591</v>
      </c>
      <c r="D36" s="4" t="str">
        <f>IFERROR(__xludf.DUMMYFUNCTION("GOOGLETRANSLATE(J36, ""de"", ""en"")"),"Yes, always")</f>
        <v>Yes, always</v>
      </c>
      <c r="E36" s="4" t="str">
        <f>IFERROR(__xludf.DUMMYFUNCTION("GOOGLETRANSLATE(K36, ""de"", ""en"")"),"Cleaning the toilet before each litter is permitted.")</f>
        <v>Cleaning the toilet before each litter is permitted.</v>
      </c>
      <c r="F36" s="2"/>
      <c r="G36" s="5">
        <v>35.0</v>
      </c>
      <c r="H36" s="4" t="s">
        <v>2592</v>
      </c>
      <c r="I36" s="4" t="s">
        <v>2593</v>
      </c>
      <c r="J36" s="4" t="s">
        <v>2594</v>
      </c>
      <c r="K36" s="4" t="s">
        <v>2595</v>
      </c>
      <c r="L36" s="2"/>
      <c r="R36" s="2"/>
      <c r="S36" s="2"/>
      <c r="T36" s="2"/>
      <c r="U36" s="2"/>
    </row>
    <row r="37" ht="22.5" customHeight="1">
      <c r="A37" s="4" t="str">
        <f>IFERROR(__xludf.DUMMYFUNCTION("GOOGLETRANSLATE(G37, ""de"", ""en"")"),"36")</f>
        <v>36</v>
      </c>
      <c r="B37" s="4" t="str">
        <f>IFERROR(__xludf.DUMMYFUNCTION("GOOGLETRANSLATE(H37, ""de"", ""en"")"),"What is the maximum number of players a team can have?")</f>
        <v>What is the maximum number of players a team can have?</v>
      </c>
      <c r="C37" s="4" t="s">
        <v>2596</v>
      </c>
      <c r="D37" s="4" t="str">
        <f>IFERROR(__xludf.DUMMYFUNCTION("GOOGLETRANSLATE(J37, ""de"", ""en"")"),"10")</f>
        <v>10</v>
      </c>
      <c r="E37" s="4" t="str">
        <f>IFERROR(__xludf.DUMMYFUNCTION("GOOGLETRANSLATE(K37, ""de"", ""en"")"),"A team may consist of a maximum of 10 players.")</f>
        <v>A team may consist of a maximum of 10 players.</v>
      </c>
      <c r="F37" s="2"/>
      <c r="G37" s="5">
        <v>36.0</v>
      </c>
      <c r="H37" s="4" t="s">
        <v>2597</v>
      </c>
      <c r="I37" s="4" t="s">
        <v>2596</v>
      </c>
      <c r="J37" s="5">
        <v>10.0</v>
      </c>
      <c r="K37" s="4" t="s">
        <v>2598</v>
      </c>
      <c r="L37" s="2"/>
      <c r="R37" s="2"/>
      <c r="S37" s="2"/>
      <c r="T37" s="2"/>
      <c r="U37" s="2"/>
    </row>
    <row r="38" ht="22.5" customHeight="1">
      <c r="A38" s="4" t="str">
        <f>IFERROR(__xludf.DUMMYFUNCTION("GOOGLETRANSLATE(G38, ""de"", ""en"")"),"37")</f>
        <v>37</v>
      </c>
      <c r="B38" s="4" t="str">
        <f>IFERROR(__xludf.DUMMYFUNCTION("GOOGLETRANSLATE(H38, ""de"", ""en"")"),"Can the Kloot be thrown with one running start?")</f>
        <v>Can the Kloot be thrown with one running start?</v>
      </c>
      <c r="C38" s="4" t="s">
        <v>2599</v>
      </c>
      <c r="D38" s="4" t="str">
        <f>IFERROR(__xludf.DUMMYFUNCTION("GOOGLETRANSLATE(J38, ""de"", ""en"")"),"Yes, always")</f>
        <v>Yes, always</v>
      </c>
      <c r="E38" s="4" t="str">
        <f>IFERROR(__xludf.DUMMYFUNCTION("GOOGLETRANSLATE(K38, ""de"", ""en"")"),"One run-up is allowed when throwing toilets.")</f>
        <v>One run-up is allowed when throwing toilets.</v>
      </c>
      <c r="F38" s="2"/>
      <c r="G38" s="5">
        <v>37.0</v>
      </c>
      <c r="H38" s="4" t="s">
        <v>2600</v>
      </c>
      <c r="I38" s="4" t="s">
        <v>2601</v>
      </c>
      <c r="J38" s="4" t="s">
        <v>2594</v>
      </c>
      <c r="K38" s="4" t="s">
        <v>2602</v>
      </c>
      <c r="L38" s="2"/>
      <c r="R38" s="2"/>
      <c r="S38" s="2"/>
      <c r="T38" s="2"/>
      <c r="U38" s="2"/>
    </row>
    <row r="39" ht="22.5" customHeight="1">
      <c r="A39" s="4" t="str">
        <f>IFERROR(__xludf.DUMMYFUNCTION("GOOGLETRANSLATE(G39, ""de"", ""en"")"),"38")</f>
        <v>38</v>
      </c>
      <c r="B39" s="4" t="str">
        <f>IFERROR(__xludf.DUMMYFUNCTION("GOOGLETRANSLATE(H39, ""de"", ""en"")"),"What happens if the ball lands outside the field boundaries?")</f>
        <v>What happens if the ball lands outside the field boundaries?</v>
      </c>
      <c r="C39" s="4" t="s">
        <v>2603</v>
      </c>
      <c r="D39" s="4" t="str">
        <f>IFERROR(__xludf.DUMMYFUNCTION("GOOGLETRANSLATE(J39, ""de"", ""en"")"),"The throw is invalid.")</f>
        <v>The throw is invalid.</v>
      </c>
      <c r="E39" s="4" t="str">
        <f>IFERROR(__xludf.DUMMYFUNCTION("GOOGLETRANSLATE(K39, ""de"", ""en"")"),"Throws made outside the playing field boundaries are invalid.")</f>
        <v>Throws made outside the playing field boundaries are invalid.</v>
      </c>
      <c r="F39" s="2"/>
      <c r="G39" s="5">
        <v>38.0</v>
      </c>
      <c r="H39" s="4" t="s">
        <v>2604</v>
      </c>
      <c r="I39" s="4" t="s">
        <v>2605</v>
      </c>
      <c r="J39" s="4" t="s">
        <v>2460</v>
      </c>
      <c r="K39" s="4" t="s">
        <v>2606</v>
      </c>
      <c r="L39" s="2"/>
      <c r="R39" s="2"/>
      <c r="S39" s="2"/>
      <c r="T39" s="2"/>
      <c r="U39" s="2"/>
    </row>
    <row r="40" ht="22.5" customHeight="1">
      <c r="A40" s="4" t="str">
        <f>IFERROR(__xludf.DUMMYFUNCTION("GOOGLETRANSLATE(G40, ""de"", ""en"")"),"39")</f>
        <v>39</v>
      </c>
      <c r="B40" s="4" t="str">
        <f>IFERROR(__xludf.DUMMYFUNCTION("GOOGLETRANSLATE(H40, ""de"", ""en"")"),"How heavy is a standard toilet usually?")</f>
        <v>How heavy is a standard toilet usually?</v>
      </c>
      <c r="C40" s="4" t="s">
        <v>2607</v>
      </c>
      <c r="D40" s="4" t="str">
        <f>IFERROR(__xludf.DUMMYFUNCTION("GOOGLETRANSLATE(J40, ""de"", ""en"")"),"500-800 grams")</f>
        <v>500-800 grams</v>
      </c>
      <c r="E40" s="4" t="str">
        <f>IFERROR(__xludf.DUMMYFUNCTION("GOOGLETRANSLATE(K40, ""de"", ""en"")"),"A standard toilet weighs between 500 and 800 grams.")</f>
        <v>A standard toilet weighs between 500 and 800 grams.</v>
      </c>
      <c r="F40" s="2"/>
      <c r="G40" s="5">
        <v>39.0</v>
      </c>
      <c r="H40" s="4" t="s">
        <v>2608</v>
      </c>
      <c r="I40" s="4" t="s">
        <v>2609</v>
      </c>
      <c r="J40" s="4" t="s">
        <v>2610</v>
      </c>
      <c r="K40" s="4" t="s">
        <v>2611</v>
      </c>
      <c r="L40" s="2"/>
      <c r="R40" s="2"/>
      <c r="S40" s="2"/>
      <c r="T40" s="2"/>
      <c r="U40" s="2"/>
    </row>
    <row r="41" ht="22.5" customHeight="1">
      <c r="A41" s="4" t="str">
        <f>IFERROR(__xludf.DUMMYFUNCTION("GOOGLETRANSLATE(G41, ""de"", ""en"")"),"40")</f>
        <v>40</v>
      </c>
      <c r="B41" s="4" t="str">
        <f>IFERROR(__xludf.DUMMYFUNCTION("GOOGLETRANSLATE(H41, ""de"", ""en"")"),"Can the Kloot be thrown using special throwing devices?")</f>
        <v>Can the Kloot be thrown using special throwing devices?</v>
      </c>
      <c r="C41" s="4" t="s">
        <v>2612</v>
      </c>
      <c r="D41" s="4" t="str">
        <f>IFERROR(__xludf.DUMMYFUNCTION("GOOGLETRANSLATE(J41, ""de"", ""en"")"),"No, never")</f>
        <v>No, never</v>
      </c>
      <c r="E41" s="4" t="str">
        <f>IFERROR(__xludf.DUMMYFUNCTION("GOOGLETRANSLATE(K41, ""de"", ""en"")"),"Kloots may only be thrown by hand.")</f>
        <v>Kloots may only be thrown by hand.</v>
      </c>
      <c r="F41" s="2"/>
      <c r="G41" s="5">
        <v>40.0</v>
      </c>
      <c r="H41" s="4" t="s">
        <v>2613</v>
      </c>
      <c r="I41" s="4" t="s">
        <v>2614</v>
      </c>
      <c r="J41" s="4" t="s">
        <v>2509</v>
      </c>
      <c r="K41" s="4" t="s">
        <v>2615</v>
      </c>
      <c r="L41" s="2"/>
      <c r="R41" s="2"/>
      <c r="S41" s="2"/>
      <c r="T41" s="2"/>
      <c r="U41" s="2"/>
    </row>
    <row r="42" ht="22.5" customHeight="1">
      <c r="A42" s="4" t="str">
        <f>IFERROR(__xludf.DUMMYFUNCTION("GOOGLETRANSLATE(G42, ""de"", ""en"")"),"41")</f>
        <v>41</v>
      </c>
      <c r="B42" s="4" t="str">
        <f>IFERROR(__xludf.DUMMYFUNCTION("GOOGLETRANSLATE(H42, ""de"", ""en"")"),"How many players are allowed to throw at the same time?")</f>
        <v>How many players are allowed to throw at the same time?</v>
      </c>
      <c r="C42" s="4" t="s">
        <v>2616</v>
      </c>
      <c r="D42" s="4" t="str">
        <f>IFERROR(__xludf.DUMMYFUNCTION("GOOGLETRANSLATE(J42, ""de"", ""en"")"),"Only one per team")</f>
        <v>Only one per team</v>
      </c>
      <c r="E42" s="4" t="str">
        <f>IFERROR(__xludf.DUMMYFUNCTION("GOOGLETRANSLATE(K42, ""de"", ""en"")"),"Only one player from each team may throw per round.")</f>
        <v>Only one player from each team may throw per round.</v>
      </c>
      <c r="F42" s="2"/>
      <c r="G42" s="5">
        <v>41.0</v>
      </c>
      <c r="H42" s="4" t="s">
        <v>2617</v>
      </c>
      <c r="I42" s="4" t="s">
        <v>2618</v>
      </c>
      <c r="J42" s="4" t="s">
        <v>2619</v>
      </c>
      <c r="K42" s="4" t="s">
        <v>2620</v>
      </c>
      <c r="L42" s="2"/>
      <c r="R42" s="2"/>
      <c r="S42" s="2"/>
      <c r="T42" s="2"/>
      <c r="U42" s="2"/>
    </row>
    <row r="43" ht="22.5" customHeight="1">
      <c r="A43" s="4" t="str">
        <f>IFERROR(__xludf.DUMMYFUNCTION("GOOGLETRANSLATE(G43, ""de"", ""en"")"),"42")</f>
        <v>42</v>
      </c>
      <c r="B43" s="4" t="str">
        <f>IFERROR(__xludf.DUMMYFUNCTION("GOOGLETRANSLATE(H43, ""de"", ""en"")"),"What happens if you miss the throw (e.g., the toilet falls directly onto the floor)?")</f>
        <v>What happens if you miss the throw (e.g., the toilet falls directly onto the floor)?</v>
      </c>
      <c r="C43" s="4" t="s">
        <v>2621</v>
      </c>
      <c r="D43" s="4" t="str">
        <f>IFERROR(__xludf.DUMMYFUNCTION("GOOGLETRANSLATE(J43, ""de"", ""en"")"),"The throw is considered invalid.")</f>
        <v>The throw is considered invalid.</v>
      </c>
      <c r="E43" s="4" t="str">
        <f>IFERROR(__xludf.DUMMYFUNCTION("GOOGLETRANSLATE(K43, ""de"", ""en"")"),"Missed throws are considered invalid and are not counted.")</f>
        <v>Missed throws are considered invalid and are not counted.</v>
      </c>
      <c r="F43" s="2"/>
      <c r="G43" s="5">
        <v>42.0</v>
      </c>
      <c r="H43" s="4" t="s">
        <v>2622</v>
      </c>
      <c r="I43" s="4" t="s">
        <v>2623</v>
      </c>
      <c r="J43" s="4" t="s">
        <v>2435</v>
      </c>
      <c r="K43" s="4" t="s">
        <v>2624</v>
      </c>
      <c r="L43" s="2"/>
      <c r="R43" s="2"/>
      <c r="S43" s="2"/>
      <c r="T43" s="2"/>
      <c r="U43" s="2"/>
    </row>
    <row r="44" ht="22.5" customHeight="1">
      <c r="A44" s="4" t="str">
        <f>IFERROR(__xludf.DUMMYFUNCTION("GOOGLETRANSLATE(G44, ""de"", ""en"")"),"43")</f>
        <v>43</v>
      </c>
      <c r="B44" s="4" t="str">
        <f>IFERROR(__xludf.DUMMYFUNCTION("GOOGLETRANSLATE(H44, ""de"", ""en"")"),"What is the maximum distance measured in competition?")</f>
        <v>What is the maximum distance measured in competition?</v>
      </c>
      <c r="C44" s="4" t="s">
        <v>2625</v>
      </c>
      <c r="D44" s="4" t="str">
        <f>IFERROR(__xludf.DUMMYFUNCTION("GOOGLETRANSLATE(J44, ""de"", ""en"")"),"Unlimited")</f>
        <v>Unlimited</v>
      </c>
      <c r="E44" s="4" t="str">
        <f>IFERROR(__xludf.DUMMYFUNCTION("GOOGLETRANSLATE(K44, ""de"", ""en"")"),"The measured distance is unlimited, depending on the playing field.")</f>
        <v>The measured distance is unlimited, depending on the playing field.</v>
      </c>
      <c r="F44" s="2"/>
      <c r="G44" s="5">
        <v>43.0</v>
      </c>
      <c r="H44" s="4" t="s">
        <v>2626</v>
      </c>
      <c r="I44" s="4" t="s">
        <v>2627</v>
      </c>
      <c r="J44" s="4" t="s">
        <v>2430</v>
      </c>
      <c r="K44" s="4" t="s">
        <v>2628</v>
      </c>
      <c r="L44" s="2"/>
      <c r="R44" s="2"/>
      <c r="S44" s="2"/>
      <c r="T44" s="2"/>
      <c r="U44" s="2"/>
    </row>
    <row r="45" ht="22.5" customHeight="1">
      <c r="A45" s="4" t="str">
        <f>IFERROR(__xludf.DUMMYFUNCTION("GOOGLETRANSLATE(G45, ""de"", ""en"")"),"44")</f>
        <v>44</v>
      </c>
      <c r="B45" s="4" t="str">
        <f>IFERROR(__xludf.DUMMYFUNCTION("GOOGLETRANSLATE(H45, ""de"", ""en"")"),"Do all players on a team have to use the same toilet?")</f>
        <v>Do all players on a team have to use the same toilet?</v>
      </c>
      <c r="C45" s="4" t="s">
        <v>2629</v>
      </c>
      <c r="D45" s="4" t="str">
        <f>IFERROR(__xludf.DUMMYFUNCTION("GOOGLETRANSLATE(J45, ""de"", ""en"")"),"NO")</f>
        <v>NO</v>
      </c>
      <c r="E45" s="4" t="str">
        <f>IFERROR(__xludf.DUMMYFUNCTION("GOOGLETRANSLATE(K45, ""de"", ""en"")"),"Players on a team can use different kloots.")</f>
        <v>Players on a team can use different kloots.</v>
      </c>
      <c r="F45" s="2"/>
      <c r="G45" s="5">
        <v>44.0</v>
      </c>
      <c r="H45" s="4" t="s">
        <v>2630</v>
      </c>
      <c r="I45" s="4" t="s">
        <v>2631</v>
      </c>
      <c r="J45" s="4" t="s">
        <v>1836</v>
      </c>
      <c r="K45" s="4" t="s">
        <v>2632</v>
      </c>
      <c r="L45" s="2"/>
      <c r="R45" s="2"/>
      <c r="S45" s="2"/>
      <c r="T45" s="2"/>
      <c r="U45" s="2"/>
    </row>
    <row r="46" ht="22.5" customHeight="1">
      <c r="A46" s="4" t="str">
        <f>IFERROR(__xludf.DUMMYFUNCTION("GOOGLETRANSLATE(G46, ""de"", ""en"")"),"45")</f>
        <v>45</v>
      </c>
      <c r="B46" s="4" t="str">
        <f>IFERROR(__xludf.DUMMYFUNCTION("GOOGLETRANSLATE(H46, ""de"", ""en"")"),"Can a substitute player be brought on during the game?")</f>
        <v>Can a substitute player be brought on during the game?</v>
      </c>
      <c r="C46" s="4" t="s">
        <v>2633</v>
      </c>
      <c r="D46" s="4" t="str">
        <f>IFERROR(__xludf.DUMMYFUNCTION("GOOGLETRANSLATE(J46, ""de"", ""en"")"),"Only in case of injuries")</f>
        <v>Only in case of injuries</v>
      </c>
      <c r="E46" s="4" t="str">
        <f>IFERROR(__xludf.DUMMYFUNCTION("GOOGLETRANSLATE(K46, ""de"", ""en"")"),"Substitute players are only allowed to step in if they are injured.")</f>
        <v>Substitute players are only allowed to step in if they are injured.</v>
      </c>
      <c r="F46" s="2"/>
      <c r="G46" s="5">
        <v>45.0</v>
      </c>
      <c r="H46" s="4" t="s">
        <v>2634</v>
      </c>
      <c r="I46" s="4" t="s">
        <v>2635</v>
      </c>
      <c r="J46" s="4" t="s">
        <v>2636</v>
      </c>
      <c r="K46" s="4" t="s">
        <v>2637</v>
      </c>
      <c r="L46" s="2"/>
      <c r="R46" s="2"/>
      <c r="S46" s="2"/>
      <c r="T46" s="2"/>
      <c r="U46" s="2"/>
    </row>
    <row r="47" ht="22.5" customHeight="1">
      <c r="A47" s="4" t="str">
        <f>IFERROR(__xludf.DUMMYFUNCTION("GOOGLETRANSLATE(G47, ""de"", ""en"")"),"46")</f>
        <v>46</v>
      </c>
      <c r="B47" s="4" t="str">
        <f>IFERROR(__xludf.DUMMYFUNCTION("GOOGLETRANSLATE(H47, ""de"", ""en"")"),"Who determines the order of the players when throwing?")</f>
        <v>Who determines the order of the players when throwing?</v>
      </c>
      <c r="C47" s="4" t="s">
        <v>2638</v>
      </c>
      <c r="D47" s="4" t="str">
        <f>IFERROR(__xludf.DUMMYFUNCTION("GOOGLETRANSLATE(J47, ""de"", ""en"")"),"The team captain")</f>
        <v>The team captain</v>
      </c>
      <c r="E47" s="4" t="str">
        <f>IFERROR(__xludf.DUMMYFUNCTION("GOOGLETRANSLATE(K47, ""de"", ""en"")"),"The order of the players is determined by the team captain.")</f>
        <v>The order of the players is determined by the team captain.</v>
      </c>
      <c r="F47" s="2"/>
      <c r="G47" s="5">
        <v>46.0</v>
      </c>
      <c r="H47" s="4" t="s">
        <v>2639</v>
      </c>
      <c r="I47" s="4" t="s">
        <v>2640</v>
      </c>
      <c r="J47" s="4" t="s">
        <v>2641</v>
      </c>
      <c r="K47" s="4" t="s">
        <v>2642</v>
      </c>
      <c r="L47" s="2"/>
      <c r="R47" s="2"/>
      <c r="S47" s="2"/>
      <c r="T47" s="2"/>
      <c r="U47" s="2"/>
    </row>
    <row r="48" ht="22.5" customHeight="1">
      <c r="A48" s="4" t="str">
        <f>IFERROR(__xludf.DUMMYFUNCTION("GOOGLETRANSLATE(G48, ""de"", ""en"")"),"47")</f>
        <v>47</v>
      </c>
      <c r="B48" s="4" t="str">
        <f>IFERROR(__xludf.DUMMYFUNCTION("GOOGLETRANSLATE(H48, ""de"", ""en"")"),"Can the game be postponed due to bad weather conditions?")</f>
        <v>Can the game be postponed due to bad weather conditions?</v>
      </c>
      <c r="C48" s="4" t="s">
        <v>2643</v>
      </c>
      <c r="D48" s="4" t="str">
        <f>IFERROR(__xludf.DUMMYFUNCTION("GOOGLETRANSLATE(J48, ""de"", ""en"")"),"Only if both teams agree")</f>
        <v>Only if both teams agree</v>
      </c>
      <c r="E48" s="4" t="str">
        <f>IFERROR(__xludf.DUMMYFUNCTION("GOOGLETRANSLATE(K48, ""de"", ""en"")"),"Postponing the game is only possible with the consent of both teams.")</f>
        <v>Postponing the game is only possible with the consent of both teams.</v>
      </c>
      <c r="F48" s="2"/>
      <c r="G48" s="5">
        <v>47.0</v>
      </c>
      <c r="H48" s="4" t="s">
        <v>2644</v>
      </c>
      <c r="I48" s="4" t="s">
        <v>2645</v>
      </c>
      <c r="J48" s="4" t="s">
        <v>2646</v>
      </c>
      <c r="K48" s="4" t="s">
        <v>2647</v>
      </c>
      <c r="L48" s="2"/>
      <c r="R48" s="2"/>
      <c r="S48" s="2"/>
      <c r="T48" s="2"/>
      <c r="U48" s="2"/>
    </row>
    <row r="49" ht="22.5" customHeight="1">
      <c r="A49" s="4" t="str">
        <f>IFERROR(__xludf.DUMMYFUNCTION("GOOGLETRANSLATE(G49, ""de"", ""en"")"),"48")</f>
        <v>48</v>
      </c>
      <c r="B49" s="4" t="str">
        <f>IFERROR(__xludf.DUMMYFUNCTION("GOOGLETRANSLATE(H49, ""de"", ""en"")"),"How is the starting order between two teams determined?")</f>
        <v>How is the starting order between two teams determined?</v>
      </c>
      <c r="C49" s="4" t="s">
        <v>2648</v>
      </c>
      <c r="D49" s="4" t="str">
        <f>IFERROR(__xludf.DUMMYFUNCTION("GOOGLETRANSLATE(J49, ""de"", ""en"")"),"By lottery")</f>
        <v>By lottery</v>
      </c>
      <c r="E49" s="4" t="str">
        <f>IFERROR(__xludf.DUMMYFUNCTION("GOOGLETRANSLATE(K49, ""de"", ""en"")"),"The starting order will be determined by lot.")</f>
        <v>The starting order will be determined by lot.</v>
      </c>
      <c r="F49" s="2"/>
      <c r="G49" s="5">
        <v>48.0</v>
      </c>
      <c r="H49" s="4" t="s">
        <v>2649</v>
      </c>
      <c r="I49" s="4" t="s">
        <v>2650</v>
      </c>
      <c r="J49" s="4" t="s">
        <v>2651</v>
      </c>
      <c r="K49" s="4" t="s">
        <v>2652</v>
      </c>
      <c r="L49" s="2"/>
      <c r="R49" s="2"/>
      <c r="S49" s="2"/>
      <c r="T49" s="2"/>
      <c r="U49" s="2"/>
    </row>
    <row r="50" ht="22.5" customHeight="1">
      <c r="A50" s="4" t="str">
        <f>IFERROR(__xludf.DUMMYFUNCTION("GOOGLETRANSLATE(G50, ""de"", ""en"")"),"49")</f>
        <v>49</v>
      </c>
      <c r="B50" s="4" t="str">
        <f>IFERROR(__xludf.DUMMYFUNCTION("GOOGLETRANSLATE(H50, ""de"", ""en"")"),"What color is a standard toilet?")</f>
        <v>What color is a standard toilet?</v>
      </c>
      <c r="C50" s="4" t="s">
        <v>2653</v>
      </c>
      <c r="D50" s="4" t="str">
        <f>IFERROR(__xludf.DUMMYFUNCTION("GOOGLETRANSLATE(J50, ""de"", ""en"")"),"Black")</f>
        <v>Black</v>
      </c>
      <c r="E50" s="4" t="str">
        <f>IFERROR(__xludf.DUMMYFUNCTION("GOOGLETRANSLATE(K50, ""de"", ""en"")"),"Standard toilet paper is mostly black.")</f>
        <v>Standard toilet paper is mostly black.</v>
      </c>
      <c r="F50" s="2"/>
      <c r="G50" s="5">
        <v>49.0</v>
      </c>
      <c r="H50" s="4" t="s">
        <v>2654</v>
      </c>
      <c r="I50" s="4" t="s">
        <v>2655</v>
      </c>
      <c r="J50" s="4" t="s">
        <v>2656</v>
      </c>
      <c r="K50" s="4" t="s">
        <v>2657</v>
      </c>
      <c r="L50" s="2"/>
      <c r="R50" s="2"/>
      <c r="S50" s="2"/>
      <c r="T50" s="2"/>
      <c r="U50" s="2"/>
    </row>
    <row r="51" ht="22.5" customHeight="1">
      <c r="A51" s="4" t="str">
        <f>IFERROR(__xludf.DUMMYFUNCTION("GOOGLETRANSLATE(G51, ""de"", ""en"")"),"50")</f>
        <v>50</v>
      </c>
      <c r="B51" s="4" t="str">
        <f>IFERROR(__xludf.DUMMYFUNCTION("GOOGLETRANSLATE(H51, ""de"", ""en"")"),"What happens if a player intentionally blocks another team's kloot?")</f>
        <v>What happens if a player intentionally blocks another team's kloot?</v>
      </c>
      <c r="C51" s="4" t="s">
        <v>2658</v>
      </c>
      <c r="D51" s="4" t="str">
        <f>IFERROR(__xludf.DUMMYFUNCTION("GOOGLETRANSLATE(J51, ""de"", ""en"")"),"The player is disqualified.")</f>
        <v>The player is disqualified.</v>
      </c>
      <c r="E51" s="4" t="str">
        <f>IFERROR(__xludf.DUMMYFUNCTION("GOOGLETRANSLATE(K51, ""de"", ""en"")"),"Intentionally blocking an opponent's kloot will result in the player's disqualification.")</f>
        <v>Intentionally blocking an opponent's kloot will result in the player's disqualification.</v>
      </c>
      <c r="F51" s="2"/>
      <c r="G51" s="5">
        <v>50.0</v>
      </c>
      <c r="H51" s="4" t="s">
        <v>2659</v>
      </c>
      <c r="I51" s="4" t="s">
        <v>2660</v>
      </c>
      <c r="J51" s="4" t="s">
        <v>2661</v>
      </c>
      <c r="K51" s="4" t="s">
        <v>2662</v>
      </c>
      <c r="L51" s="2"/>
      <c r="R51" s="2"/>
      <c r="S51" s="2"/>
      <c r="T51" s="2"/>
      <c r="U51" s="2"/>
    </row>
    <row r="52" ht="22.5" customHeight="1">
      <c r="A52" s="4" t="str">
        <f>IFERROR(__xludf.DUMMYFUNCTION("GOOGLETRANSLATE(G52, ""de"", ""en"")"),"51")</f>
        <v>51</v>
      </c>
      <c r="B52" s="4" t="str">
        <f>IFERROR(__xludf.DUMMYFUNCTION("GOOGLETRANSLATE(H52, ""de"", ""en"")"),"How many referees are required for official tournaments?")</f>
        <v>How many referees are required for official tournaments?</v>
      </c>
      <c r="C52" s="4" t="s">
        <v>2663</v>
      </c>
      <c r="D52" s="4" t="str">
        <f>IFERROR(__xludf.DUMMYFUNCTION("GOOGLETRANSLATE(J52, ""de"", ""en"")"),"One")</f>
        <v>One</v>
      </c>
      <c r="E52" s="4" t="str">
        <f>IFERROR(__xludf.DUMMYFUNCTION("GOOGLETRANSLATE(K52, ""de"", ""en"")"),"At least one referee is required for official tournaments.")</f>
        <v>At least one referee is required for official tournaments.</v>
      </c>
      <c r="F52" s="2"/>
      <c r="G52" s="5">
        <v>51.0</v>
      </c>
      <c r="H52" s="4" t="s">
        <v>2664</v>
      </c>
      <c r="I52" s="4" t="s">
        <v>2665</v>
      </c>
      <c r="J52" s="4" t="s">
        <v>1919</v>
      </c>
      <c r="K52" s="4" t="s">
        <v>2666</v>
      </c>
      <c r="L52" s="2"/>
      <c r="R52" s="2"/>
      <c r="S52" s="2"/>
      <c r="T52" s="2"/>
      <c r="U52" s="2"/>
    </row>
    <row r="53" ht="22.5" customHeight="1">
      <c r="A53" s="4" t="str">
        <f>IFERROR(__xludf.DUMMYFUNCTION("GOOGLETRANSLATE(G53, ""de"", ""en"")"),"52")</f>
        <v>52</v>
      </c>
      <c r="B53" s="4" t="str">
        <f>IFERROR(__xludf.DUMMYFUNCTION("GOOGLETRANSLATE(H53, ""de"", ""en"")"),"Can the toilet be oiled before use?")</f>
        <v>Can the toilet be oiled before use?</v>
      </c>
      <c r="C53" s="4" t="s">
        <v>2667</v>
      </c>
      <c r="D53" s="4" t="str">
        <f>IFERROR(__xludf.DUMMYFUNCTION("GOOGLETRANSLATE(J53, ""de"", ""en"")"),"Yes, always")</f>
        <v>Yes, always</v>
      </c>
      <c r="E53" s="4" t="str">
        <f>IFERROR(__xludf.DUMMYFUNCTION("GOOGLETRANSLATE(K53, ""de"", ""en"")"),"Oiling the toilet before using the toilet is permitted.")</f>
        <v>Oiling the toilet before using the toilet is permitted.</v>
      </c>
      <c r="F53" s="2"/>
      <c r="G53" s="5">
        <v>52.0</v>
      </c>
      <c r="H53" s="4" t="s">
        <v>2668</v>
      </c>
      <c r="I53" s="4" t="s">
        <v>2669</v>
      </c>
      <c r="J53" s="4" t="s">
        <v>2594</v>
      </c>
      <c r="K53" s="4" t="s">
        <v>2670</v>
      </c>
      <c r="L53" s="2"/>
      <c r="R53" s="2"/>
      <c r="S53" s="2"/>
      <c r="T53" s="2"/>
      <c r="U53" s="2"/>
    </row>
    <row r="54" ht="22.5" customHeight="1">
      <c r="A54" s="4" t="str">
        <f>IFERROR(__xludf.DUMMYFUNCTION("GOOGLETRANSLATE(G54, ""de"", ""en"")"),"53")</f>
        <v>53</v>
      </c>
      <c r="B54" s="4" t="str">
        <f>IFERROR(__xludf.DUMMYFUNCTION("GOOGLETRANSLATE(H54, ""de"", ""en"")"),"How is a winner determined in a play-off?")</f>
        <v>How is a winner determined in a play-off?</v>
      </c>
      <c r="C54" s="4" t="s">
        <v>2671</v>
      </c>
      <c r="D54" s="4" t="str">
        <f>IFERROR(__xludf.DUMMYFUNCTION("GOOGLETRANSLATE(J54, ""de"", ""en"")"),"Due to the longest throwing distance")</f>
        <v>Due to the longest throwing distance</v>
      </c>
      <c r="E54" s="4" t="str">
        <f>IFERROR(__xludf.DUMMYFUNCTION("GOOGLETRANSLATE(K54, ""de"", ""en"")"),"The team with the longest throw in the playoffs wins.")</f>
        <v>The team with the longest throw in the playoffs wins.</v>
      </c>
      <c r="F54" s="2"/>
      <c r="G54" s="5">
        <v>53.0</v>
      </c>
      <c r="H54" s="4" t="s">
        <v>2672</v>
      </c>
      <c r="I54" s="4" t="s">
        <v>2673</v>
      </c>
      <c r="J54" s="4" t="s">
        <v>2674</v>
      </c>
      <c r="K54" s="4" t="s">
        <v>2675</v>
      </c>
      <c r="L54" s="2"/>
      <c r="R54" s="2"/>
      <c r="S54" s="2"/>
      <c r="T54" s="2"/>
      <c r="U54" s="2"/>
    </row>
    <row r="55" ht="22.5" customHeight="1">
      <c r="A55" s="4" t="str">
        <f>IFERROR(__xludf.DUMMYFUNCTION("GOOGLETRANSLATE(G55, ""de"", ""en"")"),"54")</f>
        <v>54</v>
      </c>
      <c r="B55" s="4" t="str">
        <f>IFERROR(__xludf.DUMMYFUNCTION("GOOGLETRANSLATE(H55, ""de"", ""en"")"),"What happens if a Kloot breaks during the game?")</f>
        <v>What happens if a Kloot breaks during the game?</v>
      </c>
      <c r="C55" s="4" t="s">
        <v>2676</v>
      </c>
      <c r="D55" s="4" t="str">
        <f>IFERROR(__xludf.DUMMYFUNCTION("GOOGLETRANSLATE(J55, ""de"", ""en"")"),"The player gets another throw.")</f>
        <v>The player gets another throw.</v>
      </c>
      <c r="E55" s="4" t="str">
        <f>IFERROR(__xludf.DUMMYFUNCTION("GOOGLETRANSLATE(K55, ""de"", ""en"")"),"A broken kloot allows for a repeat throw.")</f>
        <v>A broken kloot allows for a repeat throw.</v>
      </c>
      <c r="F55" s="2"/>
      <c r="G55" s="5">
        <v>54.0</v>
      </c>
      <c r="H55" s="4" t="s">
        <v>2677</v>
      </c>
      <c r="I55" s="4" t="s">
        <v>2678</v>
      </c>
      <c r="J55" s="4" t="s">
        <v>2679</v>
      </c>
      <c r="K55" s="4" t="s">
        <v>2680</v>
      </c>
      <c r="L55" s="2"/>
      <c r="R55" s="2"/>
      <c r="S55" s="2"/>
      <c r="T55" s="2"/>
      <c r="U55" s="2"/>
    </row>
    <row r="56" ht="22.5" customHeight="1">
      <c r="A56" s="4" t="str">
        <f>IFERROR(__xludf.DUMMYFUNCTION("GOOGLETRANSLATE(G56, ""de"", ""en"")"),"55")</f>
        <v>55</v>
      </c>
      <c r="B56" s="4" t="str">
        <f>IFERROR(__xludf.DUMMYFUNCTION("GOOGLETRANSLATE(H56, ""de"", ""en"")"),"How many points does a team receive for the longest throw?")</f>
        <v>How many points does a team receive for the longest throw?</v>
      </c>
      <c r="C56" s="4" t="s">
        <v>2681</v>
      </c>
      <c r="D56" s="4" t="str">
        <f>IFERROR(__xludf.DUMMYFUNCTION("GOOGLETRANSLATE(J56, ""de"", ""en"")"),"No additional points")</f>
        <v>No additional points</v>
      </c>
      <c r="E56" s="4" t="str">
        <f>IFERROR(__xludf.DUMMYFUNCTION("GOOGLETRANSLATE(K56, ""de"", ""en"")"),"The longest throw does not bring any extra points, but it counts towards the overall score.")</f>
        <v>The longest throw does not bring any extra points, but it counts towards the overall score.</v>
      </c>
      <c r="F56" s="2"/>
      <c r="G56" s="5">
        <v>55.0</v>
      </c>
      <c r="H56" s="4" t="s">
        <v>2682</v>
      </c>
      <c r="I56" s="4" t="s">
        <v>2683</v>
      </c>
      <c r="J56" s="4" t="s">
        <v>2684</v>
      </c>
      <c r="K56" s="4" t="s">
        <v>2685</v>
      </c>
      <c r="L56" s="2"/>
      <c r="R56" s="2"/>
      <c r="S56" s="2"/>
      <c r="T56" s="2"/>
      <c r="U56" s="2"/>
    </row>
    <row r="57" ht="22.5" customHeight="1">
      <c r="A57" s="4" t="str">
        <f>IFERROR(__xludf.DUMMYFUNCTION("GOOGLETRANSLATE(G57, ""de"", ""en"")"),"56")</f>
        <v>56</v>
      </c>
      <c r="B57" s="4" t="str">
        <f>IFERROR(__xludf.DUMMYFUNCTION("GOOGLETRANSLATE(H57, ""de"", ""en"")"),"What clothing is required for players?")</f>
        <v>What clothing is required for players?</v>
      </c>
      <c r="C57" s="4" t="s">
        <v>2686</v>
      </c>
      <c r="D57" s="4" t="str">
        <f>IFERROR(__xludf.DUMMYFUNCTION("GOOGLETRANSLATE(J57, ""de"", ""en"")"),"Sturdy footwear and weatherproof clothing")</f>
        <v>Sturdy footwear and weatherproof clothing</v>
      </c>
      <c r="E57" s="4" t="str">
        <f>IFERROR(__xludf.DUMMYFUNCTION("GOOGLETRANSLATE(K57, ""de"", ""en"")"),"Players should wear weatherproof clothing and sturdy footwear.")</f>
        <v>Players should wear weatherproof clothing and sturdy footwear.</v>
      </c>
      <c r="F57" s="2"/>
      <c r="G57" s="5">
        <v>56.0</v>
      </c>
      <c r="H57" s="4" t="s">
        <v>2687</v>
      </c>
      <c r="I57" s="4" t="s">
        <v>2688</v>
      </c>
      <c r="J57" s="4" t="s">
        <v>2689</v>
      </c>
      <c r="K57" s="4" t="s">
        <v>2690</v>
      </c>
      <c r="L57" s="2"/>
      <c r="R57" s="2"/>
      <c r="S57" s="2"/>
      <c r="T57" s="2"/>
      <c r="U57" s="2"/>
    </row>
    <row r="58" ht="22.5" customHeight="1">
      <c r="A58" s="4" t="str">
        <f>IFERROR(__xludf.DUMMYFUNCTION("GOOGLETRANSLATE(G58, ""de"", ""en"")"),"57")</f>
        <v>57</v>
      </c>
      <c r="B58" s="4" t="str">
        <f>IFERROR(__xludf.DUMMYFUNCTION("GOOGLETRANSLATE(H58, ""de"", ""en"")"),"What technique is recommended for throwing the Kloot farther?")</f>
        <v>What technique is recommended for throwing the Kloot farther?</v>
      </c>
      <c r="C58" s="4" t="s">
        <v>2691</v>
      </c>
      <c r="D58" s="4" t="str">
        <f>IFERROR(__xludf.DUMMYFUNCTION("GOOGLETRANSLATE(J58, ""de"", ""en"")"),"A quick throw with momentum")</f>
        <v>A quick throw with momentum</v>
      </c>
      <c r="E58" s="4" t="str">
        <f>IFERROR(__xludf.DUMMYFUNCTION("GOOGLETRANSLATE(K58, ""de"", ""en"")"),"A quick throw with momentum provides the greatest throwing distance.")</f>
        <v>A quick throw with momentum provides the greatest throwing distance.</v>
      </c>
      <c r="F58" s="2"/>
      <c r="G58" s="5">
        <v>57.0</v>
      </c>
      <c r="H58" s="4" t="s">
        <v>2692</v>
      </c>
      <c r="I58" s="4" t="s">
        <v>2693</v>
      </c>
      <c r="J58" s="4" t="s">
        <v>2694</v>
      </c>
      <c r="K58" s="4" t="s">
        <v>2695</v>
      </c>
      <c r="L58" s="2"/>
      <c r="R58" s="2"/>
      <c r="S58" s="2"/>
      <c r="T58" s="2"/>
      <c r="U58" s="2"/>
    </row>
    <row r="59" ht="22.5" customHeight="1">
      <c r="A59" s="4" t="str">
        <f>IFERROR(__xludf.DUMMYFUNCTION("GOOGLETRANSLATE(G59, ""de"", ""en"")"),"58")</f>
        <v>58</v>
      </c>
      <c r="B59" s="4" t="str">
        <f>IFERROR(__xludf.DUMMYFUNCTION("GOOGLETRANSLATE(H59, ""de"", ""en"")"),"How is the throwing distance officially measured?")</f>
        <v>How is the throwing distance officially measured?</v>
      </c>
      <c r="C59" s="4" t="s">
        <v>2696</v>
      </c>
      <c r="D59" s="4" t="str">
        <f>IFERROR(__xludf.DUMMYFUNCTION("GOOGLETRANSLATE(J59, ""de"", ""en"")"),"Using a measuring tape")</f>
        <v>Using a measuring tape</v>
      </c>
      <c r="E59" s="4" t="str">
        <f>IFERROR(__xludf.DUMMYFUNCTION("GOOGLETRANSLATE(K59, ""de"", ""en"")"),"The throwing distance is traditionally measured with a measuring tape.")</f>
        <v>The throwing distance is traditionally measured with a measuring tape.</v>
      </c>
      <c r="F59" s="2"/>
      <c r="G59" s="5">
        <v>58.0</v>
      </c>
      <c r="H59" s="4" t="s">
        <v>2697</v>
      </c>
      <c r="I59" s="4" t="s">
        <v>2698</v>
      </c>
      <c r="J59" s="4" t="s">
        <v>2699</v>
      </c>
      <c r="K59" s="4" t="s">
        <v>2700</v>
      </c>
      <c r="L59" s="2"/>
      <c r="R59" s="2"/>
      <c r="S59" s="2"/>
      <c r="T59" s="2"/>
      <c r="U59" s="2"/>
    </row>
    <row r="60" ht="22.5" customHeight="1">
      <c r="A60" s="4" t="str">
        <f>IFERROR(__xludf.DUMMYFUNCTION("GOOGLETRANSLATE(G60, ""de"", ""en"")"),"59")</f>
        <v>59</v>
      </c>
      <c r="B60" s="4" t="str">
        <f>IFERROR(__xludf.DUMMYFUNCTION("GOOGLETRANSLATE(H60, ""de"", ""en"")"),"Can a team voluntarily abandon a game?")</f>
        <v>Can a team voluntarily abandon a game?</v>
      </c>
      <c r="C60" s="4" t="s">
        <v>2701</v>
      </c>
      <c r="D60" s="4" t="str">
        <f>IFERROR(__xludf.DUMMYFUNCTION("GOOGLETRANSLATE(J60, ""de"", ""en"")"),"Yes, anytime")</f>
        <v>Yes, anytime</v>
      </c>
      <c r="E60" s="4" t="str">
        <f>IFERROR(__xludf.DUMMYFUNCTION("GOOGLETRANSLATE(K60, ""de"", ""en"")"),"A team can voluntarily abandon the game at any time.")</f>
        <v>A team can voluntarily abandon the game at any time.</v>
      </c>
      <c r="F60" s="2"/>
      <c r="G60" s="5">
        <v>59.0</v>
      </c>
      <c r="H60" s="4" t="s">
        <v>2702</v>
      </c>
      <c r="I60" s="4" t="s">
        <v>2703</v>
      </c>
      <c r="J60" s="4" t="s">
        <v>2024</v>
      </c>
      <c r="K60" s="4" t="s">
        <v>2704</v>
      </c>
      <c r="L60" s="2"/>
      <c r="R60" s="2"/>
      <c r="S60" s="2"/>
      <c r="T60" s="2"/>
      <c r="U60" s="2"/>
    </row>
    <row r="61" ht="22.5" customHeight="1">
      <c r="A61" s="4" t="str">
        <f>IFERROR(__xludf.DUMMYFUNCTION("GOOGLETRANSLATE(G61, ""de"", ""en"")"),"60")</f>
        <v>60</v>
      </c>
      <c r="B61" s="4" t="str">
        <f>IFERROR(__xludf.DUMMYFUNCTION("GOOGLETRANSLATE(H61, ""de"", ""en"")"),"How many players are in a normal toilet shooting team?")</f>
        <v>How many players are in a normal toilet shooting team?</v>
      </c>
      <c r="C61" s="4" t="s">
        <v>2705</v>
      </c>
      <c r="D61" s="4" t="str">
        <f>IFERROR(__xludf.DUMMYFUNCTION("GOOGLETRANSLATE(J61, ""de"", ""en"")"),"6-10 players")</f>
        <v>6-10 players</v>
      </c>
      <c r="E61" s="4" t="str">
        <f>IFERROR(__xludf.DUMMYFUNCTION("GOOGLETRANSLATE(K61, ""de"", ""en"")"),"A standard team consists of 6 to 10 players.")</f>
        <v>A standard team consists of 6 to 10 players.</v>
      </c>
      <c r="F61" s="2"/>
      <c r="G61" s="5">
        <v>60.0</v>
      </c>
      <c r="H61" s="4" t="s">
        <v>2706</v>
      </c>
      <c r="I61" s="4" t="s">
        <v>2707</v>
      </c>
      <c r="J61" s="4" t="s">
        <v>2708</v>
      </c>
      <c r="K61" s="4" t="s">
        <v>2709</v>
      </c>
      <c r="L61" s="2"/>
      <c r="R61" s="2"/>
      <c r="S61" s="2"/>
      <c r="T61" s="2"/>
      <c r="U61" s="2"/>
    </row>
    <row r="62" ht="22.5" customHeight="1">
      <c r="A62" s="4" t="str">
        <f>IFERROR(__xludf.DUMMYFUNCTION("GOOGLETRANSLATE(G62, ""de"", ""en"")"),"61")</f>
        <v>61</v>
      </c>
      <c r="B62" s="4" t="str">
        <f>IFERROR(__xludf.DUMMYFUNCTION("GOOGLETRANSLATE(H62, ""de"", ""en"")"),"What happens if a player crosses the throwing area?")</f>
        <v>What happens if a player crosses the throwing area?</v>
      </c>
      <c r="C62" s="4" t="s">
        <v>2710</v>
      </c>
      <c r="D62" s="4" t="str">
        <f>IFERROR(__xludf.DUMMYFUNCTION("GOOGLETRANSLATE(J62, ""de"", ""en"")"),"The throw is invalid.")</f>
        <v>The throw is invalid.</v>
      </c>
      <c r="E62" s="4" t="str">
        <f>IFERROR(__xludf.DUMMYFUNCTION("GOOGLETRANSLATE(K62, ""de"", ""en"")"),"Any damage to the throwing surface renders the throw invalid.")</f>
        <v>Any damage to the throwing surface renders the throw invalid.</v>
      </c>
      <c r="F62" s="2"/>
      <c r="G62" s="5">
        <v>61.0</v>
      </c>
      <c r="H62" s="4" t="s">
        <v>2711</v>
      </c>
      <c r="I62" s="4" t="s">
        <v>2712</v>
      </c>
      <c r="J62" s="4" t="s">
        <v>2460</v>
      </c>
      <c r="K62" s="4" t="s">
        <v>2713</v>
      </c>
      <c r="L62" s="2"/>
      <c r="R62" s="2"/>
      <c r="S62" s="2"/>
      <c r="T62" s="2"/>
      <c r="U62" s="2"/>
    </row>
    <row r="63" ht="22.5" customHeight="1">
      <c r="A63" s="4" t="str">
        <f>IFERROR(__xludf.DUMMYFUNCTION("GOOGLETRANSLATE(G63, ""de"", ""en"")"),"62")</f>
        <v>62</v>
      </c>
      <c r="B63" s="4" t="str">
        <f>IFERROR(__xludf.DUMMYFUNCTION("GOOGLETRANSLATE(H63, ""de"", ""en"")"),"What weather conditions can affect a game?")</f>
        <v>What weather conditions can affect a game?</v>
      </c>
      <c r="C63" s="4" t="s">
        <v>2714</v>
      </c>
      <c r="D63" s="4" t="str">
        <f>IFERROR(__xludf.DUMMYFUNCTION("GOOGLETRANSLATE(J63, ""de"", ""en"")"),"Everything mentioned")</f>
        <v>Everything mentioned</v>
      </c>
      <c r="E63" s="4" t="str">
        <f>IFERROR(__xludf.DUMMYFUNCTION("GOOGLETRANSLATE(K63, ""de"", ""en"")"),"Rain, wind, ice and snow can significantly affect the game.")</f>
        <v>Rain, wind, ice and snow can significantly affect the game.</v>
      </c>
      <c r="F63" s="2"/>
      <c r="G63" s="5">
        <v>62.0</v>
      </c>
      <c r="H63" s="4" t="s">
        <v>2715</v>
      </c>
      <c r="I63" s="4" t="s">
        <v>2716</v>
      </c>
      <c r="J63" s="4" t="s">
        <v>2717</v>
      </c>
      <c r="K63" s="4" t="s">
        <v>2718</v>
      </c>
      <c r="L63" s="2"/>
      <c r="R63" s="2"/>
      <c r="S63" s="2"/>
      <c r="T63" s="2"/>
      <c r="U63" s="2"/>
    </row>
    <row r="64" ht="22.5" customHeight="1">
      <c r="A64" s="4" t="str">
        <f>IFERROR(__xludf.DUMMYFUNCTION("GOOGLETRANSLATE(G64, ""de"", ""en"")"),"63")</f>
        <v>63</v>
      </c>
      <c r="B64" s="4" t="str">
        <f>IFERROR(__xludf.DUMMYFUNCTION("GOOGLETRANSLATE(H64, ""de"", ""en"")"),"How is the winner determined if both teams have covered the same distance?")</f>
        <v>How is the winner determined if both teams have covered the same distance?</v>
      </c>
      <c r="C64" s="4" t="s">
        <v>2719</v>
      </c>
      <c r="D64" s="4" t="str">
        <f>IFERROR(__xludf.DUMMYFUNCTION("GOOGLETRANSLATE(J64, ""de"", ""en"")"),"An additional stitch")</f>
        <v>An additional stitch</v>
      </c>
      <c r="E64" s="4" t="str">
        <f>IFERROR(__xludf.DUMMYFUNCTION("GOOGLETRANSLATE(K64, ""de"", ""en"")"),"If the distance is the same, an additional tiebreaker decides the winner.")</f>
        <v>If the distance is the same, an additional tiebreaker decides the winner.</v>
      </c>
      <c r="F64" s="2"/>
      <c r="G64" s="5">
        <v>63.0</v>
      </c>
      <c r="H64" s="4" t="s">
        <v>2720</v>
      </c>
      <c r="I64" s="4" t="s">
        <v>2721</v>
      </c>
      <c r="J64" s="4" t="s">
        <v>2722</v>
      </c>
      <c r="K64" s="4" t="s">
        <v>2723</v>
      </c>
      <c r="L64" s="2"/>
      <c r="R64" s="2"/>
      <c r="S64" s="2"/>
      <c r="T64" s="2"/>
      <c r="U64" s="2"/>
    </row>
    <row r="65" ht="22.5" customHeight="1">
      <c r="A65" s="4" t="str">
        <f>IFERROR(__xludf.DUMMYFUNCTION("GOOGLETRANSLATE(G65, ""de"", ""en"")"),"64")</f>
        <v>64</v>
      </c>
      <c r="B65" s="4" t="str">
        <f>IFERROR(__xludf.DUMMYFUNCTION("GOOGLETRANSLATE(H65, ""de"", ""en"")"),"What is the standard minimum size for a toilet?")</f>
        <v>What is the standard minimum size for a toilet?</v>
      </c>
      <c r="C65" s="4" t="s">
        <v>2724</v>
      </c>
      <c r="D65" s="4" t="str">
        <f>IFERROR(__xludf.DUMMYFUNCTION("GOOGLETRANSLATE(J65, ""de"", ""en"")"),"15cm")</f>
        <v>15cm</v>
      </c>
      <c r="E65" s="4" t="str">
        <f>IFERROR(__xludf.DUMMYFUNCTION("GOOGLETRANSLATE(K65, ""de"", ""en"")"),"A standard toilet has a minimum diameter of 15 cm.")</f>
        <v>A standard toilet has a minimum diameter of 15 cm.</v>
      </c>
      <c r="F65" s="2"/>
      <c r="G65" s="5">
        <v>64.0</v>
      </c>
      <c r="H65" s="4" t="s">
        <v>2725</v>
      </c>
      <c r="I65" s="4" t="s">
        <v>2724</v>
      </c>
      <c r="J65" s="4" t="s">
        <v>2726</v>
      </c>
      <c r="K65" s="4" t="s">
        <v>2727</v>
      </c>
      <c r="L65" s="2"/>
      <c r="R65" s="2"/>
      <c r="S65" s="2"/>
      <c r="T65" s="2"/>
      <c r="U65" s="2"/>
    </row>
    <row r="66" ht="22.5" customHeight="1">
      <c r="A66" s="4" t="str">
        <f>IFERROR(__xludf.DUMMYFUNCTION("GOOGLETRANSLATE(G66, ""de"", ""en"")"),"65")</f>
        <v>65</v>
      </c>
      <c r="B66" s="4" t="str">
        <f>IFERROR(__xludf.DUMMYFUNCTION("GOOGLETRANSLATE(H66, ""de"", ""en"")"),"When is a player allowed to exchange their Kloot?")</f>
        <v>When is a player allowed to exchange their Kloot?</v>
      </c>
      <c r="C66" s="4" t="s">
        <v>2728</v>
      </c>
      <c r="D66" s="4" t="str">
        <f>IFERROR(__xludf.DUMMYFUNCTION("GOOGLETRANSLATE(J66, ""de"", ""en"")"),"If the toilet is damaged")</f>
        <v>If the toilet is damaged</v>
      </c>
      <c r="E66" s="4" t="str">
        <f>IFERROR(__xludf.DUMMYFUNCTION("GOOGLETRANSLATE(K66, ""de"", ""en"")"),"A player may only replace their kloot if it is damaged.")</f>
        <v>A player may only replace their kloot if it is damaged.</v>
      </c>
      <c r="F66" s="2"/>
      <c r="G66" s="5">
        <v>65.0</v>
      </c>
      <c r="H66" s="4" t="s">
        <v>2729</v>
      </c>
      <c r="I66" s="4" t="s">
        <v>2730</v>
      </c>
      <c r="J66" s="4" t="s">
        <v>2731</v>
      </c>
      <c r="K66" s="4" t="s">
        <v>2732</v>
      </c>
      <c r="L66" s="2"/>
      <c r="R66" s="2"/>
      <c r="S66" s="2"/>
      <c r="T66" s="2"/>
      <c r="U66" s="2"/>
    </row>
    <row r="67" ht="22.5" customHeight="1">
      <c r="A67" s="4" t="str">
        <f>IFERROR(__xludf.DUMMYFUNCTION("GOOGLETRANSLATE(G67, ""de"", ""en"")"),"66")</f>
        <v>66</v>
      </c>
      <c r="B67" s="4" t="str">
        <f>IFERROR(__xludf.DUMMYFUNCTION("GOOGLETRANSLATE(H67, ""de"", ""en"")"),"Can a player influence an opponent's throw?")</f>
        <v>Can a player influence an opponent's throw?</v>
      </c>
      <c r="C67" s="4" t="s">
        <v>2733</v>
      </c>
      <c r="D67" s="4" t="str">
        <f>IFERROR(__xludf.DUMMYFUNCTION("GOOGLETRANSLATE(J67, ""de"", ""en"")"),"No, never")</f>
        <v>No, never</v>
      </c>
      <c r="E67" s="4" t="str">
        <f>IFERROR(__xludf.DUMMYFUNCTION("GOOGLETRANSLATE(K67, ""de"", ""en"")"),"It is strictly forbidden to influence an opponent's throw.")</f>
        <v>It is strictly forbidden to influence an opponent's throw.</v>
      </c>
      <c r="F67" s="2"/>
      <c r="G67" s="5">
        <v>66.0</v>
      </c>
      <c r="H67" s="4" t="s">
        <v>2734</v>
      </c>
      <c r="I67" s="4" t="s">
        <v>2735</v>
      </c>
      <c r="J67" s="4" t="s">
        <v>2509</v>
      </c>
      <c r="K67" s="4" t="s">
        <v>2736</v>
      </c>
      <c r="L67" s="2"/>
      <c r="R67" s="2"/>
      <c r="S67" s="2"/>
      <c r="T67" s="2"/>
      <c r="U67" s="2"/>
    </row>
    <row r="68" ht="22.5" customHeight="1">
      <c r="A68" s="4" t="str">
        <f>IFERROR(__xludf.DUMMYFUNCTION("GOOGLETRANSLATE(G68, ""de"", ""en"")"),"67")</f>
        <v>67</v>
      </c>
      <c r="B68" s="4" t="str">
        <f>IFERROR(__xludf.DUMMYFUNCTION("GOOGLETRANSLATE(H68, ""de"", ""en"")"),"What is the maximum playing time per round?")</f>
        <v>What is the maximum playing time per round?</v>
      </c>
      <c r="C68" s="4" t="s">
        <v>2737</v>
      </c>
      <c r="D68" s="4" t="str">
        <f>IFERROR(__xludf.DUMMYFUNCTION("GOOGLETRANSLATE(J68, ""de"", ""en"")"),"No limit")</f>
        <v>No limit</v>
      </c>
      <c r="E68" s="4" t="str">
        <f>IFERROR(__xludf.DUMMYFUNCTION("GOOGLETRANSLATE(K68, ""de"", ""en"")"),"There is no time limit per round in toilet shooting.")</f>
        <v>There is no time limit per round in toilet shooting.</v>
      </c>
      <c r="F68" s="2"/>
      <c r="G68" s="5">
        <v>67.0</v>
      </c>
      <c r="H68" s="4" t="s">
        <v>2738</v>
      </c>
      <c r="I68" s="4" t="s">
        <v>2739</v>
      </c>
      <c r="J68" s="4" t="s">
        <v>2546</v>
      </c>
      <c r="K68" s="4" t="s">
        <v>2740</v>
      </c>
      <c r="L68" s="2"/>
      <c r="R68" s="2"/>
      <c r="S68" s="2"/>
      <c r="T68" s="2"/>
      <c r="U68" s="2"/>
    </row>
    <row r="69" ht="22.5" customHeight="1">
      <c r="A69" s="4" t="str">
        <f>IFERROR(__xludf.DUMMYFUNCTION("GOOGLETRANSLATE(G69, ""de"", ""en"")"),"68")</f>
        <v>68</v>
      </c>
      <c r="B69" s="4" t="str">
        <f>IFERROR(__xludf.DUMMYFUNCTION("GOOGLETRANSLATE(H69, ""de"", ""en"")"),"How many substitute players can a team have?")</f>
        <v>How many substitute players can a team have?</v>
      </c>
      <c r="C69" s="4" t="s">
        <v>2741</v>
      </c>
      <c r="D69" s="4" t="str">
        <f>IFERROR(__xludf.DUMMYFUNCTION("GOOGLETRANSLATE(J69, ""de"", ""en"")"),"2")</f>
        <v>2</v>
      </c>
      <c r="E69" s="4" t="str">
        <f>IFERROR(__xludf.DUMMYFUNCTION("GOOGLETRANSLATE(K69, ""de"", ""en"")"),"A team may field a maximum of two substitute players.")</f>
        <v>A team may field a maximum of two substitute players.</v>
      </c>
      <c r="F69" s="2"/>
      <c r="G69" s="5">
        <v>68.0</v>
      </c>
      <c r="H69" s="4" t="s">
        <v>2742</v>
      </c>
      <c r="I69" s="4" t="s">
        <v>2743</v>
      </c>
      <c r="J69" s="5">
        <v>2.0</v>
      </c>
      <c r="K69" s="4" t="s">
        <v>2744</v>
      </c>
      <c r="L69" s="2"/>
      <c r="R69" s="2"/>
      <c r="S69" s="2"/>
      <c r="T69" s="2"/>
      <c r="U69" s="2"/>
    </row>
    <row r="70" ht="22.5" customHeight="1">
      <c r="A70" s="4" t="str">
        <f>IFERROR(__xludf.DUMMYFUNCTION("GOOGLETRANSLATE(G70, ""de"", ""en"")"),"69")</f>
        <v>69</v>
      </c>
      <c r="B70" s="4" t="str">
        <f>IFERROR(__xludf.DUMMYFUNCTION("GOOGLETRANSLATE(H70, ""de"", ""en"")"),"Can a Kloot be thrown if it is damaged?")</f>
        <v>Can a Kloot be thrown if it is damaged?</v>
      </c>
      <c r="C70" s="4" t="s">
        <v>2745</v>
      </c>
      <c r="D70" s="4" t="str">
        <f>IFERROR(__xludf.DUMMYFUNCTION("GOOGLETRANSLATE(J70, ""de"", ""en"")"),"NO")</f>
        <v>NO</v>
      </c>
      <c r="E70" s="4" t="str">
        <f>IFERROR(__xludf.DUMMYFUNCTION("GOOGLETRANSLATE(K70, ""de"", ""en"")"),"A damaged toilet must not be used.")</f>
        <v>A damaged toilet must not be used.</v>
      </c>
      <c r="F70" s="2"/>
      <c r="G70" s="5">
        <v>69.0</v>
      </c>
      <c r="H70" s="4" t="s">
        <v>2746</v>
      </c>
      <c r="I70" s="4" t="s">
        <v>2747</v>
      </c>
      <c r="J70" s="4" t="s">
        <v>1836</v>
      </c>
      <c r="K70" s="4" t="s">
        <v>2748</v>
      </c>
      <c r="L70" s="2"/>
      <c r="R70" s="2"/>
      <c r="S70" s="2"/>
      <c r="T70" s="2"/>
      <c r="U70" s="2"/>
    </row>
    <row r="71" ht="22.5" customHeight="1">
      <c r="A71" s="4" t="str">
        <f>IFERROR(__xludf.DUMMYFUNCTION("GOOGLETRANSLATE(G71, ""de"", ""en"")"),"70")</f>
        <v>70</v>
      </c>
      <c r="B71" s="4" t="str">
        <f>IFERROR(__xludf.DUMMYFUNCTION("GOOGLETRANSLATE(H71, ""de"", ""en"")"),"What clothing is required for the Klot photoshoot?")</f>
        <v>What clothing is required for the Klot photoshoot?</v>
      </c>
      <c r="C71" s="4" t="s">
        <v>2749</v>
      </c>
      <c r="D71" s="4" t="str">
        <f>IFERROR(__xludf.DUMMYFUNCTION("GOOGLETRANSLATE(J71, ""de"", ""en"")"),"Everything mentioned")</f>
        <v>Everything mentioned</v>
      </c>
      <c r="E71" s="4" t="str">
        <f>IFERROR(__xludf.DUMMYFUNCTION("GOOGLETRANSLATE(K71, ""de"", ""en"")"),"Weather-appropriate clothing, sports shoes and official jerseys are required.")</f>
        <v>Weather-appropriate clothing, sports shoes and official jerseys are required.</v>
      </c>
      <c r="F71" s="2"/>
      <c r="G71" s="5">
        <v>70.0</v>
      </c>
      <c r="H71" s="4" t="s">
        <v>2502</v>
      </c>
      <c r="I71" s="4" t="s">
        <v>2750</v>
      </c>
      <c r="J71" s="4" t="s">
        <v>2717</v>
      </c>
      <c r="K71" s="4" t="s">
        <v>2751</v>
      </c>
      <c r="L71" s="2"/>
      <c r="R71" s="2"/>
      <c r="S71" s="2"/>
      <c r="T71" s="2"/>
      <c r="U71" s="2"/>
    </row>
    <row r="72" ht="22.5" customHeight="1">
      <c r="A72" s="4" t="str">
        <f>IFERROR(__xludf.DUMMYFUNCTION("GOOGLETRANSLATE(G72, ""de"", ""en"")"),"71")</f>
        <v>71</v>
      </c>
      <c r="B72" s="4" t="str">
        <f>IFERROR(__xludf.DUMMYFUNCTION("GOOGLETRANSLATE(H72, ""de"", ""en"")"),"What type of toilet is preferred for street toilet shooting?")</f>
        <v>What type of toilet is preferred for street toilet shooting?</v>
      </c>
      <c r="C72" s="4" t="s">
        <v>2752</v>
      </c>
      <c r="D72" s="4" t="str">
        <f>IFERROR(__xludf.DUMMYFUNCTION("GOOGLETRANSLATE(J72, ""de"", ""en"")"),"A rubberized toilet")</f>
        <v>A rubberized toilet</v>
      </c>
      <c r="E72" s="4" t="str">
        <f>IFERROR(__xludf.DUMMYFUNCTION("GOOGLETRANSLATE(K72, ""de"", ""en"")"),"Rubberized koots are preferred for street koot shooting because they roll better.")</f>
        <v>Rubberized koots are preferred for street koot shooting because they roll better.</v>
      </c>
      <c r="F72" s="2"/>
      <c r="G72" s="5">
        <v>71.0</v>
      </c>
      <c r="H72" s="4" t="s">
        <v>2753</v>
      </c>
      <c r="I72" s="4" t="s">
        <v>2754</v>
      </c>
      <c r="J72" s="4" t="s">
        <v>2755</v>
      </c>
      <c r="K72" s="4" t="s">
        <v>2756</v>
      </c>
      <c r="L72" s="2"/>
      <c r="R72" s="2"/>
      <c r="S72" s="2"/>
      <c r="T72" s="2"/>
      <c r="U72" s="2"/>
    </row>
    <row r="73" ht="22.5" customHeight="1">
      <c r="A73" s="4" t="str">
        <f>IFERROR(__xludf.DUMMYFUNCTION("GOOGLETRANSLATE(G73, ""de"", ""en"")"),"72")</f>
        <v>72</v>
      </c>
      <c r="B73" s="4" t="str">
        <f>IFERROR(__xludf.DUMMYFUNCTION("GOOGLETRANSLATE(H73, ""de"", ""en"")"),"What is the minimum distance between the teams?")</f>
        <v>What is the minimum distance between the teams?</v>
      </c>
      <c r="C73" s="4" t="s">
        <v>2757</v>
      </c>
      <c r="D73" s="4" t="str">
        <f>IFERROR(__xludf.DUMMYFUNCTION("GOOGLETRANSLATE(J73, ""de"", ""en"")"),"30 meters")</f>
        <v>30 meters</v>
      </c>
      <c r="E73" s="4" t="str">
        <f>IFERROR(__xludf.DUMMYFUNCTION("GOOGLETRANSLATE(K73, ""de"", ""en"")"),"A minimum distance of 30 meters must be maintained between the teams.")</f>
        <v>A minimum distance of 30 meters must be maintained between the teams.</v>
      </c>
      <c r="F73" s="2"/>
      <c r="G73" s="5">
        <v>72.0</v>
      </c>
      <c r="H73" s="4" t="s">
        <v>2758</v>
      </c>
      <c r="I73" s="4" t="s">
        <v>2759</v>
      </c>
      <c r="J73" s="4" t="s">
        <v>2760</v>
      </c>
      <c r="K73" s="4" t="s">
        <v>2761</v>
      </c>
      <c r="L73" s="2"/>
      <c r="R73" s="2"/>
      <c r="S73" s="2"/>
      <c r="T73" s="2"/>
      <c r="U73" s="2"/>
    </row>
    <row r="74" ht="22.5" customHeight="1">
      <c r="A74" s="4" t="str">
        <f>IFERROR(__xludf.DUMMYFUNCTION("GOOGLETRANSLATE(G74, ""de"", ""en"")"),"73")</f>
        <v>73</v>
      </c>
      <c r="B74" s="4" t="str">
        <f>IFERROR(__xludf.DUMMYFUNCTION("GOOGLETRANSLATE(H74, ""de"", ""en"")"),"What happens if a player loses their kloot?")</f>
        <v>What happens if a player loses their kloot?</v>
      </c>
      <c r="C74" s="4" t="s">
        <v>2762</v>
      </c>
      <c r="D74" s="4" t="str">
        <f>IFERROR(__xludf.DUMMYFUNCTION("GOOGLETRANSLATE(J74, ""de"", ""en"")"),"The player is allowed to use a spare toilet.")</f>
        <v>The player is allowed to use a spare toilet.</v>
      </c>
      <c r="E74" s="4" t="str">
        <f>IFERROR(__xludf.DUMMYFUNCTION("GOOGLETRANSLATE(K74, ""de"", ""en"")"),"In case of loss, a spare toilet can be used.")</f>
        <v>In case of loss, a spare toilet can be used.</v>
      </c>
      <c r="F74" s="2"/>
      <c r="G74" s="5">
        <v>73.0</v>
      </c>
      <c r="H74" s="4" t="s">
        <v>2763</v>
      </c>
      <c r="I74" s="4" t="s">
        <v>2764</v>
      </c>
      <c r="J74" s="4" t="s">
        <v>2765</v>
      </c>
      <c r="K74" s="4" t="s">
        <v>2766</v>
      </c>
      <c r="L74" s="2"/>
      <c r="R74" s="2"/>
      <c r="S74" s="2"/>
      <c r="T74" s="2"/>
      <c r="U74" s="2"/>
    </row>
    <row r="75" ht="22.5" customHeight="1">
      <c r="A75" s="4" t="str">
        <f>IFERROR(__xludf.DUMMYFUNCTION("GOOGLETRANSLATE(G75, ""de"", ""en"")"),"74")</f>
        <v>74</v>
      </c>
      <c r="B75" s="4" t="str">
        <f>IFERROR(__xludf.DUMMYFUNCTION("GOOGLETRANSLATE(H75, ""de"", ""en"")"),"How long does a typical Kloot Shooting game last?")</f>
        <v>How long does a typical Kloot Shooting game last?</v>
      </c>
      <c r="C75" s="4" t="s">
        <v>2767</v>
      </c>
      <c r="D75" s="4" t="str">
        <f>IFERROR(__xludf.DUMMYFUNCTION("GOOGLETRANSLATE(J75, ""de"", ""en"")"),"variable")</f>
        <v>variable</v>
      </c>
      <c r="E75" s="4" t="str">
        <f>IFERROR(__xludf.DUMMYFUNCTION("GOOGLETRANSLATE(K75, ""de"", ""en"")"),"The duration of a game depends on the conditions and is variable.")</f>
        <v>The duration of a game depends on the conditions and is variable.</v>
      </c>
      <c r="F75" s="2"/>
      <c r="G75" s="5">
        <v>74.0</v>
      </c>
      <c r="H75" s="4" t="s">
        <v>2768</v>
      </c>
      <c r="I75" s="4" t="s">
        <v>2769</v>
      </c>
      <c r="J75" s="4" t="s">
        <v>2770</v>
      </c>
      <c r="K75" s="4" t="s">
        <v>2771</v>
      </c>
      <c r="L75" s="2"/>
      <c r="R75" s="2"/>
      <c r="S75" s="2"/>
      <c r="T75" s="2"/>
      <c r="U75" s="2"/>
    </row>
    <row r="76" ht="22.5" customHeight="1">
      <c r="A76" s="4" t="str">
        <f>IFERROR(__xludf.DUMMYFUNCTION("GOOGLETRANSLATE(G76, ""de"", ""en"")"),"75")</f>
        <v>75</v>
      </c>
      <c r="B76" s="4" t="str">
        <f>IFERROR(__xludf.DUMMYFUNCTION("GOOGLETRANSLATE(H76, ""de"", ""en"")"),"Who decides on disputes during the game?")</f>
        <v>Who decides on disputes during the game?</v>
      </c>
      <c r="C76" s="4" t="s">
        <v>2772</v>
      </c>
      <c r="D76" s="4" t="str">
        <f>IFERROR(__xludf.DUMMYFUNCTION("GOOGLETRANSLATE(J76, ""de"", ""en"")"),"The referee")</f>
        <v>The referee</v>
      </c>
      <c r="E76" s="4" t="str">
        <f>IFERROR(__xludf.DUMMYFUNCTION("GOOGLETRANSLATE(K76, ""de"", ""en"")"),"The arbitrator has sole decision-making power over disputes.")</f>
        <v>The arbitrator has sole decision-making power over disputes.</v>
      </c>
      <c r="F76" s="2"/>
      <c r="G76" s="5">
        <v>75.0</v>
      </c>
      <c r="H76" s="4" t="s">
        <v>2773</v>
      </c>
      <c r="I76" s="4" t="s">
        <v>2774</v>
      </c>
      <c r="J76" s="4" t="s">
        <v>2519</v>
      </c>
      <c r="K76" s="4" t="s">
        <v>2775</v>
      </c>
      <c r="L76" s="2"/>
      <c r="R76" s="2"/>
      <c r="S76" s="2"/>
      <c r="T76" s="2"/>
      <c r="U76" s="2"/>
    </row>
    <row r="77" ht="22.5" customHeight="1">
      <c r="A77" s="4" t="str">
        <f>IFERROR(__xludf.DUMMYFUNCTION("GOOGLETRANSLATE(G77, ""de"", ""en"")"),"76")</f>
        <v>76</v>
      </c>
      <c r="B77" s="4" t="str">
        <f>IFERROR(__xludf.DUMMYFUNCTION("GOOGLETRANSLATE(H77, ""de"", ""en"")"),"Which type of game is played more frequently in competitions?")</f>
        <v>Which type of game is played more frequently in competitions?</v>
      </c>
      <c r="C77" s="4" t="s">
        <v>2776</v>
      </c>
      <c r="D77" s="4" t="str">
        <f>IFERROR(__xludf.DUMMYFUNCTION("GOOGLETRANSLATE(J77, ""de"", ""en"")"),"Shooting on a tram")</f>
        <v>Shooting on a tram</v>
      </c>
      <c r="E77" s="4" t="str">
        <f>IFERROR(__xludf.DUMMYFUNCTION("GOOGLETRANSLATE(K77, ""de"", ""en"")"),"Street shooting is a more common occurrence in competitions.")</f>
        <v>Street shooting is a more common occurrence in competitions.</v>
      </c>
      <c r="F77" s="2"/>
      <c r="G77" s="5">
        <v>76.0</v>
      </c>
      <c r="H77" s="4" t="s">
        <v>2777</v>
      </c>
      <c r="I77" s="4" t="s">
        <v>2778</v>
      </c>
      <c r="J77" s="4" t="s">
        <v>2779</v>
      </c>
      <c r="K77" s="4" t="s">
        <v>2780</v>
      </c>
      <c r="L77" s="2"/>
      <c r="R77" s="2"/>
      <c r="S77" s="2"/>
      <c r="T77" s="2"/>
      <c r="U77" s="2"/>
    </row>
    <row r="78" ht="22.5" customHeight="1">
      <c r="A78" s="4" t="str">
        <f>IFERROR(__xludf.DUMMYFUNCTION("GOOGLETRANSLATE(G78, ""de"", ""en"")"),"77")</f>
        <v>77</v>
      </c>
      <c r="B78" s="4" t="str">
        <f>IFERROR(__xludf.DUMMYFUNCTION("GOOGLETRANSLATE(H78, ""de"", ""en"")"),"What is the recommended maximum size of a kloot?")</f>
        <v>What is the recommended maximum size of a kloot?</v>
      </c>
      <c r="C78" s="4" t="s">
        <v>2781</v>
      </c>
      <c r="D78" s="4" t="str">
        <f>IFERROR(__xludf.DUMMYFUNCTION("GOOGLETRANSLATE(J78, ""de"", ""en"")"),"15cm")</f>
        <v>15cm</v>
      </c>
      <c r="E78" s="4" t="str">
        <f>IFERROR(__xludf.DUMMYFUNCTION("GOOGLETRANSLATE(K78, ""de"", ""en"")"),"A Kloot should have a maximum diameter of 15 cm to comply with the rules.")</f>
        <v>A Kloot should have a maximum diameter of 15 cm to comply with the rules.</v>
      </c>
      <c r="F78" s="2"/>
      <c r="G78" s="5">
        <v>77.0</v>
      </c>
      <c r="H78" s="4" t="s">
        <v>2782</v>
      </c>
      <c r="I78" s="4" t="s">
        <v>2781</v>
      </c>
      <c r="J78" s="4" t="s">
        <v>2726</v>
      </c>
      <c r="K78" s="4" t="s">
        <v>2783</v>
      </c>
      <c r="L78" s="2"/>
      <c r="R78" s="2"/>
      <c r="S78" s="2"/>
      <c r="T78" s="2"/>
      <c r="U78" s="2"/>
    </row>
    <row r="79" ht="22.5" customHeight="1">
      <c r="A79" s="4" t="str">
        <f>IFERROR(__xludf.DUMMYFUNCTION("GOOGLETRANSLATE(G79, ""de"", ""en"")"),"78")</f>
        <v>78</v>
      </c>
      <c r="B79" s="4" t="str">
        <f>IFERROR(__xludf.DUMMYFUNCTION("GOOGLETRANSLATE(H79, ""de"", ""en"")"),"How is the drop-off point marked?")</f>
        <v>How is the drop-off point marked?</v>
      </c>
      <c r="C79" s="4" t="s">
        <v>2784</v>
      </c>
      <c r="D79" s="4" t="str">
        <f>IFERROR(__xludf.DUMMYFUNCTION("GOOGLETRANSLATE(J79, ""de"", ""en"")"),"With chalk")</f>
        <v>With chalk</v>
      </c>
      <c r="E79" s="4" t="str">
        <f>IFERROR(__xludf.DUMMYFUNCTION("GOOGLETRANSLATE(K79, ""de"", ""en"")"),"The drop-off point is traditionally marked with chalk.")</f>
        <v>The drop-off point is traditionally marked with chalk.</v>
      </c>
      <c r="F79" s="2"/>
      <c r="G79" s="5">
        <v>78.0</v>
      </c>
      <c r="H79" s="4" t="s">
        <v>2785</v>
      </c>
      <c r="I79" s="4" t="s">
        <v>2786</v>
      </c>
      <c r="J79" s="4" t="s">
        <v>2787</v>
      </c>
      <c r="K79" s="4" t="s">
        <v>2788</v>
      </c>
      <c r="L79" s="2"/>
      <c r="R79" s="2"/>
      <c r="S79" s="2"/>
      <c r="T79" s="2"/>
      <c r="U79" s="2"/>
    </row>
    <row r="80" ht="22.5" customHeight="1">
      <c r="A80" s="4" t="str">
        <f>IFERROR(__xludf.DUMMYFUNCTION("GOOGLETRANSLATE(G80, ""de"", ""en"")"),"79")</f>
        <v>79</v>
      </c>
      <c r="B80" s="4" t="str">
        <f>IFERROR(__xludf.DUMMYFUNCTION("GOOGLETRANSLATE(H80, ""de"", ""en"")"),"What type of ground is preferred for field kloot shooting?")</f>
        <v>What type of ground is preferred for field kloot shooting?</v>
      </c>
      <c r="C80" s="4" t="s">
        <v>2789</v>
      </c>
      <c r="D80" s="4" t="str">
        <f>IFERROR(__xludf.DUMMYFUNCTION("GOOGLETRANSLATE(J80, ""de"", ""en"")"),"Solid ground")</f>
        <v>Solid ground</v>
      </c>
      <c r="E80" s="4" t="str">
        <f>IFERROR(__xludf.DUMMYFUNCTION("GOOGLETRANSLATE(K80, ""de"", ""en"")"),"A firm surface provides better throwing conditions.")</f>
        <v>A firm surface provides better throwing conditions.</v>
      </c>
      <c r="F80" s="2"/>
      <c r="G80" s="5">
        <v>79.0</v>
      </c>
      <c r="H80" s="4" t="s">
        <v>2790</v>
      </c>
      <c r="I80" s="4" t="s">
        <v>2791</v>
      </c>
      <c r="J80" s="4" t="s">
        <v>2792</v>
      </c>
      <c r="K80" s="4" t="s">
        <v>2793</v>
      </c>
      <c r="L80" s="2"/>
      <c r="R80" s="2"/>
      <c r="S80" s="2"/>
      <c r="T80" s="2"/>
      <c r="U80" s="2"/>
    </row>
    <row r="81" ht="22.5" customHeight="1">
      <c r="A81" s="4" t="str">
        <f>IFERROR(__xludf.DUMMYFUNCTION("GOOGLETRANSLATE(G81, ""de"", ""en"")"),"80")</f>
        <v>80</v>
      </c>
      <c r="B81" s="4" t="str">
        <f>IFERROR(__xludf.DUMMYFUNCTION("GOOGLETRANSLATE(H81, ""de"", ""en"")"),"How is the order of the players determined?")</f>
        <v>How is the order of the players determined?</v>
      </c>
      <c r="C81" s="4" t="s">
        <v>2794</v>
      </c>
      <c r="D81" s="4" t="str">
        <f>IFERROR(__xludf.DUMMYFUNCTION("GOOGLETRANSLATE(J81, ""de"", ""en"")"),"By lot")</f>
        <v>By lot</v>
      </c>
      <c r="E81" s="4" t="str">
        <f>IFERROR(__xludf.DUMMYFUNCTION("GOOGLETRANSLATE(K81, ""de"", ""en"")"),"The order of the players is determined by lot.")</f>
        <v>The order of the players is determined by lot.</v>
      </c>
      <c r="F81" s="2"/>
      <c r="G81" s="5">
        <v>80.0</v>
      </c>
      <c r="H81" s="4" t="s">
        <v>2795</v>
      </c>
      <c r="I81" s="4" t="s">
        <v>2796</v>
      </c>
      <c r="J81" s="4" t="s">
        <v>1578</v>
      </c>
      <c r="K81" s="4" t="s">
        <v>1759</v>
      </c>
      <c r="L81" s="2"/>
      <c r="R81" s="2"/>
      <c r="S81" s="2"/>
      <c r="T81" s="2"/>
      <c r="U81" s="2"/>
    </row>
    <row r="82" ht="22.5" customHeight="1">
      <c r="A82" s="4" t="str">
        <f>IFERROR(__xludf.DUMMYFUNCTION("GOOGLETRANSLATE(G82, ""de"", ""en"")"),"81")</f>
        <v>81</v>
      </c>
      <c r="B82" s="4" t="str">
        <f>IFERROR(__xludf.DUMMYFUNCTION("GOOGLETRANSLATE(H82, ""de"", ""en"")"),"Is a player allowed to leave the throwing area prematurely?")</f>
        <v>Is a player allowed to leave the throwing area prematurely?</v>
      </c>
      <c r="C82" s="4" t="s">
        <v>2797</v>
      </c>
      <c r="D82" s="4" t="str">
        <f>IFERROR(__xludf.DUMMYFUNCTION("GOOGLETRANSLATE(J82, ""de"", ""en"")"),"Yes, after the throw")</f>
        <v>Yes, after the throw</v>
      </c>
      <c r="E82" s="4" t="str">
        <f>IFERROR(__xludf.DUMMYFUNCTION("GOOGLETRANSLATE(K82, ""de"", ""en"")"),"A player may leave the area after completing their throw.")</f>
        <v>A player may leave the area after completing their throw.</v>
      </c>
      <c r="F82" s="2"/>
      <c r="G82" s="5">
        <v>81.0</v>
      </c>
      <c r="H82" s="4" t="s">
        <v>2798</v>
      </c>
      <c r="I82" s="4" t="s">
        <v>2799</v>
      </c>
      <c r="J82" s="4" t="s">
        <v>2800</v>
      </c>
      <c r="K82" s="4" t="s">
        <v>2801</v>
      </c>
      <c r="L82" s="2"/>
      <c r="R82" s="2"/>
      <c r="S82" s="2"/>
      <c r="T82" s="2"/>
      <c r="U82" s="2"/>
    </row>
    <row r="83" ht="22.5" customHeight="1">
      <c r="A83" s="4" t="str">
        <f>IFERROR(__xludf.DUMMYFUNCTION("GOOGLETRANSLATE(G83, ""de"", ""en"")"),"82")</f>
        <v>82</v>
      </c>
      <c r="B83" s="4" t="str">
        <f>IFERROR(__xludf.DUMMYFUNCTION("GOOGLETRANSLATE(H83, ""de"", ""en"")"),"What happens if a kloot lands outside the playing field?")</f>
        <v>What happens if a kloot lands outside the playing field?</v>
      </c>
      <c r="C83" s="4" t="s">
        <v>2802</v>
      </c>
      <c r="D83" s="4" t="str">
        <f>IFERROR(__xludf.DUMMYFUNCTION("GOOGLETRANSLATE(J83, ""de"", ""en"")"),"The throw is invalid.")</f>
        <v>The throw is invalid.</v>
      </c>
      <c r="E83" s="4" t="str">
        <f>IFERROR(__xludf.DUMMYFUNCTION("GOOGLETRANSLATE(K83, ""de"", ""en"")"),"A kloot that lands outside the playing field is considered invalid.")</f>
        <v>A kloot that lands outside the playing field is considered invalid.</v>
      </c>
      <c r="F83" s="2"/>
      <c r="G83" s="5">
        <v>82.0</v>
      </c>
      <c r="H83" s="4" t="s">
        <v>2803</v>
      </c>
      <c r="I83" s="4" t="s">
        <v>2804</v>
      </c>
      <c r="J83" s="4" t="s">
        <v>2460</v>
      </c>
      <c r="K83" s="4" t="s">
        <v>2805</v>
      </c>
      <c r="L83" s="2"/>
      <c r="R83" s="2"/>
      <c r="S83" s="2"/>
      <c r="T83" s="2"/>
      <c r="U83" s="2"/>
    </row>
    <row r="84" ht="22.5" customHeight="1">
      <c r="A84" s="4" t="str">
        <f>IFERROR(__xludf.DUMMYFUNCTION("GOOGLETRANSLATE(G84, ""de"", ""en"")"),"83")</f>
        <v>83</v>
      </c>
      <c r="B84" s="4" t="str">
        <f>IFERROR(__xludf.DUMMYFUNCTION("GOOGLETRANSLATE(H84, ""de"", ""en"")"),"How many points does a team receive per valid throw?")</f>
        <v>How many points does a team receive per valid throw?</v>
      </c>
      <c r="C84" s="4" t="s">
        <v>2806</v>
      </c>
      <c r="D84" s="4" t="str">
        <f>IFERROR(__xludf.DUMMYFUNCTION("GOOGLETRANSLATE(J84, ""de"", ""en"")"),"It depends on the distance.")</f>
        <v>It depends on the distance.</v>
      </c>
      <c r="E84" s="4" t="str">
        <f>IFERROR(__xludf.DUMMYFUNCTION("GOOGLETRANSLATE(K84, ""de"", ""en"")"),"The score depends on the distance achieved.")</f>
        <v>The score depends on the distance achieved.</v>
      </c>
      <c r="F84" s="2"/>
      <c r="G84" s="5">
        <v>83.0</v>
      </c>
      <c r="H84" s="4" t="s">
        <v>2807</v>
      </c>
      <c r="I84" s="4" t="s">
        <v>2808</v>
      </c>
      <c r="J84" s="4" t="s">
        <v>2809</v>
      </c>
      <c r="K84" s="4" t="s">
        <v>2810</v>
      </c>
      <c r="L84" s="2"/>
      <c r="R84" s="2"/>
      <c r="S84" s="2"/>
      <c r="T84" s="2"/>
      <c r="U84" s="2"/>
    </row>
    <row r="85" ht="22.5" customHeight="1">
      <c r="A85" s="4" t="str">
        <f>IFERROR(__xludf.DUMMYFUNCTION("GOOGLETRANSLATE(G85, ""de"", ""en"")"),"84")</f>
        <v>84</v>
      </c>
      <c r="B85" s="4" t="str">
        <f>IFERROR(__xludf.DUMMYFUNCTION("GOOGLETRANSLATE(H85, ""de"", ""en"")"),"What penalty is imposed for unsportsmanlike conduct?")</f>
        <v>What penalty is imposed for unsportsmanlike conduct?</v>
      </c>
      <c r="C85" s="4" t="s">
        <v>2811</v>
      </c>
      <c r="D85" s="4" t="str">
        <f>IFERROR(__xludf.DUMMYFUNCTION("GOOGLETRANSLATE(J85, ""de"", ""en"")"),"warning")</f>
        <v>warning</v>
      </c>
      <c r="E85" s="4" t="str">
        <f>IFERROR(__xludf.DUMMYFUNCTION("GOOGLETRANSLATE(K85, ""de"", ""en"")"),"Unsportsmanlike conduct is usually punished with a warning.")</f>
        <v>Unsportsmanlike conduct is usually punished with a warning.</v>
      </c>
      <c r="F85" s="2"/>
      <c r="G85" s="5">
        <v>84.0</v>
      </c>
      <c r="H85" s="4" t="s">
        <v>2812</v>
      </c>
      <c r="I85" s="4" t="s">
        <v>2813</v>
      </c>
      <c r="J85" s="4" t="s">
        <v>2589</v>
      </c>
      <c r="K85" s="4" t="s">
        <v>2590</v>
      </c>
      <c r="L85" s="2"/>
      <c r="R85" s="2"/>
      <c r="S85" s="2"/>
      <c r="T85" s="2"/>
      <c r="U85" s="2"/>
    </row>
    <row r="86" ht="22.5" customHeight="1">
      <c r="A86" s="4" t="str">
        <f>IFERROR(__xludf.DUMMYFUNCTION("GOOGLETRANSLATE(G86, ""de"", ""en"")"),"85")</f>
        <v>85</v>
      </c>
      <c r="B86" s="4" t="str">
        <f>IFERROR(__xludf.DUMMYFUNCTION("GOOGLETRANSLATE(H86, ""de"", ""en"")"),"How many kloots can a player use in a tournament?")</f>
        <v>How many kloots can a player use in a tournament?</v>
      </c>
      <c r="C86" s="4" t="s">
        <v>2814</v>
      </c>
      <c r="D86" s="4" t="str">
        <f>IFERROR(__xludf.DUMMYFUNCTION("GOOGLETRANSLATE(J86, ""de"", ""en"")"),"A")</f>
        <v>A</v>
      </c>
      <c r="E86" s="4" t="str">
        <f>IFERROR(__xludf.DUMMYFUNCTION("GOOGLETRANSLATE(K86, ""de"", ""en"")"),"A player may only use one kloot per tournament.")</f>
        <v>A player may only use one kloot per tournament.</v>
      </c>
      <c r="F86" s="2"/>
      <c r="G86" s="5">
        <v>85.0</v>
      </c>
      <c r="H86" s="4" t="s">
        <v>2815</v>
      </c>
      <c r="I86" s="4" t="s">
        <v>2816</v>
      </c>
      <c r="J86" s="4" t="s">
        <v>232</v>
      </c>
      <c r="K86" s="4" t="s">
        <v>2817</v>
      </c>
      <c r="L86" s="2"/>
      <c r="R86" s="2"/>
      <c r="S86" s="2"/>
      <c r="T86" s="2"/>
      <c r="U86" s="2"/>
    </row>
    <row r="87" ht="22.5" customHeight="1">
      <c r="A87" s="4" t="str">
        <f>IFERROR(__xludf.DUMMYFUNCTION("GOOGLETRANSLATE(G87, ""de"", ""en"")"),"86")</f>
        <v>86</v>
      </c>
      <c r="B87" s="4" t="str">
        <f>IFERROR(__xludf.DUMMYFUNCTION("GOOGLETRANSLATE(H87, ""de"", ""en"")"),"How is a draw resolved in a tournament?")</f>
        <v>How is a draw resolved in a tournament?</v>
      </c>
      <c r="C87" s="4" t="s">
        <v>2818</v>
      </c>
      <c r="D87" s="4" t="str">
        <f>IFERROR(__xludf.DUMMYFUNCTION("GOOGLETRANSLATE(J87, ""de"", ""en"")"),"Through additional throw")</f>
        <v>Through additional throw</v>
      </c>
      <c r="E87" s="4" t="str">
        <f>IFERROR(__xludf.DUMMYFUNCTION("GOOGLETRANSLATE(K87, ""de"", ""en"")"),"A tie is broken by an additional throw.")</f>
        <v>A tie is broken by an additional throw.</v>
      </c>
      <c r="F87" s="2"/>
      <c r="G87" s="5">
        <v>86.0</v>
      </c>
      <c r="H87" s="4" t="s">
        <v>2819</v>
      </c>
      <c r="I87" s="4" t="s">
        <v>2820</v>
      </c>
      <c r="J87" s="4" t="s">
        <v>2821</v>
      </c>
      <c r="K87" s="4" t="s">
        <v>2822</v>
      </c>
      <c r="L87" s="2"/>
      <c r="R87" s="2"/>
      <c r="S87" s="2"/>
      <c r="T87" s="2"/>
      <c r="U87" s="2"/>
    </row>
    <row r="88" ht="22.5" customHeight="1">
      <c r="A88" s="4" t="str">
        <f>IFERROR(__xludf.DUMMYFUNCTION("GOOGLETRANSLATE(G88, ""de"", ""en"")"),"87")</f>
        <v>87</v>
      </c>
      <c r="B88" s="4" t="str">
        <f>IFERROR(__xludf.DUMMYFUNCTION("GOOGLETRANSLATE(H88, ""de"", ""en"")"),"What type of footwear is prohibited?")</f>
        <v>What type of footwear is prohibited?</v>
      </c>
      <c r="C88" s="4" t="s">
        <v>2823</v>
      </c>
      <c r="D88" s="4" t="str">
        <f>IFERROR(__xludf.DUMMYFUNCTION("GOOGLETRANSLATE(J88, ""de"", ""en"")"),"Barefoot")</f>
        <v>Barefoot</v>
      </c>
      <c r="E88" s="4" t="str">
        <f>IFERROR(__xludf.DUMMYFUNCTION("GOOGLETRANSLATE(K88, ""de"", ""en"")"),"Playing barefoot is prohibited for safety reasons.")</f>
        <v>Playing barefoot is prohibited for safety reasons.</v>
      </c>
      <c r="F88" s="2"/>
      <c r="G88" s="5">
        <v>87.0</v>
      </c>
      <c r="H88" s="4" t="s">
        <v>2824</v>
      </c>
      <c r="I88" s="4" t="s">
        <v>2825</v>
      </c>
      <c r="J88" s="4" t="s">
        <v>2826</v>
      </c>
      <c r="K88" s="4" t="s">
        <v>2827</v>
      </c>
      <c r="L88" s="2"/>
      <c r="R88" s="2"/>
      <c r="S88" s="2"/>
      <c r="T88" s="2"/>
      <c r="U88" s="2"/>
    </row>
    <row r="89" ht="22.5" customHeight="1">
      <c r="A89" s="4" t="str">
        <f>IFERROR(__xludf.DUMMYFUNCTION("GOOGLETRANSLATE(G89, ""de"", ""en"")"),"88")</f>
        <v>88</v>
      </c>
      <c r="B89" s="4" t="str">
        <f>IFERROR(__xludf.DUMMYFUNCTION("GOOGLETRANSLATE(H89, ""de"", ""en"")"),"How much time does a player have for a throw?")</f>
        <v>How much time does a player have for a throw?</v>
      </c>
      <c r="C89" s="4" t="s">
        <v>2828</v>
      </c>
      <c r="D89" s="4" t="str">
        <f>IFERROR(__xludf.DUMMYFUNCTION("GOOGLETRANSLATE(J89, ""de"", ""en"")"),"30 seconds")</f>
        <v>30 seconds</v>
      </c>
      <c r="E89" s="4" t="str">
        <f>IFERROR(__xludf.DUMMYFUNCTION("GOOGLETRANSLATE(K89, ""de"", ""en"")"),"A player has a maximum of 30 seconds for one throw.")</f>
        <v>A player has a maximum of 30 seconds for one throw.</v>
      </c>
      <c r="F89" s="2"/>
      <c r="G89" s="5">
        <v>88.0</v>
      </c>
      <c r="H89" s="4" t="s">
        <v>2829</v>
      </c>
      <c r="I89" s="4" t="s">
        <v>2830</v>
      </c>
      <c r="J89" s="4" t="s">
        <v>2831</v>
      </c>
      <c r="K89" s="4" t="s">
        <v>2832</v>
      </c>
      <c r="L89" s="2"/>
      <c r="R89" s="2"/>
      <c r="S89" s="2"/>
      <c r="T89" s="2"/>
      <c r="U89" s="2"/>
    </row>
    <row r="90" ht="22.5" customHeight="1">
      <c r="A90" s="4" t="str">
        <f>IFERROR(__xludf.DUMMYFUNCTION("GOOGLETRANSLATE(G90, ""de"", ""en"")"),"89")</f>
        <v>89</v>
      </c>
      <c r="B90" s="4" t="str">
        <f>IFERROR(__xludf.DUMMYFUNCTION("GOOGLETRANSLATE(H90, ""de"", ""en"")"),"Who is allowed to make decisions during the game?")</f>
        <v>Who is allowed to make decisions during the game?</v>
      </c>
      <c r="C90" s="4" t="s">
        <v>2833</v>
      </c>
      <c r="D90" s="4" t="str">
        <f>IFERROR(__xludf.DUMMYFUNCTION("GOOGLETRANSLATE(J90, ""de"", ""en"")"),"The referee")</f>
        <v>The referee</v>
      </c>
      <c r="E90" s="4" t="str">
        <f>IFERROR(__xludf.DUMMYFUNCTION("GOOGLETRANSLATE(K90, ""de"", ""en"")"),"Only the referee has the authority to make decisions during the game.")</f>
        <v>Only the referee has the authority to make decisions during the game.</v>
      </c>
      <c r="F90" s="2"/>
      <c r="G90" s="5">
        <v>89.0</v>
      </c>
      <c r="H90" s="4" t="s">
        <v>2834</v>
      </c>
      <c r="I90" s="4" t="s">
        <v>2835</v>
      </c>
      <c r="J90" s="4" t="s">
        <v>2519</v>
      </c>
      <c r="K90" s="4" t="s">
        <v>2836</v>
      </c>
      <c r="L90" s="2"/>
      <c r="R90" s="2"/>
      <c r="S90" s="2"/>
      <c r="T90" s="2"/>
      <c r="U90" s="2"/>
    </row>
    <row r="91" ht="22.5" customHeight="1">
      <c r="A91" s="4" t="str">
        <f>IFERROR(__xludf.DUMMYFUNCTION("GOOGLETRANSLATE(G91, ""de"", ""en"")"),"90")</f>
        <v>90</v>
      </c>
      <c r="B91" s="4" t="str">
        <f>IFERROR(__xludf.DUMMYFUNCTION("GOOGLETRANSLATE(H91, ""de"", ""en"")"),"Can a player receive instructions during the throw?")</f>
        <v>Can a player receive instructions during the throw?</v>
      </c>
      <c r="C91" s="4" t="s">
        <v>2837</v>
      </c>
      <c r="D91" s="4" t="str">
        <f>IFERROR(__xludf.DUMMYFUNCTION("GOOGLETRANSLATE(J91, ""de"", ""en"")"),"Yes, from the captain")</f>
        <v>Yes, from the captain</v>
      </c>
      <c r="E91" s="4" t="str">
        <f>IFERROR(__xludf.DUMMYFUNCTION("GOOGLETRANSLATE(K91, ""de"", ""en"")"),"The captain is allowed to give instructions during the throw.")</f>
        <v>The captain is allowed to give instructions during the throw.</v>
      </c>
      <c r="F91" s="2"/>
      <c r="G91" s="5">
        <v>90.0</v>
      </c>
      <c r="H91" s="4" t="s">
        <v>2838</v>
      </c>
      <c r="I91" s="4" t="s">
        <v>2839</v>
      </c>
      <c r="J91" s="4" t="s">
        <v>2840</v>
      </c>
      <c r="K91" s="4" t="s">
        <v>2841</v>
      </c>
      <c r="L91" s="2"/>
      <c r="R91" s="2"/>
      <c r="S91" s="2"/>
      <c r="T91" s="2"/>
      <c r="U91" s="2"/>
    </row>
    <row r="92" ht="22.5" customHeight="1">
      <c r="A92" s="4" t="str">
        <f>IFERROR(__xludf.DUMMYFUNCTION("GOOGLETRANSLATE(G92, ""de"", ""en"")"),"91")</f>
        <v>91</v>
      </c>
      <c r="B92" s="4" t="str">
        <f>IFERROR(__xludf.DUMMYFUNCTION("GOOGLETRANSLATE(H92, ""de"", ""en"")"),"What rule applies in heavy rain?")</f>
        <v>What rule applies in heavy rain?</v>
      </c>
      <c r="C92" s="4" t="s">
        <v>2842</v>
      </c>
      <c r="D92" s="4" t="str">
        <f>IFERROR(__xludf.DUMMYFUNCTION("GOOGLETRANSLATE(J92, ""de"", ""en"")"),"The game will continue after the referee's decision.")</f>
        <v>The game will continue after the referee's decision.</v>
      </c>
      <c r="E92" s="4" t="str">
        <f>IFERROR(__xludf.DUMMYFUNCTION("GOOGLETRANSLATE(K92, ""de"", ""en"")"),"The referee decides whether the game will continue in heavy rain.")</f>
        <v>The referee decides whether the game will continue in heavy rain.</v>
      </c>
      <c r="F92" s="2"/>
      <c r="G92" s="5">
        <v>91.0</v>
      </c>
      <c r="H92" s="4" t="s">
        <v>2843</v>
      </c>
      <c r="I92" s="4" t="s">
        <v>2844</v>
      </c>
      <c r="J92" s="4" t="s">
        <v>2845</v>
      </c>
      <c r="K92" s="4" t="s">
        <v>2846</v>
      </c>
      <c r="L92" s="2"/>
      <c r="R92" s="2"/>
      <c r="S92" s="2"/>
      <c r="T92" s="2"/>
      <c r="U92" s="2"/>
    </row>
    <row r="93" ht="22.5" customHeight="1">
      <c r="A93" s="4" t="str">
        <f>IFERROR(__xludf.DUMMYFUNCTION("GOOGLETRANSLATE(G93, ""de"", ""en"")"),"92")</f>
        <v>92</v>
      </c>
      <c r="B93" s="4" t="str">
        <f>IFERROR(__xludf.DUMMYFUNCTION("GOOGLETRANSLATE(H93, ""de"", ""en"")"),"How long is a standard playing field?")</f>
        <v>How long is a standard playing field?</v>
      </c>
      <c r="C93" s="4" t="s">
        <v>2847</v>
      </c>
      <c r="D93" s="4" t="str">
        <f>IFERROR(__xludf.DUMMYFUNCTION("GOOGLETRANSLATE(J93, ""de"", ""en"")"),"300 meters")</f>
        <v>300 meters</v>
      </c>
      <c r="E93" s="4" t="str">
        <f>IFERROR(__xludf.DUMMYFUNCTION("GOOGLETRANSLATE(K93, ""de"", ""en"")"),"A normal playing field is about 300 meters long.")</f>
        <v>A normal playing field is about 300 meters long.</v>
      </c>
      <c r="F93" s="2"/>
      <c r="G93" s="5">
        <v>92.0</v>
      </c>
      <c r="H93" s="4" t="s">
        <v>2848</v>
      </c>
      <c r="I93" s="4" t="s">
        <v>2849</v>
      </c>
      <c r="J93" s="4" t="s">
        <v>2850</v>
      </c>
      <c r="K93" s="4" t="s">
        <v>2851</v>
      </c>
      <c r="L93" s="2"/>
      <c r="R93" s="2"/>
      <c r="S93" s="2"/>
      <c r="T93" s="2"/>
      <c r="U93" s="2"/>
    </row>
    <row r="94" ht="22.5" customHeight="1">
      <c r="A94" s="4" t="str">
        <f>IFERROR(__xludf.DUMMYFUNCTION("GOOGLETRANSLATE(G94, ""de"", ""en"")"),"93")</f>
        <v>93</v>
      </c>
      <c r="B94" s="4" t="str">
        <f>IFERROR(__xludf.DUMMYFUNCTION("GOOGLETRANSLATE(H94, ""de"", ""en"")"),"What shape does a standard toilet have?")</f>
        <v>What shape does a standard toilet have?</v>
      </c>
      <c r="C94" s="4" t="s">
        <v>2852</v>
      </c>
      <c r="D94" s="4" t="str">
        <f>IFERROR(__xludf.DUMMYFUNCTION("GOOGLETRANSLATE(J94, ""de"", ""en"")"),"Spherical shape")</f>
        <v>Spherical shape</v>
      </c>
      <c r="E94" s="4" t="str">
        <f>IFERROR(__xludf.DUMMYFUNCTION("GOOGLETRANSLATE(K94, ""de"", ""en"")"),"By default, a Kloot has a spherical shape.")</f>
        <v>By default, a Kloot has a spherical shape.</v>
      </c>
      <c r="F94" s="2"/>
      <c r="G94" s="5">
        <v>93.0</v>
      </c>
      <c r="H94" s="4" t="s">
        <v>2563</v>
      </c>
      <c r="I94" s="4" t="s">
        <v>2853</v>
      </c>
      <c r="J94" s="4" t="s">
        <v>2854</v>
      </c>
      <c r="K94" s="4" t="s">
        <v>2855</v>
      </c>
      <c r="L94" s="2"/>
      <c r="R94" s="2"/>
      <c r="S94" s="2"/>
      <c r="T94" s="2"/>
      <c r="U94" s="2"/>
    </row>
    <row r="95" ht="22.5" customHeight="1">
      <c r="A95" s="4" t="str">
        <f>IFERROR(__xludf.DUMMYFUNCTION("GOOGLETRANSLATE(G95, ""de"", ""en"")"),"94")</f>
        <v>94</v>
      </c>
      <c r="B95" s="4" t="str">
        <f>IFERROR(__xludf.DUMMYFUNCTION("GOOGLETRANSLATE(H95, ""de"", ""en"")"),"When does a game officially end?")</f>
        <v>When does a game officially end?</v>
      </c>
      <c r="C95" s="4" t="s">
        <v>2856</v>
      </c>
      <c r="D95" s="4" t="str">
        <f>IFERROR(__xludf.DUMMYFUNCTION("GOOGLETRANSLATE(J95, ""de"", ""en"")"),"All of the options mentioned")</f>
        <v>All of the options mentioned</v>
      </c>
      <c r="E95" s="4" t="str">
        <f>IFERROR(__xludf.DUMMYFUNCTION("GOOGLETRANSLATE(K95, ""de"", ""en"")"),"A game ends due to the passage of time, the number of throws, or the loss of one team.")</f>
        <v>A game ends due to the passage of time, the number of throws, or the loss of one team.</v>
      </c>
      <c r="F95" s="2"/>
      <c r="G95" s="5">
        <v>94.0</v>
      </c>
      <c r="H95" s="4" t="s">
        <v>2857</v>
      </c>
      <c r="I95" s="4" t="s">
        <v>2858</v>
      </c>
      <c r="J95" s="4" t="s">
        <v>2859</v>
      </c>
      <c r="K95" s="4" t="s">
        <v>2860</v>
      </c>
      <c r="L95" s="2"/>
      <c r="R95" s="2"/>
      <c r="S95" s="2"/>
      <c r="T95" s="2"/>
      <c r="U95" s="2"/>
    </row>
    <row r="96" ht="22.5" customHeight="1">
      <c r="A96" s="4" t="str">
        <f>IFERROR(__xludf.DUMMYFUNCTION("GOOGLETRANSLATE(G96, ""de"", ""en"")"),"95")</f>
        <v>95</v>
      </c>
      <c r="B96" s="4" t="str">
        <f>IFERROR(__xludf.DUMMYFUNCTION("GOOGLETRANSLATE(H96, ""de"", ""en"")"),"Is a player allowed to throw again after a foul throw?")</f>
        <v>Is a player allowed to throw again after a foul throw?</v>
      </c>
      <c r="C96" s="4" t="s">
        <v>2861</v>
      </c>
      <c r="D96" s="4" t="str">
        <f>IFERROR(__xludf.DUMMYFUNCTION("GOOGLETRANSLATE(J96, ""de"", ""en"")"),"Yes, with the referee's permission.")</f>
        <v>Yes, with the referee's permission.</v>
      </c>
      <c r="E96" s="4" t="str">
        <f>IFERROR(__xludf.DUMMYFUNCTION("GOOGLETRANSLATE(K96, ""de"", ""en"")"),"A second throw is only permitted with the referee's approval.")</f>
        <v>A second throw is only permitted with the referee's approval.</v>
      </c>
      <c r="F96" s="2"/>
      <c r="G96" s="5">
        <v>95.0</v>
      </c>
      <c r="H96" s="4" t="s">
        <v>2862</v>
      </c>
      <c r="I96" s="4" t="s">
        <v>2863</v>
      </c>
      <c r="J96" s="4" t="s">
        <v>2864</v>
      </c>
      <c r="K96" s="4" t="s">
        <v>2575</v>
      </c>
      <c r="L96" s="2"/>
      <c r="R96" s="2"/>
      <c r="S96" s="2"/>
      <c r="T96" s="2"/>
      <c r="U96" s="2"/>
    </row>
    <row r="97" ht="22.5" customHeight="1">
      <c r="A97" s="4" t="str">
        <f>IFERROR(__xludf.DUMMYFUNCTION("GOOGLETRANSLATE(G97, ""de"", ""en"")"),"96")</f>
        <v>96</v>
      </c>
      <c r="B97" s="4" t="str">
        <f>IFERROR(__xludf.DUMMYFUNCTION("GOOGLETRANSLATE(H97, ""de"", ""en"")"),"How many players must a team have at a minimum?")</f>
        <v>How many players must a team have at a minimum?</v>
      </c>
      <c r="C97" s="4" t="s">
        <v>2865</v>
      </c>
      <c r="D97" s="4" t="str">
        <f>IFERROR(__xludf.DUMMYFUNCTION("GOOGLETRANSLATE(J97, ""de"", ""en"")"),"5 players")</f>
        <v>5 players</v>
      </c>
      <c r="E97" s="4" t="str">
        <f>IFERROR(__xludf.DUMMYFUNCTION("GOOGLETRANSLATE(K97, ""de"", ""en"")"),"A team needs at least 5 players.")</f>
        <v>A team needs at least 5 players.</v>
      </c>
      <c r="F97" s="2"/>
      <c r="G97" s="5">
        <v>96.0</v>
      </c>
      <c r="H97" s="4" t="s">
        <v>2866</v>
      </c>
      <c r="I97" s="4" t="s">
        <v>2867</v>
      </c>
      <c r="J97" s="4" t="s">
        <v>2868</v>
      </c>
      <c r="K97" s="4" t="s">
        <v>2869</v>
      </c>
      <c r="L97" s="2"/>
      <c r="R97" s="2"/>
      <c r="S97" s="2"/>
      <c r="T97" s="2"/>
      <c r="U97" s="2"/>
    </row>
    <row r="98" ht="22.5" customHeight="1">
      <c r="A98" s="4" t="str">
        <f>IFERROR(__xludf.DUMMYFUNCTION("GOOGLETRANSLATE(G98, ""de"", ""en"")"),"97")</f>
        <v>97</v>
      </c>
      <c r="B98" s="4" t="str">
        <f>IFERROR(__xludf.DUMMYFUNCTION("GOOGLETRANSLATE(H98, ""de"", ""en"")"),"What happens if a player throws before the starting signal?")</f>
        <v>What happens if a player throws before the starting signal?</v>
      </c>
      <c r="C98" s="4" t="s">
        <v>2870</v>
      </c>
      <c r="D98" s="4" t="str">
        <f>IFERROR(__xludf.DUMMYFUNCTION("GOOGLETRANSLATE(J98, ""de"", ""en"")"),"The throw is invalid.")</f>
        <v>The throw is invalid.</v>
      </c>
      <c r="E98" s="4" t="str">
        <f>IFERROR(__xludf.DUMMYFUNCTION("GOOGLETRANSLATE(K98, ""de"", ""en"")"),"A throw made before the starting signal is considered invalid.")</f>
        <v>A throw made before the starting signal is considered invalid.</v>
      </c>
      <c r="F98" s="2"/>
      <c r="G98" s="5">
        <v>97.0</v>
      </c>
      <c r="H98" s="4" t="s">
        <v>2871</v>
      </c>
      <c r="I98" s="4" t="s">
        <v>2872</v>
      </c>
      <c r="J98" s="4" t="s">
        <v>2460</v>
      </c>
      <c r="K98" s="4" t="s">
        <v>2873</v>
      </c>
      <c r="L98" s="2"/>
      <c r="R98" s="2"/>
      <c r="S98" s="2"/>
      <c r="T98" s="2"/>
      <c r="U98" s="2"/>
    </row>
    <row r="99" ht="22.5" customHeight="1">
      <c r="A99" s="4" t="str">
        <f>IFERROR(__xludf.DUMMYFUNCTION("GOOGLETRANSLATE(G99, ""de"", ""en"")"),"98")</f>
        <v>98</v>
      </c>
      <c r="B99" s="4" t="str">
        <f>IFERROR(__xludf.DUMMYFUNCTION("GOOGLETRANSLATE(H99, ""de"", ""en"")"),"What is the maximum height a toilet can be?")</f>
        <v>What is the maximum height a toilet can be?</v>
      </c>
      <c r="C99" s="4" t="s">
        <v>2874</v>
      </c>
      <c r="D99" s="4" t="str">
        <f>IFERROR(__xludf.DUMMYFUNCTION("GOOGLETRANSLATE(J99, ""de"", ""en"")"),"750 grams")</f>
        <v>750 grams</v>
      </c>
      <c r="E99" s="4" t="str">
        <f>IFERROR(__xludf.DUMMYFUNCTION("GOOGLETRANSLATE(K99, ""de"", ""en"")"),"To comply with the rules, a Kloot may weigh a maximum of 750 grams.")</f>
        <v>To comply with the rules, a Kloot may weigh a maximum of 750 grams.</v>
      </c>
      <c r="F99" s="2"/>
      <c r="G99" s="5">
        <v>98.0</v>
      </c>
      <c r="H99" s="4" t="s">
        <v>2875</v>
      </c>
      <c r="I99" s="4" t="s">
        <v>2876</v>
      </c>
      <c r="J99" s="4" t="s">
        <v>2877</v>
      </c>
      <c r="K99" s="4" t="s">
        <v>2878</v>
      </c>
      <c r="L99" s="2"/>
      <c r="R99" s="2"/>
      <c r="S99" s="2"/>
      <c r="T99" s="2"/>
      <c r="U99" s="2"/>
    </row>
    <row r="100" ht="22.5" customHeight="1">
      <c r="A100" s="4" t="str">
        <f>IFERROR(__xludf.DUMMYFUNCTION("GOOGLETRANSLATE(G100, ""de"", ""en"")"),"99")</f>
        <v>99</v>
      </c>
      <c r="B100" s="4" t="str">
        <f>IFERROR(__xludf.DUMMYFUNCTION("GOOGLETRANSLATE(H100, ""de"", ""en"")"),"Can a player change the throwing point?")</f>
        <v>Can a player change the throwing point?</v>
      </c>
      <c r="C100" s="4" t="s">
        <v>2879</v>
      </c>
      <c r="D100" s="4" t="str">
        <f>IFERROR(__xludf.DUMMYFUNCTION("GOOGLETRANSLATE(J100, ""de"", ""en"")"),"Yes, with the referee's approval.")</f>
        <v>Yes, with the referee's approval.</v>
      </c>
      <c r="E100" s="4" t="str">
        <f>IFERROR(__xludf.DUMMYFUNCTION("GOOGLETRANSLATE(K100, ""de"", ""en"")"),"The throwing point may only be changed with the referee's approval.")</f>
        <v>The throwing point may only be changed with the referee's approval.</v>
      </c>
      <c r="F100" s="2"/>
      <c r="G100" s="5">
        <v>99.0</v>
      </c>
      <c r="H100" s="4" t="s">
        <v>2880</v>
      </c>
      <c r="I100" s="4" t="s">
        <v>2881</v>
      </c>
      <c r="J100" s="4" t="s">
        <v>2445</v>
      </c>
      <c r="K100" s="4" t="s">
        <v>2882</v>
      </c>
      <c r="L100" s="2"/>
      <c r="R100" s="2"/>
      <c r="S100" s="2"/>
      <c r="T100" s="2"/>
      <c r="U100" s="2"/>
    </row>
    <row r="101" ht="22.5" customHeight="1">
      <c r="A101" s="4" t="str">
        <f>IFERROR(__xludf.DUMMYFUNCTION("GOOGLETRANSLATE(G101, ""de"", ""en"")"),"100")</f>
        <v>100</v>
      </c>
      <c r="B101" s="4" t="str">
        <f>IFERROR(__xludf.DUMMYFUNCTION("GOOGLETRANSLATE(H101, ""de"", ""en"")"),"How is the throwing distance measured?")</f>
        <v>How is the throwing distance measured?</v>
      </c>
      <c r="C101" s="4" t="s">
        <v>2883</v>
      </c>
      <c r="D101" s="4" t="str">
        <f>IFERROR(__xludf.DUMMYFUNCTION("GOOGLETRANSLATE(J101, ""de"", ""en"")"),"From starting point to standstill")</f>
        <v>From starting point to standstill</v>
      </c>
      <c r="E101" s="4" t="str">
        <f>IFERROR(__xludf.DUMMYFUNCTION("GOOGLETRANSLATE(K101, ""de"", ""en"")"),"The throwing distance is measured from the starting point until the toilet comes to a complete stop.")</f>
        <v>The throwing distance is measured from the starting point until the toilet comes to a complete stop.</v>
      </c>
      <c r="F101" s="2"/>
      <c r="G101" s="5">
        <v>100.0</v>
      </c>
      <c r="H101" s="4" t="s">
        <v>2453</v>
      </c>
      <c r="I101" s="4" t="s">
        <v>2884</v>
      </c>
      <c r="J101" s="4" t="s">
        <v>2885</v>
      </c>
      <c r="K101" s="4" t="s">
        <v>2886</v>
      </c>
      <c r="L101" s="2"/>
      <c r="R101" s="2"/>
      <c r="S101" s="2"/>
      <c r="T101" s="2"/>
      <c r="U101" s="2"/>
    </row>
    <row r="102" ht="22.5" customHeight="1">
      <c r="A102" s="4" t="str">
        <f>IFERROR(__xludf.DUMMYFUNCTION("GOOGLETRANSLATE(G102, ""de"", ""en"")"),"101")</f>
        <v>101</v>
      </c>
      <c r="B102" s="4" t="str">
        <f>IFERROR(__xludf.DUMMYFUNCTION("GOOGLETRANSLATE(H102, ""de"", ""en"")"),"How many players per team are allowed to throw?")</f>
        <v>How many players per team are allowed to throw?</v>
      </c>
      <c r="C102" s="4" t="s">
        <v>2887</v>
      </c>
      <c r="D102" s="4" t="str">
        <f>IFERROR(__xludf.DUMMYFUNCTION("GOOGLETRANSLATE(J102, ""de"", ""en"")"),"One player per round")</f>
        <v>One player per round</v>
      </c>
      <c r="E102" s="4" t="str">
        <f>IFERROR(__xludf.DUMMYFUNCTION("GOOGLETRANSLATE(K102, ""de"", ""en"")"),"Only one player per team may throw per round.")</f>
        <v>Only one player per team may throw per round.</v>
      </c>
      <c r="F102" s="2"/>
      <c r="G102" s="5">
        <v>101.0</v>
      </c>
      <c r="H102" s="4" t="s">
        <v>2888</v>
      </c>
      <c r="I102" s="4" t="s">
        <v>2889</v>
      </c>
      <c r="J102" s="4" t="s">
        <v>2890</v>
      </c>
      <c r="K102" s="4" t="s">
        <v>2891</v>
      </c>
      <c r="L102" s="2"/>
      <c r="R102" s="2"/>
      <c r="S102" s="2"/>
      <c r="T102" s="2"/>
      <c r="U102" s="2"/>
    </row>
    <row r="103" ht="22.5" customHeight="1">
      <c r="A103" s="4" t="str">
        <f>IFERROR(__xludf.DUMMYFUNCTION("GOOGLETRANSLATE(G103, ""de"", ""en"")"),"102")</f>
        <v>102</v>
      </c>
      <c r="B103" s="4" t="str">
        <f>IFERROR(__xludf.DUMMYFUNCTION("GOOGLETRANSLATE(H103, ""de"", ""en"")"),"What clothing is required?")</f>
        <v>What clothing is required?</v>
      </c>
      <c r="C103" s="4" t="s">
        <v>2892</v>
      </c>
      <c r="D103" s="4" t="str">
        <f>IFERROR(__xludf.DUMMYFUNCTION("GOOGLETRANSLATE(J103, ""de"", ""en"")"),"Sports shoes")</f>
        <v>Sports shoes</v>
      </c>
      <c r="E103" s="4" t="str">
        <f>IFERROR(__xludf.DUMMYFUNCTION("GOOGLETRANSLATE(K103, ""de"", ""en"")"),"For safety reasons, sports shoes are mandatory.")</f>
        <v>For safety reasons, sports shoes are mandatory.</v>
      </c>
      <c r="F103" s="2"/>
      <c r="G103" s="5">
        <v>102.0</v>
      </c>
      <c r="H103" s="4" t="s">
        <v>2893</v>
      </c>
      <c r="I103" s="4" t="s">
        <v>2894</v>
      </c>
      <c r="J103" s="4" t="s">
        <v>2895</v>
      </c>
      <c r="K103" s="4" t="s">
        <v>2896</v>
      </c>
      <c r="L103" s="2"/>
      <c r="R103" s="2"/>
      <c r="S103" s="2"/>
      <c r="T103" s="2"/>
      <c r="U103" s="2"/>
    </row>
    <row r="104" ht="22.5" customHeight="1">
      <c r="A104" s="4" t="str">
        <f>IFERROR(__xludf.DUMMYFUNCTION("GOOGLETRANSLATE(G104, ""de"", ""en"")"),"103")</f>
        <v>103</v>
      </c>
      <c r="B104" s="4" t="str">
        <f>IFERROR(__xludf.DUMMYFUNCTION("GOOGLETRANSLATE(H104, ""de"", ""en"")"),"What happens if there is a draw after all the throws?")</f>
        <v>What happens if there is a draw after all the throws?</v>
      </c>
      <c r="C104" s="4" t="s">
        <v>2897</v>
      </c>
      <c r="D104" s="4" t="str">
        <f>IFERROR(__xludf.DUMMYFUNCTION("GOOGLETRANSLATE(J104, ""de"", ""en"")"),"There is an extension")</f>
        <v>There is an extension</v>
      </c>
      <c r="E104" s="4" t="str">
        <f>IFERROR(__xludf.DUMMYFUNCTION("GOOGLETRANSLATE(K104, ""de"", ""en"")"),"In case of a draw, extra time will decide the match.")</f>
        <v>In case of a draw, extra time will decide the match.</v>
      </c>
      <c r="F104" s="2"/>
      <c r="G104" s="5">
        <v>103.0</v>
      </c>
      <c r="H104" s="4" t="s">
        <v>2898</v>
      </c>
      <c r="I104" s="4" t="s">
        <v>2899</v>
      </c>
      <c r="J104" s="4" t="s">
        <v>2900</v>
      </c>
      <c r="K104" s="4" t="s">
        <v>2901</v>
      </c>
      <c r="L104" s="2"/>
      <c r="R104" s="2"/>
      <c r="S104" s="2"/>
      <c r="T104" s="2"/>
      <c r="U104" s="2"/>
    </row>
    <row r="105" ht="22.5" customHeight="1">
      <c r="A105" s="4" t="str">
        <f>IFERROR(__xludf.DUMMYFUNCTION("GOOGLETRANSLATE(G105, ""de"", ""en"")"),"104")</f>
        <v>104</v>
      </c>
      <c r="B105" s="4" t="str">
        <f>IFERROR(__xludf.DUMMYFUNCTION("GOOGLETRANSLATE(H105, ""de"", ""en"")"),"How is an invalid throw defined?")</f>
        <v>How is an invalid throw defined?</v>
      </c>
      <c r="C105" s="4" t="s">
        <v>2902</v>
      </c>
      <c r="D105" s="4" t="str">
        <f>IFERROR(__xludf.DUMMYFUNCTION("GOOGLETRANSLATE(J105, ""de"", ""en"")"),"All of the options mentioned")</f>
        <v>All of the options mentioned</v>
      </c>
      <c r="E105" s="4" t="str">
        <f>IFERROR(__xludf.DUMMYFUNCTION("GOOGLETRANSLATE(K105, ""de"", ""en"")"),"A throw is invalid if any of the above-mentioned cases occur.")</f>
        <v>A throw is invalid if any of the above-mentioned cases occur.</v>
      </c>
      <c r="F105" s="2"/>
      <c r="G105" s="5">
        <v>104.0</v>
      </c>
      <c r="H105" s="4" t="s">
        <v>2903</v>
      </c>
      <c r="I105" s="4" t="s">
        <v>2904</v>
      </c>
      <c r="J105" s="4" t="s">
        <v>2859</v>
      </c>
      <c r="K105" s="4" t="s">
        <v>2905</v>
      </c>
      <c r="L105" s="2"/>
      <c r="R105" s="2"/>
      <c r="S105" s="2"/>
      <c r="T105" s="2"/>
      <c r="U105" s="2"/>
    </row>
    <row r="106" ht="22.5" customHeight="1">
      <c r="A106" s="4" t="str">
        <f>IFERROR(__xludf.DUMMYFUNCTION("GOOGLETRANSLATE(G106, ""de"", ""en"")"),"105")</f>
        <v>105</v>
      </c>
      <c r="B106" s="4" t="str">
        <f>IFERROR(__xludf.DUMMYFUNCTION("GOOGLETRANSLATE(H106, ""de"", ""en"")"),"How many kloots are allowed per team?")</f>
        <v>How many kloots are allowed per team?</v>
      </c>
      <c r="C106" s="4" t="s">
        <v>2906</v>
      </c>
      <c r="D106" s="4" t="str">
        <f>IFERROR(__xludf.DUMMYFUNCTION("GOOGLETRANSLATE(J106, ""de"", ""en"")"),"Three Kloots")</f>
        <v>Three Kloots</v>
      </c>
      <c r="E106" s="4" t="str">
        <f>IFERROR(__xludf.DUMMYFUNCTION("GOOGLETRANSLATE(K106, ""de"", ""en"")"),"A team may use a maximum of three kloots.")</f>
        <v>A team may use a maximum of three kloots.</v>
      </c>
      <c r="F106" s="2"/>
      <c r="G106" s="5">
        <v>105.0</v>
      </c>
      <c r="H106" s="4" t="s">
        <v>2907</v>
      </c>
      <c r="I106" s="4" t="s">
        <v>2908</v>
      </c>
      <c r="J106" s="4" t="s">
        <v>2909</v>
      </c>
      <c r="K106" s="4" t="s">
        <v>2910</v>
      </c>
      <c r="L106" s="2"/>
      <c r="R106" s="2"/>
      <c r="S106" s="2"/>
      <c r="T106" s="2"/>
      <c r="U106" s="2"/>
    </row>
    <row r="107" ht="22.5" customHeight="1">
      <c r="A107" s="4" t="str">
        <f>IFERROR(__xludf.DUMMYFUNCTION("GOOGLETRANSLATE(G107, ""de"", ""en"")"),"106")</f>
        <v>106</v>
      </c>
      <c r="B107" s="4" t="str">
        <f>IFERROR(__xludf.DUMMYFUNCTION("GOOGLETRANSLATE(H107, ""de"", ""en"")"),"What is the maximum height a Kloot can jump?")</f>
        <v>What is the maximum height a Kloot can jump?</v>
      </c>
      <c r="C107" s="4" t="s">
        <v>2911</v>
      </c>
      <c r="D107" s="4" t="str">
        <f>IFERROR(__xludf.DUMMYFUNCTION("GOOGLETRANSLATE(J107, ""de"", ""en"")"),"No limit")</f>
        <v>No limit</v>
      </c>
      <c r="E107" s="4" t="str">
        <f>IFERROR(__xludf.DUMMYFUNCTION("GOOGLETRANSLATE(K107, ""de"", ""en"")"),"There is no limit to how high a Kloot can jump.")</f>
        <v>There is no limit to how high a Kloot can jump.</v>
      </c>
      <c r="F107" s="2"/>
      <c r="G107" s="5">
        <v>106.0</v>
      </c>
      <c r="H107" s="4" t="s">
        <v>2912</v>
      </c>
      <c r="I107" s="4" t="s">
        <v>2913</v>
      </c>
      <c r="J107" s="4" t="s">
        <v>2546</v>
      </c>
      <c r="K107" s="4" t="s">
        <v>2914</v>
      </c>
      <c r="L107" s="2"/>
      <c r="R107" s="2"/>
      <c r="S107" s="2"/>
      <c r="T107" s="2"/>
      <c r="U107" s="2"/>
    </row>
    <row r="108" ht="22.5" customHeight="1">
      <c r="A108" s="4" t="str">
        <f>IFERROR(__xludf.DUMMYFUNCTION("GOOGLETRANSLATE(G108, ""de"", ""en"")"),"107")</f>
        <v>107</v>
      </c>
      <c r="B108" s="4" t="str">
        <f>IFERROR(__xludf.DUMMYFUNCTION("GOOGLETRANSLATE(H108, ""de"", ""en"")"),"What is the minimum distance between players?")</f>
        <v>What is the minimum distance between players?</v>
      </c>
      <c r="C108" s="4" t="s">
        <v>2915</v>
      </c>
      <c r="D108" s="4" t="str">
        <f>IFERROR(__xludf.DUMMYFUNCTION("GOOGLETRANSLATE(J108, ""de"", ""en"")"),"2 meters")</f>
        <v>2 meters</v>
      </c>
      <c r="E108" s="4" t="str">
        <f>IFERROR(__xludf.DUMMYFUNCTION("GOOGLETRANSLATE(K108, ""de"", ""en"")"),"A distance of at least 2 meters must be maintained between the players.")</f>
        <v>A distance of at least 2 meters must be maintained between the players.</v>
      </c>
      <c r="F108" s="2"/>
      <c r="G108" s="5">
        <v>107.0</v>
      </c>
      <c r="H108" s="4" t="s">
        <v>2916</v>
      </c>
      <c r="I108" s="4" t="s">
        <v>2917</v>
      </c>
      <c r="J108" s="4" t="s">
        <v>2514</v>
      </c>
      <c r="K108" s="4" t="s">
        <v>2918</v>
      </c>
      <c r="L108" s="2"/>
      <c r="R108" s="2"/>
      <c r="S108" s="2"/>
      <c r="T108" s="2"/>
      <c r="U108" s="2"/>
    </row>
    <row r="109" ht="22.5" customHeight="1">
      <c r="A109" s="4" t="str">
        <f>IFERROR(__xludf.DUMMYFUNCTION("GOOGLETRANSLATE(G109, ""de"", ""en"")"),"108")</f>
        <v>108</v>
      </c>
      <c r="B109" s="4" t="str">
        <f>IFERROR(__xludf.DUMMYFUNCTION("GOOGLETRANSLATE(H109, ""de"", ""en"")"),"Can a toilet be emptied with the aid of tools?")</f>
        <v>Can a toilet be emptied with the aid of tools?</v>
      </c>
      <c r="C109" s="4" t="s">
        <v>2919</v>
      </c>
      <c r="D109" s="4" t="str">
        <f>IFERROR(__xludf.DUMMYFUNCTION("GOOGLETRANSLATE(J109, ""de"", ""en"")"),"NO")</f>
        <v>NO</v>
      </c>
      <c r="E109" s="4" t="str">
        <f>IFERROR(__xludf.DUMMYFUNCTION("GOOGLETRANSLATE(K109, ""de"", ""en"")"),"A Kloot may only be thrown by hand; aids are not allowed.")</f>
        <v>A Kloot may only be thrown by hand; aids are not allowed.</v>
      </c>
      <c r="F109" s="2"/>
      <c r="G109" s="5">
        <v>108.0</v>
      </c>
      <c r="H109" s="4" t="s">
        <v>2920</v>
      </c>
      <c r="I109" s="4" t="s">
        <v>2921</v>
      </c>
      <c r="J109" s="4" t="s">
        <v>1836</v>
      </c>
      <c r="K109" s="4" t="s">
        <v>2922</v>
      </c>
      <c r="L109" s="2"/>
      <c r="R109" s="2"/>
      <c r="S109" s="2"/>
      <c r="T109" s="2"/>
      <c r="U109" s="2"/>
    </row>
    <row r="110" ht="22.5" customHeight="1">
      <c r="A110" s="4" t="str">
        <f>IFERROR(__xludf.DUMMYFUNCTION("GOOGLETRANSLATE(G110, ""de"", ""en"")"),"109")</f>
        <v>109</v>
      </c>
      <c r="B110" s="4" t="str">
        <f>IFERROR(__xludf.DUMMYFUNCTION("GOOGLETRANSLATE(H110, ""de"", ""en"")"),"How long can a game round last?")</f>
        <v>How long can a game round last?</v>
      </c>
      <c r="C110" s="4" t="s">
        <v>2923</v>
      </c>
      <c r="D110" s="4" t="str">
        <f>IFERROR(__xludf.DUMMYFUNCTION("GOOGLETRANSLATE(J110, ""de"", ""en"")"),"There is no limit.")</f>
        <v>There is no limit.</v>
      </c>
      <c r="E110" s="4" t="str">
        <f>IFERROR(__xludf.DUMMYFUNCTION("GOOGLETRANSLATE(K110, ""de"", ""en"")"),"The duration of a round is not limited and ends after the specified number of throws.")</f>
        <v>The duration of a round is not limited and ends after the specified number of throws.</v>
      </c>
      <c r="F110" s="2"/>
      <c r="G110" s="5">
        <v>109.0</v>
      </c>
      <c r="H110" s="4" t="s">
        <v>2924</v>
      </c>
      <c r="I110" s="4" t="s">
        <v>2925</v>
      </c>
      <c r="J110" s="4" t="s">
        <v>2926</v>
      </c>
      <c r="K110" s="4" t="s">
        <v>2927</v>
      </c>
      <c r="L110" s="2"/>
      <c r="R110" s="2"/>
      <c r="S110" s="2"/>
      <c r="T110" s="2"/>
      <c r="U110" s="2"/>
    </row>
    <row r="111" ht="22.5" customHeight="1">
      <c r="A111" s="4" t="str">
        <f>IFERROR(__xludf.DUMMYFUNCTION("GOOGLETRANSLATE(G111, ""de"", ""en"")"),"110")</f>
        <v>110</v>
      </c>
      <c r="B111" s="4" t="str">
        <f>IFERROR(__xludf.DUMMYFUNCTION("GOOGLETRANSLATE(H111, ""de"", ""en"")"),"What rule applies in strong winds?")</f>
        <v>What rule applies in strong winds?</v>
      </c>
      <c r="C111" s="4" t="s">
        <v>2928</v>
      </c>
      <c r="D111" s="4" t="str">
        <f>IFERROR(__xludf.DUMMYFUNCTION("GOOGLETRANSLATE(J111, ""de"", ""en"")"),"The referee decides")</f>
        <v>The referee decides</v>
      </c>
      <c r="E111" s="4" t="str">
        <f>IFERROR(__xludf.DUMMYFUNCTION("GOOGLETRANSLATE(K111, ""de"", ""en"")"),"The referee decides whether the game will continue in strong winds.")</f>
        <v>The referee decides whether the game will continue in strong winds.</v>
      </c>
      <c r="F111" s="2"/>
      <c r="G111" s="5">
        <v>110.0</v>
      </c>
      <c r="H111" s="4" t="s">
        <v>2929</v>
      </c>
      <c r="I111" s="4" t="s">
        <v>2930</v>
      </c>
      <c r="J111" s="4" t="s">
        <v>2931</v>
      </c>
      <c r="K111" s="4" t="s">
        <v>2932</v>
      </c>
      <c r="L111" s="2"/>
      <c r="R111" s="2"/>
      <c r="S111" s="2"/>
      <c r="T111" s="2"/>
      <c r="U111" s="2"/>
    </row>
    <row r="112" ht="22.5" customHeight="1">
      <c r="A112" s="4" t="str">
        <f>IFERROR(__xludf.DUMMYFUNCTION("GOOGLETRANSLATE(G112, ""de"", ""en"")"),"111")</f>
        <v>111</v>
      </c>
      <c r="B112" s="4" t="str">
        <f>IFERROR(__xludf.DUMMYFUNCTION("GOOGLETRANSLATE(H112, ""de"", ""en"")"),"How many points does a player receive for the longest throw?")</f>
        <v>How many points does a player receive for the longest throw?</v>
      </c>
      <c r="C112" s="4" t="s">
        <v>2933</v>
      </c>
      <c r="D112" s="4" t="str">
        <f>IFERROR(__xludf.DUMMYFUNCTION("GOOGLETRANSLATE(J112, ""de"", ""en"")"),"No points")</f>
        <v>No points</v>
      </c>
      <c r="E112" s="4" t="str">
        <f>IFERROR(__xludf.DUMMYFUNCTION("GOOGLETRANSLATE(K112, ""de"", ""en"")"),"Points are not awarded for individual throws, but for the overall result.")</f>
        <v>Points are not awarded for individual throws, but for the overall result.</v>
      </c>
      <c r="F112" s="2"/>
      <c r="G112" s="5">
        <v>111.0</v>
      </c>
      <c r="H112" s="4" t="s">
        <v>2934</v>
      </c>
      <c r="I112" s="4" t="s">
        <v>2935</v>
      </c>
      <c r="J112" s="4" t="s">
        <v>2936</v>
      </c>
      <c r="K112" s="4" t="s">
        <v>2937</v>
      </c>
      <c r="L112" s="2"/>
      <c r="R112" s="2"/>
      <c r="S112" s="2"/>
      <c r="T112" s="2"/>
      <c r="U112" s="2"/>
    </row>
    <row r="113" ht="22.5" customHeight="1">
      <c r="A113" s="4" t="str">
        <f>IFERROR(__xludf.DUMMYFUNCTION("GOOGLETRANSLATE(G113, ""de"", ""en"")"),"112")</f>
        <v>112</v>
      </c>
      <c r="B113" s="4" t="str">
        <f>IFERROR(__xludf.DUMMYFUNCTION("GOOGLETRANSLATE(H113, ""de"", ""en"")"),"Can a Kloot be repaired during the game?")</f>
        <v>Can a Kloot be repaired during the game?</v>
      </c>
      <c r="C113" s="4" t="s">
        <v>2938</v>
      </c>
      <c r="D113" s="4" t="str">
        <f>IFERROR(__xludf.DUMMYFUNCTION("GOOGLETRANSLATE(J113, ""de"", ""en"")"),"Yes, with the referee's approval.")</f>
        <v>Yes, with the referee's approval.</v>
      </c>
      <c r="E113" s="4" t="str">
        <f>IFERROR(__xludf.DUMMYFUNCTION("GOOGLETRANSLATE(K113, ""de"", ""en"")"),"A kloot may only be repaired during the game with the referee's approval.")</f>
        <v>A kloot may only be repaired during the game with the referee's approval.</v>
      </c>
      <c r="F113" s="2"/>
      <c r="G113" s="5">
        <v>112.0</v>
      </c>
      <c r="H113" s="4" t="s">
        <v>2939</v>
      </c>
      <c r="I113" s="4" t="s">
        <v>2940</v>
      </c>
      <c r="J113" s="4" t="s">
        <v>2445</v>
      </c>
      <c r="K113" s="4" t="s">
        <v>2941</v>
      </c>
      <c r="L113" s="2"/>
      <c r="R113" s="2"/>
      <c r="S113" s="2"/>
      <c r="T113" s="2"/>
      <c r="U113" s="2"/>
    </row>
    <row r="114" ht="22.5" customHeight="1">
      <c r="A114" s="4" t="str">
        <f>IFERROR(__xludf.DUMMYFUNCTION("GOOGLETRANSLATE(G114, ""de"", ""en"")"),"113")</f>
        <v>113</v>
      </c>
      <c r="B114" s="4" t="str">
        <f>IFERROR(__xludf.DUMMYFUNCTION("GOOGLETRANSLATE(H114, ""de"", ""en"")"),"What happens if a player intentionally damages the kloot?")</f>
        <v>What happens if a player intentionally damages the kloot?</v>
      </c>
      <c r="C114" s="4" t="s">
        <v>2811</v>
      </c>
      <c r="D114" s="4" t="str">
        <f>IFERROR(__xludf.DUMMYFUNCTION("GOOGLETRANSLATE(J114, ""de"", ""en"")"),"disqualification")</f>
        <v>disqualification</v>
      </c>
      <c r="E114" s="4" t="str">
        <f>IFERROR(__xludf.DUMMYFUNCTION("GOOGLETRANSLATE(K114, ""de"", ""en"")"),"Intentional damage will result in the player's disqualification.")</f>
        <v>Intentional damage will result in the player's disqualification.</v>
      </c>
      <c r="F114" s="2"/>
      <c r="G114" s="5">
        <v>113.0</v>
      </c>
      <c r="H114" s="4" t="s">
        <v>2942</v>
      </c>
      <c r="I114" s="4" t="s">
        <v>2813</v>
      </c>
      <c r="J114" s="4" t="s">
        <v>48</v>
      </c>
      <c r="K114" s="4" t="s">
        <v>2943</v>
      </c>
      <c r="L114" s="2"/>
      <c r="R114" s="2"/>
      <c r="S114" s="2"/>
      <c r="T114" s="2"/>
      <c r="U114" s="2"/>
    </row>
    <row r="115" ht="22.5" customHeight="1">
      <c r="A115" s="4" t="str">
        <f>IFERROR(__xludf.DUMMYFUNCTION("GOOGLETRANSLATE(G115, ""de"", ""en"")"),"114")</f>
        <v>114</v>
      </c>
      <c r="B115" s="4" t="str">
        <f>IFERROR(__xludf.DUMMYFUNCTION("GOOGLETRANSLATE(H115, ""de"", ""en"")"),"How is a throw scored if the toilet lands in the water?")</f>
        <v>How is a throw scored if the toilet lands in the water?</v>
      </c>
      <c r="C115" s="4" t="s">
        <v>2944</v>
      </c>
      <c r="D115" s="4" t="str">
        <f>IFERROR(__xludf.DUMMYFUNCTION("GOOGLETRANSLATE(J115, ""de"", ""en"")"),"The throw is invalid.")</f>
        <v>The throw is invalid.</v>
      </c>
      <c r="E115" s="4" t="str">
        <f>IFERROR(__xludf.DUMMYFUNCTION("GOOGLETRANSLATE(K115, ""de"", ""en"")"),"A toilet that ends up in the water is considered invalid.")</f>
        <v>A toilet that ends up in the water is considered invalid.</v>
      </c>
      <c r="F115" s="2"/>
      <c r="G115" s="5">
        <v>114.0</v>
      </c>
      <c r="H115" s="4" t="s">
        <v>2945</v>
      </c>
      <c r="I115" s="4" t="s">
        <v>2946</v>
      </c>
      <c r="J115" s="4" t="s">
        <v>2460</v>
      </c>
      <c r="K115" s="4" t="s">
        <v>2947</v>
      </c>
      <c r="L115" s="2"/>
      <c r="R115" s="2"/>
      <c r="S115" s="2"/>
      <c r="T115" s="2"/>
      <c r="U115" s="2"/>
    </row>
    <row r="116" ht="22.5" customHeight="1">
      <c r="A116" s="4" t="str">
        <f>IFERROR(__xludf.DUMMYFUNCTION("GOOGLETRANSLATE(G116, ""de"", ""en"")"),"115")</f>
        <v>115</v>
      </c>
      <c r="B116" s="4" t="str">
        <f>IFERROR(__xludf.DUMMYFUNCTION("GOOGLETRANSLATE(H116, ""de"", ""en"")"),"What safety rules apply during the game?")</f>
        <v>What safety rules apply during the game?</v>
      </c>
      <c r="C116" s="4" t="s">
        <v>2948</v>
      </c>
      <c r="D116" s="4" t="str">
        <f>IFERROR(__xludf.DUMMYFUNCTION("GOOGLETRANSLATE(J116, ""de"", ""en"")"),"Keep your distance")</f>
        <v>Keep your distance</v>
      </c>
      <c r="E116" s="4" t="str">
        <f>IFERROR(__xludf.DUMMYFUNCTION("GOOGLETRANSLATE(K116, ""de"", ""en"")"),"To avoid injuries, players must keep their distance from each other at all times.")</f>
        <v>To avoid injuries, players must keep their distance from each other at all times.</v>
      </c>
      <c r="F116" s="2"/>
      <c r="G116" s="5">
        <v>115.0</v>
      </c>
      <c r="H116" s="4" t="s">
        <v>2949</v>
      </c>
      <c r="I116" s="4" t="s">
        <v>2950</v>
      </c>
      <c r="J116" s="4" t="s">
        <v>2951</v>
      </c>
      <c r="K116" s="4" t="s">
        <v>2952</v>
      </c>
      <c r="L116" s="2"/>
      <c r="R116" s="2"/>
      <c r="S116" s="2"/>
      <c r="T116" s="2"/>
      <c r="U116" s="2"/>
    </row>
    <row r="117" ht="22.5" customHeight="1">
      <c r="A117" s="4" t="str">
        <f>IFERROR(__xludf.DUMMYFUNCTION("GOOGLETRANSLATE(G117, ""de"", ""en"")"),"116")</f>
        <v>116</v>
      </c>
      <c r="B117" s="4" t="str">
        <f>IFERROR(__xludf.DUMMYFUNCTION("GOOGLETRANSLATE(H117, ""de"", ""en"")"),"What happens if a team arrives late for the game?")</f>
        <v>What happens if a team arrives late for the game?</v>
      </c>
      <c r="C117" s="4" t="s">
        <v>2953</v>
      </c>
      <c r="D117" s="4" t="str">
        <f>IFERROR(__xludf.DUMMYFUNCTION("GOOGLETRANSLATE(J117, ""de"", ""en"")"),"It is at the referee's discretion.")</f>
        <v>It is at the referee's discretion.</v>
      </c>
      <c r="E117" s="4" t="str">
        <f>IFERROR(__xludf.DUMMYFUNCTION("GOOGLETRANSLATE(K117, ""de"", ""en"")"),"The decision regarding a team's late arrival rests with the referee.")</f>
        <v>The decision regarding a team's late arrival rests with the referee.</v>
      </c>
      <c r="F117" s="2"/>
      <c r="G117" s="5">
        <v>116.0</v>
      </c>
      <c r="H117" s="4" t="s">
        <v>2954</v>
      </c>
      <c r="I117" s="4" t="s">
        <v>2955</v>
      </c>
      <c r="J117" s="4" t="s">
        <v>2956</v>
      </c>
      <c r="K117" s="4" t="s">
        <v>2957</v>
      </c>
      <c r="L117" s="2"/>
      <c r="R117" s="2"/>
      <c r="S117" s="2"/>
      <c r="T117" s="2"/>
      <c r="U117" s="2"/>
    </row>
    <row r="118" ht="22.5" customHeight="1">
      <c r="A118" s="4" t="str">
        <f>IFERROR(__xludf.DUMMYFUNCTION("GOOGLETRANSLATE(G118, ""de"", ""en"")"),"117")</f>
        <v>117</v>
      </c>
      <c r="B118" s="4" t="str">
        <f>IFERROR(__xludf.DUMMYFUNCTION("GOOGLETRANSLATE(H118, ""de"", ""en"")"),"Which area is officially suitable for Klot shooting?")</f>
        <v>Which area is officially suitable for Klot shooting?</v>
      </c>
      <c r="C118" s="4" t="s">
        <v>2958</v>
      </c>
      <c r="D118" s="4" t="str">
        <f>IFERROR(__xludf.DUMMYFUNCTION("GOOGLETRANSLATE(J118, ""de"", ""en"")"),"race")</f>
        <v>race</v>
      </c>
      <c r="E118" s="4" t="str">
        <f>IFERROR(__xludf.DUMMYFUNCTION("GOOGLETRANSLATE(K118, ""de"", ""en"")"),"Kloot Shooting is officially played on grass.")</f>
        <v>Kloot Shooting is officially played on grass.</v>
      </c>
      <c r="F118" s="2"/>
      <c r="G118" s="5">
        <v>117.0</v>
      </c>
      <c r="H118" s="4" t="s">
        <v>2959</v>
      </c>
      <c r="I118" s="4" t="s">
        <v>2960</v>
      </c>
      <c r="J118" s="4" t="s">
        <v>2961</v>
      </c>
      <c r="K118" s="4" t="s">
        <v>2962</v>
      </c>
      <c r="L118" s="2"/>
      <c r="R118" s="2"/>
      <c r="S118" s="2"/>
      <c r="T118" s="2"/>
      <c r="U118" s="2"/>
    </row>
    <row r="119" ht="22.5" customHeight="1">
      <c r="A119" s="4" t="str">
        <f>IFERROR(__xludf.DUMMYFUNCTION("GOOGLETRANSLATE(G119, ""de"", ""en"")"),"118")</f>
        <v>118</v>
      </c>
      <c r="B119" s="4" t="str">
        <f>IFERROR(__xludf.DUMMYFUNCTION("GOOGLETRANSLATE(H119, ""de"", ""en"")"),"What happens if the Kloot breaks?")</f>
        <v>What happens if the Kloot breaks?</v>
      </c>
      <c r="C119" s="4" t="s">
        <v>2963</v>
      </c>
      <c r="D119" s="4" t="str">
        <f>IFERROR(__xludf.DUMMYFUNCTION("GOOGLETRANSLATE(J119, ""de"", ""en"")"),"The throw is repeated.")</f>
        <v>The throw is repeated.</v>
      </c>
      <c r="E119" s="4" t="str">
        <f>IFERROR(__xludf.DUMMYFUNCTION("GOOGLETRANSLATE(K119, ""de"", ""en"")"),"A broken Kloot allows the player to roll again.")</f>
        <v>A broken Kloot allows the player to roll again.</v>
      </c>
      <c r="F119" s="2"/>
      <c r="G119" s="5">
        <v>118.0</v>
      </c>
      <c r="H119" s="4" t="s">
        <v>2964</v>
      </c>
      <c r="I119" s="4" t="s">
        <v>2965</v>
      </c>
      <c r="J119" s="4" t="s">
        <v>1338</v>
      </c>
      <c r="K119" s="4" t="s">
        <v>2966</v>
      </c>
      <c r="L119" s="2"/>
      <c r="R119" s="2"/>
      <c r="S119" s="2"/>
      <c r="T119" s="2"/>
      <c r="U119" s="2"/>
    </row>
    <row r="120" ht="22.5" customHeight="1">
      <c r="A120" s="4" t="str">
        <f>IFERROR(__xludf.DUMMYFUNCTION("GOOGLETRANSLATE(G120, ""de"", ""en"")"),"119")</f>
        <v>119</v>
      </c>
      <c r="B120" s="4" t="str">
        <f>IFERROR(__xludf.DUMMYFUNCTION("GOOGLETRANSLATE(H120, ""de"", ""en"")"),"How many throws does a player have per round?")</f>
        <v>How many throws does a player have per round?</v>
      </c>
      <c r="C120" s="4" t="s">
        <v>2967</v>
      </c>
      <c r="D120" s="4" t="str">
        <f>IFERROR(__xludf.DUMMYFUNCTION("GOOGLETRANSLATE(J120, ""de"", ""en"")"),"A throw")</f>
        <v>A throw</v>
      </c>
      <c r="E120" s="4" t="str">
        <f>IFERROR(__xludf.DUMMYFUNCTION("GOOGLETRANSLATE(K120, ""de"", ""en"")"),"Each player has only one throw per round.")</f>
        <v>Each player has only one throw per round.</v>
      </c>
      <c r="F120" s="2"/>
      <c r="G120" s="5">
        <v>119.0</v>
      </c>
      <c r="H120" s="4" t="s">
        <v>2968</v>
      </c>
      <c r="I120" s="4" t="s">
        <v>2969</v>
      </c>
      <c r="J120" s="4" t="s">
        <v>1796</v>
      </c>
      <c r="K120" s="4" t="s">
        <v>2970</v>
      </c>
      <c r="L120" s="2"/>
      <c r="R120" s="2"/>
      <c r="S120" s="2"/>
      <c r="T120" s="2"/>
      <c r="U120" s="2"/>
    </row>
    <row r="121" ht="22.5" customHeight="1">
      <c r="A121" s="4" t="str">
        <f>IFERROR(__xludf.DUMMYFUNCTION("GOOGLETRANSLATE(G121, ""de"", ""en"")"),"120")</f>
        <v>120</v>
      </c>
      <c r="B121" s="4" t="str">
        <f>IFERROR(__xludf.DUMMYFUNCTION("GOOGLETRANSLATE(H121, ""de"", ""en"")"),"What shape should a toilet have?")</f>
        <v>What shape should a toilet have?</v>
      </c>
      <c r="C121" s="4" t="s">
        <v>2971</v>
      </c>
      <c r="D121" s="4" t="str">
        <f>IFERROR(__xludf.DUMMYFUNCTION("GOOGLETRANSLATE(J121, ""de"", ""en"")"),"To")</f>
        <v>To</v>
      </c>
      <c r="E121" s="4" t="str">
        <f>IFERROR(__xludf.DUMMYFUNCTION("GOOGLETRANSLATE(K121, ""de"", ""en"")"),"A Kloot must have the official round shape.")</f>
        <v>A Kloot must have the official round shape.</v>
      </c>
      <c r="F121" s="2"/>
      <c r="G121" s="5">
        <v>120.0</v>
      </c>
      <c r="H121" s="4" t="s">
        <v>2972</v>
      </c>
      <c r="I121" s="4" t="s">
        <v>2973</v>
      </c>
      <c r="J121" s="4" t="s">
        <v>2974</v>
      </c>
      <c r="K121" s="4" t="s">
        <v>2975</v>
      </c>
      <c r="L121" s="2"/>
      <c r="R121" s="2"/>
      <c r="S121" s="2"/>
      <c r="T121" s="2"/>
      <c r="U121" s="2"/>
    </row>
    <row r="122" ht="22.5" customHeight="1">
      <c r="A122" s="4" t="str">
        <f>IFERROR(__xludf.DUMMYFUNCTION("GOOGLETRANSLATE(G122, ""de"", ""en"")"),"121")</f>
        <v>121</v>
      </c>
      <c r="B122" s="4" t="str">
        <f>IFERROR(__xludf.DUMMYFUNCTION("GOOGLETRANSLATE(H122, ""de"", ""en"")"),"What rule applies to the throwing technique?")</f>
        <v>What rule applies to the throwing technique?</v>
      </c>
      <c r="C122" s="4" t="s">
        <v>2976</v>
      </c>
      <c r="D122" s="4" t="str">
        <f>IFERROR(__xludf.DUMMYFUNCTION("GOOGLETRANSLATE(J122, ""de"", ""en"")"),"Each throw is allowed.")</f>
        <v>Each throw is allowed.</v>
      </c>
      <c r="E122" s="4" t="str">
        <f>IFERROR(__xludf.DUMMYFUNCTION("GOOGLETRANSLATE(K122, ""de"", ""en"")"),"Players are allowed to use any technique as long as it complies with the rules.")</f>
        <v>Players are allowed to use any technique as long as it complies with the rules.</v>
      </c>
      <c r="F122" s="2"/>
      <c r="G122" s="5">
        <v>121.0</v>
      </c>
      <c r="H122" s="4" t="s">
        <v>2977</v>
      </c>
      <c r="I122" s="4" t="s">
        <v>2978</v>
      </c>
      <c r="J122" s="4" t="s">
        <v>2979</v>
      </c>
      <c r="K122" s="4" t="s">
        <v>2980</v>
      </c>
      <c r="L122" s="2"/>
      <c r="R122" s="2"/>
      <c r="S122" s="2"/>
      <c r="T122" s="2"/>
      <c r="U122" s="2"/>
    </row>
    <row r="123" ht="22.5" customHeight="1">
      <c r="A123" s="4" t="str">
        <f>IFERROR(__xludf.DUMMYFUNCTION("GOOGLETRANSLATE(G123, ""de"", ""en"")"),"122")</f>
        <v>122</v>
      </c>
      <c r="B123" s="4" t="str">
        <f>IFERROR(__xludf.DUMMYFUNCTION("GOOGLETRANSLATE(H123, ""de"", ""en"")"),"How many players are allowed on the field at the same time?")</f>
        <v>How many players are allowed on the field at the same time?</v>
      </c>
      <c r="C123" s="4" t="s">
        <v>2981</v>
      </c>
      <c r="D123" s="4" t="str">
        <f>IFERROR(__xludf.DUMMYFUNCTION("GOOGLETRANSLATE(J123, ""de"", ""en"")"),"A player")</f>
        <v>A player</v>
      </c>
      <c r="E123" s="4" t="str">
        <f>IFERROR(__xludf.DUMMYFUNCTION("GOOGLETRANSLATE(K123, ""de"", ""en"")"),"Only one player may be on the playing field per throw.")</f>
        <v>Only one player may be on the playing field per throw.</v>
      </c>
      <c r="F123" s="2"/>
      <c r="G123" s="5">
        <v>122.0</v>
      </c>
      <c r="H123" s="4" t="s">
        <v>2982</v>
      </c>
      <c r="I123" s="4" t="s">
        <v>2983</v>
      </c>
      <c r="J123" s="4" t="s">
        <v>2984</v>
      </c>
      <c r="K123" s="4" t="s">
        <v>2985</v>
      </c>
      <c r="L123" s="2"/>
      <c r="R123" s="2"/>
      <c r="S123" s="2"/>
      <c r="T123" s="2"/>
      <c r="U123" s="2"/>
    </row>
    <row r="124" ht="22.5" customHeight="1">
      <c r="A124" s="4" t="str">
        <f>IFERROR(__xludf.DUMMYFUNCTION("GOOGLETRANSLATE(G124, ""de"", ""en"")"),"123")</f>
        <v>123</v>
      </c>
      <c r="B124" s="4" t="str">
        <f>IFERROR(__xludf.DUMMYFUNCTION("GOOGLETRANSLATE(H124, ""de"", ""en"")"),"What happens if a player throws the ball outside the playing field?")</f>
        <v>What happens if a player throws the ball outside the playing field?</v>
      </c>
      <c r="C124" s="4" t="s">
        <v>2986</v>
      </c>
      <c r="D124" s="4" t="str">
        <f>IFERROR(__xludf.DUMMYFUNCTION("GOOGLETRANSLATE(J124, ""de"", ""en"")"),"The throw is invalid.")</f>
        <v>The throw is invalid.</v>
      </c>
      <c r="E124" s="4" t="str">
        <f>IFERROR(__xludf.DUMMYFUNCTION("GOOGLETRANSLATE(K124, ""de"", ""en"")"),"A throw outside the playing field is considered invalid.")</f>
        <v>A throw outside the playing field is considered invalid.</v>
      </c>
      <c r="F124" s="2"/>
      <c r="G124" s="5">
        <v>123.0</v>
      </c>
      <c r="H124" s="4" t="s">
        <v>2987</v>
      </c>
      <c r="I124" s="4" t="s">
        <v>2988</v>
      </c>
      <c r="J124" s="4" t="s">
        <v>2460</v>
      </c>
      <c r="K124" s="4" t="s">
        <v>2989</v>
      </c>
      <c r="L124" s="2"/>
      <c r="R124" s="2"/>
      <c r="S124" s="2"/>
      <c r="T124" s="2"/>
      <c r="U124" s="2"/>
    </row>
    <row r="125" ht="22.5" customHeight="1">
      <c r="A125" s="4" t="str">
        <f>IFERROR(__xludf.DUMMYFUNCTION("GOOGLETRANSLATE(G125, ""de"", ""en"")"),"124")</f>
        <v>124</v>
      </c>
      <c r="B125" s="4" t="str">
        <f>IFERROR(__xludf.DUMMYFUNCTION("GOOGLETRANSLATE(H125, ""de"", ""en"")"),"What color must an official Kloot be?")</f>
        <v>What color must an official Kloot be?</v>
      </c>
      <c r="C125" s="4" t="s">
        <v>2990</v>
      </c>
      <c r="D125" s="4" t="str">
        <f>IFERROR(__xludf.DUMMYFUNCTION("GOOGLETRANSLATE(J125, ""de"", ""en"")"),"No regulation")</f>
        <v>No regulation</v>
      </c>
      <c r="E125" s="4" t="str">
        <f>IFERROR(__xludf.DUMMYFUNCTION("GOOGLETRANSLATE(K125, ""de"", ""en"")"),"The color of a Kloot is not mandatory.")</f>
        <v>The color of a Kloot is not mandatory.</v>
      </c>
      <c r="F125" s="2"/>
      <c r="G125" s="5">
        <v>124.0</v>
      </c>
      <c r="H125" s="4" t="s">
        <v>2991</v>
      </c>
      <c r="I125" s="4" t="s">
        <v>2992</v>
      </c>
      <c r="J125" s="4" t="s">
        <v>2993</v>
      </c>
      <c r="K125" s="4" t="s">
        <v>2994</v>
      </c>
      <c r="L125" s="2"/>
      <c r="R125" s="2"/>
      <c r="S125" s="2"/>
      <c r="T125" s="2"/>
      <c r="U125" s="2"/>
    </row>
    <row r="126" ht="22.5" customHeight="1">
      <c r="A126" s="4" t="str">
        <f>IFERROR(__xludf.DUMMYFUNCTION("GOOGLETRANSLATE(G126, ""de"", ""en"")"),"125")</f>
        <v>125</v>
      </c>
      <c r="B126" s="4" t="str">
        <f>IFERROR(__xludf.DUMMYFUNCTION("GOOGLETRANSLATE(H126, ""de"", ""en"")"),"How is a winner determined?")</f>
        <v>How is a winner determined?</v>
      </c>
      <c r="C126" s="4" t="s">
        <v>2995</v>
      </c>
      <c r="D126" s="4" t="str">
        <f>IFERROR(__xludf.DUMMYFUNCTION("GOOGLETRANSLATE(J126, ""de"", ""en"")"),"Greatest throwing range")</f>
        <v>Greatest throwing range</v>
      </c>
      <c r="E126" s="4" t="str">
        <f>IFERROR(__xludf.DUMMYFUNCTION("GOOGLETRANSLATE(K126, ""de"", ""en"")"),"The winner will be determined based on the longest throw.")</f>
        <v>The winner will be determined based on the longest throw.</v>
      </c>
      <c r="F126" s="2"/>
      <c r="G126" s="5">
        <v>125.0</v>
      </c>
      <c r="H126" s="4" t="s">
        <v>2996</v>
      </c>
      <c r="I126" s="4" t="s">
        <v>2997</v>
      </c>
      <c r="J126" s="4" t="s">
        <v>2998</v>
      </c>
      <c r="K126" s="4" t="s">
        <v>2999</v>
      </c>
      <c r="L126" s="2"/>
      <c r="R126" s="2"/>
      <c r="S126" s="2"/>
      <c r="T126" s="2"/>
      <c r="U126" s="2"/>
    </row>
    <row r="127" ht="22.5" customHeight="1">
      <c r="A127" s="4" t="str">
        <f>IFERROR(__xludf.DUMMYFUNCTION("GOOGLETRANSLATE(G127, ""de"", ""en"")"),"126")</f>
        <v>126</v>
      </c>
      <c r="B127" s="4" t="str">
        <f>IFERROR(__xludf.DUMMYFUNCTION("GOOGLETRANSLATE(H127, ""de"", ""en"")"),"Can a spare toilet be used?")</f>
        <v>Can a spare toilet be used?</v>
      </c>
      <c r="C127" s="4" t="s">
        <v>3000</v>
      </c>
      <c r="D127" s="4" t="str">
        <f>IFERROR(__xludf.DUMMYFUNCTION("GOOGLETRANSLATE(J127, ""de"", ""en"")"),"Yes, with the referee's approval.")</f>
        <v>Yes, with the referee's approval.</v>
      </c>
      <c r="E127" s="4" t="str">
        <f>IFERROR(__xludf.DUMMYFUNCTION("GOOGLETRANSLATE(K127, ""de"", ""en"")"),"A spare toilet may only be used with the referee's permission.")</f>
        <v>A spare toilet may only be used with the referee's permission.</v>
      </c>
      <c r="F127" s="2"/>
      <c r="G127" s="5">
        <v>126.0</v>
      </c>
      <c r="H127" s="4" t="s">
        <v>3001</v>
      </c>
      <c r="I127" s="4" t="s">
        <v>3002</v>
      </c>
      <c r="J127" s="4" t="s">
        <v>2445</v>
      </c>
      <c r="K127" s="4" t="s">
        <v>3003</v>
      </c>
      <c r="L127" s="2"/>
      <c r="R127" s="2"/>
      <c r="S127" s="2"/>
      <c r="T127" s="2"/>
      <c r="U127" s="2"/>
    </row>
    <row r="128" ht="22.5" customHeight="1">
      <c r="A128" s="4" t="str">
        <f>IFERROR(__xludf.DUMMYFUNCTION("GOOGLETRANSLATE(G128, ""de"", ""en"")"),"127")</f>
        <v>127</v>
      </c>
      <c r="B128" s="4" t="str">
        <f>IFERROR(__xludf.DUMMYFUNCTION("GOOGLETRANSLATE(H128, ""de"", ""en"")"),"What happens if an opponent deliberately obstructs me?")</f>
        <v>What happens if an opponent deliberately obstructs me?</v>
      </c>
      <c r="C128" s="4" t="s">
        <v>3004</v>
      </c>
      <c r="D128" s="4" t="str">
        <f>IFERROR(__xludf.DUMMYFUNCTION("GOOGLETRANSLATE(J128, ""de"", ""en"")"),"Repeat the throw")</f>
        <v>Repeat the throw</v>
      </c>
      <c r="E128" s="4" t="str">
        <f>IFERROR(__xludf.DUMMYFUNCTION("GOOGLETRANSLATE(K128, ""de"", ""en"")"),"The throw may be repeated if it is intentionally obstructed.")</f>
        <v>The throw may be repeated if it is intentionally obstructed.</v>
      </c>
      <c r="F128" s="2"/>
      <c r="G128" s="5">
        <v>127.0</v>
      </c>
      <c r="H128" s="4" t="s">
        <v>3005</v>
      </c>
      <c r="I128" s="4" t="s">
        <v>3006</v>
      </c>
      <c r="J128" s="4" t="s">
        <v>2282</v>
      </c>
      <c r="K128" s="4" t="s">
        <v>3007</v>
      </c>
      <c r="L128" s="2"/>
      <c r="R128" s="2"/>
      <c r="S128" s="2"/>
      <c r="T128" s="2"/>
      <c r="U128" s="2"/>
    </row>
    <row r="129" ht="22.5" customHeight="1">
      <c r="A129" s="4" t="str">
        <f>IFERROR(__xludf.DUMMYFUNCTION("GOOGLETRANSLATE(G129, ""de"", ""en"")"),"128")</f>
        <v>128</v>
      </c>
      <c r="B129" s="4" t="str">
        <f>IFERROR(__xludf.DUMMYFUNCTION("GOOGLETRANSLATE(H129, ""de"", ""en"")"),"How is the drop-off point marked?")</f>
        <v>How is the drop-off point marked?</v>
      </c>
      <c r="C129" s="4" t="s">
        <v>3008</v>
      </c>
      <c r="D129" s="4" t="str">
        <f>IFERROR(__xludf.DUMMYFUNCTION("GOOGLETRANSLATE(J129, ""de"", ""en"")"),"With a line")</f>
        <v>With a line</v>
      </c>
      <c r="E129" s="4" t="str">
        <f>IFERROR(__xludf.DUMMYFUNCTION("GOOGLETRANSLATE(K129, ""de"", ""en"")"),"The drop-off point is marked with a line.")</f>
        <v>The drop-off point is marked with a line.</v>
      </c>
      <c r="F129" s="2"/>
      <c r="G129" s="5">
        <v>128.0</v>
      </c>
      <c r="H129" s="4" t="s">
        <v>3009</v>
      </c>
      <c r="I129" s="4" t="s">
        <v>3010</v>
      </c>
      <c r="J129" s="4" t="s">
        <v>3011</v>
      </c>
      <c r="K129" s="4" t="s">
        <v>3012</v>
      </c>
      <c r="L129" s="2"/>
      <c r="R129" s="2"/>
      <c r="S129" s="2"/>
      <c r="T129" s="2"/>
      <c r="U129" s="2"/>
    </row>
    <row r="130" ht="22.5" customHeight="1">
      <c r="A130" s="4" t="str">
        <f>IFERROR(__xludf.DUMMYFUNCTION("GOOGLETRANSLATE(G130, ""de"", ""en"")"),"129")</f>
        <v>129</v>
      </c>
      <c r="B130" s="4" t="str">
        <f>IFERROR(__xludf.DUMMYFUNCTION("GOOGLETRANSLATE(H130, ""de"", ""en"")"),"What is the penalty for unsportsmanlike conduct?")</f>
        <v>What is the penalty for unsportsmanlike conduct?</v>
      </c>
      <c r="C130" s="4" t="s">
        <v>3013</v>
      </c>
      <c r="D130" s="4" t="str">
        <f>IFERROR(__xludf.DUMMYFUNCTION("GOOGLETRANSLATE(J130, ""de"", ""en"")"),"disqualification")</f>
        <v>disqualification</v>
      </c>
      <c r="E130" s="4" t="str">
        <f>IFERROR(__xludf.DUMMYFUNCTION("GOOGLETRANSLATE(K130, ""de"", ""en"")"),"Unsportsmanlike conduct will lead to disqualification.")</f>
        <v>Unsportsmanlike conduct will lead to disqualification.</v>
      </c>
      <c r="F130" s="2"/>
      <c r="G130" s="5">
        <v>129.0</v>
      </c>
      <c r="H130" s="4" t="s">
        <v>2587</v>
      </c>
      <c r="I130" s="4" t="s">
        <v>3014</v>
      </c>
      <c r="J130" s="4" t="s">
        <v>48</v>
      </c>
      <c r="K130" s="4" t="s">
        <v>3015</v>
      </c>
      <c r="L130" s="2"/>
      <c r="R130" s="2"/>
      <c r="S130" s="2"/>
      <c r="T130" s="2"/>
      <c r="U130" s="2"/>
    </row>
    <row r="131" ht="22.5" customHeight="1">
      <c r="A131" s="4" t="str">
        <f>IFERROR(__xludf.DUMMYFUNCTION("GOOGLETRANSLATE(G131, ""de"", ""en"")"),"130")</f>
        <v>130</v>
      </c>
      <c r="B131" s="4" t="str">
        <f>IFERROR(__xludf.DUMMYFUNCTION("GOOGLETRANSLATE(H131, ""de"", ""en"")"),"What happens if a kloot is damaged during the throw?")</f>
        <v>What happens if a kloot is damaged during the throw?</v>
      </c>
      <c r="C131" s="4" t="s">
        <v>3016</v>
      </c>
      <c r="D131" s="4" t="str">
        <f>IFERROR(__xludf.DUMMYFUNCTION("GOOGLETRANSLATE(J131, ""de"", ""en"")"),"The throw is repeated.")</f>
        <v>The throw is repeated.</v>
      </c>
      <c r="E131" s="4" t="str">
        <f>IFERROR(__xludf.DUMMYFUNCTION("GOOGLETRANSLATE(K131, ""de"", ""en"")"),"A damaged kloot allows for a rethrow.")</f>
        <v>A damaged kloot allows for a rethrow.</v>
      </c>
      <c r="F131" s="2"/>
      <c r="G131" s="5">
        <v>130.0</v>
      </c>
      <c r="H131" s="4" t="s">
        <v>3017</v>
      </c>
      <c r="I131" s="4" t="s">
        <v>3018</v>
      </c>
      <c r="J131" s="4" t="s">
        <v>1338</v>
      </c>
      <c r="K131" s="4" t="s">
        <v>3019</v>
      </c>
      <c r="L131" s="2"/>
      <c r="R131" s="2"/>
      <c r="S131" s="2"/>
      <c r="T131" s="2"/>
      <c r="U131" s="2"/>
    </row>
    <row r="132" ht="22.5" customHeight="1">
      <c r="A132" s="4" t="str">
        <f>IFERROR(__xludf.DUMMYFUNCTION("GOOGLETRANSLATE(G132, ""de"", ""en"")"),"131")</f>
        <v>131</v>
      </c>
      <c r="B132" s="4" t="str">
        <f>IFERROR(__xludf.DUMMYFUNCTION("GOOGLETRANSLATE(H132, ""de"", ""en"")"),"What is the maximum length of the playing area?")</f>
        <v>What is the maximum length of the playing area?</v>
      </c>
      <c r="C132" s="4" t="s">
        <v>3020</v>
      </c>
      <c r="D132" s="4" t="str">
        <f>IFERROR(__xludf.DUMMYFUNCTION("GOOGLETRANSLATE(J132, ""de"", ""en"")"),"100 meters")</f>
        <v>100 meters</v>
      </c>
      <c r="E132" s="4" t="str">
        <f>IFERROR(__xludf.DUMMYFUNCTION("GOOGLETRANSLATE(K132, ""de"", ""en"")"),"The playing area may be a maximum of 100 meters long.")</f>
        <v>The playing area may be a maximum of 100 meters long.</v>
      </c>
      <c r="F132" s="2"/>
      <c r="G132" s="5">
        <v>131.0</v>
      </c>
      <c r="H132" s="4" t="s">
        <v>3021</v>
      </c>
      <c r="I132" s="4" t="s">
        <v>3022</v>
      </c>
      <c r="J132" s="4" t="s">
        <v>3023</v>
      </c>
      <c r="K132" s="4" t="s">
        <v>3024</v>
      </c>
      <c r="L132" s="2"/>
      <c r="R132" s="2"/>
      <c r="S132" s="2"/>
      <c r="T132" s="2"/>
      <c r="U132" s="2"/>
    </row>
    <row r="133" ht="22.5" customHeight="1">
      <c r="A133" s="4" t="str">
        <f>IFERROR(__xludf.DUMMYFUNCTION("GOOGLETRANSLATE(G133, ""de"", ""en"")"),"132")</f>
        <v>132</v>
      </c>
      <c r="B133" s="4" t="str">
        <f>IFERROR(__xludf.DUMMYFUNCTION("GOOGLETRANSLATE(H133, ""de"", ""en"")"),"How is the playing field adapted when it rains?")</f>
        <v>How is the playing field adapted when it rains?</v>
      </c>
      <c r="C133" s="4" t="s">
        <v>3025</v>
      </c>
      <c r="D133" s="4" t="str">
        <f>IFERROR(__xludf.DUMMYFUNCTION("GOOGLETRANSLATE(J133, ""de"", ""en"")"),"The referee decides")</f>
        <v>The referee decides</v>
      </c>
      <c r="E133" s="4" t="str">
        <f>IFERROR(__xludf.DUMMYFUNCTION("GOOGLETRANSLATE(K133, ""de"", ""en"")"),"The referee decides on any adjustments in case of rain.")</f>
        <v>The referee decides on any adjustments in case of rain.</v>
      </c>
      <c r="F133" s="2"/>
      <c r="G133" s="5">
        <v>132.0</v>
      </c>
      <c r="H133" s="4" t="s">
        <v>3026</v>
      </c>
      <c r="I133" s="4" t="s">
        <v>3027</v>
      </c>
      <c r="J133" s="4" t="s">
        <v>2931</v>
      </c>
      <c r="K133" s="4" t="s">
        <v>3028</v>
      </c>
      <c r="L133" s="2"/>
      <c r="R133" s="2"/>
      <c r="S133" s="2"/>
      <c r="T133" s="2"/>
      <c r="U133" s="2"/>
    </row>
    <row r="134" ht="22.5" customHeight="1">
      <c r="A134" s="4" t="str">
        <f>IFERROR(__xludf.DUMMYFUNCTION("GOOGLETRANSLATE(G134, ""de"", ""en"")"),"133")</f>
        <v>133</v>
      </c>
      <c r="B134" s="4" t="str">
        <f>IFERROR(__xludf.DUMMYFUNCTION("GOOGLETRANSLATE(H134, ""de"", ""en"")"),"What happens if a player throws the kloot too late?")</f>
        <v>What happens if a player throws the kloot too late?</v>
      </c>
      <c r="C134" s="4" t="s">
        <v>3029</v>
      </c>
      <c r="D134" s="4" t="str">
        <f>IFERROR(__xludf.DUMMYFUNCTION("GOOGLETRANSLATE(J134, ""de"", ""en"")"),"The throw is invalid.")</f>
        <v>The throw is invalid.</v>
      </c>
      <c r="E134" s="4" t="str">
        <f>IFERROR(__xludf.DUMMYFUNCTION("GOOGLETRANSLATE(K134, ""de"", ""en"")"),"A throw made too late is considered invalid.")</f>
        <v>A throw made too late is considered invalid.</v>
      </c>
      <c r="F134" s="2"/>
      <c r="G134" s="5">
        <v>133.0</v>
      </c>
      <c r="H134" s="4" t="s">
        <v>3030</v>
      </c>
      <c r="I134" s="4" t="s">
        <v>3031</v>
      </c>
      <c r="J134" s="4" t="s">
        <v>2460</v>
      </c>
      <c r="K134" s="4" t="s">
        <v>3032</v>
      </c>
      <c r="L134" s="2"/>
      <c r="R134" s="2"/>
      <c r="S134" s="2"/>
      <c r="T134" s="2"/>
      <c r="U134" s="2"/>
    </row>
    <row r="135" ht="22.5" customHeight="1">
      <c r="A135" s="4" t="str">
        <f>IFERROR(__xludf.DUMMYFUNCTION("GOOGLETRANSLATE(G135, ""de"", ""en"")"),"134")</f>
        <v>134</v>
      </c>
      <c r="B135" s="4" t="str">
        <f>IFERROR(__xludf.DUMMYFUNCTION("GOOGLETRANSLATE(H135, ""de"", ""en"")"),"How many teams can compete against each other simultaneously?")</f>
        <v>How many teams can compete against each other simultaneously?</v>
      </c>
      <c r="C135" s="4" t="s">
        <v>3033</v>
      </c>
      <c r="D135" s="4" t="str">
        <f>IFERROR(__xludf.DUMMYFUNCTION("GOOGLETRANSLATE(J135, ""de"", ""en"")"),"Two teams")</f>
        <v>Two teams</v>
      </c>
      <c r="E135" s="4" t="str">
        <f>IFERROR(__xludf.DUMMYFUNCTION("GOOGLETRANSLATE(K135, ""de"", ""en"")"),"Two teams always compete against each other.")</f>
        <v>Two teams always compete against each other.</v>
      </c>
      <c r="F135" s="2"/>
      <c r="G135" s="5">
        <v>134.0</v>
      </c>
      <c r="H135" s="4" t="s">
        <v>3034</v>
      </c>
      <c r="I135" s="4" t="s">
        <v>3035</v>
      </c>
      <c r="J135" s="4" t="s">
        <v>1392</v>
      </c>
      <c r="K135" s="4" t="s">
        <v>3036</v>
      </c>
      <c r="L135" s="2"/>
      <c r="R135" s="2"/>
      <c r="S135" s="2"/>
      <c r="T135" s="2"/>
      <c r="U135" s="2"/>
    </row>
    <row r="136" ht="22.5" customHeight="1">
      <c r="A136" s="4" t="str">
        <f>IFERROR(__xludf.DUMMYFUNCTION("GOOGLETRANSLATE(G136, ""de"", ""en"")"),"135")</f>
        <v>135</v>
      </c>
      <c r="B136" s="4" t="str">
        <f>IFERROR(__xludf.DUMMYFUNCTION("GOOGLETRANSLATE(H136, ""de"", ""en"")"),"Which shoes are not allowed?")</f>
        <v>Which shoes are not allowed?</v>
      </c>
      <c r="C136" s="4" t="s">
        <v>3037</v>
      </c>
      <c r="D136" s="4" t="str">
        <f>IFERROR(__xludf.DUMMYFUNCTION("GOOGLETRANSLATE(J136, ""de"", ""en"")"),"Shoes with spikes")</f>
        <v>Shoes with spikes</v>
      </c>
      <c r="E136" s="4" t="str">
        <f>IFERROR(__xludf.DUMMYFUNCTION("GOOGLETRANSLATE(K136, ""de"", ""en"")"),"Shoes with spikes are prohibited for safety reasons.")</f>
        <v>Shoes with spikes are prohibited for safety reasons.</v>
      </c>
      <c r="F136" s="2"/>
      <c r="G136" s="5">
        <v>135.0</v>
      </c>
      <c r="H136" s="4" t="s">
        <v>3038</v>
      </c>
      <c r="I136" s="4" t="s">
        <v>3039</v>
      </c>
      <c r="J136" s="4" t="s">
        <v>3040</v>
      </c>
      <c r="K136" s="4" t="s">
        <v>3041</v>
      </c>
      <c r="L136" s="2"/>
      <c r="R136" s="2"/>
      <c r="S136" s="2"/>
      <c r="T136" s="2"/>
      <c r="U136" s="2"/>
    </row>
    <row r="137" ht="22.5" customHeight="1">
      <c r="A137" s="4" t="str">
        <f>IFERROR(__xludf.DUMMYFUNCTION("GOOGLETRANSLATE(G137, ""de"", ""en"")"),"136")</f>
        <v>136</v>
      </c>
      <c r="B137" s="4" t="str">
        <f>IFERROR(__xludf.DUMMYFUNCTION("GOOGLETRANSLATE(H137, ""de"", ""en"")"),"What happens if a player gives up?")</f>
        <v>What happens if a player gives up?</v>
      </c>
      <c r="C137" s="4" t="s">
        <v>3042</v>
      </c>
      <c r="D137" s="4" t="str">
        <f>IFERROR(__xludf.DUMMYFUNCTION("GOOGLETRANSLATE(J137, ""de"", ""en"")"),"The player will be replaced")</f>
        <v>The player will be replaced</v>
      </c>
      <c r="E137" s="4" t="str">
        <f>IFERROR(__xludf.DUMMYFUNCTION("GOOGLETRANSLATE(K137, ""de"", ""en"")"),"A player who has been eliminated is replaced by a substitute player.")</f>
        <v>A player who has been eliminated is replaced by a substitute player.</v>
      </c>
      <c r="F137" s="2"/>
      <c r="G137" s="5">
        <v>136.0</v>
      </c>
      <c r="H137" s="4" t="s">
        <v>3043</v>
      </c>
      <c r="I137" s="4" t="s">
        <v>3044</v>
      </c>
      <c r="J137" s="4" t="s">
        <v>3045</v>
      </c>
      <c r="K137" s="4" t="s">
        <v>3046</v>
      </c>
      <c r="L137" s="2"/>
      <c r="R137" s="2"/>
      <c r="S137" s="2"/>
      <c r="T137" s="2"/>
      <c r="U137" s="2"/>
    </row>
    <row r="138" ht="22.5" customHeight="1">
      <c r="A138" s="4" t="str">
        <f>IFERROR(__xludf.DUMMYFUNCTION("GOOGLETRANSLATE(G138, ""de"", ""en"")"),"137")</f>
        <v>137</v>
      </c>
      <c r="B138" s="4" t="str">
        <f>IFERROR(__xludf.DUMMYFUNCTION("GOOGLETRANSLATE(H138, ""de"", ""en"")"),"What is the maximum number of players allowed per team in toilet shooting?")</f>
        <v>What is the maximum number of players allowed per team in toilet shooting?</v>
      </c>
      <c r="C138" s="4" t="s">
        <v>3047</v>
      </c>
      <c r="D138" s="4" t="str">
        <f>IFERROR(__xludf.DUMMYFUNCTION("GOOGLETRANSLATE(J138, ""de"", ""en"")"),"6 players")</f>
        <v>6 players</v>
      </c>
      <c r="E138" s="4" t="str">
        <f>IFERROR(__xludf.DUMMYFUNCTION("GOOGLETRANSLATE(K138, ""de"", ""en"")"),"A team can have a maximum of 6 players.")</f>
        <v>A team can have a maximum of 6 players.</v>
      </c>
      <c r="F138" s="2"/>
      <c r="G138" s="5">
        <v>137.0</v>
      </c>
      <c r="H138" s="4" t="s">
        <v>3048</v>
      </c>
      <c r="I138" s="4" t="s">
        <v>3049</v>
      </c>
      <c r="J138" s="4" t="s">
        <v>3050</v>
      </c>
      <c r="K138" s="4" t="s">
        <v>3051</v>
      </c>
      <c r="L138" s="2"/>
      <c r="R138" s="2"/>
      <c r="S138" s="2"/>
      <c r="T138" s="2"/>
      <c r="U138" s="2"/>
    </row>
    <row r="139" ht="22.5" customHeight="1">
      <c r="A139" s="4" t="str">
        <f>IFERROR(__xludf.DUMMYFUNCTION("GOOGLETRANSLATE(G139, ""de"", ""en"")"),"138")</f>
        <v>138</v>
      </c>
      <c r="B139" s="4" t="str">
        <f>IFERROR(__xludf.DUMMYFUNCTION("GOOGLETRANSLATE(H139, ""de"", ""en"")"),"How many throws can each player make in one round?")</f>
        <v>How many throws can each player make in one round?</v>
      </c>
      <c r="C139" s="4" t="s">
        <v>3052</v>
      </c>
      <c r="D139" s="4" t="str">
        <f>IFERROR(__xludf.DUMMYFUNCTION("GOOGLETRANSLATE(J139, ""de"", ""en"")"),"1 throw")</f>
        <v>1 throw</v>
      </c>
      <c r="E139" s="4" t="str">
        <f>IFERROR(__xludf.DUMMYFUNCTION("GOOGLETRANSLATE(K139, ""de"", ""en"")"),"Only one throw per player is allowed per round.")</f>
        <v>Only one throw per player is allowed per round.</v>
      </c>
      <c r="F139" s="2"/>
      <c r="G139" s="5">
        <v>138.0</v>
      </c>
      <c r="H139" s="4" t="s">
        <v>3053</v>
      </c>
      <c r="I139" s="4" t="s">
        <v>3054</v>
      </c>
      <c r="J139" s="4" t="s">
        <v>3055</v>
      </c>
      <c r="K139" s="4" t="s">
        <v>3056</v>
      </c>
      <c r="L139" s="2"/>
      <c r="R139" s="2"/>
      <c r="S139" s="2"/>
      <c r="T139" s="2"/>
      <c r="U139" s="2"/>
    </row>
    <row r="140" ht="22.5" customHeight="1">
      <c r="A140" s="4" t="str">
        <f>IFERROR(__xludf.DUMMYFUNCTION("GOOGLETRANSLATE(G140, ""de"", ""en"")"),"139")</f>
        <v>139</v>
      </c>
      <c r="B140" s="4" t="str">
        <f>IFERROR(__xludf.DUMMYFUNCTION("GOOGLETRANSLATE(H140, ""de"", ""en"")"),"What happens if a player crosses the throwing line?")</f>
        <v>What happens if a player crosses the throwing line?</v>
      </c>
      <c r="C140" s="4" t="s">
        <v>3057</v>
      </c>
      <c r="D140" s="4" t="str">
        <f>IFERROR(__xludf.DUMMYFUNCTION("GOOGLETRANSLATE(J140, ""de"", ""en"")"),"The throw is invalid.")</f>
        <v>The throw is invalid.</v>
      </c>
      <c r="E140" s="4" t="str">
        <f>IFERROR(__xludf.DUMMYFUNCTION("GOOGLETRANSLATE(K140, ""de"", ""en"")"),"Exceeding the throwing position invalidates the throw.")</f>
        <v>Exceeding the throwing position invalidates the throw.</v>
      </c>
      <c r="F140" s="2"/>
      <c r="G140" s="5">
        <v>139.0</v>
      </c>
      <c r="H140" s="4" t="s">
        <v>3058</v>
      </c>
      <c r="I140" s="4" t="s">
        <v>3059</v>
      </c>
      <c r="J140" s="4" t="s">
        <v>2460</v>
      </c>
      <c r="K140" s="4" t="s">
        <v>3060</v>
      </c>
      <c r="L140" s="2"/>
      <c r="R140" s="2"/>
      <c r="S140" s="2"/>
      <c r="T140" s="2"/>
      <c r="U140" s="2"/>
    </row>
    <row r="141" ht="22.5" customHeight="1">
      <c r="A141" s="4" t="str">
        <f>IFERROR(__xludf.DUMMYFUNCTION("GOOGLETRANSLATE(G141, ""de"", ""en"")"),"140")</f>
        <v>140</v>
      </c>
      <c r="B141" s="4" t="str">
        <f>IFERROR(__xludf.DUMMYFUNCTION("GOOGLETRANSLATE(H141, ""de"", ""en"")"),"What materials are allowed for playing Kloot?")</f>
        <v>What materials are allowed for playing Kloot?</v>
      </c>
      <c r="C141" s="4" t="s">
        <v>3061</v>
      </c>
      <c r="D141" s="4" t="str">
        <f>IFERROR(__xludf.DUMMYFUNCTION("GOOGLETRANSLATE(J141, ""de"", ""en"")"),"wood and plastic")</f>
        <v>wood and plastic</v>
      </c>
      <c r="E141" s="4" t="str">
        <f>IFERROR(__xludf.DUMMYFUNCTION("GOOGLETRANSLATE(K141, ""de"", ""en"")"),"Kloots are officially made of wood or plastic.")</f>
        <v>Kloots are officially made of wood or plastic.</v>
      </c>
      <c r="F141" s="2"/>
      <c r="G141" s="5">
        <v>140.0</v>
      </c>
      <c r="H141" s="4" t="s">
        <v>3062</v>
      </c>
      <c r="I141" s="4" t="s">
        <v>3063</v>
      </c>
      <c r="J141" s="4" t="s">
        <v>3064</v>
      </c>
      <c r="K141" s="4" t="s">
        <v>3065</v>
      </c>
      <c r="L141" s="2"/>
      <c r="R141" s="2"/>
      <c r="S141" s="2"/>
      <c r="T141" s="2"/>
      <c r="U141" s="2"/>
    </row>
    <row r="142" ht="22.5" customHeight="1">
      <c r="A142" s="4" t="str">
        <f>IFERROR(__xludf.DUMMYFUNCTION("GOOGLETRANSLATE(G142, ""de"", ""en"")"),"141")</f>
        <v>141</v>
      </c>
      <c r="B142" s="4" t="str">
        <f>IFERROR(__xludf.DUMMYFUNCTION("GOOGLETRANSLATE(H142, ""de"", ""en"")"),"How is the winner determined in the event of a draw?")</f>
        <v>How is the winner determined in the event of a draw?</v>
      </c>
      <c r="C142" s="4" t="s">
        <v>3066</v>
      </c>
      <c r="D142" s="4" t="str">
        <f>IFERROR(__xludf.DUMMYFUNCTION("GOOGLETRANSLATE(J142, ""de"", ""en"")"),"Additional round")</f>
        <v>Additional round</v>
      </c>
      <c r="E142" s="4" t="str">
        <f>IFERROR(__xludf.DUMMYFUNCTION("GOOGLETRANSLATE(K142, ""de"", ""en"")"),"In case of a tie, an additional round is played.")</f>
        <v>In case of a tie, an additional round is played.</v>
      </c>
      <c r="F142" s="2"/>
      <c r="G142" s="5">
        <v>141.0</v>
      </c>
      <c r="H142" s="4" t="s">
        <v>3067</v>
      </c>
      <c r="I142" s="4" t="s">
        <v>3068</v>
      </c>
      <c r="J142" s="4" t="s">
        <v>3069</v>
      </c>
      <c r="K142" s="4" t="s">
        <v>3070</v>
      </c>
      <c r="L142" s="2"/>
      <c r="R142" s="2"/>
      <c r="S142" s="2"/>
      <c r="T142" s="2"/>
      <c r="U142" s="2"/>
    </row>
    <row r="143" ht="22.5" customHeight="1">
      <c r="A143" s="4" t="str">
        <f>IFERROR(__xludf.DUMMYFUNCTION("GOOGLETRANSLATE(G143, ""de"", ""en"")"),"142")</f>
        <v>142</v>
      </c>
      <c r="B143" s="4" t="str">
        <f>IFERROR(__xludf.DUMMYFUNCTION("GOOGLETRANSLATE(H143, ""de"", ""en"")"),"What distance must be maintained between the players of a team?")</f>
        <v>What distance must be maintained between the players of a team?</v>
      </c>
      <c r="C143" s="4" t="s">
        <v>3071</v>
      </c>
      <c r="D143" s="4" t="str">
        <f>IFERROR(__xludf.DUMMYFUNCTION("GOOGLETRANSLATE(J143, ""de"", ""en"")"),"5 meters")</f>
        <v>5 meters</v>
      </c>
      <c r="E143" s="4" t="str">
        <f>IFERROR(__xludf.DUMMYFUNCTION("GOOGLETRANSLATE(K143, ""de"", ""en"")"),"A minimum distance of 5 meters must be maintained.")</f>
        <v>A minimum distance of 5 meters must be maintained.</v>
      </c>
      <c r="F143" s="2"/>
      <c r="G143" s="5">
        <v>142.0</v>
      </c>
      <c r="H143" s="4" t="s">
        <v>3072</v>
      </c>
      <c r="I143" s="4" t="s">
        <v>3073</v>
      </c>
      <c r="J143" s="4" t="s">
        <v>3074</v>
      </c>
      <c r="K143" s="4" t="s">
        <v>3075</v>
      </c>
      <c r="L143" s="2"/>
      <c r="R143" s="2"/>
      <c r="S143" s="2"/>
      <c r="T143" s="2"/>
      <c r="U143" s="2"/>
    </row>
    <row r="144" ht="22.5" customHeight="1">
      <c r="A144" s="4" t="str">
        <f>IFERROR(__xludf.DUMMYFUNCTION("GOOGLETRANSLATE(G144, ""de"", ""en"")"),"143")</f>
        <v>143</v>
      </c>
      <c r="B144" s="4" t="str">
        <f>IFERROR(__xludf.DUMMYFUNCTION("GOOGLETRANSLATE(H144, ""de"", ""en"")"),"When is a game cancelled due to bad weather?")</f>
        <v>When is a game cancelled due to bad weather?</v>
      </c>
      <c r="C144" s="4" t="s">
        <v>3076</v>
      </c>
      <c r="D144" s="4" t="str">
        <f>IFERROR(__xludf.DUMMYFUNCTION("GOOGLETRANSLATE(J144, ""de"", ""en"")"),"With lightning and thunder")</f>
        <v>With lightning and thunder</v>
      </c>
      <c r="E144" s="4" t="str">
        <f>IFERROR(__xludf.DUMMYFUNCTION("GOOGLETRANSLATE(K144, ""de"", ""en"")"),"Games are cancelled for safety reasons in case of lightning and thunder.")</f>
        <v>Games are cancelled for safety reasons in case of lightning and thunder.</v>
      </c>
      <c r="F144" s="2"/>
      <c r="G144" s="5">
        <v>143.0</v>
      </c>
      <c r="H144" s="4" t="s">
        <v>3077</v>
      </c>
      <c r="I144" s="4" t="s">
        <v>3078</v>
      </c>
      <c r="J144" s="4" t="s">
        <v>3079</v>
      </c>
      <c r="K144" s="4" t="s">
        <v>3080</v>
      </c>
      <c r="L144" s="2"/>
      <c r="R144" s="2"/>
      <c r="S144" s="2"/>
      <c r="T144" s="2"/>
      <c r="U144" s="2"/>
    </row>
    <row r="145" ht="22.5" customHeight="1">
      <c r="A145" s="4" t="str">
        <f>IFERROR(__xludf.DUMMYFUNCTION("GOOGLETRANSLATE(G145, ""de"", ""en"")"),"144")</f>
        <v>144</v>
      </c>
      <c r="B145" s="4" t="str">
        <f>IFERROR(__xludf.DUMMYFUNCTION("GOOGLETRANSLATE(H145, ""de"", ""en"")"),"How should the release arm be positioned when throwing?")</f>
        <v>How should the release arm be positioned when throwing?</v>
      </c>
      <c r="C145" s="4" t="s">
        <v>3081</v>
      </c>
      <c r="D145" s="4" t="str">
        <f>IFERROR(__xludf.DUMMYFUNCTION("GOOGLETRANSLATE(J145, ""de"", ""en"")"),"It doesn't matter as long as the toilet flies.")</f>
        <v>It doesn't matter as long as the toilet flies.</v>
      </c>
      <c r="E145" s="4" t="str">
        <f>IFERROR(__xludf.DUMMYFUNCTION("GOOGLETRANSLATE(K145, ""de"", ""en"")"),"The throwing technique is flexible, as long as the kloot is thrown correctly.")</f>
        <v>The throwing technique is flexible, as long as the kloot is thrown correctly.</v>
      </c>
      <c r="F145" s="2"/>
      <c r="G145" s="5">
        <v>144.0</v>
      </c>
      <c r="H145" s="4" t="s">
        <v>3082</v>
      </c>
      <c r="I145" s="4" t="s">
        <v>3083</v>
      </c>
      <c r="J145" s="4" t="s">
        <v>3084</v>
      </c>
      <c r="K145" s="4" t="s">
        <v>3085</v>
      </c>
      <c r="L145" s="2"/>
      <c r="R145" s="2"/>
      <c r="S145" s="2"/>
      <c r="T145" s="2"/>
      <c r="U145" s="2"/>
    </row>
    <row r="146" ht="22.5" customHeight="1">
      <c r="A146" s="4" t="str">
        <f>IFERROR(__xludf.DUMMYFUNCTION("GOOGLETRANSLATE(G146, ""de"", ""en"")"),"145")</f>
        <v>145</v>
      </c>
      <c r="B146" s="4" t="str">
        <f>IFERROR(__xludf.DUMMYFUNCTION("GOOGLETRANSLATE(H146, ""de"", ""en"")"),"How is the drop zone prepared?")</f>
        <v>How is the drop zone prepared?</v>
      </c>
      <c r="C146" s="4" t="s">
        <v>3086</v>
      </c>
      <c r="D146" s="4" t="str">
        <f>IFERROR(__xludf.DUMMYFUNCTION("GOOGLETRANSLATE(J146, ""de"", ""en"")"),"Marked with chalk")</f>
        <v>Marked with chalk</v>
      </c>
      <c r="E146" s="4" t="str">
        <f>IFERROR(__xludf.DUMMYFUNCTION("GOOGLETRANSLATE(K146, ""de"", ""en"")"),"The drop-off point is usually marked with chalk.")</f>
        <v>The drop-off point is usually marked with chalk.</v>
      </c>
      <c r="F146" s="2"/>
      <c r="G146" s="5">
        <v>145.0</v>
      </c>
      <c r="H146" s="4" t="s">
        <v>3087</v>
      </c>
      <c r="I146" s="4" t="s">
        <v>3088</v>
      </c>
      <c r="J146" s="4" t="s">
        <v>3089</v>
      </c>
      <c r="K146" s="4" t="s">
        <v>3090</v>
      </c>
      <c r="L146" s="2"/>
      <c r="R146" s="2"/>
      <c r="S146" s="2"/>
      <c r="T146" s="2"/>
      <c r="U146" s="2"/>
    </row>
    <row r="147" ht="22.5" customHeight="1">
      <c r="A147" s="4" t="str">
        <f>IFERROR(__xludf.DUMMYFUNCTION("GOOGLETRANSLATE(G147, ""de"", ""en"")"),"146")</f>
        <v>146</v>
      </c>
      <c r="B147" s="4" t="str">
        <f>IFERROR(__xludf.DUMMYFUNCTION("GOOGLETRANSLATE(H147, ""de"", ""en"")"),"What happens if the Kloot rolls out of bounds?")</f>
        <v>What happens if the Kloot rolls out of bounds?</v>
      </c>
      <c r="C147" s="4" t="s">
        <v>3091</v>
      </c>
      <c r="D147" s="4" t="str">
        <f>IFERROR(__xludf.DUMMYFUNCTION("GOOGLETRANSLATE(J147, ""de"", ""en"")"),"The throw counts if the kloot was previously on the playing field.")</f>
        <v>The throw counts if the kloot was previously on the playing field.</v>
      </c>
      <c r="E147" s="4" t="str">
        <f>IFERROR(__xludf.DUMMYFUNCTION("GOOGLETRANSLATE(K147, ""de"", ""en"")"),"A kloot that leaves the playing field only counts if it was previously thrown regularly.")</f>
        <v>A kloot that leaves the playing field only counts if it was previously thrown regularly.</v>
      </c>
      <c r="F147" s="2"/>
      <c r="G147" s="5">
        <v>146.0</v>
      </c>
      <c r="H147" s="4" t="s">
        <v>3092</v>
      </c>
      <c r="I147" s="4" t="s">
        <v>3093</v>
      </c>
      <c r="J147" s="4" t="s">
        <v>3094</v>
      </c>
      <c r="K147" s="4" t="s">
        <v>3095</v>
      </c>
      <c r="L147" s="2"/>
      <c r="R147" s="2"/>
      <c r="S147" s="2"/>
      <c r="T147" s="2"/>
      <c r="U147" s="2"/>
    </row>
    <row r="148" ht="22.5" customHeight="1">
      <c r="A148" s="4" t="str">
        <f>IFERROR(__xludf.DUMMYFUNCTION("GOOGLETRANSLATE(G148, ""de"", ""en"")"),"147")</f>
        <v>147</v>
      </c>
      <c r="B148" s="4" t="str">
        <f>IFERROR(__xludf.DUMMYFUNCTION("GOOGLETRANSLATE(H148, ""de"", ""en"")"),"What is the maximum length of the toilet?")</f>
        <v>What is the maximum length of the toilet?</v>
      </c>
      <c r="C148" s="4" t="s">
        <v>3096</v>
      </c>
      <c r="D148" s="4" t="str">
        <f>IFERROR(__xludf.DUMMYFUNCTION("GOOGLETRANSLATE(J148, ""de"", ""en"")"),"12cm")</f>
        <v>12cm</v>
      </c>
      <c r="E148" s="4" t="str">
        <f>IFERROR(__xludf.DUMMYFUNCTION("GOOGLETRANSLATE(K148, ""de"", ""en"")"),"The maximum length of a Kloot is 12 cm.")</f>
        <v>The maximum length of a Kloot is 12 cm.</v>
      </c>
      <c r="F148" s="2"/>
      <c r="G148" s="5">
        <v>147.0</v>
      </c>
      <c r="H148" s="4" t="s">
        <v>3097</v>
      </c>
      <c r="I148" s="4" t="s">
        <v>3096</v>
      </c>
      <c r="J148" s="4" t="s">
        <v>3098</v>
      </c>
      <c r="K148" s="4" t="s">
        <v>3099</v>
      </c>
      <c r="L148" s="2"/>
      <c r="R148" s="2"/>
      <c r="S148" s="2"/>
      <c r="T148" s="2"/>
      <c r="U148" s="2"/>
    </row>
    <row r="149" ht="22.5" customHeight="1">
      <c r="A149" s="4" t="str">
        <f>IFERROR(__xludf.DUMMYFUNCTION("GOOGLETRANSLATE(G149, ""de"", ""en"")"),"148")</f>
        <v>148</v>
      </c>
      <c r="B149" s="4" t="str">
        <f>IFERROR(__xludf.DUMMYFUNCTION("GOOGLETRANSLATE(H149, ""de"", ""en"")"),"When can a substitute player be replaced?")</f>
        <v>When can a substitute player be replaced?</v>
      </c>
      <c r="C149" s="4" t="s">
        <v>3100</v>
      </c>
      <c r="D149" s="4" t="str">
        <f>IFERROR(__xludf.DUMMYFUNCTION("GOOGLETRANSLATE(J149, ""de"", ""en"")"),"Only if injured")</f>
        <v>Only if injured</v>
      </c>
      <c r="E149" s="4" t="str">
        <f>IFERROR(__xludf.DUMMYFUNCTION("GOOGLETRANSLATE(K149, ""de"", ""en"")"),"Substitute players may only be replaced in case of injury.")</f>
        <v>Substitute players may only be replaced in case of injury.</v>
      </c>
      <c r="F149" s="2"/>
      <c r="G149" s="5">
        <v>148.0</v>
      </c>
      <c r="H149" s="4" t="s">
        <v>3101</v>
      </c>
      <c r="I149" s="4" t="s">
        <v>3102</v>
      </c>
      <c r="J149" s="4" t="s">
        <v>3103</v>
      </c>
      <c r="K149" s="4" t="s">
        <v>3104</v>
      </c>
      <c r="L149" s="2"/>
      <c r="R149" s="2"/>
      <c r="S149" s="2"/>
      <c r="T149" s="2"/>
      <c r="U149" s="2"/>
    </row>
    <row r="150" ht="22.5" customHeight="1">
      <c r="A150" s="4" t="str">
        <f>IFERROR(__xludf.DUMMYFUNCTION("GOOGLETRANSLATE(G150, ""de"", ""en"")"),"149")</f>
        <v>149</v>
      </c>
      <c r="B150" s="4" t="str">
        <f>IFERROR(__xludf.DUMMYFUNCTION("GOOGLETRANSLATE(H150, ""de"", ""en"")"),"How is the throwing distance measured?")</f>
        <v>How is the throwing distance measured?</v>
      </c>
      <c r="C150" s="4" t="s">
        <v>3105</v>
      </c>
      <c r="D150" s="4" t="str">
        <f>IFERROR(__xludf.DUMMYFUNCTION("GOOGLETRANSLATE(J150, ""de"", ""en"")"),"Using a measuring tape")</f>
        <v>Using a measuring tape</v>
      </c>
      <c r="E150" s="4" t="str">
        <f>IFERROR(__xludf.DUMMYFUNCTION("GOOGLETRANSLATE(K150, ""de"", ""en"")"),"The throwing distance is measured with a measuring tape.")</f>
        <v>The throwing distance is measured with a measuring tape.</v>
      </c>
      <c r="F150" s="2"/>
      <c r="G150" s="5">
        <v>149.0</v>
      </c>
      <c r="H150" s="4" t="s">
        <v>2453</v>
      </c>
      <c r="I150" s="4" t="s">
        <v>3106</v>
      </c>
      <c r="J150" s="4" t="s">
        <v>2699</v>
      </c>
      <c r="K150" s="4" t="s">
        <v>3107</v>
      </c>
      <c r="L150" s="2"/>
      <c r="R150" s="2"/>
      <c r="S150" s="2"/>
      <c r="T150" s="2"/>
      <c r="U150" s="2"/>
    </row>
    <row r="151" ht="22.5" customHeight="1">
      <c r="A151" s="4" t="str">
        <f>IFERROR(__xludf.DUMMYFUNCTION("GOOGLETRANSLATE(G151, ""de"", ""en"")"),"150")</f>
        <v>150</v>
      </c>
      <c r="B151" s="4" t="str">
        <f>IFERROR(__xludf.DUMMYFUNCTION("GOOGLETRANSLATE(H151, ""de"", ""en"")"),"What happens if the kloot breaks during the throw?")</f>
        <v>What happens if the kloot breaks during the throw?</v>
      </c>
      <c r="C151" s="4" t="s">
        <v>3108</v>
      </c>
      <c r="D151" s="4" t="str">
        <f>IFERROR(__xludf.DUMMYFUNCTION("GOOGLETRANSLATE(J151, ""de"", ""en"")"),"The throw is repeated.")</f>
        <v>The throw is repeated.</v>
      </c>
      <c r="E151" s="4" t="str">
        <f>IFERROR(__xludf.DUMMYFUNCTION("GOOGLETRANSLATE(K151, ""de"", ""en"")"),"A broken kloot leads to a new throw.")</f>
        <v>A broken kloot leads to a new throw.</v>
      </c>
      <c r="F151" s="2"/>
      <c r="G151" s="5">
        <v>150.0</v>
      </c>
      <c r="H151" s="4" t="s">
        <v>3109</v>
      </c>
      <c r="I151" s="4" t="s">
        <v>3110</v>
      </c>
      <c r="J151" s="4" t="s">
        <v>1338</v>
      </c>
      <c r="K151" s="4" t="s">
        <v>3111</v>
      </c>
      <c r="L151" s="2"/>
      <c r="R151" s="2"/>
      <c r="S151" s="2"/>
      <c r="T151" s="2"/>
      <c r="U151" s="2"/>
    </row>
    <row r="152" ht="22.5" customHeight="1">
      <c r="A152" s="4" t="str">
        <f>IFERROR(__xludf.DUMMYFUNCTION("GOOGLETRANSLATE(G152, ""de"", ""en"")"),"151")</f>
        <v>151</v>
      </c>
      <c r="B152" s="4" t="str">
        <f>IFERROR(__xludf.DUMMYFUNCTION("GOOGLETRANSLATE(H152, ""de"", ""en"")"),"Is a player allowed to wear gloves?")</f>
        <v>Is a player allowed to wear gloves?</v>
      </c>
      <c r="C152" s="4" t="s">
        <v>3112</v>
      </c>
      <c r="D152" s="4" t="str">
        <f>IFERROR(__xludf.DUMMYFUNCTION("GOOGLETRANSLATE(J152, ""de"", ""en"")"),"Yes")</f>
        <v>Yes</v>
      </c>
      <c r="E152" s="4" t="str">
        <f>IFERROR(__xludf.DUMMYFUNCTION("GOOGLETRANSLATE(K152, ""de"", ""en"")"),"Gloves are allowed unless they offer an advantage.")</f>
        <v>Gloves are allowed unless they offer an advantage.</v>
      </c>
      <c r="F152" s="2"/>
      <c r="G152" s="5">
        <v>151.0</v>
      </c>
      <c r="H152" s="4" t="s">
        <v>3113</v>
      </c>
      <c r="I152" s="4" t="s">
        <v>3114</v>
      </c>
      <c r="J152" s="4" t="s">
        <v>1820</v>
      </c>
      <c r="K152" s="4" t="s">
        <v>3115</v>
      </c>
      <c r="L152" s="2"/>
      <c r="R152" s="2"/>
      <c r="S152" s="2"/>
      <c r="T152" s="2"/>
      <c r="U152" s="2"/>
    </row>
    <row r="153" ht="22.5" customHeight="1">
      <c r="A153" s="4" t="str">
        <f>IFERROR(__xludf.DUMMYFUNCTION("GOOGLETRANSLATE(G153, ""de"", ""en"")"),"152")</f>
        <v>152</v>
      </c>
      <c r="B153" s="4" t="str">
        <f>IFERROR(__xludf.DUMMYFUNCTION("GOOGLETRANSLATE(H153, ""de"", ""en"")"),"What constitutes a rule violation when throwing?")</f>
        <v>What constitutes a rule violation when throwing?</v>
      </c>
      <c r="C153" s="4" t="s">
        <v>3116</v>
      </c>
      <c r="D153" s="4" t="str">
        <f>IFERROR(__xludf.DUMMYFUNCTION("GOOGLETRANSLATE(J153, ""de"", ""en"")"),"Running during the throw")</f>
        <v>Running during the throw</v>
      </c>
      <c r="E153" s="4" t="str">
        <f>IFERROR(__xludf.DUMMYFUNCTION("GOOGLETRANSLATE(K153, ""de"", ""en"")"),"Running during the throw is considered a rule violation.")</f>
        <v>Running during the throw is considered a rule violation.</v>
      </c>
      <c r="F153" s="2"/>
      <c r="G153" s="5">
        <v>152.0</v>
      </c>
      <c r="H153" s="4" t="s">
        <v>3117</v>
      </c>
      <c r="I153" s="4" t="s">
        <v>3118</v>
      </c>
      <c r="J153" s="4" t="s">
        <v>3119</v>
      </c>
      <c r="K153" s="4" t="s">
        <v>3120</v>
      </c>
      <c r="L153" s="2"/>
      <c r="R153" s="2"/>
      <c r="S153" s="2"/>
      <c r="T153" s="2"/>
      <c r="U153" s="2"/>
    </row>
    <row r="154" ht="22.5" customHeight="1">
      <c r="A154" s="4" t="str">
        <f>IFERROR(__xludf.DUMMYFUNCTION("GOOGLETRANSLATE(G154, ""de"", ""en"")"),"153")</f>
        <v>153</v>
      </c>
      <c r="B154" s="4" t="str">
        <f>IFERROR(__xludf.DUMMYFUNCTION("GOOGLETRANSLATE(H154, ""de"", ""en"")"),"How many times is a player allowed to touch the kloot before throwing?")</f>
        <v>How many times is a player allowed to touch the kloot before throwing?</v>
      </c>
      <c r="C154" s="4" t="s">
        <v>3121</v>
      </c>
      <c r="D154" s="4" t="str">
        <f>IFERROR(__xludf.DUMMYFUNCTION("GOOGLETRANSLATE(J154, ""de"", ""en"")"),"As often as necessary")</f>
        <v>As often as necessary</v>
      </c>
      <c r="E154" s="4" t="str">
        <f>IFERROR(__xludf.DUMMYFUNCTION("GOOGLETRANSLATE(K154, ""de"", ""en"")"),"Players may touch the kloot as many times as they like before throwing it.")</f>
        <v>Players may touch the kloot as many times as they like before throwing it.</v>
      </c>
      <c r="F154" s="2"/>
      <c r="G154" s="5">
        <v>153.0</v>
      </c>
      <c r="H154" s="4" t="s">
        <v>3122</v>
      </c>
      <c r="I154" s="4" t="s">
        <v>3123</v>
      </c>
      <c r="J154" s="4" t="s">
        <v>3124</v>
      </c>
      <c r="K154" s="4" t="s">
        <v>3125</v>
      </c>
      <c r="L154" s="2"/>
      <c r="R154" s="2"/>
      <c r="S154" s="2"/>
      <c r="T154" s="2"/>
      <c r="U154" s="2"/>
    </row>
    <row r="155" ht="22.5" customHeight="1">
      <c r="A155" s="4" t="str">
        <f>IFERROR(__xludf.DUMMYFUNCTION("GOOGLETRANSLATE(G155, ""de"", ""en"")"),"154")</f>
        <v>154</v>
      </c>
      <c r="B155" s="4" t="str">
        <f>IFERROR(__xludf.DUMMYFUNCTION("GOOGLETRANSLATE(H155, ""de"", ""en"")"),"What happens if a player arrives late for the game?")</f>
        <v>What happens if a player arrives late for the game?</v>
      </c>
      <c r="C155" s="4" t="s">
        <v>3126</v>
      </c>
      <c r="D155" s="4" t="str">
        <f>IFERROR(__xludf.DUMMYFUNCTION("GOOGLETRANSLATE(J155, ""de"", ""en"")"),"The player may play")</f>
        <v>The player may play</v>
      </c>
      <c r="E155" s="4" t="str">
        <f>IFERROR(__xludf.DUMMYFUNCTION("GOOGLETRANSLATE(K155, ""de"", ""en"")"),"Players who arrive late may join the game later.")</f>
        <v>Players who arrive late may join the game later.</v>
      </c>
      <c r="F155" s="2"/>
      <c r="G155" s="5">
        <v>154.0</v>
      </c>
      <c r="H155" s="4" t="s">
        <v>3127</v>
      </c>
      <c r="I155" s="4" t="s">
        <v>3128</v>
      </c>
      <c r="J155" s="4" t="s">
        <v>3129</v>
      </c>
      <c r="K155" s="4" t="s">
        <v>3130</v>
      </c>
      <c r="L155" s="2"/>
      <c r="R155" s="2"/>
      <c r="S155" s="2"/>
      <c r="T155" s="2"/>
      <c r="U155" s="2"/>
    </row>
    <row r="156" ht="22.5" customHeight="1">
      <c r="A156" s="4" t="str">
        <f>IFERROR(__xludf.DUMMYFUNCTION("GOOGLETRANSLATE(G156, ""de"", ""en"")"),"155")</f>
        <v>155</v>
      </c>
      <c r="B156" s="4" t="str">
        <f>IFERROR(__xludf.DUMMYFUNCTION("GOOGLETRANSLATE(H156, ""de"", ""en"")"),"How often can a team request a break from playing?")</f>
        <v>How often can a team request a break from playing?</v>
      </c>
      <c r="C156" s="4" t="s">
        <v>3131</v>
      </c>
      <c r="D156" s="4" t="str">
        <f>IFERROR(__xludf.DUMMYFUNCTION("GOOGLETRANSLATE(J156, ""de"", ""en"")"),"Once")</f>
        <v>Once</v>
      </c>
      <c r="E156" s="4" t="str">
        <f>IFERROR(__xludf.DUMMYFUNCTION("GOOGLETRANSLATE(K156, ""de"", ""en"")"),"A team may only request one break per game.")</f>
        <v>A team may only request one break per game.</v>
      </c>
      <c r="F156" s="2"/>
      <c r="G156" s="5">
        <v>155.0</v>
      </c>
      <c r="H156" s="4" t="s">
        <v>3132</v>
      </c>
      <c r="I156" s="4" t="s">
        <v>3133</v>
      </c>
      <c r="J156" s="4" t="s">
        <v>3134</v>
      </c>
      <c r="K156" s="4" t="s">
        <v>3135</v>
      </c>
      <c r="L156" s="2"/>
      <c r="R156" s="2"/>
      <c r="S156" s="2"/>
      <c r="T156" s="2"/>
      <c r="U156" s="2"/>
    </row>
    <row r="157" ht="22.5" customHeight="1">
      <c r="A157" s="4" t="str">
        <f>IFERROR(__xludf.DUMMYFUNCTION("GOOGLETRANSLATE(G157, ""de"", ""en"")"),"156")</f>
        <v>156</v>
      </c>
      <c r="B157" s="4" t="str">
        <f>IFERROR(__xludf.DUMMYFUNCTION("GOOGLETRANSLATE(H157, ""de"", ""en"")"),"What is the diameter of an official toilet?")</f>
        <v>What is the diameter of an official toilet?</v>
      </c>
      <c r="C157" s="4" t="s">
        <v>3096</v>
      </c>
      <c r="D157" s="4" t="str">
        <f>IFERROR(__xludf.DUMMYFUNCTION("GOOGLETRANSLATE(J157, ""de"", ""en"")"),"12cm")</f>
        <v>12cm</v>
      </c>
      <c r="E157" s="4" t="str">
        <f>IFERROR(__xludf.DUMMYFUNCTION("GOOGLETRANSLATE(K157, ""de"", ""en"")"),"The official diameter of a Kloot is 12 cm.")</f>
        <v>The official diameter of a Kloot is 12 cm.</v>
      </c>
      <c r="F157" s="2"/>
      <c r="G157" s="5">
        <v>156.0</v>
      </c>
      <c r="H157" s="4" t="s">
        <v>3136</v>
      </c>
      <c r="I157" s="4" t="s">
        <v>3096</v>
      </c>
      <c r="J157" s="4" t="s">
        <v>3098</v>
      </c>
      <c r="K157" s="4" t="s">
        <v>3137</v>
      </c>
      <c r="L157" s="2"/>
      <c r="R157" s="2"/>
      <c r="S157" s="2"/>
      <c r="T157" s="2"/>
      <c r="U157" s="2"/>
    </row>
    <row r="158" ht="22.5" customHeight="1">
      <c r="A158" s="4" t="str">
        <f>IFERROR(__xludf.DUMMYFUNCTION("GOOGLETRANSLATE(G158, ""de"", ""en"")"),"157")</f>
        <v>157</v>
      </c>
      <c r="B158" s="4" t="str">
        <f>IFERROR(__xludf.DUMMYFUNCTION("GOOGLETRANSLATE(H158, ""de"", ""en"")"),"Which stance is allowed when throwing?")</f>
        <v>Which stance is allowed when throwing?</v>
      </c>
      <c r="C158" s="4" t="s">
        <v>3138</v>
      </c>
      <c r="D158" s="4" t="str">
        <f>IFERROR(__xludf.DUMMYFUNCTION("GOOGLETRANSLATE(J158, ""de"", ""en"")"),"Both")</f>
        <v>Both</v>
      </c>
      <c r="E158" s="4" t="str">
        <f>IFERROR(__xludf.DUMMYFUNCTION("GOOGLETRANSLATE(K158, ""de"", ""en"")"),"Both an upright and a bent-over posture are permitted.")</f>
        <v>Both an upright and a bent-over posture are permitted.</v>
      </c>
      <c r="F158" s="2"/>
      <c r="G158" s="5">
        <v>157.0</v>
      </c>
      <c r="H158" s="4" t="s">
        <v>3139</v>
      </c>
      <c r="I158" s="4" t="s">
        <v>3140</v>
      </c>
      <c r="J158" s="4" t="s">
        <v>3141</v>
      </c>
      <c r="K158" s="4" t="s">
        <v>3142</v>
      </c>
      <c r="L158" s="2"/>
      <c r="R158" s="2"/>
      <c r="S158" s="2"/>
      <c r="T158" s="2"/>
      <c r="U158" s="2"/>
    </row>
    <row r="159" ht="22.5" customHeight="1">
      <c r="A159" s="4" t="str">
        <f>IFERROR(__xludf.DUMMYFUNCTION("GOOGLETRANSLATE(G159, ""de"", ""en"")"),"158")</f>
        <v>158</v>
      </c>
      <c r="B159" s="4" t="str">
        <f>IFERROR(__xludf.DUMMYFUNCTION("GOOGLETRANSLATE(H159, ""de"", ""en"")"),"Who decides whether a throw is valid?")</f>
        <v>Who decides whether a throw is valid?</v>
      </c>
      <c r="C159" s="4" t="s">
        <v>3143</v>
      </c>
      <c r="D159" s="4" t="str">
        <f>IFERROR(__xludf.DUMMYFUNCTION("GOOGLETRANSLATE(J159, ""de"", ""en"")"),"The referee")</f>
        <v>The referee</v>
      </c>
      <c r="E159" s="4" t="str">
        <f>IFERROR(__xludf.DUMMYFUNCTION("GOOGLETRANSLATE(K159, ""de"", ""en"")"),"The referee makes the final decision on the validity of a throw.")</f>
        <v>The referee makes the final decision on the validity of a throw.</v>
      </c>
      <c r="F159" s="2"/>
      <c r="G159" s="5">
        <v>158.0</v>
      </c>
      <c r="H159" s="4" t="s">
        <v>2517</v>
      </c>
      <c r="I159" s="4" t="s">
        <v>3144</v>
      </c>
      <c r="J159" s="4" t="s">
        <v>2519</v>
      </c>
      <c r="K159" s="4" t="s">
        <v>3145</v>
      </c>
      <c r="L159" s="2"/>
      <c r="R159" s="2"/>
      <c r="S159" s="2"/>
      <c r="T159" s="2"/>
      <c r="U159" s="2"/>
    </row>
    <row r="160" ht="22.5" customHeight="1">
      <c r="A160" s="4" t="str">
        <f>IFERROR(__xludf.DUMMYFUNCTION("GOOGLETRANSLATE(G160, ""de"", ""en"")"),"159")</f>
        <v>159</v>
      </c>
      <c r="B160" s="4" t="str">
        <f>IFERROR(__xludf.DUMMYFUNCTION("GOOGLETRANSLATE(H160, ""de"", ""en"")"),"What color are official competition loot?")</f>
        <v>What color are official competition loot?</v>
      </c>
      <c r="C160" s="4" t="s">
        <v>3146</v>
      </c>
      <c r="D160" s="4" t="str">
        <f>IFERROR(__xludf.DUMMYFUNCTION("GOOGLETRANSLATE(J160, ""de"", ""en"")"),"No regulation")</f>
        <v>No regulation</v>
      </c>
      <c r="E160" s="4" t="str">
        <f>IFERROR(__xludf.DUMMYFUNCTION("GOOGLETRANSLATE(K160, ""de"", ""en"")"),"The color of a kloot is not standardized.")</f>
        <v>The color of a kloot is not standardized.</v>
      </c>
      <c r="F160" s="2"/>
      <c r="G160" s="5">
        <v>159.0</v>
      </c>
      <c r="H160" s="4" t="s">
        <v>3147</v>
      </c>
      <c r="I160" s="4" t="s">
        <v>3148</v>
      </c>
      <c r="J160" s="4" t="s">
        <v>2993</v>
      </c>
      <c r="K160" s="4" t="s">
        <v>3149</v>
      </c>
      <c r="L160" s="2"/>
      <c r="R160" s="2"/>
      <c r="S160" s="2"/>
      <c r="T160" s="2"/>
      <c r="U160" s="2"/>
    </row>
    <row r="161" ht="22.5" customHeight="1">
      <c r="A161" s="4" t="str">
        <f>IFERROR(__xludf.DUMMYFUNCTION("GOOGLETRANSLATE(G161, ""de"", ""en"")"),"160")</f>
        <v>160</v>
      </c>
      <c r="B161" s="4" t="str">
        <f>IFERROR(__xludf.DUMMYFUNCTION("GOOGLETRANSLATE(H161, ""de"", ""en"")"),"How many points are awarded for the longest throw in a round?")</f>
        <v>How many points are awarded for the longest throw in a round?</v>
      </c>
      <c r="C161" s="4" t="s">
        <v>3150</v>
      </c>
      <c r="D161" s="4" t="str">
        <f>IFERROR(__xludf.DUMMYFUNCTION("GOOGLETRANSLATE(J161, ""de"", ""en"")"),"1 point")</f>
        <v>1 point</v>
      </c>
      <c r="E161" s="4" t="str">
        <f>IFERROR(__xludf.DUMMYFUNCTION("GOOGLETRANSLATE(K161, ""de"", ""en"")"),"The longest throw in a round scores 1 point.")</f>
        <v>The longest throw in a round scores 1 point.</v>
      </c>
      <c r="F161" s="2"/>
      <c r="G161" s="5">
        <v>160.0</v>
      </c>
      <c r="H161" s="4" t="s">
        <v>3151</v>
      </c>
      <c r="I161" s="4" t="s">
        <v>3152</v>
      </c>
      <c r="J161" s="4" t="s">
        <v>3153</v>
      </c>
      <c r="K161" s="4" t="s">
        <v>3154</v>
      </c>
      <c r="L161" s="2"/>
      <c r="R161" s="2"/>
      <c r="S161" s="2"/>
      <c r="T161" s="2"/>
      <c r="U161" s="2"/>
    </row>
    <row r="162" ht="22.5" customHeight="1">
      <c r="A162" s="4" t="str">
        <f>IFERROR(__xludf.DUMMYFUNCTION("GOOGLETRANSLATE(G162, ""de"", ""en"")"),"161")</f>
        <v>161</v>
      </c>
      <c r="B162" s="4" t="str">
        <f>IFERROR(__xludf.DUMMYFUNCTION("GOOGLETRANSLATE(H162, ""de"", ""en"")"),"Can the Kloot be thrown with one hand?")</f>
        <v>Can the Kloot be thrown with one hand?</v>
      </c>
      <c r="C162" s="4" t="s">
        <v>3155</v>
      </c>
      <c r="D162" s="4" t="str">
        <f>IFERROR(__xludf.DUMMYFUNCTION("GOOGLETRANSLATE(J162, ""de"", ""en"")"),"Yes")</f>
        <v>Yes</v>
      </c>
      <c r="E162" s="4" t="str">
        <f>IFERROR(__xludf.DUMMYFUNCTION("GOOGLETRANSLATE(K162, ""de"", ""en"")"),"A Kloot may only be thrown with one hand.")</f>
        <v>A Kloot may only be thrown with one hand.</v>
      </c>
      <c r="F162" s="2"/>
      <c r="G162" s="5">
        <v>161.0</v>
      </c>
      <c r="H162" s="4" t="s">
        <v>3156</v>
      </c>
      <c r="I162" s="4" t="s">
        <v>3157</v>
      </c>
      <c r="J162" s="4" t="s">
        <v>1820</v>
      </c>
      <c r="K162" s="4" t="s">
        <v>3158</v>
      </c>
      <c r="L162" s="2"/>
      <c r="R162" s="2"/>
      <c r="S162" s="2"/>
      <c r="T162" s="2"/>
      <c r="U162" s="2"/>
    </row>
    <row r="163" ht="22.5" customHeight="1">
      <c r="A163" s="4" t="str">
        <f>IFERROR(__xludf.DUMMYFUNCTION("GOOGLETRANSLATE(G163, ""de"", ""en"")"),"162")</f>
        <v>162</v>
      </c>
      <c r="B163" s="4" t="str">
        <f>IFERROR(__xludf.DUMMYFUNCTION("GOOGLETRANSLATE(H163, ""de"", ""en"")"),"What happens if you start early?")</f>
        <v>What happens if you start early?</v>
      </c>
      <c r="C163" s="4" t="s">
        <v>3159</v>
      </c>
      <c r="D163" s="4" t="str">
        <f>IFERROR(__xludf.DUMMYFUNCTION("GOOGLETRANSLATE(J163, ""de"", ""en"")"),"Repeat the throw")</f>
        <v>Repeat the throw</v>
      </c>
      <c r="E163" s="4" t="str">
        <f>IFERROR(__xludf.DUMMYFUNCTION("GOOGLETRANSLATE(K163, ""de"", ""en"")"),"An early start results in the throw being repeated.")</f>
        <v>An early start results in the throw being repeated.</v>
      </c>
      <c r="F163" s="2"/>
      <c r="G163" s="5">
        <v>162.0</v>
      </c>
      <c r="H163" s="4" t="s">
        <v>254</v>
      </c>
      <c r="I163" s="4" t="s">
        <v>3160</v>
      </c>
      <c r="J163" s="4" t="s">
        <v>2282</v>
      </c>
      <c r="K163" s="4" t="s">
        <v>3161</v>
      </c>
      <c r="L163" s="2"/>
      <c r="R163" s="2"/>
      <c r="S163" s="2"/>
      <c r="T163" s="2"/>
      <c r="U163" s="2"/>
    </row>
    <row r="164" ht="22.5" customHeight="1">
      <c r="A164" s="4" t="str">
        <f>IFERROR(__xludf.DUMMYFUNCTION("GOOGLETRANSLATE(G164, ""de"", ""en"")"),"163")</f>
        <v>163</v>
      </c>
      <c r="B164" s="4" t="str">
        <f>IFERROR(__xludf.DUMMYFUNCTION("GOOGLETRANSLATE(H164, ""de"", ""en"")"),"What is the maximum number of players allowed to throw at the same time?")</f>
        <v>What is the maximum number of players allowed to throw at the same time?</v>
      </c>
      <c r="C164" s="4" t="s">
        <v>3162</v>
      </c>
      <c r="D164" s="4" t="str">
        <f>IFERROR(__xludf.DUMMYFUNCTION("GOOGLETRANSLATE(J164, ""de"", ""en"")"),"1 player")</f>
        <v>1 player</v>
      </c>
      <c r="E164" s="4" t="str">
        <f>IFERROR(__xludf.DUMMYFUNCTION("GOOGLETRANSLATE(K164, ""de"", ""en"")"),"Only one player may throw at a time per round.")</f>
        <v>Only one player may throw at a time per round.</v>
      </c>
      <c r="F164" s="2"/>
      <c r="G164" s="5">
        <v>163.0</v>
      </c>
      <c r="H164" s="4" t="s">
        <v>3163</v>
      </c>
      <c r="I164" s="4" t="s">
        <v>3164</v>
      </c>
      <c r="J164" s="4" t="s">
        <v>3165</v>
      </c>
      <c r="K164" s="4" t="s">
        <v>3166</v>
      </c>
      <c r="L164" s="2"/>
      <c r="R164" s="2"/>
      <c r="S164" s="2"/>
      <c r="T164" s="2"/>
      <c r="U164" s="2"/>
    </row>
    <row r="165" ht="22.5" customHeight="1">
      <c r="A165" s="4" t="str">
        <f>IFERROR(__xludf.DUMMYFUNCTION("GOOGLETRANSLATE(G165, ""de"", ""en"")"),"164")</f>
        <v>164</v>
      </c>
      <c r="B165" s="4" t="str">
        <f>IFERROR(__xludf.DUMMYFUNCTION("GOOGLETRANSLATE(H165, ""de"", ""en"")"),"When is a toilet considered lost?")</f>
        <v>When is a toilet considered lost?</v>
      </c>
      <c r="C165" s="4" t="s">
        <v>3167</v>
      </c>
      <c r="D165" s="4" t="str">
        <f>IFERROR(__xludf.DUMMYFUNCTION("GOOGLETRANSLATE(J165, ""de"", ""en"")"),"All of the above")</f>
        <v>All of the above</v>
      </c>
      <c r="E165" s="4" t="str">
        <f>IFERROR(__xludf.DUMMYFUNCTION("GOOGLETRANSLATE(K165, ""de"", ""en"")"),"A toilet is considered lost if it cannot be found again.")</f>
        <v>A toilet is considered lost if it cannot be found again.</v>
      </c>
      <c r="F165" s="2"/>
      <c r="G165" s="5">
        <v>164.0</v>
      </c>
      <c r="H165" s="4" t="s">
        <v>3168</v>
      </c>
      <c r="I165" s="4" t="s">
        <v>3169</v>
      </c>
      <c r="J165" s="4" t="s">
        <v>131</v>
      </c>
      <c r="K165" s="4" t="s">
        <v>3170</v>
      </c>
      <c r="L165" s="2"/>
      <c r="R165" s="2"/>
      <c r="S165" s="2"/>
      <c r="T165" s="2"/>
      <c r="U165" s="2"/>
    </row>
    <row r="166" ht="22.5" customHeight="1">
      <c r="A166" s="4" t="str">
        <f>IFERROR(__xludf.DUMMYFUNCTION("GOOGLETRANSLATE(G166, ""de"", ""en"")"),"165")</f>
        <v>165</v>
      </c>
      <c r="B166" s="4" t="str">
        <f>IFERROR(__xludf.DUMMYFUNCTION("GOOGLETRANSLATE(H166, ""de"", ""en"")"),"How is the playing field marked?")</f>
        <v>How is the playing field marked?</v>
      </c>
      <c r="C166" s="4" t="s">
        <v>3171</v>
      </c>
      <c r="D166" s="4" t="str">
        <f>IFERROR(__xludf.DUMMYFUNCTION("GOOGLETRANSLATE(J166, ""de"", ""en"")"),"With flags")</f>
        <v>With flags</v>
      </c>
      <c r="E166" s="4" t="str">
        <f>IFERROR(__xludf.DUMMYFUNCTION("GOOGLETRANSLATE(K166, ""de"", ""en"")"),"Flags mark the boundaries of the playing field.")</f>
        <v>Flags mark the boundaries of the playing field.</v>
      </c>
      <c r="F166" s="2"/>
      <c r="G166" s="5">
        <v>165.0</v>
      </c>
      <c r="H166" s="4" t="s">
        <v>3172</v>
      </c>
      <c r="I166" s="4" t="s">
        <v>3173</v>
      </c>
      <c r="J166" s="4" t="s">
        <v>3174</v>
      </c>
      <c r="K166" s="4" t="s">
        <v>3175</v>
      </c>
      <c r="L166" s="2"/>
      <c r="R166" s="2"/>
      <c r="S166" s="2"/>
      <c r="T166" s="2"/>
      <c r="U166" s="2"/>
    </row>
    <row r="167" ht="22.5" customHeight="1">
      <c r="A167" s="4" t="str">
        <f>IFERROR(__xludf.DUMMYFUNCTION("GOOGLETRANSLATE(G167, ""de"", ""en"")"),"166")</f>
        <v>166</v>
      </c>
      <c r="B167" s="4" t="str">
        <f>IFERROR(__xludf.DUMMYFUNCTION("GOOGLETRANSLATE(H167, ""de"", ""en"")"),"What clothing is required during the game?")</f>
        <v>What clothing is required during the game?</v>
      </c>
      <c r="C167" s="4" t="s">
        <v>3176</v>
      </c>
      <c r="D167" s="4" t="str">
        <f>IFERROR(__xludf.DUMMYFUNCTION("GOOGLETRANSLATE(J167, ""de"", ""en"")"),"No specifications")</f>
        <v>No specifications</v>
      </c>
      <c r="E167" s="4" t="str">
        <f>IFERROR(__xludf.DUMMYFUNCTION("GOOGLETRANSLATE(K167, ""de"", ""en"")"),"There are no specific dress codes for the Klot photoshoot.")</f>
        <v>There are no specific dress codes for the Klot photoshoot.</v>
      </c>
      <c r="F167" s="2"/>
      <c r="G167" s="5">
        <v>166.0</v>
      </c>
      <c r="H167" s="4" t="s">
        <v>3177</v>
      </c>
      <c r="I167" s="4" t="s">
        <v>3178</v>
      </c>
      <c r="J167" s="4" t="s">
        <v>3179</v>
      </c>
      <c r="K167" s="4" t="s">
        <v>3180</v>
      </c>
      <c r="L167" s="2"/>
      <c r="R167" s="2"/>
      <c r="S167" s="2"/>
      <c r="T167" s="2"/>
      <c r="U167" s="2"/>
    </row>
    <row r="168" ht="22.5" customHeight="1">
      <c r="A168" s="4" t="str">
        <f>IFERROR(__xludf.DUMMYFUNCTION("GOOGLETRANSLATE(G168, ""de"", ""en"")"),"167")</f>
        <v>167</v>
      </c>
      <c r="B168" s="4" t="str">
        <f>IFERROR(__xludf.DUMMYFUNCTION("GOOGLETRANSLATE(H168, ""de"", ""en"")"),"How much time does a player have for a throw?")</f>
        <v>How much time does a player have for a throw?</v>
      </c>
      <c r="C168" s="4" t="s">
        <v>3181</v>
      </c>
      <c r="D168" s="4" t="str">
        <f>IFERROR(__xludf.DUMMYFUNCTION("GOOGLETRANSLATE(J168, ""de"", ""en"")"),"30 seconds")</f>
        <v>30 seconds</v>
      </c>
      <c r="E168" s="4" t="str">
        <f>IFERROR(__xludf.DUMMYFUNCTION("GOOGLETRANSLATE(K168, ""de"", ""en"")"),"A player has a maximum of 30 seconds for one throw.")</f>
        <v>A player has a maximum of 30 seconds for one throw.</v>
      </c>
      <c r="F168" s="2"/>
      <c r="G168" s="5">
        <v>167.0</v>
      </c>
      <c r="H168" s="4" t="s">
        <v>2829</v>
      </c>
      <c r="I168" s="4" t="s">
        <v>3182</v>
      </c>
      <c r="J168" s="4" t="s">
        <v>2831</v>
      </c>
      <c r="K168" s="4" t="s">
        <v>2832</v>
      </c>
      <c r="L168" s="2"/>
      <c r="R168" s="2"/>
      <c r="S168" s="2"/>
      <c r="T168" s="2"/>
      <c r="U168" s="2"/>
    </row>
    <row r="169" ht="22.5" customHeight="1">
      <c r="A169" s="4" t="str">
        <f>IFERROR(__xludf.DUMMYFUNCTION("GOOGLETRANSLATE(G169, ""de"", ""en"")"),"168")</f>
        <v>168</v>
      </c>
      <c r="B169" s="4" t="str">
        <f>IFERROR(__xludf.DUMMYFUNCTION("GOOGLETRANSLATE(H169, ""de"", ""en"")"),"Who is allowed to watch a player throw?")</f>
        <v>Who is allowed to watch a player throw?</v>
      </c>
      <c r="C169" s="4" t="s">
        <v>3183</v>
      </c>
      <c r="D169" s="4" t="str">
        <f>IFERROR(__xludf.DUMMYFUNCTION("GOOGLETRANSLATE(J169, ""de"", ""en"")"),"All")</f>
        <v>All</v>
      </c>
      <c r="E169" s="4" t="str">
        <f>IFERROR(__xludf.DUMMYFUNCTION("GOOGLETRANSLATE(K169, ""de"", ""en"")"),"The throw can be observed by anyone.")</f>
        <v>The throw can be observed by anyone.</v>
      </c>
      <c r="F169" s="2"/>
      <c r="G169" s="5">
        <v>168.0</v>
      </c>
      <c r="H169" s="4" t="s">
        <v>3184</v>
      </c>
      <c r="I169" s="4" t="s">
        <v>3185</v>
      </c>
      <c r="J169" s="4" t="s">
        <v>3186</v>
      </c>
      <c r="K169" s="4" t="s">
        <v>3187</v>
      </c>
      <c r="L169" s="2"/>
      <c r="R169" s="2"/>
      <c r="S169" s="2"/>
      <c r="T169" s="2"/>
      <c r="U169" s="2"/>
    </row>
    <row r="170" ht="22.5" customHeight="1">
      <c r="A170" s="4" t="str">
        <f>IFERROR(__xludf.DUMMYFUNCTION("GOOGLETRANSLATE(G170, ""de"", ""en"")"),"169")</f>
        <v>169</v>
      </c>
      <c r="B170" s="4" t="str">
        <f>IFERROR(__xludf.DUMMYFUNCTION("GOOGLETRANSLATE(H170, ""de"", ""en"")"),"What happens if a player throws twice in a row?")</f>
        <v>What happens if a player throws twice in a row?</v>
      </c>
      <c r="C170" s="4" t="s">
        <v>3188</v>
      </c>
      <c r="D170" s="4" t="str">
        <f>IFERROR(__xludf.DUMMYFUNCTION("GOOGLETRANSLATE(J170, ""de"", ""en"")"),"The second throw is invalid.")</f>
        <v>The second throw is invalid.</v>
      </c>
      <c r="E170" s="4" t="str">
        <f>IFERROR(__xludf.DUMMYFUNCTION("GOOGLETRANSLATE(K170, ""de"", ""en"")"),"If a player throws twice, only the first throw counts.")</f>
        <v>If a player throws twice, only the first throw counts.</v>
      </c>
      <c r="F170" s="2"/>
      <c r="G170" s="5">
        <v>169.0</v>
      </c>
      <c r="H170" s="4" t="s">
        <v>3189</v>
      </c>
      <c r="I170" s="4" t="s">
        <v>3190</v>
      </c>
      <c r="J170" s="4" t="s">
        <v>3191</v>
      </c>
      <c r="K170" s="4" t="s">
        <v>3192</v>
      </c>
      <c r="L170" s="2"/>
      <c r="R170" s="2"/>
      <c r="S170" s="2"/>
      <c r="T170" s="2"/>
      <c r="U170" s="2"/>
    </row>
    <row r="171" ht="22.5" customHeight="1">
      <c r="A171" s="4" t="str">
        <f>IFERROR(__xludf.DUMMYFUNCTION("GOOGLETRANSLATE(G171, ""de"", ""en"")"),"170")</f>
        <v>170</v>
      </c>
      <c r="B171" s="4" t="str">
        <f>IFERROR(__xludf.DUMMYFUNCTION("GOOGLETRANSLATE(H171, ""de"", ""en"")"),"What is the maximum height a toilet can be?")</f>
        <v>What is the maximum height a toilet can be?</v>
      </c>
      <c r="C171" s="4" t="s">
        <v>3193</v>
      </c>
      <c r="D171" s="4" t="str">
        <f>IFERROR(__xludf.DUMMYFUNCTION("GOOGLETRANSLATE(J171, ""de"", ""en"")"),"800 grams")</f>
        <v>800 grams</v>
      </c>
      <c r="E171" s="4" t="str">
        <f>IFERROR(__xludf.DUMMYFUNCTION("GOOGLETRANSLATE(K171, ""de"", ""en"")"),"An official Kloot may weigh a maximum of 800 grams.")</f>
        <v>An official Kloot may weigh a maximum of 800 grams.</v>
      </c>
      <c r="F171" s="2"/>
      <c r="G171" s="5">
        <v>170.0</v>
      </c>
      <c r="H171" s="4" t="s">
        <v>2875</v>
      </c>
      <c r="I171" s="4" t="s">
        <v>3194</v>
      </c>
      <c r="J171" s="4" t="s">
        <v>3195</v>
      </c>
      <c r="K171" s="4" t="s">
        <v>3196</v>
      </c>
      <c r="L171" s="2"/>
      <c r="R171" s="2"/>
      <c r="S171" s="2"/>
      <c r="T171" s="2"/>
      <c r="U171" s="2"/>
    </row>
    <row r="172" ht="22.5" customHeight="1">
      <c r="A172" s="4" t="str">
        <f>IFERROR(__xludf.DUMMYFUNCTION("GOOGLETRANSLATE(G172, ""de"", ""en"")"),"171")</f>
        <v>171</v>
      </c>
      <c r="B172" s="4" t="str">
        <f>IFERROR(__xludf.DUMMYFUNCTION("GOOGLETRANSLATE(H172, ""de"", ""en"")"),"What happens if the Kloot deviates too far?")</f>
        <v>What happens if the Kloot deviates too far?</v>
      </c>
      <c r="C172" s="4" t="s">
        <v>3197</v>
      </c>
      <c r="D172" s="4" t="str">
        <f>IFERROR(__xludf.DUMMYFUNCTION("GOOGLETRANSLATE(J172, ""de"", ""en"")"),"Invalid")</f>
        <v>Invalid</v>
      </c>
      <c r="E172" s="4" t="str">
        <f>IFERROR(__xludf.DUMMYFUNCTION("GOOGLETRANSLATE(K172, ""de"", ""en"")"),"A kloot that deviates significantly from the boundaries of the playing field is invalid.")</f>
        <v>A kloot that deviates significantly from the boundaries of the playing field is invalid.</v>
      </c>
      <c r="F172" s="2"/>
      <c r="G172" s="5">
        <v>171.0</v>
      </c>
      <c r="H172" s="4" t="s">
        <v>3198</v>
      </c>
      <c r="I172" s="4" t="s">
        <v>3199</v>
      </c>
      <c r="J172" s="4" t="s">
        <v>3200</v>
      </c>
      <c r="K172" s="4" t="s">
        <v>3201</v>
      </c>
      <c r="L172" s="2"/>
      <c r="R172" s="2"/>
      <c r="S172" s="2"/>
      <c r="T172" s="2"/>
      <c r="U172" s="2"/>
    </row>
    <row r="173" ht="22.5" customHeight="1">
      <c r="A173" s="4" t="str">
        <f>IFERROR(__xludf.DUMMYFUNCTION("GOOGLETRANSLATE(G173, ""de"", ""en"")"),"172")</f>
        <v>172</v>
      </c>
      <c r="B173" s="4" t="str">
        <f>IFERROR(__xludf.DUMMYFUNCTION("GOOGLETRANSLATE(H173, ""de"", ""en"")"),"How often can a team take a strategy break?")</f>
        <v>How often can a team take a strategy break?</v>
      </c>
      <c r="C173" s="4" t="s">
        <v>3202</v>
      </c>
      <c r="D173" s="4" t="str">
        <f>IFERROR(__xludf.DUMMYFUNCTION("GOOGLETRANSLATE(J173, ""de"", ""en"")"),"2 times")</f>
        <v>2 times</v>
      </c>
      <c r="E173" s="4" t="str">
        <f>IFERROR(__xludf.DUMMYFUNCTION("GOOGLETRANSLATE(K173, ""de"", ""en"")"),"A maximum of two strategy breaks are allowed per game.")</f>
        <v>A maximum of two strategy breaks are allowed per game.</v>
      </c>
      <c r="F173" s="2"/>
      <c r="G173" s="5">
        <v>172.0</v>
      </c>
      <c r="H173" s="4" t="s">
        <v>3203</v>
      </c>
      <c r="I173" s="4" t="s">
        <v>3204</v>
      </c>
      <c r="J173" s="4" t="s">
        <v>3205</v>
      </c>
      <c r="K173" s="4" t="s">
        <v>3206</v>
      </c>
      <c r="L173" s="2"/>
      <c r="R173" s="2"/>
      <c r="S173" s="2"/>
      <c r="T173" s="2"/>
      <c r="U173" s="2"/>
    </row>
    <row r="174" ht="22.5" customHeight="1">
      <c r="A174" s="4" t="str">
        <f>IFERROR(__xludf.DUMMYFUNCTION("GOOGLETRANSLATE(G174, ""de"", ""en"")"),"173")</f>
        <v>173</v>
      </c>
      <c r="B174" s="4" t="str">
        <f>IFERROR(__xludf.DUMMYFUNCTION("GOOGLETRANSLATE(H174, ""de"", ""en"")"),"Who marks the throwing distance on the playing field?")</f>
        <v>Who marks the throwing distance on the playing field?</v>
      </c>
      <c r="C174" s="4" t="s">
        <v>3207</v>
      </c>
      <c r="D174" s="4" t="str">
        <f>IFERROR(__xludf.DUMMYFUNCTION("GOOGLETRANSLATE(J174, ""de"", ""en"")"),"The referee")</f>
        <v>The referee</v>
      </c>
      <c r="E174" s="4" t="str">
        <f>IFERROR(__xludf.DUMMYFUNCTION("GOOGLETRANSLATE(K174, ""de"", ""en"")"),"The throwing distance is marked by the referee.")</f>
        <v>The throwing distance is marked by the referee.</v>
      </c>
      <c r="F174" s="2"/>
      <c r="G174" s="5">
        <v>173.0</v>
      </c>
      <c r="H174" s="4" t="s">
        <v>3208</v>
      </c>
      <c r="I174" s="4" t="s">
        <v>3209</v>
      </c>
      <c r="J174" s="4" t="s">
        <v>2519</v>
      </c>
      <c r="K174" s="4" t="s">
        <v>3210</v>
      </c>
      <c r="L174" s="2"/>
      <c r="R174" s="2"/>
      <c r="S174" s="2"/>
      <c r="T174" s="2"/>
      <c r="U174" s="2"/>
    </row>
    <row r="175" ht="22.5" customHeight="1">
      <c r="A175" s="4" t="str">
        <f>IFERROR(__xludf.DUMMYFUNCTION("GOOGLETRANSLATE(G175, ""de"", ""en"")"),"174")</f>
        <v>174</v>
      </c>
      <c r="B175" s="4" t="str">
        <f>IFERROR(__xludf.DUMMYFUNCTION("GOOGLETRANSLATE(H175, ""de"", ""en"")"),"What material is ideal for the playing surface?")</f>
        <v>What material is ideal for the playing surface?</v>
      </c>
      <c r="C175" s="4" t="s">
        <v>3211</v>
      </c>
      <c r="D175" s="4" t="str">
        <f>IFERROR(__xludf.DUMMYFUNCTION("GOOGLETRANSLATE(J175, ""de"", ""en"")"),"asphalt")</f>
        <v>asphalt</v>
      </c>
      <c r="E175" s="4" t="str">
        <f>IFERROR(__xludf.DUMMYFUNCTION("GOOGLETRANSLATE(K175, ""de"", ""en"")"),"Kloot Shooting is traditionally played on asphalt.")</f>
        <v>Kloot Shooting is traditionally played on asphalt.</v>
      </c>
      <c r="F175" s="2"/>
      <c r="G175" s="5">
        <v>174.0</v>
      </c>
      <c r="H175" s="4" t="s">
        <v>3212</v>
      </c>
      <c r="I175" s="4" t="s">
        <v>3213</v>
      </c>
      <c r="J175" s="4" t="s">
        <v>3214</v>
      </c>
      <c r="K175" s="4" t="s">
        <v>3215</v>
      </c>
      <c r="L175" s="2"/>
      <c r="R175" s="2"/>
      <c r="S175" s="2"/>
      <c r="T175" s="2"/>
      <c r="U175" s="2"/>
    </row>
    <row r="176" ht="22.5" customHeight="1">
      <c r="A176" s="4" t="str">
        <f>IFERROR(__xludf.DUMMYFUNCTION("GOOGLETRANSLATE(G176, ""de"", ""en"")"),"175")</f>
        <v>175</v>
      </c>
      <c r="B176" s="4" t="str">
        <f>IFERROR(__xludf.DUMMYFUNCTION("GOOGLETRANSLATE(H176, ""de"", ""en"")"),"Can a Kloot be polished before throwing?")</f>
        <v>Can a Kloot be polished before throwing?</v>
      </c>
      <c r="C176" s="4" t="s">
        <v>3216</v>
      </c>
      <c r="D176" s="4" t="str">
        <f>IFERROR(__xludf.DUMMYFUNCTION("GOOGLETRANSLATE(J176, ""de"", ""en"")"),"Yes")</f>
        <v>Yes</v>
      </c>
      <c r="E176" s="4" t="str">
        <f>IFERROR(__xludf.DUMMYFUNCTION("GOOGLETRANSLATE(K176, ""de"", ""en"")"),"Polishing a Kloot (a type of bowling ball) is allowed.")</f>
        <v>Polishing a Kloot (a type of bowling ball) is allowed.</v>
      </c>
      <c r="F176" s="2"/>
      <c r="G176" s="5">
        <v>175.0</v>
      </c>
      <c r="H176" s="4" t="s">
        <v>3217</v>
      </c>
      <c r="I176" s="4" t="s">
        <v>3218</v>
      </c>
      <c r="J176" s="4" t="s">
        <v>1820</v>
      </c>
      <c r="K176" s="4" t="s">
        <v>3219</v>
      </c>
      <c r="L176" s="2"/>
      <c r="R176" s="2"/>
      <c r="S176" s="2"/>
      <c r="T176" s="2"/>
      <c r="U176" s="2"/>
    </row>
    <row r="177" ht="22.5" customHeight="1">
      <c r="A177" s="4" t="str">
        <f>IFERROR(__xludf.DUMMYFUNCTION("GOOGLETRANSLATE(G177, ""de"", ""en"")"),"176")</f>
        <v>176</v>
      </c>
      <c r="B177" s="4" t="str">
        <f>IFERROR(__xludf.DUMMYFUNCTION("GOOGLETRANSLATE(H177, ""de"", ""en"")"),"What is the goal of the game?")</f>
        <v>What is the goal of the game?</v>
      </c>
      <c r="C177" s="4" t="s">
        <v>3220</v>
      </c>
      <c r="D177" s="4" t="str">
        <f>IFERROR(__xludf.DUMMYFUNCTION("GOOGLETRANSLATE(J177, ""de"", ""en"")"),"Achieve the greatest distance")</f>
        <v>Achieve the greatest distance</v>
      </c>
      <c r="E177" s="4" t="str">
        <f>IFERROR(__xludf.DUMMYFUNCTION("GOOGLETRANSLATE(K177, ""de"", ""en"")"),"The aim of the game is to throw the toilet as far as possible.")</f>
        <v>The aim of the game is to throw the toilet as far as possible.</v>
      </c>
      <c r="F177" s="2"/>
      <c r="G177" s="5">
        <v>176.0</v>
      </c>
      <c r="H177" s="4" t="s">
        <v>3221</v>
      </c>
      <c r="I177" s="4" t="s">
        <v>3222</v>
      </c>
      <c r="J177" s="4" t="s">
        <v>3223</v>
      </c>
      <c r="K177" s="4" t="s">
        <v>3224</v>
      </c>
      <c r="L177" s="2"/>
      <c r="R177" s="2"/>
      <c r="S177" s="2"/>
      <c r="T177" s="2"/>
      <c r="U177" s="2"/>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3" width="37.63"/>
    <col customWidth="1" min="4" max="5" width="31.5"/>
    <col customWidth="1" min="7" max="7" width="37.63"/>
    <col customWidth="1" min="8" max="8" width="20.75"/>
    <col customWidth="1" min="9" max="10" width="37.63"/>
  </cols>
  <sheetData>
    <row r="1" ht="22.5" customHeight="1">
      <c r="A1" s="10" t="s">
        <v>3225</v>
      </c>
      <c r="B1" s="11" t="s">
        <v>1</v>
      </c>
      <c r="C1" s="11" t="s">
        <v>2</v>
      </c>
      <c r="D1" s="11" t="s">
        <v>262</v>
      </c>
      <c r="E1" s="11" t="s">
        <v>4</v>
      </c>
      <c r="G1" s="3" t="s">
        <v>3225</v>
      </c>
      <c r="H1" s="3" t="s">
        <v>6</v>
      </c>
      <c r="I1" s="3" t="s">
        <v>7</v>
      </c>
      <c r="J1" s="3" t="s">
        <v>8</v>
      </c>
      <c r="K1" s="3" t="s">
        <v>4</v>
      </c>
    </row>
    <row r="2" ht="22.5" customHeight="1">
      <c r="A2" s="12">
        <v>1.0</v>
      </c>
      <c r="B2" s="13" t="s">
        <v>3226</v>
      </c>
      <c r="C2" s="13" t="s">
        <v>1769</v>
      </c>
      <c r="D2" s="13" t="s">
        <v>2194</v>
      </c>
      <c r="E2" s="13" t="s">
        <v>3227</v>
      </c>
      <c r="G2" s="14">
        <v>1.0</v>
      </c>
      <c r="H2" s="4" t="s">
        <v>3228</v>
      </c>
      <c r="I2" s="4" t="s">
        <v>1772</v>
      </c>
      <c r="J2" s="4" t="s">
        <v>159</v>
      </c>
      <c r="K2" s="4" t="s">
        <v>3229</v>
      </c>
    </row>
    <row r="3" ht="22.5" customHeight="1">
      <c r="A3" s="12">
        <v>2.0</v>
      </c>
      <c r="B3" s="13" t="s">
        <v>3230</v>
      </c>
      <c r="C3" s="13" t="s">
        <v>3231</v>
      </c>
      <c r="D3" s="13" t="s">
        <v>3232</v>
      </c>
      <c r="E3" s="13" t="s">
        <v>3233</v>
      </c>
      <c r="G3" s="14">
        <v>2.0</v>
      </c>
      <c r="H3" s="4" t="s">
        <v>3234</v>
      </c>
      <c r="I3" s="4" t="s">
        <v>3235</v>
      </c>
      <c r="J3" s="4" t="s">
        <v>3236</v>
      </c>
      <c r="K3" s="4" t="s">
        <v>3237</v>
      </c>
    </row>
    <row r="4" ht="22.5" customHeight="1">
      <c r="A4" s="12">
        <v>3.0</v>
      </c>
      <c r="B4" s="13" t="s">
        <v>3238</v>
      </c>
      <c r="C4" s="13" t="s">
        <v>3239</v>
      </c>
      <c r="D4" s="13" t="s">
        <v>3240</v>
      </c>
      <c r="E4" s="13" t="s">
        <v>3241</v>
      </c>
      <c r="G4" s="14">
        <v>3.0</v>
      </c>
      <c r="H4" s="4" t="s">
        <v>3242</v>
      </c>
      <c r="I4" s="4" t="s">
        <v>3243</v>
      </c>
      <c r="J4" s="4" t="s">
        <v>3244</v>
      </c>
      <c r="K4" s="4" t="s">
        <v>3245</v>
      </c>
    </row>
    <row r="5" ht="22.5" customHeight="1">
      <c r="A5" s="12">
        <v>4.0</v>
      </c>
      <c r="B5" s="13" t="s">
        <v>3246</v>
      </c>
      <c r="C5" s="13" t="s">
        <v>3247</v>
      </c>
      <c r="D5" s="13" t="s">
        <v>3248</v>
      </c>
      <c r="E5" s="13" t="s">
        <v>3249</v>
      </c>
      <c r="G5" s="14">
        <v>4.0</v>
      </c>
      <c r="H5" s="4" t="s">
        <v>3250</v>
      </c>
      <c r="I5" s="4" t="s">
        <v>3251</v>
      </c>
      <c r="J5" s="4" t="s">
        <v>3252</v>
      </c>
      <c r="K5" s="4" t="s">
        <v>3253</v>
      </c>
    </row>
    <row r="6" ht="22.5" customHeight="1">
      <c r="A6" s="12">
        <v>5.0</v>
      </c>
      <c r="B6" s="13" t="s">
        <v>3254</v>
      </c>
      <c r="C6" s="13" t="s">
        <v>3255</v>
      </c>
      <c r="D6" s="13" t="s">
        <v>3256</v>
      </c>
      <c r="E6" s="13" t="s">
        <v>3257</v>
      </c>
      <c r="G6" s="14">
        <v>5.0</v>
      </c>
      <c r="H6" s="4" t="s">
        <v>3258</v>
      </c>
      <c r="I6" s="4" t="s">
        <v>3259</v>
      </c>
      <c r="J6" s="4" t="s">
        <v>2514</v>
      </c>
      <c r="K6" s="4" t="s">
        <v>3260</v>
      </c>
    </row>
    <row r="7" ht="22.5" customHeight="1">
      <c r="A7" s="12">
        <v>6.0</v>
      </c>
      <c r="B7" s="13" t="s">
        <v>3261</v>
      </c>
      <c r="C7" s="13" t="s">
        <v>3262</v>
      </c>
      <c r="D7" s="13" t="s">
        <v>3263</v>
      </c>
      <c r="E7" s="13" t="s">
        <v>3264</v>
      </c>
      <c r="G7" s="14">
        <v>6.0</v>
      </c>
      <c r="H7" s="4" t="s">
        <v>3265</v>
      </c>
      <c r="I7" s="4" t="s">
        <v>3266</v>
      </c>
      <c r="J7" s="4" t="s">
        <v>3267</v>
      </c>
      <c r="K7" s="4" t="s">
        <v>3268</v>
      </c>
    </row>
    <row r="8" ht="22.5" customHeight="1">
      <c r="A8" s="12">
        <v>7.0</v>
      </c>
      <c r="B8" s="13" t="s">
        <v>3269</v>
      </c>
      <c r="C8" s="13" t="s">
        <v>3270</v>
      </c>
      <c r="D8" s="13" t="s">
        <v>3271</v>
      </c>
      <c r="E8" s="13" t="s">
        <v>3272</v>
      </c>
      <c r="G8" s="14">
        <v>7.0</v>
      </c>
      <c r="H8" s="4" t="s">
        <v>3273</v>
      </c>
      <c r="I8" s="4" t="s">
        <v>3274</v>
      </c>
      <c r="J8" s="4" t="s">
        <v>3275</v>
      </c>
      <c r="K8" s="4" t="s">
        <v>3276</v>
      </c>
    </row>
    <row r="9" ht="22.5" customHeight="1">
      <c r="A9" s="12">
        <v>8.0</v>
      </c>
      <c r="B9" s="13" t="s">
        <v>3277</v>
      </c>
      <c r="C9" s="13" t="s">
        <v>3278</v>
      </c>
      <c r="D9" s="13" t="s">
        <v>3279</v>
      </c>
      <c r="E9" s="13" t="s">
        <v>3280</v>
      </c>
      <c r="G9" s="14">
        <v>8.0</v>
      </c>
      <c r="H9" s="4" t="s">
        <v>3281</v>
      </c>
      <c r="I9" s="4" t="s">
        <v>3282</v>
      </c>
      <c r="J9" s="4" t="s">
        <v>3283</v>
      </c>
      <c r="K9" s="4" t="s">
        <v>3284</v>
      </c>
    </row>
    <row r="10" ht="22.5" customHeight="1">
      <c r="A10" s="12">
        <v>9.0</v>
      </c>
      <c r="B10" s="13" t="s">
        <v>3285</v>
      </c>
      <c r="C10" s="13" t="s">
        <v>3286</v>
      </c>
      <c r="D10" s="13" t="s">
        <v>3287</v>
      </c>
      <c r="E10" s="13" t="s">
        <v>3288</v>
      </c>
      <c r="G10" s="14">
        <v>9.0</v>
      </c>
      <c r="H10" s="4" t="s">
        <v>3289</v>
      </c>
      <c r="I10" s="4" t="s">
        <v>3286</v>
      </c>
      <c r="J10" s="4" t="s">
        <v>3287</v>
      </c>
      <c r="K10" s="4" t="s">
        <v>3290</v>
      </c>
    </row>
    <row r="11" ht="22.5" customHeight="1">
      <c r="A11" s="12">
        <v>10.0</v>
      </c>
      <c r="B11" s="13" t="s">
        <v>3291</v>
      </c>
      <c r="C11" s="13" t="s">
        <v>3292</v>
      </c>
      <c r="D11" s="13" t="s">
        <v>3293</v>
      </c>
      <c r="E11" s="13" t="s">
        <v>3294</v>
      </c>
      <c r="G11" s="14">
        <v>10.0</v>
      </c>
      <c r="H11" s="4" t="s">
        <v>3295</v>
      </c>
      <c r="I11" s="4" t="s">
        <v>3296</v>
      </c>
      <c r="J11" s="4" t="s">
        <v>3297</v>
      </c>
      <c r="K11" s="4" t="s">
        <v>3298</v>
      </c>
    </row>
    <row r="12" ht="22.5" customHeight="1">
      <c r="A12" s="12">
        <v>11.0</v>
      </c>
      <c r="B12" s="13" t="s">
        <v>3299</v>
      </c>
      <c r="C12" s="13" t="s">
        <v>3300</v>
      </c>
      <c r="D12" s="13" t="s">
        <v>3271</v>
      </c>
      <c r="E12" s="13" t="s">
        <v>3301</v>
      </c>
      <c r="G12" s="14">
        <v>11.0</v>
      </c>
      <c r="H12" s="4" t="s">
        <v>3302</v>
      </c>
      <c r="I12" s="4" t="s">
        <v>3303</v>
      </c>
      <c r="J12" s="4" t="s">
        <v>3275</v>
      </c>
      <c r="K12" s="4" t="s">
        <v>3304</v>
      </c>
    </row>
    <row r="13" ht="22.5" customHeight="1">
      <c r="A13" s="12">
        <v>12.0</v>
      </c>
      <c r="B13" s="13" t="s">
        <v>3305</v>
      </c>
      <c r="C13" s="13" t="s">
        <v>3306</v>
      </c>
      <c r="D13" s="13" t="s">
        <v>3307</v>
      </c>
      <c r="E13" s="13" t="s">
        <v>3308</v>
      </c>
      <c r="G13" s="14">
        <v>12.0</v>
      </c>
      <c r="H13" s="4" t="s">
        <v>3309</v>
      </c>
      <c r="I13" s="4" t="s">
        <v>3310</v>
      </c>
      <c r="J13" s="4" t="s">
        <v>3311</v>
      </c>
      <c r="K13" s="4" t="s">
        <v>3312</v>
      </c>
    </row>
    <row r="14" ht="22.5" customHeight="1">
      <c r="A14" s="12">
        <v>13.0</v>
      </c>
      <c r="B14" s="13" t="s">
        <v>3313</v>
      </c>
      <c r="C14" s="13" t="s">
        <v>3314</v>
      </c>
      <c r="D14" s="13" t="s">
        <v>3315</v>
      </c>
      <c r="E14" s="13" t="s">
        <v>3316</v>
      </c>
      <c r="G14" s="14">
        <v>13.0</v>
      </c>
      <c r="H14" s="4" t="s">
        <v>3317</v>
      </c>
      <c r="I14" s="4" t="s">
        <v>3318</v>
      </c>
      <c r="J14" s="4" t="s">
        <v>3074</v>
      </c>
      <c r="K14" s="4" t="s">
        <v>3319</v>
      </c>
    </row>
    <row r="15" ht="22.5" customHeight="1">
      <c r="A15" s="12">
        <v>14.0</v>
      </c>
      <c r="B15" s="13" t="s">
        <v>3320</v>
      </c>
      <c r="C15" s="13" t="s">
        <v>3321</v>
      </c>
      <c r="D15" s="13" t="s">
        <v>3293</v>
      </c>
      <c r="E15" s="13" t="s">
        <v>3322</v>
      </c>
      <c r="G15" s="14">
        <v>14.0</v>
      </c>
      <c r="H15" s="4" t="s">
        <v>3323</v>
      </c>
      <c r="I15" s="4" t="s">
        <v>3324</v>
      </c>
      <c r="J15" s="4" t="s">
        <v>3297</v>
      </c>
      <c r="K15" s="4" t="s">
        <v>3325</v>
      </c>
    </row>
    <row r="16" ht="22.5" customHeight="1">
      <c r="A16" s="12">
        <v>15.0</v>
      </c>
      <c r="B16" s="13" t="s">
        <v>3326</v>
      </c>
      <c r="C16" s="13" t="s">
        <v>3327</v>
      </c>
      <c r="D16" s="13" t="s">
        <v>3328</v>
      </c>
      <c r="E16" s="13" t="s">
        <v>3329</v>
      </c>
      <c r="G16" s="14">
        <v>15.0</v>
      </c>
      <c r="H16" s="4" t="s">
        <v>3330</v>
      </c>
      <c r="I16" s="4" t="s">
        <v>3331</v>
      </c>
      <c r="J16" s="4" t="s">
        <v>3332</v>
      </c>
      <c r="K16" s="4" t="s">
        <v>3333</v>
      </c>
    </row>
    <row r="17" ht="22.5" customHeight="1">
      <c r="A17" s="12">
        <v>16.0</v>
      </c>
      <c r="B17" s="13" t="s">
        <v>3334</v>
      </c>
      <c r="C17" s="13" t="s">
        <v>3335</v>
      </c>
      <c r="D17" s="13" t="s">
        <v>3336</v>
      </c>
      <c r="E17" s="13" t="s">
        <v>3337</v>
      </c>
      <c r="G17" s="14">
        <v>16.0</v>
      </c>
      <c r="H17" s="4" t="s">
        <v>3338</v>
      </c>
      <c r="I17" s="4" t="s">
        <v>3339</v>
      </c>
      <c r="J17" s="4" t="s">
        <v>3340</v>
      </c>
      <c r="K17" s="4" t="s">
        <v>3341</v>
      </c>
    </row>
    <row r="18" ht="22.5" customHeight="1">
      <c r="A18" s="12">
        <v>17.0</v>
      </c>
      <c r="B18" s="13" t="s">
        <v>3342</v>
      </c>
      <c r="C18" s="13" t="s">
        <v>3343</v>
      </c>
      <c r="D18" s="13" t="s">
        <v>3344</v>
      </c>
      <c r="E18" s="13" t="s">
        <v>3345</v>
      </c>
      <c r="G18" s="14">
        <v>17.0</v>
      </c>
      <c r="H18" s="4" t="s">
        <v>3346</v>
      </c>
      <c r="I18" s="4" t="s">
        <v>3347</v>
      </c>
      <c r="J18" s="4" t="s">
        <v>3348</v>
      </c>
      <c r="K18" s="4" t="s">
        <v>3349</v>
      </c>
    </row>
    <row r="19" ht="22.5" customHeight="1">
      <c r="A19" s="12">
        <v>18.0</v>
      </c>
      <c r="B19" s="13" t="s">
        <v>3350</v>
      </c>
      <c r="C19" s="13" t="s">
        <v>3351</v>
      </c>
      <c r="D19" s="13" t="s">
        <v>3352</v>
      </c>
      <c r="E19" s="13" t="s">
        <v>3353</v>
      </c>
      <c r="G19" s="14">
        <v>18.0</v>
      </c>
      <c r="H19" s="4" t="s">
        <v>3354</v>
      </c>
      <c r="I19" s="4" t="s">
        <v>3355</v>
      </c>
      <c r="J19" s="4" t="s">
        <v>3356</v>
      </c>
      <c r="K19" s="4" t="s">
        <v>3357</v>
      </c>
    </row>
    <row r="20" ht="22.5" customHeight="1">
      <c r="A20" s="12">
        <v>19.0</v>
      </c>
      <c r="B20" s="13" t="s">
        <v>3358</v>
      </c>
      <c r="C20" s="13" t="s">
        <v>3359</v>
      </c>
      <c r="D20" s="13" t="s">
        <v>3360</v>
      </c>
      <c r="E20" s="13" t="s">
        <v>3361</v>
      </c>
      <c r="G20" s="14">
        <v>19.0</v>
      </c>
      <c r="H20" s="4" t="s">
        <v>3362</v>
      </c>
      <c r="I20" s="4" t="s">
        <v>3363</v>
      </c>
      <c r="J20" s="4" t="s">
        <v>3364</v>
      </c>
      <c r="K20" s="4" t="s">
        <v>3365</v>
      </c>
    </row>
    <row r="21" ht="22.5" customHeight="1">
      <c r="A21" s="12">
        <v>20.0</v>
      </c>
      <c r="B21" s="13" t="s">
        <v>3366</v>
      </c>
      <c r="C21" s="13" t="s">
        <v>3367</v>
      </c>
      <c r="D21" s="13" t="s">
        <v>3368</v>
      </c>
      <c r="E21" s="13" t="s">
        <v>3369</v>
      </c>
      <c r="G21" s="14">
        <v>20.0</v>
      </c>
      <c r="H21" s="4" t="s">
        <v>3370</v>
      </c>
      <c r="I21" s="4" t="s">
        <v>3371</v>
      </c>
      <c r="J21" s="4" t="s">
        <v>3372</v>
      </c>
      <c r="K21" s="4" t="s">
        <v>3373</v>
      </c>
    </row>
    <row r="22" ht="22.5" customHeight="1">
      <c r="A22" s="12">
        <v>21.0</v>
      </c>
      <c r="B22" s="13" t="s">
        <v>3374</v>
      </c>
      <c r="C22" s="13" t="s">
        <v>3375</v>
      </c>
      <c r="D22" s="13" t="s">
        <v>3376</v>
      </c>
      <c r="E22" s="13" t="s">
        <v>3377</v>
      </c>
      <c r="G22" s="14">
        <v>21.0</v>
      </c>
      <c r="H22" s="4" t="s">
        <v>3378</v>
      </c>
      <c r="I22" s="4" t="s">
        <v>3379</v>
      </c>
      <c r="J22" s="4" t="s">
        <v>2519</v>
      </c>
      <c r="K22" s="4" t="s">
        <v>3380</v>
      </c>
    </row>
    <row r="23" ht="22.5" customHeight="1">
      <c r="A23" s="12">
        <v>22.0</v>
      </c>
      <c r="B23" s="13" t="s">
        <v>3381</v>
      </c>
      <c r="C23" s="13" t="s">
        <v>3382</v>
      </c>
      <c r="D23" s="13" t="s">
        <v>3383</v>
      </c>
      <c r="E23" s="13" t="s">
        <v>3384</v>
      </c>
      <c r="G23" s="14">
        <v>22.0</v>
      </c>
      <c r="H23" s="4" t="s">
        <v>3385</v>
      </c>
      <c r="I23" s="4" t="s">
        <v>3386</v>
      </c>
      <c r="J23" s="4" t="s">
        <v>3387</v>
      </c>
      <c r="K23" s="4" t="s">
        <v>3388</v>
      </c>
    </row>
    <row r="24" ht="22.5" customHeight="1">
      <c r="A24" s="12">
        <v>23.0</v>
      </c>
      <c r="B24" s="13" t="s">
        <v>3389</v>
      </c>
      <c r="C24" s="13" t="s">
        <v>3390</v>
      </c>
      <c r="D24" s="13" t="s">
        <v>1916</v>
      </c>
      <c r="E24" s="13" t="s">
        <v>3391</v>
      </c>
      <c r="G24" s="14">
        <v>23.0</v>
      </c>
      <c r="H24" s="4" t="s">
        <v>3392</v>
      </c>
      <c r="I24" s="4" t="s">
        <v>3393</v>
      </c>
      <c r="J24" s="4" t="s">
        <v>3394</v>
      </c>
      <c r="K24" s="4" t="s">
        <v>3395</v>
      </c>
    </row>
    <row r="25" ht="22.5" customHeight="1">
      <c r="A25" s="12">
        <v>24.0</v>
      </c>
      <c r="B25" s="13" t="s">
        <v>3396</v>
      </c>
      <c r="C25" s="13" t="s">
        <v>3397</v>
      </c>
      <c r="D25" s="13" t="s">
        <v>3293</v>
      </c>
      <c r="E25" s="13" t="s">
        <v>3398</v>
      </c>
      <c r="G25" s="14">
        <v>24.0</v>
      </c>
      <c r="H25" s="4" t="s">
        <v>3399</v>
      </c>
      <c r="I25" s="4" t="s">
        <v>3400</v>
      </c>
      <c r="J25" s="4" t="s">
        <v>3297</v>
      </c>
      <c r="K25" s="4" t="s">
        <v>3401</v>
      </c>
    </row>
    <row r="26" ht="22.5" customHeight="1">
      <c r="A26" s="12">
        <v>25.0</v>
      </c>
      <c r="B26" s="13" t="s">
        <v>3402</v>
      </c>
      <c r="C26" s="13" t="s">
        <v>3403</v>
      </c>
      <c r="D26" s="13" t="s">
        <v>3404</v>
      </c>
      <c r="E26" s="13" t="s">
        <v>3405</v>
      </c>
      <c r="G26" s="14">
        <v>25.0</v>
      </c>
      <c r="H26" s="4" t="s">
        <v>3406</v>
      </c>
      <c r="I26" s="4" t="s">
        <v>3407</v>
      </c>
      <c r="J26" s="4" t="s">
        <v>3408</v>
      </c>
      <c r="K26" s="4" t="s">
        <v>3409</v>
      </c>
    </row>
    <row r="27" ht="22.5" customHeight="1">
      <c r="A27" s="12">
        <v>26.0</v>
      </c>
      <c r="B27" s="13" t="s">
        <v>3410</v>
      </c>
      <c r="C27" s="13" t="s">
        <v>3411</v>
      </c>
      <c r="D27" s="13" t="s">
        <v>3256</v>
      </c>
      <c r="E27" s="13" t="s">
        <v>3412</v>
      </c>
      <c r="G27" s="14">
        <v>26.0</v>
      </c>
      <c r="H27" s="4" t="s">
        <v>3413</v>
      </c>
      <c r="I27" s="4" t="s">
        <v>3414</v>
      </c>
      <c r="J27" s="4" t="s">
        <v>2514</v>
      </c>
      <c r="K27" s="4" t="s">
        <v>3415</v>
      </c>
    </row>
    <row r="28" ht="22.5" customHeight="1">
      <c r="A28" s="12">
        <v>27.0</v>
      </c>
      <c r="B28" s="13" t="s">
        <v>3416</v>
      </c>
      <c r="C28" s="13" t="s">
        <v>3417</v>
      </c>
      <c r="D28" s="13" t="s">
        <v>3418</v>
      </c>
      <c r="E28" s="13" t="s">
        <v>3419</v>
      </c>
      <c r="G28" s="14">
        <v>27.0</v>
      </c>
      <c r="H28" s="4" t="s">
        <v>3420</v>
      </c>
      <c r="I28" s="4" t="s">
        <v>3421</v>
      </c>
      <c r="J28" s="4" t="s">
        <v>3422</v>
      </c>
      <c r="K28" s="4" t="s">
        <v>3423</v>
      </c>
    </row>
    <row r="29" ht="22.5" customHeight="1">
      <c r="A29" s="12">
        <v>28.0</v>
      </c>
      <c r="B29" s="13" t="s">
        <v>3424</v>
      </c>
      <c r="C29" s="13" t="s">
        <v>3181</v>
      </c>
      <c r="D29" s="13" t="s">
        <v>3425</v>
      </c>
      <c r="E29" s="13" t="s">
        <v>3426</v>
      </c>
      <c r="G29" s="14">
        <v>28.0</v>
      </c>
      <c r="H29" s="4" t="s">
        <v>3427</v>
      </c>
      <c r="I29" s="4" t="s">
        <v>3182</v>
      </c>
      <c r="J29" s="4" t="s">
        <v>2831</v>
      </c>
      <c r="K29" s="4" t="s">
        <v>3428</v>
      </c>
    </row>
    <row r="30" ht="22.5" customHeight="1">
      <c r="A30" s="12">
        <v>29.0</v>
      </c>
      <c r="B30" s="13" t="s">
        <v>3429</v>
      </c>
      <c r="C30" s="13" t="s">
        <v>3430</v>
      </c>
      <c r="D30" s="13" t="s">
        <v>3271</v>
      </c>
      <c r="E30" s="13" t="s">
        <v>3431</v>
      </c>
      <c r="G30" s="14">
        <v>29.0</v>
      </c>
      <c r="H30" s="4" t="s">
        <v>3432</v>
      </c>
      <c r="I30" s="4" t="s">
        <v>3433</v>
      </c>
      <c r="J30" s="4" t="s">
        <v>3275</v>
      </c>
      <c r="K30" s="4" t="s">
        <v>3434</v>
      </c>
    </row>
    <row r="31" ht="22.5" customHeight="1">
      <c r="A31" s="12">
        <v>30.0</v>
      </c>
      <c r="B31" s="13" t="s">
        <v>3435</v>
      </c>
      <c r="C31" s="13" t="s">
        <v>229</v>
      </c>
      <c r="D31" s="13" t="s">
        <v>232</v>
      </c>
      <c r="E31" s="13" t="s">
        <v>3436</v>
      </c>
      <c r="G31" s="14">
        <v>30.0</v>
      </c>
      <c r="H31" s="4" t="s">
        <v>3437</v>
      </c>
      <c r="I31" s="4" t="s">
        <v>231</v>
      </c>
      <c r="J31" s="4" t="s">
        <v>3438</v>
      </c>
      <c r="K31" s="4" t="s">
        <v>3439</v>
      </c>
    </row>
    <row r="32" ht="22.5" customHeight="1">
      <c r="A32" s="12">
        <v>31.0</v>
      </c>
      <c r="B32" s="13" t="s">
        <v>3440</v>
      </c>
      <c r="C32" s="13" t="s">
        <v>3441</v>
      </c>
      <c r="D32" s="13" t="s">
        <v>1816</v>
      </c>
      <c r="E32" s="13" t="s">
        <v>3442</v>
      </c>
      <c r="G32" s="14">
        <v>31.0</v>
      </c>
      <c r="H32" s="4" t="s">
        <v>3443</v>
      </c>
      <c r="I32" s="4" t="s">
        <v>3444</v>
      </c>
      <c r="J32" s="4" t="s">
        <v>1820</v>
      </c>
      <c r="K32" s="4" t="s">
        <v>3445</v>
      </c>
    </row>
    <row r="33" ht="22.5" customHeight="1">
      <c r="A33" s="12">
        <v>32.0</v>
      </c>
      <c r="B33" s="13" t="s">
        <v>3446</v>
      </c>
      <c r="C33" s="13" t="s">
        <v>3447</v>
      </c>
      <c r="D33" s="13" t="s">
        <v>3448</v>
      </c>
      <c r="E33" s="13" t="s">
        <v>3449</v>
      </c>
      <c r="G33" s="14">
        <v>32.0</v>
      </c>
      <c r="H33" s="4" t="s">
        <v>3450</v>
      </c>
      <c r="I33" s="4" t="s">
        <v>3451</v>
      </c>
      <c r="J33" s="4" t="s">
        <v>3452</v>
      </c>
      <c r="K33" s="4" t="s">
        <v>3453</v>
      </c>
    </row>
    <row r="34" ht="22.5" customHeight="1">
      <c r="A34" s="12">
        <v>33.0</v>
      </c>
      <c r="B34" s="13" t="s">
        <v>3454</v>
      </c>
      <c r="C34" s="13" t="s">
        <v>3455</v>
      </c>
      <c r="D34" s="13" t="s">
        <v>3456</v>
      </c>
      <c r="E34" s="13" t="s">
        <v>3457</v>
      </c>
      <c r="G34" s="14">
        <v>33.0</v>
      </c>
      <c r="H34" s="4" t="s">
        <v>3458</v>
      </c>
      <c r="I34" s="4" t="s">
        <v>3459</v>
      </c>
      <c r="J34" s="4" t="s">
        <v>2931</v>
      </c>
      <c r="K34" s="4" t="s">
        <v>3460</v>
      </c>
    </row>
    <row r="35" ht="22.5" customHeight="1">
      <c r="A35" s="12">
        <v>34.0</v>
      </c>
      <c r="B35" s="13" t="s">
        <v>3461</v>
      </c>
      <c r="C35" s="13" t="s">
        <v>3462</v>
      </c>
      <c r="D35" s="13" t="s">
        <v>3256</v>
      </c>
      <c r="E35" s="13" t="s">
        <v>3463</v>
      </c>
      <c r="G35" s="14">
        <v>34.0</v>
      </c>
      <c r="H35" s="4" t="s">
        <v>3464</v>
      </c>
      <c r="I35" s="4" t="s">
        <v>3465</v>
      </c>
      <c r="J35" s="4" t="s">
        <v>2514</v>
      </c>
      <c r="K35" s="4" t="s">
        <v>3466</v>
      </c>
    </row>
    <row r="36" ht="22.5" customHeight="1">
      <c r="A36" s="12">
        <v>35.0</v>
      </c>
      <c r="B36" s="13" t="s">
        <v>3467</v>
      </c>
      <c r="C36" s="13" t="s">
        <v>3468</v>
      </c>
      <c r="D36" s="13" t="s">
        <v>1458</v>
      </c>
      <c r="E36" s="13" t="s">
        <v>3469</v>
      </c>
      <c r="G36" s="14">
        <v>35.0</v>
      </c>
      <c r="H36" s="4" t="s">
        <v>3470</v>
      </c>
      <c r="I36" s="4" t="s">
        <v>3471</v>
      </c>
      <c r="J36" s="4" t="s">
        <v>3472</v>
      </c>
      <c r="K36" s="4" t="s">
        <v>3473</v>
      </c>
    </row>
    <row r="37" ht="22.5" customHeight="1">
      <c r="A37" s="12">
        <v>36.0</v>
      </c>
      <c r="B37" s="13" t="s">
        <v>3474</v>
      </c>
      <c r="C37" s="13" t="s">
        <v>3475</v>
      </c>
      <c r="D37" s="13" t="s">
        <v>3476</v>
      </c>
      <c r="E37" s="13" t="s">
        <v>3477</v>
      </c>
      <c r="G37" s="14">
        <v>36.0</v>
      </c>
      <c r="H37" s="4" t="s">
        <v>3478</v>
      </c>
      <c r="I37" s="4" t="s">
        <v>3479</v>
      </c>
      <c r="J37" s="4" t="s">
        <v>3480</v>
      </c>
      <c r="K37" s="4" t="s">
        <v>3481</v>
      </c>
    </row>
    <row r="38" ht="22.5" customHeight="1">
      <c r="A38" s="12">
        <v>37.0</v>
      </c>
      <c r="B38" s="13" t="s">
        <v>3482</v>
      </c>
      <c r="C38" s="13" t="s">
        <v>3483</v>
      </c>
      <c r="D38" s="13" t="s">
        <v>3484</v>
      </c>
      <c r="E38" s="13" t="s">
        <v>3485</v>
      </c>
      <c r="G38" s="14">
        <v>37.0</v>
      </c>
      <c r="H38" s="4" t="s">
        <v>3486</v>
      </c>
      <c r="I38" s="4" t="s">
        <v>3487</v>
      </c>
      <c r="J38" s="4" t="s">
        <v>140</v>
      </c>
      <c r="K38" s="4" t="s">
        <v>3488</v>
      </c>
    </row>
    <row r="39" ht="22.5" customHeight="1">
      <c r="A39" s="12">
        <v>38.0</v>
      </c>
      <c r="B39" s="13" t="s">
        <v>3489</v>
      </c>
      <c r="C39" s="13" t="s">
        <v>3490</v>
      </c>
      <c r="D39" s="13" t="s">
        <v>1816</v>
      </c>
      <c r="E39" s="13" t="s">
        <v>3491</v>
      </c>
      <c r="G39" s="14">
        <v>38.0</v>
      </c>
      <c r="H39" s="4" t="s">
        <v>3492</v>
      </c>
      <c r="I39" s="4" t="s">
        <v>3493</v>
      </c>
      <c r="J39" s="4" t="s">
        <v>1820</v>
      </c>
      <c r="K39" s="4" t="s">
        <v>3494</v>
      </c>
    </row>
    <row r="40" ht="22.5" customHeight="1">
      <c r="A40" s="12">
        <v>39.0</v>
      </c>
      <c r="B40" s="13" t="s">
        <v>3495</v>
      </c>
      <c r="C40" s="13" t="s">
        <v>3496</v>
      </c>
      <c r="D40" s="13" t="s">
        <v>3497</v>
      </c>
      <c r="E40" s="13" t="s">
        <v>3498</v>
      </c>
      <c r="G40" s="14">
        <v>39.0</v>
      </c>
      <c r="H40" s="4" t="s">
        <v>3499</v>
      </c>
      <c r="I40" s="4" t="s">
        <v>3500</v>
      </c>
      <c r="J40" s="4" t="s">
        <v>3501</v>
      </c>
      <c r="K40" s="4" t="s">
        <v>3502</v>
      </c>
    </row>
    <row r="41" ht="22.5" customHeight="1">
      <c r="A41" s="12">
        <v>40.0</v>
      </c>
      <c r="B41" s="13" t="s">
        <v>3503</v>
      </c>
      <c r="C41" s="13" t="s">
        <v>3504</v>
      </c>
      <c r="D41" s="13" t="s">
        <v>3344</v>
      </c>
      <c r="E41" s="13" t="s">
        <v>3345</v>
      </c>
      <c r="G41" s="14">
        <v>40.0</v>
      </c>
      <c r="H41" s="4" t="s">
        <v>3505</v>
      </c>
      <c r="I41" s="4" t="s">
        <v>3506</v>
      </c>
      <c r="J41" s="4" t="s">
        <v>3348</v>
      </c>
      <c r="K41" s="4" t="s">
        <v>3507</v>
      </c>
    </row>
    <row r="42" ht="22.5" customHeight="1">
      <c r="A42" s="12">
        <v>41.0</v>
      </c>
      <c r="B42" s="13" t="s">
        <v>3508</v>
      </c>
      <c r="C42" s="13" t="s">
        <v>3509</v>
      </c>
      <c r="D42" s="13" t="s">
        <v>3271</v>
      </c>
      <c r="E42" s="13" t="s">
        <v>3510</v>
      </c>
      <c r="G42" s="14">
        <v>41.0</v>
      </c>
      <c r="H42" s="4" t="s">
        <v>3511</v>
      </c>
      <c r="I42" s="4" t="s">
        <v>3512</v>
      </c>
      <c r="J42" s="4" t="s">
        <v>3275</v>
      </c>
      <c r="K42" s="4" t="s">
        <v>3513</v>
      </c>
    </row>
    <row r="43" ht="22.5" customHeight="1">
      <c r="A43" s="12">
        <v>42.0</v>
      </c>
      <c r="B43" s="13" t="s">
        <v>3514</v>
      </c>
      <c r="C43" s="13" t="s">
        <v>3515</v>
      </c>
      <c r="D43" s="13" t="s">
        <v>3516</v>
      </c>
      <c r="E43" s="13" t="s">
        <v>3517</v>
      </c>
      <c r="G43" s="14">
        <v>42.0</v>
      </c>
      <c r="H43" s="4" t="s">
        <v>3518</v>
      </c>
      <c r="I43" s="4" t="s">
        <v>3519</v>
      </c>
      <c r="J43" s="4" t="s">
        <v>3520</v>
      </c>
      <c r="K43" s="4" t="s">
        <v>3521</v>
      </c>
    </row>
    <row r="44" ht="22.5" customHeight="1">
      <c r="A44" s="12">
        <v>43.0</v>
      </c>
      <c r="B44" s="13" t="s">
        <v>3522</v>
      </c>
      <c r="C44" s="13" t="s">
        <v>3523</v>
      </c>
      <c r="D44" s="13" t="s">
        <v>3524</v>
      </c>
      <c r="E44" s="13" t="s">
        <v>3525</v>
      </c>
      <c r="G44" s="14">
        <v>43.0</v>
      </c>
      <c r="H44" s="4" t="s">
        <v>3526</v>
      </c>
      <c r="I44" s="4" t="s">
        <v>3527</v>
      </c>
      <c r="J44" s="4" t="s">
        <v>3528</v>
      </c>
      <c r="K44" s="4" t="s">
        <v>3529</v>
      </c>
    </row>
    <row r="45" ht="22.5" customHeight="1">
      <c r="A45" s="12">
        <v>44.0</v>
      </c>
      <c r="B45" s="13" t="s">
        <v>3530</v>
      </c>
      <c r="C45" s="13" t="s">
        <v>3531</v>
      </c>
      <c r="D45" s="13" t="s">
        <v>3532</v>
      </c>
      <c r="E45" s="13" t="s">
        <v>3533</v>
      </c>
      <c r="G45" s="14">
        <v>44.0</v>
      </c>
      <c r="H45" s="4" t="s">
        <v>3534</v>
      </c>
      <c r="I45" s="4" t="s">
        <v>3535</v>
      </c>
      <c r="J45" s="4" t="s">
        <v>3536</v>
      </c>
      <c r="K45" s="4" t="s">
        <v>3537</v>
      </c>
    </row>
    <row r="46" ht="22.5" customHeight="1">
      <c r="A46" s="12">
        <v>45.0</v>
      </c>
      <c r="B46" s="13" t="s">
        <v>3538</v>
      </c>
      <c r="C46" s="13" t="s">
        <v>3539</v>
      </c>
      <c r="D46" s="13" t="s">
        <v>3524</v>
      </c>
      <c r="E46" s="13" t="s">
        <v>3540</v>
      </c>
      <c r="G46" s="14">
        <v>45.0</v>
      </c>
      <c r="H46" s="4" t="s">
        <v>3541</v>
      </c>
      <c r="I46" s="4" t="s">
        <v>3542</v>
      </c>
      <c r="J46" s="4" t="s">
        <v>3528</v>
      </c>
      <c r="K46" s="4" t="s">
        <v>3543</v>
      </c>
    </row>
    <row r="47" ht="22.5" customHeight="1">
      <c r="A47" s="12">
        <v>46.0</v>
      </c>
      <c r="B47" s="13" t="s">
        <v>3544</v>
      </c>
      <c r="C47" s="13" t="s">
        <v>3545</v>
      </c>
      <c r="D47" s="13" t="s">
        <v>3271</v>
      </c>
      <c r="E47" s="13" t="s">
        <v>3546</v>
      </c>
      <c r="G47" s="14">
        <v>46.0</v>
      </c>
      <c r="H47" s="4" t="s">
        <v>3547</v>
      </c>
      <c r="I47" s="4" t="s">
        <v>3548</v>
      </c>
      <c r="J47" s="4" t="s">
        <v>3275</v>
      </c>
      <c r="K47" s="4" t="s">
        <v>3549</v>
      </c>
    </row>
    <row r="48" ht="22.5" customHeight="1">
      <c r="A48" s="12">
        <v>47.0</v>
      </c>
      <c r="B48" s="13" t="s">
        <v>3550</v>
      </c>
      <c r="C48" s="13" t="s">
        <v>3551</v>
      </c>
      <c r="D48" s="13" t="s">
        <v>3552</v>
      </c>
      <c r="E48" s="13" t="s">
        <v>3553</v>
      </c>
      <c r="G48" s="14">
        <v>47.0</v>
      </c>
      <c r="H48" s="4" t="s">
        <v>3554</v>
      </c>
      <c r="I48" s="4" t="s">
        <v>3555</v>
      </c>
      <c r="J48" s="4" t="s">
        <v>3556</v>
      </c>
      <c r="K48" s="4" t="s">
        <v>3557</v>
      </c>
    </row>
    <row r="49" ht="22.5" customHeight="1">
      <c r="A49" s="12">
        <v>48.0</v>
      </c>
      <c r="B49" s="13" t="s">
        <v>3558</v>
      </c>
      <c r="C49" s="13" t="s">
        <v>3559</v>
      </c>
      <c r="D49" s="13" t="s">
        <v>3560</v>
      </c>
      <c r="E49" s="13" t="s">
        <v>3561</v>
      </c>
      <c r="G49" s="14">
        <v>48.0</v>
      </c>
      <c r="H49" s="4" t="s">
        <v>3562</v>
      </c>
      <c r="I49" s="4" t="s">
        <v>3563</v>
      </c>
      <c r="J49" s="4" t="s">
        <v>3564</v>
      </c>
      <c r="K49" s="4" t="s">
        <v>3565</v>
      </c>
    </row>
    <row r="50" ht="22.5" customHeight="1">
      <c r="A50" s="12">
        <v>49.0</v>
      </c>
      <c r="B50" s="13" t="s">
        <v>3566</v>
      </c>
      <c r="C50" s="13" t="s">
        <v>3567</v>
      </c>
      <c r="D50" s="13" t="s">
        <v>3568</v>
      </c>
      <c r="E50" s="13" t="s">
        <v>3569</v>
      </c>
      <c r="G50" s="14">
        <v>49.0</v>
      </c>
      <c r="H50" s="4" t="s">
        <v>3570</v>
      </c>
      <c r="I50" s="4" t="s">
        <v>3571</v>
      </c>
      <c r="J50" s="4" t="s">
        <v>2430</v>
      </c>
      <c r="K50" s="4" t="s">
        <v>3572</v>
      </c>
    </row>
    <row r="51" ht="22.5" customHeight="1">
      <c r="A51" s="12">
        <v>50.0</v>
      </c>
      <c r="B51" s="13" t="s">
        <v>3573</v>
      </c>
      <c r="C51" s="13" t="s">
        <v>3574</v>
      </c>
      <c r="D51" s="13" t="s">
        <v>3307</v>
      </c>
      <c r="E51" s="13" t="s">
        <v>3575</v>
      </c>
      <c r="G51" s="14">
        <v>50.0</v>
      </c>
      <c r="H51" s="4" t="s">
        <v>3576</v>
      </c>
      <c r="I51" s="4" t="s">
        <v>3577</v>
      </c>
      <c r="J51" s="4" t="s">
        <v>3311</v>
      </c>
      <c r="K51" s="4" t="s">
        <v>3578</v>
      </c>
    </row>
    <row r="52" ht="22.5" customHeight="1">
      <c r="A52" s="12">
        <v>51.0</v>
      </c>
      <c r="B52" s="13" t="s">
        <v>3579</v>
      </c>
      <c r="C52" s="13" t="s">
        <v>3580</v>
      </c>
      <c r="D52" s="13" t="s">
        <v>3581</v>
      </c>
      <c r="E52" s="13" t="s">
        <v>3582</v>
      </c>
      <c r="G52" s="14">
        <v>51.0</v>
      </c>
      <c r="H52" s="4" t="s">
        <v>3583</v>
      </c>
      <c r="I52" s="4" t="s">
        <v>3584</v>
      </c>
      <c r="J52" s="4" t="s">
        <v>3581</v>
      </c>
      <c r="K52" s="4" t="s">
        <v>3585</v>
      </c>
    </row>
    <row r="53" ht="22.5" customHeight="1">
      <c r="A53" s="12">
        <v>52.0</v>
      </c>
      <c r="B53" s="13" t="s">
        <v>3586</v>
      </c>
      <c r="C53" s="13" t="s">
        <v>3587</v>
      </c>
      <c r="D53" s="13" t="s">
        <v>1816</v>
      </c>
      <c r="E53" s="13" t="s">
        <v>3588</v>
      </c>
      <c r="G53" s="14">
        <v>52.0</v>
      </c>
      <c r="H53" s="4" t="s">
        <v>3589</v>
      </c>
      <c r="I53" s="4" t="s">
        <v>3590</v>
      </c>
      <c r="J53" s="4" t="s">
        <v>1820</v>
      </c>
      <c r="K53" s="4" t="s">
        <v>3591</v>
      </c>
    </row>
    <row r="54" ht="22.5" customHeight="1">
      <c r="A54" s="12">
        <v>53.0</v>
      </c>
      <c r="B54" s="13" t="s">
        <v>3592</v>
      </c>
      <c r="C54" s="13" t="s">
        <v>3593</v>
      </c>
      <c r="D54" s="13" t="s">
        <v>3271</v>
      </c>
      <c r="E54" s="13" t="s">
        <v>3594</v>
      </c>
      <c r="G54" s="14">
        <v>53.0</v>
      </c>
      <c r="H54" s="4" t="s">
        <v>3595</v>
      </c>
      <c r="I54" s="4" t="s">
        <v>3596</v>
      </c>
      <c r="J54" s="4" t="s">
        <v>3275</v>
      </c>
      <c r="K54" s="4" t="s">
        <v>3597</v>
      </c>
    </row>
    <row r="55" ht="22.5" customHeight="1">
      <c r="A55" s="12">
        <v>54.0</v>
      </c>
      <c r="B55" s="13" t="s">
        <v>3598</v>
      </c>
      <c r="C55" s="13" t="s">
        <v>3599</v>
      </c>
      <c r="D55" s="13" t="s">
        <v>3600</v>
      </c>
      <c r="E55" s="13" t="s">
        <v>3601</v>
      </c>
      <c r="G55" s="14">
        <v>54.0</v>
      </c>
      <c r="H55" s="4" t="s">
        <v>3602</v>
      </c>
      <c r="I55" s="4" t="s">
        <v>3603</v>
      </c>
      <c r="J55" s="4" t="s">
        <v>3604</v>
      </c>
      <c r="K55" s="4" t="s">
        <v>3605</v>
      </c>
    </row>
    <row r="56" ht="22.5" customHeight="1">
      <c r="A56" s="12">
        <v>55.0</v>
      </c>
      <c r="B56" s="13" t="s">
        <v>3606</v>
      </c>
      <c r="C56" s="13" t="s">
        <v>3607</v>
      </c>
      <c r="D56" s="13" t="s">
        <v>3608</v>
      </c>
      <c r="E56" s="13" t="s">
        <v>3609</v>
      </c>
      <c r="G56" s="14">
        <v>55.0</v>
      </c>
      <c r="H56" s="4" t="s">
        <v>3610</v>
      </c>
      <c r="I56" s="4" t="s">
        <v>3611</v>
      </c>
      <c r="J56" s="4" t="s">
        <v>3612</v>
      </c>
      <c r="K56" s="4" t="s">
        <v>3613</v>
      </c>
    </row>
    <row r="57" ht="22.5" customHeight="1">
      <c r="A57" s="12">
        <v>56.0</v>
      </c>
      <c r="B57" s="13" t="s">
        <v>3614</v>
      </c>
      <c r="C57" s="13" t="s">
        <v>3615</v>
      </c>
      <c r="D57" s="13" t="s">
        <v>3616</v>
      </c>
      <c r="E57" s="13" t="s">
        <v>3617</v>
      </c>
      <c r="G57" s="14">
        <v>56.0</v>
      </c>
      <c r="H57" s="4" t="s">
        <v>3618</v>
      </c>
      <c r="I57" s="4" t="s">
        <v>3619</v>
      </c>
      <c r="J57" s="4" t="s">
        <v>3620</v>
      </c>
      <c r="K57" s="4" t="s">
        <v>3621</v>
      </c>
    </row>
    <row r="58" ht="22.5" customHeight="1">
      <c r="A58" s="12">
        <v>57.0</v>
      </c>
      <c r="B58" s="13" t="s">
        <v>3622</v>
      </c>
      <c r="C58" s="13" t="s">
        <v>3623</v>
      </c>
      <c r="D58" s="13" t="s">
        <v>3624</v>
      </c>
      <c r="E58" s="13" t="s">
        <v>3625</v>
      </c>
      <c r="G58" s="14">
        <v>57.0</v>
      </c>
      <c r="H58" s="4" t="s">
        <v>3626</v>
      </c>
      <c r="I58" s="4" t="s">
        <v>3627</v>
      </c>
      <c r="J58" s="4" t="s">
        <v>3628</v>
      </c>
      <c r="K58" s="4" t="s">
        <v>3629</v>
      </c>
    </row>
    <row r="59" ht="22.5" customHeight="1">
      <c r="A59" s="12">
        <v>58.0</v>
      </c>
      <c r="B59" s="13" t="s">
        <v>3630</v>
      </c>
      <c r="C59" s="13" t="s">
        <v>3631</v>
      </c>
      <c r="D59" s="13" t="s">
        <v>3632</v>
      </c>
      <c r="E59" s="13" t="s">
        <v>3633</v>
      </c>
      <c r="G59" s="14">
        <v>58.0</v>
      </c>
      <c r="H59" s="4" t="s">
        <v>3634</v>
      </c>
      <c r="I59" s="4" t="s">
        <v>3635</v>
      </c>
      <c r="J59" s="4" t="s">
        <v>3636</v>
      </c>
      <c r="K59" s="4" t="s">
        <v>3637</v>
      </c>
    </row>
    <row r="60" ht="22.5" customHeight="1">
      <c r="A60" s="12">
        <v>59.0</v>
      </c>
      <c r="B60" s="13" t="s">
        <v>3638</v>
      </c>
      <c r="C60" s="13" t="s">
        <v>3639</v>
      </c>
      <c r="D60" s="13" t="s">
        <v>3640</v>
      </c>
      <c r="E60" s="13" t="s">
        <v>3641</v>
      </c>
      <c r="G60" s="14">
        <v>59.0</v>
      </c>
      <c r="H60" s="4" t="s">
        <v>3642</v>
      </c>
      <c r="I60" s="4" t="s">
        <v>3643</v>
      </c>
      <c r="J60" s="4" t="s">
        <v>3644</v>
      </c>
      <c r="K60" s="4" t="s">
        <v>3645</v>
      </c>
    </row>
    <row r="61" ht="22.5" customHeight="1">
      <c r="A61" s="12">
        <v>60.0</v>
      </c>
      <c r="B61" s="13" t="s">
        <v>3646</v>
      </c>
      <c r="C61" s="13" t="s">
        <v>3647</v>
      </c>
      <c r="D61" s="13" t="s">
        <v>3256</v>
      </c>
      <c r="E61" s="13" t="s">
        <v>3648</v>
      </c>
      <c r="G61" s="14">
        <v>60.0</v>
      </c>
      <c r="H61" s="4" t="s">
        <v>3649</v>
      </c>
      <c r="I61" s="4" t="s">
        <v>3650</v>
      </c>
      <c r="J61" s="4" t="s">
        <v>2514</v>
      </c>
      <c r="K61" s="4" t="s">
        <v>3651</v>
      </c>
    </row>
    <row r="62" ht="22.5" customHeight="1">
      <c r="A62" s="12">
        <v>61.0</v>
      </c>
      <c r="B62" s="13" t="s">
        <v>3652</v>
      </c>
      <c r="C62" s="13" t="s">
        <v>3653</v>
      </c>
      <c r="D62" s="13" t="s">
        <v>3271</v>
      </c>
      <c r="E62" s="13" t="s">
        <v>3654</v>
      </c>
      <c r="G62" s="14">
        <v>61.0</v>
      </c>
      <c r="H62" s="4" t="s">
        <v>3655</v>
      </c>
      <c r="I62" s="4" t="s">
        <v>3656</v>
      </c>
      <c r="J62" s="4" t="s">
        <v>3275</v>
      </c>
      <c r="K62" s="4" t="s">
        <v>3657</v>
      </c>
    </row>
    <row r="63" ht="22.5" customHeight="1">
      <c r="A63" s="12">
        <v>62.0</v>
      </c>
      <c r="B63" s="13" t="s">
        <v>3658</v>
      </c>
      <c r="C63" s="13" t="s">
        <v>3659</v>
      </c>
      <c r="D63" s="13" t="s">
        <v>3660</v>
      </c>
      <c r="E63" s="13" t="s">
        <v>3661</v>
      </c>
      <c r="G63" s="14">
        <v>62.0</v>
      </c>
      <c r="H63" s="4" t="s">
        <v>3662</v>
      </c>
      <c r="I63" s="4" t="s">
        <v>3663</v>
      </c>
      <c r="J63" s="4" t="s">
        <v>3664</v>
      </c>
      <c r="K63" s="4" t="s">
        <v>3665</v>
      </c>
    </row>
    <row r="64" ht="22.5" customHeight="1">
      <c r="A64" s="12">
        <v>63.0</v>
      </c>
      <c r="B64" s="13" t="s">
        <v>3666</v>
      </c>
      <c r="C64" s="13" t="s">
        <v>3667</v>
      </c>
      <c r="D64" s="13" t="s">
        <v>3516</v>
      </c>
      <c r="E64" s="13" t="s">
        <v>3668</v>
      </c>
      <c r="G64" s="14">
        <v>63.0</v>
      </c>
      <c r="H64" s="4" t="s">
        <v>3669</v>
      </c>
      <c r="I64" s="4" t="s">
        <v>3670</v>
      </c>
      <c r="J64" s="4" t="s">
        <v>3520</v>
      </c>
      <c r="K64" s="4" t="s">
        <v>3671</v>
      </c>
    </row>
    <row r="65" ht="22.5" customHeight="1">
      <c r="A65" s="12">
        <v>64.0</v>
      </c>
      <c r="B65" s="13" t="s">
        <v>3672</v>
      </c>
      <c r="C65" s="13" t="s">
        <v>3673</v>
      </c>
      <c r="D65" s="13" t="s">
        <v>3674</v>
      </c>
      <c r="E65" s="13" t="s">
        <v>3675</v>
      </c>
      <c r="G65" s="14">
        <v>64.0</v>
      </c>
      <c r="H65" s="4" t="s">
        <v>3676</v>
      </c>
      <c r="I65" s="4" t="s">
        <v>3677</v>
      </c>
      <c r="J65" s="4" t="s">
        <v>3678</v>
      </c>
      <c r="K65" s="4" t="s">
        <v>3679</v>
      </c>
    </row>
    <row r="66" ht="22.5" customHeight="1">
      <c r="A66" s="12">
        <v>65.0</v>
      </c>
      <c r="B66" s="13" t="s">
        <v>3680</v>
      </c>
      <c r="C66" s="13" t="s">
        <v>3681</v>
      </c>
      <c r="D66" s="13" t="s">
        <v>3293</v>
      </c>
      <c r="E66" s="13" t="s">
        <v>3682</v>
      </c>
      <c r="G66" s="14">
        <v>65.0</v>
      </c>
      <c r="H66" s="4" t="s">
        <v>3683</v>
      </c>
      <c r="I66" s="4" t="s">
        <v>3684</v>
      </c>
      <c r="J66" s="4" t="s">
        <v>3685</v>
      </c>
      <c r="K66" s="4" t="s">
        <v>3686</v>
      </c>
    </row>
    <row r="67" ht="22.5" customHeight="1">
      <c r="A67" s="12">
        <v>66.0</v>
      </c>
      <c r="B67" s="13" t="s">
        <v>3381</v>
      </c>
      <c r="C67" s="13" t="s">
        <v>3687</v>
      </c>
      <c r="D67" s="13" t="s">
        <v>3688</v>
      </c>
      <c r="E67" s="13" t="s">
        <v>3689</v>
      </c>
      <c r="G67" s="14">
        <v>66.0</v>
      </c>
      <c r="H67" s="4" t="s">
        <v>3690</v>
      </c>
      <c r="I67" s="4" t="s">
        <v>3691</v>
      </c>
      <c r="J67" s="4" t="s">
        <v>3692</v>
      </c>
      <c r="K67" s="4" t="s">
        <v>3693</v>
      </c>
    </row>
    <row r="68" ht="22.5" customHeight="1">
      <c r="A68" s="12">
        <v>67.0</v>
      </c>
      <c r="B68" s="13" t="s">
        <v>3694</v>
      </c>
      <c r="C68" s="13" t="s">
        <v>3695</v>
      </c>
      <c r="D68" s="13" t="s">
        <v>3307</v>
      </c>
      <c r="E68" s="13" t="s">
        <v>3696</v>
      </c>
      <c r="G68" s="14">
        <v>67.0</v>
      </c>
      <c r="H68" s="4" t="s">
        <v>3697</v>
      </c>
      <c r="I68" s="4" t="s">
        <v>3698</v>
      </c>
      <c r="J68" s="4" t="s">
        <v>3311</v>
      </c>
      <c r="K68" s="4" t="s">
        <v>3699</v>
      </c>
    </row>
    <row r="69" ht="22.5" customHeight="1">
      <c r="A69" s="12">
        <v>68.0</v>
      </c>
      <c r="B69" s="13" t="s">
        <v>3700</v>
      </c>
      <c r="C69" s="13" t="s">
        <v>3701</v>
      </c>
      <c r="D69" s="13" t="s">
        <v>3702</v>
      </c>
      <c r="E69" s="13" t="s">
        <v>3703</v>
      </c>
      <c r="G69" s="14">
        <v>68.0</v>
      </c>
      <c r="H69" s="4" t="s">
        <v>3704</v>
      </c>
      <c r="I69" s="4" t="s">
        <v>3705</v>
      </c>
      <c r="J69" s="4" t="s">
        <v>3706</v>
      </c>
      <c r="K69" s="4" t="s">
        <v>3707</v>
      </c>
    </row>
    <row r="70" ht="22.5" customHeight="1">
      <c r="A70" s="12">
        <v>69.0</v>
      </c>
      <c r="B70" s="13" t="s">
        <v>3708</v>
      </c>
      <c r="C70" s="13" t="s">
        <v>3709</v>
      </c>
      <c r="D70" s="13" t="s">
        <v>3710</v>
      </c>
      <c r="E70" s="13" t="s">
        <v>3711</v>
      </c>
      <c r="G70" s="14">
        <v>69.0</v>
      </c>
      <c r="H70" s="4" t="s">
        <v>3712</v>
      </c>
      <c r="I70" s="4" t="s">
        <v>3713</v>
      </c>
      <c r="J70" s="4" t="s">
        <v>3714</v>
      </c>
      <c r="K70" s="4" t="s">
        <v>3715</v>
      </c>
    </row>
    <row r="71" ht="22.5" customHeight="1">
      <c r="A71" s="12">
        <v>70.0</v>
      </c>
      <c r="B71" s="13" t="s">
        <v>3716</v>
      </c>
      <c r="C71" s="13" t="s">
        <v>3717</v>
      </c>
      <c r="D71" s="13" t="s">
        <v>3718</v>
      </c>
      <c r="E71" s="13" t="s">
        <v>3719</v>
      </c>
      <c r="G71" s="14">
        <v>70.0</v>
      </c>
      <c r="H71" s="4" t="s">
        <v>3720</v>
      </c>
      <c r="I71" s="4" t="s">
        <v>3721</v>
      </c>
      <c r="J71" s="4" t="s">
        <v>3722</v>
      </c>
      <c r="K71" s="4" t="s">
        <v>3723</v>
      </c>
    </row>
    <row r="72" ht="22.5" customHeight="1">
      <c r="A72" s="12">
        <v>71.0</v>
      </c>
      <c r="B72" s="13" t="s">
        <v>3724</v>
      </c>
      <c r="C72" s="13" t="s">
        <v>3725</v>
      </c>
      <c r="D72" s="13" t="s">
        <v>3560</v>
      </c>
      <c r="E72" s="13" t="s">
        <v>3726</v>
      </c>
      <c r="G72" s="14">
        <v>71.0</v>
      </c>
      <c r="H72" s="4" t="s">
        <v>3727</v>
      </c>
      <c r="I72" s="4" t="s">
        <v>3728</v>
      </c>
      <c r="J72" s="4" t="s">
        <v>3564</v>
      </c>
      <c r="K72" s="4" t="s">
        <v>3729</v>
      </c>
    </row>
    <row r="73" ht="22.5" customHeight="1">
      <c r="A73" s="12">
        <v>72.0</v>
      </c>
      <c r="B73" s="13" t="s">
        <v>3730</v>
      </c>
      <c r="C73" s="13" t="s">
        <v>3731</v>
      </c>
      <c r="D73" s="13" t="s">
        <v>3287</v>
      </c>
      <c r="E73" s="13" t="s">
        <v>3732</v>
      </c>
      <c r="G73" s="14">
        <v>72.0</v>
      </c>
      <c r="H73" s="4" t="s">
        <v>3733</v>
      </c>
      <c r="I73" s="4" t="s">
        <v>3731</v>
      </c>
      <c r="J73" s="4" t="s">
        <v>3287</v>
      </c>
      <c r="K73" s="4" t="s">
        <v>3734</v>
      </c>
    </row>
    <row r="74" ht="22.5" customHeight="1">
      <c r="A74" s="12">
        <v>73.0</v>
      </c>
      <c r="B74" s="13" t="s">
        <v>3735</v>
      </c>
      <c r="C74" s="13" t="s">
        <v>3736</v>
      </c>
      <c r="D74" s="13" t="s">
        <v>3737</v>
      </c>
      <c r="E74" s="13" t="s">
        <v>3738</v>
      </c>
      <c r="G74" s="14">
        <v>73.0</v>
      </c>
      <c r="H74" s="4" t="s">
        <v>3739</v>
      </c>
      <c r="I74" s="4" t="s">
        <v>3740</v>
      </c>
      <c r="J74" s="4" t="s">
        <v>3741</v>
      </c>
      <c r="K74" s="4" t="s">
        <v>3742</v>
      </c>
    </row>
    <row r="75" ht="22.5" customHeight="1">
      <c r="A75" s="12">
        <v>74.0</v>
      </c>
      <c r="B75" s="13" t="s">
        <v>3435</v>
      </c>
      <c r="C75" s="13" t="s">
        <v>3743</v>
      </c>
      <c r="D75" s="13" t="s">
        <v>3744</v>
      </c>
      <c r="E75" s="13" t="s">
        <v>3745</v>
      </c>
      <c r="G75" s="14">
        <v>74.0</v>
      </c>
      <c r="H75" s="4" t="s">
        <v>3437</v>
      </c>
      <c r="I75" s="4" t="s">
        <v>3746</v>
      </c>
      <c r="J75" s="4" t="s">
        <v>3747</v>
      </c>
      <c r="K75" s="4" t="s">
        <v>3748</v>
      </c>
    </row>
    <row r="76" ht="22.5" customHeight="1">
      <c r="A76" s="12">
        <v>75.0</v>
      </c>
      <c r="B76" s="13" t="s">
        <v>3749</v>
      </c>
      <c r="C76" s="13" t="s">
        <v>3750</v>
      </c>
      <c r="D76" s="13" t="s">
        <v>3751</v>
      </c>
      <c r="E76" s="13" t="s">
        <v>3752</v>
      </c>
      <c r="G76" s="14">
        <v>75.0</v>
      </c>
      <c r="H76" s="4" t="s">
        <v>3753</v>
      </c>
      <c r="I76" s="4" t="s">
        <v>3754</v>
      </c>
      <c r="J76" s="4" t="s">
        <v>3755</v>
      </c>
      <c r="K76" s="4" t="s">
        <v>3756</v>
      </c>
    </row>
    <row r="77" ht="22.5" customHeight="1">
      <c r="A77" s="12">
        <v>76.0</v>
      </c>
      <c r="B77" s="13" t="s">
        <v>3757</v>
      </c>
      <c r="C77" s="13" t="s">
        <v>3758</v>
      </c>
      <c r="D77" s="13" t="s">
        <v>3759</v>
      </c>
      <c r="E77" s="13" t="s">
        <v>3760</v>
      </c>
      <c r="G77" s="14">
        <v>76.0</v>
      </c>
      <c r="H77" s="4" t="s">
        <v>3761</v>
      </c>
      <c r="I77" s="4" t="s">
        <v>3762</v>
      </c>
      <c r="J77" s="4" t="s">
        <v>3763</v>
      </c>
      <c r="K77" s="4" t="s">
        <v>3764</v>
      </c>
    </row>
    <row r="78" ht="22.5" customHeight="1">
      <c r="A78" s="12">
        <v>77.0</v>
      </c>
      <c r="B78" s="13" t="s">
        <v>3765</v>
      </c>
      <c r="C78" s="13" t="s">
        <v>3766</v>
      </c>
      <c r="D78" s="13" t="s">
        <v>3293</v>
      </c>
      <c r="E78" s="13" t="s">
        <v>3767</v>
      </c>
      <c r="G78" s="14">
        <v>77.0</v>
      </c>
      <c r="H78" s="4" t="s">
        <v>3768</v>
      </c>
      <c r="I78" s="4" t="s">
        <v>3769</v>
      </c>
      <c r="J78" s="4" t="s">
        <v>3297</v>
      </c>
      <c r="K78" s="4" t="s">
        <v>3770</v>
      </c>
    </row>
    <row r="79" ht="22.5" customHeight="1">
      <c r="A79" s="12">
        <v>78.0</v>
      </c>
      <c r="B79" s="13" t="s">
        <v>3771</v>
      </c>
      <c r="C79" s="13" t="s">
        <v>3772</v>
      </c>
      <c r="D79" s="13" t="s">
        <v>3737</v>
      </c>
      <c r="E79" s="13" t="s">
        <v>3773</v>
      </c>
      <c r="G79" s="14">
        <v>78.0</v>
      </c>
      <c r="H79" s="4" t="s">
        <v>3774</v>
      </c>
      <c r="I79" s="4" t="s">
        <v>3775</v>
      </c>
      <c r="J79" s="4" t="s">
        <v>3741</v>
      </c>
      <c r="K79" s="4" t="s">
        <v>3776</v>
      </c>
    </row>
    <row r="80" ht="22.5" customHeight="1">
      <c r="A80" s="12">
        <v>79.0</v>
      </c>
      <c r="B80" s="13" t="s">
        <v>3777</v>
      </c>
      <c r="C80" s="13" t="s">
        <v>3778</v>
      </c>
      <c r="D80" s="13" t="s">
        <v>3779</v>
      </c>
      <c r="E80" s="13" t="s">
        <v>3780</v>
      </c>
      <c r="G80" s="14">
        <v>79.0</v>
      </c>
      <c r="H80" s="4" t="s">
        <v>3781</v>
      </c>
      <c r="I80" s="4" t="s">
        <v>3782</v>
      </c>
      <c r="J80" s="4" t="s">
        <v>3783</v>
      </c>
      <c r="K80" s="4" t="s">
        <v>3784</v>
      </c>
    </row>
    <row r="81" ht="22.5" customHeight="1">
      <c r="A81" s="12">
        <v>80.0</v>
      </c>
      <c r="B81" s="13" t="s">
        <v>3785</v>
      </c>
      <c r="C81" s="13" t="s">
        <v>3786</v>
      </c>
      <c r="D81" s="13" t="s">
        <v>3787</v>
      </c>
      <c r="E81" s="13" t="s">
        <v>3788</v>
      </c>
      <c r="G81" s="14">
        <v>80.0</v>
      </c>
      <c r="H81" s="4" t="s">
        <v>3789</v>
      </c>
      <c r="I81" s="4" t="s">
        <v>3790</v>
      </c>
      <c r="J81" s="4" t="s">
        <v>3791</v>
      </c>
      <c r="K81" s="4" t="s">
        <v>3792</v>
      </c>
    </row>
    <row r="82" ht="22.5" customHeight="1">
      <c r="A82" s="12">
        <v>81.0</v>
      </c>
      <c r="B82" s="13" t="s">
        <v>3793</v>
      </c>
      <c r="C82" s="13" t="s">
        <v>3794</v>
      </c>
      <c r="D82" s="13" t="s">
        <v>3232</v>
      </c>
      <c r="E82" s="13" t="s">
        <v>3795</v>
      </c>
      <c r="G82" s="14">
        <v>81.0</v>
      </c>
      <c r="H82" s="4" t="s">
        <v>3796</v>
      </c>
      <c r="I82" s="4" t="s">
        <v>3797</v>
      </c>
      <c r="J82" s="4" t="s">
        <v>3798</v>
      </c>
      <c r="K82" s="4" t="s">
        <v>3799</v>
      </c>
    </row>
    <row r="83" ht="22.5" customHeight="1">
      <c r="A83" s="12">
        <v>82.0</v>
      </c>
      <c r="B83" s="13" t="s">
        <v>3800</v>
      </c>
      <c r="C83" s="13" t="s">
        <v>3801</v>
      </c>
      <c r="D83" s="13" t="s">
        <v>3425</v>
      </c>
      <c r="E83" s="13" t="s">
        <v>3802</v>
      </c>
      <c r="G83" s="14">
        <v>82.0</v>
      </c>
      <c r="H83" s="4" t="s">
        <v>3803</v>
      </c>
      <c r="I83" s="4" t="s">
        <v>3804</v>
      </c>
      <c r="J83" s="4" t="s">
        <v>2831</v>
      </c>
      <c r="K83" s="4" t="s">
        <v>3805</v>
      </c>
    </row>
    <row r="84" ht="22.5" customHeight="1">
      <c r="A84" s="12">
        <v>83.0</v>
      </c>
      <c r="B84" s="13" t="s">
        <v>3806</v>
      </c>
      <c r="C84" s="13" t="s">
        <v>3807</v>
      </c>
      <c r="D84" s="13" t="s">
        <v>3808</v>
      </c>
      <c r="E84" s="13" t="s">
        <v>3809</v>
      </c>
      <c r="G84" s="14">
        <v>83.0</v>
      </c>
      <c r="H84" s="4" t="s">
        <v>3810</v>
      </c>
      <c r="I84" s="4" t="s">
        <v>3811</v>
      </c>
      <c r="J84" s="4" t="s">
        <v>2509</v>
      </c>
      <c r="K84" s="4" t="s">
        <v>3812</v>
      </c>
    </row>
    <row r="85" ht="22.5" customHeight="1">
      <c r="A85" s="12">
        <v>84.0</v>
      </c>
      <c r="B85" s="13" t="s">
        <v>3813</v>
      </c>
      <c r="C85" s="13" t="s">
        <v>3814</v>
      </c>
      <c r="D85" s="13" t="s">
        <v>3271</v>
      </c>
      <c r="E85" s="13" t="s">
        <v>3815</v>
      </c>
      <c r="G85" s="14">
        <v>84.0</v>
      </c>
      <c r="H85" s="4" t="s">
        <v>3816</v>
      </c>
      <c r="I85" s="4" t="s">
        <v>3817</v>
      </c>
      <c r="J85" s="4" t="s">
        <v>3275</v>
      </c>
      <c r="K85" s="4" t="s">
        <v>3818</v>
      </c>
    </row>
    <row r="86" ht="22.5" customHeight="1">
      <c r="A86" s="12">
        <v>85.0</v>
      </c>
      <c r="B86" s="13" t="s">
        <v>3819</v>
      </c>
      <c r="C86" s="13" t="s">
        <v>3820</v>
      </c>
      <c r="D86" s="13" t="s">
        <v>3315</v>
      </c>
      <c r="E86" s="13" t="s">
        <v>3821</v>
      </c>
      <c r="G86" s="14">
        <v>85.0</v>
      </c>
      <c r="H86" s="4" t="s">
        <v>3822</v>
      </c>
      <c r="I86" s="4" t="s">
        <v>3823</v>
      </c>
      <c r="J86" s="4" t="s">
        <v>3074</v>
      </c>
      <c r="K86" s="4" t="s">
        <v>3824</v>
      </c>
    </row>
    <row r="87" ht="22.5" customHeight="1">
      <c r="A87" s="12">
        <v>86.0</v>
      </c>
      <c r="B87" s="13" t="s">
        <v>3825</v>
      </c>
      <c r="C87" s="13" t="s">
        <v>3826</v>
      </c>
      <c r="D87" s="13" t="s">
        <v>3827</v>
      </c>
      <c r="E87" s="13" t="s">
        <v>3828</v>
      </c>
      <c r="G87" s="14">
        <v>86.0</v>
      </c>
      <c r="H87" s="4" t="s">
        <v>3829</v>
      </c>
      <c r="I87" s="4" t="s">
        <v>3830</v>
      </c>
      <c r="J87" s="4" t="s">
        <v>3831</v>
      </c>
      <c r="K87" s="4" t="s">
        <v>3832</v>
      </c>
    </row>
    <row r="88" ht="22.5" customHeight="1">
      <c r="A88" s="12">
        <v>87.0</v>
      </c>
      <c r="B88" s="13" t="s">
        <v>3833</v>
      </c>
      <c r="C88" s="13" t="s">
        <v>3834</v>
      </c>
      <c r="D88" s="13" t="s">
        <v>3835</v>
      </c>
      <c r="E88" s="13" t="s">
        <v>3836</v>
      </c>
      <c r="G88" s="14">
        <v>87.0</v>
      </c>
      <c r="H88" s="4" t="s">
        <v>3837</v>
      </c>
      <c r="I88" s="4" t="s">
        <v>3838</v>
      </c>
      <c r="J88" s="4" t="s">
        <v>3839</v>
      </c>
      <c r="K88" s="4" t="s">
        <v>3840</v>
      </c>
    </row>
    <row r="89" ht="22.5" customHeight="1">
      <c r="A89" s="12">
        <v>88.0</v>
      </c>
      <c r="B89" s="13" t="s">
        <v>3841</v>
      </c>
      <c r="C89" s="13" t="s">
        <v>3842</v>
      </c>
      <c r="D89" s="13" t="s">
        <v>3843</v>
      </c>
      <c r="E89" s="13" t="s">
        <v>3844</v>
      </c>
      <c r="G89" s="14">
        <v>88.0</v>
      </c>
      <c r="H89" s="4" t="s">
        <v>3845</v>
      </c>
      <c r="I89" s="4" t="s">
        <v>3846</v>
      </c>
      <c r="J89" s="4" t="s">
        <v>3847</v>
      </c>
      <c r="K89" s="4" t="s">
        <v>3848</v>
      </c>
    </row>
    <row r="90" ht="22.5" customHeight="1">
      <c r="A90" s="12">
        <v>89.0</v>
      </c>
      <c r="B90" s="13" t="s">
        <v>3849</v>
      </c>
      <c r="C90" s="13" t="s">
        <v>3850</v>
      </c>
      <c r="D90" s="13" t="s">
        <v>3851</v>
      </c>
      <c r="E90" s="13" t="s">
        <v>3852</v>
      </c>
      <c r="G90" s="14">
        <v>89.0</v>
      </c>
      <c r="H90" s="4" t="s">
        <v>3853</v>
      </c>
      <c r="I90" s="4" t="s">
        <v>3854</v>
      </c>
      <c r="J90" s="4" t="s">
        <v>3855</v>
      </c>
      <c r="K90" s="4" t="s">
        <v>3856</v>
      </c>
    </row>
    <row r="91" ht="22.5" customHeight="1">
      <c r="A91" s="12">
        <v>90.0</v>
      </c>
      <c r="B91" s="13" t="s">
        <v>3857</v>
      </c>
      <c r="C91" s="13" t="s">
        <v>3150</v>
      </c>
      <c r="D91" s="13" t="s">
        <v>3616</v>
      </c>
      <c r="E91" s="13" t="s">
        <v>3617</v>
      </c>
      <c r="G91" s="14">
        <v>90.0</v>
      </c>
      <c r="H91" s="4" t="s">
        <v>3858</v>
      </c>
      <c r="I91" s="4" t="s">
        <v>3152</v>
      </c>
      <c r="J91" s="4" t="s">
        <v>3620</v>
      </c>
      <c r="K91" s="4" t="s">
        <v>3859</v>
      </c>
    </row>
    <row r="92" ht="22.5" customHeight="1">
      <c r="A92" s="12">
        <v>91.0</v>
      </c>
      <c r="B92" s="13" t="s">
        <v>3860</v>
      </c>
      <c r="C92" s="13" t="s">
        <v>3861</v>
      </c>
      <c r="D92" s="13" t="s">
        <v>3862</v>
      </c>
      <c r="E92" s="13" t="s">
        <v>3863</v>
      </c>
      <c r="G92" s="14">
        <v>91.0</v>
      </c>
      <c r="H92" s="4" t="s">
        <v>3864</v>
      </c>
      <c r="I92" s="4" t="s">
        <v>3865</v>
      </c>
      <c r="J92" s="4" t="s">
        <v>3866</v>
      </c>
      <c r="K92" s="4" t="s">
        <v>3867</v>
      </c>
    </row>
    <row r="93" ht="22.5" customHeight="1">
      <c r="A93" s="12">
        <v>92.0</v>
      </c>
      <c r="B93" s="13" t="s">
        <v>3868</v>
      </c>
      <c r="C93" s="13" t="s">
        <v>3869</v>
      </c>
      <c r="D93" s="13" t="s">
        <v>2194</v>
      </c>
      <c r="E93" s="13" t="s">
        <v>3870</v>
      </c>
      <c r="G93" s="14">
        <v>92.0</v>
      </c>
      <c r="H93" s="4" t="s">
        <v>3871</v>
      </c>
      <c r="I93" s="4" t="s">
        <v>3872</v>
      </c>
      <c r="J93" s="4" t="s">
        <v>159</v>
      </c>
      <c r="K93" s="4" t="s">
        <v>3873</v>
      </c>
    </row>
    <row r="94" ht="22.5" customHeight="1">
      <c r="A94" s="12">
        <v>93.0</v>
      </c>
      <c r="B94" s="13" t="s">
        <v>3874</v>
      </c>
      <c r="C94" s="13" t="s">
        <v>3875</v>
      </c>
      <c r="D94" s="13" t="s">
        <v>3688</v>
      </c>
      <c r="E94" s="13" t="s">
        <v>3876</v>
      </c>
      <c r="G94" s="14">
        <v>93.0</v>
      </c>
      <c r="H94" s="4" t="s">
        <v>3877</v>
      </c>
      <c r="I94" s="4" t="s">
        <v>3878</v>
      </c>
      <c r="J94" s="4" t="s">
        <v>3692</v>
      </c>
      <c r="K94" s="4" t="s">
        <v>3879</v>
      </c>
    </row>
    <row r="95" ht="22.5" customHeight="1">
      <c r="A95" s="12">
        <v>94.0</v>
      </c>
      <c r="B95" s="13" t="s">
        <v>3880</v>
      </c>
      <c r="C95" s="13" t="s">
        <v>3881</v>
      </c>
      <c r="D95" s="13" t="s">
        <v>3882</v>
      </c>
      <c r="E95" s="13" t="s">
        <v>3883</v>
      </c>
      <c r="G95" s="14">
        <v>94.0</v>
      </c>
      <c r="H95" s="4" t="s">
        <v>3884</v>
      </c>
      <c r="I95" s="4" t="s">
        <v>3885</v>
      </c>
      <c r="J95" s="4" t="s">
        <v>3886</v>
      </c>
      <c r="K95" s="4" t="s">
        <v>3887</v>
      </c>
    </row>
    <row r="96" ht="22.5" customHeight="1">
      <c r="A96" s="12">
        <v>95.0</v>
      </c>
      <c r="B96" s="13" t="s">
        <v>3888</v>
      </c>
      <c r="C96" s="13" t="s">
        <v>3889</v>
      </c>
      <c r="D96" s="13" t="s">
        <v>3890</v>
      </c>
      <c r="E96" s="13" t="s">
        <v>3891</v>
      </c>
      <c r="G96" s="14">
        <v>95.0</v>
      </c>
      <c r="H96" s="4" t="s">
        <v>3892</v>
      </c>
      <c r="I96" s="4" t="s">
        <v>3893</v>
      </c>
      <c r="J96" s="4" t="s">
        <v>3894</v>
      </c>
      <c r="K96" s="4" t="s">
        <v>3895</v>
      </c>
    </row>
    <row r="97" ht="22.5" customHeight="1">
      <c r="A97" s="12">
        <v>96.0</v>
      </c>
      <c r="B97" s="13" t="s">
        <v>3896</v>
      </c>
      <c r="C97" s="13" t="s">
        <v>3897</v>
      </c>
      <c r="D97" s="13" t="s">
        <v>3898</v>
      </c>
      <c r="E97" s="13" t="s">
        <v>3899</v>
      </c>
      <c r="G97" s="14">
        <v>96.0</v>
      </c>
      <c r="H97" s="4" t="s">
        <v>3900</v>
      </c>
      <c r="I97" s="4" t="s">
        <v>3901</v>
      </c>
      <c r="J97" s="4" t="s">
        <v>3902</v>
      </c>
      <c r="K97" s="4" t="s">
        <v>3903</v>
      </c>
    </row>
    <row r="98" ht="22.5" customHeight="1">
      <c r="A98" s="12">
        <v>97.0</v>
      </c>
      <c r="B98" s="13" t="s">
        <v>3904</v>
      </c>
      <c r="C98" s="13" t="s">
        <v>3905</v>
      </c>
      <c r="D98" s="13" t="s">
        <v>3906</v>
      </c>
      <c r="E98" s="13" t="s">
        <v>3907</v>
      </c>
      <c r="G98" s="14">
        <v>97.0</v>
      </c>
      <c r="H98" s="4" t="s">
        <v>3908</v>
      </c>
      <c r="I98" s="4" t="s">
        <v>3909</v>
      </c>
      <c r="J98" s="4" t="s">
        <v>3910</v>
      </c>
      <c r="K98" s="4" t="s">
        <v>3911</v>
      </c>
    </row>
    <row r="99" ht="22.5" customHeight="1">
      <c r="A99" s="12">
        <v>98.0</v>
      </c>
      <c r="B99" s="13" t="s">
        <v>3912</v>
      </c>
      <c r="C99" s="13" t="s">
        <v>3913</v>
      </c>
      <c r="D99" s="13" t="s">
        <v>3914</v>
      </c>
      <c r="E99" s="13" t="s">
        <v>3915</v>
      </c>
      <c r="G99" s="14">
        <v>98.0</v>
      </c>
      <c r="H99" s="4" t="s">
        <v>3916</v>
      </c>
      <c r="I99" s="4" t="s">
        <v>3917</v>
      </c>
      <c r="J99" s="4" t="s">
        <v>3918</v>
      </c>
      <c r="K99" s="4" t="s">
        <v>3919</v>
      </c>
    </row>
    <row r="100" ht="22.5" customHeight="1">
      <c r="A100" s="12">
        <v>99.0</v>
      </c>
      <c r="B100" s="13" t="s">
        <v>3920</v>
      </c>
      <c r="C100" s="13" t="s">
        <v>3921</v>
      </c>
      <c r="D100" s="13" t="s">
        <v>3922</v>
      </c>
      <c r="E100" s="13" t="s">
        <v>3923</v>
      </c>
      <c r="G100" s="14">
        <v>99.0</v>
      </c>
      <c r="H100" s="4" t="s">
        <v>3924</v>
      </c>
      <c r="I100" s="4" t="s">
        <v>3925</v>
      </c>
      <c r="J100" s="4" t="s">
        <v>3926</v>
      </c>
      <c r="K100" s="4" t="s">
        <v>3927</v>
      </c>
    </row>
    <row r="101" ht="22.5" customHeight="1">
      <c r="A101" s="12">
        <v>100.0</v>
      </c>
      <c r="B101" s="13" t="s">
        <v>3928</v>
      </c>
      <c r="C101" s="13" t="s">
        <v>3929</v>
      </c>
      <c r="D101" s="13" t="s">
        <v>3930</v>
      </c>
      <c r="E101" s="13" t="s">
        <v>3931</v>
      </c>
      <c r="G101" s="14">
        <v>100.0</v>
      </c>
      <c r="H101" s="4" t="s">
        <v>3932</v>
      </c>
      <c r="I101" s="4" t="s">
        <v>3933</v>
      </c>
      <c r="J101" s="4" t="s">
        <v>3934</v>
      </c>
      <c r="K101" s="4" t="s">
        <v>3935</v>
      </c>
    </row>
    <row r="102" ht="22.5" customHeight="1">
      <c r="A102" s="12">
        <v>101.0</v>
      </c>
      <c r="B102" s="13" t="s">
        <v>3936</v>
      </c>
      <c r="C102" s="13" t="s">
        <v>3937</v>
      </c>
      <c r="D102" s="13" t="s">
        <v>3808</v>
      </c>
      <c r="E102" s="13" t="s">
        <v>3938</v>
      </c>
      <c r="G102" s="14">
        <v>101.0</v>
      </c>
      <c r="H102" s="4" t="s">
        <v>3939</v>
      </c>
      <c r="I102" s="4" t="s">
        <v>3940</v>
      </c>
      <c r="J102" s="4" t="s">
        <v>2509</v>
      </c>
      <c r="K102" s="4" t="s">
        <v>3941</v>
      </c>
    </row>
    <row r="103" ht="22.5" customHeight="1">
      <c r="A103" s="12">
        <v>102.0</v>
      </c>
      <c r="B103" s="13" t="s">
        <v>3942</v>
      </c>
      <c r="C103" s="13" t="s">
        <v>3943</v>
      </c>
      <c r="D103" s="13" t="s">
        <v>2194</v>
      </c>
      <c r="E103" s="13" t="s">
        <v>3944</v>
      </c>
      <c r="G103" s="14">
        <v>102.0</v>
      </c>
      <c r="H103" s="4" t="s">
        <v>3945</v>
      </c>
      <c r="I103" s="4" t="s">
        <v>3946</v>
      </c>
      <c r="J103" s="4" t="s">
        <v>159</v>
      </c>
      <c r="K103" s="4" t="s">
        <v>3947</v>
      </c>
    </row>
    <row r="104" ht="22.5" customHeight="1">
      <c r="A104" s="12">
        <v>103.0</v>
      </c>
      <c r="B104" s="13" t="s">
        <v>3948</v>
      </c>
      <c r="C104" s="13" t="s">
        <v>3949</v>
      </c>
      <c r="D104" s="13" t="s">
        <v>3271</v>
      </c>
      <c r="E104" s="13" t="s">
        <v>3950</v>
      </c>
      <c r="G104" s="14">
        <v>103.0</v>
      </c>
      <c r="H104" s="4" t="s">
        <v>3951</v>
      </c>
      <c r="I104" s="4" t="s">
        <v>3952</v>
      </c>
      <c r="J104" s="4" t="s">
        <v>3275</v>
      </c>
      <c r="K104" s="4" t="s">
        <v>3953</v>
      </c>
    </row>
    <row r="105" ht="22.5" customHeight="1">
      <c r="A105" s="12">
        <v>104.0</v>
      </c>
      <c r="B105" s="13" t="s">
        <v>3954</v>
      </c>
      <c r="C105" s="13" t="s">
        <v>3955</v>
      </c>
      <c r="D105" s="13" t="s">
        <v>3293</v>
      </c>
      <c r="E105" s="13" t="s">
        <v>3956</v>
      </c>
      <c r="G105" s="14">
        <v>104.0</v>
      </c>
      <c r="H105" s="4" t="s">
        <v>3957</v>
      </c>
      <c r="I105" s="4" t="s">
        <v>3958</v>
      </c>
      <c r="J105" s="4" t="s">
        <v>3297</v>
      </c>
      <c r="K105" s="4" t="s">
        <v>3959</v>
      </c>
    </row>
    <row r="106" ht="22.5" customHeight="1">
      <c r="A106" s="12">
        <v>105.0</v>
      </c>
      <c r="B106" s="13" t="s">
        <v>3960</v>
      </c>
      <c r="C106" s="13" t="s">
        <v>3961</v>
      </c>
      <c r="D106" s="13" t="s">
        <v>3287</v>
      </c>
      <c r="E106" s="13" t="s">
        <v>3732</v>
      </c>
      <c r="G106" s="14">
        <v>105.0</v>
      </c>
      <c r="H106" s="4" t="s">
        <v>3962</v>
      </c>
      <c r="I106" s="4" t="s">
        <v>3961</v>
      </c>
      <c r="J106" s="4" t="s">
        <v>3287</v>
      </c>
      <c r="K106" s="4" t="s">
        <v>3734</v>
      </c>
    </row>
    <row r="107" ht="22.5" customHeight="1">
      <c r="A107" s="12">
        <v>106.0</v>
      </c>
      <c r="B107" s="13" t="s">
        <v>3963</v>
      </c>
      <c r="C107" s="13" t="s">
        <v>3964</v>
      </c>
      <c r="D107" s="13" t="s">
        <v>3271</v>
      </c>
      <c r="E107" s="13" t="s">
        <v>3965</v>
      </c>
      <c r="G107" s="14">
        <v>106.0</v>
      </c>
      <c r="H107" s="4" t="s">
        <v>3966</v>
      </c>
      <c r="I107" s="4" t="s">
        <v>3967</v>
      </c>
      <c r="J107" s="4" t="s">
        <v>3275</v>
      </c>
      <c r="K107" s="4" t="s">
        <v>3968</v>
      </c>
    </row>
    <row r="108" ht="22.5" customHeight="1">
      <c r="A108" s="12">
        <v>107.0</v>
      </c>
      <c r="B108" s="13" t="s">
        <v>3467</v>
      </c>
      <c r="C108" s="13" t="s">
        <v>3150</v>
      </c>
      <c r="D108" s="13" t="s">
        <v>3969</v>
      </c>
      <c r="E108" s="13" t="s">
        <v>3970</v>
      </c>
      <c r="G108" s="14">
        <v>107.0</v>
      </c>
      <c r="H108" s="4" t="s">
        <v>3470</v>
      </c>
      <c r="I108" s="4" t="s">
        <v>3152</v>
      </c>
      <c r="J108" s="4" t="s">
        <v>3153</v>
      </c>
      <c r="K108" s="4" t="s">
        <v>3971</v>
      </c>
    </row>
    <row r="109" ht="22.5" customHeight="1">
      <c r="A109" s="12">
        <v>108.0</v>
      </c>
      <c r="B109" s="13" t="s">
        <v>3972</v>
      </c>
      <c r="C109" s="13" t="s">
        <v>3973</v>
      </c>
      <c r="D109" s="13" t="s">
        <v>2020</v>
      </c>
      <c r="E109" s="13" t="s">
        <v>3974</v>
      </c>
      <c r="G109" s="14">
        <v>108.0</v>
      </c>
      <c r="H109" s="4" t="s">
        <v>3975</v>
      </c>
      <c r="I109" s="4" t="s">
        <v>3976</v>
      </c>
      <c r="J109" s="4" t="s">
        <v>2024</v>
      </c>
      <c r="K109" s="4" t="s">
        <v>3977</v>
      </c>
    </row>
    <row r="110" ht="22.5" customHeight="1">
      <c r="A110" s="12">
        <v>109.0</v>
      </c>
      <c r="B110" s="13" t="s">
        <v>3978</v>
      </c>
      <c r="C110" s="13" t="s">
        <v>3979</v>
      </c>
      <c r="D110" s="13" t="s">
        <v>3307</v>
      </c>
      <c r="E110" s="13" t="s">
        <v>3980</v>
      </c>
      <c r="G110" s="14">
        <v>109.0</v>
      </c>
      <c r="H110" s="4" t="s">
        <v>3981</v>
      </c>
      <c r="I110" s="4" t="s">
        <v>3982</v>
      </c>
      <c r="J110" s="4" t="s">
        <v>3311</v>
      </c>
      <c r="K110" s="4" t="s">
        <v>3983</v>
      </c>
    </row>
    <row r="111" ht="22.5" customHeight="1">
      <c r="A111" s="12">
        <v>110.0</v>
      </c>
      <c r="B111" s="13" t="s">
        <v>3984</v>
      </c>
      <c r="C111" s="13" t="s">
        <v>3985</v>
      </c>
      <c r="D111" s="13" t="s">
        <v>3328</v>
      </c>
      <c r="E111" s="13" t="s">
        <v>3329</v>
      </c>
      <c r="G111" s="14">
        <v>110.0</v>
      </c>
      <c r="H111" s="4" t="s">
        <v>3986</v>
      </c>
      <c r="I111" s="4" t="s">
        <v>3987</v>
      </c>
      <c r="J111" s="4" t="s">
        <v>3332</v>
      </c>
      <c r="K111" s="4" t="s">
        <v>3333</v>
      </c>
    </row>
    <row r="112" ht="22.5" customHeight="1">
      <c r="A112" s="12">
        <v>111.0</v>
      </c>
      <c r="B112" s="13" t="s">
        <v>3988</v>
      </c>
      <c r="C112" s="13" t="s">
        <v>3989</v>
      </c>
      <c r="D112" s="13" t="s">
        <v>3990</v>
      </c>
      <c r="E112" s="13" t="s">
        <v>3991</v>
      </c>
      <c r="G112" s="14">
        <v>111.0</v>
      </c>
      <c r="H112" s="4" t="s">
        <v>3992</v>
      </c>
      <c r="I112" s="4" t="s">
        <v>3993</v>
      </c>
      <c r="J112" s="4" t="s">
        <v>3994</v>
      </c>
      <c r="K112" s="4" t="s">
        <v>3995</v>
      </c>
    </row>
    <row r="113" ht="22.5" customHeight="1">
      <c r="A113" s="12">
        <v>112.0</v>
      </c>
      <c r="B113" s="13" t="s">
        <v>3996</v>
      </c>
      <c r="C113" s="13" t="s">
        <v>3997</v>
      </c>
      <c r="D113" s="13" t="s">
        <v>3998</v>
      </c>
      <c r="E113" s="13" t="s">
        <v>3999</v>
      </c>
      <c r="G113" s="14">
        <v>112.0</v>
      </c>
      <c r="H113" s="4" t="s">
        <v>4000</v>
      </c>
      <c r="I113" s="4" t="s">
        <v>4001</v>
      </c>
      <c r="J113" s="4" t="s">
        <v>4002</v>
      </c>
      <c r="K113" s="4" t="s">
        <v>4003</v>
      </c>
    </row>
    <row r="114" ht="22.5" customHeight="1">
      <c r="A114" s="12">
        <v>113.0</v>
      </c>
      <c r="B114" s="13" t="s">
        <v>4004</v>
      </c>
      <c r="C114" s="13" t="s">
        <v>4005</v>
      </c>
      <c r="D114" s="13" t="s">
        <v>4006</v>
      </c>
      <c r="E114" s="13" t="s">
        <v>4007</v>
      </c>
      <c r="G114" s="14">
        <v>113.0</v>
      </c>
      <c r="H114" s="4" t="s">
        <v>4008</v>
      </c>
      <c r="I114" s="4" t="s">
        <v>4009</v>
      </c>
      <c r="J114" s="4" t="s">
        <v>4010</v>
      </c>
      <c r="K114" s="4" t="s">
        <v>4011</v>
      </c>
    </row>
    <row r="115" ht="22.5" customHeight="1">
      <c r="A115" s="12">
        <v>114.0</v>
      </c>
      <c r="B115" s="13" t="s">
        <v>4012</v>
      </c>
      <c r="C115" s="13" t="s">
        <v>4013</v>
      </c>
      <c r="D115" s="13" t="s">
        <v>3425</v>
      </c>
      <c r="E115" s="13" t="s">
        <v>4014</v>
      </c>
      <c r="G115" s="14">
        <v>114.0</v>
      </c>
      <c r="H115" s="4" t="s">
        <v>4015</v>
      </c>
      <c r="I115" s="4" t="s">
        <v>4016</v>
      </c>
      <c r="J115" s="4" t="s">
        <v>2831</v>
      </c>
      <c r="K115" s="4" t="s">
        <v>4017</v>
      </c>
    </row>
    <row r="116" ht="22.5" customHeight="1">
      <c r="A116" s="12">
        <v>115.0</v>
      </c>
      <c r="B116" s="13" t="s">
        <v>4018</v>
      </c>
      <c r="C116" s="13" t="s">
        <v>4019</v>
      </c>
      <c r="D116" s="13" t="s">
        <v>2194</v>
      </c>
      <c r="E116" s="13" t="s">
        <v>4020</v>
      </c>
      <c r="G116" s="14">
        <v>115.0</v>
      </c>
      <c r="H116" s="4" t="s">
        <v>4021</v>
      </c>
      <c r="I116" s="4" t="s">
        <v>4022</v>
      </c>
      <c r="J116" s="4" t="s">
        <v>159</v>
      </c>
      <c r="K116" s="4" t="s">
        <v>4023</v>
      </c>
    </row>
    <row r="117" ht="22.5" customHeight="1">
      <c r="A117" s="12">
        <v>116.0</v>
      </c>
      <c r="B117" s="13" t="s">
        <v>4024</v>
      </c>
      <c r="C117" s="13" t="s">
        <v>3567</v>
      </c>
      <c r="D117" s="13" t="s">
        <v>3568</v>
      </c>
      <c r="E117" s="13" t="s">
        <v>4025</v>
      </c>
      <c r="G117" s="14">
        <v>116.0</v>
      </c>
      <c r="H117" s="4" t="s">
        <v>4026</v>
      </c>
      <c r="I117" s="4" t="s">
        <v>3571</v>
      </c>
      <c r="J117" s="4" t="s">
        <v>2430</v>
      </c>
      <c r="K117" s="4" t="s">
        <v>4027</v>
      </c>
    </row>
    <row r="118" ht="22.5" customHeight="1">
      <c r="A118" s="12">
        <v>117.0</v>
      </c>
      <c r="B118" s="13" t="s">
        <v>4028</v>
      </c>
      <c r="C118" s="13" t="s">
        <v>4029</v>
      </c>
      <c r="D118" s="13" t="s">
        <v>4030</v>
      </c>
      <c r="E118" s="13" t="s">
        <v>4031</v>
      </c>
      <c r="G118" s="14">
        <v>117.0</v>
      </c>
      <c r="H118" s="4" t="s">
        <v>4032</v>
      </c>
      <c r="I118" s="4" t="s">
        <v>4033</v>
      </c>
      <c r="J118" s="4" t="s">
        <v>4034</v>
      </c>
      <c r="K118" s="4" t="s">
        <v>4035</v>
      </c>
    </row>
    <row r="119" ht="22.5" customHeight="1">
      <c r="A119" s="12">
        <v>118.0</v>
      </c>
      <c r="B119" s="13" t="s">
        <v>4036</v>
      </c>
      <c r="C119" s="13" t="s">
        <v>4037</v>
      </c>
      <c r="D119" s="13" t="s">
        <v>3930</v>
      </c>
      <c r="E119" s="13" t="s">
        <v>4038</v>
      </c>
      <c r="G119" s="14">
        <v>118.0</v>
      </c>
      <c r="H119" s="4" t="s">
        <v>4039</v>
      </c>
      <c r="I119" s="4" t="s">
        <v>4040</v>
      </c>
      <c r="J119" s="4" t="s">
        <v>3934</v>
      </c>
      <c r="K119" s="4" t="s">
        <v>4041</v>
      </c>
    </row>
    <row r="120" ht="22.5" customHeight="1">
      <c r="A120" s="12">
        <v>119.0</v>
      </c>
      <c r="B120" s="13" t="s">
        <v>4042</v>
      </c>
      <c r="C120" s="13" t="s">
        <v>4043</v>
      </c>
      <c r="D120" s="13" t="s">
        <v>4044</v>
      </c>
      <c r="E120" s="13" t="s">
        <v>4045</v>
      </c>
      <c r="G120" s="14">
        <v>119.0</v>
      </c>
      <c r="H120" s="4" t="s">
        <v>4046</v>
      </c>
      <c r="I120" s="4" t="s">
        <v>4047</v>
      </c>
      <c r="J120" s="4" t="s">
        <v>4048</v>
      </c>
      <c r="K120" s="4" t="s">
        <v>4049</v>
      </c>
    </row>
    <row r="121" ht="22.5" customHeight="1">
      <c r="A121" s="12">
        <v>120.0</v>
      </c>
      <c r="B121" s="13" t="s">
        <v>4050</v>
      </c>
      <c r="C121" s="13" t="s">
        <v>4051</v>
      </c>
      <c r="D121" s="13" t="s">
        <v>4052</v>
      </c>
      <c r="E121" s="13" t="s">
        <v>4053</v>
      </c>
      <c r="G121" s="14">
        <v>120.0</v>
      </c>
      <c r="H121" s="4" t="s">
        <v>4054</v>
      </c>
      <c r="I121" s="4" t="s">
        <v>4055</v>
      </c>
      <c r="J121" s="4" t="s">
        <v>4056</v>
      </c>
      <c r="K121" s="4" t="s">
        <v>4057</v>
      </c>
    </row>
    <row r="122" ht="22.5" customHeight="1">
      <c r="A122" s="12">
        <v>121.0</v>
      </c>
      <c r="B122" s="13" t="s">
        <v>4058</v>
      </c>
      <c r="C122" s="13" t="s">
        <v>4059</v>
      </c>
      <c r="D122" s="13" t="s">
        <v>4060</v>
      </c>
      <c r="E122" s="13" t="s">
        <v>4061</v>
      </c>
      <c r="G122" s="14">
        <v>121.0</v>
      </c>
      <c r="H122" s="4" t="s">
        <v>4062</v>
      </c>
      <c r="I122" s="4" t="s">
        <v>4063</v>
      </c>
      <c r="J122" s="4" t="s">
        <v>4064</v>
      </c>
      <c r="K122" s="4" t="s">
        <v>4065</v>
      </c>
    </row>
    <row r="123" ht="22.5" customHeight="1">
      <c r="A123" s="12">
        <v>122.0</v>
      </c>
      <c r="B123" s="13" t="s">
        <v>4066</v>
      </c>
      <c r="C123" s="13" t="s">
        <v>4067</v>
      </c>
      <c r="D123" s="13" t="s">
        <v>3532</v>
      </c>
      <c r="E123" s="13" t="s">
        <v>3533</v>
      </c>
      <c r="G123" s="14">
        <v>122.0</v>
      </c>
      <c r="H123" s="4" t="s">
        <v>4068</v>
      </c>
      <c r="I123" s="4" t="s">
        <v>4069</v>
      </c>
      <c r="J123" s="4" t="s">
        <v>3536</v>
      </c>
      <c r="K123" s="4" t="s">
        <v>4070</v>
      </c>
    </row>
    <row r="124" ht="22.5" customHeight="1">
      <c r="A124" s="12">
        <v>123.0</v>
      </c>
      <c r="B124" s="13" t="s">
        <v>4071</v>
      </c>
      <c r="C124" s="13" t="s">
        <v>4072</v>
      </c>
      <c r="D124" s="13" t="s">
        <v>3930</v>
      </c>
      <c r="E124" s="13" t="s">
        <v>4073</v>
      </c>
      <c r="G124" s="14">
        <v>123.0</v>
      </c>
      <c r="H124" s="4" t="s">
        <v>4074</v>
      </c>
      <c r="I124" s="4" t="s">
        <v>4075</v>
      </c>
      <c r="J124" s="4" t="s">
        <v>3934</v>
      </c>
      <c r="K124" s="4" t="s">
        <v>4076</v>
      </c>
    </row>
    <row r="125" ht="22.5" customHeight="1">
      <c r="A125" s="12">
        <v>124.0</v>
      </c>
      <c r="B125" s="13" t="s">
        <v>4077</v>
      </c>
      <c r="C125" s="13" t="s">
        <v>4078</v>
      </c>
      <c r="D125" s="13" t="s">
        <v>4079</v>
      </c>
      <c r="E125" s="13" t="s">
        <v>4080</v>
      </c>
      <c r="G125" s="14">
        <v>124.0</v>
      </c>
      <c r="H125" s="4" t="s">
        <v>4081</v>
      </c>
      <c r="I125" s="4" t="s">
        <v>4082</v>
      </c>
      <c r="J125" s="4" t="s">
        <v>4083</v>
      </c>
      <c r="K125" s="4" t="s">
        <v>4084</v>
      </c>
    </row>
    <row r="126" ht="22.5" customHeight="1">
      <c r="A126" s="12">
        <v>125.0</v>
      </c>
      <c r="B126" s="13" t="s">
        <v>4085</v>
      </c>
      <c r="C126" s="13" t="s">
        <v>4086</v>
      </c>
      <c r="D126" s="13" t="s">
        <v>3616</v>
      </c>
      <c r="E126" s="13" t="s">
        <v>4087</v>
      </c>
      <c r="G126" s="14">
        <v>125.0</v>
      </c>
      <c r="H126" s="4" t="s">
        <v>4088</v>
      </c>
      <c r="I126" s="4" t="s">
        <v>4089</v>
      </c>
      <c r="J126" s="4" t="s">
        <v>3620</v>
      </c>
      <c r="K126" s="4" t="s">
        <v>4090</v>
      </c>
    </row>
    <row r="127" ht="22.5" customHeight="1">
      <c r="A127" s="12">
        <v>126.0</v>
      </c>
      <c r="B127" s="13" t="s">
        <v>4091</v>
      </c>
      <c r="C127" s="13" t="s">
        <v>3659</v>
      </c>
      <c r="D127" s="13" t="s">
        <v>801</v>
      </c>
      <c r="E127" s="13" t="s">
        <v>4092</v>
      </c>
      <c r="G127" s="14">
        <v>126.0</v>
      </c>
      <c r="H127" s="4" t="s">
        <v>4093</v>
      </c>
      <c r="I127" s="4" t="s">
        <v>3663</v>
      </c>
      <c r="J127" s="4" t="s">
        <v>804</v>
      </c>
      <c r="K127" s="4" t="s">
        <v>4094</v>
      </c>
    </row>
    <row r="128" ht="22.5" customHeight="1">
      <c r="A128" s="12">
        <v>127.0</v>
      </c>
      <c r="B128" s="13" t="s">
        <v>4095</v>
      </c>
      <c r="C128" s="13" t="s">
        <v>4096</v>
      </c>
      <c r="D128" s="13" t="s">
        <v>4097</v>
      </c>
      <c r="E128" s="13" t="s">
        <v>4098</v>
      </c>
      <c r="G128" s="14">
        <v>127.0</v>
      </c>
      <c r="H128" s="4" t="s">
        <v>4099</v>
      </c>
      <c r="I128" s="4" t="s">
        <v>4100</v>
      </c>
      <c r="J128" s="4" t="s">
        <v>4101</v>
      </c>
      <c r="K128" s="4" t="s">
        <v>4102</v>
      </c>
    </row>
    <row r="129" ht="22.5" customHeight="1">
      <c r="A129" s="12">
        <v>128.0</v>
      </c>
      <c r="B129" s="13" t="s">
        <v>4103</v>
      </c>
      <c r="C129" s="13" t="s">
        <v>4104</v>
      </c>
      <c r="D129" s="13" t="s">
        <v>3256</v>
      </c>
      <c r="E129" s="13" t="s">
        <v>4105</v>
      </c>
      <c r="G129" s="14">
        <v>128.0</v>
      </c>
      <c r="H129" s="4" t="s">
        <v>4106</v>
      </c>
      <c r="I129" s="4" t="s">
        <v>4107</v>
      </c>
      <c r="J129" s="4" t="s">
        <v>2514</v>
      </c>
      <c r="K129" s="4" t="s">
        <v>4108</v>
      </c>
    </row>
    <row r="130" ht="22.5" customHeight="1">
      <c r="A130" s="12">
        <v>129.0</v>
      </c>
      <c r="B130" s="13" t="s">
        <v>4109</v>
      </c>
      <c r="C130" s="13" t="s">
        <v>377</v>
      </c>
      <c r="D130" s="13" t="s">
        <v>271</v>
      </c>
      <c r="E130" s="13" t="s">
        <v>4110</v>
      </c>
      <c r="G130" s="14">
        <v>129.0</v>
      </c>
      <c r="H130" s="4" t="s">
        <v>4111</v>
      </c>
      <c r="I130" s="4" t="s">
        <v>377</v>
      </c>
      <c r="J130" s="5">
        <v>2.0</v>
      </c>
      <c r="K130" s="4" t="s">
        <v>4112</v>
      </c>
    </row>
    <row r="131" ht="22.5" customHeight="1">
      <c r="A131" s="12">
        <v>130.0</v>
      </c>
      <c r="B131" s="13" t="s">
        <v>4113</v>
      </c>
      <c r="C131" s="13" t="s">
        <v>4114</v>
      </c>
      <c r="D131" s="13" t="s">
        <v>4115</v>
      </c>
      <c r="E131" s="13" t="s">
        <v>4116</v>
      </c>
      <c r="G131" s="14">
        <v>130.0</v>
      </c>
      <c r="H131" s="4" t="s">
        <v>4117</v>
      </c>
      <c r="I131" s="4" t="s">
        <v>4118</v>
      </c>
      <c r="J131" s="4" t="s">
        <v>4119</v>
      </c>
      <c r="K131" s="4" t="s">
        <v>4120</v>
      </c>
    </row>
    <row r="132" ht="22.5" customHeight="1">
      <c r="A132" s="12">
        <v>131.0</v>
      </c>
      <c r="B132" s="13" t="s">
        <v>4121</v>
      </c>
      <c r="C132" s="13" t="s">
        <v>4122</v>
      </c>
      <c r="D132" s="13" t="s">
        <v>3808</v>
      </c>
      <c r="E132" s="13" t="s">
        <v>4123</v>
      </c>
      <c r="G132" s="14">
        <v>131.0</v>
      </c>
      <c r="H132" s="4" t="s">
        <v>4124</v>
      </c>
      <c r="I132" s="4" t="s">
        <v>4125</v>
      </c>
      <c r="J132" s="4" t="s">
        <v>2509</v>
      </c>
      <c r="K132" s="4" t="s">
        <v>4126</v>
      </c>
    </row>
    <row r="133" ht="22.5" customHeight="1">
      <c r="A133" s="12">
        <v>132.0</v>
      </c>
      <c r="B133" s="13" t="s">
        <v>4127</v>
      </c>
      <c r="C133" s="13" t="s">
        <v>4128</v>
      </c>
      <c r="D133" s="13" t="s">
        <v>4030</v>
      </c>
      <c r="E133" s="13" t="s">
        <v>4129</v>
      </c>
      <c r="G133" s="14">
        <v>132.0</v>
      </c>
      <c r="H133" s="4" t="s">
        <v>4130</v>
      </c>
      <c r="I133" s="4" t="s">
        <v>4131</v>
      </c>
      <c r="J133" s="4" t="s">
        <v>4034</v>
      </c>
      <c r="K133" s="4" t="s">
        <v>4132</v>
      </c>
    </row>
    <row r="134" ht="22.5" customHeight="1">
      <c r="A134" s="12">
        <v>133.0</v>
      </c>
      <c r="B134" s="13" t="s">
        <v>4133</v>
      </c>
      <c r="C134" s="13" t="s">
        <v>4134</v>
      </c>
      <c r="D134" s="13" t="s">
        <v>3710</v>
      </c>
      <c r="E134" s="13" t="s">
        <v>3711</v>
      </c>
      <c r="G134" s="14">
        <v>133.0</v>
      </c>
      <c r="H134" s="4" t="s">
        <v>4135</v>
      </c>
      <c r="I134" s="4" t="s">
        <v>4136</v>
      </c>
      <c r="J134" s="4" t="s">
        <v>3714</v>
      </c>
      <c r="K134" s="4" t="s">
        <v>3715</v>
      </c>
    </row>
    <row r="135" ht="22.5" customHeight="1">
      <c r="A135" s="12">
        <v>134.0</v>
      </c>
      <c r="B135" s="13" t="s">
        <v>4137</v>
      </c>
      <c r="C135" s="13" t="s">
        <v>4138</v>
      </c>
      <c r="D135" s="13" t="s">
        <v>3307</v>
      </c>
      <c r="E135" s="13" t="s">
        <v>4139</v>
      </c>
      <c r="G135" s="14">
        <v>134.0</v>
      </c>
      <c r="H135" s="4" t="s">
        <v>4140</v>
      </c>
      <c r="I135" s="4" t="s">
        <v>4141</v>
      </c>
      <c r="J135" s="4" t="s">
        <v>3311</v>
      </c>
      <c r="K135" s="4" t="s">
        <v>4142</v>
      </c>
    </row>
    <row r="136" ht="22.5" customHeight="1">
      <c r="A136" s="12">
        <v>135.0</v>
      </c>
      <c r="B136" s="13" t="s">
        <v>3800</v>
      </c>
      <c r="C136" s="13" t="s">
        <v>4013</v>
      </c>
      <c r="D136" s="13" t="s">
        <v>3425</v>
      </c>
      <c r="E136" s="13" t="s">
        <v>4143</v>
      </c>
      <c r="G136" s="14">
        <v>135.0</v>
      </c>
      <c r="H136" s="4" t="s">
        <v>3803</v>
      </c>
      <c r="I136" s="4" t="s">
        <v>4016</v>
      </c>
      <c r="J136" s="4" t="s">
        <v>2831</v>
      </c>
      <c r="K136" s="4" t="s">
        <v>4144</v>
      </c>
    </row>
    <row r="137" ht="22.5" customHeight="1">
      <c r="A137" s="12">
        <v>136.0</v>
      </c>
      <c r="B137" s="13" t="s">
        <v>4145</v>
      </c>
      <c r="C137" s="13" t="s">
        <v>4146</v>
      </c>
      <c r="D137" s="13" t="s">
        <v>4147</v>
      </c>
      <c r="E137" s="13" t="s">
        <v>4148</v>
      </c>
      <c r="G137" s="14">
        <v>136.0</v>
      </c>
      <c r="H137" s="4" t="s">
        <v>4149</v>
      </c>
      <c r="I137" s="4" t="s">
        <v>4150</v>
      </c>
      <c r="J137" s="4" t="s">
        <v>4151</v>
      </c>
      <c r="K137" s="4" t="s">
        <v>4152</v>
      </c>
    </row>
    <row r="138" ht="22.5" customHeight="1">
      <c r="A138" s="12">
        <v>137.0</v>
      </c>
      <c r="B138" s="13" t="s">
        <v>3904</v>
      </c>
      <c r="C138" s="13" t="s">
        <v>4153</v>
      </c>
      <c r="D138" s="13" t="s">
        <v>3906</v>
      </c>
      <c r="E138" s="13" t="s">
        <v>4154</v>
      </c>
      <c r="G138" s="14">
        <v>137.0</v>
      </c>
      <c r="H138" s="4" t="s">
        <v>3908</v>
      </c>
      <c r="I138" s="4" t="s">
        <v>4155</v>
      </c>
      <c r="J138" s="4" t="s">
        <v>3910</v>
      </c>
      <c r="K138" s="4" t="s">
        <v>4156</v>
      </c>
    </row>
    <row r="139" ht="22.5" customHeight="1">
      <c r="A139" s="12">
        <v>138.0</v>
      </c>
      <c r="B139" s="13" t="s">
        <v>4157</v>
      </c>
      <c r="C139" s="13" t="s">
        <v>4158</v>
      </c>
      <c r="D139" s="13" t="s">
        <v>3328</v>
      </c>
      <c r="E139" s="13" t="s">
        <v>3369</v>
      </c>
      <c r="G139" s="14">
        <v>138.0</v>
      </c>
      <c r="H139" s="4" t="s">
        <v>4159</v>
      </c>
      <c r="I139" s="4" t="s">
        <v>4160</v>
      </c>
      <c r="J139" s="4" t="s">
        <v>3332</v>
      </c>
      <c r="K139" s="4" t="s">
        <v>3373</v>
      </c>
    </row>
    <row r="140" ht="22.5" customHeight="1">
      <c r="A140" s="12">
        <v>139.0</v>
      </c>
      <c r="B140" s="13" t="s">
        <v>4161</v>
      </c>
      <c r="C140" s="13" t="s">
        <v>4162</v>
      </c>
      <c r="D140" s="13" t="s">
        <v>3256</v>
      </c>
      <c r="E140" s="13" t="s">
        <v>4163</v>
      </c>
      <c r="G140" s="14">
        <v>139.0</v>
      </c>
      <c r="H140" s="4" t="s">
        <v>4164</v>
      </c>
      <c r="I140" s="4" t="s">
        <v>4165</v>
      </c>
      <c r="J140" s="4" t="s">
        <v>2514</v>
      </c>
      <c r="K140" s="4" t="s">
        <v>4166</v>
      </c>
    </row>
    <row r="141" ht="22.5" customHeight="1">
      <c r="A141" s="12">
        <v>140.0</v>
      </c>
      <c r="B141" s="13" t="s">
        <v>4167</v>
      </c>
      <c r="C141" s="13" t="s">
        <v>3973</v>
      </c>
      <c r="D141" s="13" t="s">
        <v>3808</v>
      </c>
      <c r="E141" s="13" t="s">
        <v>4168</v>
      </c>
      <c r="G141" s="14">
        <v>140.0</v>
      </c>
      <c r="H141" s="4" t="s">
        <v>4169</v>
      </c>
      <c r="I141" s="4" t="s">
        <v>3976</v>
      </c>
      <c r="J141" s="4" t="s">
        <v>2509</v>
      </c>
      <c r="K141" s="4" t="s">
        <v>4170</v>
      </c>
    </row>
    <row r="142" ht="22.5" customHeight="1">
      <c r="A142" s="12">
        <v>141.0</v>
      </c>
      <c r="B142" s="13" t="s">
        <v>4171</v>
      </c>
      <c r="C142" s="13" t="s">
        <v>4172</v>
      </c>
      <c r="D142" s="13" t="s">
        <v>3271</v>
      </c>
      <c r="E142" s="13" t="s">
        <v>4173</v>
      </c>
      <c r="G142" s="14">
        <v>141.0</v>
      </c>
      <c r="H142" s="4" t="s">
        <v>4174</v>
      </c>
      <c r="I142" s="4" t="s">
        <v>4175</v>
      </c>
      <c r="J142" s="4" t="s">
        <v>3275</v>
      </c>
      <c r="K142" s="4" t="s">
        <v>4176</v>
      </c>
    </row>
    <row r="143" ht="22.5" customHeight="1">
      <c r="A143" s="12">
        <v>142.0</v>
      </c>
      <c r="B143" s="13" t="s">
        <v>4177</v>
      </c>
      <c r="C143" s="13" t="s">
        <v>4178</v>
      </c>
      <c r="D143" s="13" t="s">
        <v>4179</v>
      </c>
      <c r="E143" s="13" t="s">
        <v>4180</v>
      </c>
      <c r="G143" s="14">
        <v>142.0</v>
      </c>
      <c r="H143" s="4" t="s">
        <v>4181</v>
      </c>
      <c r="I143" s="4" t="s">
        <v>4182</v>
      </c>
      <c r="J143" s="4" t="s">
        <v>4183</v>
      </c>
      <c r="K143" s="4" t="s">
        <v>4184</v>
      </c>
    </row>
    <row r="144" ht="22.5" customHeight="1">
      <c r="A144" s="12">
        <v>143.0</v>
      </c>
      <c r="B144" s="13" t="s">
        <v>4185</v>
      </c>
      <c r="C144" s="13" t="s">
        <v>2741</v>
      </c>
      <c r="D144" s="13" t="s">
        <v>263</v>
      </c>
      <c r="E144" s="13" t="s">
        <v>4186</v>
      </c>
      <c r="G144" s="14">
        <v>143.0</v>
      </c>
      <c r="H144" s="4" t="s">
        <v>4187</v>
      </c>
      <c r="I144" s="4" t="s">
        <v>2743</v>
      </c>
      <c r="J144" s="5">
        <v>1.0</v>
      </c>
      <c r="K144" s="4" t="s">
        <v>4188</v>
      </c>
    </row>
    <row r="145" ht="22.5" customHeight="1">
      <c r="A145" s="12">
        <v>144.0</v>
      </c>
      <c r="B145" s="13" t="s">
        <v>4189</v>
      </c>
      <c r="C145" s="13" t="s">
        <v>4190</v>
      </c>
      <c r="D145" s="13" t="s">
        <v>3328</v>
      </c>
      <c r="E145" s="13" t="s">
        <v>4191</v>
      </c>
      <c r="G145" s="14">
        <v>144.0</v>
      </c>
      <c r="H145" s="4" t="s">
        <v>4192</v>
      </c>
      <c r="I145" s="4" t="s">
        <v>4193</v>
      </c>
      <c r="J145" s="4" t="s">
        <v>3332</v>
      </c>
      <c r="K145" s="4" t="s">
        <v>4194</v>
      </c>
    </row>
    <row r="146" ht="22.5" customHeight="1">
      <c r="A146" s="12">
        <v>145.0</v>
      </c>
      <c r="B146" s="13" t="s">
        <v>4195</v>
      </c>
      <c r="C146" s="13" t="s">
        <v>4196</v>
      </c>
      <c r="D146" s="13" t="s">
        <v>4197</v>
      </c>
      <c r="E146" s="13" t="s">
        <v>4198</v>
      </c>
      <c r="G146" s="14">
        <v>145.0</v>
      </c>
      <c r="H146" s="4" t="s">
        <v>4199</v>
      </c>
      <c r="I146" s="4" t="s">
        <v>4200</v>
      </c>
      <c r="J146" s="4" t="s">
        <v>2594</v>
      </c>
      <c r="K146" s="4" t="s">
        <v>4201</v>
      </c>
    </row>
    <row r="147" ht="22.5" customHeight="1">
      <c r="A147" s="12">
        <v>146.0</v>
      </c>
      <c r="B147" s="13" t="s">
        <v>4202</v>
      </c>
      <c r="C147" s="13" t="s">
        <v>4203</v>
      </c>
      <c r="D147" s="13" t="s">
        <v>4204</v>
      </c>
      <c r="E147" s="13" t="s">
        <v>4205</v>
      </c>
      <c r="G147" s="14">
        <v>146.0</v>
      </c>
      <c r="H147" s="4" t="s">
        <v>4206</v>
      </c>
      <c r="I147" s="4" t="s">
        <v>4207</v>
      </c>
      <c r="J147" s="4" t="s">
        <v>4208</v>
      </c>
      <c r="K147" s="4" t="s">
        <v>4209</v>
      </c>
    </row>
    <row r="148" ht="22.5" customHeight="1">
      <c r="A148" s="12">
        <v>147.0</v>
      </c>
      <c r="B148" s="13" t="s">
        <v>4210</v>
      </c>
      <c r="C148" s="13" t="s">
        <v>4211</v>
      </c>
      <c r="D148" s="13" t="s">
        <v>4212</v>
      </c>
      <c r="E148" s="13" t="s">
        <v>4213</v>
      </c>
      <c r="G148" s="14">
        <v>147.0</v>
      </c>
      <c r="H148" s="4" t="s">
        <v>4214</v>
      </c>
      <c r="I148" s="4" t="s">
        <v>4211</v>
      </c>
      <c r="J148" s="4" t="s">
        <v>4212</v>
      </c>
      <c r="K148" s="4" t="s">
        <v>4215</v>
      </c>
    </row>
    <row r="149" ht="22.5" customHeight="1">
      <c r="A149" s="12">
        <v>148.0</v>
      </c>
      <c r="B149" s="13" t="s">
        <v>4216</v>
      </c>
      <c r="C149" s="13" t="s">
        <v>377</v>
      </c>
      <c r="D149" s="13" t="s">
        <v>271</v>
      </c>
      <c r="E149" s="13" t="s">
        <v>4217</v>
      </c>
      <c r="G149" s="14">
        <v>148.0</v>
      </c>
      <c r="H149" s="4" t="s">
        <v>4218</v>
      </c>
      <c r="I149" s="4" t="s">
        <v>377</v>
      </c>
      <c r="J149" s="5">
        <v>2.0</v>
      </c>
      <c r="K149" s="4" t="s">
        <v>4219</v>
      </c>
    </row>
    <row r="150" ht="22.5" customHeight="1">
      <c r="A150" s="12">
        <v>149.0</v>
      </c>
      <c r="B150" s="13" t="s">
        <v>4220</v>
      </c>
      <c r="C150" s="13" t="s">
        <v>4221</v>
      </c>
      <c r="D150" s="13" t="s">
        <v>4222</v>
      </c>
      <c r="E150" s="13" t="s">
        <v>4223</v>
      </c>
      <c r="G150" s="14">
        <v>149.0</v>
      </c>
      <c r="H150" s="4" t="s">
        <v>4224</v>
      </c>
      <c r="I150" s="4" t="s">
        <v>4225</v>
      </c>
      <c r="J150" s="4" t="s">
        <v>4226</v>
      </c>
      <c r="K150" s="4" t="s">
        <v>4227</v>
      </c>
    </row>
    <row r="151" ht="22.5" customHeight="1">
      <c r="A151" s="12">
        <v>150.0</v>
      </c>
      <c r="B151" s="13" t="s">
        <v>4228</v>
      </c>
      <c r="C151" s="13" t="s">
        <v>4229</v>
      </c>
      <c r="D151" s="13" t="s">
        <v>4230</v>
      </c>
      <c r="E151" s="13" t="s">
        <v>4231</v>
      </c>
      <c r="G151" s="14">
        <v>150.0</v>
      </c>
      <c r="H151" s="4" t="s">
        <v>4232</v>
      </c>
      <c r="I151" s="4" t="s">
        <v>4233</v>
      </c>
      <c r="J151" s="4" t="s">
        <v>4234</v>
      </c>
      <c r="K151" s="4" t="s">
        <v>4235</v>
      </c>
    </row>
    <row r="152" ht="22.5" customHeight="1">
      <c r="A152" s="12">
        <v>151.0</v>
      </c>
      <c r="B152" s="13" t="s">
        <v>4236</v>
      </c>
      <c r="C152" s="13" t="s">
        <v>4237</v>
      </c>
      <c r="D152" s="13" t="s">
        <v>3808</v>
      </c>
      <c r="E152" s="13" t="s">
        <v>4238</v>
      </c>
      <c r="G152" s="14">
        <v>151.0</v>
      </c>
      <c r="H152" s="4" t="s">
        <v>4239</v>
      </c>
      <c r="I152" s="4" t="s">
        <v>4240</v>
      </c>
      <c r="J152" s="4" t="s">
        <v>2509</v>
      </c>
      <c r="K152" s="4" t="s">
        <v>4241</v>
      </c>
    </row>
    <row r="153" ht="22.5" customHeight="1">
      <c r="A153" s="12">
        <v>152.0</v>
      </c>
      <c r="B153" s="13" t="s">
        <v>4242</v>
      </c>
      <c r="C153" s="13" t="s">
        <v>4243</v>
      </c>
      <c r="D153" s="13" t="s">
        <v>4244</v>
      </c>
      <c r="E153" s="13" t="s">
        <v>4245</v>
      </c>
      <c r="G153" s="14">
        <v>152.0</v>
      </c>
      <c r="H153" s="4" t="s">
        <v>4246</v>
      </c>
      <c r="I153" s="4" t="s">
        <v>4247</v>
      </c>
      <c r="J153" s="4" t="s">
        <v>4248</v>
      </c>
      <c r="K153" s="4" t="s">
        <v>4249</v>
      </c>
    </row>
    <row r="154" ht="22.5" customHeight="1">
      <c r="A154" s="12">
        <v>153.0</v>
      </c>
      <c r="B154" s="13" t="s">
        <v>4250</v>
      </c>
      <c r="C154" s="13" t="s">
        <v>4251</v>
      </c>
      <c r="D154" s="13" t="s">
        <v>3737</v>
      </c>
      <c r="E154" s="13" t="s">
        <v>4252</v>
      </c>
      <c r="G154" s="14">
        <v>153.0</v>
      </c>
      <c r="H154" s="4" t="s">
        <v>4253</v>
      </c>
      <c r="I154" s="4" t="s">
        <v>4254</v>
      </c>
      <c r="J154" s="4" t="s">
        <v>3741</v>
      </c>
      <c r="K154" s="4" t="s">
        <v>4255</v>
      </c>
    </row>
    <row r="155" ht="22.5" customHeight="1">
      <c r="A155" s="12">
        <v>154.0</v>
      </c>
      <c r="B155" s="13" t="s">
        <v>4256</v>
      </c>
      <c r="C155" s="13" t="s">
        <v>377</v>
      </c>
      <c r="D155" s="13" t="s">
        <v>263</v>
      </c>
      <c r="E155" s="13" t="s">
        <v>3745</v>
      </c>
      <c r="G155" s="14">
        <v>154.0</v>
      </c>
      <c r="H155" s="4" t="s">
        <v>4257</v>
      </c>
      <c r="I155" s="4" t="s">
        <v>377</v>
      </c>
      <c r="J155" s="5">
        <v>1.0</v>
      </c>
      <c r="K155" s="4" t="s">
        <v>3748</v>
      </c>
    </row>
    <row r="156" ht="22.5" customHeight="1">
      <c r="A156" s="12">
        <v>155.0</v>
      </c>
      <c r="B156" s="13" t="s">
        <v>4258</v>
      </c>
      <c r="C156" s="13" t="s">
        <v>4259</v>
      </c>
      <c r="D156" s="13" t="s">
        <v>4260</v>
      </c>
      <c r="E156" s="13" t="s">
        <v>4261</v>
      </c>
      <c r="G156" s="14">
        <v>155.0</v>
      </c>
      <c r="H156" s="4" t="s">
        <v>4262</v>
      </c>
      <c r="I156" s="4" t="s">
        <v>4263</v>
      </c>
      <c r="J156" s="4" t="s">
        <v>4264</v>
      </c>
      <c r="K156" s="4" t="s">
        <v>4265</v>
      </c>
    </row>
    <row r="157" ht="22.5" customHeight="1">
      <c r="A157" s="12">
        <v>156.0</v>
      </c>
      <c r="B157" s="13" t="s">
        <v>4266</v>
      </c>
      <c r="C157" s="13" t="s">
        <v>4267</v>
      </c>
      <c r="D157" s="13" t="s">
        <v>3808</v>
      </c>
      <c r="E157" s="13" t="s">
        <v>4268</v>
      </c>
      <c r="G157" s="14">
        <v>156.0</v>
      </c>
      <c r="H157" s="4" t="s">
        <v>4269</v>
      </c>
      <c r="I157" s="4" t="s">
        <v>4270</v>
      </c>
      <c r="J157" s="4" t="s">
        <v>2509</v>
      </c>
      <c r="K157" s="4" t="s">
        <v>4271</v>
      </c>
    </row>
    <row r="158" ht="22.5" customHeight="1">
      <c r="A158" s="12">
        <v>157.0</v>
      </c>
      <c r="B158" s="13" t="s">
        <v>4272</v>
      </c>
      <c r="C158" s="13" t="s">
        <v>4273</v>
      </c>
      <c r="D158" s="13" t="s">
        <v>3674</v>
      </c>
      <c r="E158" s="13" t="s">
        <v>4274</v>
      </c>
      <c r="G158" s="14">
        <v>157.0</v>
      </c>
      <c r="H158" s="4" t="s">
        <v>4275</v>
      </c>
      <c r="I158" s="4" t="s">
        <v>4276</v>
      </c>
      <c r="J158" s="4" t="s">
        <v>3678</v>
      </c>
      <c r="K158" s="4" t="s">
        <v>4277</v>
      </c>
    </row>
    <row r="159" ht="22.5" customHeight="1">
      <c r="A159" s="12">
        <v>158.0</v>
      </c>
      <c r="B159" s="13" t="s">
        <v>4278</v>
      </c>
      <c r="C159" s="13" t="s">
        <v>4279</v>
      </c>
      <c r="D159" s="13" t="s">
        <v>4280</v>
      </c>
      <c r="E159" s="13" t="s">
        <v>4281</v>
      </c>
      <c r="G159" s="14">
        <v>158.0</v>
      </c>
      <c r="H159" s="4" t="s">
        <v>4282</v>
      </c>
      <c r="I159" s="4" t="s">
        <v>4283</v>
      </c>
      <c r="J159" s="4" t="s">
        <v>4284</v>
      </c>
      <c r="K159" s="4" t="s">
        <v>4285</v>
      </c>
    </row>
    <row r="160" ht="22.5" customHeight="1">
      <c r="A160" s="12">
        <v>159.0</v>
      </c>
      <c r="B160" s="13" t="s">
        <v>4286</v>
      </c>
      <c r="C160" s="13" t="s">
        <v>4287</v>
      </c>
      <c r="D160" s="13" t="s">
        <v>4288</v>
      </c>
      <c r="E160" s="13" t="s">
        <v>4289</v>
      </c>
      <c r="G160" s="14">
        <v>159.0</v>
      </c>
      <c r="H160" s="4" t="s">
        <v>4290</v>
      </c>
      <c r="I160" s="4" t="s">
        <v>4291</v>
      </c>
      <c r="J160" s="4" t="s">
        <v>4292</v>
      </c>
      <c r="K160" s="4" t="s">
        <v>4293</v>
      </c>
    </row>
    <row r="161" ht="22.5" customHeight="1">
      <c r="A161" s="12">
        <v>160.0</v>
      </c>
      <c r="B161" s="13" t="s">
        <v>4294</v>
      </c>
      <c r="C161" s="13" t="s">
        <v>4295</v>
      </c>
      <c r="D161" s="13" t="s">
        <v>3808</v>
      </c>
      <c r="E161" s="13" t="s">
        <v>4296</v>
      </c>
      <c r="G161" s="14">
        <v>160.0</v>
      </c>
      <c r="H161" s="4" t="s">
        <v>4297</v>
      </c>
      <c r="I161" s="4" t="s">
        <v>4298</v>
      </c>
      <c r="J161" s="4" t="s">
        <v>2509</v>
      </c>
      <c r="K161" s="4" t="s">
        <v>4299</v>
      </c>
    </row>
    <row r="162" ht="22.5" customHeight="1">
      <c r="A162" s="12">
        <v>161.0</v>
      </c>
      <c r="B162" s="13" t="s">
        <v>4300</v>
      </c>
      <c r="C162" s="13" t="s">
        <v>4301</v>
      </c>
      <c r="D162" s="13" t="s">
        <v>4260</v>
      </c>
      <c r="E162" s="13" t="s">
        <v>4302</v>
      </c>
      <c r="G162" s="14">
        <v>161.0</v>
      </c>
      <c r="H162" s="4" t="s">
        <v>4303</v>
      </c>
      <c r="I162" s="4" t="s">
        <v>4304</v>
      </c>
      <c r="J162" s="4" t="s">
        <v>4264</v>
      </c>
      <c r="K162" s="4" t="s">
        <v>4305</v>
      </c>
    </row>
    <row r="163" ht="22.5" customHeight="1">
      <c r="A163" s="12">
        <v>162.0</v>
      </c>
      <c r="B163" s="13" t="s">
        <v>4306</v>
      </c>
      <c r="C163" s="13" t="s">
        <v>4267</v>
      </c>
      <c r="D163" s="13" t="s">
        <v>4197</v>
      </c>
      <c r="E163" s="13" t="s">
        <v>4307</v>
      </c>
      <c r="G163" s="14">
        <v>162.0</v>
      </c>
      <c r="H163" s="4" t="s">
        <v>4308</v>
      </c>
      <c r="I163" s="4" t="s">
        <v>4270</v>
      </c>
      <c r="J163" s="4" t="s">
        <v>2594</v>
      </c>
      <c r="K163" s="4" t="s">
        <v>4309</v>
      </c>
    </row>
    <row r="164" ht="22.5" customHeight="1">
      <c r="A164" s="12">
        <v>163.0</v>
      </c>
      <c r="B164" s="13" t="s">
        <v>4310</v>
      </c>
      <c r="C164" s="13" t="s">
        <v>4311</v>
      </c>
      <c r="D164" s="13" t="s">
        <v>4312</v>
      </c>
      <c r="E164" s="13" t="s">
        <v>4313</v>
      </c>
      <c r="G164" s="14">
        <v>163.0</v>
      </c>
      <c r="H164" s="4" t="s">
        <v>4314</v>
      </c>
      <c r="I164" s="4" t="s">
        <v>4315</v>
      </c>
      <c r="J164" s="4" t="s">
        <v>4316</v>
      </c>
      <c r="K164" s="4" t="s">
        <v>4317</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37.63"/>
    <col customWidth="1" min="3" max="4" width="29.0"/>
    <col customWidth="1" min="5" max="5" width="37.63"/>
    <col customWidth="1" min="7" max="7" width="15.88"/>
    <col customWidth="1" min="10" max="10" width="17.75"/>
    <col customWidth="1" min="11" max="11" width="15.63"/>
  </cols>
  <sheetData>
    <row r="1" ht="22.5" customHeight="1">
      <c r="A1" s="3" t="s">
        <v>4318</v>
      </c>
      <c r="B1" s="3" t="s">
        <v>1</v>
      </c>
      <c r="C1" s="3" t="s">
        <v>2</v>
      </c>
      <c r="D1" s="3" t="s">
        <v>262</v>
      </c>
      <c r="E1" s="3" t="s">
        <v>4</v>
      </c>
      <c r="G1" s="11" t="s">
        <v>5</v>
      </c>
      <c r="H1" s="11" t="s">
        <v>6</v>
      </c>
      <c r="I1" s="11" t="s">
        <v>7</v>
      </c>
      <c r="J1" s="11" t="s">
        <v>8</v>
      </c>
      <c r="K1" s="11" t="s">
        <v>9</v>
      </c>
    </row>
    <row r="2" ht="22.5" customHeight="1">
      <c r="A2" s="5" t="str">
        <f>IFERROR(__xludf.DUMMYFUNCTION(" GOOGLETRANSLATE(G2, ""de"", ""en"")"),"1")</f>
        <v>1</v>
      </c>
      <c r="B2" s="5" t="str">
        <f>IFERROR(__xludf.DUMMYFUNCTION(" GOOGLETRANSLATE(H2, ""de"", ""en"")"),"How many rings need to be thrown to win a game?")</f>
        <v>How many rings need to be thrown to win a game?</v>
      </c>
      <c r="C2" s="5" t="str">
        <f>IFERROR(__xludf.DUMMYFUNCTION(" GOOGLETRANSLATE(I2, ""de"", ""en"")"),"A. 4 B. 5 C. 6 D. 7")</f>
        <v>A. 4 B. 5 C. 6 D. 7</v>
      </c>
      <c r="D2" s="5" t="str">
        <f>IFERROR(__xludf.DUMMYFUNCTION(" GOOGLETRANSLATE(J2, ""de"", ""en"")"),"6")</f>
        <v>6</v>
      </c>
      <c r="E2" s="5" t="str">
        <f>IFERROR(__xludf.DUMMYFUNCTION(" GOOGLETRANSLATE(K2, ""de"", ""en"")"),"A game is won when a player throws 6 rings that land in the target area.")</f>
        <v>A game is won when a player throws 6 rings that land in the target area.</v>
      </c>
      <c r="G2" s="13" t="s">
        <v>263</v>
      </c>
      <c r="H2" s="13" t="s">
        <v>4319</v>
      </c>
      <c r="I2" s="13" t="s">
        <v>4320</v>
      </c>
      <c r="J2" s="13" t="s">
        <v>303</v>
      </c>
      <c r="K2" s="13" t="s">
        <v>4321</v>
      </c>
    </row>
    <row r="3" ht="22.5" customHeight="1">
      <c r="A3" s="5" t="str">
        <f>IFERROR(__xludf.DUMMYFUNCTION(" GOOGLETRANSLATE(G3, ""de"", ""en"")"),"2")</f>
        <v>2</v>
      </c>
      <c r="B3" s="5" t="str">
        <f>IFERROR(__xludf.DUMMYFUNCTION(" GOOGLETRANSLATE(H3, ""de"", ""en"")"),"Is it permissible for a ring to touch the ground before reaching its target?")</f>
        <v>Is it permissible for a ring to touch the ground before reaching its target?</v>
      </c>
      <c r="C3" s="5" t="str">
        <f>IFERROR(__xludf.DUMMYFUNCTION(" GOOGLETRANSLATE(I3, ""de"", ""en"")"),"A. Yes, always B. No, never C. Only in the penalty area D. Only on free kicks")</f>
        <v>A. Yes, always B. No, never C. Only in the penalty area D. Only on free kicks</v>
      </c>
      <c r="D3" s="5" t="str">
        <f>IFERROR(__xludf.DUMMYFUNCTION(" GOOGLETRANSLATE(J3, ""de"", ""en"")"),"No, never")</f>
        <v>No, never</v>
      </c>
      <c r="E3" s="5" t="str">
        <f>IFERROR(__xludf.DUMMYFUNCTION(" GOOGLETRANSLATE(K3, ""de"", ""en"")"),"A ring must not touch the ground before it reaches the target.")</f>
        <v>A ring must not touch the ground before it reaches the target.</v>
      </c>
      <c r="G3" s="13" t="s">
        <v>271</v>
      </c>
      <c r="H3" s="13" t="s">
        <v>4322</v>
      </c>
      <c r="I3" s="13" t="s">
        <v>4323</v>
      </c>
      <c r="J3" s="13" t="s">
        <v>2509</v>
      </c>
      <c r="K3" s="13" t="s">
        <v>4324</v>
      </c>
    </row>
    <row r="4" ht="22.5" customHeight="1">
      <c r="A4" s="5" t="str">
        <f>IFERROR(__xludf.DUMMYFUNCTION(" GOOGLETRANSLATE(G4, ""de"", ""en"")"),"3")</f>
        <v>3</v>
      </c>
      <c r="B4" s="5" t="str">
        <f>IFERROR(__xludf.DUMMYFUNCTION(" GOOGLETRANSLATE(H4, ""de"", ""en"")"),"How far must the thrower stand from the target?")</f>
        <v>How far must the thrower stand from the target?</v>
      </c>
      <c r="C4" s="5" t="str">
        <f>IFERROR(__xludf.DUMMYFUNCTION(" GOOGLETRANSLATE(I4, ""de"", ""en"")"),"A. 2 meters B. 3 meters C. 5 meters D. 10 meters")</f>
        <v>A. 2 meters B. 3 meters C. 5 meters D. 10 meters</v>
      </c>
      <c r="D4" s="5" t="str">
        <f>IFERROR(__xludf.DUMMYFUNCTION(" GOOGLETRANSLATE(J4, ""de"", ""en"")"),"3 meters")</f>
        <v>3 meters</v>
      </c>
      <c r="E4" s="5" t="str">
        <f>IFERROR(__xludf.DUMMYFUNCTION(" GOOGLETRANSLATE(K4, ""de"", ""en"")"),"The thrower must be at least 3 meters away from the target.")</f>
        <v>The thrower must be at least 3 meters away from the target.</v>
      </c>
      <c r="G4" s="13" t="s">
        <v>279</v>
      </c>
      <c r="H4" s="13" t="s">
        <v>4325</v>
      </c>
      <c r="I4" s="13" t="s">
        <v>4326</v>
      </c>
      <c r="J4" s="13" t="s">
        <v>4327</v>
      </c>
      <c r="K4" s="13" t="s">
        <v>4328</v>
      </c>
    </row>
    <row r="5" ht="22.5" customHeight="1">
      <c r="A5" s="5" t="str">
        <f>IFERROR(__xludf.DUMMYFUNCTION(" GOOGLETRANSLATE(G5, ""de"", ""en"")"),"4")</f>
        <v>4</v>
      </c>
      <c r="B5" s="5" t="str">
        <f>IFERROR(__xludf.DUMMYFUNCTION(" GOOGLETRANSLATE(H5, ""de"", ""en"")"),"How many rings does each player have at the start of a game?")</f>
        <v>How many rings does each player have at the start of a game?</v>
      </c>
      <c r="C5" s="5" t="str">
        <f>IFERROR(__xludf.DUMMYFUNCTION(" GOOGLETRANSLATE(I5, ""de"", ""en"")"),"A. 4 B. 6 C. 8 D. 10")</f>
        <v>A. 4 B. 6 C. 8 D. 10</v>
      </c>
      <c r="D5" s="5" t="str">
        <f>IFERROR(__xludf.DUMMYFUNCTION(" GOOGLETRANSLATE(J5, ""de"", ""en"")"),"6")</f>
        <v>6</v>
      </c>
      <c r="E5" s="5" t="str">
        <f>IFERROR(__xludf.DUMMYFUNCTION(" GOOGLETRANSLATE(K5, ""de"", ""en"")"),"Each player starts with 6 rings.")</f>
        <v>Each player starts with 6 rings.</v>
      </c>
      <c r="G5" s="13" t="s">
        <v>287</v>
      </c>
      <c r="H5" s="13" t="s">
        <v>4329</v>
      </c>
      <c r="I5" s="13" t="s">
        <v>4330</v>
      </c>
      <c r="J5" s="13" t="s">
        <v>303</v>
      </c>
      <c r="K5" s="13" t="s">
        <v>4331</v>
      </c>
    </row>
    <row r="6" ht="22.5" customHeight="1">
      <c r="A6" s="5" t="str">
        <f>IFERROR(__xludf.DUMMYFUNCTION(" GOOGLETRANSLATE(G6, ""de"", ""en"")"),"5")</f>
        <v>5</v>
      </c>
      <c r="B6" s="5" t="str">
        <f>IFERROR(__xludf.DUMMYFUNCTION(" GOOGLETRANSLATE(H6, ""de"", ""en"")"),"What happens if a player throws more than one ring at the same time?")</f>
        <v>What happens if a player throws more than one ring at the same time?</v>
      </c>
      <c r="C6" s="5" t="str">
        <f>IFERROR(__xludf.DUMMYFUNCTION(" GOOGLETRANSLATE(I6, ""de"", ""en"")"),"A. Penalty point B. No goal C. Free kick for the opponent D. Warning")</f>
        <v>A. Penalty point B. No goal C. Free kick for the opponent D. Warning</v>
      </c>
      <c r="D6" s="5" t="str">
        <f>IFERROR(__xludf.DUMMYFUNCTION(" GOOGLETRANSLATE(J6, ""de"", ""en"")"),"Penalty point")</f>
        <v>Penalty point</v>
      </c>
      <c r="E6" s="5" t="str">
        <f>IFERROR(__xludf.DUMMYFUNCTION(" GOOGLETRANSLATE(K6, ""de"", ""en"")"),"A penalty point is awarded if a player throws more than one ring at the same time.")</f>
        <v>A penalty point is awarded if a player throws more than one ring at the same time.</v>
      </c>
      <c r="G6" s="13" t="s">
        <v>295</v>
      </c>
      <c r="H6" s="13" t="s">
        <v>4332</v>
      </c>
      <c r="I6" s="13" t="s">
        <v>4333</v>
      </c>
      <c r="J6" s="13" t="s">
        <v>4334</v>
      </c>
      <c r="K6" s="13" t="s">
        <v>4335</v>
      </c>
    </row>
    <row r="7" ht="22.5" customHeight="1">
      <c r="A7" s="5" t="str">
        <f>IFERROR(__xludf.DUMMYFUNCTION(" GOOGLETRANSLATE(G7, ""de"", ""en"")"),"6")</f>
        <v>6</v>
      </c>
      <c r="B7" s="5" t="str">
        <f>IFERROR(__xludf.DUMMYFUNCTION(" GOOGLETRANSLATE(H7, ""de"", ""en"")"),"How is a point scored?")</f>
        <v>How is a point scored?</v>
      </c>
      <c r="C7" s="5" t="str">
        <f>IFERROR(__xludf.DUMMYFUNCTION(" GOOGLETRANSLATE(I7, ""de"", ""en"")"),"A. If a ring lands in the target area. B. If the ring touches the ground. C. If the ring flies over the target. D. If the ring touches the target.")</f>
        <v>A. If a ring lands in the target area. B. If the ring touches the ground. C. If the ring flies over the target. D. If the ring touches the target.</v>
      </c>
      <c r="D7" s="5" t="str">
        <f>IFERROR(__xludf.DUMMYFUNCTION(" GOOGLETRANSLATE(J7, ""de"", ""en"")"),"If a ring lands in the target area")</f>
        <v>If a ring lands in the target area</v>
      </c>
      <c r="E7" s="5" t="str">
        <f>IFERROR(__xludf.DUMMYFUNCTION(" GOOGLETRANSLATE(K7, ""de"", ""en"")"),"A point is scored when the ring lands in the target area.")</f>
        <v>A point is scored when the ring lands in the target area.</v>
      </c>
      <c r="G7" s="13" t="s">
        <v>303</v>
      </c>
      <c r="H7" s="13" t="s">
        <v>4336</v>
      </c>
      <c r="I7" s="13" t="s">
        <v>4337</v>
      </c>
      <c r="J7" s="13" t="s">
        <v>4338</v>
      </c>
      <c r="K7" s="13" t="s">
        <v>4339</v>
      </c>
    </row>
    <row r="8" ht="22.5" customHeight="1">
      <c r="A8" s="5" t="str">
        <f>IFERROR(__xludf.DUMMYFUNCTION(" GOOGLETRANSLATE(G8, ""de"", ""en"")"),"7")</f>
        <v>7</v>
      </c>
      <c r="B8" s="5" t="str">
        <f>IFERROR(__xludf.DUMMYFUNCTION(" GOOGLETRANSLATE(H8, ""de"", ""en"")"),"Can the ring still be moved after it has been thrown?")</f>
        <v>Can the ring still be moved after it has been thrown?</v>
      </c>
      <c r="C8" s="5" t="str">
        <f>IFERROR(__xludf.DUMMYFUNCTION(" GOOGLETRANSLATE(I8, ""de"", ""en"")"),"A. Yes, anytime. B. No, not once he lands. C. Only in the goal area. D. Only with the hand.")</f>
        <v>A. Yes, anytime. B. No, not once he lands. C. Only in the goal area. D. Only with the hand.</v>
      </c>
      <c r="D8" s="5" t="str">
        <f>IFERROR(__xludf.DUMMYFUNCTION(" GOOGLETRANSLATE(J8, ""de"", ""en"")"),"No, as soon as he lands")</f>
        <v>No, as soon as he lands</v>
      </c>
      <c r="E8" s="5" t="str">
        <f>IFERROR(__xludf.DUMMYFUNCTION(" GOOGLETRANSLATE(K8, ""de"", ""en"")"),"The ring must not be moved after it has touched the ground.")</f>
        <v>The ring must not be moved after it has touched the ground.</v>
      </c>
      <c r="G8" s="13" t="s">
        <v>311</v>
      </c>
      <c r="H8" s="13" t="s">
        <v>4340</v>
      </c>
      <c r="I8" s="13" t="s">
        <v>4341</v>
      </c>
      <c r="J8" s="13" t="s">
        <v>4342</v>
      </c>
      <c r="K8" s="13" t="s">
        <v>4343</v>
      </c>
    </row>
    <row r="9" ht="22.5" customHeight="1">
      <c r="A9" s="5" t="str">
        <f>IFERROR(__xludf.DUMMYFUNCTION(" GOOGLETRANSLATE(G9, ""de"", ""en"")"),"8")</f>
        <v>8</v>
      </c>
      <c r="B9" s="5" t="str">
        <f>IFERROR(__xludf.DUMMYFUNCTION(" GOOGLETRANSLATE(H9, ""de"", ""en"")"),"How many players are allowed per team?")</f>
        <v>How many players are allowed per team?</v>
      </c>
      <c r="C9" s="5" t="str">
        <f>IFERROR(__xludf.DUMMYFUNCTION(" GOOGLETRANSLATE(I9, ""de"", ""en"")"),"A. 1 B. 2 C. 3 D. 4")</f>
        <v>A. 1 B. 2 C. 3 D. 4</v>
      </c>
      <c r="D9" s="5" t="str">
        <f>IFERROR(__xludf.DUMMYFUNCTION(" GOOGLETRANSLATE(J9, ""de"", ""en"")"),"2")</f>
        <v>2</v>
      </c>
      <c r="E9" s="5" t="str">
        <f>IFERROR(__xludf.DUMMYFUNCTION(" GOOGLETRANSLATE(K9, ""de"", ""en"")"),"Each team consists of 2 players.")</f>
        <v>Each team consists of 2 players.</v>
      </c>
      <c r="G9" s="13" t="s">
        <v>319</v>
      </c>
      <c r="H9" s="13" t="s">
        <v>4344</v>
      </c>
      <c r="I9" s="13" t="s">
        <v>377</v>
      </c>
      <c r="J9" s="13" t="s">
        <v>271</v>
      </c>
      <c r="K9" s="13" t="s">
        <v>4345</v>
      </c>
    </row>
    <row r="10" ht="22.5" customHeight="1">
      <c r="A10" s="5" t="str">
        <f>IFERROR(__xludf.DUMMYFUNCTION(" GOOGLETRANSLATE(G10, ""de"", ""en"")"),"9")</f>
        <v>9</v>
      </c>
      <c r="B10" s="5" t="str">
        <f>IFERROR(__xludf.DUMMYFUNCTION(" GOOGLETRANSLATE(H10, ""de"", ""en"")"),"What happens if a ring lands outside the playing field?")</f>
        <v>What happens if a ring lands outside the playing field?</v>
      </c>
      <c r="C10" s="5" t="str">
        <f>IFERROR(__xludf.DUMMYFUNCTION(" GOOGLETRANSLATE(I10, ""de"", ""en"")"),"A. No point B. Repeat throw C. Penalty point for the opponent D. Point for the opponent")</f>
        <v>A. No point B. Repeat throw C. Penalty point for the opponent D. Point for the opponent</v>
      </c>
      <c r="D10" s="5" t="str">
        <f>IFERROR(__xludf.DUMMYFUNCTION(" GOOGLETRANSLATE(J10, ""de"", ""en"")"),"No point")</f>
        <v>No point</v>
      </c>
      <c r="E10" s="5" t="str">
        <f>IFERROR(__xludf.DUMMYFUNCTION(" GOOGLETRANSLATE(K10, ""de"", ""en"")"),"A ring that lands outside the playing field will not be scored.")</f>
        <v>A ring that lands outside the playing field will not be scored.</v>
      </c>
      <c r="G10" s="13" t="s">
        <v>326</v>
      </c>
      <c r="H10" s="13" t="s">
        <v>4346</v>
      </c>
      <c r="I10" s="13" t="s">
        <v>4347</v>
      </c>
      <c r="J10" s="13" t="s">
        <v>4348</v>
      </c>
      <c r="K10" s="13" t="s">
        <v>4349</v>
      </c>
    </row>
    <row r="11" ht="22.5" customHeight="1">
      <c r="A11" s="5" t="str">
        <f>IFERROR(__xludf.DUMMYFUNCTION(" GOOGLETRANSLATE(G11, ""de"", ""en"")"),"10")</f>
        <v>10</v>
      </c>
      <c r="B11" s="5" t="str">
        <f>IFERROR(__xludf.DUMMYFUNCTION(" GOOGLETRANSLATE(H11, ""de"", ""en"")"),"How is the winner of a game determined?")</f>
        <v>How is the winner of a game determined?</v>
      </c>
      <c r="C11" s="5" t="str">
        <f>IFERROR(__xludf.DUMMYFUNCTION(" GOOGLETRANSLATE(I11, ""de"", ""en"")"),"A. The player with the most hits. B. The player who hits 6 rings first. C. The player who throws all the rings first. D. The player who reaches 10 points first.")</f>
        <v>A. The player with the most hits. B. The player who hits 6 rings first. C. The player who throws all the rings first. D. The player who reaches 10 points first.</v>
      </c>
      <c r="D11" s="5" t="str">
        <f>IFERROR(__xludf.DUMMYFUNCTION(" GOOGLETRANSLATE(J11, ""de"", ""en"")"),"The player who hits 6 rings first")</f>
        <v>The player who hits 6 rings first</v>
      </c>
      <c r="E11" s="5" t="str">
        <f>IFERROR(__xludf.DUMMYFUNCTION(" GOOGLETRANSLATE(K11, ""de"", ""en"")"),"The player who first lands 6 rings in the target area wins the game.")</f>
        <v>The player who first lands 6 rings in the target area wins the game.</v>
      </c>
      <c r="G11" s="13" t="s">
        <v>334</v>
      </c>
      <c r="H11" s="13" t="s">
        <v>4350</v>
      </c>
      <c r="I11" s="13" t="s">
        <v>4351</v>
      </c>
      <c r="J11" s="13" t="s">
        <v>4352</v>
      </c>
      <c r="K11" s="13" t="s">
        <v>4353</v>
      </c>
    </row>
    <row r="12" ht="22.5" customHeight="1">
      <c r="A12" s="5" t="str">
        <f>IFERROR(__xludf.DUMMYFUNCTION(" GOOGLETRANSLATE(G12, ""de"", ""en"")"),"11")</f>
        <v>11</v>
      </c>
      <c r="B12" s="5" t="str">
        <f>IFERROR(__xludf.DUMMYFUNCTION(" GOOGLETRANSLATE(H12, ""de"", ""en"")"),"Is a player allowed to throw the ring with another object?")</f>
        <v>Is a player allowed to throw the ring with another object?</v>
      </c>
      <c r="C12" s="5" t="str">
        <f>IFERROR(__xludf.DUMMYFUNCTION(" GOOGLETRANSLATE(I12, ""de"", ""en"")"),"A. Yes, with a stick. B. Yes, with the hand. C. No, only with the fingers. D. Only in the goal area.")</f>
        <v>A. Yes, with a stick. B. Yes, with the hand. C. No, only with the fingers. D. Only in the goal area.</v>
      </c>
      <c r="D12" s="5" t="str">
        <f>IFERROR(__xludf.DUMMYFUNCTION(" GOOGLETRANSLATE(J12, ""de"", ""en"")"),"No, just with your fingers.")</f>
        <v>No, just with your fingers.</v>
      </c>
      <c r="E12" s="5" t="str">
        <f>IFERROR(__xludf.DUMMYFUNCTION(" GOOGLETRANSLATE(K12, ""de"", ""en"")"),"A ring may only be thrown with the fingers.")</f>
        <v>A ring may only be thrown with the fingers.</v>
      </c>
      <c r="G12" s="13" t="s">
        <v>337</v>
      </c>
      <c r="H12" s="13" t="s">
        <v>4354</v>
      </c>
      <c r="I12" s="13" t="s">
        <v>4355</v>
      </c>
      <c r="J12" s="13" t="s">
        <v>4356</v>
      </c>
      <c r="K12" s="13" t="s">
        <v>4357</v>
      </c>
    </row>
    <row r="13" ht="22.5" customHeight="1">
      <c r="A13" s="5" t="str">
        <f>IFERROR(__xludf.DUMMYFUNCTION(" GOOGLETRANSLATE(G13, ""de"", ""en"")"),"12")</f>
        <v>12</v>
      </c>
      <c r="B13" s="5" t="str">
        <f>IFERROR(__xludf.DUMMYFUNCTION(" GOOGLETRANSLATE(H13, ""de"", ""en"")"),"How large does the target area need to be?")</f>
        <v>How large does the target area need to be?</v>
      </c>
      <c r="C13" s="5" t="str">
        <f>IFERROR(__xludf.DUMMYFUNCTION(" GOOGLETRANSLATE(I13, ""de"", ""en"")"),"A. 1 meter diameter B. 2 meter diameter C. 3 meter diameter D. 5 meter diameter")</f>
        <v>A. 1 meter diameter B. 2 meter diameter C. 3 meter diameter D. 5 meter diameter</v>
      </c>
      <c r="D13" s="5" t="str">
        <f>IFERROR(__xludf.DUMMYFUNCTION(" GOOGLETRANSLATE(J13, ""de"", ""en"")"),"2 meters in diameter")</f>
        <v>2 meters in diameter</v>
      </c>
      <c r="E13" s="5" t="str">
        <f>IFERROR(__xludf.DUMMYFUNCTION(" GOOGLETRANSLATE(K13, ""de"", ""en"")"),"The target area has a diameter of 2 meters.")</f>
        <v>The target area has a diameter of 2 meters.</v>
      </c>
      <c r="G13" s="13" t="s">
        <v>322</v>
      </c>
      <c r="H13" s="13" t="s">
        <v>4358</v>
      </c>
      <c r="I13" s="13" t="s">
        <v>4359</v>
      </c>
      <c r="J13" s="13" t="s">
        <v>4360</v>
      </c>
      <c r="K13" s="13" t="s">
        <v>4361</v>
      </c>
    </row>
    <row r="14" ht="22.5" customHeight="1">
      <c r="A14" s="5" t="str">
        <f>IFERROR(__xludf.DUMMYFUNCTION(" GOOGLETRANSLATE(G14, ""de"", ""en"")"),"13")</f>
        <v>13</v>
      </c>
      <c r="B14" s="5" t="str">
        <f>IFERROR(__xludf.DUMMYFUNCTION(" GOOGLETRANSLATE(H14, ""de"", ""en"")"),"What happens if the ring touches the target but doesn't land in the target area?")</f>
        <v>What happens if the ring touches the target but doesn't land in the target area?</v>
      </c>
      <c r="C14" s="5" t="str">
        <f>IFERROR(__xludf.DUMMYFUNCTION(" GOOGLETRANSLATE(I14, ""de"", ""en"")"),"A. Half a point. B. No point. C. The round is repeated. D. Point for the opponent.")</f>
        <v>A. Half a point. B. No point. C. The round is repeated. D. Point for the opponent.</v>
      </c>
      <c r="D14" s="5" t="str">
        <f>IFERROR(__xludf.DUMMYFUNCTION(" GOOGLETRANSLATE(J14, ""de"", ""en"")"),"No point")</f>
        <v>No point</v>
      </c>
      <c r="E14" s="5" t="str">
        <f>IFERROR(__xludf.DUMMYFUNCTION(" GOOGLETRANSLATE(K14, ""de"", ""en"")"),"Touching the target without landing within the area does not count as a point.")</f>
        <v>Touching the target without landing within the area does not count as a point.</v>
      </c>
      <c r="G14" s="13" t="s">
        <v>353</v>
      </c>
      <c r="H14" s="13" t="s">
        <v>4362</v>
      </c>
      <c r="I14" s="13" t="s">
        <v>4363</v>
      </c>
      <c r="J14" s="13" t="s">
        <v>4348</v>
      </c>
      <c r="K14" s="13" t="s">
        <v>4364</v>
      </c>
    </row>
    <row r="15" ht="22.5" customHeight="1">
      <c r="A15" s="5" t="str">
        <f>IFERROR(__xludf.DUMMYFUNCTION(" GOOGLETRANSLATE(G15, ""de"", ""en"")"),"14")</f>
        <v>14</v>
      </c>
      <c r="B15" s="5" t="str">
        <f>IFERROR(__xludf.DUMMYFUNCTION(" GOOGLETRANSLATE(H15, ""de"", ""en"")"),"What happens if the ring flies into the opponent's goal?")</f>
        <v>What happens if the ring flies into the opponent's goal?</v>
      </c>
      <c r="C15" s="5" t="str">
        <f>IFERROR(__xludf.DUMMYFUNCTION(" GOOGLETRANSLATE(I15, ""de"", ""en"")"),"A. Penalty point B. One point for the opponent C. One point for the thrower D. No point")</f>
        <v>A. Penalty point B. One point for the opponent C. One point for the thrower D. No point</v>
      </c>
      <c r="D15" s="5" t="str">
        <f>IFERROR(__xludf.DUMMYFUNCTION(" GOOGLETRANSLATE(J15, ""de"", ""en"")"),"One point for the thrower")</f>
        <v>One point for the thrower</v>
      </c>
      <c r="E15" s="5" t="str">
        <f>IFERROR(__xludf.DUMMYFUNCTION(" GOOGLETRANSLATE(K15, ""de"", ""en"")"),"A ring that flies into the opponent's goal counts as a point for the thrower.")</f>
        <v>A ring that flies into the opponent's goal counts as a point for the thrower.</v>
      </c>
      <c r="G15" s="13" t="s">
        <v>361</v>
      </c>
      <c r="H15" s="13" t="s">
        <v>4365</v>
      </c>
      <c r="I15" s="13" t="s">
        <v>4366</v>
      </c>
      <c r="J15" s="13" t="s">
        <v>4367</v>
      </c>
      <c r="K15" s="13" t="s">
        <v>4368</v>
      </c>
    </row>
    <row r="16" ht="22.5" customHeight="1">
      <c r="A16" s="5" t="str">
        <f>IFERROR(__xludf.DUMMYFUNCTION(" GOOGLETRANSLATE(G16, ""de"", ""en"")"),"15")</f>
        <v>15</v>
      </c>
      <c r="B16" s="5" t="str">
        <f>IFERROR(__xludf.DUMMYFUNCTION(" GOOGLETRANSLATE(H16, ""de"", ""en"")"),"Can a player throw multiple rings in one throw?")</f>
        <v>Can a player throw multiple rings in one throw?</v>
      </c>
      <c r="C16" s="5" t="str">
        <f>IFERROR(__xludf.DUMMYFUNCTION(" GOOGLETRANSLATE(I16, ""de"", ""en"")"),"A. Yes, always B. No, only one ring C. Only on free kicks D. Only if the opponent does not block the throw")</f>
        <v>A. Yes, always B. No, only one ring C. Only on free kicks D. Only if the opponent does not block the throw</v>
      </c>
      <c r="D16" s="5" t="str">
        <f>IFERROR(__xludf.DUMMYFUNCTION(" GOOGLETRANSLATE(J16, ""de"", ""en"")"),"No, just a ring")</f>
        <v>No, just a ring</v>
      </c>
      <c r="E16" s="5" t="str">
        <f>IFERROR(__xludf.DUMMYFUNCTION(" GOOGLETRANSLATE(K16, ""de"", ""en"")"),"Only one ring may be thrown per throw.")</f>
        <v>Only one ring may be thrown per throw.</v>
      </c>
      <c r="G16" s="13" t="s">
        <v>369</v>
      </c>
      <c r="H16" s="13" t="s">
        <v>4369</v>
      </c>
      <c r="I16" s="13" t="s">
        <v>4370</v>
      </c>
      <c r="J16" s="13" t="s">
        <v>4371</v>
      </c>
      <c r="K16" s="13" t="s">
        <v>4372</v>
      </c>
    </row>
    <row r="17" ht="22.5" customHeight="1">
      <c r="A17" s="5" t="str">
        <f>IFERROR(__xludf.DUMMYFUNCTION(" GOOGLETRANSLATE(G17, ""de"", ""en"")"),"16")</f>
        <v>16</v>
      </c>
      <c r="B17" s="5" t="str">
        <f>IFERROR(__xludf.DUMMYFUNCTION(" GOOGLETRANSLATE(H17, ""de"", ""en"")"),"How is the distance to the target measured?")</f>
        <v>How is the distance to the target measured?</v>
      </c>
      <c r="C17" s="5" t="str">
        <f>IFERROR(__xludf.DUMMYFUNCTION(" GOOGLETRANSLATE(I17, ""de"", ""en"")"),"A. With a tape measure B. By hand C. By foot D. With a laser")</f>
        <v>A. With a tape measure B. By hand C. By foot D. With a laser</v>
      </c>
      <c r="D17" s="5" t="str">
        <f>IFERROR(__xludf.DUMMYFUNCTION(" GOOGLETRANSLATE(J17, ""de"", ""en"")"),"Using a measuring tape")</f>
        <v>Using a measuring tape</v>
      </c>
      <c r="E17" s="5" t="str">
        <f>IFERROR(__xludf.DUMMYFUNCTION(" GOOGLETRANSLATE(K17, ""de"", ""en"")"),"The distance is measured with a tape measure.")</f>
        <v>The distance is measured with a tape measure.</v>
      </c>
      <c r="G17" s="13" t="s">
        <v>375</v>
      </c>
      <c r="H17" s="13" t="s">
        <v>4373</v>
      </c>
      <c r="I17" s="13" t="s">
        <v>4374</v>
      </c>
      <c r="J17" s="13" t="s">
        <v>2699</v>
      </c>
      <c r="K17" s="13" t="s">
        <v>4375</v>
      </c>
    </row>
    <row r="18" ht="22.5" customHeight="1">
      <c r="A18" s="5" t="str">
        <f>IFERROR(__xludf.DUMMYFUNCTION(" GOOGLETRANSLATE(G18, ""de"", ""en"")"),"17")</f>
        <v>17</v>
      </c>
      <c r="B18" s="5" t="str">
        <f>IFERROR(__xludf.DUMMYFUNCTION(" GOOGLETRANSLATE(H18, ""de"", ""en"")"),"How many points are needed to win the game?")</f>
        <v>How many points are needed to win the game?</v>
      </c>
      <c r="C18" s="5" t="str">
        <f>IFERROR(__xludf.DUMMYFUNCTION(" GOOGLETRANSLATE(I18, ""de"", ""en"")"),"A. 5 B. 6 C. 10 D. 15")</f>
        <v>A. 5 B. 6 C. 10 D. 15</v>
      </c>
      <c r="D18" s="5" t="str">
        <f>IFERROR(__xludf.DUMMYFUNCTION(" GOOGLETRANSLATE(J18, ""de"", ""en"")"),"6")</f>
        <v>6</v>
      </c>
      <c r="E18" s="5" t="str">
        <f>IFERROR(__xludf.DUMMYFUNCTION(" GOOGLETRANSLATE(K18, ""de"", ""en"")"),"A player must score 6 points to win the game.")</f>
        <v>A player must score 6 points to win the game.</v>
      </c>
      <c r="G18" s="13" t="s">
        <v>381</v>
      </c>
      <c r="H18" s="13" t="s">
        <v>4376</v>
      </c>
      <c r="I18" s="13" t="s">
        <v>4377</v>
      </c>
      <c r="J18" s="13" t="s">
        <v>303</v>
      </c>
      <c r="K18" s="13" t="s">
        <v>4378</v>
      </c>
    </row>
    <row r="19" ht="22.5" customHeight="1">
      <c r="A19" s="5" t="str">
        <f>IFERROR(__xludf.DUMMYFUNCTION(" GOOGLETRANSLATE(G19, ""de"", ""en"")"),"18")</f>
        <v>18</v>
      </c>
      <c r="B19" s="5" t="str">
        <f>IFERROR(__xludf.DUMMYFUNCTION(" GOOGLETRANSLATE(H19, ""de"", ""en"")"),"Is a player allowed to throw the ring with a spin throw?")</f>
        <v>Is a player allowed to throw the ring with a spin throw?</v>
      </c>
      <c r="C19" s="5" t="str">
        <f>IFERROR(__xludf.DUMMYFUNCTION(" GOOGLETRANSLATE(I19, ""de"", ""en"")"),"A. Yes, always B. No, never C. Only in the penalty area D. Only on free kicks")</f>
        <v>A. Yes, always B. No, never C. Only in the penalty area D. Only on free kicks</v>
      </c>
      <c r="D19" s="5" t="str">
        <f>IFERROR(__xludf.DUMMYFUNCTION(" GOOGLETRANSLATE(J19, ""de"", ""en"")"),"Yes, always")</f>
        <v>Yes, always</v>
      </c>
      <c r="E19" s="5" t="str">
        <f>IFERROR(__xludf.DUMMYFUNCTION(" GOOGLETRANSLATE(K19, ""de"", ""en"")"),"A spin throw is allowed as long as the rules are followed.")</f>
        <v>A spin throw is allowed as long as the rules are followed.</v>
      </c>
      <c r="G19" s="13" t="s">
        <v>389</v>
      </c>
      <c r="H19" s="13" t="s">
        <v>4379</v>
      </c>
      <c r="I19" s="13" t="s">
        <v>4323</v>
      </c>
      <c r="J19" s="13" t="s">
        <v>2594</v>
      </c>
      <c r="K19" s="13" t="s">
        <v>4380</v>
      </c>
    </row>
    <row r="20" ht="22.5" customHeight="1">
      <c r="A20" s="5" t="str">
        <f>IFERROR(__xludf.DUMMYFUNCTION(" GOOGLETRANSLATE(G20, ""de"", ""en"")"),"19")</f>
        <v>19</v>
      </c>
      <c r="B20" s="5" t="str">
        <f>IFERROR(__xludf.DUMMYFUNCTION(" GOOGLETRANSLATE(H20, ""de"", ""en"")"),"How many rounds are usually played?")</f>
        <v>How many rounds are usually played?</v>
      </c>
      <c r="C20" s="5" t="str">
        <f>IFERROR(__xludf.DUMMYFUNCTION(" GOOGLETRANSLATE(I20, ""de"", ""en"")"),"A. 1st round B. 2 rounds C. 3 rounds D. 5 rounds")</f>
        <v>A. 1st round B. 2 rounds C. 3 rounds D. 5 rounds</v>
      </c>
      <c r="D20" s="5" t="str">
        <f>IFERROR(__xludf.DUMMYFUNCTION(" GOOGLETRANSLATE(J20, ""de"", ""en"")"),"3 rounds")</f>
        <v>3 rounds</v>
      </c>
      <c r="E20" s="5" t="str">
        <f>IFERROR(__xludf.DUMMYFUNCTION(" GOOGLETRANSLATE(K20, ""de"", ""en"")"),"Normally, 3 rounds are played.")</f>
        <v>Normally, 3 rounds are played.</v>
      </c>
      <c r="G20" s="13" t="s">
        <v>397</v>
      </c>
      <c r="H20" s="13" t="s">
        <v>4381</v>
      </c>
      <c r="I20" s="13" t="s">
        <v>4382</v>
      </c>
      <c r="J20" s="13" t="s">
        <v>4383</v>
      </c>
      <c r="K20" s="13" t="s">
        <v>4384</v>
      </c>
    </row>
    <row r="21" ht="22.5" customHeight="1">
      <c r="A21" s="5" t="str">
        <f>IFERROR(__xludf.DUMMYFUNCTION(" GOOGLETRANSLATE(G21, ""de"", ""en"")"),"20")</f>
        <v>20</v>
      </c>
      <c r="B21" s="5" t="str">
        <f>IFERROR(__xludf.DUMMYFUNCTION(" GOOGLETRANSLATE(H21, ""de"", ""en"")"),"Is it permissible to touch the ring after another player has thrown it?")</f>
        <v>Is it permissible to touch the ring after another player has thrown it?</v>
      </c>
      <c r="C21" s="5" t="str">
        <f>IFERROR(__xludf.DUMMYFUNCTION(" GOOGLETRANSLATE(I21, ""de"", ""en"")"),"A. Yes, anytime. B. Only in the goal area. C. No, never. D. Only when the ring reaches the target.")</f>
        <v>A. Yes, anytime. B. Only in the goal area. C. No, never. D. Only when the ring reaches the target.</v>
      </c>
      <c r="D21" s="5" t="str">
        <f>IFERROR(__xludf.DUMMYFUNCTION(" GOOGLETRANSLATE(J21, ""de"", ""en"")"),"No, never")</f>
        <v>No, never</v>
      </c>
      <c r="E21" s="5" t="str">
        <f>IFERROR(__xludf.DUMMYFUNCTION(" GOOGLETRANSLATE(K21, ""de"", ""en"")"),"The ring must not be touched by another player.")</f>
        <v>The ring must not be touched by another player.</v>
      </c>
      <c r="G21" s="13" t="s">
        <v>404</v>
      </c>
      <c r="H21" s="13" t="s">
        <v>4385</v>
      </c>
      <c r="I21" s="13" t="s">
        <v>4386</v>
      </c>
      <c r="J21" s="13" t="s">
        <v>2509</v>
      </c>
      <c r="K21" s="13" t="s">
        <v>4387</v>
      </c>
    </row>
    <row r="22" ht="22.5" customHeight="1">
      <c r="A22" s="5" t="str">
        <f>IFERROR(__xludf.DUMMYFUNCTION(" GOOGLETRANSLATE(G22, ""de"", ""en"")"),"21")</f>
        <v>21</v>
      </c>
      <c r="B22" s="5" t="str">
        <f>IFERROR(__xludf.DUMMYFUNCTION(" GOOGLETRANSLATE(H22, ""de"", ""en"")"),"How many points are awarded if the ring lands in the target area and the player has thrown the correct distance?")</f>
        <v>How many points are awarded if the ring lands in the target area and the player has thrown the correct distance?</v>
      </c>
      <c r="C22" s="5" t="str">
        <f>IFERROR(__xludf.DUMMYFUNCTION(" GOOGLETRANSLATE(I22, ""de"", ""en"")"),"A. 1 point B. 2 points C. 3 points D. 4 points")</f>
        <v>A. 1 point B. 2 points C. 3 points D. 4 points</v>
      </c>
      <c r="D22" s="5" t="str">
        <f>IFERROR(__xludf.DUMMYFUNCTION(" GOOGLETRANSLATE(J22, ""de"", ""en"")"),"1 point")</f>
        <v>1 point</v>
      </c>
      <c r="E22" s="5" t="str">
        <f>IFERROR(__xludf.DUMMYFUNCTION(" GOOGLETRANSLATE(K22, ""de"", ""en"")"),"If the ring is thrown correctly, the player receives 1 point.")</f>
        <v>If the ring is thrown correctly, the player receives 1 point.</v>
      </c>
      <c r="G22" s="13" t="s">
        <v>412</v>
      </c>
      <c r="H22" s="13" t="s">
        <v>4388</v>
      </c>
      <c r="I22" s="13" t="s">
        <v>4389</v>
      </c>
      <c r="J22" s="13" t="s">
        <v>3153</v>
      </c>
      <c r="K22" s="13" t="s">
        <v>4390</v>
      </c>
    </row>
    <row r="23" ht="22.5" customHeight="1">
      <c r="A23" s="5" t="str">
        <f>IFERROR(__xludf.DUMMYFUNCTION(" GOOGLETRANSLATE(G23, ""de"", ""en"")"),"22")</f>
        <v>22</v>
      </c>
      <c r="B23" s="5" t="str">
        <f>IFERROR(__xludf.DUMMYFUNCTION(" GOOGLETRANSLATE(H23, ""de"", ""en"")"),"Can a player pick up a ring with their hand and throw it again?")</f>
        <v>Can a player pick up a ring with their hand and throw it again?</v>
      </c>
      <c r="C23" s="5" t="str">
        <f>IFERROR(__xludf.DUMMYFUNCTION(" GOOGLETRANSLATE(I23, ""de"", ""en"")"),"A. Yes, anytime B. No, never C. Only with the other hand D. Only during a penalty lap")</f>
        <v>A. Yes, anytime B. No, never C. Only with the other hand D. Only during a penalty lap</v>
      </c>
      <c r="D23" s="5" t="str">
        <f>IFERROR(__xludf.DUMMYFUNCTION(" GOOGLETRANSLATE(J23, ""de"", ""en"")"),"No, never")</f>
        <v>No, never</v>
      </c>
      <c r="E23" s="5" t="str">
        <f>IFERROR(__xludf.DUMMYFUNCTION(" GOOGLETRANSLATE(K23, ""de"", ""en"")"),"Once thrown, rings may not be picked up again.")</f>
        <v>Once thrown, rings may not be picked up again.</v>
      </c>
      <c r="G23" s="13" t="s">
        <v>420</v>
      </c>
      <c r="H23" s="13" t="s">
        <v>4391</v>
      </c>
      <c r="I23" s="13" t="s">
        <v>4392</v>
      </c>
      <c r="J23" s="13" t="s">
        <v>4393</v>
      </c>
      <c r="K23" s="13" t="s">
        <v>4394</v>
      </c>
    </row>
    <row r="24" ht="22.5" customHeight="1">
      <c r="A24" s="5" t="str">
        <f>IFERROR(__xludf.DUMMYFUNCTION(" GOOGLETRANSLATE(G24, ""de"", ""en"")"),"23")</f>
        <v>23</v>
      </c>
      <c r="B24" s="5" t="str">
        <f>IFERROR(__xludf.DUMMYFUNCTION(" GOOGLETRANSLATE(H24, ""de"", ""en"")"),"Is it permissible to throw the ring beyond the target?")</f>
        <v>Is it permissible to throw the ring beyond the target?</v>
      </c>
      <c r="C24" s="5" t="str">
        <f>IFERROR(__xludf.DUMMYFUNCTION(" GOOGLETRANSLATE(I24, ""de"", ""en"")"),"A. Yes, if it's fast. B. Yes, but the throw will be repeated. C. No, it will be counted as a miss. D. Yes, there is a bonus point.")</f>
        <v>A. Yes, if it's fast. B. Yes, but the throw will be repeated. C. No, it will be counted as a miss. D. Yes, there is a bonus point.</v>
      </c>
      <c r="D24" s="5" t="str">
        <f>IFERROR(__xludf.DUMMYFUNCTION(" GOOGLETRANSLATE(J24, ""de"", ""en"")"),"No, it will be counted as a missed throw.")</f>
        <v>No, it will be counted as a missed throw.</v>
      </c>
      <c r="E24" s="5" t="str">
        <f>IFERROR(__xludf.DUMMYFUNCTION(" GOOGLETRANSLATE(K24, ""de"", ""en"")"),"A ring that flies beyond the target is counted as a missed throw.")</f>
        <v>A ring that flies beyond the target is counted as a missed throw.</v>
      </c>
      <c r="G24" s="13" t="s">
        <v>428</v>
      </c>
      <c r="H24" s="13" t="s">
        <v>4395</v>
      </c>
      <c r="I24" s="13" t="s">
        <v>4396</v>
      </c>
      <c r="J24" s="13" t="s">
        <v>4397</v>
      </c>
      <c r="K24" s="13" t="s">
        <v>4398</v>
      </c>
    </row>
    <row r="25" ht="22.5" customHeight="1">
      <c r="A25" s="5" t="str">
        <f>IFERROR(__xludf.DUMMYFUNCTION(" GOOGLETRANSLATE(G25, ""de"", ""en"")"),"24")</f>
        <v>24</v>
      </c>
      <c r="B25" s="5" t="str">
        <f>IFERROR(__xludf.DUMMYFUNCTION(" GOOGLETRANSLATE(H25, ""de"", ""en"")"),"How many attempts does each player have to throw a ring?")</f>
        <v>How many attempts does each player have to throw a ring?</v>
      </c>
      <c r="C25" s="5" t="str">
        <f>IFERROR(__xludf.DUMMYFUNCTION(" GOOGLETRANSLATE(I25, ""de"", ""en"")"),"A. 3 attempts B. 4 attempts C. 5 attempts D. Notwithstanding")</f>
        <v>A. 3 attempts B. 4 attempts C. 5 attempts D. Notwithstanding</v>
      </c>
      <c r="D25" s="5" t="str">
        <f>IFERROR(__xludf.DUMMYFUNCTION(" GOOGLETRANSLATE(J25, ""de"", ""en"")"),"3 attempts")</f>
        <v>3 attempts</v>
      </c>
      <c r="E25" s="5" t="str">
        <f>IFERROR(__xludf.DUMMYFUNCTION(" GOOGLETRANSLATE(K25, ""de"", ""en"")"),"Each player has 3 attempts per round.")</f>
        <v>Each player has 3 attempts per round.</v>
      </c>
      <c r="G25" s="13" t="s">
        <v>436</v>
      </c>
      <c r="H25" s="13" t="s">
        <v>4399</v>
      </c>
      <c r="I25" s="13" t="s">
        <v>4400</v>
      </c>
      <c r="J25" s="13" t="s">
        <v>4401</v>
      </c>
      <c r="K25" s="13" t="s">
        <v>4402</v>
      </c>
    </row>
    <row r="26" ht="22.5" customHeight="1">
      <c r="A26" s="5" t="str">
        <f>IFERROR(__xludf.DUMMYFUNCTION(" GOOGLETRANSLATE(G26, ""de"", ""en"")"),"25")</f>
        <v>25</v>
      </c>
      <c r="B26" s="5" t="str">
        <f>IFERROR(__xludf.DUMMYFUNCTION(" GOOGLETRANSLATE(H26, ""de"", ""en"")"),"What happens if the ring lands on the playing field floor and is not in the target area?")</f>
        <v>What happens if the ring lands on the playing field floor and is not in the target area?</v>
      </c>
      <c r="C26" s="5" t="str">
        <f>IFERROR(__xludf.DUMMYFUNCTION(" GOOGLETRANSLATE(I26, ""de"", ""en"")"),"A. It is counted as a miss. B. It counts as half a point. C. It is repeated. D. It becomes a point for the opponent.")</f>
        <v>A. It is counted as a miss. B. It counts as half a point. C. It is repeated. D. It becomes a point for the opponent.</v>
      </c>
      <c r="D26" s="5" t="str">
        <f>IFERROR(__xludf.DUMMYFUNCTION(" GOOGLETRANSLATE(J26, ""de"", ""en"")"),"It will be counted as a miss.")</f>
        <v>It will be counted as a miss.</v>
      </c>
      <c r="E26" s="5" t="str">
        <f>IFERROR(__xludf.DUMMYFUNCTION(" GOOGLETRANSLATE(K26, ""de"", ""en"")"),"A ring that lands outside the target area counts as a missed throw.")</f>
        <v>A ring that lands outside the target area counts as a missed throw.</v>
      </c>
      <c r="G26" s="13" t="s">
        <v>444</v>
      </c>
      <c r="H26" s="13" t="s">
        <v>4403</v>
      </c>
      <c r="I26" s="13" t="s">
        <v>4404</v>
      </c>
      <c r="J26" s="13" t="s">
        <v>4405</v>
      </c>
      <c r="K26" s="13" t="s">
        <v>4406</v>
      </c>
    </row>
    <row r="27" ht="22.5" customHeight="1">
      <c r="A27" s="5" t="str">
        <f>IFERROR(__xludf.DUMMYFUNCTION(" GOOGLETRANSLATE(G27, ""de"", ""en"")"),"26")</f>
        <v>26</v>
      </c>
      <c r="B27" s="5" t="str">
        <f>IFERROR(__xludf.DUMMYFUNCTION(" GOOGLETRANSLATE(H27, ""de"", ""en"")"),"Can a player throw the ring with their foot?")</f>
        <v>Can a player throw the ring with their foot?</v>
      </c>
      <c r="C27" s="5" t="str">
        <f>IFERROR(__xludf.DUMMYFUNCTION(" GOOGLETRANSLATE(I27, ""de"", ""en"")"),"A. Yes, always. B. Yes, but only for a specific throw. C. No, never. D. Yes, but it will be counted as a penalty throw.")</f>
        <v>A. Yes, always. B. Yes, but only for a specific throw. C. No, never. D. Yes, but it will be counted as a penalty throw.</v>
      </c>
      <c r="D27" s="5" t="str">
        <f>IFERROR(__xludf.DUMMYFUNCTION(" GOOGLETRANSLATE(J27, ""de"", ""en"")"),"No, never")</f>
        <v>No, never</v>
      </c>
      <c r="E27" s="5" t="str">
        <f>IFERROR(__xludf.DUMMYFUNCTION(" GOOGLETRANSLATE(K27, ""de"", ""en"")"),"Throwing with the foot is not allowed.")</f>
        <v>Throwing with the foot is not allowed.</v>
      </c>
      <c r="G27" s="13" t="s">
        <v>452</v>
      </c>
      <c r="H27" s="13" t="s">
        <v>4407</v>
      </c>
      <c r="I27" s="13" t="s">
        <v>4408</v>
      </c>
      <c r="J27" s="13" t="s">
        <v>2509</v>
      </c>
      <c r="K27" s="13" t="s">
        <v>4409</v>
      </c>
    </row>
    <row r="28" ht="22.5" customHeight="1">
      <c r="A28" s="5" t="str">
        <f>IFERROR(__xludf.DUMMYFUNCTION(" GOOGLETRANSLATE(G28, ""de"", ""en"")"),"27")</f>
        <v>27</v>
      </c>
      <c r="B28" s="5" t="str">
        <f>IFERROR(__xludf.DUMMYFUNCTION(" GOOGLETRANSLATE(H28, ""de"", ""en"")"),"What distance must the player maintain from the goal?")</f>
        <v>What distance must the player maintain from the goal?</v>
      </c>
      <c r="C28" s="5" t="str">
        <f>IFERROR(__xludf.DUMMYFUNCTION(" GOOGLETRANSLATE(I28, ""de"", ""en"")"),"A. 5 meters B. 3 meters C. 2 meters D. 4 meters")</f>
        <v>A. 5 meters B. 3 meters C. 2 meters D. 4 meters</v>
      </c>
      <c r="D28" s="5" t="str">
        <f>IFERROR(__xludf.DUMMYFUNCTION(" GOOGLETRANSLATE(J28, ""de"", ""en"")"),"3 meters")</f>
        <v>3 meters</v>
      </c>
      <c r="E28" s="5" t="str">
        <f>IFERROR(__xludf.DUMMYFUNCTION(" GOOGLETRANSLATE(K28, ""de"", ""en"")"),"The distance must be at least 3 meters.")</f>
        <v>The distance must be at least 3 meters.</v>
      </c>
      <c r="G28" s="13" t="s">
        <v>460</v>
      </c>
      <c r="H28" s="13" t="s">
        <v>4410</v>
      </c>
      <c r="I28" s="13" t="s">
        <v>4411</v>
      </c>
      <c r="J28" s="13" t="s">
        <v>4327</v>
      </c>
      <c r="K28" s="13" t="s">
        <v>4412</v>
      </c>
    </row>
    <row r="29" ht="22.5" customHeight="1">
      <c r="A29" s="5" t="str">
        <f>IFERROR(__xludf.DUMMYFUNCTION(" GOOGLETRANSLATE(G29, ""de"", ""en"")"),"28")</f>
        <v>28</v>
      </c>
      <c r="B29" s="5" t="str">
        <f>IFERROR(__xludf.DUMMYFUNCTION(" GOOGLETRANSLATE(H29, ""de"", ""en"")"),"Is the ring allowed to touch the ground before reaching the target?")</f>
        <v>Is the ring allowed to touch the ground before reaching the target?</v>
      </c>
      <c r="C29" s="5" t="str">
        <f>IFERROR(__xludf.DUMMYFUNCTION(" GOOGLETRANSLATE(I29, ""de"", ""en"")"),"A. Yes, if the ring springs back. B. Yes, but there are no points. C. No, the ring must stay in the air. D. Yes, there is a penalty point.")</f>
        <v>A. Yes, if the ring springs back. B. Yes, but there are no points. C. No, the ring must stay in the air. D. Yes, there is a penalty point.</v>
      </c>
      <c r="D29" s="5" t="str">
        <f>IFERROR(__xludf.DUMMYFUNCTION(" GOOGLETRANSLATE(J29, ""de"", ""en"")"),"Yes, but there are no points.")</f>
        <v>Yes, but there are no points.</v>
      </c>
      <c r="E29" s="5" t="str">
        <f>IFERROR(__xludf.DUMMYFUNCTION(" GOOGLETRANSLATE(K29, ""de"", ""en"")"),"A ring that touches the ground before reaching the target receives no points.")</f>
        <v>A ring that touches the ground before reaching the target receives no points.</v>
      </c>
      <c r="G29" s="13" t="s">
        <v>468</v>
      </c>
      <c r="H29" s="13" t="s">
        <v>4413</v>
      </c>
      <c r="I29" s="13" t="s">
        <v>4414</v>
      </c>
      <c r="J29" s="13" t="s">
        <v>4415</v>
      </c>
      <c r="K29" s="13" t="s">
        <v>4416</v>
      </c>
    </row>
    <row r="30" ht="22.5" customHeight="1">
      <c r="A30" s="5" t="str">
        <f>IFERROR(__xludf.DUMMYFUNCTION(" GOOGLETRANSLATE(G30, ""de"", ""en"")"),"29")</f>
        <v>29</v>
      </c>
      <c r="B30" s="5" t="str">
        <f>IFERROR(__xludf.DUMMYFUNCTION(" GOOGLETRANSLATE(H30, ""de"", ""en"")"),"How many players are allowed in a Quoits team?")</f>
        <v>How many players are allowed in a Quoits team?</v>
      </c>
      <c r="C30" s="5" t="str">
        <f>IFERROR(__xludf.DUMMYFUNCTION(" GOOGLETRANSLATE(I30, ""de"", ""en"")"),"A. 1 B. 2 C. 3 D. 4")</f>
        <v>A. 1 B. 2 C. 3 D. 4</v>
      </c>
      <c r="D30" s="5" t="str">
        <f>IFERROR(__xludf.DUMMYFUNCTION(" GOOGLETRANSLATE(J30, ""de"", ""en"")"),"2")</f>
        <v>2</v>
      </c>
      <c r="E30" s="5" t="str">
        <f>IFERROR(__xludf.DUMMYFUNCTION(" GOOGLETRANSLATE(K30, ""de"", ""en"")"),"A team consists of 2 players.")</f>
        <v>A team consists of 2 players.</v>
      </c>
      <c r="G30" s="13" t="s">
        <v>476</v>
      </c>
      <c r="H30" s="13" t="s">
        <v>4417</v>
      </c>
      <c r="I30" s="13" t="s">
        <v>377</v>
      </c>
      <c r="J30" s="13" t="s">
        <v>271</v>
      </c>
      <c r="K30" s="13" t="s">
        <v>4418</v>
      </c>
    </row>
    <row r="31" ht="22.5" customHeight="1">
      <c r="A31" s="5" t="str">
        <f>IFERROR(__xludf.DUMMYFUNCTION(" GOOGLETRANSLATE(G31, ""de"", ""en"")"),"30")</f>
        <v>30</v>
      </c>
      <c r="B31" s="5" t="str">
        <f>IFERROR(__xludf.DUMMYFUNCTION(" GOOGLETRANSLATE(H31, ""de"", ""en"")"),"What happens if the player's throw misses the target area?")</f>
        <v>What happens if the player's throw misses the target area?</v>
      </c>
      <c r="C31" s="5" t="str">
        <f>IFERROR(__xludf.DUMMYFUNCTION(" GOOGLETRANSLATE(I31, ""de"", ""en"")"),"A. The throw is repeated. B. The throw is counted as a miss. C. No point is awarded. D. The opponent receives a point.")</f>
        <v>A. The throw is repeated. B. The throw is counted as a miss. C. No point is awarded. D. The opponent receives a point.</v>
      </c>
      <c r="D31" s="5" t="str">
        <f>IFERROR(__xludf.DUMMYFUNCTION(" GOOGLETRANSLATE(J31, ""de"", ""en"")"),"The throw is counted as a miss.")</f>
        <v>The throw is counted as a miss.</v>
      </c>
      <c r="E31" s="5" t="str">
        <f>IFERROR(__xludf.DUMMYFUNCTION(" GOOGLETRANSLATE(K31, ""de"", ""en"")"),"A throw that does not land in the target area does not count and is considered a missed throw.")</f>
        <v>A throw that does not land in the target area does not count and is considered a missed throw.</v>
      </c>
      <c r="G31" s="13" t="s">
        <v>482</v>
      </c>
      <c r="H31" s="13" t="s">
        <v>4419</v>
      </c>
      <c r="I31" s="13" t="s">
        <v>4420</v>
      </c>
      <c r="J31" s="13" t="s">
        <v>4421</v>
      </c>
      <c r="K31" s="13" t="s">
        <v>4422</v>
      </c>
    </row>
    <row r="32" ht="22.5" customHeight="1">
      <c r="A32" s="5" t="str">
        <f>IFERROR(__xludf.DUMMYFUNCTION(" GOOGLETRANSLATE(G32, ""de"", ""en"")"),"31")</f>
        <v>31</v>
      </c>
      <c r="B32" s="5" t="str">
        <f>IFERROR(__xludf.DUMMYFUNCTION(" GOOGLETRANSLATE(H32, ""de"", ""en"")"),"How is the order of the players determined?")</f>
        <v>How is the order of the players determined?</v>
      </c>
      <c r="C32" s="5" t="str">
        <f>IFERROR(__xludf.DUMMYFUNCTION(" GOOGLETRANSLATE(I32, ""de"", ""en"")"),"A. By chance B. By throwing a ring C. By flipping a coin D. The player with the most points starts")</f>
        <v>A. By chance B. By throwing a ring C. By flipping a coin D. The player with the most points starts</v>
      </c>
      <c r="D32" s="5" t="str">
        <f>IFERROR(__xludf.DUMMYFUNCTION(" GOOGLETRANSLATE(J32, ""de"", ""en"")"),"By chance")</f>
        <v>By chance</v>
      </c>
      <c r="E32" s="5" t="str">
        <f>IFERROR(__xludf.DUMMYFUNCTION(" GOOGLETRANSLATE(K32, ""de"", ""en"")"),"The order is determined randomly.")</f>
        <v>The order is determined randomly.</v>
      </c>
      <c r="G32" s="13" t="s">
        <v>490</v>
      </c>
      <c r="H32" s="13" t="s">
        <v>2795</v>
      </c>
      <c r="I32" s="13" t="s">
        <v>4423</v>
      </c>
      <c r="J32" s="13" t="s">
        <v>4424</v>
      </c>
      <c r="K32" s="13" t="s">
        <v>4425</v>
      </c>
    </row>
    <row r="33" ht="22.5" customHeight="1">
      <c r="A33" s="5" t="str">
        <f>IFERROR(__xludf.DUMMYFUNCTION(" GOOGLETRANSLATE(G33, ""de"", ""en"")"),"32")</f>
        <v>32</v>
      </c>
      <c r="B33" s="5" t="str">
        <f>IFERROR(__xludf.DUMMYFUNCTION(" GOOGLETRANSLATE(H33, ""de"", ""en"")"),"What happens if two players throw their ring at the same time?")</f>
        <v>What happens if two players throw their ring at the same time?</v>
      </c>
      <c r="C33" s="5" t="str">
        <f>IFERROR(__xludf.DUMMYFUNCTION(" GOOGLETRANSLATE(I33, ""de"", ""en"")"),"A. Both throws count. B. The last player's throw counts. C. The first player's throw counts. D. There is a penalty point for both players.")</f>
        <v>A. Both throws count. B. The last player's throw counts. C. The first player's throw counts. D. There is a penalty point for both players.</v>
      </c>
      <c r="D33" s="5" t="str">
        <f>IFERROR(__xludf.DUMMYFUNCTION(" GOOGLETRANSLATE(J33, ""de"", ""en"")"),"The first player's throw counts.")</f>
        <v>The first player's throw counts.</v>
      </c>
      <c r="E33" s="5" t="str">
        <f>IFERROR(__xludf.DUMMYFUNCTION(" GOOGLETRANSLATE(K33, ""de"", ""en"")"),"The first player's throw is counted.")</f>
        <v>The first player's throw is counted.</v>
      </c>
      <c r="G33" s="13" t="s">
        <v>498</v>
      </c>
      <c r="H33" s="13" t="s">
        <v>4426</v>
      </c>
      <c r="I33" s="13" t="s">
        <v>4427</v>
      </c>
      <c r="J33" s="13" t="s">
        <v>4428</v>
      </c>
      <c r="K33" s="13" t="s">
        <v>4429</v>
      </c>
    </row>
    <row r="34" ht="22.5" customHeight="1">
      <c r="A34" s="5" t="str">
        <f>IFERROR(__xludf.DUMMYFUNCTION(" GOOGLETRANSLATE(G34, ""de"", ""en"")"),"33")</f>
        <v>33</v>
      </c>
      <c r="B34" s="5" t="str">
        <f>IFERROR(__xludf.DUMMYFUNCTION(" GOOGLETRANSLATE(H34, ""de"", ""en"")"),"When is a ring valid within the target area?")</f>
        <v>When is a ring valid within the target area?</v>
      </c>
      <c r="C34" s="5" t="str">
        <f>IFERROR(__xludf.DUMMYFUNCTION(" GOOGLETRANSLATE(I34, ""de"", ""en"")"),"A. If it touches the ground. B. If it lands on the target marker. C. If the ring hits the target from above. D. If the ring lands in the area without touching the ground.")</f>
        <v>A. If it touches the ground. B. If it lands on the target marker. C. If the ring hits the target from above. D. If the ring lands in the area without touching the ground.</v>
      </c>
      <c r="D34" s="5" t="str">
        <f>IFERROR(__xludf.DUMMYFUNCTION(" GOOGLETRANSLATE(J34, ""de"", ""en"")"),"If he lands on the target marker")</f>
        <v>If he lands on the target marker</v>
      </c>
      <c r="E34" s="5" t="str">
        <f>IFERROR(__xludf.DUMMYFUNCTION(" GOOGLETRANSLATE(K34, ""de"", ""en"")"),"A ring is valid if it lands in the target area without touching the ground.")</f>
        <v>A ring is valid if it lands in the target area without touching the ground.</v>
      </c>
      <c r="G34" s="13" t="s">
        <v>506</v>
      </c>
      <c r="H34" s="13" t="s">
        <v>4430</v>
      </c>
      <c r="I34" s="13" t="s">
        <v>4431</v>
      </c>
      <c r="J34" s="13" t="s">
        <v>4432</v>
      </c>
      <c r="K34" s="13" t="s">
        <v>4433</v>
      </c>
    </row>
    <row r="35" ht="22.5" customHeight="1">
      <c r="A35" s="5" t="str">
        <f>IFERROR(__xludf.DUMMYFUNCTION(" GOOGLETRANSLATE(G35, ""de"", ""en"")"),"34")</f>
        <v>34</v>
      </c>
      <c r="B35" s="5" t="str">
        <f>IFERROR(__xludf.DUMMYFUNCTION(" GOOGLETRANSLATE(H35, ""de"", ""en"")"),"Is it permissible for the ring to bounce during the throw before landing in the target area?")</f>
        <v>Is it permissible for the ring to bounce during the throw before landing in the target area?</v>
      </c>
      <c r="C35" s="5" t="str">
        <f>IFERROR(__xludf.DUMMYFUNCTION(" GOOGLETRANSLATE(I35, ""de"", ""en"")"),"A. Yes, that's allowed. B. Yes, but he has to roll back to the finish line. C. No, that's not allowed. D. Yes, there's a bonus point.")</f>
        <v>A. Yes, that's allowed. B. Yes, but he has to roll back to the finish line. C. No, that's not allowed. D. Yes, there's a bonus point.</v>
      </c>
      <c r="D35" s="5" t="str">
        <f>IFERROR(__xludf.DUMMYFUNCTION(" GOOGLETRANSLATE(J35, ""de"", ""en"")"),"No, that's not allowed.")</f>
        <v>No, that's not allowed.</v>
      </c>
      <c r="E35" s="5" t="str">
        <f>IFERROR(__xludf.DUMMYFUNCTION(" GOOGLETRANSLATE(K35, ""de"", ""en"")"),"The ring must roll directly into the target without bouncing.")</f>
        <v>The ring must roll directly into the target without bouncing.</v>
      </c>
      <c r="G35" s="13" t="s">
        <v>514</v>
      </c>
      <c r="H35" s="13" t="s">
        <v>4434</v>
      </c>
      <c r="I35" s="13" t="s">
        <v>4435</v>
      </c>
      <c r="J35" s="13" t="s">
        <v>4436</v>
      </c>
      <c r="K35" s="13" t="s">
        <v>4437</v>
      </c>
    </row>
    <row r="36" ht="22.5" customHeight="1">
      <c r="A36" s="5" t="str">
        <f>IFERROR(__xludf.DUMMYFUNCTION(" GOOGLETRANSLATE(G36, ""de"", ""en"")"),"35")</f>
        <v>35</v>
      </c>
      <c r="B36" s="5" t="str">
        <f>IFERROR(__xludf.DUMMYFUNCTION(" GOOGLETRANSLATE(H36, ""de"", ""en"")"),"How is the distance measured when a ring lands in the target area?")</f>
        <v>How is the distance measured when a ring lands in the target area?</v>
      </c>
      <c r="C36" s="5" t="str">
        <f>IFERROR(__xludf.DUMMYFUNCTION(" GOOGLETRANSLATE(I36, ""de"", ""en"")"),"A. With a tape measure B. By hand C. By foot D. With a spirit level")</f>
        <v>A. With a tape measure B. By hand C. By foot D. With a spirit level</v>
      </c>
      <c r="D36" s="5" t="str">
        <f>IFERROR(__xludf.DUMMYFUNCTION(" GOOGLETRANSLATE(J36, ""de"", ""en"")"),"Using a measuring tape")</f>
        <v>Using a measuring tape</v>
      </c>
      <c r="E36" s="5" t="str">
        <f>IFERROR(__xludf.DUMMYFUNCTION(" GOOGLETRANSLATE(K36, ""de"", ""en"")"),"The distance is measured with a tape measure.")</f>
        <v>The distance is measured with a tape measure.</v>
      </c>
      <c r="G36" s="13" t="s">
        <v>522</v>
      </c>
      <c r="H36" s="13" t="s">
        <v>4438</v>
      </c>
      <c r="I36" s="13" t="s">
        <v>4439</v>
      </c>
      <c r="J36" s="13" t="s">
        <v>2699</v>
      </c>
      <c r="K36" s="13" t="s">
        <v>4375</v>
      </c>
    </row>
    <row r="37" ht="22.5" customHeight="1">
      <c r="A37" s="5" t="str">
        <f>IFERROR(__xludf.DUMMYFUNCTION(" GOOGLETRANSLATE(G37, ""de"", ""en"")"),"36")</f>
        <v>36</v>
      </c>
      <c r="B37" s="5" t="str">
        <f>IFERROR(__xludf.DUMMYFUNCTION(" GOOGLETRANSLATE(H37, ""de"", ""en"")"),"How many points does a player receive for each correct throw?")</f>
        <v>How many points does a player receive for each correct throw?</v>
      </c>
      <c r="C37" s="5" t="str">
        <f>IFERROR(__xludf.DUMMYFUNCTION(" GOOGLETRANSLATE(I37, ""de"", ""en"")"),"A. 1 point B. 2 points C. 3 points D. 5 points")</f>
        <v>A. 1 point B. 2 points C. 3 points D. 5 points</v>
      </c>
      <c r="D37" s="5" t="str">
        <f>IFERROR(__xludf.DUMMYFUNCTION(" GOOGLETRANSLATE(J37, ""de"", ""en"")"),"1 point")</f>
        <v>1 point</v>
      </c>
      <c r="E37" s="5" t="str">
        <f>IFERROR(__xludf.DUMMYFUNCTION(" GOOGLETRANSLATE(K37, ""de"", ""en"")"),"A correct throw is worth 1 point.")</f>
        <v>A correct throw is worth 1 point.</v>
      </c>
      <c r="G37" s="13" t="s">
        <v>530</v>
      </c>
      <c r="H37" s="13" t="s">
        <v>4440</v>
      </c>
      <c r="I37" s="13" t="s">
        <v>4441</v>
      </c>
      <c r="J37" s="13" t="s">
        <v>3153</v>
      </c>
      <c r="K37" s="13" t="s">
        <v>4442</v>
      </c>
    </row>
    <row r="38" ht="22.5" customHeight="1">
      <c r="A38" s="5" t="str">
        <f>IFERROR(__xludf.DUMMYFUNCTION(" GOOGLETRANSLATE(G38, ""de"", ""en"")"),"37")</f>
        <v>37</v>
      </c>
      <c r="B38" s="5" t="str">
        <f>IFERROR(__xludf.DUMMYFUNCTION(" GOOGLETRANSLATE(H38, ""de"", ""en"")"),"Is a player allowed to throw the ring with both hands?")</f>
        <v>Is a player allowed to throw the ring with both hands?</v>
      </c>
      <c r="C38" s="5" t="str">
        <f>IFERROR(__xludf.DUMMYFUNCTION(" GOOGLETRANSLATE(I38, ""de"", ""en"")"),"A. Yes, anytime. B. Yes, but only if he is moving. C. No, only with one hand. D. Yes, but it counts as a missed throw.")</f>
        <v>A. Yes, anytime. B. Yes, but only if he is moving. C. No, only with one hand. D. Yes, but it counts as a missed throw.</v>
      </c>
      <c r="D38" s="5" t="str">
        <f>IFERROR(__xludf.DUMMYFUNCTION(" GOOGLETRANSLATE(J38, ""de"", ""en"")"),"No, only with one hand")</f>
        <v>No, only with one hand</v>
      </c>
      <c r="E38" s="5" t="str">
        <f>IFERROR(__xludf.DUMMYFUNCTION(" GOOGLETRANSLATE(K38, ""de"", ""en"")"),"Throwing with both hands is not allowed.")</f>
        <v>Throwing with both hands is not allowed.</v>
      </c>
      <c r="G38" s="13" t="s">
        <v>538</v>
      </c>
      <c r="H38" s="13" t="s">
        <v>4443</v>
      </c>
      <c r="I38" s="13" t="s">
        <v>4444</v>
      </c>
      <c r="J38" s="13" t="s">
        <v>4445</v>
      </c>
      <c r="K38" s="13" t="s">
        <v>4446</v>
      </c>
    </row>
    <row r="39" ht="22.5" customHeight="1">
      <c r="A39" s="5" t="str">
        <f>IFERROR(__xludf.DUMMYFUNCTION(" GOOGLETRANSLATE(G39, ""de"", ""en"")"),"38")</f>
        <v>38</v>
      </c>
      <c r="B39" s="5" t="str">
        <f>IFERROR(__xludf.DUMMYFUNCTION(" GOOGLETRANSLATE(H39, ""de"", ""en"")"),"Can a player retrieve the ring from another player?")</f>
        <v>Can a player retrieve the ring from another player?</v>
      </c>
      <c r="C39" s="5" t="str">
        <f>IFERROR(__xludf.DUMMYFUNCTION(" GOOGLETRANSLATE(I39, ""de"", ""en"")"),"A. Yes, anytime. B. Yes, but only if the ring is within the playing area. C. No, never. D. Yes, but only during a penalty lap.")</f>
        <v>A. Yes, anytime. B. Yes, but only if the ring is within the playing area. C. No, never. D. Yes, but only during a penalty lap.</v>
      </c>
      <c r="D39" s="5" t="str">
        <f>IFERROR(__xludf.DUMMYFUNCTION(" GOOGLETRANSLATE(J39, ""de"", ""en"")"),"No, never")</f>
        <v>No, never</v>
      </c>
      <c r="E39" s="5" t="str">
        <f>IFERROR(__xludf.DUMMYFUNCTION(" GOOGLETRANSLATE(K39, ""de"", ""en"")"),"The ring cannot be retrieved by another player.")</f>
        <v>The ring cannot be retrieved by another player.</v>
      </c>
      <c r="G39" s="13" t="s">
        <v>546</v>
      </c>
      <c r="H39" s="13" t="s">
        <v>4447</v>
      </c>
      <c r="I39" s="13" t="s">
        <v>4448</v>
      </c>
      <c r="J39" s="13" t="s">
        <v>2509</v>
      </c>
      <c r="K39" s="13" t="s">
        <v>4449</v>
      </c>
    </row>
    <row r="40" ht="22.5" customHeight="1">
      <c r="A40" s="5" t="str">
        <f>IFERROR(__xludf.DUMMYFUNCTION(" GOOGLETRANSLATE(G40, ""de"", ""en"")"),"39")</f>
        <v>39</v>
      </c>
      <c r="B40" s="5" t="str">
        <f>IFERROR(__xludf.DUMMYFUNCTION(" GOOGLETRANSLATE(H40, ""de"", ""en"")"),"What happens if the ring flies too far over the target?")</f>
        <v>What happens if the ring flies too far over the target?</v>
      </c>
      <c r="C40" s="5" t="str">
        <f>IFERROR(__xludf.DUMMYFUNCTION(" GOOGLETRANSLATE(I40, ""de"", ""en"")"),"A. It is repeated. B. The player receives a penalty point. C. It is counted as a missed throw. D. The opponent receives the point.")</f>
        <v>A. It is repeated. B. The player receives a penalty point. C. It is counted as a missed throw. D. The opponent receives the point.</v>
      </c>
      <c r="D40" s="5" t="str">
        <f>IFERROR(__xludf.DUMMYFUNCTION(" GOOGLETRANSLATE(J40, ""de"", ""en"")"),"It will be counted as a miss.")</f>
        <v>It will be counted as a miss.</v>
      </c>
      <c r="E40" s="5" t="str">
        <f>IFERROR(__xludf.DUMMYFUNCTION(" GOOGLETRANSLATE(K40, ""de"", ""en"")"),"A ring that flies too far beyond the target is considered a foul throw.")</f>
        <v>A ring that flies too far beyond the target is considered a foul throw.</v>
      </c>
      <c r="G40" s="13" t="s">
        <v>554</v>
      </c>
      <c r="H40" s="13" t="s">
        <v>4450</v>
      </c>
      <c r="I40" s="13" t="s">
        <v>4451</v>
      </c>
      <c r="J40" s="13" t="s">
        <v>4405</v>
      </c>
      <c r="K40" s="13" t="s">
        <v>4452</v>
      </c>
    </row>
    <row r="41" ht="22.5" customHeight="1">
      <c r="A41" s="5" t="str">
        <f>IFERROR(__xludf.DUMMYFUNCTION(" GOOGLETRANSLATE(G41, ""de"", ""en"")"),"40")</f>
        <v>40</v>
      </c>
      <c r="B41" s="5" t="str">
        <f>IFERROR(__xludf.DUMMYFUNCTION(" GOOGLETRANSLATE(H41, ""de"", ""en"")"),"How many rounds must be played in a game?")</f>
        <v>How many rounds must be played in a game?</v>
      </c>
      <c r="C41" s="5" t="str">
        <f>IFERROR(__xludf.DUMMYFUNCTION(" GOOGLETRANSLATE(I41, ""de"", ""en"")"),"A. 1st round B. 2 rounds C. 3 rounds D. 5 rounds")</f>
        <v>A. 1st round B. 2 rounds C. 3 rounds D. 5 rounds</v>
      </c>
      <c r="D41" s="5" t="str">
        <f>IFERROR(__xludf.DUMMYFUNCTION(" GOOGLETRANSLATE(J41, ""de"", ""en"")"),"3 rounds")</f>
        <v>3 rounds</v>
      </c>
      <c r="E41" s="5" t="str">
        <f>IFERROR(__xludf.DUMMYFUNCTION(" GOOGLETRANSLATE(K41, ""de"", ""en"")"),"A normal game consists of 3 rounds.")</f>
        <v>A normal game consists of 3 rounds.</v>
      </c>
      <c r="G41" s="13" t="s">
        <v>562</v>
      </c>
      <c r="H41" s="13" t="s">
        <v>4453</v>
      </c>
      <c r="I41" s="13" t="s">
        <v>4382</v>
      </c>
      <c r="J41" s="13" t="s">
        <v>4383</v>
      </c>
      <c r="K41" s="13" t="s">
        <v>4454</v>
      </c>
    </row>
    <row r="42" ht="22.5" customHeight="1">
      <c r="A42" s="5" t="str">
        <f>IFERROR(__xludf.DUMMYFUNCTION(" GOOGLETRANSLATE(G42, ""de"", ""en"")"),"41")</f>
        <v>41</v>
      </c>
      <c r="B42" s="5" t="str">
        <f>IFERROR(__xludf.DUMMYFUNCTION(" GOOGLETRANSLATE(H42, ""de"", ""en"")"),"How is the winner of a Quoits game determined?")</f>
        <v>How is the winner of a Quoits game determined?</v>
      </c>
      <c r="C42" s="5" t="str">
        <f>IFERROR(__xludf.DUMMYFUNCTION(" GOOGLETRANSLATE(I42, ""de"", ""en"")"),"A. The player with the most points at the end of the game. B. The player who first places a ring in the target. C. The player with the most round points. D. The player with the fewest missed throws.")</f>
        <v>A. The player with the most points at the end of the game. B. The player who first places a ring in the target. C. The player with the most round points. D. The player with the fewest missed throws.</v>
      </c>
      <c r="D42" s="5" t="str">
        <f>IFERROR(__xludf.DUMMYFUNCTION(" GOOGLETRANSLATE(J42, ""de"", ""en"")"),"The player with the most points at the end of the game")</f>
        <v>The player with the most points at the end of the game</v>
      </c>
      <c r="E42" s="5" t="str">
        <f>IFERROR(__xludf.DUMMYFUNCTION(" GOOGLETRANSLATE(K42, ""de"", ""en"")"),"The player with the most points after the last round wins.")</f>
        <v>The player with the most points after the last round wins.</v>
      </c>
      <c r="G42" s="13" t="s">
        <v>570</v>
      </c>
      <c r="H42" s="13" t="s">
        <v>4455</v>
      </c>
      <c r="I42" s="13" t="s">
        <v>4456</v>
      </c>
      <c r="J42" s="13" t="s">
        <v>4457</v>
      </c>
      <c r="K42" s="13" t="s">
        <v>4458</v>
      </c>
    </row>
    <row r="43" ht="22.5" customHeight="1">
      <c r="A43" s="5" t="str">
        <f>IFERROR(__xludf.DUMMYFUNCTION(" GOOGLETRANSLATE(G43, ""de"", ""en"")"),"42")</f>
        <v>42</v>
      </c>
      <c r="B43" s="5" t="str">
        <f>IFERROR(__xludf.DUMMYFUNCTION(" GOOGLETRANSLATE(H43, ""de"", ""en"")"),"Can the ring still be moved after it has been thrown?")</f>
        <v>Can the ring still be moved after it has been thrown?</v>
      </c>
      <c r="C43" s="5" t="str">
        <f>IFERROR(__xludf.DUMMYFUNCTION(" GOOGLETRANSLATE(I43, ""de"", ""en"")"),"A. Yes, if it is in the target area. B. Yes, but only by the player who threw. C. No, the ring remains in one of its positions. D. Yes, but only in the first round.")</f>
        <v>A. Yes, if it is in the target area. B. Yes, but only by the player who threw. C. No, the ring remains in one of its positions. D. Yes, but only in the first round.</v>
      </c>
      <c r="D43" s="5" t="str">
        <f>IFERROR(__xludf.DUMMYFUNCTION(" GOOGLETRANSLATE(J43, ""de"", ""en"")"),"No, the ring remains one of his positions")</f>
        <v>No, the ring remains one of his positions</v>
      </c>
      <c r="E43" s="5" t="str">
        <f>IFERROR(__xludf.DUMMYFUNCTION(" GOOGLETRANSLATE(K43, ""de"", ""en"")"),"Once the ring has been thrown, it must not be moved.")</f>
        <v>Once the ring has been thrown, it must not be moved.</v>
      </c>
      <c r="G43" s="13" t="s">
        <v>574</v>
      </c>
      <c r="H43" s="13" t="s">
        <v>4340</v>
      </c>
      <c r="I43" s="13" t="s">
        <v>4459</v>
      </c>
      <c r="J43" s="13" t="s">
        <v>4460</v>
      </c>
      <c r="K43" s="13" t="s">
        <v>4461</v>
      </c>
    </row>
    <row r="44" ht="22.5" customHeight="1">
      <c r="A44" s="5" t="str">
        <f>IFERROR(__xludf.DUMMYFUNCTION(" GOOGLETRANSLATE(G44, ""de"", ""en"")"),"43")</f>
        <v>43</v>
      </c>
      <c r="B44" s="5" t="str">
        <f>IFERROR(__xludf.DUMMYFUNCTION(" GOOGLETRANSLATE(H44, ""de"", ""en"")"),"How many rings must be thrown in a game?")</f>
        <v>How many rings must be thrown in a game?</v>
      </c>
      <c r="C44" s="5" t="str">
        <f>IFERROR(__xludf.DUMMYFUNCTION(" GOOGLETRANSLATE(I44, ""de"", ""en"")"),"A. Each player throws only one ring. B. Each player throws three rings. C. Each player throws five rings. D. Each player throws two rings.")</f>
        <v>A. Each player throws only one ring. B. Each player throws three rings. C. Each player throws five rings. D. Each player throws two rings.</v>
      </c>
      <c r="D44" s="5" t="str">
        <f>IFERROR(__xludf.DUMMYFUNCTION(" GOOGLETRANSLATE(J44, ""de"", ""en"")"),"Each player throws three rings")</f>
        <v>Each player throws three rings</v>
      </c>
      <c r="E44" s="5" t="str">
        <f>IFERROR(__xludf.DUMMYFUNCTION(" GOOGLETRANSLATE(K44, ""de"", ""en"")"),"In one game, each player throws three rings.")</f>
        <v>In one game, each player throws three rings.</v>
      </c>
      <c r="G44" s="13" t="s">
        <v>580</v>
      </c>
      <c r="H44" s="13" t="s">
        <v>4462</v>
      </c>
      <c r="I44" s="13" t="s">
        <v>4463</v>
      </c>
      <c r="J44" s="13" t="s">
        <v>4464</v>
      </c>
      <c r="K44" s="13" t="s">
        <v>4465</v>
      </c>
    </row>
    <row r="45" ht="22.5" customHeight="1">
      <c r="A45" s="5" t="str">
        <f>IFERROR(__xludf.DUMMYFUNCTION(" GOOGLETRANSLATE(G45, ""de"", ""en"")"),"44")</f>
        <v>44</v>
      </c>
      <c r="B45" s="5" t="str">
        <f>IFERROR(__xludf.DUMMYFUNCTION(" GOOGLETRANSLATE(H45, ""de"", ""en"")"),"When is a ring a valid throw?")</f>
        <v>When is a ring a valid throw?</v>
      </c>
      <c r="C45" s="5" t="str">
        <f>IFERROR(__xludf.DUMMYFUNCTION(" GOOGLETRANSLATE(I45, ""de"", ""en"")"),"A. If the ring touches the target. B. If the ring reaches the target without touching the ground. C. If the ring touches the ground first. D. If the ring flies over the target.")</f>
        <v>A. If the ring touches the target. B. If the ring reaches the target without touching the ground. C. If the ring touches the ground first. D. If the ring flies over the target.</v>
      </c>
      <c r="D45" s="5" t="str">
        <f>IFERROR(__xludf.DUMMYFUNCTION(" GOOGLETRANSLATE(J45, ""de"", ""en"")"),"If the ring reaches the target without touching the ground")</f>
        <v>If the ring reaches the target without touching the ground</v>
      </c>
      <c r="E45" s="5" t="str">
        <f>IFERROR(__xludf.DUMMYFUNCTION(" GOOGLETRANSLATE(K45, ""de"", ""en"")"),"A ring is only valid if it reaches the target without touching the ground.")</f>
        <v>A ring is only valid if it reaches the target without touching the ground.</v>
      </c>
      <c r="G45" s="13" t="s">
        <v>588</v>
      </c>
      <c r="H45" s="13" t="s">
        <v>4466</v>
      </c>
      <c r="I45" s="13" t="s">
        <v>4467</v>
      </c>
      <c r="J45" s="13" t="s">
        <v>4468</v>
      </c>
      <c r="K45" s="13" t="s">
        <v>4469</v>
      </c>
    </row>
    <row r="46" ht="22.5" customHeight="1">
      <c r="A46" s="5" t="str">
        <f>IFERROR(__xludf.DUMMYFUNCTION(" GOOGLETRANSLATE(G46, ""de"", ""en"")"),"45")</f>
        <v>45</v>
      </c>
      <c r="B46" s="5" t="str">
        <f>IFERROR(__xludf.DUMMYFUNCTION(" GOOGLETRANSLATE(H46, ""de"", ""en"")"),"Is a player allowed to throw the ring with another object?")</f>
        <v>Is a player allowed to throw the ring with another object?</v>
      </c>
      <c r="C46" s="5" t="str">
        <f>IFERROR(__xludf.DUMMYFUNCTION(" GOOGLETRANSLATE(I46, ""de"", ""en"")"),"A. Yes, but only if it's a regular throw. B. Yes, but only with a special item. C. No, the throw must be made with the hand. D. Yes, there is no restriction.")</f>
        <v>A. Yes, but only if it's a regular throw. B. Yes, but only with a special item. C. No, the throw must be made with the hand. D. Yes, there is no restriction.</v>
      </c>
      <c r="D46" s="5" t="str">
        <f>IFERROR(__xludf.DUMMYFUNCTION(" GOOGLETRANSLATE(J46, ""de"", ""en"")"),"No, the throw must be done by hand.")</f>
        <v>No, the throw must be done by hand.</v>
      </c>
      <c r="E46" s="5" t="str">
        <f>IFERROR(__xludf.DUMMYFUNCTION(" GOOGLETRANSLATE(K46, ""de"", ""en"")"),"The throw must always be performed by hand.")</f>
        <v>The throw must always be performed by hand.</v>
      </c>
      <c r="G46" s="13" t="s">
        <v>594</v>
      </c>
      <c r="H46" s="13" t="s">
        <v>4354</v>
      </c>
      <c r="I46" s="13" t="s">
        <v>4470</v>
      </c>
      <c r="J46" s="13" t="s">
        <v>4471</v>
      </c>
      <c r="K46" s="13" t="s">
        <v>4472</v>
      </c>
    </row>
    <row r="47" ht="22.5" customHeight="1">
      <c r="A47" s="5" t="str">
        <f>IFERROR(__xludf.DUMMYFUNCTION(" GOOGLETRANSLATE(G47, ""de"", ""en"")"),"46")</f>
        <v>46</v>
      </c>
      <c r="B47" s="5" t="str">
        <f>IFERROR(__xludf.DUMMYFUNCTION(" GOOGLETRANSLATE(H47, ""de"", ""en"")"),"Is the ring allowed to leave the playing field if it lands in the target area?")</f>
        <v>Is the ring allowed to leave the playing field if it lands in the target area?</v>
      </c>
      <c r="C47" s="5" t="str">
        <f>IFERROR(__xludf.DUMMYFUNCTION(" GOOGLETRANSLATE(I47, ""de"", ""en"")"),"A. Yes, but he loses all points. B. Yes, but it must be rolled back. C. No, the ring must remain in the playing area. D. Yes, but the throw is ruled invalid.")</f>
        <v>A. Yes, but he loses all points. B. Yes, but it must be rolled back. C. No, the ring must remain in the playing area. D. Yes, but the throw is ruled invalid.</v>
      </c>
      <c r="D47" s="5" t="str">
        <f>IFERROR(__xludf.DUMMYFUNCTION(" GOOGLETRANSLATE(J47, ""de"", ""en"")"),"No, the ring must remain in the playing field.")</f>
        <v>No, the ring must remain in the playing field.</v>
      </c>
      <c r="E47" s="5" t="str">
        <f>IFERROR(__xludf.DUMMYFUNCTION(" GOOGLETRANSLATE(K47, ""de"", ""en"")"),"A ring that leaves the playing field is considered invalid.")</f>
        <v>A ring that leaves the playing field is considered invalid.</v>
      </c>
      <c r="G47" s="13" t="s">
        <v>600</v>
      </c>
      <c r="H47" s="13" t="s">
        <v>4473</v>
      </c>
      <c r="I47" s="13" t="s">
        <v>4474</v>
      </c>
      <c r="J47" s="13" t="s">
        <v>4475</v>
      </c>
      <c r="K47" s="13" t="s">
        <v>4476</v>
      </c>
    </row>
    <row r="48" ht="22.5" customHeight="1">
      <c r="A48" s="5" t="str">
        <f>IFERROR(__xludf.DUMMYFUNCTION(" GOOGLETRANSLATE(G48, ""de"", ""en"")"),"47")</f>
        <v>47</v>
      </c>
      <c r="B48" s="5" t="str">
        <f>IFERROR(__xludf.DUMMYFUNCTION(" GOOGLETRANSLATE(H48, ""de"", ""en"")"),"What happens when one ring lands on top of another ring?")</f>
        <v>What happens when one ring lands on top of another ring?</v>
      </c>
      <c r="C48" s="5" t="str">
        <f>IFERROR(__xludf.DUMMYFUNCTION(" GOOGLETRANSLATE(I48, ""de"", ""en"")"),"A. The throw is repeated. B. The ring does not count and is removed. C. The throw is considered valid. D. A point is awarded for the ring on which the other player lands.")</f>
        <v>A. The throw is repeated. B. The ring does not count and is removed. C. The throw is considered valid. D. A point is awarded for the ring on which the other player lands.</v>
      </c>
      <c r="D48" s="5" t="str">
        <f>IFERROR(__xludf.DUMMYFUNCTION(" GOOGLETRANSLATE(J48, ""de"", ""en"")"),"The throw is considered valid.")</f>
        <v>The throw is considered valid.</v>
      </c>
      <c r="E48" s="5" t="str">
        <f>IFERROR(__xludf.DUMMYFUNCTION(" GOOGLETRANSLATE(K48, ""de"", ""en"")"),"A ring that lands on top of another ring counts as a valid throw.")</f>
        <v>A ring that lands on top of another ring counts as a valid throw.</v>
      </c>
      <c r="G48" s="13" t="s">
        <v>604</v>
      </c>
      <c r="H48" s="13" t="s">
        <v>4477</v>
      </c>
      <c r="I48" s="13" t="s">
        <v>4478</v>
      </c>
      <c r="J48" s="13" t="s">
        <v>4479</v>
      </c>
      <c r="K48" s="13" t="s">
        <v>4480</v>
      </c>
    </row>
    <row r="49" ht="22.5" customHeight="1">
      <c r="A49" s="5" t="str">
        <f>IFERROR(__xludf.DUMMYFUNCTION(" GOOGLETRANSLATE(G49, ""de"", ""en"")"),"48")</f>
        <v>48</v>
      </c>
      <c r="B49" s="5" t="str">
        <f>IFERROR(__xludf.DUMMYFUNCTION(" GOOGLETRANSLATE(H49, ""de"", ""en"")"),"How many points does a player receive for placing a ring in the target area?")</f>
        <v>How many points does a player receive for placing a ring in the target area?</v>
      </c>
      <c r="C49" s="5" t="str">
        <f>IFERROR(__xludf.DUMMYFUNCTION(" GOOGLETRANSLATE(I49, ""de"", ""en"")"),"A. 0 points B. 1 point C. 2 points D. 3 points")</f>
        <v>A. 0 points B. 1 point C. 2 points D. 3 points</v>
      </c>
      <c r="D49" s="5" t="str">
        <f>IFERROR(__xludf.DUMMYFUNCTION(" GOOGLETRANSLATE(J49, ""de"", ""en"")"),"1 point")</f>
        <v>1 point</v>
      </c>
      <c r="E49" s="5" t="str">
        <f>IFERROR(__xludf.DUMMYFUNCTION(" GOOGLETRANSLATE(K49, ""de"", ""en"")"),"A correctly thrown ring within the target area scores 1 point.")</f>
        <v>A correctly thrown ring within the target area scores 1 point.</v>
      </c>
      <c r="G49" s="13" t="s">
        <v>612</v>
      </c>
      <c r="H49" s="13" t="s">
        <v>4481</v>
      </c>
      <c r="I49" s="13" t="s">
        <v>4482</v>
      </c>
      <c r="J49" s="13" t="s">
        <v>3153</v>
      </c>
      <c r="K49" s="13" t="s">
        <v>4483</v>
      </c>
    </row>
    <row r="50" ht="22.5" customHeight="1">
      <c r="A50" s="5" t="str">
        <f>IFERROR(__xludf.DUMMYFUNCTION(" GOOGLETRANSLATE(G50, ""de"", ""en"")"),"49")</f>
        <v>49</v>
      </c>
      <c r="B50" s="5" t="str">
        <f>IFERROR(__xludf.DUMMYFUNCTION(" GOOGLETRANSLATE(H50, ""de"", ""en"")"),"What happens if the ring touches the ground and misses the target?")</f>
        <v>What happens if the ring touches the ground and misses the target?</v>
      </c>
      <c r="C50" s="5" t="str">
        <f>IFERROR(__xludf.DUMMYFUNCTION(" GOOGLETRANSLATE(I50, ""de"", ""en"")"),"A. It is counted as valid. B. It counts as a miss. C. The player receives 0 points. D. The ring is considered invalid.")</f>
        <v>A. It is counted as valid. B. It counts as a miss. C. The player receives 0 points. D. The ring is considered invalid.</v>
      </c>
      <c r="D50" s="5" t="str">
        <f>IFERROR(__xludf.DUMMYFUNCTION(" GOOGLETRANSLATE(J50, ""de"", ""en"")"),"It counts as a miss.")</f>
        <v>It counts as a miss.</v>
      </c>
      <c r="E50" s="5" t="str">
        <f>IFERROR(__xludf.DUMMYFUNCTION(" GOOGLETRANSLATE(K50, ""de"", ""en"")"),"A ring that touches the ground and misses the target is considered a missed throw.")</f>
        <v>A ring that touches the ground and misses the target is considered a missed throw.</v>
      </c>
      <c r="G50" s="13" t="s">
        <v>616</v>
      </c>
      <c r="H50" s="13" t="s">
        <v>4484</v>
      </c>
      <c r="I50" s="13" t="s">
        <v>4485</v>
      </c>
      <c r="J50" s="13" t="s">
        <v>4486</v>
      </c>
      <c r="K50" s="13" t="s">
        <v>4487</v>
      </c>
    </row>
    <row r="51" ht="22.5" customHeight="1">
      <c r="A51" s="5" t="str">
        <f>IFERROR(__xludf.DUMMYFUNCTION(" GOOGLETRANSLATE(G51, ""de"", ""en"")"),"50")</f>
        <v>50</v>
      </c>
      <c r="B51" s="5" t="str">
        <f>IFERROR(__xludf.DUMMYFUNCTION(" GOOGLETRANSLATE(H51, ""de"", ""en"")"),"Can a player throw a ring with a spinning motion?")</f>
        <v>Can a player throw a ring with a spinning motion?</v>
      </c>
      <c r="C51" s="5" t="str">
        <f>IFERROR(__xludf.DUMMYFUNCTION(" GOOGLETRANSLATE(I51, ""de"", ""en"")"),"A. Yes, but the ring must complete a certain number of rotations. B. Yes, that is allowed. C. No, the throw must be straight. D. Yes, but only in the first round.")</f>
        <v>A. Yes, but the ring must complete a certain number of rotations. B. Yes, that is allowed. C. No, the throw must be straight. D. Yes, but only in the first round.</v>
      </c>
      <c r="D51" s="5" t="str">
        <f>IFERROR(__xludf.DUMMYFUNCTION(" GOOGLETRANSLATE(J51, ""de"", ""en"")"),"Yes, that's allowed.")</f>
        <v>Yes, that's allowed.</v>
      </c>
      <c r="E51" s="5" t="str">
        <f>IFERROR(__xludf.DUMMYFUNCTION(" GOOGLETRANSLATE(K51, ""de"", ""en"")"),"A ring may be thrown with a spinning motion.")</f>
        <v>A ring may be thrown with a spinning motion.</v>
      </c>
      <c r="G51" s="13" t="s">
        <v>624</v>
      </c>
      <c r="H51" s="13" t="s">
        <v>4488</v>
      </c>
      <c r="I51" s="13" t="s">
        <v>4489</v>
      </c>
      <c r="J51" s="13" t="s">
        <v>4490</v>
      </c>
      <c r="K51" s="13" t="s">
        <v>4491</v>
      </c>
    </row>
    <row r="52" ht="22.5" customHeight="1">
      <c r="A52" s="5" t="str">
        <f>IFERROR(__xludf.DUMMYFUNCTION(" GOOGLETRANSLATE(G52, ""de"", ""en"")"),"51")</f>
        <v>51</v>
      </c>
      <c r="B52" s="5" t="str">
        <f>IFERROR(__xludf.DUMMYFUNCTION(" GOOGLETRANSLATE(H52, ""de"", ""en"")"),"What distance must the ring travel in a quoits game to be valid?")</f>
        <v>What distance must the ring travel in a quoits game to be valid?</v>
      </c>
      <c r="C52" s="5" t="str">
        <f>IFERROR(__xludf.DUMMYFUNCTION(" GOOGLETRANSLATE(I52, ""de"", ""en"")"),"A. At least 3 meters B. At least 5 meters C. At least 10 meters D. At least 2 meters")</f>
        <v>A. At least 3 meters B. At least 5 meters C. At least 10 meters D. At least 2 meters</v>
      </c>
      <c r="D52" s="5" t="str">
        <f>IFERROR(__xludf.DUMMYFUNCTION(" GOOGLETRANSLATE(J52, ""de"", ""en"")"),"At least 3 meters")</f>
        <v>At least 3 meters</v>
      </c>
      <c r="E52" s="5" t="str">
        <f>IFERROR(__xludf.DUMMYFUNCTION(" GOOGLETRANSLATE(K52, ""de"", ""en"")"),"The ring must travel at least 3 meters to be valid.")</f>
        <v>The ring must travel at least 3 meters to be valid.</v>
      </c>
      <c r="G52" s="13" t="s">
        <v>632</v>
      </c>
      <c r="H52" s="13" t="s">
        <v>4492</v>
      </c>
      <c r="I52" s="13" t="s">
        <v>4493</v>
      </c>
      <c r="J52" s="13" t="s">
        <v>4494</v>
      </c>
      <c r="K52" s="13" t="s">
        <v>4495</v>
      </c>
    </row>
    <row r="53" ht="22.5" customHeight="1">
      <c r="A53" s="5" t="str">
        <f>IFERROR(__xludf.DUMMYFUNCTION(" GOOGLETRANSLATE(G53, ""de"", ""en"")"),"52")</f>
        <v>52</v>
      </c>
      <c r="B53" s="5" t="str">
        <f>IFERROR(__xludf.DUMMYFUNCTION(" GOOGLETRANSLATE(H53, ""de"", ""en"")"),"In the game Quoits, can a player place a ring in the target area that was thrown by another player?")</f>
        <v>In the game Quoits, can a player place a ring in the target area that was thrown by another player?</v>
      </c>
      <c r="C53" s="5" t="str">
        <f>IFERROR(__xludf.DUMMYFUNCTION(" GOOGLETRANSLATE(I53, ""de"", ""en"")"),"A. Yes, there are no restrictions. B. Yes, but only during the first attempt. C. No, that is not allowed. D. Yes, but there is a penalty.")</f>
        <v>A. Yes, there are no restrictions. B. Yes, but only during the first attempt. C. No, that is not allowed. D. Yes, but there is a penalty.</v>
      </c>
      <c r="D53" s="5" t="str">
        <f>IFERROR(__xludf.DUMMYFUNCTION(" GOOGLETRANSLATE(J53, ""de"", ""en"")"),"No, that's not allowed.")</f>
        <v>No, that's not allowed.</v>
      </c>
      <c r="E53" s="5" t="str">
        <f>IFERROR(__xludf.DUMMYFUNCTION(" GOOGLETRANSLATE(K53, ""de"", ""en"")"),"It is not allowed to place another player's ring.")</f>
        <v>It is not allowed to place another player's ring.</v>
      </c>
      <c r="G53" s="13" t="s">
        <v>638</v>
      </c>
      <c r="H53" s="13" t="s">
        <v>4496</v>
      </c>
      <c r="I53" s="13" t="s">
        <v>4497</v>
      </c>
      <c r="J53" s="13" t="s">
        <v>4436</v>
      </c>
      <c r="K53" s="13" t="s">
        <v>4498</v>
      </c>
    </row>
    <row r="54" ht="22.5" customHeight="1">
      <c r="A54" s="5" t="str">
        <f>IFERROR(__xludf.DUMMYFUNCTION(" GOOGLETRANSLATE(G54, ""de"", ""en"")"),"53")</f>
        <v>53</v>
      </c>
      <c r="B54" s="5" t="str">
        <f>IFERROR(__xludf.DUMMYFUNCTION(" GOOGLETRANSLATE(H54, ""de"", ""en"")"),"How long does a Quoits game usually last?")</f>
        <v>How long does a Quoits game usually last?</v>
      </c>
      <c r="C54" s="5" t="str">
        <f>IFERROR(__xludf.DUMMYFUNCTION(" GOOGLETRANSLATE(I54, ""de"", ""en"")"),"A. 15 minutes B. 30 minutes C. 45 minutes D. The duration varies depending on the rules")</f>
        <v>A. 15 minutes B. 30 minutes C. 45 minutes D. The duration varies depending on the rules</v>
      </c>
      <c r="D54" s="5" t="str">
        <f>IFERROR(__xludf.DUMMYFUNCTION(" GOOGLETRANSLATE(J54, ""de"", ""en"")"),"The duration varies depending on the rules.")</f>
        <v>The duration varies depending on the rules.</v>
      </c>
      <c r="E54" s="5" t="str">
        <f>IFERROR(__xludf.DUMMYFUNCTION(" GOOGLETRANSLATE(K54, ""de"", ""en"")"),"A game of Quoits can last for different lengths of time depending on the established rules.")</f>
        <v>A game of Quoits can last for different lengths of time depending on the established rules.</v>
      </c>
      <c r="G54" s="13" t="s">
        <v>644</v>
      </c>
      <c r="H54" s="13" t="s">
        <v>4499</v>
      </c>
      <c r="I54" s="13" t="s">
        <v>4500</v>
      </c>
      <c r="J54" s="13" t="s">
        <v>4501</v>
      </c>
      <c r="K54" s="13" t="s">
        <v>4502</v>
      </c>
    </row>
    <row r="55" ht="22.5" customHeight="1">
      <c r="A55" s="5" t="str">
        <f>IFERROR(__xludf.DUMMYFUNCTION(" GOOGLETRANSLATE(G55, ""de"", ""en"")"),"54")</f>
        <v>54</v>
      </c>
      <c r="B55" s="5" t="str">
        <f>IFERROR(__xludf.DUMMYFUNCTION(" GOOGLETRANSLATE(H55, ""de"", ""en"")"),"Is a player allowed to touch the ring immediately after a throw?")</f>
        <v>Is a player allowed to touch the ring immediately after a throw?</v>
      </c>
      <c r="C55" s="5" t="str">
        <f>IFERROR(__xludf.DUMMYFUNCTION(" GOOGLETRANSLATE(I55, ""de"", ""en"")"),"A. Yes, if he is in the finish area. B. Yes, if he is in the playing area. C. No, the ring may not be touched before the lap is over. D. Yes, but only during a penalty lap.")</f>
        <v>A. Yes, if he is in the finish area. B. Yes, if he is in the playing area. C. No, the ring may not be touched before the lap is over. D. Yes, but only during a penalty lap.</v>
      </c>
      <c r="D55" s="5" t="str">
        <f>IFERROR(__xludf.DUMMYFUNCTION(" GOOGLETRANSLATE(J55, ""de"", ""en"")"),"No, the ring must not be touched before the round is over.")</f>
        <v>No, the ring must not be touched before the round is over.</v>
      </c>
      <c r="E55" s="5" t="str">
        <f>IFERROR(__xludf.DUMMYFUNCTION(" GOOGLETRANSLATE(K55, ""de"", ""en"")"),"The ring must not be touched until the round is over.")</f>
        <v>The ring must not be touched until the round is over.</v>
      </c>
      <c r="G55" s="13" t="s">
        <v>652</v>
      </c>
      <c r="H55" s="13" t="s">
        <v>4503</v>
      </c>
      <c r="I55" s="13" t="s">
        <v>4504</v>
      </c>
      <c r="J55" s="13" t="s">
        <v>4505</v>
      </c>
      <c r="K55" s="13" t="s">
        <v>4506</v>
      </c>
    </row>
    <row r="56" ht="22.5" customHeight="1">
      <c r="A56" s="5" t="str">
        <f>IFERROR(__xludf.DUMMYFUNCTION(" GOOGLETRANSLATE(G56, ""de"", ""en"")"),"55")</f>
        <v>55</v>
      </c>
      <c r="B56" s="5" t="str">
        <f>IFERROR(__xludf.DUMMYFUNCTION(" GOOGLETRANSLATE(H56, ""de"", ""en"")"),"Which of the following rules apply in the game Quoits?")</f>
        <v>Which of the following rules apply in the game Quoits?</v>
      </c>
      <c r="C56" s="5" t="str">
        <f>IFERROR(__xludf.DUMMYFUNCTION(" GOOGLETRANSLATE(I56, ""de"", ""en"")"),"A. The throw must always be made by hand. B. The throw must be straight and not sideways. C. The throw must be made from a standing position. D. The throw must be made in a specific sequence.")</f>
        <v>A. The throw must always be made by hand. B. The throw must be straight and not sideways. C. The throw must be made from a standing position. D. The throw must be made in a specific sequence.</v>
      </c>
      <c r="D56" s="5" t="str">
        <f>IFERROR(__xludf.DUMMYFUNCTION(" GOOGLETRANSLATE(J56, ""de"", ""en"")"),"The throw must be straight and not sideways.")</f>
        <v>The throw must be straight and not sideways.</v>
      </c>
      <c r="E56" s="5" t="str">
        <f>IFERROR(__xludf.DUMMYFUNCTION(" GOOGLETRANSLATE(K56, ""de"", ""en"")"),"A correct throw must be straight and not sideways.")</f>
        <v>A correct throw must be straight and not sideways.</v>
      </c>
      <c r="G56" s="13" t="s">
        <v>658</v>
      </c>
      <c r="H56" s="13" t="s">
        <v>4507</v>
      </c>
      <c r="I56" s="13" t="s">
        <v>4508</v>
      </c>
      <c r="J56" s="13" t="s">
        <v>4509</v>
      </c>
      <c r="K56" s="13" t="s">
        <v>4510</v>
      </c>
    </row>
    <row r="57" ht="22.5" customHeight="1">
      <c r="A57" s="5" t="str">
        <f>IFERROR(__xludf.DUMMYFUNCTION(" GOOGLETRANSLATE(G57, ""de"", ""en"")"),"56")</f>
        <v>56</v>
      </c>
      <c r="B57" s="5" t="str">
        <f>IFERROR(__xludf.DUMMYFUNCTION(" GOOGLETRANSLATE(H57, ""de"", ""en"")"),"What is the minimum number of rounds that must be played in a Quoits game?")</f>
        <v>What is the minimum number of rounds that must be played in a Quoits game?</v>
      </c>
      <c r="C57" s="5" t="str">
        <f>IFERROR(__xludf.DUMMYFUNCTION(" GOOGLETRANSLATE(I57, ""de"", ""en"")"),"A. 1st round B. 2 rounds C. 3 rounds D. 4 rounds")</f>
        <v>A. 1st round B. 2 rounds C. 3 rounds D. 4 rounds</v>
      </c>
      <c r="D57" s="5" t="str">
        <f>IFERROR(__xludf.DUMMYFUNCTION(" GOOGLETRANSLATE(J57, ""de"", ""en"")"),"3 rounds")</f>
        <v>3 rounds</v>
      </c>
      <c r="E57" s="5" t="str">
        <f>IFERROR(__xludf.DUMMYFUNCTION(" GOOGLETRANSLATE(K57, ""de"", ""en"")"),"At least 3 rounds must be played.")</f>
        <v>At least 3 rounds must be played.</v>
      </c>
      <c r="G57" s="13" t="s">
        <v>664</v>
      </c>
      <c r="H57" s="13" t="s">
        <v>4511</v>
      </c>
      <c r="I57" s="13" t="s">
        <v>4512</v>
      </c>
      <c r="J57" s="13" t="s">
        <v>4383</v>
      </c>
      <c r="K57" s="13" t="s">
        <v>4513</v>
      </c>
    </row>
    <row r="58" ht="22.5" customHeight="1">
      <c r="A58" s="5" t="str">
        <f>IFERROR(__xludf.DUMMYFUNCTION(" GOOGLETRANSLATE(G58, ""de"", ""en"")"),"57")</f>
        <v>57</v>
      </c>
      <c r="B58" s="5" t="str">
        <f>IFERROR(__xludf.DUMMYFUNCTION(" GOOGLETRANSLATE(H58, ""de"", ""en"")"),"What happens if both players score the same point?")</f>
        <v>What happens if both players score the same point?</v>
      </c>
      <c r="C58" s="5" t="str">
        <f>IFERROR(__xludf.DUMMYFUNCTION(" GOOGLETRANSLATE(I58, ""de"", ""en"")"),"A. A replay will be played. B. There is a draw. C. The player with the better throw wins. D. It will be scored as a split point.")</f>
        <v>A. A replay will be played. B. There is a draw. C. The player with the better throw wins. D. It will be scored as a split point.</v>
      </c>
      <c r="D58" s="5" t="str">
        <f>IFERROR(__xludf.DUMMYFUNCTION(" GOOGLETRANSLATE(J58, ""de"", ""en"")"),"It's a draw.")</f>
        <v>It's a draw.</v>
      </c>
      <c r="E58" s="5" t="str">
        <f>IFERROR(__xludf.DUMMYFUNCTION(" GOOGLETRANSLATE(K58, ""de"", ""en"")"),"In the event of a tie, a draw will be declared.")</f>
        <v>In the event of a tie, a draw will be declared.</v>
      </c>
      <c r="G58" s="13" t="s">
        <v>668</v>
      </c>
      <c r="H58" s="13" t="s">
        <v>4514</v>
      </c>
      <c r="I58" s="13" t="s">
        <v>4515</v>
      </c>
      <c r="J58" s="13" t="s">
        <v>4516</v>
      </c>
      <c r="K58" s="13" t="s">
        <v>4517</v>
      </c>
    </row>
    <row r="59" ht="22.5" customHeight="1">
      <c r="A59" s="5" t="str">
        <f>IFERROR(__xludf.DUMMYFUNCTION(" GOOGLETRANSLATE(G59, ""de"", ""en"")"),"58")</f>
        <v>58</v>
      </c>
      <c r="B59" s="5" t="str">
        <f>IFERROR(__xludf.DUMMYFUNCTION(" GOOGLETRANSLATE(H59, ""de"", ""en"")"),"Can a player throw a ring outside the playing field during the game?")</f>
        <v>Can a player throw a ring outside the playing field during the game?</v>
      </c>
      <c r="C59" s="5" t="str">
        <f>IFERROR(__xludf.DUMMYFUNCTION(" GOOGLETRANSLATE(I59, ""de"", ""en"")"),"A. Yes, but it will be counted as a foul. B. Yes, the player may leave the playing field at any time. C. No, the ring must remain in the playing field. D. Yes, but the throw will be repeated.")</f>
        <v>A. Yes, but it will be counted as a foul. B. Yes, the player may leave the playing field at any time. C. No, the ring must remain in the playing field. D. Yes, but the throw will be repeated.</v>
      </c>
      <c r="D59" s="5" t="str">
        <f>IFERROR(__xludf.DUMMYFUNCTION(" GOOGLETRANSLATE(J59, ""de"", ""en"")"),"No, the ring must remain in the playing field.")</f>
        <v>No, the ring must remain in the playing field.</v>
      </c>
      <c r="E59" s="5" t="str">
        <f>IFERROR(__xludf.DUMMYFUNCTION(" GOOGLETRANSLATE(K59, ""de"", ""en"")"),"The ring must always remain within the playing field.")</f>
        <v>The ring must always remain within the playing field.</v>
      </c>
      <c r="G59" s="13" t="s">
        <v>676</v>
      </c>
      <c r="H59" s="13" t="s">
        <v>4518</v>
      </c>
      <c r="I59" s="13" t="s">
        <v>4519</v>
      </c>
      <c r="J59" s="13" t="s">
        <v>4475</v>
      </c>
      <c r="K59" s="13" t="s">
        <v>4520</v>
      </c>
    </row>
    <row r="60" ht="22.5" customHeight="1">
      <c r="A60" s="5" t="str">
        <f>IFERROR(__xludf.DUMMYFUNCTION(" GOOGLETRANSLATE(G60, ""de"", ""en"")"),"59")</f>
        <v>59</v>
      </c>
      <c r="B60" s="5" t="str">
        <f>IFERROR(__xludf.DUMMYFUNCTION(" GOOGLETRANSLATE(H60, ""de"", ""en"")"),"What is the rule if a player throws the ring into the target, but the target is crossed in mid-air?")</f>
        <v>What is the rule if a player throws the ring into the target, but the target is crossed in mid-air?</v>
      </c>
      <c r="C60" s="5" t="str">
        <f>IFERROR(__xludf.DUMMYFUNCTION(" GOOGLETRANSLATE(I60, ""de"", ""en"")"),"A. The ring does not count. B. It is counted as a valid throw. C. The player receives a bonus point. D. The throw is repeated.")</f>
        <v>A. The ring does not count. B. It is counted as a valid throw. C. The player receives a bonus point. D. The throw is repeated.</v>
      </c>
      <c r="D60" s="5" t="str">
        <f>IFERROR(__xludf.DUMMYFUNCTION(" GOOGLETRANSLATE(J60, ""de"", ""en"")"),"It will be considered a valid throw.")</f>
        <v>It will be considered a valid throw.</v>
      </c>
      <c r="E60" s="5" t="str">
        <f>IFERROR(__xludf.DUMMYFUNCTION(" GOOGLETRANSLATE(K60, ""de"", ""en"")"),"A ring that is crossed in the air is considered valid.")</f>
        <v>A ring that is crossed in the air is considered valid.</v>
      </c>
      <c r="G60" s="13" t="s">
        <v>682</v>
      </c>
      <c r="H60" s="13" t="s">
        <v>4521</v>
      </c>
      <c r="I60" s="13" t="s">
        <v>4522</v>
      </c>
      <c r="J60" s="13" t="s">
        <v>4523</v>
      </c>
      <c r="K60" s="13" t="s">
        <v>4524</v>
      </c>
    </row>
    <row r="61" ht="22.5" customHeight="1">
      <c r="A61" s="5" t="str">
        <f>IFERROR(__xludf.DUMMYFUNCTION(" GOOGLETRANSLATE(G61, ""de"", ""en"")"),"60")</f>
        <v>60</v>
      </c>
      <c r="B61" s="5" t="str">
        <f>IFERROR(__xludf.DUMMYFUNCTION(" GOOGLETRANSLATE(H61, ""de"", ""en"")"),"Which of the following statements is correct for a valid throw?")</f>
        <v>Which of the following statements is correct for a valid throw?</v>
      </c>
      <c r="C61" s="5" t="str">
        <f>IFERROR(__xludf.DUMMYFUNCTION(" GOOGLETRANSLATE(I61, ""de"", ""en"")"),"A. The ring must be thrown with a spinning motion. B. The ring must fly at least 10 meters. C. The ring must be thrown by hand. D. The ring must land immediately in the target area.")</f>
        <v>A. The ring must be thrown with a spinning motion. B. The ring must fly at least 10 meters. C. The ring must be thrown by hand. D. The ring must land immediately in the target area.</v>
      </c>
      <c r="D61" s="5" t="str">
        <f>IFERROR(__xludf.DUMMYFUNCTION(" GOOGLETRANSLATE(J61, ""de"", ""en"")"),"The ring must be thrown by hand.")</f>
        <v>The ring must be thrown by hand.</v>
      </c>
      <c r="E61" s="5" t="str">
        <f>IFERROR(__xludf.DUMMYFUNCTION(" GOOGLETRANSLATE(K61, ""de"", ""en"")"),"A valid throw must be made by hand.")</f>
        <v>A valid throw must be made by hand.</v>
      </c>
      <c r="G61" s="13" t="s">
        <v>683</v>
      </c>
      <c r="H61" s="13" t="s">
        <v>4525</v>
      </c>
      <c r="I61" s="13" t="s">
        <v>4526</v>
      </c>
      <c r="J61" s="13" t="s">
        <v>4527</v>
      </c>
      <c r="K61" s="13" t="s">
        <v>4528</v>
      </c>
    </row>
    <row r="62" ht="22.5" customHeight="1">
      <c r="A62" s="5" t="str">
        <f>IFERROR(__xludf.DUMMYFUNCTION(" GOOGLETRANSLATE(G62, ""de"", ""en"")"),"61")</f>
        <v>61</v>
      </c>
      <c r="B62" s="5" t="str">
        <f>IFERROR(__xludf.DUMMYFUNCTION(" GOOGLETRANSLATE(H62, ""de"", ""en"")"),"What happens if a ring lands outside the target area?")</f>
        <v>What happens if a ring lands outside the target area?</v>
      </c>
      <c r="C62" s="5" t="str">
        <f>IFERROR(__xludf.DUMMYFUNCTION(" GOOGLETRANSLATE(I62, ""de"", ""en"")"),"A. The throw is ruled valid. B. The ring counts as 0 points. C. The throw is repeated. D. The ring is removed.")</f>
        <v>A. The throw is ruled valid. B. The ring counts as 0 points. C. The throw is repeated. D. The ring is removed.</v>
      </c>
      <c r="D62" s="5" t="str">
        <f>IFERROR(__xludf.DUMMYFUNCTION(" GOOGLETRANSLATE(J62, ""de"", ""en"")"),"The throw is deemed invalid.")</f>
        <v>The throw is deemed invalid.</v>
      </c>
      <c r="E62" s="5" t="str">
        <f>IFERROR(__xludf.DUMMYFUNCTION(" GOOGLETRANSLATE(K62, ""de"", ""en"")"),"A ring that lands outside the target area is invalid and counts as 0 points.")</f>
        <v>A ring that lands outside the target area is invalid and counts as 0 points.</v>
      </c>
      <c r="G62" s="13" t="s">
        <v>689</v>
      </c>
      <c r="H62" s="13" t="s">
        <v>4529</v>
      </c>
      <c r="I62" s="13" t="s">
        <v>4530</v>
      </c>
      <c r="J62" s="13" t="s">
        <v>4531</v>
      </c>
      <c r="K62" s="13" t="s">
        <v>4532</v>
      </c>
    </row>
    <row r="63" ht="22.5" customHeight="1">
      <c r="A63" s="5" t="str">
        <f>IFERROR(__xludf.DUMMYFUNCTION(" GOOGLETRANSLATE(G63, ""de"", ""en"")"),"62")</f>
        <v>62</v>
      </c>
      <c r="B63" s="5" t="str">
        <f>IFERROR(__xludf.DUMMYFUNCTION(" GOOGLETRANSLATE(H63, ""de"", ""en"")"),"What is the maximum score a player can achieve in a round?")</f>
        <v>What is the maximum score a player can achieve in a round?</v>
      </c>
      <c r="C63" s="5" t="str">
        <f>IFERROR(__xludf.DUMMYFUNCTION(" GOOGLETRANSLATE(I63, ""de"", ""en"")"),"A. 1 point B. 5 points C. 10 points D. Unlimited points")</f>
        <v>A. 1 point B. 5 points C. 10 points D. Unlimited points</v>
      </c>
      <c r="D63" s="5" t="str">
        <f>IFERROR(__xludf.DUMMYFUNCTION(" GOOGLETRANSLATE(J63, ""de"", ""en"")"),"1 point")</f>
        <v>1 point</v>
      </c>
      <c r="E63" s="5" t="str">
        <f>IFERROR(__xludf.DUMMYFUNCTION(" GOOGLETRANSLATE(K63, ""de"", ""en"")"),"In a round, a player can only score 1 point if the ring is thrown correctly.")</f>
        <v>In a round, a player can only score 1 point if the ring is thrown correctly.</v>
      </c>
      <c r="G63" s="13" t="s">
        <v>693</v>
      </c>
      <c r="H63" s="13" t="s">
        <v>4533</v>
      </c>
      <c r="I63" s="13" t="s">
        <v>4534</v>
      </c>
      <c r="J63" s="13" t="s">
        <v>3153</v>
      </c>
      <c r="K63" s="13" t="s">
        <v>4535</v>
      </c>
    </row>
    <row r="64" ht="22.5" customHeight="1">
      <c r="A64" s="5" t="str">
        <f>IFERROR(__xludf.DUMMYFUNCTION(" GOOGLETRANSLATE(G64, ""de"", ""en"")"),"63")</f>
        <v>63</v>
      </c>
      <c r="B64" s="5" t="str">
        <f>IFERROR(__xludf.DUMMYFUNCTION(" GOOGLETRANSLATE(H64, ""de"", ""en"")"),"Is it permissible for the ring to touch the player's hand during the throw?")</f>
        <v>Is it permissible for the ring to touch the player's hand during the throw?</v>
      </c>
      <c r="C64" s="5" t="str">
        <f>IFERROR(__xludf.DUMMYFUNCTION(" GOOGLETRANSLATE(I64, ""de"", ""en"")"),"A. Yes, there are no restrictions. B. Yes, but only once. C. No, the ring must not touch the hand. D. Yes, but only if the ring reaches the target area.")</f>
        <v>A. Yes, there are no restrictions. B. Yes, but only once. C. No, the ring must not touch the hand. D. Yes, but only if the ring reaches the target area.</v>
      </c>
      <c r="D64" s="5" t="str">
        <f>IFERROR(__xludf.DUMMYFUNCTION(" GOOGLETRANSLATE(J64, ""de"", ""en"")"),"No, the ring must not touch the hand.")</f>
        <v>No, the ring must not touch the hand.</v>
      </c>
      <c r="E64" s="5" t="str">
        <f>IFERROR(__xludf.DUMMYFUNCTION(" GOOGLETRANSLATE(K64, ""de"", ""en"")"),"The ring must not touch the player's hand during the throw.")</f>
        <v>The ring must not touch the player's hand during the throw.</v>
      </c>
      <c r="G64" s="13" t="s">
        <v>694</v>
      </c>
      <c r="H64" s="13" t="s">
        <v>4536</v>
      </c>
      <c r="I64" s="13" t="s">
        <v>4537</v>
      </c>
      <c r="J64" s="13" t="s">
        <v>4538</v>
      </c>
      <c r="K64" s="13" t="s">
        <v>4539</v>
      </c>
    </row>
    <row r="65" ht="22.5" customHeight="1">
      <c r="A65" s="5" t="str">
        <f>IFERROR(__xludf.DUMMYFUNCTION(" GOOGLETRANSLATE(G65, ""de"", ""en"")"),"64")</f>
        <v>64</v>
      </c>
      <c r="B65" s="5" t="str">
        <f>IFERROR(__xludf.DUMMYFUNCTION(" GOOGLETRANSLATE(H65, ""de"", ""en"")"),"How is a throw that misses the target scored?")</f>
        <v>How is a throw that misses the target scored?</v>
      </c>
      <c r="C65" s="5" t="str">
        <f>IFERROR(__xludf.DUMMYFUNCTION(" GOOGLETRANSLATE(I65, ""de"", ""en"")"),"A. The throw is ruled invalid. B. The ring counts as 1 point. C. The throw is repeated. D. The throw counts as 2 points.")</f>
        <v>A. The throw is ruled invalid. B. The ring counts as 1 point. C. The throw is repeated. D. The throw counts as 2 points.</v>
      </c>
      <c r="D65" s="5" t="str">
        <f>IFERROR(__xludf.DUMMYFUNCTION(" GOOGLETRANSLATE(J65, ""de"", ""en"")"),"The throw is deemed invalid.")</f>
        <v>The throw is deemed invalid.</v>
      </c>
      <c r="E65" s="5" t="str">
        <f>IFERROR(__xludf.DUMMYFUNCTION(" GOOGLETRANSLATE(K65, ""de"", ""en"")"),"A throw that flies over the target is considered invalid.")</f>
        <v>A throw that flies over the target is considered invalid.</v>
      </c>
      <c r="G65" s="13" t="s">
        <v>695</v>
      </c>
      <c r="H65" s="13" t="s">
        <v>4540</v>
      </c>
      <c r="I65" s="13" t="s">
        <v>4541</v>
      </c>
      <c r="J65" s="13" t="s">
        <v>4531</v>
      </c>
      <c r="K65" s="13" t="s">
        <v>4542</v>
      </c>
    </row>
    <row r="66" ht="22.5" customHeight="1">
      <c r="A66" s="5" t="str">
        <f>IFERROR(__xludf.DUMMYFUNCTION(" GOOGLETRANSLATE(G66, ""de"", ""en"")"),"65")</f>
        <v>65</v>
      </c>
      <c r="B66" s="5" t="str">
        <f>IFERROR(__xludf.DUMMYFUNCTION(" GOOGLETRANSLATE(H66, ""de"", ""en"")"),"What is the minimum number of rounds that must be played to end a Quoits game?")</f>
        <v>What is the minimum number of rounds that must be played to end a Quoits game?</v>
      </c>
      <c r="C66" s="5" t="str">
        <f>IFERROR(__xludf.DUMMYFUNCTION(" GOOGLETRANSLATE(I66, ""de"", ""en"")"),"A. 1st round B. 3 rounds C. 5 rounds D. 7 rounds")</f>
        <v>A. 1st round B. 3 rounds C. 5 rounds D. 7 rounds</v>
      </c>
      <c r="D66" s="5" t="str">
        <f>IFERROR(__xludf.DUMMYFUNCTION(" GOOGLETRANSLATE(J66, ""de"", ""en"")"),"3 rounds")</f>
        <v>3 rounds</v>
      </c>
      <c r="E66" s="5" t="str">
        <f>IFERROR(__xludf.DUMMYFUNCTION(" GOOGLETRANSLATE(K66, ""de"", ""en"")"),"A Quoits game must consist of at least 3 rounds.")</f>
        <v>A Quoits game must consist of at least 3 rounds.</v>
      </c>
      <c r="G66" s="13" t="s">
        <v>696</v>
      </c>
      <c r="H66" s="13" t="s">
        <v>4543</v>
      </c>
      <c r="I66" s="13" t="s">
        <v>4544</v>
      </c>
      <c r="J66" s="13" t="s">
        <v>4383</v>
      </c>
      <c r="K66" s="13" t="s">
        <v>4545</v>
      </c>
    </row>
    <row r="67" ht="22.5" customHeight="1">
      <c r="A67" s="5" t="str">
        <f>IFERROR(__xludf.DUMMYFUNCTION(" GOOGLETRANSLATE(G67, ""de"", ""en"")"),"66")</f>
        <v>66</v>
      </c>
      <c r="B67" s="5" t="str">
        <f>IFERROR(__xludf.DUMMYFUNCTION(" GOOGLETRANSLATE(H67, ""de"", ""en"")"),"Can a player retrieve the ring after throwing it?")</f>
        <v>Can a player retrieve the ring after throwing it?</v>
      </c>
      <c r="C67" s="5" t="str">
        <f>IFERROR(__xludf.DUMMYFUNCTION(" GOOGLETRANSLATE(I67, ""de"", ""en"")"),"A. Yes, he can withdraw the ring if the throw is invalid. B. Yes, but only in the first round. C. No, the ring remains in place after the throw. D. Yes, but only with the opponent's permission.")</f>
        <v>A. Yes, he can withdraw the ring if the throw is invalid. B. Yes, but only in the first round. C. No, the ring remains in place after the throw. D. Yes, but only with the opponent's permission.</v>
      </c>
      <c r="D67" s="5" t="str">
        <f>IFERROR(__xludf.DUMMYFUNCTION(" GOOGLETRANSLATE(J67, ""de"", ""en"")"),"No, the ring stays in place after the throw.")</f>
        <v>No, the ring stays in place after the throw.</v>
      </c>
      <c r="E67" s="5" t="str">
        <f>IFERROR(__xludf.DUMMYFUNCTION(" GOOGLETRANSLATE(K67, ""de"", ""en"")"),"The ring remains in its position after the throw and cannot be moved.")</f>
        <v>The ring remains in its position after the throw and cannot be moved.</v>
      </c>
      <c r="G67" s="13" t="s">
        <v>697</v>
      </c>
      <c r="H67" s="13" t="s">
        <v>4546</v>
      </c>
      <c r="I67" s="13" t="s">
        <v>4547</v>
      </c>
      <c r="J67" s="13" t="s">
        <v>4548</v>
      </c>
      <c r="K67" s="13" t="s">
        <v>4549</v>
      </c>
    </row>
    <row r="68" ht="22.5" customHeight="1">
      <c r="A68" s="5" t="str">
        <f>IFERROR(__xludf.DUMMYFUNCTION(" GOOGLETRANSLATE(G68, ""de"", ""en"")"),"67")</f>
        <v>67</v>
      </c>
      <c r="B68" s="5" t="str">
        <f>IFERROR(__xludf.DUMMYFUNCTION(" GOOGLETRANSLATE(H68, ""de"", ""en"")"),"What happens if both players score the same point?")</f>
        <v>What happens if both players score the same point?</v>
      </c>
      <c r="C68" s="5" t="str">
        <f>IFERROR(__xludf.DUMMYFUNCTION(" GOOGLETRANSLATE(I68, ""de"", ""en"")"),"A. A replay will be held. B. It will be declared a draw. C. The player with the better results in the next round wins. D. The player with the better throw wins.")</f>
        <v>A. A replay will be held. B. It will be declared a draw. C. The player with the better results in the next round wins. D. The player with the better throw wins.</v>
      </c>
      <c r="D68" s="5" t="str">
        <f>IFERROR(__xludf.DUMMYFUNCTION(" GOOGLETRANSLATE(J68, ""de"", ""en"")"),"It will be counted as a draw.")</f>
        <v>It will be counted as a draw.</v>
      </c>
      <c r="E68" s="5" t="str">
        <f>IFERROR(__xludf.DUMMYFUNCTION(" GOOGLETRANSLATE(K68, ""de"", ""en"")"),"A draw is declared when both players score the same point.")</f>
        <v>A draw is declared when both players score the same point.</v>
      </c>
      <c r="G68" s="13" t="s">
        <v>698</v>
      </c>
      <c r="H68" s="13" t="s">
        <v>4550</v>
      </c>
      <c r="I68" s="13" t="s">
        <v>4551</v>
      </c>
      <c r="J68" s="13" t="s">
        <v>4552</v>
      </c>
      <c r="K68" s="13" t="s">
        <v>4553</v>
      </c>
    </row>
    <row r="69" ht="22.5" customHeight="1">
      <c r="A69" s="5" t="str">
        <f>IFERROR(__xludf.DUMMYFUNCTION(" GOOGLETRANSLATE(G69, ""de"", ""en"")"),"68")</f>
        <v>68</v>
      </c>
      <c r="B69" s="5" t="str">
        <f>IFERROR(__xludf.DUMMYFUNCTION(" GOOGLETRANSLATE(H69, ""de"", ""en"")"),"What happens if a player throws the ring outside the playing field?")</f>
        <v>What happens if a player throws the ring outside the playing field?</v>
      </c>
      <c r="C69" s="5" t="str">
        <f>IFERROR(__xludf.DUMMYFUNCTION(" GOOGLETRANSLATE(I69, ""de"", ""en"")"),"A. The throw is ruled invalid. B. A point is awarded to the opponent. C. The player may throw the ring back. D. The throw is repeated.")</f>
        <v>A. The throw is ruled invalid. B. A point is awarded to the opponent. C. The player may throw the ring back. D. The throw is repeated.</v>
      </c>
      <c r="D69" s="5" t="str">
        <f>IFERROR(__xludf.DUMMYFUNCTION(" GOOGLETRANSLATE(J69, ""de"", ""en"")"),"The throw is deemed invalid.")</f>
        <v>The throw is deemed invalid.</v>
      </c>
      <c r="E69" s="5" t="str">
        <f>IFERROR(__xludf.DUMMYFUNCTION(" GOOGLETRANSLATE(K69, ""de"", ""en"")"),"A throw that lands outside the playing field is considered invalid.")</f>
        <v>A throw that lands outside the playing field is considered invalid.</v>
      </c>
      <c r="G69" s="13" t="s">
        <v>699</v>
      </c>
      <c r="H69" s="13" t="s">
        <v>4554</v>
      </c>
      <c r="I69" s="13" t="s">
        <v>4555</v>
      </c>
      <c r="J69" s="13" t="s">
        <v>4531</v>
      </c>
      <c r="K69" s="13" t="s">
        <v>4556</v>
      </c>
    </row>
    <row r="70" ht="22.5" customHeight="1">
      <c r="A70" s="5" t="str">
        <f>IFERROR(__xludf.DUMMYFUNCTION(" GOOGLETRANSLATE(G70, ""de"", ""en"")"),"69")</f>
        <v>69</v>
      </c>
      <c r="B70" s="5" t="str">
        <f>IFERROR(__xludf.DUMMYFUNCTION(" GOOGLETRANSLATE(H70, ""de"", ""en"")"),"How is the throwing distance measured in the game of Quoits?")</f>
        <v>How is the throwing distance measured in the game of Quoits?</v>
      </c>
      <c r="C70" s="5" t="str">
        <f>IFERROR(__xludf.DUMMYFUNCTION(" GOOGLETRANSLATE(I70, ""de"", ""en"")"),"A. The distance is measured by the referee's eye. B. A measuring tape is used, placed at the edge of the playing field. C. There is no standard measurement. D. The distance is calculated manually after the throw.")</f>
        <v>A. The distance is measured by the referee's eye. B. A measuring tape is used, placed at the edge of the playing field. C. There is no standard measurement. D. The distance is calculated manually after the throw.</v>
      </c>
      <c r="D70" s="5" t="str">
        <f>IFERROR(__xludf.DUMMYFUNCTION(" GOOGLETRANSLATE(J70, ""de"", ""en"")"),"Using a measuring tape placed at the edge of the playing field")</f>
        <v>Using a measuring tape placed at the edge of the playing field</v>
      </c>
      <c r="E70" s="5" t="str">
        <f>IFERROR(__xludf.DUMMYFUNCTION(" GOOGLETRANSLATE(K70, ""de"", ""en"")"),"The distance of the throw is measured with a measuring tape placed at the edge of the playing field.")</f>
        <v>The distance of the throw is measured with a measuring tape placed at the edge of the playing field.</v>
      </c>
      <c r="G70" s="13" t="s">
        <v>700</v>
      </c>
      <c r="H70" s="13" t="s">
        <v>4557</v>
      </c>
      <c r="I70" s="13" t="s">
        <v>4558</v>
      </c>
      <c r="J70" s="13" t="s">
        <v>4559</v>
      </c>
      <c r="K70" s="13" t="s">
        <v>4560</v>
      </c>
    </row>
    <row r="71" ht="22.5" customHeight="1">
      <c r="A71" s="5" t="str">
        <f>IFERROR(__xludf.DUMMYFUNCTION(" GOOGLETRANSLATE(G71, ""de"", ""en"")"),"70")</f>
        <v>70</v>
      </c>
      <c r="B71" s="5" t="str">
        <f>IFERROR(__xludf.DUMMYFUNCTION(" GOOGLETRANSLATE(H71, ""de"", ""en"")"),"What happens if a player throws a ring with an irregular shape?")</f>
        <v>What happens if a player throws a ring with an irregular shape?</v>
      </c>
      <c r="C71" s="5" t="str">
        <f>IFERROR(__xludf.DUMMYFUNCTION(" GOOGLETRANSLATE(I71, ""de"", ""en"")"),"A. The throw is ruled invalid. B. A penalty will be imposed on the player. C. The ring will be thrown again. D. There is no influence on the throw.")</f>
        <v>A. The throw is ruled invalid. B. A penalty will be imposed on the player. C. The ring will be thrown again. D. There is no influence on the throw.</v>
      </c>
      <c r="D71" s="5" t="str">
        <f>IFERROR(__xludf.DUMMYFUNCTION(" GOOGLETRANSLATE(J71, ""de"", ""en"")"),"The throw is deemed invalid.")</f>
        <v>The throw is deemed invalid.</v>
      </c>
      <c r="E71" s="5" t="str">
        <f>IFERROR(__xludf.DUMMYFUNCTION(" GOOGLETRANSLATE(K71, ""de"", ""en"")"),"An irregularly shaped ring is thrown as invalid.")</f>
        <v>An irregularly shaped ring is thrown as invalid.</v>
      </c>
      <c r="G71" s="13" t="s">
        <v>701</v>
      </c>
      <c r="H71" s="13" t="s">
        <v>4561</v>
      </c>
      <c r="I71" s="13" t="s">
        <v>4562</v>
      </c>
      <c r="J71" s="13" t="s">
        <v>4531</v>
      </c>
      <c r="K71" s="13" t="s">
        <v>4563</v>
      </c>
    </row>
    <row r="72" ht="22.5" customHeight="1">
      <c r="A72" s="5" t="str">
        <f>IFERROR(__xludf.DUMMYFUNCTION(" GOOGLETRANSLATE(G72, ""de"", ""en"")"),"71")</f>
        <v>71</v>
      </c>
      <c r="B72" s="5" t="str">
        <f>IFERROR(__xludf.DUMMYFUNCTION(" GOOGLETRANSLATE(H72, ""de"", ""en"")"),"How many throws does a player have per round?")</f>
        <v>How many throws does a player have per round?</v>
      </c>
      <c r="C72" s="5" t="str">
        <f>IFERROR(__xludf.DUMMYFUNCTION(" GOOGLETRANSLATE(I72, ""de"", ""en"")"),"A. 1 attempt B. 2 attempts C. 3 attempts D. Unlimited attempts")</f>
        <v>A. 1 attempt B. 2 attempts C. 3 attempts D. Unlimited attempts</v>
      </c>
      <c r="D72" s="5" t="str">
        <f>IFERROR(__xludf.DUMMYFUNCTION(" GOOGLETRANSLATE(J72, ""de"", ""en"")"),"3 attempts")</f>
        <v>3 attempts</v>
      </c>
      <c r="E72" s="5" t="str">
        <f>IFERROR(__xludf.DUMMYFUNCTION(" GOOGLETRANSLATE(K72, ""de"", ""en"")"),"Each player has 3 throws per round.")</f>
        <v>Each player has 3 throws per round.</v>
      </c>
      <c r="G72" s="13" t="s">
        <v>702</v>
      </c>
      <c r="H72" s="13" t="s">
        <v>4564</v>
      </c>
      <c r="I72" s="13" t="s">
        <v>4565</v>
      </c>
      <c r="J72" s="13" t="s">
        <v>4401</v>
      </c>
      <c r="K72" s="13" t="s">
        <v>4566</v>
      </c>
    </row>
    <row r="73" ht="22.5" customHeight="1">
      <c r="A73" s="5" t="str">
        <f>IFERROR(__xludf.DUMMYFUNCTION(" GOOGLETRANSLATE(G73, ""de"", ""en"")"),"72")</f>
        <v>72</v>
      </c>
      <c r="B73" s="5" t="str">
        <f>IFERROR(__xludf.DUMMYFUNCTION(" GOOGLETRANSLATE(H73, ""de"", ""en"")"),"How far away from the target must a player be to throw?")</f>
        <v>How far away from the target must a player be to throw?</v>
      </c>
      <c r="C73" s="5" t="str">
        <f>IFERROR(__xludf.DUMMYFUNCTION(" GOOGLETRANSLATE(I73, ""de"", ""en"")"),"A. At least 2 meters B. At least 3 meters C. At least 5 meters D. There is no specified distance")</f>
        <v>A. At least 2 meters B. At least 3 meters C. At least 5 meters D. There is no specified distance</v>
      </c>
      <c r="D73" s="5" t="str">
        <f>IFERROR(__xludf.DUMMYFUNCTION(" GOOGLETRANSLATE(J73, ""de"", ""en"")"),"At least 2 meters")</f>
        <v>At least 2 meters</v>
      </c>
      <c r="E73" s="5" t="str">
        <f>IFERROR(__xludf.DUMMYFUNCTION(" GOOGLETRANSLATE(K73, ""de"", ""en"")"),"A player must be at least 2 meters away from the target to throw.")</f>
        <v>A player must be at least 2 meters away from the target to throw.</v>
      </c>
      <c r="G73" s="13" t="s">
        <v>703</v>
      </c>
      <c r="H73" s="13" t="s">
        <v>4567</v>
      </c>
      <c r="I73" s="13" t="s">
        <v>4568</v>
      </c>
      <c r="J73" s="13" t="s">
        <v>4569</v>
      </c>
      <c r="K73" s="13" t="s">
        <v>4570</v>
      </c>
    </row>
    <row r="74" ht="22.5" customHeight="1">
      <c r="A74" s="5" t="str">
        <f>IFERROR(__xludf.DUMMYFUNCTION(" GOOGLETRANSLATE(G74, ""de"", ""en"")"),"73")</f>
        <v>73</v>
      </c>
      <c r="B74" s="5" t="str">
        <f>IFERROR(__xludf.DUMMYFUNCTION(" GOOGLETRANSLATE(H74, ""de"", ""en"")"),"Is the ring allowed to touch the ground before reaching the target?")</f>
        <v>Is the ring allowed to touch the ground before reaching the target?</v>
      </c>
      <c r="C74" s="5" t="str">
        <f>IFERROR(__xludf.DUMMYFUNCTION(" GOOGLETRANSLATE(I74, ""de"", ""en"")"),"A. Yes, it is allowed as long as he can still reach the target. B. No, the ring must not touch the target. C. Yes, but only in the first round. D. It depends on the rules of the game.")</f>
        <v>A. Yes, it is allowed as long as he can still reach the target. B. No, the ring must not touch the target. C. Yes, but only in the first round. D. It depends on the rules of the game.</v>
      </c>
      <c r="D74" s="5" t="str">
        <f>IFERROR(__xludf.DUMMYFUNCTION(" GOOGLETRANSLATE(J74, ""de"", ""en"")"),"Yes, it's allowed as long as he still reaches the goal.")</f>
        <v>Yes, it's allowed as long as he still reaches the goal.</v>
      </c>
      <c r="E74" s="5" t="str">
        <f>IFERROR(__xludf.DUMMYFUNCTION(" GOOGLETRANSLATE(K74, ""de"", ""en"")"),"The ring may touch the ground as long as it still reaches the target.")</f>
        <v>The ring may touch the ground as long as it still reaches the target.</v>
      </c>
      <c r="G74" s="13" t="s">
        <v>704</v>
      </c>
      <c r="H74" s="13" t="s">
        <v>4413</v>
      </c>
      <c r="I74" s="13" t="s">
        <v>4571</v>
      </c>
      <c r="J74" s="13" t="s">
        <v>4572</v>
      </c>
      <c r="K74" s="13" t="s">
        <v>4573</v>
      </c>
    </row>
    <row r="75" ht="22.5" customHeight="1">
      <c r="A75" s="5" t="str">
        <f>IFERROR(__xludf.DUMMYFUNCTION(" GOOGLETRANSLATE(G75, ""de"", ""en"")"),"74")</f>
        <v>74</v>
      </c>
      <c r="B75" s="5" t="str">
        <f>IFERROR(__xludf.DUMMYFUNCTION(" GOOGLETRANSLATE(H75, ""de"", ""en"")"),"What happens if a ring touches the ground during the throw?")</f>
        <v>What happens if a ring touches the ground during the throw?</v>
      </c>
      <c r="C75" s="5" t="str">
        <f>IFERROR(__xludf.DUMMYFUNCTION(" GOOGLETRANSLATE(I75, ""de"", ""en"")"),"A. The throw is repeated. B. The ring is ruled invalid. C. The throw is considered valid if the target is reached. D. A point is awarded to the opponent.")</f>
        <v>A. The throw is repeated. B. The ring is ruled invalid. C. The throw is considered valid if the target is reached. D. A point is awarded to the opponent.</v>
      </c>
      <c r="D75" s="5" t="str">
        <f>IFERROR(__xludf.DUMMYFUNCTION(" GOOGLETRANSLATE(J75, ""de"", ""en"")"),"The throw is considered valid if the target is reached.")</f>
        <v>The throw is considered valid if the target is reached.</v>
      </c>
      <c r="E75" s="5" t="str">
        <f>IFERROR(__xludf.DUMMYFUNCTION(" GOOGLETRANSLATE(K75, ""de"", ""en"")"),"A ring that touches the ground is considered valid if it reaches the target.")</f>
        <v>A ring that touches the ground is considered valid if it reaches the target.</v>
      </c>
      <c r="G75" s="13" t="s">
        <v>708</v>
      </c>
      <c r="H75" s="13" t="s">
        <v>4574</v>
      </c>
      <c r="I75" s="13" t="s">
        <v>4575</v>
      </c>
      <c r="J75" s="13" t="s">
        <v>4576</v>
      </c>
      <c r="K75" s="13" t="s">
        <v>4577</v>
      </c>
    </row>
    <row r="76" ht="22.5" customHeight="1">
      <c r="A76" s="5" t="str">
        <f>IFERROR(__xludf.DUMMYFUNCTION(" GOOGLETRANSLATE(G76, ""de"", ""en"")"),"75")</f>
        <v>75</v>
      </c>
      <c r="B76" s="5" t="str">
        <f>IFERROR(__xludf.DUMMYFUNCTION(" GOOGLETRANSLATE(H76, ""de"", ""en"")"),"When does a throw count as a point in the game of Quoits?")</f>
        <v>When does a throw count as a point in the game of Quoits?</v>
      </c>
      <c r="C76" s="5" t="str">
        <f>IFERROR(__xludf.DUMMYFUNCTION(" GOOGLETRANSLATE(I76, ""de"", ""en"")"),"A. When the ring reaches the target B. When the ring lands in the target area C. When the ring touches the ground D. When the ring leaves the playing field")</f>
        <v>A. When the ring reaches the target B. When the ring lands in the target area C. When the ring touches the ground D. When the ring leaves the playing field</v>
      </c>
      <c r="D76" s="5" t="str">
        <f>IFERROR(__xludf.DUMMYFUNCTION(" GOOGLETRANSLATE(J76, ""de"", ""en"")"),"If the ring lands in the target area")</f>
        <v>If the ring lands in the target area</v>
      </c>
      <c r="E76" s="5" t="str">
        <f>IFERROR(__xludf.DUMMYFUNCTION(" GOOGLETRANSLATE(K76, ""de"", ""en"")"),"A ring only counts as a point if it lands in the target area.")</f>
        <v>A ring only counts as a point if it lands in the target area.</v>
      </c>
      <c r="G76" s="13" t="s">
        <v>709</v>
      </c>
      <c r="H76" s="13" t="s">
        <v>4578</v>
      </c>
      <c r="I76" s="13" t="s">
        <v>4579</v>
      </c>
      <c r="J76" s="13" t="s">
        <v>4580</v>
      </c>
      <c r="K76" s="13" t="s">
        <v>4581</v>
      </c>
    </row>
    <row r="77" ht="22.5" customHeight="1">
      <c r="A77" s="5" t="str">
        <f>IFERROR(__xludf.DUMMYFUNCTION(" GOOGLETRANSLATE(G77, ""de"", ""en"")"),"76")</f>
        <v>76</v>
      </c>
      <c r="B77" s="5" t="str">
        <f>IFERROR(__xludf.DUMMYFUNCTION(" GOOGLETRANSLATE(H77, ""de"", ""en"")"),"Can a player throw a ring multiple times during a round?")</f>
        <v>Can a player throw a ring multiple times during a round?</v>
      </c>
      <c r="C77" s="5" t="str">
        <f>IFERROR(__xludf.DUMMYFUNCTION(" GOOGLETRANSLATE(I77, ""de"", ""en"")"),"A. Yes, but only with the referee's permission. B. Yes, but only during the first attempt. C. No, each player may only throw once. D. Yes, each player may throw multiple times if the throw is invalid.")</f>
        <v>A. Yes, but only with the referee's permission. B. Yes, but only during the first attempt. C. No, each player may only throw once. D. Yes, each player may throw multiple times if the throw is invalid.</v>
      </c>
      <c r="D77" s="5" t="str">
        <f>IFERROR(__xludf.DUMMYFUNCTION(" GOOGLETRANSLATE(J77, ""de"", ""en"")"),"Yes, each player may throw multiple times if the throw is invalid.")</f>
        <v>Yes, each player may throw multiple times if the throw is invalid.</v>
      </c>
      <c r="E77" s="5" t="str">
        <f>IFERROR(__xludf.DUMMYFUNCTION(" GOOGLETRANSLATE(K77, ""de"", ""en"")"),"A player can throw a ring multiple times during a round if the throw is invalid.")</f>
        <v>A player can throw a ring multiple times during a round if the throw is invalid.</v>
      </c>
      <c r="G77" s="13" t="s">
        <v>715</v>
      </c>
      <c r="H77" s="13" t="s">
        <v>4582</v>
      </c>
      <c r="I77" s="13" t="s">
        <v>4583</v>
      </c>
      <c r="J77" s="13" t="s">
        <v>4584</v>
      </c>
      <c r="K77" s="13" t="s">
        <v>4585</v>
      </c>
    </row>
    <row r="78" ht="22.5" customHeight="1">
      <c r="A78" s="5" t="str">
        <f>IFERROR(__xludf.DUMMYFUNCTION(" GOOGLETRANSLATE(G78, ""de"", ""en"")"),"77")</f>
        <v>77</v>
      </c>
      <c r="B78" s="5" t="str">
        <f>IFERROR(__xludf.DUMMYFUNCTION(" GOOGLETRANSLATE(H78, ""de"", ""en"")"),"How are a player's results calculated after a round?")</f>
        <v>How are a player's results calculated after a round?</v>
      </c>
      <c r="C78" s="5" t="str">
        <f>IFERROR(__xludf.DUMMYFUNCTION(" GOOGLETRANSLATE(I78, ""de"", ""en"")"),"A. All valid rings are counted. B. Only rings that reach the target count. C. Only rings that touch the ground count. D. All thrown rings count as points.")</f>
        <v>A. All valid rings are counted. B. Only rings that reach the target count. C. Only rings that touch the ground count. D. All thrown rings count as points.</v>
      </c>
      <c r="D78" s="5" t="str">
        <f>IFERROR(__xludf.DUMMYFUNCTION(" GOOGLETRANSLATE(J78, ""de"", ""en"")"),"All valid rings will be counted.")</f>
        <v>All valid rings will be counted.</v>
      </c>
      <c r="E78" s="5" t="str">
        <f>IFERROR(__xludf.DUMMYFUNCTION(" GOOGLETRANSLATE(K78, ""de"", ""en"")"),"The recommendations are based on the number of valid rings that reach the target.")</f>
        <v>The recommendations are based on the number of valid rings that reach the target.</v>
      </c>
      <c r="G78" s="13" t="s">
        <v>716</v>
      </c>
      <c r="H78" s="13" t="s">
        <v>4586</v>
      </c>
      <c r="I78" s="13" t="s">
        <v>4587</v>
      </c>
      <c r="J78" s="13" t="s">
        <v>4588</v>
      </c>
      <c r="K78" s="13" t="s">
        <v>4589</v>
      </c>
    </row>
    <row r="79" ht="22.5" customHeight="1">
      <c r="A79" s="5" t="str">
        <f>IFERROR(__xludf.DUMMYFUNCTION(" GOOGLETRANSLATE(G79, ""de"", ""en"")"),"78")</f>
        <v>78</v>
      </c>
      <c r="B79" s="5" t="str">
        <f>IFERROR(__xludf.DUMMYFUNCTION(" GOOGLETRANSLATE(H79, ""de"", ""en"")"),"What happens if a player hits the target during their throw?")</f>
        <v>What happens if a player hits the target during their throw?</v>
      </c>
      <c r="C79" s="5" t="str">
        <f>IFERROR(__xludf.DUMMYFUNCTION(" GOOGLETRANSLATE(I79, ""de"", ""en"")"),"A. The throw is repeated. B. The player receives a penalty. C. The throw counts as valid. D. The player receives additional points.")</f>
        <v>A. The throw is repeated. B. The player receives a penalty. C. The throw counts as valid. D. The player receives additional points.</v>
      </c>
      <c r="D79" s="5" t="str">
        <f>IFERROR(__xludf.DUMMYFUNCTION(" GOOGLETRANSLATE(J79, ""de"", ""en"")"),"The throw counts as valid.")</f>
        <v>The throw counts as valid.</v>
      </c>
      <c r="E79" s="5" t="str">
        <f>IFERROR(__xludf.DUMMYFUNCTION(" GOOGLETRANSLATE(K79, ""de"", ""en"")"),"A throw that hits the target counts as valid.")</f>
        <v>A throw that hits the target counts as valid.</v>
      </c>
      <c r="G79" s="13" t="s">
        <v>717</v>
      </c>
      <c r="H79" s="13" t="s">
        <v>4590</v>
      </c>
      <c r="I79" s="13" t="s">
        <v>4591</v>
      </c>
      <c r="J79" s="13" t="s">
        <v>4592</v>
      </c>
      <c r="K79" s="13" t="s">
        <v>4593</v>
      </c>
    </row>
    <row r="80" ht="22.5" customHeight="1">
      <c r="A80" s="5" t="str">
        <f>IFERROR(__xludf.DUMMYFUNCTION(" GOOGLETRANSLATE(G80, ""de"", ""en"")"),"79")</f>
        <v>79</v>
      </c>
      <c r="B80" s="5" t="str">
        <f>IFERROR(__xludf.DUMMYFUNCTION(" GOOGLETRANSLATE(H80, ""de"", ""en"")"),"What happens if the ring misses the target?")</f>
        <v>What happens if the ring misses the target?</v>
      </c>
      <c r="C80" s="5" t="str">
        <f>IFERROR(__xludf.DUMMYFUNCTION(" GOOGLETRANSLATE(I80, ""de"", ""en"")"),"A. The ring is thrown again. B. The throw is ruled invalid. C. The throw counts as 0 points. D. The throw is ruled valid, but the player receives no points.")</f>
        <v>A. The ring is thrown again. B. The throw is ruled invalid. C. The throw counts as 0 points. D. The throw is ruled valid, but the player receives no points.</v>
      </c>
      <c r="D80" s="5" t="str">
        <f>IFERROR(__xludf.DUMMYFUNCTION(" GOOGLETRANSLATE(J80, ""de"", ""en"")"),"The throw counts as 0 points.")</f>
        <v>The throw counts as 0 points.</v>
      </c>
      <c r="E80" s="5" t="str">
        <f>IFERROR(__xludf.DUMMYFUNCTION(" GOOGLETRANSLATE(K80, ""de"", ""en"")"),"A throw that misses the target is considered invalid and scores 0 points.")</f>
        <v>A throw that misses the target is considered invalid and scores 0 points.</v>
      </c>
      <c r="G80" s="13" t="s">
        <v>718</v>
      </c>
      <c r="H80" s="13" t="s">
        <v>4594</v>
      </c>
      <c r="I80" s="13" t="s">
        <v>4595</v>
      </c>
      <c r="J80" s="13" t="s">
        <v>4596</v>
      </c>
      <c r="K80" s="13" t="s">
        <v>4597</v>
      </c>
    </row>
    <row r="81" ht="22.5" customHeight="1">
      <c r="A81" s="5" t="str">
        <f>IFERROR(__xludf.DUMMYFUNCTION(" GOOGLETRANSLATE(G81, ""de"", ""en"")"),"80")</f>
        <v>80</v>
      </c>
      <c r="B81" s="5" t="str">
        <f>IFERROR(__xludf.DUMMYFUNCTION(" GOOGLETRANSLATE(H81, ""de"", ""en"")"),"Is it permissible for the ring to bounce off another ring when thrown?")</f>
        <v>Is it permissible for the ring to bounce off another ring when thrown?</v>
      </c>
      <c r="C81" s="5" t="str">
        <f>IFERROR(__xludf.DUMMYFUNCTION(" GOOGLETRANSLATE(I81, ""de"", ""en"")"),"A. Yes, the throw is repeated. B. Yes, the throw counts if the ring reaches the target. C. No, the ring must go directly into the target. D. Yes, but only in the first round.")</f>
        <v>A. Yes, the throw is repeated. B. Yes, the throw counts if the ring reaches the target. C. No, the ring must go directly into the target. D. Yes, but only in the first round.</v>
      </c>
      <c r="D81" s="5" t="str">
        <f>IFERROR(__xludf.DUMMYFUNCTION(" GOOGLETRANSLATE(J81, ""de"", ""en"")"),"Yes, the throw counts if the ring reaches the target.")</f>
        <v>Yes, the throw counts if the ring reaches the target.</v>
      </c>
      <c r="E81" s="5" t="str">
        <f>IFERROR(__xludf.DUMMYFUNCTION(" GOOGLETRANSLATE(K81, ""de"", ""en"")"),"A ring that bounces off another ring counts if it reaches the target.")</f>
        <v>A ring that bounces off another ring counts if it reaches the target.</v>
      </c>
      <c r="G81" s="13" t="s">
        <v>719</v>
      </c>
      <c r="H81" s="13" t="s">
        <v>4598</v>
      </c>
      <c r="I81" s="13" t="s">
        <v>4599</v>
      </c>
      <c r="J81" s="13" t="s">
        <v>4600</v>
      </c>
      <c r="K81" s="13" t="s">
        <v>4601</v>
      </c>
    </row>
    <row r="82" ht="22.5" customHeight="1">
      <c r="A82" s="5" t="str">
        <f>IFERROR(__xludf.DUMMYFUNCTION(" GOOGLETRANSLATE(G82, ""de"", ""en"")"),"81")</f>
        <v>81</v>
      </c>
      <c r="B82" s="5" t="str">
        <f>IFERROR(__xludf.DUMMYFUNCTION(" GOOGLETRANSLATE(H82, ""de"", ""en"")"),"What happens if a player throws the ring without momentum?")</f>
        <v>What happens if a player throws the ring without momentum?</v>
      </c>
      <c r="C82" s="5" t="str">
        <f>IFERROR(__xludf.DUMMYFUNCTION(" GOOGLETRANSLATE(I82, ""de"", ""en"")"),"A. The throw is invalid. B. The throw counts as valid. C. The ring always lands in the target. D. The player is disqualified.")</f>
        <v>A. The throw is invalid. B. The throw counts as valid. C. The ring always lands in the target. D. The player is disqualified.</v>
      </c>
      <c r="D82" s="5" t="str">
        <f>IFERROR(__xludf.DUMMYFUNCTION(" GOOGLETRANSLATE(J82, ""de"", ""en"")"),"The throw is invalid.")</f>
        <v>The throw is invalid.</v>
      </c>
      <c r="E82" s="5" t="str">
        <f>IFERROR(__xludf.DUMMYFUNCTION(" GOOGLETRANSLATE(K82, ""de"", ""en"")"),"A throw without momentum is considered invalid because the ring does not have the correct speed.")</f>
        <v>A throw without momentum is considered invalid because the ring does not have the correct speed.</v>
      </c>
      <c r="G82" s="13" t="s">
        <v>720</v>
      </c>
      <c r="H82" s="13" t="s">
        <v>4602</v>
      </c>
      <c r="I82" s="13" t="s">
        <v>4603</v>
      </c>
      <c r="J82" s="13" t="s">
        <v>4604</v>
      </c>
      <c r="K82" s="13" t="s">
        <v>4605</v>
      </c>
    </row>
    <row r="83" ht="22.5" customHeight="1">
      <c r="A83" s="5" t="str">
        <f>IFERROR(__xludf.DUMMYFUNCTION(" GOOGLETRANSLATE(G83, ""de"", ""en"")"),"82")</f>
        <v>82</v>
      </c>
      <c r="B83" s="5" t="str">
        <f>IFERROR(__xludf.DUMMYFUNCTION(" GOOGLETRANSLATE(H83, ""de"", ""en"")"),"How many players can participate in a Quoits game simultaneously?")</f>
        <v>How many players can participate in a Quoits game simultaneously?</v>
      </c>
      <c r="C83" s="5" t="str">
        <f>IFERROR(__xludf.DUMMYFUNCTION(" GOOGLETRANSLATE(I83, ""de"", ""en"")"),"A. Only 2 players. B. Up to 4 players can participate. C. Up to 6 players can participate. D. There is no set number of participants.")</f>
        <v>A. Only 2 players. B. Up to 4 players can participate. C. Up to 6 players can participate. D. There is no set number of participants.</v>
      </c>
      <c r="D83" s="5" t="str">
        <f>IFERROR(__xludf.DUMMYFUNCTION(" GOOGLETRANSLATE(J83, ""de"", ""en"")"),"Up to 4 players can participate.")</f>
        <v>Up to 4 players can participate.</v>
      </c>
      <c r="E83" s="5" t="str">
        <f>IFERROR(__xludf.DUMMYFUNCTION(" GOOGLETRANSLATE(K83, ""de"", ""en"")"),"Up to 4 players can participate in a Quoits game simultaneously.")</f>
        <v>Up to 4 players can participate in a Quoits game simultaneously.</v>
      </c>
      <c r="G83" s="13" t="s">
        <v>721</v>
      </c>
      <c r="H83" s="13" t="s">
        <v>4606</v>
      </c>
      <c r="I83" s="13" t="s">
        <v>4607</v>
      </c>
      <c r="J83" s="13" t="s">
        <v>4608</v>
      </c>
      <c r="K83" s="13" t="s">
        <v>4609</v>
      </c>
    </row>
    <row r="84" ht="22.5" customHeight="1">
      <c r="A84" s="5" t="str">
        <f>IFERROR(__xludf.DUMMYFUNCTION(" GOOGLETRANSLATE(G84, ""de"", ""en"")"),"83")</f>
        <v>83</v>
      </c>
      <c r="B84" s="5" t="str">
        <f>IFERROR(__xludf.DUMMYFUNCTION(" GOOGLETRANSLATE(H84, ""de"", ""en"")"),"What shape must the ring have in the game Quoits?")</f>
        <v>What shape must the ring have in the game Quoits?</v>
      </c>
      <c r="C84" s="5" t="str">
        <f>IFERROR(__xludf.DUMMYFUNCTION(" GOOGLETRANSLATE(I84, ""de"", ""en"")"),"A. It must be square. B. It must be rectangular. C. It must be round. D. It must be oval.")</f>
        <v>A. It must be square. B. It must be rectangular. C. It must be round. D. It must be oval.</v>
      </c>
      <c r="D84" s="5" t="str">
        <f>IFERROR(__xludf.DUMMYFUNCTION(" GOOGLETRANSLATE(J84, ""de"", ""en"")"),"It must be round")</f>
        <v>It must be round</v>
      </c>
      <c r="E84" s="5" t="str">
        <f>IFERROR(__xludf.DUMMYFUNCTION(" GOOGLETRANSLATE(K84, ""de"", ""en"")"),"The ring must be round to be valid in the game.")</f>
        <v>The ring must be round to be valid in the game.</v>
      </c>
      <c r="G84" s="13" t="s">
        <v>722</v>
      </c>
      <c r="H84" s="13" t="s">
        <v>4610</v>
      </c>
      <c r="I84" s="13" t="s">
        <v>4611</v>
      </c>
      <c r="J84" s="13" t="s">
        <v>4612</v>
      </c>
      <c r="K84" s="13" t="s">
        <v>4613</v>
      </c>
    </row>
    <row r="85" ht="22.5" customHeight="1">
      <c r="A85" s="5" t="str">
        <f>IFERROR(__xludf.DUMMYFUNCTION(" GOOGLETRANSLATE(G85, ""de"", ""en"")"),"84")</f>
        <v>84</v>
      </c>
      <c r="B85" s="5" t="str">
        <f>IFERROR(__xludf.DUMMYFUNCTION(" GOOGLETRANSLATE(H85, ""de"", ""en"")"),"Is it permissible for the ring to be affected by the wind during the throw?")</f>
        <v>Is it permissible for the ring to be affected by the wind during the throw?</v>
      </c>
      <c r="C85" s="5" t="str">
        <f>IFERROR(__xludf.DUMMYFUNCTION(" GOOGLETRANSLATE(I85, ""de"", ""en"")"),"A. Yes, it is allowed. B. No, the wind must not affect the ring. C. Yes, but only in the first 3 minutes. D. It depends on the weather.")</f>
        <v>A. Yes, it is allowed. B. No, the wind must not affect the ring. C. Yes, but only in the first 3 minutes. D. It depends on the weather.</v>
      </c>
      <c r="D85" s="5" t="str">
        <f>IFERROR(__xludf.DUMMYFUNCTION(" GOOGLETRANSLATE(J85, ""de"", ""en"")"),"No, the wind must not affect the ring.")</f>
        <v>No, the wind must not affect the ring.</v>
      </c>
      <c r="E85" s="5" t="str">
        <f>IFERROR(__xludf.DUMMYFUNCTION(" GOOGLETRANSLATE(K85, ""de"", ""en"")"),"The wind must not affect the ring; otherwise, the throw will be invalid.")</f>
        <v>The wind must not affect the ring; otherwise, the throw will be invalid.</v>
      </c>
      <c r="G85" s="13" t="s">
        <v>723</v>
      </c>
      <c r="H85" s="13" t="s">
        <v>4614</v>
      </c>
      <c r="I85" s="13" t="s">
        <v>4615</v>
      </c>
      <c r="J85" s="13" t="s">
        <v>4616</v>
      </c>
      <c r="K85" s="13" t="s">
        <v>4617</v>
      </c>
    </row>
    <row r="86" ht="22.5" customHeight="1">
      <c r="A86" s="5" t="str">
        <f>IFERROR(__xludf.DUMMYFUNCTION(" GOOGLETRANSLATE(G86, ""de"", ""en"")"),"85")</f>
        <v>85</v>
      </c>
      <c r="B86" s="5" t="str">
        <f>IFERROR(__xludf.DUMMYFUNCTION(" GOOGLETRANSLATE(H86, ""de"", ""en"")"),"When is a quotits throw considered valid?")</f>
        <v>When is a quotits throw considered valid?</v>
      </c>
      <c r="C86" s="5" t="str">
        <f>IFERROR(__xludf.DUMMYFUNCTION(" GOOGLETRANSLATE(I86, ""de"", ""en"")"),"A. If the ring reaches the target and stays there. B. If the ring reaches the target and bounces back. C. If the ring touches the ground but misses the target. D. If the ring lands near the target.")</f>
        <v>A. If the ring reaches the target and stays there. B. If the ring reaches the target and bounces back. C. If the ring touches the ground but misses the target. D. If the ring lands near the target.</v>
      </c>
      <c r="D86" s="5" t="str">
        <f>IFERROR(__xludf.DUMMYFUNCTION(" GOOGLETRANSLATE(J86, ""de"", ""en"")"),"If the ring reaches the finish line and stays there")</f>
        <v>If the ring reaches the finish line and stays there</v>
      </c>
      <c r="E86" s="5" t="str">
        <f>IFERROR(__xludf.DUMMYFUNCTION(" GOOGLETRANSLATE(K86, ""de"", ""en"")"),"A throw is considered valid if the ring reaches the target and stays there.")</f>
        <v>A throw is considered valid if the ring reaches the target and stays there.</v>
      </c>
      <c r="G86" s="13" t="s">
        <v>724</v>
      </c>
      <c r="H86" s="13" t="s">
        <v>4618</v>
      </c>
      <c r="I86" s="13" t="s">
        <v>4619</v>
      </c>
      <c r="J86" s="13" t="s">
        <v>4620</v>
      </c>
      <c r="K86" s="13" t="s">
        <v>4621</v>
      </c>
    </row>
    <row r="87" ht="22.5" customHeight="1">
      <c r="A87" s="5" t="str">
        <f>IFERROR(__xludf.DUMMYFUNCTION(" GOOGLETRANSLATE(G87, ""de"", ""en"")"),"86")</f>
        <v>86</v>
      </c>
      <c r="B87" s="5" t="str">
        <f>IFERROR(__xludf.DUMMYFUNCTION(" GOOGLETRANSLATE(H87, ""de"", ""en"")"),"How many points are awarded for a shot that hits the center of the target?")</f>
        <v>How many points are awarded for a shot that hits the center of the target?</v>
      </c>
      <c r="C87" s="5" t="str">
        <f>IFERROR(__xludf.DUMMYFUNCTION(" GOOGLETRANSLATE(I87, ""de"", ""en"")"),"A. 0 points B. 1 point C. 3 points D. 5 points")</f>
        <v>A. 0 points B. 1 point C. 3 points D. 5 points</v>
      </c>
      <c r="D87" s="5" t="str">
        <f>IFERROR(__xludf.DUMMYFUNCTION(" GOOGLETRANSLATE(J87, ""de"", ""en"")"),"5 points")</f>
        <v>5 points</v>
      </c>
      <c r="E87" s="5" t="str">
        <f>IFERROR(__xludf.DUMMYFUNCTION(" GOOGLETRANSLATE(K87, ""de"", ""en"")"),"A shot in the center of the target is worth 5 points.")</f>
        <v>A shot in the center of the target is worth 5 points.</v>
      </c>
      <c r="G87" s="13" t="s">
        <v>725</v>
      </c>
      <c r="H87" s="13" t="s">
        <v>4622</v>
      </c>
      <c r="I87" s="13" t="s">
        <v>4623</v>
      </c>
      <c r="J87" s="13" t="s">
        <v>4624</v>
      </c>
      <c r="K87" s="13" t="s">
        <v>4625</v>
      </c>
    </row>
    <row r="88" ht="22.5" customHeight="1">
      <c r="A88" s="5" t="str">
        <f>IFERROR(__xludf.DUMMYFUNCTION(" GOOGLETRANSLATE(G88, ""de"", ""en"")"),"87")</f>
        <v>87</v>
      </c>
      <c r="B88" s="5" t="str">
        <f>IFERROR(__xludf.DUMMYFUNCTION(" GOOGLETRANSLATE(H88, ""de"", ""en"")"),"What happens if a player drops the ring during the throw?")</f>
        <v>What happens if a player drops the ring during the throw?</v>
      </c>
      <c r="C88" s="5" t="str">
        <f>IFERROR(__xludf.DUMMYFUNCTION(" GOOGLETRANSLATE(I88, ""de"", ""en"")"),"A. The throw is ruled invalid. B. The throw is repeated. C. The player must pay a penalty. D. The ring is reset.")</f>
        <v>A. The throw is ruled invalid. B. The throw is repeated. C. The player must pay a penalty. D. The ring is reset.</v>
      </c>
      <c r="D88" s="5" t="str">
        <f>IFERROR(__xludf.DUMMYFUNCTION(" GOOGLETRANSLATE(J88, ""de"", ""en"")"),"The throw is deemed invalid.")</f>
        <v>The throw is deemed invalid.</v>
      </c>
      <c r="E88" s="5" t="str">
        <f>IFERROR(__xludf.DUMMYFUNCTION(" GOOGLETRANSLATE(K88, ""de"", ""en"")"),"If the ring is dropped during the throw, the throw is invalid.")</f>
        <v>If the ring is dropped during the throw, the throw is invalid.</v>
      </c>
      <c r="G88" s="13" t="s">
        <v>726</v>
      </c>
      <c r="H88" s="13" t="s">
        <v>4626</v>
      </c>
      <c r="I88" s="13" t="s">
        <v>4627</v>
      </c>
      <c r="J88" s="13" t="s">
        <v>4531</v>
      </c>
      <c r="K88" s="13" t="s">
        <v>4628</v>
      </c>
    </row>
    <row r="89" ht="22.5" customHeight="1">
      <c r="A89" s="5" t="str">
        <f>IFERROR(__xludf.DUMMYFUNCTION(" GOOGLETRANSLATE(G89, ""de"", ""en"")"),"88")</f>
        <v>88</v>
      </c>
      <c r="B89" s="5" t="str">
        <f>IFERROR(__xludf.DUMMYFUNCTION(" GOOGLETRANSLATE(H89, ""de"", ""en"")"),"What is the minimum number of rounds that must be played to win the game?")</f>
        <v>What is the minimum number of rounds that must be played to win the game?</v>
      </c>
      <c r="C89" s="5" t="str">
        <f>IFERROR(__xludf.DUMMYFUNCTION(" GOOGLETRANSLATE(I89, ""de"", ""en"")"),"A. 1st round B. 3 rounds C. 5 rounds D. 7 rounds")</f>
        <v>A. 1st round B. 3 rounds C. 5 rounds D. 7 rounds</v>
      </c>
      <c r="D89" s="5" t="str">
        <f>IFERROR(__xludf.DUMMYFUNCTION(" GOOGLETRANSLATE(J89, ""de"", ""en"")"),"5 rounds")</f>
        <v>5 rounds</v>
      </c>
      <c r="E89" s="5" t="str">
        <f>IFERROR(__xludf.DUMMYFUNCTION(" GOOGLETRANSLATE(K89, ""de"", ""en"")"),"To win the Quoits game, at least 5 rounds must be played.")</f>
        <v>To win the Quoits game, at least 5 rounds must be played.</v>
      </c>
      <c r="G89" s="13" t="s">
        <v>727</v>
      </c>
      <c r="H89" s="13" t="s">
        <v>4629</v>
      </c>
      <c r="I89" s="13" t="s">
        <v>4544</v>
      </c>
      <c r="J89" s="13" t="s">
        <v>4630</v>
      </c>
      <c r="K89" s="13" t="s">
        <v>4631</v>
      </c>
    </row>
    <row r="90" ht="22.5" customHeight="1">
      <c r="A90" s="5" t="str">
        <f>IFERROR(__xludf.DUMMYFUNCTION(" GOOGLETRANSLATE(G90, ""de"", ""en"")"),"89")</f>
        <v>89</v>
      </c>
      <c r="B90" s="5" t="str">
        <f>IFERROR(__xludf.DUMMYFUNCTION(" GOOGLETRANSLATE(H90, ""de"", ""en"")"),"How many rings can a player throw in one round?")</f>
        <v>How many rings can a player throw in one round?</v>
      </c>
      <c r="C90" s="5" t="str">
        <f>IFERROR(__xludf.DUMMYFUNCTION(" GOOGLETRANSLATE(I90, ""de"", ""en"")"),"A. 1 ring B. 2 rings C. 3 rings D. There is no limit")</f>
        <v>A. 1 ring B. 2 rings C. 3 rings D. There is no limit</v>
      </c>
      <c r="D90" s="5" t="str">
        <f>IFERROR(__xludf.DUMMYFUNCTION(" GOOGLETRANSLATE(J90, ""de"", ""en"")"),"3 rings")</f>
        <v>3 rings</v>
      </c>
      <c r="E90" s="5" t="str">
        <f>IFERROR(__xludf.DUMMYFUNCTION(" GOOGLETRANSLATE(K90, ""de"", ""en"")"),"A player may throw 3 rings in one round.")</f>
        <v>A player may throw 3 rings in one round.</v>
      </c>
      <c r="G90" s="13" t="s">
        <v>728</v>
      </c>
      <c r="H90" s="13" t="s">
        <v>4632</v>
      </c>
      <c r="I90" s="13" t="s">
        <v>4633</v>
      </c>
      <c r="J90" s="13" t="s">
        <v>4634</v>
      </c>
      <c r="K90" s="13" t="s">
        <v>4635</v>
      </c>
    </row>
    <row r="91" ht="22.5" customHeight="1">
      <c r="A91" s="5" t="str">
        <f>IFERROR(__xludf.DUMMYFUNCTION(" GOOGLETRANSLATE(G91, ""de"", ""en"")"),"90")</f>
        <v>90</v>
      </c>
      <c r="B91" s="5" t="str">
        <f>IFERROR(__xludf.DUMMYFUNCTION(" GOOGLETRANSLATE(H91, ""de"", ""en"")"),"What happens when the ring touches the edge of the target?")</f>
        <v>What happens when the ring touches the edge of the target?</v>
      </c>
      <c r="C91" s="5" t="str">
        <f>IFERROR(__xludf.DUMMYFUNCTION(" GOOGLETRANSLATE(I91, ""de"", ""en"")"),"A. The throw is ruled valid. B. The ring counts as 1 point. C. The throw is repeated. D. A penalty is imposed.")</f>
        <v>A. The throw is ruled valid. B. The ring counts as 1 point. C. The throw is repeated. D. A penalty is imposed.</v>
      </c>
      <c r="D91" s="5" t="str">
        <f>IFERROR(__xludf.DUMMYFUNCTION(" GOOGLETRANSLATE(J91, ""de"", ""en"")"),"The throw is considered valid.")</f>
        <v>The throw is considered valid.</v>
      </c>
      <c r="E91" s="5" t="str">
        <f>IFERROR(__xludf.DUMMYFUNCTION(" GOOGLETRANSLATE(K91, ""de"", ""en"")"),"A ring that touches the edge of the target is considered valid.")</f>
        <v>A ring that touches the edge of the target is considered valid.</v>
      </c>
      <c r="G91" s="13" t="s">
        <v>729</v>
      </c>
      <c r="H91" s="13" t="s">
        <v>4636</v>
      </c>
      <c r="I91" s="13" t="s">
        <v>4637</v>
      </c>
      <c r="J91" s="13" t="s">
        <v>4479</v>
      </c>
      <c r="K91" s="13" t="s">
        <v>4638</v>
      </c>
    </row>
    <row r="92" ht="22.5" customHeight="1">
      <c r="A92" s="5" t="str">
        <f>IFERROR(__xludf.DUMMYFUNCTION(" GOOGLETRANSLATE(G92, ""de"", ""en"")"),"91")</f>
        <v>91</v>
      </c>
      <c r="B92" s="5" t="str">
        <f>IFERROR(__xludf.DUMMYFUNCTION(" GOOGLETRANSLATE(H92, ""de"", ""en"")"),"Is the player allowed to rotate the ring in their hand before throwing it?")</f>
        <v>Is the player allowed to rotate the ring in their hand before throwing it?</v>
      </c>
      <c r="C92" s="5" t="str">
        <f>IFERROR(__xludf.DUMMYFUNCTION(" GOOGLETRANSLATE(I92, ""de"", ""en"")"),"A. Yes, it is allowed. B. No, the ring may not be spun in the hand. C. Yes, but only for 5 seconds. D. Yes, but only if the referee agrees.")</f>
        <v>A. Yes, it is allowed. B. No, the ring may not be spun in the hand. C. Yes, but only for 5 seconds. D. Yes, but only if the referee agrees.</v>
      </c>
      <c r="D92" s="5" t="str">
        <f>IFERROR(__xludf.DUMMYFUNCTION(" GOOGLETRANSLATE(J92, ""de"", ""en"")"),"Yes, it is allowed.")</f>
        <v>Yes, it is allowed.</v>
      </c>
      <c r="E92" s="5" t="str">
        <f>IFERROR(__xludf.DUMMYFUNCTION(" GOOGLETRANSLATE(K92, ""de"", ""en"")"),"It is permitted to rotate the ring in the hand before throwing it.")</f>
        <v>It is permitted to rotate the ring in the hand before throwing it.</v>
      </c>
      <c r="G92" s="13" t="s">
        <v>730</v>
      </c>
      <c r="H92" s="13" t="s">
        <v>4639</v>
      </c>
      <c r="I92" s="13" t="s">
        <v>4640</v>
      </c>
      <c r="J92" s="13" t="s">
        <v>4641</v>
      </c>
      <c r="K92" s="13" t="s">
        <v>4642</v>
      </c>
    </row>
    <row r="93" ht="22.5" customHeight="1">
      <c r="A93" s="5" t="str">
        <f>IFERROR(__xludf.DUMMYFUNCTION(" GOOGLETRANSLATE(G93, ""de"", ""en"")"),"92")</f>
        <v>92</v>
      </c>
      <c r="B93" s="5" t="str">
        <f>IFERROR(__xludf.DUMMYFUNCTION(" GOOGLETRANSLATE(H93, ""de"", ""en"")"),"What happens if the ring flies over the target?")</f>
        <v>What happens if the ring flies over the target?</v>
      </c>
      <c r="C93" s="5" t="str">
        <f>IFERROR(__xludf.DUMMYFUNCTION(" GOOGLETRANSLATE(I93, ""de"", ""en"")"),"A. The throw is repeated. B. The ring is removed. C. There are no points. D. The throw is ruled invalid.")</f>
        <v>A. The throw is repeated. B. The ring is removed. C. There are no points. D. The throw is ruled invalid.</v>
      </c>
      <c r="D93" s="5" t="str">
        <f>IFERROR(__xludf.DUMMYFUNCTION(" GOOGLETRANSLATE(J93, ""de"", ""en"")"),"The throw is deemed invalid.")</f>
        <v>The throw is deemed invalid.</v>
      </c>
      <c r="E93" s="5" t="str">
        <f>IFERROR(__xludf.DUMMYFUNCTION(" GOOGLETRANSLATE(K93, ""de"", ""en"")"),"If the ring flies beyond the target, the throw is considered invalid.")</f>
        <v>If the ring flies beyond the target, the throw is considered invalid.</v>
      </c>
      <c r="G93" s="13" t="s">
        <v>731</v>
      </c>
      <c r="H93" s="13" t="s">
        <v>4643</v>
      </c>
      <c r="I93" s="13" t="s">
        <v>4644</v>
      </c>
      <c r="J93" s="13" t="s">
        <v>4531</v>
      </c>
      <c r="K93" s="13" t="s">
        <v>4645</v>
      </c>
    </row>
    <row r="94" ht="22.5" customHeight="1">
      <c r="A94" s="5" t="str">
        <f>IFERROR(__xludf.DUMMYFUNCTION(" GOOGLETRANSLATE(G94, ""de"", ""en"")"),"93")</f>
        <v>93</v>
      </c>
      <c r="B94" s="5" t="str">
        <f>IFERROR(__xludf.DUMMYFUNCTION(" GOOGLETRANSLATE(H94, ""de"", ""en"")"),"How is the distance to the target measured?")</f>
        <v>How is the distance to the target measured?</v>
      </c>
      <c r="C94" s="5" t="str">
        <f>IFERROR(__xludf.DUMMYFUNCTION(" GOOGLETRANSLATE(I94, ""de"", ""en"")"),"A. With a tape measure. B. With a ruler. C. By the referee's eye. D. No distance measurement is taken.")</f>
        <v>A. With a tape measure. B. With a ruler. C. By the referee's eye. D. No distance measurement is taken.</v>
      </c>
      <c r="D94" s="5" t="str">
        <f>IFERROR(__xludf.DUMMYFUNCTION(" GOOGLETRANSLATE(J94, ""de"", ""en"")"),"Using a measuring tape")</f>
        <v>Using a measuring tape</v>
      </c>
      <c r="E94" s="5" t="str">
        <f>IFERROR(__xludf.DUMMYFUNCTION(" GOOGLETRANSLATE(K94, ""de"", ""en"")"),"The distance to the target is measured with a tape measure.")</f>
        <v>The distance to the target is measured with a tape measure.</v>
      </c>
      <c r="G94" s="13" t="s">
        <v>732</v>
      </c>
      <c r="H94" s="13" t="s">
        <v>4646</v>
      </c>
      <c r="I94" s="13" t="s">
        <v>4647</v>
      </c>
      <c r="J94" s="13" t="s">
        <v>2699</v>
      </c>
      <c r="K94" s="13" t="s">
        <v>4648</v>
      </c>
    </row>
    <row r="95" ht="22.5" customHeight="1">
      <c r="A95" s="5" t="str">
        <f>IFERROR(__xludf.DUMMYFUNCTION(" GOOGLETRANSLATE(G95, ""de"", ""en"")"),"94")</f>
        <v>94</v>
      </c>
      <c r="B95" s="5" t="str">
        <f>IFERROR(__xludf.DUMMYFUNCTION(" GOOGLETRANSLATE(H95, ""de"", ""en"")"),"What happens if the ring doesn't reach its destination?")</f>
        <v>What happens if the ring doesn't reach its destination?</v>
      </c>
      <c r="C95" s="5" t="str">
        <f>IFERROR(__xludf.DUMMYFUNCTION(" GOOGLETRANSLATE(I95, ""de"", ""en"")"),"A. The throw is invalid. B. The ring counts as 1 point. C. The throw is valid. D. The throw is repeated.")</f>
        <v>A. The throw is invalid. B. The ring counts as 1 point. C. The throw is valid. D. The throw is repeated.</v>
      </c>
      <c r="D95" s="5" t="str">
        <f>IFERROR(__xludf.DUMMYFUNCTION(" GOOGLETRANSLATE(J95, ""de"", ""en"")"),"The throw is considered invalid.")</f>
        <v>The throw is considered invalid.</v>
      </c>
      <c r="E95" s="5" t="str">
        <f>IFERROR(__xludf.DUMMYFUNCTION(" GOOGLETRANSLATE(K95, ""de"", ""en"")"),"A throw that does not reach the target is considered invalid.")</f>
        <v>A throw that does not reach the target is considered invalid.</v>
      </c>
      <c r="G95" s="13" t="s">
        <v>733</v>
      </c>
      <c r="H95" s="13" t="s">
        <v>4649</v>
      </c>
      <c r="I95" s="13" t="s">
        <v>4650</v>
      </c>
      <c r="J95" s="13" t="s">
        <v>4651</v>
      </c>
      <c r="K95" s="13" t="s">
        <v>4652</v>
      </c>
    </row>
    <row r="96" ht="22.5" customHeight="1">
      <c r="A96" s="5" t="str">
        <f>IFERROR(__xludf.DUMMYFUNCTION(" GOOGLETRANSLATE(G96, ""de"", ""en"")"),"95")</f>
        <v>95</v>
      </c>
      <c r="B96" s="5" t="str">
        <f>IFERROR(__xludf.DUMMYFUNCTION(" GOOGLETRANSLATE(H96, ""de"", ""en"")"),"What happens if a player jumps out of line during the throw?")</f>
        <v>What happens if a player jumps out of line during the throw?</v>
      </c>
      <c r="C96" s="5" t="str">
        <f>IFERROR(__xludf.DUMMYFUNCTION(" GOOGLETRANSLATE(I96, ""de"", ""en"")"),"A. The throw is ruled invalid. B. The player receives a penalty. C. The throw is repeated. D. There is no penalty.")</f>
        <v>A. The throw is ruled invalid. B. The player receives a penalty. C. The throw is repeated. D. There is no penalty.</v>
      </c>
      <c r="D96" s="5" t="str">
        <f>IFERROR(__xludf.DUMMYFUNCTION(" GOOGLETRANSLATE(J96, ""de"", ""en"")"),"The throw is deemed invalid.")</f>
        <v>The throw is deemed invalid.</v>
      </c>
      <c r="E96" s="5" t="str">
        <f>IFERROR(__xludf.DUMMYFUNCTION(" GOOGLETRANSLATE(K96, ""de"", ""en"")"),"A player may not step out of line; the throw will be invalid.")</f>
        <v>A player may not step out of line; the throw will be invalid.</v>
      </c>
      <c r="G96" s="13" t="s">
        <v>734</v>
      </c>
      <c r="H96" s="13" t="s">
        <v>4653</v>
      </c>
      <c r="I96" s="13" t="s">
        <v>4654</v>
      </c>
      <c r="J96" s="13" t="s">
        <v>4531</v>
      </c>
      <c r="K96" s="13" t="s">
        <v>4655</v>
      </c>
    </row>
    <row r="97" ht="22.5" customHeight="1">
      <c r="A97" s="5" t="str">
        <f>IFERROR(__xludf.DUMMYFUNCTION(" GOOGLETRANSLATE(G97, ""de"", ""en"")"),"96")</f>
        <v>96</v>
      </c>
      <c r="B97" s="5" t="str">
        <f>IFERROR(__xludf.DUMMYFUNCTION(" GOOGLETRANSLATE(H97, ""de"", ""en"")"),"What happens if the ring touches the ground after being thrown?")</f>
        <v>What happens if the ring touches the ground after being thrown?</v>
      </c>
      <c r="C97" s="5" t="str">
        <f>IFERROR(__xludf.DUMMYFUNCTION(" GOOGLETRANSLATE(I97, ""de"", ""en"")"),"A. The throw is considered valid if the target is reached. B. The throw is considered invalid. C. There is no consequence. D. The ring is reset.")</f>
        <v>A. The throw is considered valid if the target is reached. B. The throw is considered invalid. C. There is no consequence. D. The ring is reset.</v>
      </c>
      <c r="D97" s="5" t="str">
        <f>IFERROR(__xludf.DUMMYFUNCTION(" GOOGLETRANSLATE(J97, ""de"", ""en"")"),"The throw is considered valid if the target is reached.")</f>
        <v>The throw is considered valid if the target is reached.</v>
      </c>
      <c r="E97" s="5" t="str">
        <f>IFERROR(__xludf.DUMMYFUNCTION(" GOOGLETRANSLATE(K97, ""de"", ""en"")"),"A ring that touches the ground is considered valid if it reaches the target.")</f>
        <v>A ring that touches the ground is considered valid if it reaches the target.</v>
      </c>
      <c r="G97" s="13" t="s">
        <v>735</v>
      </c>
      <c r="H97" s="13" t="s">
        <v>4656</v>
      </c>
      <c r="I97" s="13" t="s">
        <v>4657</v>
      </c>
      <c r="J97" s="13" t="s">
        <v>4658</v>
      </c>
      <c r="K97" s="13" t="s">
        <v>4577</v>
      </c>
    </row>
    <row r="98" ht="22.5" customHeight="1">
      <c r="A98" s="5" t="str">
        <f>IFERROR(__xludf.DUMMYFUNCTION(" GOOGLETRANSLATE(G98, ""de"", ""en"")"),"97")</f>
        <v>97</v>
      </c>
      <c r="B98" s="5" t="str">
        <f>IFERROR(__xludf.DUMMYFUNCTION(" GOOGLETRANSLATE(H98, ""de"", ""en"")"),"Is a player allowed to throw the ring at the last moment?")</f>
        <v>Is a player allowed to throw the ring at the last moment?</v>
      </c>
      <c r="C98" s="5" t="str">
        <f>IFERROR(__xludf.DUMMYFUNCTION(" GOOGLETRANSLATE(I98, ""de"", ""en"")"),"A. Yes, there is no restriction. B. No, the ring must be thrown in time. C. Yes, but the player must ask the referee. D. No, the player will be disqualified.")</f>
        <v>A. Yes, there is no restriction. B. No, the ring must be thrown in time. C. Yes, but the player must ask the referee. D. No, the player will be disqualified.</v>
      </c>
      <c r="D98" s="5" t="str">
        <f>IFERROR(__xludf.DUMMYFUNCTION(" GOOGLETRANSLATE(J98, ""de"", ""en"")"),"Yes, there is no restriction.")</f>
        <v>Yes, there is no restriction.</v>
      </c>
      <c r="E98" s="5" t="str">
        <f>IFERROR(__xludf.DUMMYFUNCTION(" GOOGLETRANSLATE(K98, ""de"", ""en"")"),"A player may throw the ring at any time during the game, as long as they act in a timely manner.")</f>
        <v>A player may throw the ring at any time during the game, as long as they act in a timely manner.</v>
      </c>
      <c r="G98" s="13" t="s">
        <v>736</v>
      </c>
      <c r="H98" s="13" t="s">
        <v>4659</v>
      </c>
      <c r="I98" s="13" t="s">
        <v>4660</v>
      </c>
      <c r="J98" s="13" t="s">
        <v>4661</v>
      </c>
      <c r="K98" s="13" t="s">
        <v>4662</v>
      </c>
    </row>
    <row r="99" ht="22.5" customHeight="1">
      <c r="A99" s="5" t="str">
        <f>IFERROR(__xludf.DUMMYFUNCTION(" GOOGLETRANSLATE(G99, ""de"", ""en"")"),"98")</f>
        <v>98</v>
      </c>
      <c r="B99" s="5" t="str">
        <f>IFERROR(__xludf.DUMMYFUNCTION(" GOOGLETRANSLATE(H99, ""de"", ""en"")"),"What happens if the ring is deflected by another player during the throw?")</f>
        <v>What happens if the ring is deflected by another player during the throw?</v>
      </c>
      <c r="C99" s="5" t="str">
        <f>IFERROR(__xludf.DUMMYFUNCTION(" GOOGLETRANSLATE(I99, ""de"", ""en"")"),"A. The throw is ruled invalid. B. The throw is repeated. C. A penalty is imposed. D. The throw counts if the target is reached.")</f>
        <v>A. The throw is ruled invalid. B. The throw is repeated. C. A penalty is imposed. D. The throw counts if the target is reached.</v>
      </c>
      <c r="D99" s="5" t="str">
        <f>IFERROR(__xludf.DUMMYFUNCTION(" GOOGLETRANSLATE(J99, ""de"", ""en"")"),"The throw is deemed invalid.")</f>
        <v>The throw is deemed invalid.</v>
      </c>
      <c r="E99" s="5" t="str">
        <f>IFERROR(__xludf.DUMMYFUNCTION(" GOOGLETRANSLATE(K99, ""de"", ""en"")"),"A deflected throw will be considered invalid.")</f>
        <v>A deflected throw will be considered invalid.</v>
      </c>
      <c r="G99" s="13" t="s">
        <v>737</v>
      </c>
      <c r="H99" s="13" t="s">
        <v>4663</v>
      </c>
      <c r="I99" s="13" t="s">
        <v>4664</v>
      </c>
      <c r="J99" s="13" t="s">
        <v>4531</v>
      </c>
      <c r="K99" s="13" t="s">
        <v>4665</v>
      </c>
    </row>
    <row r="100" ht="22.5" customHeight="1">
      <c r="A100" s="5" t="str">
        <f>IFERROR(__xludf.DUMMYFUNCTION(" GOOGLETRANSLATE(G100, ""de"", ""en"")"),"99")</f>
        <v>99</v>
      </c>
      <c r="B100" s="5" t="str">
        <f>IFERROR(__xludf.DUMMYFUNCTION(" GOOGLETRANSLATE(H100, ""de"", ""en"")"),"Can a player change their ring during the game?")</f>
        <v>Can a player change their ring during the game?</v>
      </c>
      <c r="C100" s="5" t="str">
        <f>IFERROR(__xludf.DUMMYFUNCTION(" GOOGLETRANSLATE(I100, ""de"", ""en"")"),"A. Yes, it is allowed to change the ring. B. No, the ring must remain unchanged. C. Yes, but only if the ring is damaged. D. Yes, but only with the referee's approval.")</f>
        <v>A. Yes, it is allowed to change the ring. B. No, the ring must remain unchanged. C. Yes, but only if the ring is damaged. D. Yes, but only with the referee's approval.</v>
      </c>
      <c r="D100" s="5" t="str">
        <f>IFERROR(__xludf.DUMMYFUNCTION(" GOOGLETRANSLATE(J100, ""de"", ""en"")"),"No, the ring must remain unchanged.")</f>
        <v>No, the ring must remain unchanged.</v>
      </c>
      <c r="E100" s="5" t="str">
        <f>IFERROR(__xludf.DUMMYFUNCTION(" GOOGLETRANSLATE(K100, ""de"", ""en"")"),"A player may not change the ring during the game; it must remain unchanged.")</f>
        <v>A player may not change the ring during the game; it must remain unchanged.</v>
      </c>
      <c r="G100" s="13" t="s">
        <v>738</v>
      </c>
      <c r="H100" s="13" t="s">
        <v>4666</v>
      </c>
      <c r="I100" s="13" t="s">
        <v>4667</v>
      </c>
      <c r="J100" s="13" t="s">
        <v>4668</v>
      </c>
      <c r="K100" s="13" t="s">
        <v>4669</v>
      </c>
    </row>
    <row r="101" ht="22.5" customHeight="1">
      <c r="A101" s="5" t="str">
        <f>IFERROR(__xludf.DUMMYFUNCTION(" GOOGLETRANSLATE(G101, ""de"", ""en"")"),"100")</f>
        <v>100</v>
      </c>
      <c r="B101" s="5" t="str">
        <f>IFERROR(__xludf.DUMMYFUNCTION(" GOOGLETRANSLATE(H101, ""de"", ""en"")"),"What happens if a player throws the ring unsuccessfully?")</f>
        <v>What happens if a player throws the ring unsuccessfully?</v>
      </c>
      <c r="C101" s="5" t="str">
        <f>IFERROR(__xludf.DUMMYFUNCTION(" GOOGLETRANSLATE(I101, ""de"", ""en"")"),"A. The throw is repeated. B. No penalty is imposed. C. The throw counts as 0 points. D. The player loses 1 point.")</f>
        <v>A. The throw is repeated. B. No penalty is imposed. C. The throw counts as 0 points. D. The player loses 1 point.</v>
      </c>
      <c r="D101" s="5" t="str">
        <f>IFERROR(__xludf.DUMMYFUNCTION(" GOOGLETRANSLATE(J101, ""de"", ""en"")"),"The throw counts as 0 points.")</f>
        <v>The throw counts as 0 points.</v>
      </c>
      <c r="E101" s="5" t="str">
        <f>IFERROR(__xludf.DUMMYFUNCTION(" GOOGLETRANSLATE(K101, ""de"", ""en"")"),"A successful throw counts as 0 points.")</f>
        <v>A successful throw counts as 0 points.</v>
      </c>
      <c r="G101" s="13" t="s">
        <v>739</v>
      </c>
      <c r="H101" s="13" t="s">
        <v>4670</v>
      </c>
      <c r="I101" s="13" t="s">
        <v>4671</v>
      </c>
      <c r="J101" s="13" t="s">
        <v>4596</v>
      </c>
      <c r="K101" s="13" t="s">
        <v>4672</v>
      </c>
    </row>
    <row r="102" ht="22.5" customHeight="1">
      <c r="A102" s="5" t="str">
        <f>IFERROR(__xludf.DUMMYFUNCTION(" GOOGLETRANSLATE(G102, ""de"", ""en"")"),"101")</f>
        <v>101</v>
      </c>
      <c r="B102" s="5" t="str">
        <f>IFERROR(__xludf.DUMMYFUNCTION(" GOOGLETRANSLATE(H102, ""de"", ""en"")"),"What happens if the ring doesn't touch the target but lands within the target area?")</f>
        <v>What happens if the ring doesn't touch the target but lands within the target area?</v>
      </c>
      <c r="C102" s="5" t="str">
        <f>IFERROR(__xludf.DUMMYFUNCTION(" GOOGLETRANSLATE(I102, ""de"", ""en"")"),"A. The throw counts as valid. B. The throw is invalid. C. The throw counts as 1 point. D. The throw is scored as a draw.")</f>
        <v>A. The throw counts as valid. B. The throw is invalid. C. The throw counts as 1 point. D. The throw is scored as a draw.</v>
      </c>
      <c r="D102" s="5" t="str">
        <f>IFERROR(__xludf.DUMMYFUNCTION(" GOOGLETRANSLATE(J102, ""de"", ""en"")"),"The throw counts as 1 point.")</f>
        <v>The throw counts as 1 point.</v>
      </c>
      <c r="E102" s="5" t="str">
        <f>IFERROR(__xludf.DUMMYFUNCTION(" GOOGLETRANSLATE(K102, ""de"", ""en"")"),"A ring that does not touch the target but lands in the target area counts as 1 point.")</f>
        <v>A ring that does not touch the target but lands in the target area counts as 1 point.</v>
      </c>
      <c r="G102" s="13" t="s">
        <v>740</v>
      </c>
      <c r="H102" s="13" t="s">
        <v>4673</v>
      </c>
      <c r="I102" s="13" t="s">
        <v>4674</v>
      </c>
      <c r="J102" s="13" t="s">
        <v>4675</v>
      </c>
      <c r="K102" s="13" t="s">
        <v>4676</v>
      </c>
    </row>
    <row r="103" ht="22.5" customHeight="1">
      <c r="A103" s="5" t="str">
        <f>IFERROR(__xludf.DUMMYFUNCTION(" GOOGLETRANSLATE(G103, ""de"", ""en"")"),"102")</f>
        <v>102</v>
      </c>
      <c r="B103" s="5" t="str">
        <f>IFERROR(__xludf.DUMMYFUNCTION(" GOOGLETRANSLATE(H103, ""de"", ""en"")"),"Is a player allowed to catch the ring with their hand and throw it again?")</f>
        <v>Is a player allowed to catch the ring with their hand and throw it again?</v>
      </c>
      <c r="C103" s="5" t="str">
        <f>IFERROR(__xludf.DUMMYFUNCTION(" GOOGLETRANSLATE(I103, ""de"", ""en"")"),"A. Yes, it is allowed. B. No, it is not allowed. C. Yes, but only in case of a failure. D. Yes, but only after consulting the referee.")</f>
        <v>A. Yes, it is allowed. B. No, it is not allowed. C. Yes, but only in case of a failure. D. Yes, but only after consulting the referee.</v>
      </c>
      <c r="D103" s="5" t="str">
        <f>IFERROR(__xludf.DUMMYFUNCTION(" GOOGLETRANSLATE(J103, ""de"", ""en"")"),"No, it is not allowed.")</f>
        <v>No, it is not allowed.</v>
      </c>
      <c r="E103" s="5" t="str">
        <f>IFERROR(__xludf.DUMMYFUNCTION(" GOOGLETRANSLATE(K103, ""de"", ""en"")"),"A player may not catch the ring with their hand and throw it again.")</f>
        <v>A player may not catch the ring with their hand and throw it again.</v>
      </c>
      <c r="G103" s="13" t="s">
        <v>746</v>
      </c>
      <c r="H103" s="13" t="s">
        <v>4677</v>
      </c>
      <c r="I103" s="13" t="s">
        <v>4678</v>
      </c>
      <c r="J103" s="13" t="s">
        <v>4679</v>
      </c>
      <c r="K103" s="13" t="s">
        <v>4680</v>
      </c>
    </row>
    <row r="104" ht="22.5" customHeight="1">
      <c r="A104" s="5" t="str">
        <f>IFERROR(__xludf.DUMMYFUNCTION(" GOOGLETRANSLATE(G104, ""de"", ""en"")"),"103")</f>
        <v>103</v>
      </c>
      <c r="B104" s="5" t="str">
        <f>IFERROR(__xludf.DUMMYFUNCTION(" GOOGLETRANSLATE(H104, ""de"", ""en"")"),"What is the minimum number of rounds that must be played to win the Quoits game?")</f>
        <v>What is the minimum number of rounds that must be played to win the Quoits game?</v>
      </c>
      <c r="C104" s="5" t="str">
        <f>IFERROR(__xludf.DUMMYFUNCTION(" GOOGLETRANSLATE(I104, ""de"", ""en"")"),"A. 1st round B. 2 rounds C. 5 rounds D. 7 rounds")</f>
        <v>A. 1st round B. 2 rounds C. 5 rounds D. 7 rounds</v>
      </c>
      <c r="D104" s="5" t="str">
        <f>IFERROR(__xludf.DUMMYFUNCTION(" GOOGLETRANSLATE(J104, ""de"", ""en"")"),"5 rounds")</f>
        <v>5 rounds</v>
      </c>
      <c r="E104" s="5" t="str">
        <f>IFERROR(__xludf.DUMMYFUNCTION(" GOOGLETRANSLATE(K104, ""de"", ""en"")"),"At least 5 rounds must be played to win the Quoits game.")</f>
        <v>At least 5 rounds must be played to win the Quoits game.</v>
      </c>
      <c r="G104" s="13" t="s">
        <v>750</v>
      </c>
      <c r="H104" s="13" t="s">
        <v>4681</v>
      </c>
      <c r="I104" s="13" t="s">
        <v>4682</v>
      </c>
      <c r="J104" s="13" t="s">
        <v>4630</v>
      </c>
      <c r="K104" s="13" t="s">
        <v>4683</v>
      </c>
    </row>
    <row r="105" ht="22.5" customHeight="1">
      <c r="A105" s="5" t="str">
        <f>IFERROR(__xludf.DUMMYFUNCTION(" GOOGLETRANSLATE(G105, ""de"", ""en"")"),"104")</f>
        <v>104</v>
      </c>
      <c r="B105" s="5" t="str">
        <f>IFERROR(__xludf.DUMMYFUNCTION(" GOOGLETRANSLATE(H105, ""de"", ""en"")"),"Can a player deflect the ring away from another player during the game?")</f>
        <v>Can a player deflect the ring away from another player during the game?</v>
      </c>
      <c r="C105" s="5" t="str">
        <f>IFERROR(__xludf.DUMMYFUNCTION(" GOOGLETRANSLATE(I105, ""de"", ""en"")"),"A. Yes, it is allowed. B. No, it is not allowed. C. Yes, but only during the first throw. D. Yes, but only in case of a miss.")</f>
        <v>A. Yes, it is allowed. B. No, it is not allowed. C. Yes, but only during the first throw. D. Yes, but only in case of a miss.</v>
      </c>
      <c r="D105" s="5" t="str">
        <f>IFERROR(__xludf.DUMMYFUNCTION(" GOOGLETRANSLATE(J105, ""de"", ""en"")"),"No, it is not allowed.")</f>
        <v>No, it is not allowed.</v>
      </c>
      <c r="E105" s="5" t="str">
        <f>IFERROR(__xludf.DUMMYFUNCTION(" GOOGLETRANSLATE(K105, ""de"", ""en"")"),"A player may not deflect another player's ring.")</f>
        <v>A player may not deflect another player's ring.</v>
      </c>
      <c r="G105" s="13" t="s">
        <v>751</v>
      </c>
      <c r="H105" s="13" t="s">
        <v>4684</v>
      </c>
      <c r="I105" s="13" t="s">
        <v>4685</v>
      </c>
      <c r="J105" s="13" t="s">
        <v>4679</v>
      </c>
      <c r="K105" s="13" t="s">
        <v>4686</v>
      </c>
    </row>
    <row r="106" ht="22.5" customHeight="1">
      <c r="A106" s="5" t="str">
        <f>IFERROR(__xludf.DUMMYFUNCTION(" GOOGLETRANSLATE(G106, ""de"", ""en"")"),"105")</f>
        <v>105</v>
      </c>
      <c r="B106" s="5" t="str">
        <f>IFERROR(__xludf.DUMMYFUNCTION(" GOOGLETRANSLATE(H106, ""de"", ""en"")"),"How is the distance to the target measured if the ring lands in the target area?")</f>
        <v>How is the distance to the target measured if the ring lands in the target area?</v>
      </c>
      <c r="C106" s="5" t="str">
        <f>IFERROR(__xludf.DUMMYFUNCTION(" GOOGLETRANSLATE(I106, ""de"", ""en"")"),"A. With a tape measure B. With the referee's eye C. With a ruler D. With a laser measuring device")</f>
        <v>A. With a tape measure B. With the referee's eye C. With a ruler D. With a laser measuring device</v>
      </c>
      <c r="D106" s="5" t="str">
        <f>IFERROR(__xludf.DUMMYFUNCTION(" GOOGLETRANSLATE(J106, ""de"", ""en"")"),"Using a measuring tape")</f>
        <v>Using a measuring tape</v>
      </c>
      <c r="E106" s="5" t="str">
        <f>IFERROR(__xludf.DUMMYFUNCTION(" GOOGLETRANSLATE(K106, ""de"", ""en"")"),"The distance to the target is measured with a tape measure.")</f>
        <v>The distance to the target is measured with a tape measure.</v>
      </c>
      <c r="G106" s="13" t="s">
        <v>754</v>
      </c>
      <c r="H106" s="13" t="s">
        <v>4687</v>
      </c>
      <c r="I106" s="13" t="s">
        <v>4688</v>
      </c>
      <c r="J106" s="13" t="s">
        <v>2699</v>
      </c>
      <c r="K106" s="13" t="s">
        <v>4689</v>
      </c>
    </row>
    <row r="107" ht="22.5" customHeight="1">
      <c r="A107" s="5" t="str">
        <f>IFERROR(__xludf.DUMMYFUNCTION(" GOOGLETRANSLATE(G107, ""de"", ""en"")"),"106")</f>
        <v>106</v>
      </c>
      <c r="B107" s="5" t="str">
        <f>IFERROR(__xludf.DUMMYFUNCTION(" GOOGLETRANSLATE(H107, ""de"", ""en"")"),"When must a player's throw be made?")</f>
        <v>When must a player's throw be made?</v>
      </c>
      <c r="C107" s="5" t="str">
        <f>IFERROR(__xludf.DUMMYFUNCTION(" GOOGLETRANSLATE(I107, ""de"", ""en"")"),"A. Within 10 seconds B. Within 30 seconds C. Within 1 minute D. The throw must be made within 5 seconds")</f>
        <v>A. Within 10 seconds B. Within 30 seconds C. Within 1 minute D. The throw must be made within 5 seconds</v>
      </c>
      <c r="D107" s="5" t="str">
        <f>IFERROR(__xludf.DUMMYFUNCTION(" GOOGLETRANSLATE(J107, ""de"", ""en"")"),"Within 30 seconds")</f>
        <v>Within 30 seconds</v>
      </c>
      <c r="E107" s="5" t="str">
        <f>IFERROR(__xludf.DUMMYFUNCTION(" GOOGLETRANSLATE(K107, ""de"", ""en"")"),"The player has 30 seconds to make his throw.")</f>
        <v>The player has 30 seconds to make his throw.</v>
      </c>
      <c r="G107" s="13" t="s">
        <v>760</v>
      </c>
      <c r="H107" s="13" t="s">
        <v>4690</v>
      </c>
      <c r="I107" s="13" t="s">
        <v>4691</v>
      </c>
      <c r="J107" s="13" t="s">
        <v>4692</v>
      </c>
      <c r="K107" s="13" t="s">
        <v>4693</v>
      </c>
    </row>
    <row r="108" ht="22.5" customHeight="1">
      <c r="A108" s="5" t="str">
        <f>IFERROR(__xludf.DUMMYFUNCTION(" GOOGLETRANSLATE(G108, ""de"", ""en"")"),"107")</f>
        <v>107</v>
      </c>
      <c r="B108" s="5" t="str">
        <f>IFERROR(__xludf.DUMMYFUNCTION(" GOOGLETRANSLATE(H108, ""de"", ""en"")"),"Is a player allowed to leave the throwing zone during their throw?")</f>
        <v>Is a player allowed to leave the throwing zone during their throw?</v>
      </c>
      <c r="C108" s="5" t="str">
        <f>IFERROR(__xludf.DUMMYFUNCTION(" GOOGLETRANSLATE(I108, ""de"", ""en"")"),"A. Yes, it is allowed. B. No, the player must remain in the throwing zone. C. Yes, but only with the referee's approval. D. Yes, but the player must repeat the throw.")</f>
        <v>A. Yes, it is allowed. B. No, the player must remain in the throwing zone. C. Yes, but only with the referee's approval. D. Yes, but the player must repeat the throw.</v>
      </c>
      <c r="D108" s="5" t="str">
        <f>IFERROR(__xludf.DUMMYFUNCTION(" GOOGLETRANSLATE(J108, ""de"", ""en"")"),"No, the player must stay in the throwing zone.")</f>
        <v>No, the player must stay in the throwing zone.</v>
      </c>
      <c r="E108" s="5" t="str">
        <f>IFERROR(__xludf.DUMMYFUNCTION(" GOOGLETRANSLATE(K108, ""de"", ""en"")"),"The player must remain in the throwing zone during the throw.")</f>
        <v>The player must remain in the throwing zone during the throw.</v>
      </c>
      <c r="G108" s="13" t="s">
        <v>764</v>
      </c>
      <c r="H108" s="13" t="s">
        <v>4694</v>
      </c>
      <c r="I108" s="13" t="s">
        <v>4695</v>
      </c>
      <c r="J108" s="13" t="s">
        <v>4696</v>
      </c>
      <c r="K108" s="13" t="s">
        <v>4697</v>
      </c>
    </row>
    <row r="109" ht="22.5" customHeight="1">
      <c r="A109" s="5" t="str">
        <f>IFERROR(__xludf.DUMMYFUNCTION(" GOOGLETRANSLATE(G109, ""de"", ""en"")"),"108")</f>
        <v>108</v>
      </c>
      <c r="B109" s="5" t="str">
        <f>IFERROR(__xludf.DUMMYFUNCTION(" GOOGLETRANSLATE(H109, ""de"", ""en"")"),"What happens if the ring touches the target but doesn't quite land inside it?")</f>
        <v>What happens if the ring touches the target but doesn't quite land inside it?</v>
      </c>
      <c r="C109" s="5" t="str">
        <f>IFERROR(__xludf.DUMMYFUNCTION(" GOOGLETRANSLATE(I109, ""de"", ""en"")"),"A. The throw is ruled invalid. B. The throw counts as valid, but with fewer points. C. The throw is scored as 1 point. D. The throw is ruled valid.")</f>
        <v>A. The throw is ruled invalid. B. The throw counts as valid, but with fewer points. C. The throw is scored as 1 point. D. The throw is ruled valid.</v>
      </c>
      <c r="D109" s="5" t="str">
        <f>IFERROR(__xludf.DUMMYFUNCTION(" GOOGLETRANSLATE(J109, ""de"", ""en"")"),"The throw is considered valid.")</f>
        <v>The throw is considered valid.</v>
      </c>
      <c r="E109" s="5" t="str">
        <f>IFERROR(__xludf.DUMMYFUNCTION(" GOOGLETRANSLATE(K109, ""de"", ""en"")"),"If the ring touches the target but does not land completely, it is considered valid.")</f>
        <v>If the ring touches the target but does not land completely, it is considered valid.</v>
      </c>
      <c r="G109" s="13" t="s">
        <v>770</v>
      </c>
      <c r="H109" s="13" t="s">
        <v>4698</v>
      </c>
      <c r="I109" s="13" t="s">
        <v>4699</v>
      </c>
      <c r="J109" s="13" t="s">
        <v>4479</v>
      </c>
      <c r="K109" s="13" t="s">
        <v>4700</v>
      </c>
    </row>
    <row r="110" ht="22.5" customHeight="1">
      <c r="A110" s="5" t="str">
        <f>IFERROR(__xludf.DUMMYFUNCTION(" GOOGLETRANSLATE(G110, ""de"", ""en"")"),"109")</f>
        <v>109</v>
      </c>
      <c r="B110" s="5" t="str">
        <f>IFERROR(__xludf.DUMMYFUNCTION(" GOOGLETRANSLATE(H110, ""de"", ""en"")"),"Is a player allowed to land their ring at a different target location after throwing it?")</f>
        <v>Is a player allowed to land their ring at a different target location after throwing it?</v>
      </c>
      <c r="C110" s="5" t="str">
        <f>IFERROR(__xludf.DUMMYFUNCTION(" GOOGLETRANSLATE(I110, ""de"", ""en"")"),"A. Yes, it is allowed. B. No, the ring must reach the target. C. Yes, but only with the referee's permission. D. Yes, if the throw misses.")</f>
        <v>A. Yes, it is allowed. B. No, the ring must reach the target. C. Yes, but only with the referee's permission. D. Yes, if the throw misses.</v>
      </c>
      <c r="D110" s="5" t="str">
        <f>IFERROR(__xludf.DUMMYFUNCTION(" GOOGLETRANSLATE(J110, ""de"", ""en"")"),"No, the ring must reach the goal.")</f>
        <v>No, the ring must reach the goal.</v>
      </c>
      <c r="E110" s="5" t="str">
        <f>IFERROR(__xludf.DUMMYFUNCTION(" GOOGLETRANSLATE(K110, ""de"", ""en"")"),"A throw is invalid if the ring does not reach the target.")</f>
        <v>A throw is invalid if the ring does not reach the target.</v>
      </c>
      <c r="G110" s="13" t="s">
        <v>778</v>
      </c>
      <c r="H110" s="13" t="s">
        <v>4701</v>
      </c>
      <c r="I110" s="13" t="s">
        <v>4702</v>
      </c>
      <c r="J110" s="13" t="s">
        <v>4703</v>
      </c>
      <c r="K110" s="13" t="s">
        <v>4704</v>
      </c>
    </row>
    <row r="111" ht="22.5" customHeight="1">
      <c r="A111" s="5" t="str">
        <f>IFERROR(__xludf.DUMMYFUNCTION(" GOOGLETRANSLATE(G111, ""de"", ""en"")"),"110")</f>
        <v>110</v>
      </c>
      <c r="B111" s="5" t="str">
        <f>IFERROR(__xludf.DUMMYFUNCTION(" GOOGLETRANSLATE(H111, ""de"", ""en"")"),"Can a player's throw be re-evaluated if it is deflected by another player?")</f>
        <v>Can a player's throw be re-evaluated if it is deflected by another player?</v>
      </c>
      <c r="C111" s="5" t="str">
        <f>IFERROR(__xludf.DUMMYFUNCTION(" GOOGLETRANSLATE(I111, ""de"", ""en"")"),"A. Yes, the throw will be re-evaluated. B. No, the throw remains unchanged. C. Yes, but only if the referee agrees. D. The player must make another throw.")</f>
        <v>A. Yes, the throw will be re-evaluated. B. No, the throw remains unchanged. C. Yes, but only if the referee agrees. D. The player must make another throw.</v>
      </c>
      <c r="D111" s="5" t="str">
        <f>IFERROR(__xludf.DUMMYFUNCTION(" GOOGLETRANSLATE(J111, ""de"", ""en"")"),"No, the throw remains unchanged.")</f>
        <v>No, the throw remains unchanged.</v>
      </c>
      <c r="E111" s="5" t="str">
        <f>IFERROR(__xludf.DUMMYFUNCTION(" GOOGLETRANSLATE(K111, ""de"", ""en"")"),"If the throw is deflected by another player, the throw remains unchanged.")</f>
        <v>If the throw is deflected by another player, the throw remains unchanged.</v>
      </c>
      <c r="G111" s="13" t="s">
        <v>786</v>
      </c>
      <c r="H111" s="13" t="s">
        <v>4705</v>
      </c>
      <c r="I111" s="13" t="s">
        <v>4706</v>
      </c>
      <c r="J111" s="13" t="s">
        <v>4707</v>
      </c>
      <c r="K111" s="13" t="s">
        <v>4708</v>
      </c>
    </row>
    <row r="112" ht="22.5" customHeight="1">
      <c r="A112" s="5" t="str">
        <f>IFERROR(__xludf.DUMMYFUNCTION(" GOOGLETRANSLATE(G112, ""de"", ""en"")"),"111")</f>
        <v>111</v>
      </c>
      <c r="B112" s="5" t="str">
        <f>IFERROR(__xludf.DUMMYFUNCTION(" GOOGLETRANSLATE(H112, ""de"", ""en"")"),"How many points does a player receive if the ring lands on the outer edge of the target?")</f>
        <v>How many points does a player receive if the ring lands on the outer edge of the target?</v>
      </c>
      <c r="C112" s="5" t="str">
        <f>IFERROR(__xludf.DUMMYFUNCTION(" GOOGLETRANSLATE(I112, ""de"", ""en"")"),"A. 1 point B. 2 points C. 3 points D. 5 points")</f>
        <v>A. 1 point B. 2 points C. 3 points D. 5 points</v>
      </c>
      <c r="D112" s="5" t="str">
        <f>IFERROR(__xludf.DUMMYFUNCTION(" GOOGLETRANSLATE(J112, ""de"", ""en"")"),"2 points")</f>
        <v>2 points</v>
      </c>
      <c r="E112" s="5" t="str">
        <f>IFERROR(__xludf.DUMMYFUNCTION(" GOOGLETRANSLATE(K112, ""de"", ""en"")"),"A ring that lands on the outer edge of the target counts as 2 points.")</f>
        <v>A ring that lands on the outer edge of the target counts as 2 points.</v>
      </c>
      <c r="G112" s="13" t="s">
        <v>791</v>
      </c>
      <c r="H112" s="13" t="s">
        <v>4709</v>
      </c>
      <c r="I112" s="13" t="s">
        <v>4441</v>
      </c>
      <c r="J112" s="13" t="s">
        <v>4710</v>
      </c>
      <c r="K112" s="13" t="s">
        <v>4711</v>
      </c>
    </row>
    <row r="113" ht="22.5" customHeight="1">
      <c r="A113" s="5" t="str">
        <f>IFERROR(__xludf.DUMMYFUNCTION(" GOOGLETRANSLATE(G113, ""de"", ""en"")"),"112")</f>
        <v>112</v>
      </c>
      <c r="B113" s="5" t="str">
        <f>IFERROR(__xludf.DUMMYFUNCTION(" GOOGLETRANSLATE(H113, ""de"", ""en"")"),"What happens if the ring touches the ground before reaching the finish line?")</f>
        <v>What happens if the ring touches the ground before reaching the finish line?</v>
      </c>
      <c r="C113" s="5" t="str">
        <f>IFERROR(__xludf.DUMMYFUNCTION(" GOOGLETRANSLATE(I113, ""de"", ""en"")"),"A. The throw is ruled invalid. B. The throw counts as valid. C. The throw counts as 1 point. D. The throw is repeated.")</f>
        <v>A. The throw is ruled invalid. B. The throw counts as valid. C. The throw counts as 1 point. D. The throw is repeated.</v>
      </c>
      <c r="D113" s="5" t="str">
        <f>IFERROR(__xludf.DUMMYFUNCTION(" GOOGLETRANSLATE(J113, ""de"", ""en"")"),"The throw is deemed invalid.")</f>
        <v>The throw is deemed invalid.</v>
      </c>
      <c r="E113" s="5" t="str">
        <f>IFERROR(__xludf.DUMMYFUNCTION(" GOOGLETRANSLATE(K113, ""de"", ""en"")"),"If the ring touches the ground before reaching the target, the throw is considered invalid.")</f>
        <v>If the ring touches the ground before reaching the target, the throw is considered invalid.</v>
      </c>
      <c r="G113" s="13" t="s">
        <v>798</v>
      </c>
      <c r="H113" s="13" t="s">
        <v>4712</v>
      </c>
      <c r="I113" s="13" t="s">
        <v>4713</v>
      </c>
      <c r="J113" s="13" t="s">
        <v>4531</v>
      </c>
      <c r="K113" s="13" t="s">
        <v>4714</v>
      </c>
    </row>
    <row r="114" ht="22.5" customHeight="1">
      <c r="A114" s="5" t="str">
        <f>IFERROR(__xludf.DUMMYFUNCTION(" GOOGLETRANSLATE(G114, ""de"", ""en"")"),"113")</f>
        <v>113</v>
      </c>
      <c r="B114" s="5" t="str">
        <f>IFERROR(__xludf.DUMMYFUNCTION(" GOOGLETRANSLATE(H114, ""de"", ""en"")"),"How many rounds are required to end the game if no player reaches a certain score?")</f>
        <v>How many rounds are required to end the game if no player reaches a certain score?</v>
      </c>
      <c r="C114" s="5" t="str">
        <f>IFERROR(__xludf.DUMMYFUNCTION(" GOOGLETRANSLATE(I114, ""de"", ""en"")"),"A. 1 round B. 3 rounds C. 5 rounds D. There is no fixed number of rounds")</f>
        <v>A. 1 round B. 3 rounds C. 5 rounds D. There is no fixed number of rounds</v>
      </c>
      <c r="D114" s="5" t="str">
        <f>IFERROR(__xludf.DUMMYFUNCTION(" GOOGLETRANSLATE(J114, ""de"", ""en"")"),"5 rounds")</f>
        <v>5 rounds</v>
      </c>
      <c r="E114" s="5" t="str">
        <f>IFERROR(__xludf.DUMMYFUNCTION(" GOOGLETRANSLATE(K114, ""de"", ""en"")"),"The game ends after 5 rounds if no player has reached a predetermined score.")</f>
        <v>The game ends after 5 rounds if no player has reached a predetermined score.</v>
      </c>
      <c r="G114" s="13" t="s">
        <v>806</v>
      </c>
      <c r="H114" s="13" t="s">
        <v>4715</v>
      </c>
      <c r="I114" s="13" t="s">
        <v>4716</v>
      </c>
      <c r="J114" s="13" t="s">
        <v>4630</v>
      </c>
      <c r="K114" s="13" t="s">
        <v>4717</v>
      </c>
    </row>
    <row r="115" ht="22.5" customHeight="1">
      <c r="A115" s="5" t="str">
        <f>IFERROR(__xludf.DUMMYFUNCTION(" GOOGLETRANSLATE(G115, ""de"", ""en"")"),"114")</f>
        <v>114</v>
      </c>
      <c r="B115" s="5" t="str">
        <f>IFERROR(__xludf.DUMMYFUNCTION(" GOOGLETRANSLATE(H115, ""de"", ""en"")"),"What happens if a player throws the ring too early, before the referee gives the signal?")</f>
        <v>What happens if a player throws the ring too early, before the referee gives the signal?</v>
      </c>
      <c r="C115" s="5" t="str">
        <f>IFERROR(__xludf.DUMMYFUNCTION(" GOOGLETRANSLATE(I115, ""de"", ""en"")"),"A. The throw is ruled invalid. B. The player must pay a penalty. C. The throw is repeated. D. The player is disqualified.")</f>
        <v>A. The throw is ruled invalid. B. The player must pay a penalty. C. The throw is repeated. D. The player is disqualified.</v>
      </c>
      <c r="D115" s="5" t="str">
        <f>IFERROR(__xludf.DUMMYFUNCTION(" GOOGLETRANSLATE(J115, ""de"", ""en"")"),"The throw is deemed invalid.")</f>
        <v>The throw is deemed invalid.</v>
      </c>
      <c r="E115" s="5" t="str">
        <f>IFERROR(__xludf.DUMMYFUNCTION(" GOOGLETRANSLATE(K115, ""de"", ""en"")"),"A throw made too early will be considered invalid.")</f>
        <v>A throw made too early will be considered invalid.</v>
      </c>
      <c r="G115" s="13" t="s">
        <v>811</v>
      </c>
      <c r="H115" s="13" t="s">
        <v>4718</v>
      </c>
      <c r="I115" s="13" t="s">
        <v>4719</v>
      </c>
      <c r="J115" s="13" t="s">
        <v>4531</v>
      </c>
      <c r="K115" s="13" t="s">
        <v>4720</v>
      </c>
    </row>
    <row r="116" ht="22.5" customHeight="1">
      <c r="A116" s="5" t="str">
        <f>IFERROR(__xludf.DUMMYFUNCTION(" GOOGLETRANSLATE(G116, ""de"", ""en"")"),"115")</f>
        <v>115</v>
      </c>
      <c r="B116" s="5" t="str">
        <f>IFERROR(__xludf.DUMMYFUNCTION(" GOOGLETRANSLATE(H116, ""de"", ""en"")"),"How is it determined which player throws first?")</f>
        <v>How is it determined which player throws first?</v>
      </c>
      <c r="C116" s="5" t="str">
        <f>IFERROR(__xludf.DUMMYFUNCTION(" GOOGLETRANSLATE(I116, ""de"", ""en"")"),"A. The referee designates the first thrower. B. The players throw simultaneously. C. The player with the highest score wins first. D. The player who has scored the most points throws first.")</f>
        <v>A. The referee designates the first thrower. B. The players throw simultaneously. C. The player with the highest score wins first. D. The player who has scored the most points throws first.</v>
      </c>
      <c r="D116" s="5" t="str">
        <f>IFERROR(__xludf.DUMMYFUNCTION(" GOOGLETRANSLATE(J116, ""de"", ""en"")"),"The referee designated the first thrower")</f>
        <v>The referee designated the first thrower</v>
      </c>
      <c r="E116" s="5" t="str">
        <f>IFERROR(__xludf.DUMMYFUNCTION(" GOOGLETRANSLATE(K116, ""de"", ""en"")"),"The referee decides who throws first.")</f>
        <v>The referee decides who throws first.</v>
      </c>
      <c r="G116" s="13" t="s">
        <v>819</v>
      </c>
      <c r="H116" s="13" t="s">
        <v>4721</v>
      </c>
      <c r="I116" s="13" t="s">
        <v>4722</v>
      </c>
      <c r="J116" s="13" t="s">
        <v>4723</v>
      </c>
      <c r="K116" s="13" t="s">
        <v>4724</v>
      </c>
    </row>
    <row r="117" ht="22.5" customHeight="1">
      <c r="A117" s="5" t="str">
        <f>IFERROR(__xludf.DUMMYFUNCTION(" GOOGLETRANSLATE(G117, ""de"", ""en"")"),"116")</f>
        <v>116</v>
      </c>
      <c r="B117" s="5" t="str">
        <f>IFERROR(__xludf.DUMMYFUNCTION(" GOOGLETRANSLATE(H117, ""de"", ""en"")"),"How many rings can a player throw in one round?")</f>
        <v>How many rings can a player throw in one round?</v>
      </c>
      <c r="C117" s="5" t="str">
        <f>IFERROR(__xludf.DUMMYFUNCTION(" GOOGLETRANSLATE(I117, ""de"", ""en"")"),"A. Only 1 ring B. 2 rings C. 3 rings D. There is no limit")</f>
        <v>A. Only 1 ring B. 2 rings C. 3 rings D. There is no limit</v>
      </c>
      <c r="D117" s="5" t="str">
        <f>IFERROR(__xludf.DUMMYFUNCTION(" GOOGLETRANSLATE(J117, ""de"", ""en"")"),"3 rings")</f>
        <v>3 rings</v>
      </c>
      <c r="E117" s="5" t="str">
        <f>IFERROR(__xludf.DUMMYFUNCTION(" GOOGLETRANSLATE(K117, ""de"", ""en"")"),"A player may throw 3 rings in one round.")</f>
        <v>A player may throw 3 rings in one round.</v>
      </c>
      <c r="G117" s="13" t="s">
        <v>827</v>
      </c>
      <c r="H117" s="13" t="s">
        <v>4725</v>
      </c>
      <c r="I117" s="13" t="s">
        <v>4726</v>
      </c>
      <c r="J117" s="13" t="s">
        <v>4634</v>
      </c>
      <c r="K117" s="13" t="s">
        <v>4727</v>
      </c>
    </row>
    <row r="118" ht="22.5" customHeight="1">
      <c r="A118" s="5" t="str">
        <f>IFERROR(__xludf.DUMMYFUNCTION(" GOOGLETRANSLATE(G118, ""de"", ""en"")"),"117")</f>
        <v>117</v>
      </c>
      <c r="B118" s="5" t="str">
        <f>IFERROR(__xludf.DUMMYFUNCTION(" GOOGLETRANSLATE(H118, ""de"", ""en"")"),"What happens if the ring lands in a different playing field?")</f>
        <v>What happens if the ring lands in a different playing field?</v>
      </c>
      <c r="C118" s="5" t="str">
        <f>IFERROR(__xludf.DUMMYFUNCTION(" GOOGLETRANSLATE(I118, ""de"", ""en"")"),"A. The throw is ruled invalid. B. The throw counts as valid. C. The player receives no points. D. The player must repeat the throw.")</f>
        <v>A. The throw is ruled invalid. B. The throw counts as valid. C. The player receives no points. D. The player must repeat the throw.</v>
      </c>
      <c r="D118" s="5" t="str">
        <f>IFERROR(__xludf.DUMMYFUNCTION(" GOOGLETRANSLATE(J118, ""de"", ""en"")"),"The throw is deemed invalid.")</f>
        <v>The throw is deemed invalid.</v>
      </c>
      <c r="E118" s="5" t="str">
        <f>IFERROR(__xludf.DUMMYFUNCTION(" GOOGLETRANSLATE(K118, ""de"", ""en"")"),"A ring that lands in a different playing field is invalid.")</f>
        <v>A ring that lands in a different playing field is invalid.</v>
      </c>
      <c r="G118" s="13" t="s">
        <v>833</v>
      </c>
      <c r="H118" s="13" t="s">
        <v>4728</v>
      </c>
      <c r="I118" s="13" t="s">
        <v>4729</v>
      </c>
      <c r="J118" s="13" t="s">
        <v>4531</v>
      </c>
      <c r="K118" s="13" t="s">
        <v>4730</v>
      </c>
    </row>
    <row r="119" ht="22.5" customHeight="1">
      <c r="A119" s="5" t="str">
        <f>IFERROR(__xludf.DUMMYFUNCTION(" GOOGLETRANSLATE(G119, ""de"", ""en"")"),"118")</f>
        <v>118</v>
      </c>
      <c r="B119" s="5" t="str">
        <f>IFERROR(__xludf.DUMMYFUNCTION(" GOOGLETRANSLATE(H119, ""de"", ""en"")"),"What happens if the player throws the ring too late?")</f>
        <v>What happens if the player throws the ring too late?</v>
      </c>
      <c r="C119" s="5" t="str">
        <f>IFERROR(__xludf.DUMMYFUNCTION(" GOOGLETRANSLATE(I119, ""de"", ""en"")"),"A. The throw is ruled invalid. B. The player loses a round. C. The throw is repeated. D. The throw counts as 1 point.")</f>
        <v>A. The throw is ruled invalid. B. The player loses a round. C. The throw is repeated. D. The throw counts as 1 point.</v>
      </c>
      <c r="D119" s="5" t="str">
        <f>IFERROR(__xludf.DUMMYFUNCTION(" GOOGLETRANSLATE(J119, ""de"", ""en"")"),"The throw is deemed invalid.")</f>
        <v>The throw is deemed invalid.</v>
      </c>
      <c r="E119" s="5" t="str">
        <f>IFERROR(__xludf.DUMMYFUNCTION(" GOOGLETRANSLATE(K119, ""de"", ""en"")"),"A throw made too late will be considered invalid.")</f>
        <v>A throw made too late will be considered invalid.</v>
      </c>
      <c r="G119" s="13" t="s">
        <v>838</v>
      </c>
      <c r="H119" s="13" t="s">
        <v>4731</v>
      </c>
      <c r="I119" s="13" t="s">
        <v>4732</v>
      </c>
      <c r="J119" s="13" t="s">
        <v>4531</v>
      </c>
      <c r="K119" s="13" t="s">
        <v>4733</v>
      </c>
    </row>
    <row r="120" ht="22.5" customHeight="1">
      <c r="A120" s="5" t="str">
        <f>IFERROR(__xludf.DUMMYFUNCTION(" GOOGLETRANSLATE(G120, ""de"", ""en"")"),"119")</f>
        <v>119</v>
      </c>
      <c r="B120" s="5" t="str">
        <f>IFERROR(__xludf.DUMMYFUNCTION(" GOOGLETRANSLATE(H120, ""de"", ""en"")"),"Can the referee change a decision if he has made a mistake?")</f>
        <v>Can the referee change a decision if he has made a mistake?</v>
      </c>
      <c r="C120" s="5" t="str">
        <f>IFERROR(__xludf.DUMMYFUNCTION(" GOOGLETRANSLATE(I120, ""de"", ""en"")"),"A. Yes, the referee can change the decision. B. No, the referee's decision is final. C. Yes, but only after consulting with the players. D. Yes, but only during the first round.")</f>
        <v>A. Yes, the referee can change the decision. B. No, the referee's decision is final. C. Yes, but only after consulting with the players. D. Yes, but only during the first round.</v>
      </c>
      <c r="D120" s="5" t="str">
        <f>IFERROR(__xludf.DUMMYFUNCTION(" GOOGLETRANSLATE(J120, ""de"", ""en"")"),"Yes, the referee can change the decision.")</f>
        <v>Yes, the referee can change the decision.</v>
      </c>
      <c r="E120" s="5" t="str">
        <f>IFERROR(__xludf.DUMMYFUNCTION(" GOOGLETRANSLATE(K120, ""de"", ""en"")"),"The referee can change a decision if a mistake has been made.")</f>
        <v>The referee can change a decision if a mistake has been made.</v>
      </c>
      <c r="G120" s="13" t="s">
        <v>846</v>
      </c>
      <c r="H120" s="13" t="s">
        <v>4734</v>
      </c>
      <c r="I120" s="13" t="s">
        <v>4735</v>
      </c>
      <c r="J120" s="13" t="s">
        <v>4736</v>
      </c>
      <c r="K120" s="13" t="s">
        <v>4737</v>
      </c>
    </row>
    <row r="121" ht="22.5" customHeight="1">
      <c r="A121" s="5" t="str">
        <f>IFERROR(__xludf.DUMMYFUNCTION(" GOOGLETRANSLATE(G121, ""de"", ""en"")"),"120")</f>
        <v>120</v>
      </c>
      <c r="B121" s="5" t="str">
        <f>IFERROR(__xludf.DUMMYFUNCTION(" GOOGLETRANSLATE(H121, ""de"", ""en"")"),"How many points does a player receive if the ring lands in the inner target area?")</f>
        <v>How many points does a player receive if the ring lands in the inner target area?</v>
      </c>
      <c r="C121" s="5" t="str">
        <f>IFERROR(__xludf.DUMMYFUNCTION(" GOOGLETRANSLATE(I121, ""de"", ""en"")"),"A. 1 point B. 3 points C. 5 points D. 7 points")</f>
        <v>A. 1 point B. 3 points C. 5 points D. 7 points</v>
      </c>
      <c r="D121" s="5" t="str">
        <f>IFERROR(__xludf.DUMMYFUNCTION(" GOOGLETRANSLATE(J121, ""de"", ""en"")"),"5 points")</f>
        <v>5 points</v>
      </c>
      <c r="E121" s="5" t="str">
        <f>IFERROR(__xludf.DUMMYFUNCTION(" GOOGLETRANSLATE(K121, ""de"", ""en"")"),"A ring in the inner target area counts as 5 points.")</f>
        <v>A ring in the inner target area counts as 5 points.</v>
      </c>
      <c r="G121" s="13" t="s">
        <v>854</v>
      </c>
      <c r="H121" s="13" t="s">
        <v>4738</v>
      </c>
      <c r="I121" s="13" t="s">
        <v>4739</v>
      </c>
      <c r="J121" s="13" t="s">
        <v>4624</v>
      </c>
      <c r="K121" s="13" t="s">
        <v>4740</v>
      </c>
    </row>
    <row r="122" ht="22.5" customHeight="1">
      <c r="A122" s="5" t="str">
        <f>IFERROR(__xludf.DUMMYFUNCTION(" GOOGLETRANSLATE(G122, ""de"", ""en"")"),"121")</f>
        <v>121</v>
      </c>
      <c r="B122" s="5" t="str">
        <f>IFERROR(__xludf.DUMMYFUNCTION(" GOOGLETRANSLATE(H122, ""de"", ""en"")"),"How many points does a player receive if the ring hits the center of the target?")</f>
        <v>How many points does a player receive if the ring hits the center of the target?</v>
      </c>
      <c r="C122" s="5" t="str">
        <f>IFERROR(__xludf.DUMMYFUNCTION(" GOOGLETRANSLATE(I122, ""de"", ""en"")"),"A. 5 points B. 3 points C. 2 points D. 1 point")</f>
        <v>A. 5 points B. 3 points C. 2 points D. 1 point</v>
      </c>
      <c r="D122" s="5" t="str">
        <f>IFERROR(__xludf.DUMMYFUNCTION(" GOOGLETRANSLATE(J122, ""de"", ""en"")"),"5 points")</f>
        <v>5 points</v>
      </c>
      <c r="E122" s="5" t="str">
        <f>IFERROR(__xludf.DUMMYFUNCTION(" GOOGLETRANSLATE(K122, ""de"", ""en"")"),"A ring that hits the center of the target counts as 5 points.")</f>
        <v>A ring that hits the center of the target counts as 5 points.</v>
      </c>
      <c r="G122" s="13" t="s">
        <v>860</v>
      </c>
      <c r="H122" s="13" t="s">
        <v>4741</v>
      </c>
      <c r="I122" s="13" t="s">
        <v>4742</v>
      </c>
      <c r="J122" s="13" t="s">
        <v>4624</v>
      </c>
      <c r="K122" s="13" t="s">
        <v>4743</v>
      </c>
    </row>
    <row r="123" ht="22.5" customHeight="1">
      <c r="A123" s="5" t="str">
        <f>IFERROR(__xludf.DUMMYFUNCTION(" GOOGLETRANSLATE(G123, ""de"", ""en"")"),"122")</f>
        <v>122</v>
      </c>
      <c r="B123" s="5" t="str">
        <f>IFERROR(__xludf.DUMMYFUNCTION(" GOOGLETRANSLATE(H123, ""de"", ""en"")"),"What happens if a player's ring touches the ground before reaching the goal?")</f>
        <v>What happens if a player's ring touches the ground before reaching the goal?</v>
      </c>
      <c r="C123" s="5" t="str">
        <f>IFERROR(__xludf.DUMMYFUNCTION(" GOOGLETRANSLATE(I123, ""de"", ""en"")"),"A. The throw is ruled invalid. B. The throw is repeated. C. The throw counts as 1 point. D. The player receives 2 points.")</f>
        <v>A. The throw is ruled invalid. B. The throw is repeated. C. The throw counts as 1 point. D. The player receives 2 points.</v>
      </c>
      <c r="D123" s="5" t="str">
        <f>IFERROR(__xludf.DUMMYFUNCTION(" GOOGLETRANSLATE(J123, ""de"", ""en"")"),"The throw is deemed invalid.")</f>
        <v>The throw is deemed invalid.</v>
      </c>
      <c r="E123" s="5" t="str">
        <f>IFERROR(__xludf.DUMMYFUNCTION(" GOOGLETRANSLATE(K123, ""de"", ""en"")"),"A throw is invalid if the ring touches the ground before reaching the target.")</f>
        <v>A throw is invalid if the ring touches the ground before reaching the target.</v>
      </c>
      <c r="G123" s="13" t="s">
        <v>866</v>
      </c>
      <c r="H123" s="13" t="s">
        <v>4744</v>
      </c>
      <c r="I123" s="13" t="s">
        <v>4745</v>
      </c>
      <c r="J123" s="13" t="s">
        <v>4531</v>
      </c>
      <c r="K123" s="13" t="s">
        <v>4746</v>
      </c>
    </row>
    <row r="124" ht="22.5" customHeight="1">
      <c r="A124" s="5" t="str">
        <f>IFERROR(__xludf.DUMMYFUNCTION(" GOOGLETRANSLATE(G124, ""de"", ""en"")"),"123")</f>
        <v>123</v>
      </c>
      <c r="B124" s="5" t="str">
        <f>IFERROR(__xludf.DUMMYFUNCTION(" GOOGLETRANSLATE(H124, ""de"", ""en"")"),"Can a player touch the ring more than once during their throw?")</f>
        <v>Can a player touch the ring more than once during their throw?</v>
      </c>
      <c r="C124" s="5" t="str">
        <f>IFERROR(__xludf.DUMMYFUNCTION(" GOOGLETRANSLATE(I124, ""de"", ""en"")"),"A. Yes, it is allowed. B. No, it is not allowed. C. Yes, but only with the referee's approval. D. Yes, if the throw misses.")</f>
        <v>A. Yes, it is allowed. B. No, it is not allowed. C. Yes, but only with the referee's approval. D. Yes, if the throw misses.</v>
      </c>
      <c r="D124" s="5" t="str">
        <f>IFERROR(__xludf.DUMMYFUNCTION(" GOOGLETRANSLATE(J124, ""de"", ""en"")"),"No, it is not allowed.")</f>
        <v>No, it is not allowed.</v>
      </c>
      <c r="E124" s="5" t="str">
        <f>IFERROR(__xludf.DUMMYFUNCTION(" GOOGLETRANSLATE(K124, ""de"", ""en"")"),"A player may not touch the ring more than once during the throw.")</f>
        <v>A player may not touch the ring more than once during the throw.</v>
      </c>
      <c r="G124" s="13" t="s">
        <v>874</v>
      </c>
      <c r="H124" s="13" t="s">
        <v>4747</v>
      </c>
      <c r="I124" s="13" t="s">
        <v>4748</v>
      </c>
      <c r="J124" s="13" t="s">
        <v>4679</v>
      </c>
      <c r="K124" s="13" t="s">
        <v>4749</v>
      </c>
    </row>
    <row r="125" ht="22.5" customHeight="1">
      <c r="A125" s="5" t="str">
        <f>IFERROR(__xludf.DUMMYFUNCTION(" GOOGLETRANSLATE(G125, ""de"", ""en"")"),"124")</f>
        <v>124</v>
      </c>
      <c r="B125" s="5" t="str">
        <f>IFERROR(__xludf.DUMMYFUNCTION(" GOOGLETRANSLATE(H125, ""de"", ""en"")"),"How many rounds must a player win to win the Quoits game?")</f>
        <v>How many rounds must a player win to win the Quoits game?</v>
      </c>
      <c r="C125" s="5" t="str">
        <f>IFERROR(__xludf.DUMMYFUNCTION(" GOOGLETRANSLATE(I125, ""de"", ""en"")"),"A. 1st round B. 3 rounds C. 5 rounds D. 7 rounds")</f>
        <v>A. 1st round B. 3 rounds C. 5 rounds D. 7 rounds</v>
      </c>
      <c r="D125" s="5" t="str">
        <f>IFERROR(__xludf.DUMMYFUNCTION(" GOOGLETRANSLATE(J125, ""de"", ""en"")"),"3 rounds")</f>
        <v>3 rounds</v>
      </c>
      <c r="E125" s="5" t="str">
        <f>IFERROR(__xludf.DUMMYFUNCTION(" GOOGLETRANSLATE(K125, ""de"", ""en"")"),"A player must win at least 3 rounds to win the game.")</f>
        <v>A player must win at least 3 rounds to win the game.</v>
      </c>
      <c r="G125" s="13" t="s">
        <v>882</v>
      </c>
      <c r="H125" s="13" t="s">
        <v>4750</v>
      </c>
      <c r="I125" s="13" t="s">
        <v>4544</v>
      </c>
      <c r="J125" s="13" t="s">
        <v>4383</v>
      </c>
      <c r="K125" s="13" t="s">
        <v>4751</v>
      </c>
    </row>
    <row r="126" ht="22.5" customHeight="1">
      <c r="A126" s="5" t="str">
        <f>IFERROR(__xludf.DUMMYFUNCTION(" GOOGLETRANSLATE(G126, ""de"", ""en"")"),"125")</f>
        <v>125</v>
      </c>
      <c r="B126" s="5" t="str">
        <f>IFERROR(__xludf.DUMMYFUNCTION(" GOOGLETRANSLATE(H126, ""de"", ""en"")"),"Is a player allowed to deliberately deflect a ring during a game to disrupt their opponents?")</f>
        <v>Is a player allowed to deliberately deflect a ring during a game to disrupt their opponents?</v>
      </c>
      <c r="C126" s="5" t="str">
        <f>IFERROR(__xludf.DUMMYFUNCTION(" GOOGLETRANSLATE(I126, ""de"", ""en"")"),"A. Yes, it is allowed. B. No, it is not allowed. C. Yes, but only if the opponent has already thrown. D. Yes, but only after a warning from the referee.")</f>
        <v>A. Yes, it is allowed. B. No, it is not allowed. C. Yes, but only if the opponent has already thrown. D. Yes, but only after a warning from the referee.</v>
      </c>
      <c r="D126" s="5" t="str">
        <f>IFERROR(__xludf.DUMMYFUNCTION(" GOOGLETRANSLATE(J126, ""de"", ""en"")"),"No, it is not allowed.")</f>
        <v>No, it is not allowed.</v>
      </c>
      <c r="E126" s="5" t="str">
        <f>IFERROR(__xludf.DUMMYFUNCTION(" GOOGLETRANSLATE(K126, ""de"", ""en"")"),"Deliberately deflecting a ring is not allowed during the game.")</f>
        <v>Deliberately deflecting a ring is not allowed during the game.</v>
      </c>
      <c r="G126" s="13" t="s">
        <v>890</v>
      </c>
      <c r="H126" s="13" t="s">
        <v>4752</v>
      </c>
      <c r="I126" s="13" t="s">
        <v>4753</v>
      </c>
      <c r="J126" s="13" t="s">
        <v>4679</v>
      </c>
      <c r="K126" s="13" t="s">
        <v>4754</v>
      </c>
    </row>
    <row r="127" ht="22.5" customHeight="1">
      <c r="A127" s="5" t="str">
        <f>IFERROR(__xludf.DUMMYFUNCTION(" GOOGLETRANSLATE(G127, ""de"", ""en"")"),"126")</f>
        <v>126</v>
      </c>
      <c r="B127" s="5" t="str">
        <f>IFERROR(__xludf.DUMMYFUNCTION(" GOOGLETRANSLATE(H127, ""de"", ""en"")"),"What happens if a player throws the ring too early, before the referee gives the signal?")</f>
        <v>What happens if a player throws the ring too early, before the referee gives the signal?</v>
      </c>
      <c r="C127" s="5" t="str">
        <f>IFERROR(__xludf.DUMMYFUNCTION(" GOOGLETRANSLATE(I127, ""de"", ""en"")"),"A. The throw is ruled invalid. B. The player must pay a penalty. C. The throw is repeated. D. The player is disqualified.")</f>
        <v>A. The throw is ruled invalid. B. The player must pay a penalty. C. The throw is repeated. D. The player is disqualified.</v>
      </c>
      <c r="D127" s="5" t="str">
        <f>IFERROR(__xludf.DUMMYFUNCTION(" GOOGLETRANSLATE(J127, ""de"", ""en"")"),"The throw is deemed invalid.")</f>
        <v>The throw is deemed invalid.</v>
      </c>
      <c r="E127" s="5" t="str">
        <f>IFERROR(__xludf.DUMMYFUNCTION(" GOOGLETRANSLATE(K127, ""de"", ""en"")"),"A throw made too early will be considered invalid.")</f>
        <v>A throw made too early will be considered invalid.</v>
      </c>
      <c r="G127" s="13" t="s">
        <v>897</v>
      </c>
      <c r="H127" s="13" t="s">
        <v>4718</v>
      </c>
      <c r="I127" s="13" t="s">
        <v>4719</v>
      </c>
      <c r="J127" s="13" t="s">
        <v>4531</v>
      </c>
      <c r="K127" s="13" t="s">
        <v>4720</v>
      </c>
    </row>
    <row r="128" ht="22.5" customHeight="1">
      <c r="A128" s="5" t="str">
        <f>IFERROR(__xludf.DUMMYFUNCTION(" GOOGLETRANSLATE(G128, ""de"", ""en"")"),"127")</f>
        <v>127</v>
      </c>
      <c r="B128" s="5" t="str">
        <f>IFERROR(__xludf.DUMMYFUNCTION(" GOOGLETRANSLATE(H128, ""de"", ""en"")"),"How is the distance of the ring to the target measured if the ring is touching the target area?")</f>
        <v>How is the distance of the ring to the target measured if the ring is touching the target area?</v>
      </c>
      <c r="C128" s="5" t="str">
        <f>IFERROR(__xludf.DUMMYFUNCTION(" GOOGLETRANSLATE(I128, ""de"", ""en"")"),"A. With a tape measure B. With a ruler C. With the referee's eye D. With a laser measuring device")</f>
        <v>A. With a tape measure B. With a ruler C. With the referee's eye D. With a laser measuring device</v>
      </c>
      <c r="D128" s="5" t="str">
        <f>IFERROR(__xludf.DUMMYFUNCTION(" GOOGLETRANSLATE(J128, ""de"", ""en"")"),"Using a measuring tape")</f>
        <v>Using a measuring tape</v>
      </c>
      <c r="E128" s="5" t="str">
        <f>IFERROR(__xludf.DUMMYFUNCTION(" GOOGLETRANSLATE(K128, ""de"", ""en"")"),"The distance is measured with a tape measure.")</f>
        <v>The distance is measured with a tape measure.</v>
      </c>
      <c r="G128" s="13" t="s">
        <v>900</v>
      </c>
      <c r="H128" s="13" t="s">
        <v>4755</v>
      </c>
      <c r="I128" s="13" t="s">
        <v>4756</v>
      </c>
      <c r="J128" s="13" t="s">
        <v>2699</v>
      </c>
      <c r="K128" s="13" t="s">
        <v>4375</v>
      </c>
    </row>
    <row r="129" ht="22.5" customHeight="1">
      <c r="A129" s="5" t="str">
        <f>IFERROR(__xludf.DUMMYFUNCTION(" GOOGLETRANSLATE(G129, ""de"", ""en"")"),"128")</f>
        <v>128</v>
      </c>
      <c r="B129" s="5" t="str">
        <f>IFERROR(__xludf.DUMMYFUNCTION(" GOOGLETRANSLATE(H129, ""de"", ""en"")"),"Is the player allowed to rotate or move the ring in their hand during the throw?")</f>
        <v>Is the player allowed to rotate or move the ring in their hand during the throw?</v>
      </c>
      <c r="C129" s="5" t="str">
        <f>IFERROR(__xludf.DUMMYFUNCTION(" GOOGLETRANSLATE(I129, ""de"", ""en"")"),"A. Yes, it is allowed. B. No, it is not allowed. C. Yes, but only in case of a failure. D. Yes, if the ring reaches the target.")</f>
        <v>A. Yes, it is allowed. B. No, it is not allowed. C. Yes, but only in case of a failure. D. Yes, if the ring reaches the target.</v>
      </c>
      <c r="D129" s="5" t="str">
        <f>IFERROR(__xludf.DUMMYFUNCTION(" GOOGLETRANSLATE(J129, ""de"", ""en"")"),"No, it is not allowed.")</f>
        <v>No, it is not allowed.</v>
      </c>
      <c r="E129" s="5" t="str">
        <f>IFERROR(__xludf.DUMMYFUNCTION(" GOOGLETRANSLATE(K129, ""de"", ""en"")"),"A player may not rotate or move the ring during the throw.")</f>
        <v>A player may not rotate or move the ring during the throw.</v>
      </c>
      <c r="G129" s="13" t="s">
        <v>904</v>
      </c>
      <c r="H129" s="13" t="s">
        <v>4757</v>
      </c>
      <c r="I129" s="13" t="s">
        <v>4758</v>
      </c>
      <c r="J129" s="13" t="s">
        <v>4679</v>
      </c>
      <c r="K129" s="13" t="s">
        <v>4759</v>
      </c>
    </row>
    <row r="130" ht="22.5" customHeight="1">
      <c r="A130" s="5" t="str">
        <f>IFERROR(__xludf.DUMMYFUNCTION(" GOOGLETRANSLATE(G130, ""de"", ""en"")"),"129")</f>
        <v>129</v>
      </c>
      <c r="B130" s="5" t="str">
        <f>IFERROR(__xludf.DUMMYFUNCTION(" GOOGLETRANSLATE(H130, ""de"", ""en"")"),"What happens if a player accidentally drops the ring before throwing?")</f>
        <v>What happens if a player accidentally drops the ring before throwing?</v>
      </c>
      <c r="C130" s="5" t="str">
        <f>IFERROR(__xludf.DUMMYFUNCTION(" GOOGLETRANSLATE(I130, ""de"", ""en"")"),"A. The throw is ruled invalid. B. The player must repeat the throw. C. The player loses one point. D. The player gains one point.")</f>
        <v>A. The throw is ruled invalid. B. The player must repeat the throw. C. The player loses one point. D. The player gains one point.</v>
      </c>
      <c r="D130" s="5" t="str">
        <f>IFERROR(__xludf.DUMMYFUNCTION(" GOOGLETRANSLATE(J130, ""de"", ""en"")"),"The throw is deemed invalid.")</f>
        <v>The throw is deemed invalid.</v>
      </c>
      <c r="E130" s="5" t="str">
        <f>IFERROR(__xludf.DUMMYFUNCTION(" GOOGLETRANSLATE(K130, ""de"", ""en"")"),"A ring dropped before the throw will be considered invalid.")</f>
        <v>A ring dropped before the throw will be considered invalid.</v>
      </c>
      <c r="G130" s="13" t="s">
        <v>912</v>
      </c>
      <c r="H130" s="13" t="s">
        <v>4760</v>
      </c>
      <c r="I130" s="13" t="s">
        <v>4761</v>
      </c>
      <c r="J130" s="13" t="s">
        <v>4531</v>
      </c>
      <c r="K130" s="13" t="s">
        <v>4762</v>
      </c>
    </row>
    <row r="131" ht="22.5" customHeight="1">
      <c r="A131" s="5" t="str">
        <f>IFERROR(__xludf.DUMMYFUNCTION(" GOOGLETRANSLATE(G131, ""de"", ""en"")"),"130")</f>
        <v>130</v>
      </c>
      <c r="B131" s="5" t="str">
        <f>IFERROR(__xludf.DUMMYFUNCTION(" GOOGLETRANSLATE(H131, ""de"", ""en"")"),"Is a player allowed to throw their ring over another ring during the throw?")</f>
        <v>Is a player allowed to throw their ring over another ring during the throw?</v>
      </c>
      <c r="C131" s="5" t="str">
        <f>IFERROR(__xludf.DUMMYFUNCTION(" GOOGLETRANSLATE(I131, ""de"", ""en"")"),"A. Yes, it is allowed. B. No, it is not allowed. C. Yes, but only if it fails. D. Yes, but only with the referee's approval.")</f>
        <v>A. Yes, it is allowed. B. No, it is not allowed. C. Yes, but only if it fails. D. Yes, but only with the referee's approval.</v>
      </c>
      <c r="D131" s="5" t="str">
        <f>IFERROR(__xludf.DUMMYFUNCTION(" GOOGLETRANSLATE(J131, ""de"", ""en"")"),"Yes, it is allowed.")</f>
        <v>Yes, it is allowed.</v>
      </c>
      <c r="E131" s="5" t="str">
        <f>IFERROR(__xludf.DUMMYFUNCTION(" GOOGLETRANSLATE(K131, ""de"", ""en"")"),"A player may throw their ring over another ring as long as it reaches the target.")</f>
        <v>A player may throw their ring over another ring as long as it reaches the target.</v>
      </c>
      <c r="G131" s="13" t="s">
        <v>914</v>
      </c>
      <c r="H131" s="13" t="s">
        <v>4763</v>
      </c>
      <c r="I131" s="13" t="s">
        <v>4764</v>
      </c>
      <c r="J131" s="13" t="s">
        <v>4641</v>
      </c>
      <c r="K131" s="13" t="s">
        <v>4765</v>
      </c>
    </row>
    <row r="132" ht="22.5" customHeight="1">
      <c r="A132" s="5" t="str">
        <f>IFERROR(__xludf.DUMMYFUNCTION(" GOOGLETRANSLATE(G132, ""de"", ""en"")"),"131")</f>
        <v>131</v>
      </c>
      <c r="B132" s="5" t="str">
        <f>IFERROR(__xludf.DUMMYFUNCTION(" GOOGLETRANSLATE(H132, ""de"", ""en"")"),"What happens if the ring flies out of the playing field during the throw?")</f>
        <v>What happens if the ring flies out of the playing field during the throw?</v>
      </c>
      <c r="C132" s="5" t="str">
        <f>IFERROR(__xludf.DUMMYFUNCTION(" GOOGLETRANSLATE(I132, ""de"", ""en"")"),"A. The throw is ruled invalid. B. The player receives 1 point. C. The player must repeat the throw. D. The throw counts as 3 points.")</f>
        <v>A. The throw is ruled invalid. B. The player receives 1 point. C. The player must repeat the throw. D. The throw counts as 3 points.</v>
      </c>
      <c r="D132" s="5" t="str">
        <f>IFERROR(__xludf.DUMMYFUNCTION(" GOOGLETRANSLATE(J132, ""de"", ""en"")"),"The throw is deemed invalid.")</f>
        <v>The throw is deemed invalid.</v>
      </c>
      <c r="E132" s="5" t="str">
        <f>IFERROR(__xludf.DUMMYFUNCTION(" GOOGLETRANSLATE(K132, ""de"", ""en"")"),"A ring that flies out of the playing field is considered invalid.")</f>
        <v>A ring that flies out of the playing field is considered invalid.</v>
      </c>
      <c r="G132" s="13" t="s">
        <v>919</v>
      </c>
      <c r="H132" s="13" t="s">
        <v>4766</v>
      </c>
      <c r="I132" s="13" t="s">
        <v>4767</v>
      </c>
      <c r="J132" s="13" t="s">
        <v>4531</v>
      </c>
      <c r="K132" s="13" t="s">
        <v>4768</v>
      </c>
    </row>
    <row r="133" ht="22.5" customHeight="1">
      <c r="A133" s="5" t="str">
        <f>IFERROR(__xludf.DUMMYFUNCTION(" GOOGLETRANSLATE(G133, ""de"", ""en"")"),"132")</f>
        <v>132</v>
      </c>
      <c r="B133" s="5" t="str">
        <f>IFERROR(__xludf.DUMMYFUNCTION(" GOOGLETRANSLATE(H133, ""de"", ""en"")"),"How many throwing rings can each player use per round?")</f>
        <v>How many throwing rings can each player use per round?</v>
      </c>
      <c r="C133" s="5" t="str">
        <f>IFERROR(__xludf.DUMMYFUNCTION(" GOOGLETRANSLATE(I133, ""de"", ""en"")"),"A. 1 ring B. 2 rings C. 3 rings D. There is no limit")</f>
        <v>A. 1 ring B. 2 rings C. 3 rings D. There is no limit</v>
      </c>
      <c r="D133" s="5" t="str">
        <f>IFERROR(__xludf.DUMMYFUNCTION(" GOOGLETRANSLATE(J133, ""de"", ""en"")"),"3 rings")</f>
        <v>3 rings</v>
      </c>
      <c r="E133" s="5" t="str">
        <f>IFERROR(__xludf.DUMMYFUNCTION(" GOOGLETRANSLATE(K133, ""de"", ""en"")"),"A player may use 3 rings per round.")</f>
        <v>A player may use 3 rings per round.</v>
      </c>
      <c r="G133" s="13" t="s">
        <v>921</v>
      </c>
      <c r="H133" s="13" t="s">
        <v>4769</v>
      </c>
      <c r="I133" s="13" t="s">
        <v>4633</v>
      </c>
      <c r="J133" s="13" t="s">
        <v>4634</v>
      </c>
      <c r="K133" s="13" t="s">
        <v>4770</v>
      </c>
    </row>
    <row r="134" ht="22.5" customHeight="1">
      <c r="A134" s="5" t="str">
        <f>IFERROR(__xludf.DUMMYFUNCTION(" GOOGLETRANSLATE(G134, ""de"", ""en"")"),"133")</f>
        <v>133</v>
      </c>
      <c r="B134" s="5" t="str">
        <f>IFERROR(__xludf.DUMMYFUNCTION(" GOOGLETRANSLATE(H134, ""de"", ""en"")"),"Can a player leave the throwing zone during the throw?")</f>
        <v>Can a player leave the throwing zone during the throw?</v>
      </c>
      <c r="C134" s="5" t="str">
        <f>IFERROR(__xludf.DUMMYFUNCTION(" GOOGLETRANSLATE(I134, ""de"", ""en"")"),"A. Yes, it is allowed. B. No, the player must remain in the throwing zone. C. Yes, but only if the ring reaches the target. D. Yes, but the player must make another throw.")</f>
        <v>A. Yes, it is allowed. B. No, the player must remain in the throwing zone. C. Yes, but only if the ring reaches the target. D. Yes, but the player must make another throw.</v>
      </c>
      <c r="D134" s="5" t="str">
        <f>IFERROR(__xludf.DUMMYFUNCTION(" GOOGLETRANSLATE(J134, ""de"", ""en"")"),"No, the player must stay in the throwing zone.")</f>
        <v>No, the player must stay in the throwing zone.</v>
      </c>
      <c r="E134" s="5" t="str">
        <f>IFERROR(__xludf.DUMMYFUNCTION(" GOOGLETRANSLATE(K134, ""de"", ""en"")"),"A player must remain in the throwing zone during the throw.")</f>
        <v>A player must remain in the throwing zone during the throw.</v>
      </c>
      <c r="G134" s="13" t="s">
        <v>925</v>
      </c>
      <c r="H134" s="13" t="s">
        <v>4771</v>
      </c>
      <c r="I134" s="13" t="s">
        <v>4772</v>
      </c>
      <c r="J134" s="13" t="s">
        <v>4696</v>
      </c>
      <c r="K134" s="13" t="s">
        <v>4773</v>
      </c>
    </row>
    <row r="135" ht="22.5" customHeight="1">
      <c r="A135" s="5" t="str">
        <f>IFERROR(__xludf.DUMMYFUNCTION(" GOOGLETRANSLATE(G135, ""de"", ""en"")"),"134")</f>
        <v>134</v>
      </c>
      <c r="B135" s="5" t="str">
        <f>IFERROR(__xludf.DUMMYFUNCTION(" GOOGLETRANSLATE(H135, ""de"", ""en"")"),"What happens if a player throws a ring too hard?")</f>
        <v>What happens if a player throws a ring too hard?</v>
      </c>
      <c r="C135" s="5" t="str">
        <f>IFERROR(__xludf.DUMMYFUNCTION(" GOOGLETRANSLATE(I135, ""de"", ""en"")"),"A. The ring counts as B. The player receives 1 point C. The player receives 2 points D. The throw is repeated")</f>
        <v>A. The ring counts as B. The player receives 1 point C. The player receives 2 points D. The throw is repeated</v>
      </c>
      <c r="D135" s="5" t="str">
        <f>IFERROR(__xludf.DUMMYFUNCTION(" GOOGLETRANSLATE(J135, ""de"", ""en"")"),"The ring counts as")</f>
        <v>The ring counts as</v>
      </c>
      <c r="E135" s="5" t="str">
        <f>IFERROR(__xludf.DUMMYFUNCTION(" GOOGLETRANSLATE(K135, ""de"", ""en"")"),"A ring thrown too hard will be considered invalid.")</f>
        <v>A ring thrown too hard will be considered invalid.</v>
      </c>
      <c r="G135" s="13" t="s">
        <v>930</v>
      </c>
      <c r="H135" s="13" t="s">
        <v>4774</v>
      </c>
      <c r="I135" s="13" t="s">
        <v>4775</v>
      </c>
      <c r="J135" s="13" t="s">
        <v>4776</v>
      </c>
      <c r="K135" s="13" t="s">
        <v>4777</v>
      </c>
    </row>
    <row r="136" ht="22.5" customHeight="1">
      <c r="A136" s="5" t="str">
        <f>IFERROR(__xludf.DUMMYFUNCTION(" GOOGLETRANSLATE(G136, ""de"", ""en"")"),"135")</f>
        <v>135</v>
      </c>
      <c r="B136" s="5" t="str">
        <f>IFERROR(__xludf.DUMMYFUNCTION(" GOOGLETRANSLATE(H136, ""de"", ""en"")"),"Is a player allowed to throw the ring with both hands?")</f>
        <v>Is a player allowed to throw the ring with both hands?</v>
      </c>
      <c r="C136" s="5" t="str">
        <f>IFERROR(__xludf.DUMMYFUNCTION(" GOOGLETRANSLATE(I136, ""de"", ""en"")"),"A. Yes, it is allowed. B. No, it is not allowed. C. Yes, but only if it fails. D. Yes, but only if the ring reaches the target.")</f>
        <v>A. Yes, it is allowed. B. No, it is not allowed. C. Yes, but only if it fails. D. Yes, but only if the ring reaches the target.</v>
      </c>
      <c r="D136" s="5" t="str">
        <f>IFERROR(__xludf.DUMMYFUNCTION(" GOOGLETRANSLATE(J136, ""de"", ""en"")"),"No, it is not allowed.")</f>
        <v>No, it is not allowed.</v>
      </c>
      <c r="E136" s="5" t="str">
        <f>IFERROR(__xludf.DUMMYFUNCTION(" GOOGLETRANSLATE(K136, ""de"", ""en"")"),"A player may only throw the ring with one hand.")</f>
        <v>A player may only throw the ring with one hand.</v>
      </c>
      <c r="G136" s="13" t="s">
        <v>934</v>
      </c>
      <c r="H136" s="13" t="s">
        <v>4443</v>
      </c>
      <c r="I136" s="13" t="s">
        <v>4778</v>
      </c>
      <c r="J136" s="13" t="s">
        <v>4679</v>
      </c>
      <c r="K136" s="13" t="s">
        <v>4779</v>
      </c>
    </row>
    <row r="137" ht="22.5" customHeight="1">
      <c r="A137" s="5" t="str">
        <f>IFERROR(__xludf.DUMMYFUNCTION(" GOOGLETRANSLATE(G137, ""de"", ""en"")"),"136")</f>
        <v>136</v>
      </c>
      <c r="B137" s="5" t="str">
        <f>IFERROR(__xludf.DUMMYFUNCTION(" GOOGLETRANSLATE(H137, ""de"", ""en"")"),"What happens if the ring touches the target but doesn't land completely inside it?")</f>
        <v>What happens if the ring touches the target but doesn't land completely inside it?</v>
      </c>
      <c r="C137" s="5" t="str">
        <f>IFERROR(__xludf.DUMMYFUNCTION(" GOOGLETRANSLATE(I137, ""de"", ""en"")"),"A. The throw counts as 1 point. B. The throw counts as 2 points. C. The throw is ruled invalid. D. The throw is repeated.")</f>
        <v>A. The throw counts as 1 point. B. The throw counts as 2 points. C. The throw is ruled invalid. D. The throw is repeated.</v>
      </c>
      <c r="D137" s="5" t="str">
        <f>IFERROR(__xludf.DUMMYFUNCTION(" GOOGLETRANSLATE(J137, ""de"", ""en"")"),"The throw counts as 2 points.")</f>
        <v>The throw counts as 2 points.</v>
      </c>
      <c r="E137" s="5" t="str">
        <f>IFERROR(__xludf.DUMMYFUNCTION(" GOOGLETRANSLATE(K137, ""de"", ""en"")"),"A ring that touches the target but does not land completely counts as 2 points.")</f>
        <v>A ring that touches the target but does not land completely counts as 2 points.</v>
      </c>
      <c r="G137" s="13" t="s">
        <v>938</v>
      </c>
      <c r="H137" s="13" t="s">
        <v>4780</v>
      </c>
      <c r="I137" s="13" t="s">
        <v>4781</v>
      </c>
      <c r="J137" s="13" t="s">
        <v>4782</v>
      </c>
      <c r="K137" s="13" t="s">
        <v>4783</v>
      </c>
    </row>
    <row r="138" ht="22.5" customHeight="1">
      <c r="A138" s="5" t="str">
        <f>IFERROR(__xludf.DUMMYFUNCTION(" GOOGLETRANSLATE(G138, ""de"", ""en"")"),"137")</f>
        <v>137</v>
      </c>
      <c r="B138" s="5" t="str">
        <f>IFERROR(__xludf.DUMMYFUNCTION(" GOOGLETRANSLATE(H138, ""de"", ""en"")"),"How is the winner of a Quoits game determined?")</f>
        <v>How is the winner of a Quoits game determined?</v>
      </c>
      <c r="C138" s="5" t="str">
        <f>IFERROR(__xludf.DUMMYFUNCTION(" GOOGLETRANSLATE(I138, ""de"", ""en"")"),"A. The player with the most points wins. B. The player who wins the most rounds wins. C. The first player to reach 10 points wins. D. The player with the highest throw wins.")</f>
        <v>A. The player with the most points wins. B. The player who wins the most rounds wins. C. The first player to reach 10 points wins. D. The player with the highest throw wins.</v>
      </c>
      <c r="D138" s="5" t="str">
        <f>IFERROR(__xludf.DUMMYFUNCTION(" GOOGLETRANSLATE(J138, ""de"", ""en"")"),"The first player to reach 10 points wins.")</f>
        <v>The first player to reach 10 points wins.</v>
      </c>
      <c r="E138" s="5" t="str">
        <f>IFERROR(__xludf.DUMMYFUNCTION(" GOOGLETRANSLATE(K138, ""de"", ""en"")"),"The first player to reach 10 points wins.")</f>
        <v>The first player to reach 10 points wins.</v>
      </c>
      <c r="G138" s="13" t="s">
        <v>944</v>
      </c>
      <c r="H138" s="13" t="s">
        <v>4784</v>
      </c>
      <c r="I138" s="13" t="s">
        <v>4785</v>
      </c>
      <c r="J138" s="13" t="s">
        <v>4786</v>
      </c>
      <c r="K138" s="13" t="s">
        <v>4787</v>
      </c>
    </row>
    <row r="139" ht="22.5" customHeight="1">
      <c r="A139" s="5" t="str">
        <f>IFERROR(__xludf.DUMMYFUNCTION(" GOOGLETRANSLATE(G139, ""de"", ""en"")"),"138")</f>
        <v>138</v>
      </c>
      <c r="B139" s="5" t="str">
        <f>IFERROR(__xludf.DUMMYFUNCTION(" GOOGLETRANSLATE(H139, ""de"", ""en"")"),"What happens if both players have the same number of points after a round?")</f>
        <v>What happens if both players have the same number of points after a round?</v>
      </c>
      <c r="C139" s="5" t="str">
        <f>IFERROR(__xludf.DUMMYFUNCTION(" GOOGLETRANSLATE(I139, ""de"", ""en"")"),"A. The round is repeated. B. The referee decides the winner. C. There are no further rounds. D. The players must make a decision.")</f>
        <v>A. The round is repeated. B. The referee decides the winner. C. There are no further rounds. D. The players must make a decision.</v>
      </c>
      <c r="D139" s="5" t="str">
        <f>IFERROR(__xludf.DUMMYFUNCTION(" GOOGLETRANSLATE(J139, ""de"", ""en"")"),"The round is repeated")</f>
        <v>The round is repeated</v>
      </c>
      <c r="E139" s="5" t="str">
        <f>IFERROR(__xludf.DUMMYFUNCTION(" GOOGLETRANSLATE(K139, ""de"", ""en"")"),"If both players have the same results, the round is repeated.")</f>
        <v>If both players have the same results, the round is repeated.</v>
      </c>
      <c r="G139" s="13" t="s">
        <v>945</v>
      </c>
      <c r="H139" s="13" t="s">
        <v>4788</v>
      </c>
      <c r="I139" s="13" t="s">
        <v>4789</v>
      </c>
      <c r="J139" s="13" t="s">
        <v>2147</v>
      </c>
      <c r="K139" s="13" t="s">
        <v>4790</v>
      </c>
    </row>
    <row r="140" ht="22.5" customHeight="1">
      <c r="A140" s="5" t="str">
        <f>IFERROR(__xludf.DUMMYFUNCTION(" GOOGLETRANSLATE(G140, ""de"", ""en"")"),"139")</f>
        <v>139</v>
      </c>
      <c r="B140" s="5" t="str">
        <f>IFERROR(__xludf.DUMMYFUNCTION(" GOOGLETRANSLATE(H140, ""de"", ""en"")"),"Is a player allowed to touch the ring after throwing it in order to change their position?")</f>
        <v>Is a player allowed to touch the ring after throwing it in order to change their position?</v>
      </c>
      <c r="C140" s="5" t="str">
        <f>IFERROR(__xludf.DUMMYFUNCTION(" GOOGLETRANSLATE(I140, ""de"", ""en"")"),"A. Yes, it is allowed. B. No, it is not allowed. C. Yes, but only if the ring has not reached the target. D. Yes, but only with the referee's permission.")</f>
        <v>A. Yes, it is allowed. B. No, it is not allowed. C. Yes, but only if the ring has not reached the target. D. Yes, but only with the referee's permission.</v>
      </c>
      <c r="D140" s="5" t="str">
        <f>IFERROR(__xludf.DUMMYFUNCTION(" GOOGLETRANSLATE(J140, ""de"", ""en"")"),"No, it is not allowed.")</f>
        <v>No, it is not allowed.</v>
      </c>
      <c r="E140" s="5" t="str">
        <f>IFERROR(__xludf.DUMMYFUNCTION(" GOOGLETRANSLATE(K140, ""de"", ""en"")"),"A player may not touch the ring after throwing it.")</f>
        <v>A player may not touch the ring after throwing it.</v>
      </c>
      <c r="G140" s="13" t="s">
        <v>953</v>
      </c>
      <c r="H140" s="13" t="s">
        <v>4791</v>
      </c>
      <c r="I140" s="13" t="s">
        <v>4792</v>
      </c>
      <c r="J140" s="13" t="s">
        <v>4679</v>
      </c>
      <c r="K140" s="13" t="s">
        <v>4793</v>
      </c>
    </row>
    <row r="141" ht="22.5" customHeight="1">
      <c r="A141" s="5" t="str">
        <f>IFERROR(__xludf.DUMMYFUNCTION(" GOOGLETRANSLATE(G141, ""de"", ""en"")"),"140")</f>
        <v>140</v>
      </c>
      <c r="B141" s="5" t="str">
        <f>IFERROR(__xludf.DUMMYFUNCTION(" GOOGLETRANSLATE(H141, ""de"", ""en"")"),"Can a player throw the ring into the air during the throw?")</f>
        <v>Can a player throw the ring into the air during the throw?</v>
      </c>
      <c r="C141" s="5" t="str">
        <f>IFERROR(__xludf.DUMMYFUNCTION(" GOOGLETRANSLATE(I141, ""de"", ""en"")"),"A. Yes, it is allowed. B. No, the ring must touch the ground. C. Yes, but only in certain cases. D. Yes, but the throw must be executed correctly.")</f>
        <v>A. Yes, it is allowed. B. No, the ring must touch the ground. C. Yes, but only in certain cases. D. Yes, but the throw must be executed correctly.</v>
      </c>
      <c r="D141" s="5" t="str">
        <f>IFERROR(__xludf.DUMMYFUNCTION(" GOOGLETRANSLATE(J141, ""de"", ""en"")"),"Yes, it is allowed.")</f>
        <v>Yes, it is allowed.</v>
      </c>
      <c r="E141" s="5" t="str">
        <f>IFERROR(__xludf.DUMMYFUNCTION(" GOOGLETRANSLATE(K141, ""de"", ""en"")"),"A player may throw the ring into the air during the throw if it reaches the target.")</f>
        <v>A player may throw the ring into the air during the throw if it reaches the target.</v>
      </c>
      <c r="G141" s="13" t="s">
        <v>957</v>
      </c>
      <c r="H141" s="13" t="s">
        <v>4794</v>
      </c>
      <c r="I141" s="13" t="s">
        <v>4795</v>
      </c>
      <c r="J141" s="13" t="s">
        <v>4641</v>
      </c>
      <c r="K141" s="13" t="s">
        <v>4796</v>
      </c>
    </row>
    <row r="142" ht="22.5" customHeight="1">
      <c r="A142" s="5" t="str">
        <f>IFERROR(__xludf.DUMMYFUNCTION(" GOOGLETRANSLATE(G142, ""de"", ""en"")"),"141")</f>
        <v>141</v>
      </c>
      <c r="B142" s="5" t="str">
        <f>IFERROR(__xludf.DUMMYFUNCTION(" GOOGLETRANSLATE(H142, ""de"", ""en"")"),"What happens if a player throws the ring and it lands outside the target area?")</f>
        <v>What happens if a player throws the ring and it lands outside the target area?</v>
      </c>
      <c r="C142" s="5" t="str">
        <f>IFERROR(__xludf.DUMMYFUNCTION(" GOOGLETRANSLATE(I142, ""de"", ""en"")"),"A. The ring is considered out of play. B. The player receives a penalty. C. The player must try again. D. The throw counts as 1 point.")</f>
        <v>A. The ring is considered out of play. B. The player receives a penalty. C. The player must try again. D. The throw counts as 1 point.</v>
      </c>
      <c r="D142" s="5" t="str">
        <f>IFERROR(__xludf.DUMMYFUNCTION(" GOOGLETRANSLATE(J142, ""de"", ""en"")"),"The ring is considered out of action.")</f>
        <v>The ring is considered out of action.</v>
      </c>
      <c r="E142" s="5" t="str">
        <f>IFERROR(__xludf.DUMMYFUNCTION(" GOOGLETRANSLATE(K142, ""de"", ""en"")"),"A ring that lands outside the target area is eliminated from the game and does not count.")</f>
        <v>A ring that lands outside the target area is eliminated from the game and does not count.</v>
      </c>
      <c r="G142" s="13" t="s">
        <v>959</v>
      </c>
      <c r="H142" s="13" t="s">
        <v>4797</v>
      </c>
      <c r="I142" s="13" t="s">
        <v>4798</v>
      </c>
      <c r="J142" s="13" t="s">
        <v>4799</v>
      </c>
      <c r="K142" s="13" t="s">
        <v>4800</v>
      </c>
    </row>
    <row r="143" ht="22.5" customHeight="1">
      <c r="A143" s="5" t="str">
        <f>IFERROR(__xludf.DUMMYFUNCTION(" GOOGLETRANSLATE(G143, ""de"", ""en"")"),"142")</f>
        <v>142</v>
      </c>
      <c r="B143" s="5" t="str">
        <f>IFERROR(__xludf.DUMMYFUNCTION(" GOOGLETRANSLATE(H143, ""de"", ""en"")"),"Is a player allowed to switch hands during a throw?")</f>
        <v>Is a player allowed to switch hands during a throw?</v>
      </c>
      <c r="C143" s="5" t="str">
        <f>IFERROR(__xludf.DUMMYFUNCTION(" GOOGLETRANSLATE(I143, ""de"", ""en"")"),"A. Yes, as long as the ring lands within the target area. B. No, the player must use the same hand throughout. C. Yes, but only if the first throw was unsuccessful. D. Yes, only with the referee's approval.")</f>
        <v>A. Yes, as long as the ring lands within the target area. B. No, the player must use the same hand throughout. C. Yes, but only if the first throw was unsuccessful. D. Yes, only with the referee's approval.</v>
      </c>
      <c r="D143" s="5" t="str">
        <f>IFERROR(__xludf.DUMMYFUNCTION(" GOOGLETRANSLATE(J143, ""de"", ""en"")"),"No, the player must use the same hand throughout.")</f>
        <v>No, the player must use the same hand throughout.</v>
      </c>
      <c r="E143" s="5" t="str">
        <f>IFERROR(__xludf.DUMMYFUNCTION(" GOOGLETRANSLATE(K143, ""de"", ""en"")"),"A player must use the same hand for all throws during a round.")</f>
        <v>A player must use the same hand for all throws during a round.</v>
      </c>
      <c r="G143" s="13" t="s">
        <v>964</v>
      </c>
      <c r="H143" s="13" t="s">
        <v>4801</v>
      </c>
      <c r="I143" s="13" t="s">
        <v>4802</v>
      </c>
      <c r="J143" s="13" t="s">
        <v>4803</v>
      </c>
      <c r="K143" s="13" t="s">
        <v>4804</v>
      </c>
    </row>
    <row r="144" ht="22.5" customHeight="1">
      <c r="A144" s="5" t="str">
        <f>IFERROR(__xludf.DUMMYFUNCTION(" GOOGLETRANSLATE(G144, ""de"", ""en"")"),"143")</f>
        <v>143</v>
      </c>
      <c r="B144" s="5" t="str">
        <f>IFERROR(__xludf.DUMMYFUNCTION(" GOOGLETRANSLATE(H144, ""de"", ""en"")"),"How many points does a player receive if the ring lands within the scoring zone but does not touch the center point?")</f>
        <v>How many points does a player receive if the ring lands within the scoring zone but does not touch the center point?</v>
      </c>
      <c r="C144" s="5" t="str">
        <f>IFERROR(__xludf.DUMMYFUNCTION(" GOOGLETRANSLATE(I144, ""de"", ""en"")"),"A. 1 point B. 2 points C. 3 points D. 4 points")</f>
        <v>A. 1 point B. 2 points C. 3 points D. 4 points</v>
      </c>
      <c r="D144" s="5" t="str">
        <f>IFERROR(__xludf.DUMMYFUNCTION(" GOOGLETRANSLATE(J144, ""de"", ""en"")"),"2 points")</f>
        <v>2 points</v>
      </c>
      <c r="E144" s="5" t="str">
        <f>IFERROR(__xludf.DUMMYFUNCTION(" GOOGLETRANSLATE(K144, ""de"", ""en"")"),"A ring that lands within the scoring zone but not in the center scores 2 points.")</f>
        <v>A ring that lands within the scoring zone but not in the center scores 2 points.</v>
      </c>
      <c r="G144" s="13" t="s">
        <v>971</v>
      </c>
      <c r="H144" s="13" t="s">
        <v>4805</v>
      </c>
      <c r="I144" s="13" t="s">
        <v>4389</v>
      </c>
      <c r="J144" s="13" t="s">
        <v>4710</v>
      </c>
      <c r="K144" s="13" t="s">
        <v>4806</v>
      </c>
    </row>
    <row r="145" ht="22.5" customHeight="1">
      <c r="A145" s="5" t="str">
        <f>IFERROR(__xludf.DUMMYFUNCTION(" GOOGLETRANSLATE(G145, ""de"", ""en"")"),"144")</f>
        <v>144</v>
      </c>
      <c r="B145" s="5" t="str">
        <f>IFERROR(__xludf.DUMMYFUNCTION(" GOOGLETRANSLATE(H145, ""de"", ""en"")"),"What happens if a player's ring hits another ring and knocks it out of the scoring zone?")</f>
        <v>What happens if a player's ring hits another ring and knocks it out of the scoring zone?</v>
      </c>
      <c r="C145" s="5" t="str">
        <f>IFERROR(__xludf.DUMMYFUNCTION(" GOOGLETRANSLATE(I145, ""de"", ""en"")"),"A. The player receives bonus points. B. The ring is returned to its original position. C. The player is penalized. D. The moved ring is placed in the scoring zone.")</f>
        <v>A. The player receives bonus points. B. The ring is returned to its original position. C. The player is penalized. D. The moved ring is placed in the scoring zone.</v>
      </c>
      <c r="D145" s="5" t="str">
        <f>IFERROR(__xludf.DUMMYFUNCTION(" GOOGLETRANSLATE(J145, ""de"", ""en"")"),"The ring is returned to its original position.")</f>
        <v>The ring is returned to its original position.</v>
      </c>
      <c r="E145" s="5" t="str">
        <f>IFERROR(__xludf.DUMMYFUNCTION(" GOOGLETRANSLATE(K145, ""de"", ""en"")"),"If a ring is knocked out of the zone, it returns to its original position.")</f>
        <v>If a ring is knocked out of the zone, it returns to its original position.</v>
      </c>
      <c r="G145" s="13" t="s">
        <v>975</v>
      </c>
      <c r="H145" s="13" t="s">
        <v>4807</v>
      </c>
      <c r="I145" s="13" t="s">
        <v>4808</v>
      </c>
      <c r="J145" s="13" t="s">
        <v>4809</v>
      </c>
      <c r="K145" s="13" t="s">
        <v>4810</v>
      </c>
    </row>
    <row r="146" ht="22.5" customHeight="1">
      <c r="A146" s="5" t="str">
        <f>IFERROR(__xludf.DUMMYFUNCTION(" GOOGLETRANSLATE(G146, ""de"", ""en"")"),"145")</f>
        <v>145</v>
      </c>
      <c r="B146" s="5" t="str">
        <f>IFERROR(__xludf.DUMMYFUNCTION(" GOOGLETRANSLATE(H146, ""de"", ""en"")"),"Is a player allowed to touch their own ring during the throw?")</f>
        <v>Is a player allowed to touch their own ring during the throw?</v>
      </c>
      <c r="C146" s="5" t="str">
        <f>IFERROR(__xludf.DUMMYFUNCTION(" GOOGLETRANSLATE(I146, ""de"", ""en"")"),"A. Yes, if the player needs to adjust the angle. B. No, the player must not touch the ring while throwing. C. Yes, but only as a last resort. D. Yes, but only with the opponent's permission.")</f>
        <v>A. Yes, if the player needs to adjust the angle. B. No, the player must not touch the ring while throwing. C. Yes, but only as a last resort. D. Yes, but only with the opponent's permission.</v>
      </c>
      <c r="D146" s="5" t="str">
        <f>IFERROR(__xludf.DUMMYFUNCTION(" GOOGLETRANSLATE(J146, ""de"", ""en"")"),"No, the player must not touch the ring while throwing.")</f>
        <v>No, the player must not touch the ring while throwing.</v>
      </c>
      <c r="E146" s="5" t="str">
        <f>IFERROR(__xludf.DUMMYFUNCTION(" GOOGLETRANSLATE(K146, ""de"", ""en"")"),"The player is not allowed to touch the ring during the throw.")</f>
        <v>The player is not allowed to touch the ring during the throw.</v>
      </c>
      <c r="G146" s="13" t="s">
        <v>983</v>
      </c>
      <c r="H146" s="13" t="s">
        <v>4811</v>
      </c>
      <c r="I146" s="13" t="s">
        <v>4812</v>
      </c>
      <c r="J146" s="13" t="s">
        <v>4813</v>
      </c>
      <c r="K146" s="13" t="s">
        <v>4814</v>
      </c>
    </row>
    <row r="147" ht="22.5" customHeight="1">
      <c r="A147" s="5" t="str">
        <f>IFERROR(__xludf.DUMMYFUNCTION(" GOOGLETRANSLATE(G147, ""de"", ""en"")"),"146")</f>
        <v>146</v>
      </c>
      <c r="B147" s="5" t="str">
        <f>IFERROR(__xludf.DUMMYFUNCTION(" GOOGLETRANSLATE(H147, ""de"", ""en"")"),"What happens if two players are tied after all rounds?")</f>
        <v>What happens if two players are tied after all rounds?</v>
      </c>
      <c r="C147" s="5" t="str">
        <f>IFERROR(__xludf.DUMMYFUNCTION(" GOOGLETRANSLATE(I147, ""de"", ""en"")"),"A. They play a deciding round. B. The player who scores the first goal wins. C. They share the victory. D. The opponent is awarded the victory.")</f>
        <v>A. They play a deciding round. B. The player who scores the first goal wins. C. They share the victory. D. The opponent is awarded the victory.</v>
      </c>
      <c r="D147" s="5" t="str">
        <f>IFERROR(__xludf.DUMMYFUNCTION(" GOOGLETRANSLATE(J147, ""de"", ""en"")"),"They are playing a deciding round.")</f>
        <v>They are playing a deciding round.</v>
      </c>
      <c r="E147" s="5" t="str">
        <f>IFERROR(__xludf.DUMMYFUNCTION(" GOOGLETRANSLATE(K147, ""de"", ""en"")"),"In the event of a tie, a trick round will be played.")</f>
        <v>In the event of a tie, a trick round will be played.</v>
      </c>
      <c r="G147" s="13" t="s">
        <v>991</v>
      </c>
      <c r="H147" s="13" t="s">
        <v>4815</v>
      </c>
      <c r="I147" s="13" t="s">
        <v>4816</v>
      </c>
      <c r="J147" s="13" t="s">
        <v>4817</v>
      </c>
      <c r="K147" s="13" t="s">
        <v>4818</v>
      </c>
    </row>
    <row r="148" ht="22.5" customHeight="1">
      <c r="A148" s="5" t="str">
        <f>IFERROR(__xludf.DUMMYFUNCTION(" GOOGLETRANSLATE(G148, ""de"", ""en"")"),"147")</f>
        <v>147</v>
      </c>
      <c r="B148" s="5" t="str">
        <f>IFERROR(__xludf.DUMMYFUNCTION(" GOOGLETRANSLATE(H148, ""de"", ""en"")"),"Is a player allowed to throw their ring while standing outside the designated throwing area?")</f>
        <v>Is a player allowed to throw their ring while standing outside the designated throwing area?</v>
      </c>
      <c r="C148" s="5" t="str">
        <f>IFERROR(__xludf.DUMMYFUNCTION(" GOOGLETRANSLATE(I148, ""de"", ""en"")"),"A. Yes, if they are in a hurry. B. No, the player must remain within the throwing area. C. Yes, but only once during the game. D. Yes, if both players agree.")</f>
        <v>A. Yes, if they are in a hurry. B. No, the player must remain within the throwing area. C. Yes, but only once during the game. D. Yes, if both players agree.</v>
      </c>
      <c r="D148" s="5" t="str">
        <f>IFERROR(__xludf.DUMMYFUNCTION(" GOOGLETRANSLATE(J148, ""de"", ""en"")"),"No, the player must remain within the throwing area.")</f>
        <v>No, the player must remain within the throwing area.</v>
      </c>
      <c r="E148" s="5" t="str">
        <f>IFERROR(__xludf.DUMMYFUNCTION(" GOOGLETRANSLATE(K148, ""de"", ""en"")"),"A player must remain within the designated throwing area during their throw.")</f>
        <v>A player must remain within the designated throwing area during their throw.</v>
      </c>
      <c r="G148" s="13" t="s">
        <v>997</v>
      </c>
      <c r="H148" s="13" t="s">
        <v>4819</v>
      </c>
      <c r="I148" s="13" t="s">
        <v>4820</v>
      </c>
      <c r="J148" s="13" t="s">
        <v>4821</v>
      </c>
      <c r="K148" s="13" t="s">
        <v>4822</v>
      </c>
    </row>
    <row r="149" ht="22.5" customHeight="1">
      <c r="A149" s="5" t="str">
        <f>IFERROR(__xludf.DUMMYFUNCTION(" GOOGLETRANSLATE(G149, ""de"", ""en"")"),"148")</f>
        <v>148</v>
      </c>
      <c r="B149" s="5" t="str">
        <f>IFERROR(__xludf.DUMMYFUNCTION(" GOOGLETRANSLATE(H149, ""de"", ""en"")"),"How is the goal area marked?")</f>
        <v>How is the goal area marked?</v>
      </c>
      <c r="C149" s="5" t="str">
        <f>IFERROR(__xludf.DUMMYFUNCTION(" GOOGLETRANSLATE(I149, ""de"", ""en"")"),"A. With a chalk outline. B. With a rope boundary. C. With cones or markings. D. It is not marked.")</f>
        <v>A. With a chalk outline. B. With a rope boundary. C. With cones or markings. D. It is not marked.</v>
      </c>
      <c r="D149" s="5" t="str">
        <f>IFERROR(__xludf.DUMMYFUNCTION(" GOOGLETRANSLATE(J149, ""de"", ""en"")"),"With cones or markings")</f>
        <v>With cones or markings</v>
      </c>
      <c r="E149" s="5" t="str">
        <f>IFERROR(__xludf.DUMMYFUNCTION(" GOOGLETRANSLATE(K149, ""de"", ""en"")"),"The goal area is usually marked with cones or other markers.")</f>
        <v>The goal area is usually marked with cones or other markers.</v>
      </c>
      <c r="G149" s="13" t="s">
        <v>1003</v>
      </c>
      <c r="H149" s="13" t="s">
        <v>4823</v>
      </c>
      <c r="I149" s="13" t="s">
        <v>4824</v>
      </c>
      <c r="J149" s="13" t="s">
        <v>4825</v>
      </c>
      <c r="K149" s="13" t="s">
        <v>4826</v>
      </c>
    </row>
    <row r="150" ht="22.5" customHeight="1">
      <c r="A150" s="5" t="str">
        <f>IFERROR(__xludf.DUMMYFUNCTION(" GOOGLETRANSLATE(G150, ""de"", ""en"")"),"149")</f>
        <v>149</v>
      </c>
      <c r="B150" s="5" t="str">
        <f>IFERROR(__xludf.DUMMYFUNCTION(" GOOGLETRANSLATE(H150, ""de"", ""en"")"),"Is a player allowed to throw the ring more than once per turn?")</f>
        <v>Is a player allowed to throw the ring more than once per turn?</v>
      </c>
      <c r="C150" s="5" t="str">
        <f>IFERROR(__xludf.DUMMYFUNCTION(" GOOGLETRANSLATE(I150, ""de"", ""en"")"),"A. No, only one ring per turn. B. Yes, if the first throw misses. C. Yes, but only under special circumstances. D. Yes, if they are behind in the game.")</f>
        <v>A. No, only one ring per turn. B. Yes, if the first throw misses. C. Yes, but only under special circumstances. D. Yes, if they are behind in the game.</v>
      </c>
      <c r="D150" s="5" t="str">
        <f>IFERROR(__xludf.DUMMYFUNCTION(" GOOGLETRANSLATE(J150, ""de"", ""en"")"),"No, only one ring per revolution.")</f>
        <v>No, only one ring per revolution.</v>
      </c>
      <c r="E150" s="5" t="str">
        <f>IFERROR(__xludf.DUMMYFUNCTION(" GOOGLETRANSLATE(K150, ""de"", ""en"")"),"A player may only throw one ring per turn.")</f>
        <v>A player may only throw one ring per turn.</v>
      </c>
      <c r="G150" s="13" t="s">
        <v>1008</v>
      </c>
      <c r="H150" s="13" t="s">
        <v>4827</v>
      </c>
      <c r="I150" s="13" t="s">
        <v>4828</v>
      </c>
      <c r="J150" s="13" t="s">
        <v>4829</v>
      </c>
      <c r="K150" s="13" t="s">
        <v>4830</v>
      </c>
    </row>
    <row r="151" ht="22.5" customHeight="1">
      <c r="A151" s="5" t="str">
        <f>IFERROR(__xludf.DUMMYFUNCTION(" GOOGLETRANSLATE(G151, ""de"", ""en"")"),"150")</f>
        <v>150</v>
      </c>
      <c r="B151" s="5" t="str">
        <f>IFERROR(__xludf.DUMMYFUNCTION(" GOOGLETRANSLATE(H151, ""de"", ""en"")"),"Is a throw considered valid if a ring lands next to the target?")</f>
        <v>Is a throw considered valid if a ring lands next to the target?</v>
      </c>
      <c r="C151" s="5" t="str">
        <f>IFERROR(__xludf.DUMMYFUNCTION(" GOOGLETRANSLATE(I151, ""de"", ""en"")"),"A. Yes, it counts as 1 point. B. Yes, if it lands close to the target. C. No, the ball is out of play. D. Yes, if both players agree.")</f>
        <v>A. Yes, it counts as 1 point. B. Yes, if it lands close to the target. C. No, the ball is out of play. D. Yes, if both players agree.</v>
      </c>
      <c r="D151" s="5" t="str">
        <f>IFERROR(__xludf.DUMMYFUNCTION(" GOOGLETRANSLATE(J151, ""de"", ""en"")"),"No, the ball is out of play.")</f>
        <v>No, the ball is out of play.</v>
      </c>
      <c r="E151" s="5" t="str">
        <f>IFERROR(__xludf.DUMMYFUNCTION(" GOOGLETRANSLATE(K151, ""de"", ""en"")"),"A ring that lands outside the target is out of the game and does not count.")</f>
        <v>A ring that lands outside the target is out of the game and does not count.</v>
      </c>
      <c r="G151" s="13" t="s">
        <v>1012</v>
      </c>
      <c r="H151" s="13" t="s">
        <v>4831</v>
      </c>
      <c r="I151" s="13" t="s">
        <v>4832</v>
      </c>
      <c r="J151" s="13" t="s">
        <v>4833</v>
      </c>
      <c r="K151" s="13" t="s">
        <v>4834</v>
      </c>
    </row>
    <row r="152" ht="22.5" customHeight="1">
      <c r="A152" s="5" t="str">
        <f>IFERROR(__xludf.DUMMYFUNCTION(" GOOGLETRANSLATE(G152, ""de"", ""en"")"),"151")</f>
        <v>151</v>
      </c>
      <c r="B152" s="5" t="str">
        <f>IFERROR(__xludf.DUMMYFUNCTION(" GOOGLETRANSLATE(H152, ""de"", ""en"")"),"How do you determine the winner if there is a tie in the final round?")</f>
        <v>How do you determine the winner if there is a tie in the final round?</v>
      </c>
      <c r="C152" s="5" t="str">
        <f>IFERROR(__xludf.DUMMYFUNCTION(" GOOGLETRANSLATE(I152, ""de"", ""en"")"),"A. Based on the number of rings thrown. B. By the distance from the center. C. By a coin toss. D. By the first player to throw.")</f>
        <v>A. Based on the number of rings thrown. B. By the distance from the center. C. By a coin toss. D. By the first player to throw.</v>
      </c>
      <c r="D152" s="5" t="str">
        <f>IFERROR(__xludf.DUMMYFUNCTION(" GOOGLETRANSLATE(J152, ""de"", ""en"")"),"Due to the distance from the center")</f>
        <v>Due to the distance from the center</v>
      </c>
      <c r="E152" s="5" t="str">
        <f>IFERROR(__xludf.DUMMYFUNCTION(" GOOGLETRANSLATE(K152, ""de"", ""en"")"),"In the event of a tie, the distance of the rings from the center point will be used to determine the winner.")</f>
        <v>In the event of a tie, the distance of the rings from the center point will be used to determine the winner.</v>
      </c>
      <c r="G152" s="13" t="s">
        <v>1018</v>
      </c>
      <c r="H152" s="13" t="s">
        <v>4835</v>
      </c>
      <c r="I152" s="13" t="s">
        <v>4836</v>
      </c>
      <c r="J152" s="13" t="s">
        <v>4837</v>
      </c>
      <c r="K152" s="13" t="s">
        <v>4838</v>
      </c>
    </row>
    <row r="153" ht="22.5" customHeight="1">
      <c r="A153" s="5" t="str">
        <f>IFERROR(__xludf.DUMMYFUNCTION(" GOOGLETRANSLATE(G153, ""de"", ""en"")"),"152")</f>
        <v>152</v>
      </c>
      <c r="B153" s="5" t="str">
        <f>IFERROR(__xludf.DUMMYFUNCTION(" GOOGLETRANSLATE(H153, ""de"", ""en"")"),"Can a player use a ring from the previous round during their turn?")</f>
        <v>Can a player use a ring from the previous round during their turn?</v>
      </c>
      <c r="C153" s="5" t="str">
        <f>IFERROR(__xludf.DUMMYFUNCTION(" GOOGLETRANSLATE(I153, ""de"", ""en"")"),"A. Yes, provided they are allowed. B. No, only rings thrown in the current round count. C. Yes, but only with permission. D. Yes, if the ring is in the scoring zone.")</f>
        <v>A. Yes, provided they are allowed. B. No, only rings thrown in the current round count. C. Yes, but only with permission. D. Yes, if the ring is in the scoring zone.</v>
      </c>
      <c r="D153" s="5" t="str">
        <f>IFERROR(__xludf.DUMMYFUNCTION(" GOOGLETRANSLATE(J153, ""de"", ""en"")"),"No, only the rings thrown in the current round count.")</f>
        <v>No, only the rings thrown in the current round count.</v>
      </c>
      <c r="E153" s="5" t="str">
        <f>IFERROR(__xludf.DUMMYFUNCTION(" GOOGLETRANSLATE(K153, ""de"", ""en"")"),"Only the rings thrown in the current round count towards the score.")</f>
        <v>Only the rings thrown in the current round count towards the score.</v>
      </c>
      <c r="G153" s="13" t="s">
        <v>1024</v>
      </c>
      <c r="H153" s="13" t="s">
        <v>4839</v>
      </c>
      <c r="I153" s="13" t="s">
        <v>4840</v>
      </c>
      <c r="J153" s="13" t="s">
        <v>4841</v>
      </c>
      <c r="K153" s="13" t="s">
        <v>4842</v>
      </c>
    </row>
    <row r="154" ht="22.5" customHeight="1">
      <c r="A154" s="5" t="str">
        <f>IFERROR(__xludf.DUMMYFUNCTION(" GOOGLETRANSLATE(G154, ""de"", ""en"")"),"153")</f>
        <v>153</v>
      </c>
      <c r="B154" s="5" t="str">
        <f>IFERROR(__xludf.DUMMYFUNCTION(" GOOGLETRANSLATE(H154, ""de"", ""en"")"),"How many players can participate in a standard Quits game?")</f>
        <v>How many players can participate in a standard Quits game?</v>
      </c>
      <c r="C154" s="5" t="str">
        <f>IFERROR(__xludf.DUMMYFUNCTION(" GOOGLETRANSLATE(I154, ""de"", ""en"")"),"A. 1-2 players B. 2-4 players C. 3-5 players D. 5-10 players")</f>
        <v>A. 1-2 players B. 2-4 players C. 3-5 players D. 5-10 players</v>
      </c>
      <c r="D154" s="5" t="str">
        <f>IFERROR(__xludf.DUMMYFUNCTION(" GOOGLETRANSLATE(J154, ""de"", ""en"")"),"1-2 players")</f>
        <v>1-2 players</v>
      </c>
      <c r="E154" s="5" t="str">
        <f>IFERROR(__xludf.DUMMYFUNCTION(" GOOGLETRANSLATE(K154, ""de"", ""en"")"),"A standard Quits game is typically played with 1 or 2 players.")</f>
        <v>A standard Quits game is typically played with 1 or 2 players.</v>
      </c>
      <c r="G154" s="13" t="s">
        <v>1032</v>
      </c>
      <c r="H154" s="13" t="s">
        <v>4843</v>
      </c>
      <c r="I154" s="13" t="s">
        <v>4844</v>
      </c>
      <c r="J154" s="13" t="s">
        <v>4845</v>
      </c>
      <c r="K154" s="13" t="s">
        <v>4846</v>
      </c>
    </row>
    <row r="155" ht="22.5" customHeight="1">
      <c r="A155" s="5" t="str">
        <f>IFERROR(__xludf.DUMMYFUNCTION(" GOOGLETRANSLATE(G155, ""de"", ""en"")"),"154")</f>
        <v>154</v>
      </c>
      <c r="B155" s="5" t="str">
        <f>IFERROR(__xludf.DUMMYFUNCTION(" GOOGLETRANSLATE(H155, ""de"", ""en"")"),"What is the minimum distance that must be maintained between the throwing line and the target area?")</f>
        <v>What is the minimum distance that must be maintained between the throwing line and the target area?</v>
      </c>
      <c r="C155" s="5" t="str">
        <f>IFERROR(__xludf.DUMMYFUNCTION(" GOOGLETRANSLATE(I155, ""de"", ""en"")"),"A. 2 feet B. 3 feet C. 4 feet D. 5 feet")</f>
        <v>A. 2 feet B. 3 feet C. 4 feet D. 5 feet</v>
      </c>
      <c r="D155" s="5" t="str">
        <f>IFERROR(__xludf.DUMMYFUNCTION(" GOOGLETRANSLATE(J155, ""de"", ""en"")"),"3 feet")</f>
        <v>3 feet</v>
      </c>
      <c r="E155" s="5" t="str">
        <f>IFERROR(__xludf.DUMMYFUNCTION(" GOOGLETRANSLATE(K155, ""de"", ""en"")"),"The minimum distance between the throwing line and the target area is 3 feet.")</f>
        <v>The minimum distance between the throwing line and the target area is 3 feet.</v>
      </c>
      <c r="G155" s="13" t="s">
        <v>1040</v>
      </c>
      <c r="H155" s="13" t="s">
        <v>4847</v>
      </c>
      <c r="I155" s="13" t="s">
        <v>4848</v>
      </c>
      <c r="J155" s="13" t="s">
        <v>4849</v>
      </c>
      <c r="K155" s="13" t="s">
        <v>4850</v>
      </c>
    </row>
    <row r="156" ht="22.5" customHeight="1">
      <c r="A156" s="5" t="str">
        <f>IFERROR(__xludf.DUMMYFUNCTION(" GOOGLETRANSLATE(G156, ""de"", ""en"")"),"155")</f>
        <v>155</v>
      </c>
      <c r="B156" s="5" t="str">
        <f>IFERROR(__xludf.DUMMYFUNCTION(" GOOGLETRANSLATE(H156, ""de"", ""en"")"),"What happens if a ring touches a post before impact?")</f>
        <v>What happens if a ring touches a post before impact?</v>
      </c>
      <c r="C156" s="5" t="str">
        <f>IFERROR(__xludf.DUMMYFUNCTION(" GOOGLETRANSLATE(I156, ""de"", ""en"")"),"A. It counts as 1 point. B. The player must make another move. C. The throw is considered invalid. D. The ring is returned to its original position.")</f>
        <v>A. It counts as 1 point. B. The player must make another move. C. The throw is considered invalid. D. The ring is returned to its original position.</v>
      </c>
      <c r="D156" s="5" t="str">
        <f>IFERROR(__xludf.DUMMYFUNCTION(" GOOGLETRANSLATE(J156, ""de"", ""en"")"),"The throw is considered invalid.")</f>
        <v>The throw is considered invalid.</v>
      </c>
      <c r="E156" s="5" t="str">
        <f>IFERROR(__xludf.DUMMYFUNCTION(" GOOGLETRANSLATE(K156, ""de"", ""en"")"),"If a ring touches a post before impact, the throw is considered invalid.")</f>
        <v>If a ring touches a post before impact, the throw is considered invalid.</v>
      </c>
      <c r="G156" s="13" t="s">
        <v>1048</v>
      </c>
      <c r="H156" s="13" t="s">
        <v>4851</v>
      </c>
      <c r="I156" s="13" t="s">
        <v>4852</v>
      </c>
      <c r="J156" s="13" t="s">
        <v>4853</v>
      </c>
      <c r="K156" s="13" t="s">
        <v>4854</v>
      </c>
    </row>
    <row r="157" ht="22.5" customHeight="1">
      <c r="A157" s="5" t="str">
        <f>IFERROR(__xludf.DUMMYFUNCTION(" GOOGLETRANSLATE(G157, ""de"", ""en"")"),"156")</f>
        <v>156</v>
      </c>
      <c r="B157" s="5" t="str">
        <f>IFERROR(__xludf.DUMMYFUNCTION(" GOOGLETRANSLATE(H157, ""de"", ""en"")"),"What is the maximum number of rings that can be in the air at the same time during a game?")</f>
        <v>What is the maximum number of rings that can be in the air at the same time during a game?</v>
      </c>
      <c r="C157" s="5" t="str">
        <f>IFERROR(__xludf.DUMMYFUNCTION(" GOOGLETRANSLATE(I157, ""de"", ""en"")"),"A. 1 ring B. 2 rings C. 3 rings D. There are no limits")</f>
        <v>A. 1 ring B. 2 rings C. 3 rings D. There are no limits</v>
      </c>
      <c r="D157" s="5" t="str">
        <f>IFERROR(__xludf.DUMMYFUNCTION(" GOOGLETRANSLATE(J157, ""de"", ""en"")"),"There are no limits")</f>
        <v>There are no limits</v>
      </c>
      <c r="E157" s="5" t="str">
        <f>IFERROR(__xludf.DUMMYFUNCTION(" GOOGLETRANSLATE(K157, ""de"", ""en"")"),"The number of rings that can be in the air during a game is unlimited.")</f>
        <v>The number of rings that can be in the air during a game is unlimited.</v>
      </c>
      <c r="G157" s="13" t="s">
        <v>1053</v>
      </c>
      <c r="H157" s="13" t="s">
        <v>4855</v>
      </c>
      <c r="I157" s="13" t="s">
        <v>4856</v>
      </c>
      <c r="J157" s="13" t="s">
        <v>4857</v>
      </c>
      <c r="K157" s="13" t="s">
        <v>4858</v>
      </c>
    </row>
    <row r="158" ht="22.5" customHeight="1">
      <c r="A158" s="5" t="str">
        <f>IFERROR(__xludf.DUMMYFUNCTION(" GOOGLETRANSLATE(G158, ""de"", ""en"")"),"157")</f>
        <v>157</v>
      </c>
      <c r="B158" s="5" t="str">
        <f>IFERROR(__xludf.DUMMYFUNCTION(" GOOGLETRANSLATE(H158, ""de"", ""en"")"),"Can a player retry a ring if they don't land correctly?")</f>
        <v>Can a player retry a ring if they don't land correctly?</v>
      </c>
      <c r="C158" s="5" t="str">
        <f>IFERROR(__xludf.DUMMYFUNCTION(" GOOGLETRANSLATE(I158, ""de"", ""en"")"),"A. Yes, if the ring is misaligned. B. Yes, but only once. C. No, once the ring is thrown, it's final. D. Yes, if both players agree.")</f>
        <v>A. Yes, if the ring is misaligned. B. Yes, but only once. C. No, once the ring is thrown, it's final. D. Yes, if both players agree.</v>
      </c>
      <c r="D158" s="5" t="str">
        <f>IFERROR(__xludf.DUMMYFUNCTION(" GOOGLETRANSLATE(J158, ""de"", ""en"")"),"No, once the ring is thrown, it's final.")</f>
        <v>No, once the ring is thrown, it's final.</v>
      </c>
      <c r="E158" s="5" t="str">
        <f>IFERROR(__xludf.DUMMYFUNCTION(" GOOGLETRANSLATE(K158, ""de"", ""en"")"),"Once the ring has been thrown, the throw cannot be repeated; it counts as it is.")</f>
        <v>Once the ring has been thrown, the throw cannot be repeated; it counts as it is.</v>
      </c>
      <c r="G158" s="13" t="s">
        <v>1061</v>
      </c>
      <c r="H158" s="13" t="s">
        <v>4859</v>
      </c>
      <c r="I158" s="13" t="s">
        <v>4860</v>
      </c>
      <c r="J158" s="13" t="s">
        <v>4861</v>
      </c>
      <c r="K158" s="13" t="s">
        <v>4862</v>
      </c>
    </row>
    <row r="159" ht="22.5" customHeight="1">
      <c r="A159" s="5" t="str">
        <f>IFERROR(__xludf.DUMMYFUNCTION(" GOOGLETRANSLATE(G159, ""de"", ""en"")"),"158")</f>
        <v>158</v>
      </c>
      <c r="B159" s="5" t="str">
        <f>IFERROR(__xludf.DUMMYFUNCTION(" GOOGLETRANSLATE(H159, ""de"", ""en"")"),"What penalty is imposed if a player fails to hit the target within a certain number of attempts?")</f>
        <v>What penalty is imposed if a player fails to hit the target within a certain number of attempts?</v>
      </c>
      <c r="C159" s="5" t="str">
        <f>IFERROR(__xludf.DUMMYFUNCTION(" GOOGLETRANSLATE(I159, ""de"", ""en"")"),"A. You lose a point. B. You must take a penalty kick. C. You lose the round. D. You receive a warning.")</f>
        <v>A. You lose a point. B. You must take a penalty kick. C. You lose the round. D. You receive a warning.</v>
      </c>
      <c r="D159" s="5" t="str">
        <f>IFERROR(__xludf.DUMMYFUNCTION(" GOOGLETRANSLATE(J159, ""de"", ""en"")"),"They lose the round.")</f>
        <v>They lose the round.</v>
      </c>
      <c r="E159" s="5" t="str">
        <f>IFERROR(__xludf.DUMMYFUNCTION(" GOOGLETRANSLATE(K159, ""de"", ""en"")"),"If a player fails to hit the target within the given number of attempts, they lose the round.")</f>
        <v>If a player fails to hit the target within the given number of attempts, they lose the round.</v>
      </c>
      <c r="G159" s="13" t="s">
        <v>1069</v>
      </c>
      <c r="H159" s="13" t="s">
        <v>4863</v>
      </c>
      <c r="I159" s="13" t="s">
        <v>4864</v>
      </c>
      <c r="J159" s="13" t="s">
        <v>4865</v>
      </c>
      <c r="K159" s="13" t="s">
        <v>4866</v>
      </c>
    </row>
    <row r="160" ht="22.5" customHeight="1">
      <c r="A160" s="5" t="str">
        <f>IFERROR(__xludf.DUMMYFUNCTION(" GOOGLETRANSLATE(G160, ""de"", ""en"")"),"159")</f>
        <v>159</v>
      </c>
      <c r="B160" s="5" t="str">
        <f>IFERROR(__xludf.DUMMYFUNCTION(" GOOGLETRANSLATE(H160, ""de"", ""en"")"),"Is there a set number of attempts to throw the ring in each round?")</f>
        <v>Is there a set number of attempts to throw the ring in each round?</v>
      </c>
      <c r="C160" s="5" t="str">
        <f>IFERROR(__xludf.DUMMYFUNCTION(" GOOGLETRANSLATE(I160, ""de"", ""en"")"),"A. Yes, usually 3 attempts per round. B. No, there is no limit. C. Yes, usually 5 attempts per round. D. Yes, usually one attempt per round.")</f>
        <v>A. Yes, usually 3 attempts per round. B. No, there is no limit. C. Yes, usually 5 attempts per round. D. Yes, usually one attempt per round.</v>
      </c>
      <c r="D160" s="5" t="str">
        <f>IFERROR(__xludf.DUMMYFUNCTION(" GOOGLETRANSLATE(J160, ""de"", ""en"")"),"Yes, usually 3 attempts per round.")</f>
        <v>Yes, usually 3 attempts per round.</v>
      </c>
      <c r="E160" s="5" t="str">
        <f>IFERROR(__xludf.DUMMYFUNCTION(" GOOGLETRANSLATE(K160, ""de"", ""en"")"),"Players typically have 3 attempts per round to throw their ring.")</f>
        <v>Players typically have 3 attempts per round to throw their ring.</v>
      </c>
      <c r="G160" s="13" t="s">
        <v>1075</v>
      </c>
      <c r="H160" s="13" t="s">
        <v>4867</v>
      </c>
      <c r="I160" s="13" t="s">
        <v>4868</v>
      </c>
      <c r="J160" s="13" t="s">
        <v>4869</v>
      </c>
      <c r="K160" s="13" t="s">
        <v>4870</v>
      </c>
    </row>
    <row r="161" ht="22.5" customHeight="1">
      <c r="A161" s="5" t="str">
        <f>IFERROR(__xludf.DUMMYFUNCTION(" GOOGLETRANSLATE(G161, ""de"", ""en"")"),"160")</f>
        <v>160</v>
      </c>
      <c r="B161" s="5" t="str">
        <f>IFERROR(__xludf.DUMMYFUNCTION(" GOOGLETRANSLATE(H161, ""de"", ""en"")"),"Is the opponent allowed to touch a player's ring during the game?")</f>
        <v>Is the opponent allowed to touch a player's ring during the game?</v>
      </c>
      <c r="C161" s="5" t="str">
        <f>IFERROR(__xludf.DUMMYFUNCTION(" GOOGLETRANSLATE(I161, ""de"", ""en"")"),"A. Yes, if they try to help. B. Yes, if the ring is within the scoring zone. C. No, they must not touch it. D. Yes, but only if the ring is moving.")</f>
        <v>A. Yes, if they try to help. B. Yes, if the ring is within the scoring zone. C. No, they must not touch it. D. Yes, but only if the ring is moving.</v>
      </c>
      <c r="D161" s="5" t="str">
        <f>IFERROR(__xludf.DUMMYFUNCTION(" GOOGLETRANSLATE(J161, ""de"", ""en"")"),"No, they must not touch it.")</f>
        <v>No, they must not touch it.</v>
      </c>
      <c r="E161" s="5" t="str">
        <f>IFERROR(__xludf.DUMMYFUNCTION(" GOOGLETRANSLATE(K161, ""de"", ""en"")"),"An opponent may not touch a player's ring during the game.")</f>
        <v>An opponent may not touch a player's ring during the game.</v>
      </c>
      <c r="G161" s="13" t="s">
        <v>1083</v>
      </c>
      <c r="H161" s="13" t="s">
        <v>4871</v>
      </c>
      <c r="I161" s="13" t="s">
        <v>4872</v>
      </c>
      <c r="J161" s="13" t="s">
        <v>4873</v>
      </c>
      <c r="K161" s="13" t="s">
        <v>4874</v>
      </c>
    </row>
    <row r="162" ht="22.5" customHeight="1">
      <c r="A162" s="5" t="str">
        <f>IFERROR(__xludf.DUMMYFUNCTION(" GOOGLETRANSLATE(G162, ""de"", ""en"")"),"161")</f>
        <v>161</v>
      </c>
      <c r="B162" s="5" t="str">
        <f>IFERROR(__xludf.DUMMYFUNCTION(" GOOGLETRANSLATE(H162, ""de"", ""en"")"),"What is the maximum number of rounds a player can complete?")</f>
        <v>What is the maximum number of rounds a player can complete?</v>
      </c>
      <c r="C162" s="5" t="str">
        <f>IFERROR(__xludf.DUMMYFUNCTION(" GOOGLETRANSLATE(I162, ""de"", ""en"")"),"A. 3 rounds B. 5 rounds C. Unlimited rounds D. 10 rounds")</f>
        <v>A. 3 rounds B. 5 rounds C. Unlimited rounds D. 10 rounds</v>
      </c>
      <c r="D162" s="5" t="str">
        <f>IFERROR(__xludf.DUMMYFUNCTION(" GOOGLETRANSLATE(J162, ""de"", ""en"")"),"Unlimited rounds")</f>
        <v>Unlimited rounds</v>
      </c>
      <c r="E162" s="5" t="str">
        <f>IFERROR(__xludf.DUMMYFUNCTION(" GOOGLETRANSLATE(K162, ""de"", ""en"")"),"There is no limit to the number of rounds a player can participate in.")</f>
        <v>There is no limit to the number of rounds a player can participate in.</v>
      </c>
      <c r="G162" s="13" t="s">
        <v>1089</v>
      </c>
      <c r="H162" s="13" t="s">
        <v>4875</v>
      </c>
      <c r="I162" s="13" t="s">
        <v>4876</v>
      </c>
      <c r="J162" s="13" t="s">
        <v>4877</v>
      </c>
      <c r="K162" s="13" t="s">
        <v>4878</v>
      </c>
    </row>
    <row r="163" ht="22.5" customHeight="1">
      <c r="A163" s="5" t="str">
        <f>IFERROR(__xludf.DUMMYFUNCTION(" GOOGLETRANSLATE(G163, ""de"", ""en"")"),"162")</f>
        <v>162</v>
      </c>
      <c r="B163" s="5" t="str">
        <f>IFERROR(__xludf.DUMMYFUNCTION(" GOOGLETRANSLATE(H163, ""de"", ""en"")"),"What happens when a ring touches the center of the target?")</f>
        <v>What happens when a ring touches the center of the target?</v>
      </c>
      <c r="C163" s="5" t="str">
        <f>IFERROR(__xludf.DUMMYFUNCTION(" GOOGLETRANSLATE(I163, ""de"", ""en"")"),"A. It counts as 3 points. B. It counts as 5 points. C. It counts as 2 points. D. It is not counted.")</f>
        <v>A. It counts as 3 points. B. It counts as 5 points. C. It counts as 2 points. D. It is not counted.</v>
      </c>
      <c r="D163" s="5" t="str">
        <f>IFERROR(__xludf.DUMMYFUNCTION(" GOOGLETRANSLATE(J163, ""de"", ""en"")"),"It counts as 5 points.")</f>
        <v>It counts as 5 points.</v>
      </c>
      <c r="E163" s="5" t="str">
        <f>IFERROR(__xludf.DUMMYFUNCTION(" GOOGLETRANSLATE(K163, ""de"", ""en"")"),"A ring that touches the center of the target counts as 5 points.")</f>
        <v>A ring that touches the center of the target counts as 5 points.</v>
      </c>
      <c r="G163" s="13" t="s">
        <v>1097</v>
      </c>
      <c r="H163" s="13" t="s">
        <v>4879</v>
      </c>
      <c r="I163" s="13" t="s">
        <v>4880</v>
      </c>
      <c r="J163" s="13" t="s">
        <v>4881</v>
      </c>
      <c r="K163" s="13" t="s">
        <v>4882</v>
      </c>
    </row>
    <row r="164" ht="22.5" customHeight="1">
      <c r="A164" s="5" t="str">
        <f>IFERROR(__xludf.DUMMYFUNCTION(" GOOGLETRANSLATE(G164, ""de"", ""en"")"),"163")</f>
        <v>163</v>
      </c>
      <c r="B164" s="5" t="str">
        <f>IFERROR(__xludf.DUMMYFUNCTION(" GOOGLETRANSLATE(H164, ""de"", ""en"")"),"How is the winner determined if both players have the same score after all rounds?")</f>
        <v>How is the winner determined if both players have the same score after all rounds?</v>
      </c>
      <c r="C164" s="5" t="str">
        <f>IFERROR(__xludf.DUMMYFUNCTION(" GOOGLETRANSLATE(I164, ""de"", ""en"")"),"A. By the player with the most center hits. B. By a coin toss. C. The first player to score. D. By the ring closest to the target.")</f>
        <v>A. By the player with the most center hits. B. By a coin toss. C. The first player to score. D. By the ring closest to the target.</v>
      </c>
      <c r="D164" s="5" t="str">
        <f>IFERROR(__xludf.DUMMYFUNCTION(" GOOGLETRANSLATE(J164, ""de"", ""en"")"),"From the player with the most center goals")</f>
        <v>From the player with the most center goals</v>
      </c>
      <c r="E164" s="5" t="str">
        <f>IFERROR(__xludf.DUMMYFUNCTION(" GOOGLETRANSLATE(K164, ""de"", ""en"")"),"In case of a tie, the number of hits in the center decides the winner.")</f>
        <v>In case of a tie, the number of hits in the center decides the winner.</v>
      </c>
      <c r="G164" s="13" t="s">
        <v>1103</v>
      </c>
      <c r="H164" s="13" t="s">
        <v>4883</v>
      </c>
      <c r="I164" s="13" t="s">
        <v>4884</v>
      </c>
      <c r="J164" s="13" t="s">
        <v>4885</v>
      </c>
      <c r="K164" s="13" t="s">
        <v>4886</v>
      </c>
    </row>
    <row r="165" ht="22.5" customHeight="1">
      <c r="A165" s="5" t="str">
        <f>IFERROR(__xludf.DUMMYFUNCTION(" GOOGLETRANSLATE(G165, ""de"", ""en"")"),"164")</f>
        <v>164</v>
      </c>
      <c r="B165" s="5" t="str">
        <f>IFERROR(__xludf.DUMMYFUNCTION(" GOOGLETRANSLATE(H165, ""de"", ""en"")"),"Is a player allowed to change their throwing technique during the game?")</f>
        <v>Is a player allowed to change their throwing technique during the game?</v>
      </c>
      <c r="C165" s="5" t="str">
        <f>IFERROR(__xludf.DUMMYFUNCTION(" GOOGLETRANSLATE(I165, ""de"", ""en"")"),"A. Yes, but only if they lose. B. No, they must use the same technique. C. Yes, but only once. D. Yes, if the game is a draw.")</f>
        <v>A. Yes, but only if they lose. B. No, they must use the same technique. C. Yes, but only once. D. Yes, if the game is a draw.</v>
      </c>
      <c r="D165" s="5" t="str">
        <f>IFERROR(__xludf.DUMMYFUNCTION(" GOOGLETRANSLATE(J165, ""de"", ""en"")"),"No, they must use the same technique.")</f>
        <v>No, they must use the same technique.</v>
      </c>
      <c r="E165" s="5" t="str">
        <f>IFERROR(__xludf.DUMMYFUNCTION(" GOOGLETRANSLATE(K165, ""de"", ""en"")"),"A player must use the same throwing technique throughout the entire game.")</f>
        <v>A player must use the same throwing technique throughout the entire game.</v>
      </c>
      <c r="G165" s="13" t="s">
        <v>1111</v>
      </c>
      <c r="H165" s="13" t="s">
        <v>4887</v>
      </c>
      <c r="I165" s="13" t="s">
        <v>4888</v>
      </c>
      <c r="J165" s="13" t="s">
        <v>4889</v>
      </c>
      <c r="K165" s="13" t="s">
        <v>4890</v>
      </c>
    </row>
    <row r="166" ht="22.5" customHeight="1">
      <c r="A166" s="5" t="str">
        <f>IFERROR(__xludf.DUMMYFUNCTION(" GOOGLETRANSLATE(G166, ""de"", ""en"")"),"165")</f>
        <v>165</v>
      </c>
      <c r="B166" s="5" t="str">
        <f>IFERROR(__xludf.DUMMYFUNCTION(" GOOGLETRANSLATE(H166, ""de"", ""en"")"),"How much time does a player have to throw a ring once it is their turn?")</f>
        <v>How much time does a player have to throw a ring once it is their turn?</v>
      </c>
      <c r="C166" s="5" t="str">
        <f>IFERROR(__xludf.DUMMYFUNCTION(" GOOGLETRANSLATE(I166, ""de"", ""en"")"),"A. 10 seconds B. 15 seconds C. 20 seconds D. There is no time limit")</f>
        <v>A. 10 seconds B. 15 seconds C. 20 seconds D. There is no time limit</v>
      </c>
      <c r="D166" s="5" t="str">
        <f>IFERROR(__xludf.DUMMYFUNCTION(" GOOGLETRANSLATE(J166, ""de"", ""en"")"),"20 seconds")</f>
        <v>20 seconds</v>
      </c>
      <c r="E166" s="5" t="str">
        <f>IFERROR(__xludf.DUMMYFUNCTION(" GOOGLETRANSLATE(K166, ""de"", ""en"")"),"Players typically have 20 seconds to throw the ring after it is their turn.")</f>
        <v>Players typically have 20 seconds to throw the ring after it is their turn.</v>
      </c>
      <c r="G166" s="13" t="s">
        <v>1117</v>
      </c>
      <c r="H166" s="13" t="s">
        <v>4891</v>
      </c>
      <c r="I166" s="13" t="s">
        <v>4892</v>
      </c>
      <c r="J166" s="13" t="s">
        <v>4893</v>
      </c>
      <c r="K166" s="13" t="s">
        <v>4894</v>
      </c>
    </row>
    <row r="167" ht="22.5" customHeight="1">
      <c r="A167" s="5" t="str">
        <f>IFERROR(__xludf.DUMMYFUNCTION(" GOOGLETRANSLATE(G167, ""de"", ""en"")"),"166")</f>
        <v>166</v>
      </c>
      <c r="B167" s="5" t="str">
        <f>IFERROR(__xludf.DUMMYFUNCTION(" GOOGLETRANSLATE(H167, ""de"", ""en"")"),"What happens if a ring lands partially within the scoring zone?")</f>
        <v>What happens if a ring lands partially within the scoring zone?</v>
      </c>
      <c r="C167" s="5" t="str">
        <f>IFERROR(__xludf.DUMMYFUNCTION(" GOOGLETRANSLATE(I167, ""de"", ""en"")"),"A. It counts as 1 point. B. It counts as 2 points. C. It counts as 3 points. D. It is not counted.")</f>
        <v>A. It counts as 1 point. B. It counts as 2 points. C. It counts as 3 points. D. It is not counted.</v>
      </c>
      <c r="D167" s="5" t="str">
        <f>IFERROR(__xludf.DUMMYFUNCTION(" GOOGLETRANSLATE(J167, ""de"", ""en"")"),"It counts as 1 point.")</f>
        <v>It counts as 1 point.</v>
      </c>
      <c r="E167" s="5" t="str">
        <f>IFERROR(__xludf.DUMMYFUNCTION(" GOOGLETRANSLATE(K167, ""de"", ""en"")"),"A ring that is only partially landed counts as 1 point.")</f>
        <v>A ring that is only partially landed counts as 1 point.</v>
      </c>
      <c r="G167" s="13" t="s">
        <v>1125</v>
      </c>
      <c r="H167" s="13" t="s">
        <v>4895</v>
      </c>
      <c r="I167" s="13" t="s">
        <v>4896</v>
      </c>
      <c r="J167" s="13" t="s">
        <v>4897</v>
      </c>
      <c r="K167" s="13" t="s">
        <v>4898</v>
      </c>
    </row>
    <row r="168" ht="22.5" customHeight="1">
      <c r="A168" s="5" t="str">
        <f>IFERROR(__xludf.DUMMYFUNCTION(" GOOGLETRANSLATE(G168, ""de"", ""en"")"),"167")</f>
        <v>167</v>
      </c>
      <c r="B168" s="5" t="str">
        <f>IFERROR(__xludf.DUMMYFUNCTION(" GOOGLETRANSLATE(H168, ""de"", ""en"")"),"Is a player allowed to throw their ring from below?")</f>
        <v>Is a player allowed to throw their ring from below?</v>
      </c>
      <c r="C168" s="5" t="str">
        <f>IFERROR(__xludf.DUMMYFUNCTION(" GOOGLETRANSLATE(I168, ""de"", ""en"")"),"A. Yes, as long as the rules are followed. B. No, it must be an overhand throw. C. Yes, but only if the opponent agrees. D. No, underhand throws are not allowed.")</f>
        <v>A. Yes, as long as the rules are followed. B. No, it must be an overhand throw. C. Yes, but only if the opponent agrees. D. No, underhand throws are not allowed.</v>
      </c>
      <c r="D168" s="5" t="str">
        <f>IFERROR(__xludf.DUMMYFUNCTION(" GOOGLETRANSLATE(J168, ""de"", ""en"")"),"Yes, as long as the rules are followed.")</f>
        <v>Yes, as long as the rules are followed.</v>
      </c>
      <c r="E168" s="5" t="str">
        <f>IFERROR(__xludf.DUMMYFUNCTION(" GOOGLETRANSLATE(K168, ""de"", ""en"")"),"A player may also throw the ring from below, as long as he adheres to the general rules.")</f>
        <v>A player may also throw the ring from below, as long as he adheres to the general rules.</v>
      </c>
      <c r="G168" s="13" t="s">
        <v>1132</v>
      </c>
      <c r="H168" s="13" t="s">
        <v>4899</v>
      </c>
      <c r="I168" s="13" t="s">
        <v>4900</v>
      </c>
      <c r="J168" s="13" t="s">
        <v>4901</v>
      </c>
      <c r="K168" s="13" t="s">
        <v>4902</v>
      </c>
    </row>
    <row r="169" ht="22.5" customHeight="1">
      <c r="A169" s="5" t="str">
        <f>IFERROR(__xludf.DUMMYFUNCTION(" GOOGLETRANSLATE(G169, ""de"", ""en"")"),"168")</f>
        <v>168</v>
      </c>
      <c r="B169" s="5" t="str">
        <f>IFERROR(__xludf.DUMMYFUNCTION(" GOOGLETRANSLATE(H169, ""de"", ""en"")"),"Can a player throw their ring at the same time as their opponent?")</f>
        <v>Can a player throw their ring at the same time as their opponent?</v>
      </c>
      <c r="C169" s="5" t="str">
        <f>IFERROR(__xludf.DUMMYFUNCTION(" GOOGLETRANSLATE(I169, ""de"", ""en"")"),"A. Yes, if both players agree. B. Yes, but only once per game. C. No, the player must wait their turn. D. Yes, in the final round.")</f>
        <v>A. Yes, if both players agree. B. Yes, but only once per game. C. No, the player must wait their turn. D. Yes, in the final round.</v>
      </c>
      <c r="D169" s="5" t="str">
        <f>IFERROR(__xludf.DUMMYFUNCTION(" GOOGLETRANSLATE(J169, ""de"", ""en"")"),"No, the player must wait until it is their turn.")</f>
        <v>No, the player must wait until it is their turn.</v>
      </c>
      <c r="E169" s="5" t="str">
        <f>IFERROR(__xludf.DUMMYFUNCTION(" GOOGLETRANSLATE(K169, ""de"", ""en"")"),"A player must wait until it is their turn to throw their ring.")</f>
        <v>A player must wait until it is their turn to throw their ring.</v>
      </c>
      <c r="G169" s="13" t="s">
        <v>1140</v>
      </c>
      <c r="H169" s="13" t="s">
        <v>4903</v>
      </c>
      <c r="I169" s="13" t="s">
        <v>4904</v>
      </c>
      <c r="J169" s="13" t="s">
        <v>4905</v>
      </c>
      <c r="K169" s="13" t="s">
        <v>4906</v>
      </c>
    </row>
    <row r="170" ht="22.5" customHeight="1">
      <c r="A170" s="5" t="str">
        <f>IFERROR(__xludf.DUMMYFUNCTION(" GOOGLETRANSLATE(G170, ""de"", ""en"")"),"169")</f>
        <v>169</v>
      </c>
      <c r="B170" s="5" t="str">
        <f>IFERROR(__xludf.DUMMYFUNCTION(" GOOGLETRANSLATE(H170, ""de"", ""en"")"),"What happens if a player throws the ring and it bounces out of the target area?")</f>
        <v>What happens if a player throws the ring and it bounces out of the target area?</v>
      </c>
      <c r="C170" s="5" t="str">
        <f>IFERROR(__xludf.DUMMYFUNCTION(" GOOGLETRANSLATE(I170, ""de"", ""en"")"),"A. The ring is still considered valid. B. The player receives no points for this throw. C. The player receives 2 points. D. The throw counts as 1 point.")</f>
        <v>A. The ring is still considered valid. B. The player receives no points for this throw. C. The player receives 2 points. D. The throw counts as 1 point.</v>
      </c>
      <c r="D170" s="5" t="str">
        <f>IFERROR(__xludf.DUMMYFUNCTION(" GOOGLETRANSLATE(J170, ""de"", ""en"")"),"The player receives no points for this throw.")</f>
        <v>The player receives no points for this throw.</v>
      </c>
      <c r="E170" s="5" t="str">
        <f>IFERROR(__xludf.DUMMYFUNCTION(" GOOGLETRANSLATE(K170, ""de"", ""en"")"),"If the ring bounces out of the target area, it is considered invalid.")</f>
        <v>If the ring bounces out of the target area, it is considered invalid.</v>
      </c>
      <c r="G170" s="13" t="s">
        <v>1148</v>
      </c>
      <c r="H170" s="13" t="s">
        <v>4907</v>
      </c>
      <c r="I170" s="13" t="s">
        <v>4908</v>
      </c>
      <c r="J170" s="13" t="s">
        <v>4909</v>
      </c>
      <c r="K170" s="13" t="s">
        <v>4910</v>
      </c>
    </row>
    <row r="171" ht="22.5" customHeight="1">
      <c r="A171" s="5" t="str">
        <f>IFERROR(__xludf.DUMMYFUNCTION(" GOOGLETRANSLATE(G171, ""de"", ""en"")"),"170")</f>
        <v>170</v>
      </c>
      <c r="B171" s="5" t="str">
        <f>IFERROR(__xludf.DUMMYFUNCTION(" GOOGLETRANSLATE(H171, ""de"", ""en"")"),"Can a player request a break during the game?")</f>
        <v>Can a player request a break during the game?</v>
      </c>
      <c r="C171" s="5" t="str">
        <f>IFERROR(__xludf.DUMMYFUNCTION(" GOOGLETRANSLATE(I171, ""de"", ""en"")"),"A. Yes, but only once per game. B. No, the game must continue without interruption. C. Yes, if both players agree. D. Yes, if it is a long-term game.")</f>
        <v>A. Yes, but only once per game. B. No, the game must continue without interruption. C. Yes, if both players agree. D. Yes, if it is a long-term game.</v>
      </c>
      <c r="D171" s="5" t="str">
        <f>IFERROR(__xludf.DUMMYFUNCTION(" GOOGLETRANSLATE(J171, ""de"", ""en"")"),"Yes, if both players agree.")</f>
        <v>Yes, if both players agree.</v>
      </c>
      <c r="E171" s="5" t="str">
        <f>IFERROR(__xludf.DUMMYFUNCTION(" GOOGLETRANSLATE(K171, ""de"", ""en"")"),"A break can only be requested if both players agree.")</f>
        <v>A break can only be requested if both players agree.</v>
      </c>
      <c r="G171" s="13" t="s">
        <v>1154</v>
      </c>
      <c r="H171" s="13" t="s">
        <v>4911</v>
      </c>
      <c r="I171" s="13" t="s">
        <v>4912</v>
      </c>
      <c r="J171" s="13" t="s">
        <v>4913</v>
      </c>
      <c r="K171" s="13" t="s">
        <v>4914</v>
      </c>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37.63"/>
    <col customWidth="1" min="3" max="3" width="34.63"/>
    <col customWidth="1" min="4" max="5" width="37.63"/>
    <col customWidth="1" min="8" max="8" width="37.63"/>
    <col customWidth="1" min="9" max="9" width="31.5"/>
    <col customWidth="1" min="10" max="11" width="37.63"/>
  </cols>
  <sheetData>
    <row r="1" ht="22.5" customHeight="1">
      <c r="A1" s="3" t="s">
        <v>3225</v>
      </c>
      <c r="B1" s="3" t="s">
        <v>1</v>
      </c>
      <c r="C1" s="3" t="s">
        <v>2</v>
      </c>
      <c r="D1" s="3" t="s">
        <v>262</v>
      </c>
      <c r="E1" s="3" t="s">
        <v>4</v>
      </c>
      <c r="F1" s="2"/>
      <c r="G1" s="10" t="s">
        <v>3225</v>
      </c>
      <c r="H1" s="1" t="s">
        <v>6</v>
      </c>
      <c r="I1" s="1" t="s">
        <v>7</v>
      </c>
      <c r="J1" s="1" t="s">
        <v>8</v>
      </c>
      <c r="K1" s="1" t="s">
        <v>9</v>
      </c>
      <c r="L1" s="2"/>
      <c r="M1" s="2"/>
      <c r="N1" s="2"/>
      <c r="O1" s="2"/>
      <c r="P1" s="2"/>
      <c r="Q1" s="2"/>
      <c r="R1" s="2"/>
      <c r="S1" s="2"/>
      <c r="T1" s="2"/>
      <c r="U1" s="2"/>
    </row>
    <row r="2" ht="22.5" customHeight="1">
      <c r="A2" s="14">
        <v>1.0</v>
      </c>
      <c r="B2" s="4" t="s">
        <v>4915</v>
      </c>
      <c r="C2" s="4" t="s">
        <v>1071</v>
      </c>
      <c r="D2" s="4" t="s">
        <v>287</v>
      </c>
      <c r="E2" s="4" t="s">
        <v>4916</v>
      </c>
      <c r="F2" s="2"/>
      <c r="G2" s="12">
        <v>1.0</v>
      </c>
      <c r="H2" s="4" t="s">
        <v>4917</v>
      </c>
      <c r="I2" s="4" t="s">
        <v>1071</v>
      </c>
      <c r="J2" s="4" t="s">
        <v>287</v>
      </c>
      <c r="K2" s="4" t="s">
        <v>4918</v>
      </c>
      <c r="L2" s="2"/>
      <c r="M2" s="2"/>
      <c r="N2" s="2"/>
      <c r="O2" s="2"/>
      <c r="P2" s="2"/>
      <c r="Q2" s="2"/>
      <c r="R2" s="2"/>
      <c r="S2" s="2"/>
      <c r="T2" s="2"/>
      <c r="U2" s="2"/>
    </row>
    <row r="3" ht="22.5" customHeight="1">
      <c r="A3" s="14">
        <v>2.0</v>
      </c>
      <c r="B3" s="4" t="s">
        <v>4919</v>
      </c>
      <c r="C3" s="4" t="s">
        <v>4920</v>
      </c>
      <c r="D3" s="4" t="s">
        <v>4921</v>
      </c>
      <c r="E3" s="4" t="s">
        <v>4922</v>
      </c>
      <c r="F3" s="2"/>
      <c r="G3" s="12">
        <v>2.0</v>
      </c>
      <c r="H3" s="4" t="s">
        <v>4923</v>
      </c>
      <c r="I3" s="4" t="s">
        <v>4924</v>
      </c>
      <c r="J3" s="4" t="s">
        <v>4925</v>
      </c>
      <c r="K3" s="4" t="s">
        <v>4926</v>
      </c>
      <c r="L3" s="2"/>
      <c r="M3" s="2"/>
      <c r="N3" s="2"/>
      <c r="O3" s="2"/>
      <c r="P3" s="2"/>
      <c r="Q3" s="2"/>
      <c r="R3" s="2"/>
      <c r="S3" s="2"/>
      <c r="T3" s="2"/>
      <c r="U3" s="2"/>
    </row>
    <row r="4" ht="22.5" customHeight="1">
      <c r="A4" s="14">
        <v>3.0</v>
      </c>
      <c r="B4" s="4" t="s">
        <v>4927</v>
      </c>
      <c r="C4" s="4" t="s">
        <v>4928</v>
      </c>
      <c r="D4" s="4" t="s">
        <v>3906</v>
      </c>
      <c r="E4" s="4" t="s">
        <v>4929</v>
      </c>
      <c r="F4" s="2"/>
      <c r="G4" s="12">
        <v>3.0</v>
      </c>
      <c r="H4" s="4" t="s">
        <v>4930</v>
      </c>
      <c r="I4" s="4" t="s">
        <v>4931</v>
      </c>
      <c r="J4" s="4" t="s">
        <v>3910</v>
      </c>
      <c r="K4" s="4" t="s">
        <v>4932</v>
      </c>
      <c r="L4" s="2"/>
      <c r="M4" s="2"/>
      <c r="N4" s="2"/>
      <c r="O4" s="2"/>
      <c r="P4" s="2"/>
      <c r="Q4" s="2"/>
      <c r="R4" s="2"/>
      <c r="S4" s="2"/>
      <c r="T4" s="2"/>
      <c r="U4" s="2"/>
    </row>
    <row r="5" ht="22.5" customHeight="1">
      <c r="A5" s="14">
        <v>4.0</v>
      </c>
      <c r="B5" s="4" t="s">
        <v>4933</v>
      </c>
      <c r="C5" s="4" t="s">
        <v>4934</v>
      </c>
      <c r="D5" s="4" t="s">
        <v>4935</v>
      </c>
      <c r="E5" s="4" t="s">
        <v>4936</v>
      </c>
      <c r="F5" s="2"/>
      <c r="G5" s="12">
        <v>4.0</v>
      </c>
      <c r="H5" s="4" t="s">
        <v>4937</v>
      </c>
      <c r="I5" s="4" t="s">
        <v>4938</v>
      </c>
      <c r="J5" s="4" t="s">
        <v>4939</v>
      </c>
      <c r="K5" s="4" t="s">
        <v>4940</v>
      </c>
      <c r="L5" s="2"/>
      <c r="M5" s="2"/>
      <c r="N5" s="2"/>
      <c r="O5" s="2"/>
      <c r="P5" s="2"/>
      <c r="Q5" s="2"/>
      <c r="R5" s="2"/>
      <c r="S5" s="2"/>
      <c r="T5" s="2"/>
      <c r="U5" s="2"/>
    </row>
    <row r="6" ht="22.5" customHeight="1">
      <c r="A6" s="14">
        <v>5.0</v>
      </c>
      <c r="B6" s="4" t="s">
        <v>4941</v>
      </c>
      <c r="C6" s="4" t="s">
        <v>4942</v>
      </c>
      <c r="D6" s="4" t="s">
        <v>4943</v>
      </c>
      <c r="E6" s="4" t="s">
        <v>4944</v>
      </c>
      <c r="F6" s="2"/>
      <c r="G6" s="12">
        <v>5.0</v>
      </c>
      <c r="H6" s="4" t="s">
        <v>4945</v>
      </c>
      <c r="I6" s="4" t="s">
        <v>4946</v>
      </c>
      <c r="J6" s="4" t="s">
        <v>4947</v>
      </c>
      <c r="K6" s="4" t="s">
        <v>4948</v>
      </c>
      <c r="L6" s="2"/>
      <c r="M6" s="2"/>
      <c r="N6" s="2"/>
      <c r="O6" s="2"/>
      <c r="P6" s="2"/>
      <c r="Q6" s="2"/>
      <c r="R6" s="2"/>
      <c r="S6" s="2"/>
      <c r="T6" s="2"/>
      <c r="U6" s="2"/>
    </row>
    <row r="7" ht="22.5" customHeight="1">
      <c r="A7" s="14">
        <v>6.0</v>
      </c>
      <c r="B7" s="4" t="s">
        <v>4949</v>
      </c>
      <c r="C7" s="4" t="s">
        <v>4950</v>
      </c>
      <c r="D7" s="4" t="s">
        <v>1256</v>
      </c>
      <c r="E7" s="4" t="s">
        <v>4951</v>
      </c>
      <c r="F7" s="2"/>
      <c r="G7" s="12">
        <v>6.0</v>
      </c>
      <c r="H7" s="4" t="s">
        <v>4952</v>
      </c>
      <c r="I7" s="4" t="s">
        <v>4953</v>
      </c>
      <c r="J7" s="4" t="s">
        <v>4954</v>
      </c>
      <c r="K7" s="4" t="s">
        <v>4955</v>
      </c>
      <c r="L7" s="2"/>
      <c r="M7" s="2"/>
      <c r="N7" s="2"/>
      <c r="O7" s="2"/>
      <c r="P7" s="2"/>
      <c r="Q7" s="2"/>
      <c r="R7" s="2"/>
      <c r="S7" s="2"/>
      <c r="T7" s="2"/>
      <c r="U7" s="2"/>
    </row>
    <row r="8" ht="22.5" customHeight="1">
      <c r="A8" s="14">
        <v>7.0</v>
      </c>
      <c r="B8" s="4" t="s">
        <v>4956</v>
      </c>
      <c r="C8" s="4" t="s">
        <v>4957</v>
      </c>
      <c r="D8" s="4" t="s">
        <v>4958</v>
      </c>
      <c r="E8" s="4" t="s">
        <v>4959</v>
      </c>
      <c r="F8" s="2"/>
      <c r="G8" s="12">
        <v>7.0</v>
      </c>
      <c r="H8" s="4" t="s">
        <v>4960</v>
      </c>
      <c r="I8" s="4" t="s">
        <v>4961</v>
      </c>
      <c r="J8" s="4" t="s">
        <v>4962</v>
      </c>
      <c r="K8" s="4" t="s">
        <v>4963</v>
      </c>
      <c r="L8" s="2"/>
      <c r="M8" s="2"/>
      <c r="N8" s="2"/>
      <c r="O8" s="2"/>
      <c r="P8" s="2"/>
      <c r="Q8" s="2"/>
      <c r="R8" s="2"/>
      <c r="S8" s="2"/>
      <c r="T8" s="2"/>
      <c r="U8" s="2"/>
    </row>
    <row r="9" ht="22.5" customHeight="1">
      <c r="A9" s="14">
        <v>8.0</v>
      </c>
      <c r="B9" s="4" t="s">
        <v>4964</v>
      </c>
      <c r="C9" s="4" t="s">
        <v>4965</v>
      </c>
      <c r="D9" s="4" t="s">
        <v>4966</v>
      </c>
      <c r="E9" s="4" t="s">
        <v>4967</v>
      </c>
      <c r="F9" s="2"/>
      <c r="G9" s="12">
        <v>8.0</v>
      </c>
      <c r="H9" s="4" t="s">
        <v>4968</v>
      </c>
      <c r="I9" s="4" t="s">
        <v>4969</v>
      </c>
      <c r="J9" s="4" t="s">
        <v>4970</v>
      </c>
      <c r="K9" s="4" t="s">
        <v>4971</v>
      </c>
      <c r="L9" s="2"/>
      <c r="M9" s="2"/>
      <c r="N9" s="2"/>
      <c r="O9" s="2"/>
      <c r="P9" s="2"/>
      <c r="Q9" s="2"/>
      <c r="R9" s="2"/>
      <c r="S9" s="2"/>
      <c r="T9" s="2"/>
      <c r="U9" s="2"/>
    </row>
    <row r="10" ht="22.5" customHeight="1">
      <c r="A10" s="14">
        <v>9.0</v>
      </c>
      <c r="B10" s="4" t="s">
        <v>4972</v>
      </c>
      <c r="C10" s="4" t="s">
        <v>4973</v>
      </c>
      <c r="D10" s="4" t="s">
        <v>279</v>
      </c>
      <c r="E10" s="4" t="s">
        <v>4974</v>
      </c>
      <c r="F10" s="2"/>
      <c r="G10" s="12">
        <v>9.0</v>
      </c>
      <c r="H10" s="4" t="s">
        <v>4975</v>
      </c>
      <c r="I10" s="4" t="s">
        <v>4973</v>
      </c>
      <c r="J10" s="4" t="s">
        <v>279</v>
      </c>
      <c r="K10" s="4" t="s">
        <v>4976</v>
      </c>
      <c r="L10" s="2"/>
      <c r="M10" s="2"/>
      <c r="N10" s="2"/>
      <c r="O10" s="2"/>
      <c r="P10" s="2"/>
      <c r="Q10" s="2"/>
      <c r="R10" s="2"/>
      <c r="S10" s="2"/>
      <c r="T10" s="2"/>
      <c r="U10" s="2"/>
    </row>
    <row r="11" ht="22.5" customHeight="1">
      <c r="A11" s="14">
        <v>10.0</v>
      </c>
      <c r="B11" s="4" t="s">
        <v>4977</v>
      </c>
      <c r="C11" s="4" t="s">
        <v>4978</v>
      </c>
      <c r="D11" s="4" t="s">
        <v>4979</v>
      </c>
      <c r="E11" s="4" t="s">
        <v>4980</v>
      </c>
      <c r="F11" s="2"/>
      <c r="G11" s="12">
        <v>10.0</v>
      </c>
      <c r="H11" s="4" t="s">
        <v>4981</v>
      </c>
      <c r="I11" s="4" t="s">
        <v>4982</v>
      </c>
      <c r="J11" s="4" t="s">
        <v>4983</v>
      </c>
      <c r="K11" s="4" t="s">
        <v>4984</v>
      </c>
      <c r="L11" s="2"/>
      <c r="M11" s="2"/>
      <c r="N11" s="2"/>
      <c r="O11" s="2"/>
      <c r="P11" s="2"/>
      <c r="Q11" s="2"/>
      <c r="R11" s="2"/>
      <c r="S11" s="2"/>
      <c r="T11" s="2"/>
      <c r="U11" s="2"/>
    </row>
    <row r="12" ht="22.5" customHeight="1">
      <c r="A12" s="14">
        <v>11.0</v>
      </c>
      <c r="B12" s="4" t="s">
        <v>4985</v>
      </c>
      <c r="C12" s="4" t="s">
        <v>4986</v>
      </c>
      <c r="D12" s="4" t="s">
        <v>4987</v>
      </c>
      <c r="E12" s="4" t="s">
        <v>4988</v>
      </c>
      <c r="F12" s="2"/>
      <c r="G12" s="12">
        <v>11.0</v>
      </c>
      <c r="H12" s="4" t="s">
        <v>4989</v>
      </c>
      <c r="I12" s="4" t="s">
        <v>4990</v>
      </c>
      <c r="J12" s="4" t="s">
        <v>4991</v>
      </c>
      <c r="K12" s="4" t="s">
        <v>4992</v>
      </c>
      <c r="L12" s="2"/>
      <c r="M12" s="2"/>
      <c r="N12" s="2"/>
      <c r="O12" s="2"/>
      <c r="P12" s="2"/>
      <c r="Q12" s="2"/>
      <c r="R12" s="2"/>
      <c r="S12" s="2"/>
      <c r="T12" s="2"/>
      <c r="U12" s="2"/>
    </row>
    <row r="13" ht="22.5" customHeight="1">
      <c r="A13" s="14">
        <v>12.0</v>
      </c>
      <c r="B13" s="4" t="s">
        <v>4993</v>
      </c>
      <c r="C13" s="4" t="s">
        <v>4994</v>
      </c>
      <c r="D13" s="4" t="s">
        <v>4995</v>
      </c>
      <c r="E13" s="4" t="s">
        <v>4996</v>
      </c>
      <c r="F13" s="2"/>
      <c r="G13" s="12">
        <v>12.0</v>
      </c>
      <c r="H13" s="4" t="s">
        <v>4997</v>
      </c>
      <c r="I13" s="4" t="s">
        <v>4998</v>
      </c>
      <c r="J13" s="4" t="s">
        <v>4999</v>
      </c>
      <c r="K13" s="4" t="s">
        <v>5000</v>
      </c>
      <c r="L13" s="2"/>
      <c r="M13" s="2"/>
      <c r="N13" s="2"/>
      <c r="O13" s="2"/>
      <c r="P13" s="2"/>
      <c r="Q13" s="2"/>
      <c r="R13" s="2"/>
      <c r="S13" s="2"/>
      <c r="T13" s="2"/>
      <c r="U13" s="2"/>
    </row>
    <row r="14" ht="22.5" customHeight="1">
      <c r="A14" s="14">
        <v>13.0</v>
      </c>
      <c r="B14" s="4" t="s">
        <v>5001</v>
      </c>
      <c r="C14" s="4" t="s">
        <v>5002</v>
      </c>
      <c r="D14" s="4" t="s">
        <v>5003</v>
      </c>
      <c r="E14" s="4" t="s">
        <v>5004</v>
      </c>
      <c r="F14" s="2"/>
      <c r="G14" s="12">
        <v>13.0</v>
      </c>
      <c r="H14" s="4" t="s">
        <v>5005</v>
      </c>
      <c r="I14" s="4" t="s">
        <v>5006</v>
      </c>
      <c r="J14" s="4" t="s">
        <v>5007</v>
      </c>
      <c r="K14" s="4" t="s">
        <v>5008</v>
      </c>
      <c r="L14" s="2"/>
      <c r="M14" s="2"/>
      <c r="N14" s="2"/>
      <c r="O14" s="2"/>
      <c r="P14" s="2"/>
      <c r="Q14" s="2"/>
      <c r="R14" s="2"/>
      <c r="S14" s="2"/>
      <c r="T14" s="2"/>
      <c r="U14" s="2"/>
    </row>
    <row r="15" ht="22.5" customHeight="1">
      <c r="A15" s="14">
        <v>14.0</v>
      </c>
      <c r="B15" s="4" t="s">
        <v>5009</v>
      </c>
      <c r="C15" s="4" t="s">
        <v>377</v>
      </c>
      <c r="D15" s="4" t="s">
        <v>287</v>
      </c>
      <c r="E15" s="4" t="s">
        <v>5010</v>
      </c>
      <c r="F15" s="2"/>
      <c r="G15" s="12">
        <v>14.0</v>
      </c>
      <c r="H15" s="4" t="s">
        <v>5011</v>
      </c>
      <c r="I15" s="4" t="s">
        <v>377</v>
      </c>
      <c r="J15" s="4" t="s">
        <v>287</v>
      </c>
      <c r="K15" s="4" t="s">
        <v>5012</v>
      </c>
      <c r="L15" s="2"/>
      <c r="M15" s="2"/>
      <c r="N15" s="2"/>
      <c r="O15" s="2"/>
      <c r="P15" s="2"/>
      <c r="Q15" s="2"/>
      <c r="R15" s="2"/>
      <c r="S15" s="2"/>
      <c r="T15" s="2"/>
      <c r="U15" s="2"/>
    </row>
    <row r="16" ht="22.5" customHeight="1">
      <c r="A16" s="14">
        <v>15.0</v>
      </c>
      <c r="B16" s="4" t="s">
        <v>5013</v>
      </c>
      <c r="C16" s="4" t="s">
        <v>5014</v>
      </c>
      <c r="D16" s="4" t="s">
        <v>5015</v>
      </c>
      <c r="E16" s="4" t="s">
        <v>5016</v>
      </c>
      <c r="F16" s="2"/>
      <c r="G16" s="12">
        <v>15.0</v>
      </c>
      <c r="H16" s="4" t="s">
        <v>5017</v>
      </c>
      <c r="I16" s="4" t="s">
        <v>5018</v>
      </c>
      <c r="J16" s="4" t="s">
        <v>5019</v>
      </c>
      <c r="K16" s="4" t="s">
        <v>5020</v>
      </c>
      <c r="L16" s="2"/>
      <c r="M16" s="2"/>
      <c r="N16" s="2"/>
      <c r="O16" s="2"/>
      <c r="P16" s="2"/>
      <c r="Q16" s="2"/>
      <c r="R16" s="2"/>
      <c r="S16" s="2"/>
      <c r="T16" s="2"/>
      <c r="U16" s="2"/>
    </row>
    <row r="17" ht="22.5" customHeight="1">
      <c r="A17" s="14">
        <v>16.0</v>
      </c>
      <c r="B17" s="4" t="s">
        <v>5021</v>
      </c>
      <c r="C17" s="4" t="s">
        <v>5022</v>
      </c>
      <c r="D17" s="4" t="s">
        <v>5023</v>
      </c>
      <c r="E17" s="4" t="s">
        <v>5024</v>
      </c>
      <c r="F17" s="2"/>
      <c r="G17" s="12">
        <v>16.0</v>
      </c>
      <c r="H17" s="4" t="s">
        <v>5025</v>
      </c>
      <c r="I17" s="4" t="s">
        <v>5026</v>
      </c>
      <c r="J17" s="4" t="s">
        <v>5027</v>
      </c>
      <c r="K17" s="4" t="s">
        <v>5028</v>
      </c>
      <c r="L17" s="2"/>
      <c r="M17" s="2"/>
      <c r="N17" s="2"/>
      <c r="O17" s="2"/>
      <c r="P17" s="2"/>
      <c r="Q17" s="2"/>
      <c r="R17" s="2"/>
      <c r="S17" s="2"/>
      <c r="T17" s="2"/>
      <c r="U17" s="2"/>
    </row>
    <row r="18" ht="22.5" customHeight="1">
      <c r="A18" s="14">
        <v>17.0</v>
      </c>
      <c r="B18" s="4" t="s">
        <v>5029</v>
      </c>
      <c r="C18" s="4" t="s">
        <v>5030</v>
      </c>
      <c r="D18" s="4" t="s">
        <v>5031</v>
      </c>
      <c r="E18" s="4" t="s">
        <v>5032</v>
      </c>
      <c r="F18" s="2"/>
      <c r="G18" s="12">
        <v>17.0</v>
      </c>
      <c r="H18" s="4" t="s">
        <v>5033</v>
      </c>
      <c r="I18" s="4" t="s">
        <v>5034</v>
      </c>
      <c r="J18" s="4" t="s">
        <v>5035</v>
      </c>
      <c r="K18" s="4" t="s">
        <v>5036</v>
      </c>
      <c r="L18" s="2"/>
      <c r="M18" s="2"/>
      <c r="N18" s="2"/>
      <c r="O18" s="2"/>
      <c r="P18" s="2"/>
      <c r="Q18" s="2"/>
      <c r="R18" s="2"/>
      <c r="S18" s="2"/>
      <c r="T18" s="2"/>
      <c r="U18" s="2"/>
    </row>
    <row r="19" ht="22.5" customHeight="1">
      <c r="A19" s="14">
        <v>18.0</v>
      </c>
      <c r="B19" s="4" t="s">
        <v>5037</v>
      </c>
      <c r="C19" s="4" t="s">
        <v>5038</v>
      </c>
      <c r="D19" s="4" t="s">
        <v>1466</v>
      </c>
      <c r="E19" s="4" t="s">
        <v>5039</v>
      </c>
      <c r="F19" s="2"/>
      <c r="G19" s="12">
        <v>18.0</v>
      </c>
      <c r="H19" s="4" t="s">
        <v>5040</v>
      </c>
      <c r="I19" s="4" t="s">
        <v>5041</v>
      </c>
      <c r="J19" s="4" t="s">
        <v>1470</v>
      </c>
      <c r="K19" s="4" t="s">
        <v>5042</v>
      </c>
      <c r="L19" s="2"/>
      <c r="M19" s="2"/>
      <c r="N19" s="2"/>
      <c r="O19" s="2"/>
      <c r="P19" s="2"/>
      <c r="Q19" s="2"/>
      <c r="R19" s="2"/>
      <c r="S19" s="2"/>
      <c r="T19" s="2"/>
      <c r="U19" s="2"/>
    </row>
    <row r="20" ht="22.5" customHeight="1">
      <c r="A20" s="14">
        <v>19.0</v>
      </c>
      <c r="B20" s="4" t="s">
        <v>5043</v>
      </c>
      <c r="C20" s="4" t="s">
        <v>5044</v>
      </c>
      <c r="D20" s="4" t="s">
        <v>5045</v>
      </c>
      <c r="E20" s="4" t="s">
        <v>5046</v>
      </c>
      <c r="F20" s="2"/>
      <c r="G20" s="12">
        <v>19.0</v>
      </c>
      <c r="H20" s="4" t="s">
        <v>5047</v>
      </c>
      <c r="I20" s="4" t="s">
        <v>5048</v>
      </c>
      <c r="J20" s="4" t="s">
        <v>5049</v>
      </c>
      <c r="K20" s="4" t="s">
        <v>5050</v>
      </c>
      <c r="L20" s="2"/>
      <c r="M20" s="2"/>
      <c r="N20" s="2"/>
      <c r="O20" s="2"/>
      <c r="P20" s="2"/>
      <c r="Q20" s="2"/>
      <c r="R20" s="2"/>
      <c r="S20" s="2"/>
      <c r="T20" s="2"/>
      <c r="U20" s="2"/>
    </row>
    <row r="21" ht="22.5" customHeight="1">
      <c r="A21" s="14">
        <v>20.0</v>
      </c>
      <c r="B21" s="4" t="s">
        <v>5051</v>
      </c>
      <c r="C21" s="4" t="s">
        <v>5052</v>
      </c>
      <c r="D21" s="4" t="s">
        <v>5053</v>
      </c>
      <c r="E21" s="4" t="s">
        <v>5054</v>
      </c>
      <c r="F21" s="2"/>
      <c r="G21" s="12">
        <v>20.0</v>
      </c>
      <c r="H21" s="4" t="s">
        <v>5055</v>
      </c>
      <c r="I21" s="4" t="s">
        <v>5056</v>
      </c>
      <c r="J21" s="4" t="s">
        <v>5057</v>
      </c>
      <c r="K21" s="4" t="s">
        <v>5058</v>
      </c>
      <c r="L21" s="2"/>
      <c r="M21" s="2"/>
      <c r="N21" s="2"/>
      <c r="O21" s="2"/>
      <c r="P21" s="2"/>
      <c r="Q21" s="2"/>
      <c r="R21" s="2"/>
      <c r="S21" s="2"/>
      <c r="T21" s="2"/>
      <c r="U21" s="2"/>
    </row>
    <row r="22" ht="22.5" customHeight="1">
      <c r="A22" s="14">
        <v>21.0</v>
      </c>
      <c r="B22" s="4" t="s">
        <v>5059</v>
      </c>
      <c r="C22" s="4" t="s">
        <v>5060</v>
      </c>
      <c r="D22" s="4" t="s">
        <v>1256</v>
      </c>
      <c r="E22" s="4" t="s">
        <v>5061</v>
      </c>
      <c r="F22" s="2"/>
      <c r="G22" s="12">
        <v>21.0</v>
      </c>
      <c r="H22" s="4" t="s">
        <v>5062</v>
      </c>
      <c r="I22" s="4" t="s">
        <v>5063</v>
      </c>
      <c r="J22" s="4" t="s">
        <v>4954</v>
      </c>
      <c r="K22" s="4" t="s">
        <v>5064</v>
      </c>
      <c r="L22" s="2"/>
      <c r="M22" s="2"/>
      <c r="N22" s="2"/>
      <c r="O22" s="2"/>
      <c r="P22" s="2"/>
      <c r="Q22" s="2"/>
      <c r="R22" s="2"/>
      <c r="S22" s="2"/>
      <c r="T22" s="2"/>
      <c r="U22" s="2"/>
    </row>
    <row r="23" ht="22.5" customHeight="1">
      <c r="A23" s="14">
        <v>22.0</v>
      </c>
      <c r="B23" s="4" t="s">
        <v>5065</v>
      </c>
      <c r="C23" s="4" t="s">
        <v>5066</v>
      </c>
      <c r="D23" s="4" t="s">
        <v>5067</v>
      </c>
      <c r="E23" s="4" t="s">
        <v>5068</v>
      </c>
      <c r="F23" s="2"/>
      <c r="G23" s="12">
        <v>22.0</v>
      </c>
      <c r="H23" s="4" t="s">
        <v>5069</v>
      </c>
      <c r="I23" s="4" t="s">
        <v>5070</v>
      </c>
      <c r="J23" s="4" t="s">
        <v>5071</v>
      </c>
      <c r="K23" s="4" t="s">
        <v>5072</v>
      </c>
      <c r="L23" s="2"/>
      <c r="M23" s="2"/>
      <c r="N23" s="2"/>
      <c r="O23" s="2"/>
      <c r="P23" s="2"/>
      <c r="Q23" s="2"/>
      <c r="R23" s="2"/>
      <c r="S23" s="2"/>
      <c r="T23" s="2"/>
      <c r="U23" s="2"/>
    </row>
    <row r="24" ht="22.5" customHeight="1">
      <c r="A24" s="14">
        <v>23.0</v>
      </c>
      <c r="B24" s="4" t="s">
        <v>5073</v>
      </c>
      <c r="C24" s="4" t="s">
        <v>5074</v>
      </c>
      <c r="D24" s="4" t="s">
        <v>5075</v>
      </c>
      <c r="E24" s="4" t="s">
        <v>5076</v>
      </c>
      <c r="F24" s="2"/>
      <c r="G24" s="12">
        <v>23.0</v>
      </c>
      <c r="H24" s="4" t="s">
        <v>5077</v>
      </c>
      <c r="I24" s="4" t="s">
        <v>5078</v>
      </c>
      <c r="J24" s="4" t="s">
        <v>5079</v>
      </c>
      <c r="K24" s="4" t="s">
        <v>5080</v>
      </c>
      <c r="L24" s="2"/>
      <c r="M24" s="2"/>
      <c r="N24" s="2"/>
      <c r="O24" s="2"/>
      <c r="P24" s="2"/>
      <c r="Q24" s="2"/>
      <c r="R24" s="2"/>
      <c r="S24" s="2"/>
      <c r="T24" s="2"/>
      <c r="U24" s="2"/>
    </row>
    <row r="25" ht="22.5" customHeight="1">
      <c r="A25" s="14">
        <v>24.0</v>
      </c>
      <c r="B25" s="4" t="s">
        <v>5081</v>
      </c>
      <c r="C25" s="4" t="s">
        <v>5082</v>
      </c>
      <c r="D25" s="4" t="s">
        <v>5083</v>
      </c>
      <c r="E25" s="4" t="s">
        <v>5084</v>
      </c>
      <c r="F25" s="2"/>
      <c r="G25" s="12">
        <v>24.0</v>
      </c>
      <c r="H25" s="4" t="s">
        <v>5085</v>
      </c>
      <c r="I25" s="4" t="s">
        <v>5086</v>
      </c>
      <c r="J25" s="4" t="s">
        <v>5087</v>
      </c>
      <c r="K25" s="4" t="s">
        <v>5088</v>
      </c>
      <c r="L25" s="2"/>
      <c r="M25" s="2"/>
      <c r="N25" s="2"/>
      <c r="O25" s="2"/>
      <c r="P25" s="2"/>
      <c r="Q25" s="2"/>
      <c r="R25" s="2"/>
      <c r="S25" s="2"/>
      <c r="T25" s="2"/>
      <c r="U25" s="2"/>
    </row>
    <row r="26" ht="22.5" customHeight="1">
      <c r="A26" s="14">
        <v>25.0</v>
      </c>
      <c r="B26" s="4" t="s">
        <v>5089</v>
      </c>
      <c r="C26" s="4" t="s">
        <v>5090</v>
      </c>
      <c r="D26" s="4" t="s">
        <v>5091</v>
      </c>
      <c r="E26" s="4" t="s">
        <v>5092</v>
      </c>
      <c r="F26" s="2"/>
      <c r="G26" s="12">
        <v>25.0</v>
      </c>
      <c r="H26" s="4" t="s">
        <v>5093</v>
      </c>
      <c r="I26" s="4" t="s">
        <v>5094</v>
      </c>
      <c r="J26" s="4" t="s">
        <v>5095</v>
      </c>
      <c r="K26" s="4" t="s">
        <v>5096</v>
      </c>
      <c r="L26" s="2"/>
      <c r="M26" s="2"/>
      <c r="N26" s="2"/>
      <c r="O26" s="2"/>
      <c r="P26" s="2"/>
      <c r="Q26" s="2"/>
      <c r="R26" s="2"/>
      <c r="S26" s="2"/>
      <c r="T26" s="2"/>
      <c r="U26" s="2"/>
    </row>
    <row r="27" ht="22.5" customHeight="1">
      <c r="A27" s="14">
        <v>26.0</v>
      </c>
      <c r="B27" s="4" t="s">
        <v>5097</v>
      </c>
      <c r="C27" s="4" t="s">
        <v>5098</v>
      </c>
      <c r="D27" s="4" t="s">
        <v>3969</v>
      </c>
      <c r="E27" s="4" t="s">
        <v>5099</v>
      </c>
      <c r="F27" s="2"/>
      <c r="G27" s="12">
        <v>26.0</v>
      </c>
      <c r="H27" s="4" t="s">
        <v>5100</v>
      </c>
      <c r="I27" s="4" t="s">
        <v>4389</v>
      </c>
      <c r="J27" s="4" t="s">
        <v>3153</v>
      </c>
      <c r="K27" s="4" t="s">
        <v>5101</v>
      </c>
      <c r="L27" s="2"/>
      <c r="M27" s="2"/>
      <c r="N27" s="2"/>
      <c r="O27" s="2"/>
      <c r="P27" s="2"/>
      <c r="Q27" s="2"/>
      <c r="R27" s="2"/>
      <c r="S27" s="2"/>
      <c r="T27" s="2"/>
      <c r="U27" s="2"/>
    </row>
    <row r="28" ht="22.5" customHeight="1">
      <c r="A28" s="14">
        <v>27.0</v>
      </c>
      <c r="B28" s="4" t="s">
        <v>5102</v>
      </c>
      <c r="C28" s="4" t="s">
        <v>5103</v>
      </c>
      <c r="D28" s="4" t="s">
        <v>5104</v>
      </c>
      <c r="E28" s="4" t="s">
        <v>5105</v>
      </c>
      <c r="F28" s="2"/>
      <c r="G28" s="12">
        <v>27.0</v>
      </c>
      <c r="H28" s="4" t="s">
        <v>5106</v>
      </c>
      <c r="I28" s="4" t="s">
        <v>5107</v>
      </c>
      <c r="J28" s="4" t="s">
        <v>5108</v>
      </c>
      <c r="K28" s="4" t="s">
        <v>5109</v>
      </c>
      <c r="L28" s="2"/>
      <c r="M28" s="2"/>
      <c r="N28" s="2"/>
      <c r="O28" s="2"/>
      <c r="P28" s="2"/>
      <c r="Q28" s="2"/>
      <c r="R28" s="2"/>
      <c r="S28" s="2"/>
      <c r="T28" s="2"/>
      <c r="U28" s="2"/>
    </row>
    <row r="29" ht="22.5" customHeight="1">
      <c r="A29" s="14">
        <v>28.0</v>
      </c>
      <c r="B29" s="4" t="s">
        <v>5110</v>
      </c>
      <c r="C29" s="4" t="s">
        <v>5111</v>
      </c>
      <c r="D29" s="4" t="s">
        <v>5112</v>
      </c>
      <c r="E29" s="4" t="s">
        <v>5113</v>
      </c>
      <c r="F29" s="2"/>
      <c r="G29" s="12">
        <v>28.0</v>
      </c>
      <c r="H29" s="4" t="s">
        <v>5114</v>
      </c>
      <c r="I29" s="4" t="s">
        <v>5115</v>
      </c>
      <c r="J29" s="4" t="s">
        <v>5116</v>
      </c>
      <c r="K29" s="4" t="s">
        <v>5117</v>
      </c>
      <c r="L29" s="2"/>
      <c r="M29" s="2"/>
      <c r="N29" s="2"/>
      <c r="O29" s="2"/>
      <c r="P29" s="2"/>
      <c r="Q29" s="2"/>
      <c r="R29" s="2"/>
      <c r="S29" s="2"/>
      <c r="T29" s="2"/>
      <c r="U29" s="2"/>
    </row>
    <row r="30" ht="22.5" customHeight="1">
      <c r="A30" s="14">
        <v>29.0</v>
      </c>
      <c r="B30" s="4" t="s">
        <v>5118</v>
      </c>
      <c r="C30" s="4" t="s">
        <v>5119</v>
      </c>
      <c r="D30" s="4" t="s">
        <v>1466</v>
      </c>
      <c r="E30" s="4" t="s">
        <v>5120</v>
      </c>
      <c r="F30" s="2"/>
      <c r="G30" s="12">
        <v>29.0</v>
      </c>
      <c r="H30" s="4" t="s">
        <v>5121</v>
      </c>
      <c r="I30" s="4" t="s">
        <v>5122</v>
      </c>
      <c r="J30" s="4" t="s">
        <v>1470</v>
      </c>
      <c r="K30" s="4" t="s">
        <v>5123</v>
      </c>
      <c r="L30" s="2"/>
      <c r="M30" s="2"/>
      <c r="N30" s="2"/>
      <c r="O30" s="2"/>
      <c r="P30" s="2"/>
      <c r="Q30" s="2"/>
      <c r="R30" s="2"/>
      <c r="S30" s="2"/>
      <c r="T30" s="2"/>
      <c r="U30" s="2"/>
    </row>
    <row r="31" ht="22.5" customHeight="1">
      <c r="A31" s="14">
        <v>30.0</v>
      </c>
      <c r="B31" s="4" t="s">
        <v>5124</v>
      </c>
      <c r="C31" s="4" t="s">
        <v>5125</v>
      </c>
      <c r="D31" s="4" t="s">
        <v>5126</v>
      </c>
      <c r="E31" s="4" t="s">
        <v>5127</v>
      </c>
      <c r="F31" s="2"/>
      <c r="G31" s="12">
        <v>30.0</v>
      </c>
      <c r="H31" s="4" t="s">
        <v>5128</v>
      </c>
      <c r="I31" s="4" t="s">
        <v>5129</v>
      </c>
      <c r="J31" s="4" t="s">
        <v>5130</v>
      </c>
      <c r="K31" s="4" t="s">
        <v>5131</v>
      </c>
      <c r="L31" s="2"/>
      <c r="M31" s="2"/>
      <c r="N31" s="2"/>
      <c r="O31" s="2"/>
      <c r="P31" s="2"/>
      <c r="Q31" s="2"/>
      <c r="R31" s="2"/>
      <c r="S31" s="2"/>
      <c r="T31" s="2"/>
      <c r="U31" s="2"/>
    </row>
    <row r="32" ht="22.5" customHeight="1">
      <c r="A32" s="14">
        <v>31.0</v>
      </c>
      <c r="B32" s="4" t="s">
        <v>5132</v>
      </c>
      <c r="C32" s="4" t="s">
        <v>5133</v>
      </c>
      <c r="D32" s="4" t="s">
        <v>5134</v>
      </c>
      <c r="E32" s="4" t="s">
        <v>5135</v>
      </c>
      <c r="F32" s="2"/>
      <c r="G32" s="12">
        <v>31.0</v>
      </c>
      <c r="H32" s="4" t="s">
        <v>5136</v>
      </c>
      <c r="I32" s="4" t="s">
        <v>5137</v>
      </c>
      <c r="J32" s="4" t="s">
        <v>5138</v>
      </c>
      <c r="K32" s="4" t="s">
        <v>5139</v>
      </c>
      <c r="L32" s="2"/>
      <c r="M32" s="2"/>
      <c r="N32" s="2"/>
      <c r="O32" s="2"/>
      <c r="P32" s="2"/>
      <c r="Q32" s="2"/>
      <c r="R32" s="2"/>
      <c r="S32" s="2"/>
      <c r="T32" s="2"/>
      <c r="U32" s="2"/>
    </row>
    <row r="33" ht="22.5" customHeight="1">
      <c r="A33" s="14">
        <v>32.0</v>
      </c>
      <c r="B33" s="4" t="s">
        <v>5140</v>
      </c>
      <c r="C33" s="4" t="s">
        <v>5141</v>
      </c>
      <c r="D33" s="4" t="s">
        <v>5142</v>
      </c>
      <c r="E33" s="4" t="s">
        <v>5143</v>
      </c>
      <c r="F33" s="2"/>
      <c r="G33" s="12">
        <v>32.0</v>
      </c>
      <c r="H33" s="4" t="s">
        <v>5144</v>
      </c>
      <c r="I33" s="4" t="s">
        <v>5145</v>
      </c>
      <c r="J33" s="4" t="s">
        <v>5146</v>
      </c>
      <c r="K33" s="4" t="s">
        <v>5147</v>
      </c>
      <c r="L33" s="2"/>
      <c r="M33" s="2"/>
      <c r="N33" s="2"/>
      <c r="O33" s="2"/>
      <c r="P33" s="2"/>
      <c r="Q33" s="2"/>
      <c r="R33" s="2"/>
      <c r="S33" s="2"/>
      <c r="T33" s="2"/>
      <c r="U33" s="2"/>
    </row>
    <row r="34" ht="22.5" customHeight="1">
      <c r="A34" s="14">
        <v>33.0</v>
      </c>
      <c r="B34" s="4" t="s">
        <v>5148</v>
      </c>
      <c r="C34" s="4" t="s">
        <v>377</v>
      </c>
      <c r="D34" s="4" t="s">
        <v>271</v>
      </c>
      <c r="E34" s="4" t="s">
        <v>5149</v>
      </c>
      <c r="F34" s="2"/>
      <c r="G34" s="12">
        <v>33.0</v>
      </c>
      <c r="H34" s="4" t="s">
        <v>5150</v>
      </c>
      <c r="I34" s="4" t="s">
        <v>377</v>
      </c>
      <c r="J34" s="4" t="s">
        <v>271</v>
      </c>
      <c r="K34" s="4" t="s">
        <v>5151</v>
      </c>
      <c r="L34" s="2"/>
      <c r="M34" s="2"/>
      <c r="N34" s="2"/>
      <c r="O34" s="2"/>
      <c r="P34" s="2"/>
      <c r="Q34" s="2"/>
      <c r="R34" s="2"/>
      <c r="S34" s="2"/>
      <c r="T34" s="2"/>
      <c r="U34" s="2"/>
    </row>
    <row r="35" ht="22.5" customHeight="1">
      <c r="A35" s="14">
        <v>34.0</v>
      </c>
      <c r="B35" s="4" t="s">
        <v>5152</v>
      </c>
      <c r="C35" s="4" t="s">
        <v>5153</v>
      </c>
      <c r="D35" s="4" t="s">
        <v>4935</v>
      </c>
      <c r="E35" s="4" t="s">
        <v>5154</v>
      </c>
      <c r="F35" s="2"/>
      <c r="G35" s="12">
        <v>34.0</v>
      </c>
      <c r="H35" s="4" t="s">
        <v>5155</v>
      </c>
      <c r="I35" s="4" t="s">
        <v>5156</v>
      </c>
      <c r="J35" s="4" t="s">
        <v>4939</v>
      </c>
      <c r="K35" s="4" t="s">
        <v>5157</v>
      </c>
      <c r="L35" s="2"/>
      <c r="M35" s="2"/>
      <c r="N35" s="2"/>
      <c r="O35" s="2"/>
      <c r="P35" s="2"/>
      <c r="Q35" s="2"/>
      <c r="R35" s="2"/>
      <c r="S35" s="2"/>
      <c r="T35" s="2"/>
      <c r="U35" s="2"/>
    </row>
    <row r="36" ht="22.5" customHeight="1">
      <c r="A36" s="14">
        <v>35.0</v>
      </c>
      <c r="B36" s="4" t="s">
        <v>5158</v>
      </c>
      <c r="C36" s="4" t="s">
        <v>5159</v>
      </c>
      <c r="D36" s="4" t="s">
        <v>5160</v>
      </c>
      <c r="E36" s="4" t="s">
        <v>5161</v>
      </c>
      <c r="F36" s="2"/>
      <c r="G36" s="12">
        <v>35.0</v>
      </c>
      <c r="H36" s="4" t="s">
        <v>5162</v>
      </c>
      <c r="I36" s="4" t="s">
        <v>5163</v>
      </c>
      <c r="J36" s="4" t="s">
        <v>4651</v>
      </c>
      <c r="K36" s="4" t="s">
        <v>5164</v>
      </c>
      <c r="L36" s="2"/>
      <c r="M36" s="2"/>
      <c r="N36" s="2"/>
      <c r="O36" s="2"/>
      <c r="P36" s="2"/>
      <c r="Q36" s="2"/>
      <c r="R36" s="2"/>
      <c r="S36" s="2"/>
      <c r="T36" s="2"/>
      <c r="U36" s="2"/>
    </row>
    <row r="37" ht="22.5" customHeight="1">
      <c r="A37" s="14">
        <v>36.0</v>
      </c>
      <c r="B37" s="4" t="s">
        <v>5165</v>
      </c>
      <c r="C37" s="4" t="s">
        <v>5166</v>
      </c>
      <c r="D37" s="4" t="s">
        <v>5112</v>
      </c>
      <c r="E37" s="4" t="s">
        <v>5167</v>
      </c>
      <c r="F37" s="2"/>
      <c r="G37" s="12">
        <v>36.0</v>
      </c>
      <c r="H37" s="4" t="s">
        <v>5168</v>
      </c>
      <c r="I37" s="4" t="s">
        <v>5169</v>
      </c>
      <c r="J37" s="4" t="s">
        <v>5116</v>
      </c>
      <c r="K37" s="4" t="s">
        <v>5170</v>
      </c>
      <c r="L37" s="2"/>
      <c r="M37" s="2"/>
      <c r="N37" s="2"/>
      <c r="O37" s="2"/>
      <c r="P37" s="2"/>
      <c r="Q37" s="2"/>
      <c r="R37" s="2"/>
      <c r="S37" s="2"/>
      <c r="T37" s="2"/>
      <c r="U37" s="2"/>
    </row>
    <row r="38" ht="22.5" customHeight="1">
      <c r="A38" s="14">
        <v>37.0</v>
      </c>
      <c r="B38" s="4" t="s">
        <v>5171</v>
      </c>
      <c r="C38" s="4" t="s">
        <v>5172</v>
      </c>
      <c r="D38" s="4" t="s">
        <v>5083</v>
      </c>
      <c r="E38" s="4" t="s">
        <v>5173</v>
      </c>
      <c r="F38" s="2"/>
      <c r="G38" s="12">
        <v>37.0</v>
      </c>
      <c r="H38" s="4" t="s">
        <v>5174</v>
      </c>
      <c r="I38" s="4" t="s">
        <v>5175</v>
      </c>
      <c r="J38" s="4" t="s">
        <v>5087</v>
      </c>
      <c r="K38" s="4" t="s">
        <v>5176</v>
      </c>
      <c r="L38" s="2"/>
      <c r="M38" s="2"/>
      <c r="N38" s="2"/>
      <c r="O38" s="2"/>
      <c r="P38" s="2"/>
      <c r="Q38" s="2"/>
      <c r="R38" s="2"/>
      <c r="S38" s="2"/>
      <c r="T38" s="2"/>
      <c r="U38" s="2"/>
    </row>
    <row r="39" ht="22.5" customHeight="1">
      <c r="A39" s="14">
        <v>38.0</v>
      </c>
      <c r="B39" s="4" t="s">
        <v>5177</v>
      </c>
      <c r="C39" s="4" t="s">
        <v>5178</v>
      </c>
      <c r="D39" s="4" t="s">
        <v>4979</v>
      </c>
      <c r="E39" s="4" t="s">
        <v>5179</v>
      </c>
      <c r="F39" s="2"/>
      <c r="G39" s="12">
        <v>38.0</v>
      </c>
      <c r="H39" s="4" t="s">
        <v>5180</v>
      </c>
      <c r="I39" s="4" t="s">
        <v>5181</v>
      </c>
      <c r="J39" s="4" t="s">
        <v>4983</v>
      </c>
      <c r="K39" s="4" t="s">
        <v>5182</v>
      </c>
      <c r="L39" s="2"/>
      <c r="M39" s="2"/>
      <c r="N39" s="2"/>
      <c r="O39" s="2"/>
      <c r="P39" s="2"/>
      <c r="Q39" s="2"/>
      <c r="R39" s="2"/>
      <c r="S39" s="2"/>
      <c r="T39" s="2"/>
      <c r="U39" s="2"/>
    </row>
    <row r="40" ht="22.5" customHeight="1">
      <c r="A40" s="14">
        <v>39.0</v>
      </c>
      <c r="B40" s="4" t="s">
        <v>5183</v>
      </c>
      <c r="C40" s="4" t="s">
        <v>5184</v>
      </c>
      <c r="D40" s="4" t="s">
        <v>5160</v>
      </c>
      <c r="E40" s="4" t="s">
        <v>5185</v>
      </c>
      <c r="F40" s="2"/>
      <c r="G40" s="12">
        <v>39.0</v>
      </c>
      <c r="H40" s="4" t="s">
        <v>5186</v>
      </c>
      <c r="I40" s="4" t="s">
        <v>5187</v>
      </c>
      <c r="J40" s="4" t="s">
        <v>4651</v>
      </c>
      <c r="K40" s="4" t="s">
        <v>5188</v>
      </c>
      <c r="L40" s="2"/>
      <c r="M40" s="2"/>
      <c r="N40" s="2"/>
      <c r="O40" s="2"/>
      <c r="P40" s="2"/>
      <c r="Q40" s="2"/>
      <c r="R40" s="2"/>
      <c r="S40" s="2"/>
      <c r="T40" s="2"/>
      <c r="U40" s="2"/>
    </row>
    <row r="41" ht="22.5" customHeight="1">
      <c r="A41" s="14">
        <v>40.0</v>
      </c>
      <c r="B41" s="4" t="s">
        <v>5189</v>
      </c>
      <c r="C41" s="4" t="s">
        <v>5190</v>
      </c>
      <c r="D41" s="4" t="s">
        <v>279</v>
      </c>
      <c r="E41" s="4" t="s">
        <v>5191</v>
      </c>
      <c r="F41" s="2"/>
      <c r="G41" s="12">
        <v>40.0</v>
      </c>
      <c r="H41" s="4" t="s">
        <v>5192</v>
      </c>
      <c r="I41" s="4" t="s">
        <v>5190</v>
      </c>
      <c r="J41" s="4" t="s">
        <v>279</v>
      </c>
      <c r="K41" s="4" t="s">
        <v>5193</v>
      </c>
      <c r="L41" s="2"/>
      <c r="M41" s="2"/>
      <c r="N41" s="2"/>
      <c r="O41" s="2"/>
      <c r="P41" s="2"/>
      <c r="Q41" s="2"/>
      <c r="R41" s="2"/>
      <c r="S41" s="2"/>
      <c r="T41" s="2"/>
      <c r="U41" s="2"/>
    </row>
    <row r="42" ht="22.5" customHeight="1">
      <c r="A42" s="14">
        <v>41.0</v>
      </c>
      <c r="B42" s="4" t="s">
        <v>5194</v>
      </c>
      <c r="C42" s="4" t="s">
        <v>5195</v>
      </c>
      <c r="D42" s="4" t="s">
        <v>5196</v>
      </c>
      <c r="E42" s="4" t="s">
        <v>5197</v>
      </c>
      <c r="F42" s="2"/>
      <c r="G42" s="12">
        <v>41.0</v>
      </c>
      <c r="H42" s="4" t="s">
        <v>5198</v>
      </c>
      <c r="I42" s="4" t="s">
        <v>5199</v>
      </c>
      <c r="J42" s="4" t="s">
        <v>5200</v>
      </c>
      <c r="K42" s="4" t="s">
        <v>5201</v>
      </c>
      <c r="L42" s="2"/>
      <c r="M42" s="2"/>
      <c r="N42" s="2"/>
      <c r="O42" s="2"/>
      <c r="P42" s="2"/>
      <c r="Q42" s="2"/>
      <c r="R42" s="2"/>
      <c r="S42" s="2"/>
      <c r="T42" s="2"/>
      <c r="U42" s="2"/>
    </row>
    <row r="43" ht="22.5" customHeight="1">
      <c r="A43" s="14">
        <v>42.0</v>
      </c>
      <c r="B43" s="4" t="s">
        <v>5202</v>
      </c>
      <c r="C43" s="4" t="s">
        <v>5203</v>
      </c>
      <c r="D43" s="4" t="s">
        <v>5204</v>
      </c>
      <c r="E43" s="4" t="s">
        <v>5205</v>
      </c>
      <c r="F43" s="2"/>
      <c r="G43" s="12">
        <v>42.0</v>
      </c>
      <c r="H43" s="4" t="s">
        <v>5206</v>
      </c>
      <c r="I43" s="4" t="s">
        <v>5207</v>
      </c>
      <c r="J43" s="4" t="s">
        <v>5208</v>
      </c>
      <c r="K43" s="4" t="s">
        <v>5209</v>
      </c>
      <c r="L43" s="2"/>
      <c r="M43" s="2"/>
      <c r="N43" s="2"/>
      <c r="O43" s="2"/>
      <c r="P43" s="2"/>
      <c r="Q43" s="2"/>
      <c r="R43" s="2"/>
      <c r="S43" s="2"/>
      <c r="T43" s="2"/>
      <c r="U43" s="2"/>
    </row>
    <row r="44" ht="22.5" customHeight="1">
      <c r="A44" s="14">
        <v>43.0</v>
      </c>
      <c r="B44" s="4" t="s">
        <v>5210</v>
      </c>
      <c r="C44" s="4" t="s">
        <v>5211</v>
      </c>
      <c r="D44" s="4" t="s">
        <v>5212</v>
      </c>
      <c r="E44" s="4" t="s">
        <v>5213</v>
      </c>
      <c r="F44" s="2"/>
      <c r="G44" s="12">
        <v>43.0</v>
      </c>
      <c r="H44" s="4" t="s">
        <v>5214</v>
      </c>
      <c r="I44" s="4" t="s">
        <v>5215</v>
      </c>
      <c r="J44" s="4" t="s">
        <v>5216</v>
      </c>
      <c r="K44" s="4" t="s">
        <v>5217</v>
      </c>
      <c r="L44" s="2"/>
      <c r="M44" s="2"/>
      <c r="N44" s="2"/>
      <c r="O44" s="2"/>
      <c r="P44" s="2"/>
      <c r="Q44" s="2"/>
      <c r="R44" s="2"/>
      <c r="S44" s="2"/>
      <c r="T44" s="2"/>
      <c r="U44" s="2"/>
    </row>
    <row r="45" ht="22.5" customHeight="1">
      <c r="A45" s="14">
        <v>44.0</v>
      </c>
      <c r="B45" s="4" t="s">
        <v>5218</v>
      </c>
      <c r="C45" s="4" t="s">
        <v>5219</v>
      </c>
      <c r="D45" s="4" t="s">
        <v>1256</v>
      </c>
      <c r="E45" s="4" t="s">
        <v>1554</v>
      </c>
      <c r="F45" s="2"/>
      <c r="G45" s="12">
        <v>44.0</v>
      </c>
      <c r="H45" s="4" t="s">
        <v>5220</v>
      </c>
      <c r="I45" s="4" t="s">
        <v>5221</v>
      </c>
      <c r="J45" s="4" t="s">
        <v>4954</v>
      </c>
      <c r="K45" s="4" t="s">
        <v>1557</v>
      </c>
      <c r="L45" s="2"/>
      <c r="M45" s="2"/>
      <c r="N45" s="2"/>
      <c r="O45" s="2"/>
      <c r="P45" s="2"/>
      <c r="Q45" s="2"/>
      <c r="R45" s="2"/>
      <c r="S45" s="2"/>
      <c r="T45" s="2"/>
      <c r="U45" s="2"/>
    </row>
    <row r="46" ht="22.5" customHeight="1">
      <c r="A46" s="14">
        <v>45.0</v>
      </c>
      <c r="B46" s="4" t="s">
        <v>5222</v>
      </c>
      <c r="C46" s="4" t="s">
        <v>5223</v>
      </c>
      <c r="D46" s="4" t="s">
        <v>5224</v>
      </c>
      <c r="E46" s="4" t="s">
        <v>5225</v>
      </c>
      <c r="F46" s="2"/>
      <c r="G46" s="12">
        <v>45.0</v>
      </c>
      <c r="H46" s="4" t="s">
        <v>5226</v>
      </c>
      <c r="I46" s="4" t="s">
        <v>5227</v>
      </c>
      <c r="J46" s="4" t="s">
        <v>5228</v>
      </c>
      <c r="K46" s="4" t="s">
        <v>5229</v>
      </c>
      <c r="L46" s="2"/>
      <c r="M46" s="2"/>
      <c r="N46" s="2"/>
      <c r="O46" s="2"/>
      <c r="P46" s="2"/>
      <c r="Q46" s="2"/>
      <c r="R46" s="2"/>
      <c r="S46" s="2"/>
      <c r="T46" s="2"/>
      <c r="U46" s="2"/>
    </row>
    <row r="47" ht="22.5" customHeight="1">
      <c r="A47" s="14">
        <v>46.0</v>
      </c>
      <c r="B47" s="4" t="s">
        <v>5230</v>
      </c>
      <c r="C47" s="4" t="s">
        <v>5231</v>
      </c>
      <c r="D47" s="4" t="s">
        <v>5134</v>
      </c>
      <c r="E47" s="4" t="s">
        <v>5232</v>
      </c>
      <c r="F47" s="2"/>
      <c r="G47" s="12">
        <v>46.0</v>
      </c>
      <c r="H47" s="4" t="s">
        <v>5233</v>
      </c>
      <c r="I47" s="4" t="s">
        <v>5234</v>
      </c>
      <c r="J47" s="4" t="s">
        <v>5138</v>
      </c>
      <c r="K47" s="4" t="s">
        <v>5235</v>
      </c>
      <c r="L47" s="2"/>
      <c r="M47" s="2"/>
      <c r="N47" s="2"/>
      <c r="O47" s="2"/>
      <c r="P47" s="2"/>
      <c r="Q47" s="2"/>
      <c r="R47" s="2"/>
      <c r="S47" s="2"/>
      <c r="T47" s="2"/>
      <c r="U47" s="2"/>
    </row>
    <row r="48" ht="22.5" customHeight="1">
      <c r="A48" s="14">
        <v>47.0</v>
      </c>
      <c r="B48" s="4" t="s">
        <v>5236</v>
      </c>
      <c r="C48" s="4" t="s">
        <v>5237</v>
      </c>
      <c r="D48" s="4" t="s">
        <v>5238</v>
      </c>
      <c r="E48" s="4" t="s">
        <v>5239</v>
      </c>
      <c r="F48" s="2"/>
      <c r="G48" s="12">
        <v>47.0</v>
      </c>
      <c r="H48" s="4" t="s">
        <v>5240</v>
      </c>
      <c r="I48" s="4" t="s">
        <v>5241</v>
      </c>
      <c r="J48" s="4" t="s">
        <v>5242</v>
      </c>
      <c r="K48" s="4" t="s">
        <v>5243</v>
      </c>
      <c r="L48" s="2"/>
      <c r="M48" s="2"/>
      <c r="N48" s="2"/>
      <c r="O48" s="2"/>
      <c r="P48" s="2"/>
      <c r="Q48" s="2"/>
      <c r="R48" s="2"/>
      <c r="S48" s="2"/>
      <c r="T48" s="2"/>
      <c r="U48" s="2"/>
    </row>
    <row r="49" ht="22.5" customHeight="1">
      <c r="A49" s="14">
        <v>48.0</v>
      </c>
      <c r="B49" s="4" t="s">
        <v>5244</v>
      </c>
      <c r="C49" s="4" t="s">
        <v>5245</v>
      </c>
      <c r="D49" s="4" t="s">
        <v>5246</v>
      </c>
      <c r="E49" s="4" t="s">
        <v>5247</v>
      </c>
      <c r="F49" s="2"/>
      <c r="G49" s="12">
        <v>48.0</v>
      </c>
      <c r="H49" s="4" t="s">
        <v>5248</v>
      </c>
      <c r="I49" s="4" t="s">
        <v>5249</v>
      </c>
      <c r="J49" s="4" t="s">
        <v>5250</v>
      </c>
      <c r="K49" s="4" t="s">
        <v>5251</v>
      </c>
      <c r="L49" s="2"/>
      <c r="M49" s="2"/>
      <c r="N49" s="2"/>
      <c r="O49" s="2"/>
      <c r="P49" s="2"/>
      <c r="Q49" s="2"/>
      <c r="R49" s="2"/>
      <c r="S49" s="2"/>
      <c r="T49" s="2"/>
      <c r="U49" s="2"/>
    </row>
    <row r="50" ht="22.5" customHeight="1">
      <c r="A50" s="14">
        <v>49.0</v>
      </c>
      <c r="B50" s="4" t="s">
        <v>5252</v>
      </c>
      <c r="C50" s="4" t="s">
        <v>5253</v>
      </c>
      <c r="D50" s="4" t="s">
        <v>5160</v>
      </c>
      <c r="E50" s="4" t="s">
        <v>5254</v>
      </c>
      <c r="F50" s="2"/>
      <c r="G50" s="12">
        <v>49.0</v>
      </c>
      <c r="H50" s="4" t="s">
        <v>5255</v>
      </c>
      <c r="I50" s="4" t="s">
        <v>5256</v>
      </c>
      <c r="J50" s="4" t="s">
        <v>4651</v>
      </c>
      <c r="K50" s="4" t="s">
        <v>5257</v>
      </c>
      <c r="L50" s="2"/>
      <c r="M50" s="2"/>
      <c r="N50" s="2"/>
      <c r="O50" s="2"/>
      <c r="P50" s="2"/>
      <c r="Q50" s="2"/>
      <c r="R50" s="2"/>
      <c r="S50" s="2"/>
      <c r="T50" s="2"/>
      <c r="U50" s="2"/>
    </row>
    <row r="51" ht="22.5" customHeight="1">
      <c r="A51" s="14">
        <v>50.0</v>
      </c>
      <c r="B51" s="4" t="s">
        <v>5258</v>
      </c>
      <c r="C51" s="4" t="s">
        <v>5259</v>
      </c>
      <c r="D51" s="4" t="s">
        <v>5015</v>
      </c>
      <c r="E51" s="4" t="s">
        <v>5260</v>
      </c>
      <c r="F51" s="2"/>
      <c r="G51" s="12">
        <v>50.0</v>
      </c>
      <c r="H51" s="4" t="s">
        <v>5261</v>
      </c>
      <c r="I51" s="4" t="s">
        <v>5262</v>
      </c>
      <c r="J51" s="4" t="s">
        <v>5019</v>
      </c>
      <c r="K51" s="4" t="s">
        <v>5263</v>
      </c>
      <c r="L51" s="2"/>
      <c r="M51" s="2"/>
      <c r="N51" s="2"/>
      <c r="O51" s="2"/>
      <c r="P51" s="2"/>
      <c r="Q51" s="2"/>
      <c r="R51" s="2"/>
      <c r="S51" s="2"/>
      <c r="T51" s="2"/>
      <c r="U51" s="2"/>
    </row>
    <row r="52" ht="22.5" customHeight="1">
      <c r="A52" s="14">
        <v>51.0</v>
      </c>
      <c r="B52" s="4" t="s">
        <v>5264</v>
      </c>
      <c r="C52" s="4" t="s">
        <v>5265</v>
      </c>
      <c r="D52" s="4" t="s">
        <v>4995</v>
      </c>
      <c r="E52" s="4" t="s">
        <v>4996</v>
      </c>
      <c r="F52" s="2"/>
      <c r="G52" s="12">
        <v>51.0</v>
      </c>
      <c r="H52" s="4" t="s">
        <v>5266</v>
      </c>
      <c r="I52" s="4" t="s">
        <v>5267</v>
      </c>
      <c r="J52" s="4" t="s">
        <v>4999</v>
      </c>
      <c r="K52" s="4" t="s">
        <v>5268</v>
      </c>
      <c r="L52" s="2"/>
      <c r="M52" s="2"/>
      <c r="N52" s="2"/>
      <c r="O52" s="2"/>
      <c r="P52" s="2"/>
      <c r="Q52" s="2"/>
      <c r="R52" s="2"/>
      <c r="S52" s="2"/>
      <c r="T52" s="2"/>
      <c r="U52" s="2"/>
    </row>
    <row r="53" ht="22.5" customHeight="1">
      <c r="A53" s="14">
        <v>52.0</v>
      </c>
      <c r="B53" s="4" t="s">
        <v>5269</v>
      </c>
      <c r="C53" s="4" t="s">
        <v>5270</v>
      </c>
      <c r="D53" s="4" t="s">
        <v>5271</v>
      </c>
      <c r="E53" s="4" t="s">
        <v>5272</v>
      </c>
      <c r="F53" s="2"/>
      <c r="G53" s="12">
        <v>52.0</v>
      </c>
      <c r="H53" s="4" t="s">
        <v>5273</v>
      </c>
      <c r="I53" s="4" t="s">
        <v>5274</v>
      </c>
      <c r="J53" s="4" t="s">
        <v>5275</v>
      </c>
      <c r="K53" s="4" t="s">
        <v>5276</v>
      </c>
      <c r="L53" s="2"/>
      <c r="M53" s="2"/>
      <c r="N53" s="2"/>
      <c r="O53" s="2"/>
      <c r="P53" s="2"/>
      <c r="Q53" s="2"/>
      <c r="R53" s="2"/>
      <c r="S53" s="2"/>
      <c r="T53" s="2"/>
      <c r="U53" s="2"/>
    </row>
    <row r="54" ht="22.5" customHeight="1">
      <c r="A54" s="14">
        <v>53.0</v>
      </c>
      <c r="B54" s="4" t="s">
        <v>5277</v>
      </c>
      <c r="C54" s="4" t="s">
        <v>5278</v>
      </c>
      <c r="D54" s="4" t="s">
        <v>5279</v>
      </c>
      <c r="E54" s="4" t="s">
        <v>5280</v>
      </c>
      <c r="F54" s="2"/>
      <c r="G54" s="12">
        <v>53.0</v>
      </c>
      <c r="H54" s="4" t="s">
        <v>5281</v>
      </c>
      <c r="I54" s="4" t="s">
        <v>5282</v>
      </c>
      <c r="J54" s="4" t="s">
        <v>5283</v>
      </c>
      <c r="K54" s="4" t="s">
        <v>5284</v>
      </c>
      <c r="L54" s="2"/>
      <c r="M54" s="2"/>
      <c r="N54" s="2"/>
      <c r="O54" s="2"/>
      <c r="P54" s="2"/>
      <c r="Q54" s="2"/>
      <c r="R54" s="2"/>
      <c r="S54" s="2"/>
      <c r="T54" s="2"/>
      <c r="U54" s="2"/>
    </row>
    <row r="55" ht="22.5" customHeight="1">
      <c r="A55" s="14">
        <v>54.0</v>
      </c>
      <c r="B55" s="4" t="s">
        <v>5285</v>
      </c>
      <c r="C55" s="4" t="s">
        <v>5286</v>
      </c>
      <c r="D55" s="4" t="s">
        <v>5287</v>
      </c>
      <c r="E55" s="4" t="s">
        <v>5288</v>
      </c>
      <c r="F55" s="2"/>
      <c r="G55" s="12">
        <v>54.0</v>
      </c>
      <c r="H55" s="4" t="s">
        <v>5289</v>
      </c>
      <c r="I55" s="4" t="s">
        <v>5290</v>
      </c>
      <c r="J55" s="4" t="s">
        <v>5291</v>
      </c>
      <c r="K55" s="4" t="s">
        <v>5292</v>
      </c>
      <c r="L55" s="2"/>
      <c r="M55" s="2"/>
      <c r="N55" s="2"/>
      <c r="O55" s="2"/>
      <c r="P55" s="2"/>
      <c r="Q55" s="2"/>
      <c r="R55" s="2"/>
      <c r="S55" s="2"/>
      <c r="T55" s="2"/>
      <c r="U55" s="2"/>
    </row>
    <row r="56" ht="22.5" customHeight="1">
      <c r="A56" s="14">
        <v>55.0</v>
      </c>
      <c r="B56" s="4" t="s">
        <v>5293</v>
      </c>
      <c r="C56" s="4" t="s">
        <v>5294</v>
      </c>
      <c r="D56" s="4" t="s">
        <v>5126</v>
      </c>
      <c r="E56" s="4" t="s">
        <v>5295</v>
      </c>
      <c r="F56" s="2"/>
      <c r="G56" s="12">
        <v>55.0</v>
      </c>
      <c r="H56" s="4" t="s">
        <v>5296</v>
      </c>
      <c r="I56" s="4" t="s">
        <v>5297</v>
      </c>
      <c r="J56" s="4" t="s">
        <v>5130</v>
      </c>
      <c r="K56" s="4" t="s">
        <v>5298</v>
      </c>
      <c r="L56" s="2"/>
      <c r="M56" s="2"/>
      <c r="N56" s="2"/>
      <c r="O56" s="2"/>
      <c r="P56" s="2"/>
      <c r="Q56" s="2"/>
      <c r="R56" s="2"/>
      <c r="S56" s="2"/>
      <c r="T56" s="2"/>
      <c r="U56" s="2"/>
    </row>
    <row r="57" ht="22.5" customHeight="1">
      <c r="A57" s="14">
        <v>56.0</v>
      </c>
      <c r="B57" s="4" t="s">
        <v>5299</v>
      </c>
      <c r="C57" s="4" t="s">
        <v>5300</v>
      </c>
      <c r="D57" s="4" t="s">
        <v>5301</v>
      </c>
      <c r="E57" s="4" t="s">
        <v>5302</v>
      </c>
      <c r="F57" s="2"/>
      <c r="G57" s="12">
        <v>56.0</v>
      </c>
      <c r="H57" s="4" t="s">
        <v>5303</v>
      </c>
      <c r="I57" s="4" t="s">
        <v>5304</v>
      </c>
      <c r="J57" s="4" t="s">
        <v>5305</v>
      </c>
      <c r="K57" s="4" t="s">
        <v>5306</v>
      </c>
      <c r="L57" s="2"/>
      <c r="M57" s="2"/>
      <c r="N57" s="2"/>
      <c r="O57" s="2"/>
      <c r="P57" s="2"/>
      <c r="Q57" s="2"/>
      <c r="R57" s="2"/>
      <c r="S57" s="2"/>
      <c r="T57" s="2"/>
      <c r="U57" s="2"/>
    </row>
    <row r="58" ht="22.5" customHeight="1">
      <c r="A58" s="14">
        <v>57.0</v>
      </c>
      <c r="B58" s="4" t="s">
        <v>5307</v>
      </c>
      <c r="C58" s="4" t="s">
        <v>5308</v>
      </c>
      <c r="D58" s="4" t="s">
        <v>5160</v>
      </c>
      <c r="E58" s="4" t="s">
        <v>5309</v>
      </c>
      <c r="F58" s="2"/>
      <c r="G58" s="12">
        <v>57.0</v>
      </c>
      <c r="H58" s="4" t="s">
        <v>5310</v>
      </c>
      <c r="I58" s="4" t="s">
        <v>5311</v>
      </c>
      <c r="J58" s="4" t="s">
        <v>5312</v>
      </c>
      <c r="K58" s="4" t="s">
        <v>5313</v>
      </c>
      <c r="L58" s="2"/>
      <c r="M58" s="2"/>
      <c r="N58" s="2"/>
      <c r="O58" s="2"/>
      <c r="P58" s="2"/>
      <c r="Q58" s="2"/>
      <c r="R58" s="2"/>
      <c r="S58" s="2"/>
      <c r="T58" s="2"/>
      <c r="U58" s="2"/>
    </row>
    <row r="59" ht="22.5" customHeight="1">
      <c r="A59" s="14">
        <v>58.0</v>
      </c>
      <c r="B59" s="4" t="s">
        <v>5314</v>
      </c>
      <c r="C59" s="4" t="s">
        <v>5315</v>
      </c>
      <c r="D59" s="4" t="s">
        <v>5160</v>
      </c>
      <c r="E59" s="4" t="s">
        <v>5316</v>
      </c>
      <c r="F59" s="2"/>
      <c r="G59" s="12">
        <v>58.0</v>
      </c>
      <c r="H59" s="4" t="s">
        <v>5317</v>
      </c>
      <c r="I59" s="4" t="s">
        <v>5318</v>
      </c>
      <c r="J59" s="4" t="s">
        <v>5312</v>
      </c>
      <c r="K59" s="4" t="s">
        <v>5319</v>
      </c>
      <c r="L59" s="2"/>
      <c r="M59" s="2"/>
      <c r="N59" s="2"/>
      <c r="O59" s="2"/>
      <c r="P59" s="2"/>
      <c r="Q59" s="2"/>
      <c r="R59" s="2"/>
      <c r="S59" s="2"/>
      <c r="T59" s="2"/>
      <c r="U59" s="2"/>
    </row>
    <row r="60" ht="22.5" customHeight="1">
      <c r="A60" s="14">
        <v>59.0</v>
      </c>
      <c r="B60" s="4" t="s">
        <v>5320</v>
      </c>
      <c r="C60" s="4" t="s">
        <v>5321</v>
      </c>
      <c r="D60" s="4" t="s">
        <v>5322</v>
      </c>
      <c r="E60" s="4" t="s">
        <v>5323</v>
      </c>
      <c r="F60" s="2"/>
      <c r="G60" s="12">
        <v>59.0</v>
      </c>
      <c r="H60" s="4" t="s">
        <v>5324</v>
      </c>
      <c r="I60" s="4" t="s">
        <v>5325</v>
      </c>
      <c r="J60" s="4" t="s">
        <v>5326</v>
      </c>
      <c r="K60" s="4" t="s">
        <v>5327</v>
      </c>
      <c r="L60" s="2"/>
      <c r="M60" s="2"/>
      <c r="N60" s="2"/>
      <c r="O60" s="2"/>
      <c r="P60" s="2"/>
      <c r="Q60" s="2"/>
      <c r="R60" s="2"/>
      <c r="S60" s="2"/>
      <c r="T60" s="2"/>
      <c r="U60" s="2"/>
    </row>
    <row r="61" ht="22.5" customHeight="1">
      <c r="A61" s="14">
        <v>60.0</v>
      </c>
      <c r="B61" s="4" t="s">
        <v>5328</v>
      </c>
      <c r="C61" s="4" t="s">
        <v>5329</v>
      </c>
      <c r="D61" s="4" t="s">
        <v>5160</v>
      </c>
      <c r="E61" s="4" t="s">
        <v>5330</v>
      </c>
      <c r="F61" s="2"/>
      <c r="G61" s="12">
        <v>60.0</v>
      </c>
      <c r="H61" s="4" t="s">
        <v>5331</v>
      </c>
      <c r="I61" s="4" t="s">
        <v>5332</v>
      </c>
      <c r="J61" s="4" t="s">
        <v>4651</v>
      </c>
      <c r="K61" s="4" t="s">
        <v>5333</v>
      </c>
      <c r="L61" s="2"/>
      <c r="M61" s="2"/>
      <c r="N61" s="2"/>
      <c r="O61" s="2"/>
      <c r="P61" s="2"/>
      <c r="Q61" s="2"/>
      <c r="R61" s="2"/>
      <c r="S61" s="2"/>
      <c r="T61" s="2"/>
      <c r="U61" s="2"/>
    </row>
    <row r="62" ht="22.5" customHeight="1">
      <c r="A62" s="14">
        <v>61.0</v>
      </c>
      <c r="B62" s="4" t="s">
        <v>5334</v>
      </c>
      <c r="C62" s="4" t="s">
        <v>5335</v>
      </c>
      <c r="D62" s="4" t="s">
        <v>5196</v>
      </c>
      <c r="E62" s="4" t="s">
        <v>5336</v>
      </c>
      <c r="F62" s="2"/>
      <c r="G62" s="12">
        <v>61.0</v>
      </c>
      <c r="H62" s="4" t="s">
        <v>5337</v>
      </c>
      <c r="I62" s="4" t="s">
        <v>5338</v>
      </c>
      <c r="J62" s="4" t="s">
        <v>5200</v>
      </c>
      <c r="K62" s="4" t="s">
        <v>5339</v>
      </c>
      <c r="L62" s="2"/>
      <c r="M62" s="2"/>
      <c r="N62" s="2"/>
      <c r="O62" s="2"/>
      <c r="P62" s="2"/>
      <c r="Q62" s="2"/>
      <c r="R62" s="2"/>
      <c r="S62" s="2"/>
      <c r="T62" s="2"/>
      <c r="U62" s="2"/>
    </row>
    <row r="63" ht="22.5" customHeight="1">
      <c r="A63" s="14">
        <v>62.0</v>
      </c>
      <c r="B63" s="4" t="s">
        <v>5340</v>
      </c>
      <c r="C63" s="4" t="s">
        <v>377</v>
      </c>
      <c r="D63" s="4" t="s">
        <v>287</v>
      </c>
      <c r="E63" s="4" t="s">
        <v>5341</v>
      </c>
      <c r="F63" s="2"/>
      <c r="G63" s="12">
        <v>62.0</v>
      </c>
      <c r="H63" s="4" t="s">
        <v>5342</v>
      </c>
      <c r="I63" s="4" t="s">
        <v>377</v>
      </c>
      <c r="J63" s="4" t="s">
        <v>287</v>
      </c>
      <c r="K63" s="4" t="s">
        <v>5343</v>
      </c>
      <c r="L63" s="2"/>
      <c r="M63" s="2"/>
      <c r="N63" s="2"/>
      <c r="O63" s="2"/>
      <c r="P63" s="2"/>
      <c r="Q63" s="2"/>
      <c r="R63" s="2"/>
      <c r="S63" s="2"/>
      <c r="T63" s="2"/>
      <c r="U63" s="2"/>
    </row>
    <row r="64" ht="22.5" customHeight="1">
      <c r="A64" s="14">
        <v>63.0</v>
      </c>
      <c r="B64" s="4" t="s">
        <v>5344</v>
      </c>
      <c r="C64" s="4" t="s">
        <v>5345</v>
      </c>
      <c r="D64" s="4" t="s">
        <v>1466</v>
      </c>
      <c r="E64" s="4" t="s">
        <v>5346</v>
      </c>
      <c r="F64" s="2"/>
      <c r="G64" s="12">
        <v>63.0</v>
      </c>
      <c r="H64" s="4" t="s">
        <v>5347</v>
      </c>
      <c r="I64" s="4" t="s">
        <v>5348</v>
      </c>
      <c r="J64" s="4" t="s">
        <v>1470</v>
      </c>
      <c r="K64" s="4" t="s">
        <v>5349</v>
      </c>
      <c r="L64" s="2"/>
      <c r="M64" s="2"/>
      <c r="N64" s="2"/>
      <c r="O64" s="2"/>
      <c r="P64" s="2"/>
      <c r="Q64" s="2"/>
      <c r="R64" s="2"/>
      <c r="S64" s="2"/>
      <c r="T64" s="2"/>
      <c r="U64" s="2"/>
    </row>
    <row r="65" ht="22.5" customHeight="1">
      <c r="A65" s="14">
        <v>64.0</v>
      </c>
      <c r="B65" s="4" t="s">
        <v>5350</v>
      </c>
      <c r="C65" s="4" t="s">
        <v>5351</v>
      </c>
      <c r="D65" s="4" t="s">
        <v>5322</v>
      </c>
      <c r="E65" s="4" t="s">
        <v>5352</v>
      </c>
      <c r="F65" s="2"/>
      <c r="G65" s="12">
        <v>64.0</v>
      </c>
      <c r="H65" s="4" t="s">
        <v>5353</v>
      </c>
      <c r="I65" s="4" t="s">
        <v>5354</v>
      </c>
      <c r="J65" s="4" t="s">
        <v>5326</v>
      </c>
      <c r="K65" s="4" t="s">
        <v>5355</v>
      </c>
      <c r="L65" s="2"/>
      <c r="M65" s="2"/>
      <c r="N65" s="2"/>
      <c r="O65" s="2"/>
      <c r="P65" s="2"/>
      <c r="Q65" s="2"/>
      <c r="R65" s="2"/>
      <c r="S65" s="2"/>
      <c r="T65" s="2"/>
      <c r="U65" s="2"/>
    </row>
    <row r="66" ht="22.5" customHeight="1">
      <c r="A66" s="14">
        <v>65.0</v>
      </c>
      <c r="B66" s="4" t="s">
        <v>5356</v>
      </c>
      <c r="C66" s="4" t="s">
        <v>5357</v>
      </c>
      <c r="D66" s="4" t="s">
        <v>5358</v>
      </c>
      <c r="E66" s="4" t="s">
        <v>5359</v>
      </c>
      <c r="F66" s="2"/>
      <c r="G66" s="12">
        <v>65.0</v>
      </c>
      <c r="H66" s="4" t="s">
        <v>5360</v>
      </c>
      <c r="I66" s="4" t="s">
        <v>5361</v>
      </c>
      <c r="J66" s="4" t="s">
        <v>5362</v>
      </c>
      <c r="K66" s="4" t="s">
        <v>5363</v>
      </c>
      <c r="L66" s="2"/>
      <c r="M66" s="2"/>
      <c r="N66" s="2"/>
      <c r="O66" s="2"/>
      <c r="P66" s="2"/>
      <c r="Q66" s="2"/>
      <c r="R66" s="2"/>
      <c r="S66" s="2"/>
      <c r="T66" s="2"/>
      <c r="U66" s="2"/>
    </row>
    <row r="67" ht="22.5" customHeight="1">
      <c r="A67" s="14">
        <v>66.0</v>
      </c>
      <c r="B67" s="4" t="s">
        <v>5364</v>
      </c>
      <c r="C67" s="4" t="s">
        <v>5098</v>
      </c>
      <c r="D67" s="4" t="s">
        <v>3969</v>
      </c>
      <c r="E67" s="4" t="s">
        <v>5365</v>
      </c>
      <c r="F67" s="2"/>
      <c r="G67" s="12">
        <v>66.0</v>
      </c>
      <c r="H67" s="4" t="s">
        <v>5366</v>
      </c>
      <c r="I67" s="4" t="s">
        <v>4389</v>
      </c>
      <c r="J67" s="4" t="s">
        <v>3153</v>
      </c>
      <c r="K67" s="4" t="s">
        <v>5367</v>
      </c>
      <c r="L67" s="2"/>
      <c r="M67" s="2"/>
      <c r="N67" s="2"/>
      <c r="O67" s="2"/>
      <c r="P67" s="2"/>
      <c r="Q67" s="2"/>
      <c r="R67" s="2"/>
      <c r="S67" s="2"/>
      <c r="T67" s="2"/>
      <c r="U67" s="2"/>
    </row>
    <row r="68" ht="22.5" customHeight="1">
      <c r="A68" s="14">
        <v>67.0</v>
      </c>
      <c r="B68" s="4" t="s">
        <v>5368</v>
      </c>
      <c r="C68" s="4" t="s">
        <v>5369</v>
      </c>
      <c r="D68" s="4" t="s">
        <v>4979</v>
      </c>
      <c r="E68" s="4" t="s">
        <v>5370</v>
      </c>
      <c r="F68" s="2"/>
      <c r="G68" s="12">
        <v>67.0</v>
      </c>
      <c r="H68" s="4" t="s">
        <v>5371</v>
      </c>
      <c r="I68" s="4" t="s">
        <v>5372</v>
      </c>
      <c r="J68" s="4" t="s">
        <v>4983</v>
      </c>
      <c r="K68" s="4" t="s">
        <v>5373</v>
      </c>
      <c r="L68" s="2"/>
      <c r="M68" s="2"/>
      <c r="N68" s="2"/>
      <c r="O68" s="2"/>
      <c r="P68" s="2"/>
      <c r="Q68" s="2"/>
      <c r="R68" s="2"/>
      <c r="S68" s="2"/>
      <c r="T68" s="2"/>
      <c r="U68" s="2"/>
    </row>
    <row r="69" ht="22.5" customHeight="1">
      <c r="A69" s="14">
        <v>68.0</v>
      </c>
      <c r="B69" s="4" t="s">
        <v>5374</v>
      </c>
      <c r="C69" s="4" t="s">
        <v>5375</v>
      </c>
      <c r="D69" s="4" t="s">
        <v>5376</v>
      </c>
      <c r="E69" s="4" t="s">
        <v>5377</v>
      </c>
      <c r="F69" s="2"/>
      <c r="G69" s="12">
        <v>68.0</v>
      </c>
      <c r="H69" s="4" t="s">
        <v>5378</v>
      </c>
      <c r="I69" s="4" t="s">
        <v>5379</v>
      </c>
      <c r="J69" s="4" t="s">
        <v>5380</v>
      </c>
      <c r="K69" s="4" t="s">
        <v>5381</v>
      </c>
      <c r="L69" s="2"/>
      <c r="M69" s="2"/>
      <c r="N69" s="2"/>
      <c r="O69" s="2"/>
      <c r="P69" s="2"/>
      <c r="Q69" s="2"/>
      <c r="R69" s="2"/>
      <c r="S69" s="2"/>
      <c r="T69" s="2"/>
      <c r="U69" s="2"/>
    </row>
    <row r="70" ht="22.5" customHeight="1">
      <c r="A70" s="14">
        <v>69.0</v>
      </c>
      <c r="B70" s="4" t="s">
        <v>5382</v>
      </c>
      <c r="C70" s="4" t="s">
        <v>5383</v>
      </c>
      <c r="D70" s="4" t="s">
        <v>5384</v>
      </c>
      <c r="E70" s="4" t="s">
        <v>5385</v>
      </c>
      <c r="F70" s="2"/>
      <c r="G70" s="12">
        <v>69.0</v>
      </c>
      <c r="H70" s="4" t="s">
        <v>5386</v>
      </c>
      <c r="I70" s="4" t="s">
        <v>5387</v>
      </c>
      <c r="J70" s="4" t="s">
        <v>5388</v>
      </c>
      <c r="K70" s="4" t="s">
        <v>5389</v>
      </c>
      <c r="L70" s="2"/>
      <c r="M70" s="2"/>
      <c r="N70" s="2"/>
      <c r="O70" s="2"/>
      <c r="P70" s="2"/>
      <c r="Q70" s="2"/>
      <c r="R70" s="2"/>
      <c r="S70" s="2"/>
      <c r="T70" s="2"/>
      <c r="U70" s="2"/>
    </row>
    <row r="71" ht="22.5" customHeight="1">
      <c r="A71" s="14">
        <v>70.0</v>
      </c>
      <c r="B71" s="4" t="s">
        <v>5390</v>
      </c>
      <c r="C71" s="4" t="s">
        <v>5391</v>
      </c>
      <c r="D71" s="4" t="s">
        <v>1762</v>
      </c>
      <c r="E71" s="4" t="s">
        <v>5392</v>
      </c>
      <c r="F71" s="2"/>
      <c r="G71" s="12">
        <v>70.0</v>
      </c>
      <c r="H71" s="4" t="s">
        <v>5393</v>
      </c>
      <c r="I71" s="4" t="s">
        <v>5394</v>
      </c>
      <c r="J71" s="4" t="s">
        <v>1766</v>
      </c>
      <c r="K71" s="4" t="s">
        <v>5395</v>
      </c>
      <c r="L71" s="2"/>
      <c r="M71" s="2"/>
      <c r="N71" s="2"/>
      <c r="O71" s="2"/>
      <c r="P71" s="2"/>
      <c r="Q71" s="2"/>
      <c r="R71" s="2"/>
      <c r="S71" s="2"/>
      <c r="T71" s="2"/>
      <c r="U71" s="2"/>
    </row>
    <row r="72" ht="22.5" customHeight="1">
      <c r="A72" s="14">
        <v>71.0</v>
      </c>
      <c r="B72" s="4" t="s">
        <v>5396</v>
      </c>
      <c r="C72" s="4" t="s">
        <v>5397</v>
      </c>
      <c r="D72" s="4" t="s">
        <v>5398</v>
      </c>
      <c r="E72" s="4" t="s">
        <v>5399</v>
      </c>
      <c r="F72" s="2"/>
      <c r="G72" s="12">
        <v>71.0</v>
      </c>
      <c r="H72" s="4" t="s">
        <v>5400</v>
      </c>
      <c r="I72" s="4" t="s">
        <v>5401</v>
      </c>
      <c r="J72" s="4" t="s">
        <v>4531</v>
      </c>
      <c r="K72" s="4" t="s">
        <v>5402</v>
      </c>
      <c r="L72" s="2"/>
      <c r="M72" s="2"/>
      <c r="N72" s="2"/>
      <c r="O72" s="2"/>
      <c r="P72" s="2"/>
      <c r="Q72" s="2"/>
      <c r="R72" s="2"/>
      <c r="S72" s="2"/>
      <c r="T72" s="2"/>
      <c r="U72" s="2"/>
    </row>
    <row r="73" ht="22.5" customHeight="1">
      <c r="A73" s="14">
        <v>72.0</v>
      </c>
      <c r="B73" s="4" t="s">
        <v>5403</v>
      </c>
      <c r="C73" s="4" t="s">
        <v>5404</v>
      </c>
      <c r="D73" s="4" t="s">
        <v>5405</v>
      </c>
      <c r="E73" s="4" t="s">
        <v>5406</v>
      </c>
      <c r="F73" s="2"/>
      <c r="G73" s="12">
        <v>72.0</v>
      </c>
      <c r="H73" s="4" t="s">
        <v>5407</v>
      </c>
      <c r="I73" s="4" t="s">
        <v>5408</v>
      </c>
      <c r="J73" s="4" t="s">
        <v>5409</v>
      </c>
      <c r="K73" s="4" t="s">
        <v>5410</v>
      </c>
      <c r="L73" s="2"/>
      <c r="M73" s="2"/>
      <c r="N73" s="2"/>
      <c r="O73" s="2"/>
      <c r="P73" s="2"/>
      <c r="Q73" s="2"/>
      <c r="R73" s="2"/>
      <c r="S73" s="2"/>
      <c r="T73" s="2"/>
      <c r="U73" s="2"/>
    </row>
    <row r="74" ht="22.5" customHeight="1">
      <c r="A74" s="14">
        <v>73.0</v>
      </c>
      <c r="B74" s="4" t="s">
        <v>5411</v>
      </c>
      <c r="C74" s="4" t="s">
        <v>3447</v>
      </c>
      <c r="D74" s="4" t="s">
        <v>3448</v>
      </c>
      <c r="E74" s="4" t="s">
        <v>5412</v>
      </c>
      <c r="F74" s="2"/>
      <c r="G74" s="12">
        <v>73.0</v>
      </c>
      <c r="H74" s="4" t="s">
        <v>5413</v>
      </c>
      <c r="I74" s="4" t="s">
        <v>3451</v>
      </c>
      <c r="J74" s="4" t="s">
        <v>3452</v>
      </c>
      <c r="K74" s="4" t="s">
        <v>5414</v>
      </c>
      <c r="L74" s="2"/>
      <c r="M74" s="2"/>
      <c r="N74" s="2"/>
      <c r="O74" s="2"/>
      <c r="P74" s="2"/>
      <c r="Q74" s="2"/>
      <c r="R74" s="2"/>
      <c r="S74" s="2"/>
      <c r="T74" s="2"/>
      <c r="U74" s="2"/>
    </row>
    <row r="75" ht="22.5" customHeight="1">
      <c r="A75" s="14">
        <v>74.0</v>
      </c>
      <c r="B75" s="4" t="s">
        <v>5415</v>
      </c>
      <c r="C75" s="4" t="s">
        <v>5416</v>
      </c>
      <c r="D75" s="4" t="s">
        <v>5417</v>
      </c>
      <c r="E75" s="4" t="s">
        <v>5418</v>
      </c>
      <c r="F75" s="2"/>
      <c r="G75" s="12">
        <v>74.0</v>
      </c>
      <c r="H75" s="4" t="s">
        <v>5419</v>
      </c>
      <c r="I75" s="4" t="s">
        <v>5420</v>
      </c>
      <c r="J75" s="4" t="s">
        <v>4592</v>
      </c>
      <c r="K75" s="4" t="s">
        <v>5421</v>
      </c>
      <c r="L75" s="2"/>
      <c r="M75" s="2"/>
      <c r="N75" s="2"/>
      <c r="O75" s="2"/>
      <c r="P75" s="2"/>
      <c r="Q75" s="2"/>
      <c r="R75" s="2"/>
      <c r="S75" s="2"/>
      <c r="T75" s="2"/>
      <c r="U75" s="2"/>
    </row>
    <row r="76" ht="22.5" customHeight="1">
      <c r="A76" s="14">
        <v>75.0</v>
      </c>
      <c r="B76" s="4" t="s">
        <v>5422</v>
      </c>
      <c r="C76" s="4" t="s">
        <v>5423</v>
      </c>
      <c r="D76" s="4" t="s">
        <v>5398</v>
      </c>
      <c r="E76" s="4" t="s">
        <v>5424</v>
      </c>
      <c r="F76" s="2"/>
      <c r="G76" s="12">
        <v>75.0</v>
      </c>
      <c r="H76" s="4" t="s">
        <v>5425</v>
      </c>
      <c r="I76" s="4" t="s">
        <v>5426</v>
      </c>
      <c r="J76" s="4" t="s">
        <v>5427</v>
      </c>
      <c r="K76" s="4" t="s">
        <v>5428</v>
      </c>
      <c r="L76" s="2"/>
      <c r="M76" s="2"/>
      <c r="N76" s="2"/>
      <c r="O76" s="2"/>
      <c r="P76" s="2"/>
      <c r="Q76" s="2"/>
      <c r="R76" s="2"/>
      <c r="S76" s="2"/>
      <c r="T76" s="2"/>
      <c r="U76" s="2"/>
    </row>
    <row r="77" ht="22.5" customHeight="1">
      <c r="A77" s="14">
        <v>76.0</v>
      </c>
      <c r="B77" s="4" t="s">
        <v>5429</v>
      </c>
      <c r="C77" s="4" t="s">
        <v>5430</v>
      </c>
      <c r="D77" s="4" t="s">
        <v>5431</v>
      </c>
      <c r="E77" s="4" t="s">
        <v>5432</v>
      </c>
      <c r="F77" s="2"/>
      <c r="G77" s="12">
        <v>76.0</v>
      </c>
      <c r="H77" s="4" t="s">
        <v>5433</v>
      </c>
      <c r="I77" s="4" t="s">
        <v>5434</v>
      </c>
      <c r="J77" s="4" t="s">
        <v>5435</v>
      </c>
      <c r="K77" s="4" t="s">
        <v>5436</v>
      </c>
      <c r="L77" s="2"/>
      <c r="M77" s="2"/>
      <c r="N77" s="2"/>
      <c r="O77" s="2"/>
      <c r="P77" s="2"/>
      <c r="Q77" s="2"/>
      <c r="R77" s="2"/>
      <c r="S77" s="2"/>
      <c r="T77" s="2"/>
      <c r="U77" s="2"/>
    </row>
    <row r="78" ht="22.5" customHeight="1">
      <c r="A78" s="14">
        <v>77.0</v>
      </c>
      <c r="B78" s="4" t="s">
        <v>5437</v>
      </c>
      <c r="C78" s="4" t="s">
        <v>5438</v>
      </c>
      <c r="D78" s="4" t="s">
        <v>5398</v>
      </c>
      <c r="E78" s="4" t="s">
        <v>5439</v>
      </c>
      <c r="F78" s="2"/>
      <c r="G78" s="12">
        <v>77.0</v>
      </c>
      <c r="H78" s="4" t="s">
        <v>5440</v>
      </c>
      <c r="I78" s="4" t="s">
        <v>5441</v>
      </c>
      <c r="J78" s="4" t="s">
        <v>4531</v>
      </c>
      <c r="K78" s="4" t="s">
        <v>5442</v>
      </c>
      <c r="L78" s="2"/>
      <c r="M78" s="2"/>
      <c r="N78" s="2"/>
      <c r="O78" s="2"/>
      <c r="P78" s="2"/>
      <c r="Q78" s="2"/>
      <c r="R78" s="2"/>
      <c r="S78" s="2"/>
      <c r="T78" s="2"/>
      <c r="U78" s="2"/>
    </row>
    <row r="79" ht="22.5" customHeight="1">
      <c r="A79" s="14">
        <v>78.0</v>
      </c>
      <c r="B79" s="4" t="s">
        <v>5443</v>
      </c>
      <c r="C79" s="4" t="s">
        <v>5444</v>
      </c>
      <c r="D79" s="4" t="s">
        <v>5023</v>
      </c>
      <c r="E79" s="4" t="s">
        <v>5445</v>
      </c>
      <c r="F79" s="2"/>
      <c r="G79" s="12">
        <v>78.0</v>
      </c>
      <c r="H79" s="4" t="s">
        <v>5446</v>
      </c>
      <c r="I79" s="4" t="s">
        <v>5447</v>
      </c>
      <c r="J79" s="4" t="s">
        <v>5027</v>
      </c>
      <c r="K79" s="4" t="s">
        <v>5448</v>
      </c>
      <c r="L79" s="2"/>
      <c r="M79" s="2"/>
      <c r="N79" s="2"/>
      <c r="O79" s="2"/>
      <c r="P79" s="2"/>
      <c r="Q79" s="2"/>
      <c r="R79" s="2"/>
      <c r="S79" s="2"/>
      <c r="T79" s="2"/>
      <c r="U79" s="2"/>
    </row>
    <row r="80" ht="22.5" customHeight="1">
      <c r="A80" s="14">
        <v>79.0</v>
      </c>
      <c r="B80" s="4" t="s">
        <v>5449</v>
      </c>
      <c r="C80" s="4" t="s">
        <v>377</v>
      </c>
      <c r="D80" s="4" t="s">
        <v>271</v>
      </c>
      <c r="E80" s="4" t="s">
        <v>5450</v>
      </c>
      <c r="F80" s="2"/>
      <c r="G80" s="12">
        <v>79.0</v>
      </c>
      <c r="H80" s="4" t="s">
        <v>5451</v>
      </c>
      <c r="I80" s="4" t="s">
        <v>377</v>
      </c>
      <c r="J80" s="4" t="s">
        <v>271</v>
      </c>
      <c r="K80" s="4" t="s">
        <v>5452</v>
      </c>
      <c r="L80" s="2"/>
      <c r="M80" s="2"/>
      <c r="N80" s="2"/>
      <c r="O80" s="2"/>
      <c r="P80" s="2"/>
      <c r="Q80" s="2"/>
      <c r="R80" s="2"/>
      <c r="S80" s="2"/>
      <c r="T80" s="2"/>
      <c r="U80" s="2"/>
    </row>
    <row r="81" ht="22.5" customHeight="1">
      <c r="A81" s="14">
        <v>80.0</v>
      </c>
      <c r="B81" s="4" t="s">
        <v>5453</v>
      </c>
      <c r="C81" s="4" t="s">
        <v>5454</v>
      </c>
      <c r="D81" s="4" t="s">
        <v>5376</v>
      </c>
      <c r="E81" s="4" t="s">
        <v>5455</v>
      </c>
      <c r="F81" s="2"/>
      <c r="G81" s="12">
        <v>80.0</v>
      </c>
      <c r="H81" s="4" t="s">
        <v>5456</v>
      </c>
      <c r="I81" s="4" t="s">
        <v>5457</v>
      </c>
      <c r="J81" s="4" t="s">
        <v>5380</v>
      </c>
      <c r="K81" s="4" t="s">
        <v>5458</v>
      </c>
      <c r="L81" s="2"/>
      <c r="M81" s="2"/>
      <c r="N81" s="2"/>
      <c r="O81" s="2"/>
      <c r="P81" s="2"/>
      <c r="Q81" s="2"/>
      <c r="R81" s="2"/>
      <c r="S81" s="2"/>
      <c r="T81" s="2"/>
      <c r="U81" s="2"/>
    </row>
    <row r="82" ht="22.5" customHeight="1">
      <c r="A82" s="14">
        <v>81.0</v>
      </c>
      <c r="B82" s="4" t="s">
        <v>5459</v>
      </c>
      <c r="C82" s="4" t="s">
        <v>5460</v>
      </c>
      <c r="D82" s="4" t="s">
        <v>5461</v>
      </c>
      <c r="E82" s="4" t="s">
        <v>5462</v>
      </c>
      <c r="F82" s="2"/>
      <c r="G82" s="12">
        <v>81.0</v>
      </c>
      <c r="H82" s="4" t="s">
        <v>5463</v>
      </c>
      <c r="I82" s="4" t="s">
        <v>5464</v>
      </c>
      <c r="J82" s="4" t="s">
        <v>2661</v>
      </c>
      <c r="K82" s="4" t="s">
        <v>5465</v>
      </c>
      <c r="L82" s="2"/>
      <c r="M82" s="2"/>
      <c r="N82" s="2"/>
      <c r="O82" s="2"/>
      <c r="P82" s="2"/>
      <c r="Q82" s="2"/>
      <c r="R82" s="2"/>
      <c r="S82" s="2"/>
      <c r="T82" s="2"/>
      <c r="U82" s="2"/>
    </row>
    <row r="83" ht="22.5" customHeight="1">
      <c r="A83" s="14">
        <v>82.0</v>
      </c>
      <c r="B83" s="4" t="s">
        <v>5466</v>
      </c>
      <c r="C83" s="4" t="s">
        <v>5467</v>
      </c>
      <c r="D83" s="4" t="s">
        <v>5468</v>
      </c>
      <c r="E83" s="4" t="s">
        <v>5469</v>
      </c>
      <c r="F83" s="2"/>
      <c r="G83" s="12">
        <v>82.0</v>
      </c>
      <c r="H83" s="4" t="s">
        <v>5470</v>
      </c>
      <c r="I83" s="4" t="s">
        <v>5471</v>
      </c>
      <c r="J83" s="4" t="s">
        <v>4479</v>
      </c>
      <c r="K83" s="4" t="s">
        <v>5472</v>
      </c>
      <c r="L83" s="2"/>
      <c r="M83" s="2"/>
      <c r="N83" s="2"/>
      <c r="O83" s="2"/>
      <c r="P83" s="2"/>
      <c r="Q83" s="2"/>
      <c r="R83" s="2"/>
      <c r="S83" s="2"/>
      <c r="T83" s="2"/>
      <c r="U83" s="2"/>
    </row>
    <row r="84" ht="22.5" customHeight="1">
      <c r="A84" s="14">
        <v>83.0</v>
      </c>
      <c r="B84" s="4" t="s">
        <v>5473</v>
      </c>
      <c r="C84" s="4" t="s">
        <v>5474</v>
      </c>
      <c r="D84" s="4" t="s">
        <v>5475</v>
      </c>
      <c r="E84" s="4" t="s">
        <v>5476</v>
      </c>
      <c r="F84" s="2"/>
      <c r="G84" s="12">
        <v>83.0</v>
      </c>
      <c r="H84" s="4" t="s">
        <v>5477</v>
      </c>
      <c r="I84" s="4" t="s">
        <v>5478</v>
      </c>
      <c r="J84" s="4" t="s">
        <v>5479</v>
      </c>
      <c r="K84" s="4" t="s">
        <v>5480</v>
      </c>
      <c r="L84" s="2"/>
      <c r="M84" s="2"/>
      <c r="N84" s="2"/>
      <c r="O84" s="2"/>
      <c r="P84" s="2"/>
      <c r="Q84" s="2"/>
      <c r="R84" s="2"/>
      <c r="S84" s="2"/>
      <c r="T84" s="2"/>
      <c r="U84" s="2"/>
    </row>
    <row r="85" ht="22.5" customHeight="1">
      <c r="A85" s="14">
        <v>84.0</v>
      </c>
      <c r="B85" s="4" t="s">
        <v>5481</v>
      </c>
      <c r="C85" s="4" t="s">
        <v>5482</v>
      </c>
      <c r="D85" s="4" t="s">
        <v>5483</v>
      </c>
      <c r="E85" s="4" t="s">
        <v>5484</v>
      </c>
      <c r="F85" s="2"/>
      <c r="G85" s="12">
        <v>84.0</v>
      </c>
      <c r="H85" s="4" t="s">
        <v>5485</v>
      </c>
      <c r="I85" s="4" t="s">
        <v>5486</v>
      </c>
      <c r="J85" s="4" t="s">
        <v>5487</v>
      </c>
      <c r="K85" s="4" t="s">
        <v>5488</v>
      </c>
      <c r="L85" s="2"/>
      <c r="M85" s="2"/>
      <c r="N85" s="2"/>
      <c r="O85" s="2"/>
      <c r="P85" s="2"/>
      <c r="Q85" s="2"/>
      <c r="R85" s="2"/>
      <c r="S85" s="2"/>
      <c r="T85" s="2"/>
      <c r="U85" s="2"/>
    </row>
    <row r="86" ht="22.5" customHeight="1">
      <c r="A86" s="14">
        <v>85.0</v>
      </c>
      <c r="B86" s="4" t="s">
        <v>5489</v>
      </c>
      <c r="C86" s="4" t="s">
        <v>5490</v>
      </c>
      <c r="D86" s="4" t="s">
        <v>1466</v>
      </c>
      <c r="E86" s="4" t="s">
        <v>5491</v>
      </c>
      <c r="F86" s="2"/>
      <c r="G86" s="12">
        <v>85.0</v>
      </c>
      <c r="H86" s="4" t="s">
        <v>5492</v>
      </c>
      <c r="I86" s="4" t="s">
        <v>5493</v>
      </c>
      <c r="J86" s="4" t="s">
        <v>1470</v>
      </c>
      <c r="K86" s="4" t="s">
        <v>5494</v>
      </c>
      <c r="L86" s="2"/>
      <c r="M86" s="2"/>
      <c r="N86" s="2"/>
      <c r="O86" s="2"/>
      <c r="P86" s="2"/>
      <c r="Q86" s="2"/>
      <c r="R86" s="2"/>
      <c r="S86" s="2"/>
      <c r="T86" s="2"/>
      <c r="U86" s="2"/>
    </row>
    <row r="87" ht="22.5" customHeight="1">
      <c r="A87" s="14">
        <v>86.0</v>
      </c>
      <c r="B87" s="4" t="s">
        <v>5495</v>
      </c>
      <c r="C87" s="4" t="s">
        <v>5496</v>
      </c>
      <c r="D87" s="4" t="s">
        <v>5497</v>
      </c>
      <c r="E87" s="4" t="s">
        <v>5498</v>
      </c>
      <c r="F87" s="2"/>
      <c r="G87" s="12">
        <v>86.0</v>
      </c>
      <c r="H87" s="4" t="s">
        <v>5499</v>
      </c>
      <c r="I87" s="4" t="s">
        <v>5500</v>
      </c>
      <c r="J87" s="4" t="s">
        <v>4604</v>
      </c>
      <c r="K87" s="4" t="s">
        <v>5501</v>
      </c>
      <c r="L87" s="2"/>
      <c r="M87" s="2"/>
      <c r="N87" s="2"/>
      <c r="O87" s="2"/>
      <c r="P87" s="2"/>
      <c r="Q87" s="2"/>
      <c r="R87" s="2"/>
      <c r="S87" s="2"/>
      <c r="T87" s="2"/>
      <c r="U87" s="2"/>
    </row>
    <row r="88" ht="22.5" customHeight="1">
      <c r="A88" s="14">
        <v>87.0</v>
      </c>
      <c r="B88" s="4" t="s">
        <v>5502</v>
      </c>
      <c r="C88" s="4" t="s">
        <v>5503</v>
      </c>
      <c r="D88" s="4" t="s">
        <v>5504</v>
      </c>
      <c r="E88" s="4" t="s">
        <v>5505</v>
      </c>
      <c r="F88" s="2"/>
      <c r="G88" s="12">
        <v>87.0</v>
      </c>
      <c r="H88" s="4" t="s">
        <v>5506</v>
      </c>
      <c r="I88" s="4" t="s">
        <v>5507</v>
      </c>
      <c r="J88" s="4" t="s">
        <v>5508</v>
      </c>
      <c r="K88" s="4" t="s">
        <v>5509</v>
      </c>
      <c r="L88" s="2"/>
      <c r="M88" s="2"/>
      <c r="N88" s="2"/>
      <c r="O88" s="2"/>
      <c r="P88" s="2"/>
      <c r="Q88" s="2"/>
      <c r="R88" s="2"/>
      <c r="S88" s="2"/>
      <c r="T88" s="2"/>
      <c r="U88" s="2"/>
    </row>
    <row r="89" ht="22.5" customHeight="1">
      <c r="A89" s="14">
        <v>88.0</v>
      </c>
      <c r="B89" s="4" t="s">
        <v>5510</v>
      </c>
      <c r="C89" s="4" t="s">
        <v>377</v>
      </c>
      <c r="D89" s="4" t="s">
        <v>271</v>
      </c>
      <c r="E89" s="4" t="s">
        <v>5511</v>
      </c>
      <c r="F89" s="2"/>
      <c r="G89" s="12">
        <v>88.0</v>
      </c>
      <c r="H89" s="4" t="s">
        <v>5512</v>
      </c>
      <c r="I89" s="4" t="s">
        <v>377</v>
      </c>
      <c r="J89" s="4" t="s">
        <v>271</v>
      </c>
      <c r="K89" s="4" t="s">
        <v>5513</v>
      </c>
      <c r="L89" s="2"/>
      <c r="M89" s="2"/>
      <c r="N89" s="2"/>
      <c r="O89" s="2"/>
      <c r="P89" s="2"/>
      <c r="Q89" s="2"/>
      <c r="R89" s="2"/>
      <c r="S89" s="2"/>
      <c r="T89" s="2"/>
      <c r="U89" s="2"/>
    </row>
    <row r="90" ht="22.5" customHeight="1">
      <c r="A90" s="14">
        <v>89.0</v>
      </c>
      <c r="B90" s="4" t="s">
        <v>5514</v>
      </c>
      <c r="C90" s="4" t="s">
        <v>5515</v>
      </c>
      <c r="D90" s="4" t="s">
        <v>5398</v>
      </c>
      <c r="E90" s="4" t="s">
        <v>5516</v>
      </c>
      <c r="F90" s="2"/>
      <c r="G90" s="12">
        <v>89.0</v>
      </c>
      <c r="H90" s="4" t="s">
        <v>5517</v>
      </c>
      <c r="I90" s="4" t="s">
        <v>5518</v>
      </c>
      <c r="J90" s="4" t="s">
        <v>4531</v>
      </c>
      <c r="K90" s="4" t="s">
        <v>5519</v>
      </c>
      <c r="L90" s="2"/>
      <c r="M90" s="2"/>
      <c r="N90" s="2"/>
      <c r="O90" s="2"/>
      <c r="P90" s="2"/>
      <c r="Q90" s="2"/>
      <c r="R90" s="2"/>
      <c r="S90" s="2"/>
      <c r="T90" s="2"/>
      <c r="U90" s="2"/>
    </row>
    <row r="91" ht="22.5" customHeight="1">
      <c r="A91" s="14">
        <v>90.0</v>
      </c>
      <c r="B91" s="4" t="s">
        <v>5520</v>
      </c>
      <c r="C91" s="4" t="s">
        <v>5521</v>
      </c>
      <c r="D91" s="4" t="s">
        <v>5417</v>
      </c>
      <c r="E91" s="4" t="s">
        <v>5522</v>
      </c>
      <c r="F91" s="2"/>
      <c r="G91" s="12">
        <v>90.0</v>
      </c>
      <c r="H91" s="4" t="s">
        <v>5523</v>
      </c>
      <c r="I91" s="4" t="s">
        <v>5524</v>
      </c>
      <c r="J91" s="4" t="s">
        <v>4592</v>
      </c>
      <c r="K91" s="4" t="s">
        <v>5525</v>
      </c>
      <c r="L91" s="2"/>
      <c r="M91" s="2"/>
      <c r="N91" s="2"/>
      <c r="O91" s="2"/>
      <c r="P91" s="2"/>
      <c r="Q91" s="2"/>
      <c r="R91" s="2"/>
      <c r="S91" s="2"/>
      <c r="T91" s="2"/>
      <c r="U91" s="2"/>
    </row>
    <row r="92" ht="22.5" customHeight="1">
      <c r="A92" s="14">
        <v>91.0</v>
      </c>
      <c r="B92" s="4" t="s">
        <v>5526</v>
      </c>
      <c r="C92" s="4" t="s">
        <v>5527</v>
      </c>
      <c r="D92" s="4" t="s">
        <v>1466</v>
      </c>
      <c r="E92" s="4" t="s">
        <v>5528</v>
      </c>
      <c r="F92" s="2"/>
      <c r="G92" s="12">
        <v>91.0</v>
      </c>
      <c r="H92" s="4" t="s">
        <v>5529</v>
      </c>
      <c r="I92" s="4" t="s">
        <v>5530</v>
      </c>
      <c r="J92" s="4" t="s">
        <v>1470</v>
      </c>
      <c r="K92" s="4" t="s">
        <v>5531</v>
      </c>
      <c r="L92" s="2"/>
      <c r="M92" s="2"/>
      <c r="N92" s="2"/>
      <c r="O92" s="2"/>
      <c r="P92" s="2"/>
      <c r="Q92" s="2"/>
      <c r="R92" s="2"/>
      <c r="S92" s="2"/>
      <c r="T92" s="2"/>
      <c r="U92" s="2"/>
    </row>
    <row r="93" ht="22.5" customHeight="1">
      <c r="A93" s="14">
        <v>92.0</v>
      </c>
      <c r="B93" s="4" t="s">
        <v>5532</v>
      </c>
      <c r="C93" s="4" t="s">
        <v>377</v>
      </c>
      <c r="D93" s="4" t="s">
        <v>263</v>
      </c>
      <c r="E93" s="4" t="s">
        <v>5533</v>
      </c>
      <c r="F93" s="2"/>
      <c r="G93" s="12">
        <v>92.0</v>
      </c>
      <c r="H93" s="4" t="s">
        <v>5534</v>
      </c>
      <c r="I93" s="4" t="s">
        <v>377</v>
      </c>
      <c r="J93" s="4" t="s">
        <v>263</v>
      </c>
      <c r="K93" s="4" t="s">
        <v>5535</v>
      </c>
      <c r="L93" s="2"/>
      <c r="M93" s="2"/>
      <c r="N93" s="2"/>
      <c r="O93" s="2"/>
      <c r="P93" s="2"/>
      <c r="Q93" s="2"/>
      <c r="R93" s="2"/>
      <c r="S93" s="2"/>
      <c r="T93" s="2"/>
      <c r="U93" s="2"/>
    </row>
    <row r="94" ht="22.5" customHeight="1">
      <c r="A94" s="14">
        <v>93.0</v>
      </c>
      <c r="B94" s="4" t="s">
        <v>5536</v>
      </c>
      <c r="C94" s="4" t="s">
        <v>5537</v>
      </c>
      <c r="D94" s="4" t="s">
        <v>5023</v>
      </c>
      <c r="E94" s="4" t="s">
        <v>5538</v>
      </c>
      <c r="F94" s="2"/>
      <c r="G94" s="12">
        <v>93.0</v>
      </c>
      <c r="H94" s="4" t="s">
        <v>5539</v>
      </c>
      <c r="I94" s="4" t="s">
        <v>5540</v>
      </c>
      <c r="J94" s="4" t="s">
        <v>5027</v>
      </c>
      <c r="K94" s="4" t="s">
        <v>5541</v>
      </c>
      <c r="L94" s="2"/>
      <c r="M94" s="2"/>
      <c r="N94" s="2"/>
      <c r="O94" s="2"/>
      <c r="P94" s="2"/>
      <c r="Q94" s="2"/>
      <c r="R94" s="2"/>
      <c r="S94" s="2"/>
      <c r="T94" s="2"/>
      <c r="U94" s="2"/>
    </row>
    <row r="95" ht="22.5" customHeight="1">
      <c r="A95" s="14">
        <v>94.0</v>
      </c>
      <c r="B95" s="4" t="s">
        <v>5542</v>
      </c>
      <c r="C95" s="4" t="s">
        <v>5543</v>
      </c>
      <c r="D95" s="4" t="s">
        <v>5497</v>
      </c>
      <c r="E95" s="4" t="s">
        <v>5544</v>
      </c>
      <c r="F95" s="2"/>
      <c r="G95" s="12">
        <v>94.0</v>
      </c>
      <c r="H95" s="4" t="s">
        <v>5545</v>
      </c>
      <c r="I95" s="4" t="s">
        <v>5546</v>
      </c>
      <c r="J95" s="4" t="s">
        <v>4604</v>
      </c>
      <c r="K95" s="4" t="s">
        <v>5547</v>
      </c>
      <c r="L95" s="2"/>
      <c r="M95" s="2"/>
      <c r="N95" s="2"/>
      <c r="O95" s="2"/>
      <c r="P95" s="2"/>
      <c r="Q95" s="2"/>
      <c r="R95" s="2"/>
      <c r="S95" s="2"/>
      <c r="T95" s="2"/>
      <c r="U95" s="2"/>
    </row>
    <row r="96" ht="22.5" customHeight="1">
      <c r="A96" s="14">
        <v>95.0</v>
      </c>
      <c r="B96" s="4" t="s">
        <v>5548</v>
      </c>
      <c r="C96" s="4" t="s">
        <v>5549</v>
      </c>
      <c r="D96" s="4" t="s">
        <v>5417</v>
      </c>
      <c r="E96" s="4" t="s">
        <v>5550</v>
      </c>
      <c r="F96" s="2"/>
      <c r="G96" s="12">
        <v>95.0</v>
      </c>
      <c r="H96" s="4" t="s">
        <v>5551</v>
      </c>
      <c r="I96" s="4" t="s">
        <v>5552</v>
      </c>
      <c r="J96" s="4" t="s">
        <v>4592</v>
      </c>
      <c r="K96" s="4" t="s">
        <v>5553</v>
      </c>
      <c r="L96" s="2"/>
      <c r="M96" s="2"/>
      <c r="N96" s="2"/>
      <c r="O96" s="2"/>
      <c r="P96" s="2"/>
      <c r="Q96" s="2"/>
      <c r="R96" s="2"/>
      <c r="S96" s="2"/>
      <c r="T96" s="2"/>
      <c r="U96" s="2"/>
    </row>
    <row r="97" ht="22.5" customHeight="1">
      <c r="A97" s="14">
        <v>96.0</v>
      </c>
      <c r="B97" s="4" t="s">
        <v>5554</v>
      </c>
      <c r="C97" s="4" t="s">
        <v>5555</v>
      </c>
      <c r="D97" s="4" t="s">
        <v>5417</v>
      </c>
      <c r="E97" s="4" t="s">
        <v>5556</v>
      </c>
      <c r="F97" s="2"/>
      <c r="G97" s="12">
        <v>96.0</v>
      </c>
      <c r="H97" s="4" t="s">
        <v>5557</v>
      </c>
      <c r="I97" s="4" t="s">
        <v>5558</v>
      </c>
      <c r="J97" s="4" t="s">
        <v>4592</v>
      </c>
      <c r="K97" s="4" t="s">
        <v>5559</v>
      </c>
      <c r="L97" s="2"/>
      <c r="M97" s="2"/>
      <c r="N97" s="2"/>
      <c r="O97" s="2"/>
      <c r="P97" s="2"/>
      <c r="Q97" s="2"/>
      <c r="R97" s="2"/>
      <c r="S97" s="2"/>
      <c r="T97" s="2"/>
      <c r="U97" s="2"/>
    </row>
    <row r="98" ht="22.5" customHeight="1">
      <c r="A98" s="14">
        <v>97.0</v>
      </c>
      <c r="B98" s="4" t="s">
        <v>5560</v>
      </c>
      <c r="C98" s="4" t="s">
        <v>5561</v>
      </c>
      <c r="D98" s="4" t="s">
        <v>5562</v>
      </c>
      <c r="E98" s="4" t="s">
        <v>5563</v>
      </c>
      <c r="F98" s="2"/>
      <c r="G98" s="12">
        <v>97.0</v>
      </c>
      <c r="H98" s="4" t="s">
        <v>5564</v>
      </c>
      <c r="I98" s="4" t="s">
        <v>5565</v>
      </c>
      <c r="J98" s="4" t="s">
        <v>5566</v>
      </c>
      <c r="K98" s="4" t="s">
        <v>5567</v>
      </c>
      <c r="L98" s="2"/>
      <c r="M98" s="2"/>
      <c r="N98" s="2"/>
      <c r="O98" s="2"/>
      <c r="P98" s="2"/>
      <c r="Q98" s="2"/>
      <c r="R98" s="2"/>
      <c r="S98" s="2"/>
      <c r="T98" s="2"/>
      <c r="U98" s="2"/>
    </row>
    <row r="99" ht="22.5" customHeight="1">
      <c r="A99" s="14">
        <v>98.0</v>
      </c>
      <c r="B99" s="4" t="s">
        <v>5568</v>
      </c>
      <c r="C99" s="4" t="s">
        <v>5569</v>
      </c>
      <c r="D99" s="4" t="s">
        <v>5497</v>
      </c>
      <c r="E99" s="4" t="s">
        <v>5570</v>
      </c>
      <c r="F99" s="2"/>
      <c r="G99" s="12">
        <v>98.0</v>
      </c>
      <c r="H99" s="4" t="s">
        <v>5571</v>
      </c>
      <c r="I99" s="4" t="s">
        <v>5572</v>
      </c>
      <c r="J99" s="4" t="s">
        <v>4604</v>
      </c>
      <c r="K99" s="4" t="s">
        <v>5573</v>
      </c>
      <c r="L99" s="2"/>
      <c r="M99" s="2"/>
      <c r="N99" s="2"/>
      <c r="O99" s="2"/>
      <c r="P99" s="2"/>
      <c r="Q99" s="2"/>
      <c r="R99" s="2"/>
      <c r="S99" s="2"/>
      <c r="T99" s="2"/>
      <c r="U99" s="2"/>
    </row>
    <row r="100" ht="22.5" customHeight="1">
      <c r="A100" s="14">
        <v>99.0</v>
      </c>
      <c r="B100" s="4" t="s">
        <v>5574</v>
      </c>
      <c r="C100" s="4" t="s">
        <v>5575</v>
      </c>
      <c r="D100" s="4" t="s">
        <v>5376</v>
      </c>
      <c r="E100" s="4" t="s">
        <v>5576</v>
      </c>
      <c r="F100" s="2"/>
      <c r="G100" s="12">
        <v>99.0</v>
      </c>
      <c r="H100" s="4" t="s">
        <v>5577</v>
      </c>
      <c r="I100" s="4" t="s">
        <v>5578</v>
      </c>
      <c r="J100" s="4" t="s">
        <v>5380</v>
      </c>
      <c r="K100" s="4" t="s">
        <v>5579</v>
      </c>
      <c r="L100" s="2"/>
      <c r="M100" s="2"/>
      <c r="N100" s="2"/>
      <c r="O100" s="2"/>
      <c r="P100" s="2"/>
      <c r="Q100" s="2"/>
      <c r="R100" s="2"/>
      <c r="S100" s="2"/>
      <c r="T100" s="2"/>
      <c r="U100" s="2"/>
    </row>
    <row r="101" ht="22.5" customHeight="1">
      <c r="A101" s="14">
        <v>100.0</v>
      </c>
      <c r="B101" s="4" t="s">
        <v>5429</v>
      </c>
      <c r="C101" s="4" t="s">
        <v>5580</v>
      </c>
      <c r="D101" s="4" t="s">
        <v>5581</v>
      </c>
      <c r="E101" s="4" t="s">
        <v>5582</v>
      </c>
      <c r="F101" s="2"/>
      <c r="G101" s="12">
        <v>100.0</v>
      </c>
      <c r="H101" s="4" t="s">
        <v>5433</v>
      </c>
      <c r="I101" s="4" t="s">
        <v>5583</v>
      </c>
      <c r="J101" s="4" t="s">
        <v>5584</v>
      </c>
      <c r="K101" s="4" t="s">
        <v>5585</v>
      </c>
      <c r="L101" s="2"/>
      <c r="M101" s="2"/>
      <c r="N101" s="2"/>
      <c r="O101" s="2"/>
      <c r="P101" s="2"/>
      <c r="Q101" s="2"/>
      <c r="R101" s="2"/>
      <c r="S101" s="2"/>
      <c r="T101" s="2"/>
      <c r="U101" s="2"/>
    </row>
    <row r="102" ht="22.5" customHeight="1">
      <c r="A102" s="14">
        <v>101.0</v>
      </c>
      <c r="B102" s="4" t="s">
        <v>5586</v>
      </c>
      <c r="C102" s="4" t="s">
        <v>5587</v>
      </c>
      <c r="D102" s="4" t="s">
        <v>5417</v>
      </c>
      <c r="E102" s="4" t="s">
        <v>5588</v>
      </c>
      <c r="F102" s="2"/>
      <c r="G102" s="12">
        <v>101.0</v>
      </c>
      <c r="H102" s="4" t="s">
        <v>5589</v>
      </c>
      <c r="I102" s="4" t="s">
        <v>5590</v>
      </c>
      <c r="J102" s="4" t="s">
        <v>4592</v>
      </c>
      <c r="K102" s="4" t="s">
        <v>5591</v>
      </c>
      <c r="L102" s="2"/>
      <c r="M102" s="2"/>
      <c r="N102" s="2"/>
      <c r="O102" s="2"/>
      <c r="P102" s="2"/>
      <c r="Q102" s="2"/>
      <c r="R102" s="2"/>
      <c r="S102" s="2"/>
      <c r="T102" s="2"/>
      <c r="U102" s="2"/>
    </row>
    <row r="103" ht="22.5" customHeight="1">
      <c r="A103" s="14">
        <v>102.0</v>
      </c>
      <c r="B103" s="4" t="s">
        <v>5592</v>
      </c>
      <c r="C103" s="4" t="s">
        <v>5593</v>
      </c>
      <c r="D103" s="4" t="s">
        <v>5015</v>
      </c>
      <c r="E103" s="4" t="s">
        <v>5594</v>
      </c>
      <c r="F103" s="2"/>
      <c r="G103" s="12">
        <v>102.0</v>
      </c>
      <c r="H103" s="4" t="s">
        <v>5595</v>
      </c>
      <c r="I103" s="4" t="s">
        <v>5596</v>
      </c>
      <c r="J103" s="4" t="s">
        <v>5019</v>
      </c>
      <c r="K103" s="4" t="s">
        <v>5597</v>
      </c>
      <c r="L103" s="2"/>
      <c r="M103" s="2"/>
      <c r="N103" s="2"/>
      <c r="O103" s="2"/>
      <c r="P103" s="2"/>
      <c r="Q103" s="2"/>
      <c r="R103" s="2"/>
      <c r="S103" s="2"/>
      <c r="T103" s="2"/>
      <c r="U103" s="2"/>
    </row>
    <row r="104" ht="22.5" customHeight="1">
      <c r="A104" s="14">
        <v>103.0</v>
      </c>
      <c r="B104" s="4" t="s">
        <v>5598</v>
      </c>
      <c r="C104" s="4" t="s">
        <v>5599</v>
      </c>
      <c r="D104" s="4" t="s">
        <v>5376</v>
      </c>
      <c r="E104" s="4" t="s">
        <v>5600</v>
      </c>
      <c r="F104" s="2"/>
      <c r="G104" s="12">
        <v>103.0</v>
      </c>
      <c r="H104" s="4" t="s">
        <v>5601</v>
      </c>
      <c r="I104" s="4" t="s">
        <v>5602</v>
      </c>
      <c r="J104" s="4" t="s">
        <v>5380</v>
      </c>
      <c r="K104" s="4" t="s">
        <v>5603</v>
      </c>
      <c r="L104" s="2"/>
      <c r="M104" s="2"/>
      <c r="N104" s="2"/>
      <c r="O104" s="2"/>
      <c r="P104" s="2"/>
      <c r="Q104" s="2"/>
      <c r="R104" s="2"/>
      <c r="S104" s="2"/>
      <c r="T104" s="2"/>
      <c r="U104" s="2"/>
    </row>
    <row r="105" ht="22.5" customHeight="1">
      <c r="A105" s="14">
        <v>104.0</v>
      </c>
      <c r="B105" s="4" t="s">
        <v>5604</v>
      </c>
      <c r="C105" s="4" t="s">
        <v>5605</v>
      </c>
      <c r="D105" s="4" t="s">
        <v>5562</v>
      </c>
      <c r="E105" s="4" t="s">
        <v>5606</v>
      </c>
      <c r="F105" s="2"/>
      <c r="G105" s="12">
        <v>104.0</v>
      </c>
      <c r="H105" s="4" t="s">
        <v>5607</v>
      </c>
      <c r="I105" s="4" t="s">
        <v>5608</v>
      </c>
      <c r="J105" s="4" t="s">
        <v>5566</v>
      </c>
      <c r="K105" s="4" t="s">
        <v>5609</v>
      </c>
      <c r="L105" s="2"/>
      <c r="M105" s="2"/>
      <c r="N105" s="2"/>
      <c r="O105" s="2"/>
      <c r="P105" s="2"/>
      <c r="Q105" s="2"/>
      <c r="R105" s="2"/>
      <c r="S105" s="2"/>
      <c r="T105" s="2"/>
      <c r="U105" s="2"/>
    </row>
    <row r="106" ht="22.5" customHeight="1">
      <c r="A106" s="14">
        <v>105.0</v>
      </c>
      <c r="B106" s="4" t="s">
        <v>5610</v>
      </c>
      <c r="C106" s="4" t="s">
        <v>5611</v>
      </c>
      <c r="D106" s="4" t="s">
        <v>5497</v>
      </c>
      <c r="E106" s="4" t="s">
        <v>5612</v>
      </c>
      <c r="F106" s="2"/>
      <c r="G106" s="12">
        <v>105.0</v>
      </c>
      <c r="H106" s="4" t="s">
        <v>5613</v>
      </c>
      <c r="I106" s="4" t="s">
        <v>5614</v>
      </c>
      <c r="J106" s="4" t="s">
        <v>4604</v>
      </c>
      <c r="K106" s="4" t="s">
        <v>5615</v>
      </c>
      <c r="L106" s="2"/>
      <c r="M106" s="2"/>
      <c r="N106" s="2"/>
      <c r="O106" s="2"/>
      <c r="P106" s="2"/>
      <c r="Q106" s="2"/>
      <c r="R106" s="2"/>
      <c r="S106" s="2"/>
      <c r="T106" s="2"/>
      <c r="U106" s="2"/>
    </row>
    <row r="107" ht="22.5" customHeight="1">
      <c r="A107" s="14">
        <v>106.0</v>
      </c>
      <c r="B107" s="4" t="s">
        <v>5411</v>
      </c>
      <c r="C107" s="4" t="s">
        <v>3447</v>
      </c>
      <c r="D107" s="4" t="s">
        <v>3448</v>
      </c>
      <c r="E107" s="4" t="s">
        <v>5616</v>
      </c>
      <c r="F107" s="2"/>
      <c r="G107" s="12">
        <v>106.0</v>
      </c>
      <c r="H107" s="4" t="s">
        <v>5413</v>
      </c>
      <c r="I107" s="4" t="s">
        <v>3451</v>
      </c>
      <c r="J107" s="4" t="s">
        <v>3452</v>
      </c>
      <c r="K107" s="4" t="s">
        <v>5617</v>
      </c>
      <c r="L107" s="2"/>
      <c r="M107" s="2"/>
      <c r="N107" s="2"/>
      <c r="O107" s="2"/>
      <c r="P107" s="2"/>
      <c r="Q107" s="2"/>
      <c r="R107" s="2"/>
      <c r="S107" s="2"/>
      <c r="T107" s="2"/>
      <c r="U107" s="2"/>
    </row>
    <row r="108" ht="22.5" customHeight="1">
      <c r="A108" s="14">
        <v>107.0</v>
      </c>
      <c r="B108" s="4" t="s">
        <v>5618</v>
      </c>
      <c r="C108" s="4" t="s">
        <v>377</v>
      </c>
      <c r="D108" s="4" t="s">
        <v>287</v>
      </c>
      <c r="E108" s="4" t="s">
        <v>5619</v>
      </c>
      <c r="F108" s="2"/>
      <c r="G108" s="12">
        <v>107.0</v>
      </c>
      <c r="H108" s="4" t="s">
        <v>5620</v>
      </c>
      <c r="I108" s="4" t="s">
        <v>377</v>
      </c>
      <c r="J108" s="4" t="s">
        <v>287</v>
      </c>
      <c r="K108" s="4" t="s">
        <v>5621</v>
      </c>
      <c r="L108" s="2"/>
      <c r="M108" s="2"/>
      <c r="N108" s="2"/>
      <c r="O108" s="2"/>
      <c r="P108" s="2"/>
      <c r="Q108" s="2"/>
      <c r="R108" s="2"/>
      <c r="S108" s="2"/>
      <c r="T108" s="2"/>
      <c r="U108" s="2"/>
    </row>
    <row r="109" ht="22.5" customHeight="1">
      <c r="A109" s="14">
        <v>108.0</v>
      </c>
      <c r="B109" s="4" t="s">
        <v>5622</v>
      </c>
      <c r="C109" s="4" t="s">
        <v>5623</v>
      </c>
      <c r="D109" s="4" t="s">
        <v>5624</v>
      </c>
      <c r="E109" s="4" t="s">
        <v>5625</v>
      </c>
      <c r="F109" s="2"/>
      <c r="G109" s="12">
        <v>108.0</v>
      </c>
      <c r="H109" s="4" t="s">
        <v>5626</v>
      </c>
      <c r="I109" s="4" t="s">
        <v>5627</v>
      </c>
      <c r="J109" s="4" t="s">
        <v>5628</v>
      </c>
      <c r="K109" s="4" t="s">
        <v>5629</v>
      </c>
      <c r="L109" s="2"/>
      <c r="M109" s="2"/>
      <c r="N109" s="2"/>
      <c r="O109" s="2"/>
      <c r="P109" s="2"/>
      <c r="Q109" s="2"/>
      <c r="R109" s="2"/>
      <c r="S109" s="2"/>
      <c r="T109" s="2"/>
      <c r="U109" s="2"/>
    </row>
    <row r="110" ht="22.5" customHeight="1">
      <c r="A110" s="14">
        <v>109.0</v>
      </c>
      <c r="B110" s="4" t="s">
        <v>5630</v>
      </c>
      <c r="C110" s="4" t="s">
        <v>5631</v>
      </c>
      <c r="D110" s="4" t="s">
        <v>5562</v>
      </c>
      <c r="E110" s="4" t="s">
        <v>5632</v>
      </c>
      <c r="F110" s="2"/>
      <c r="G110" s="12">
        <v>109.0</v>
      </c>
      <c r="H110" s="4" t="s">
        <v>5633</v>
      </c>
      <c r="I110" s="4" t="s">
        <v>5634</v>
      </c>
      <c r="J110" s="4" t="s">
        <v>5566</v>
      </c>
      <c r="K110" s="4" t="s">
        <v>5635</v>
      </c>
      <c r="L110" s="2"/>
      <c r="M110" s="2"/>
      <c r="N110" s="2"/>
      <c r="O110" s="2"/>
      <c r="P110" s="2"/>
      <c r="Q110" s="2"/>
      <c r="R110" s="2"/>
      <c r="S110" s="2"/>
      <c r="T110" s="2"/>
      <c r="U110" s="2"/>
    </row>
    <row r="111" ht="22.5" customHeight="1">
      <c r="A111" s="14">
        <v>110.0</v>
      </c>
      <c r="B111" s="4" t="s">
        <v>5636</v>
      </c>
      <c r="C111" s="4" t="s">
        <v>5637</v>
      </c>
      <c r="D111" s="4" t="s">
        <v>5160</v>
      </c>
      <c r="E111" s="4" t="s">
        <v>5638</v>
      </c>
      <c r="F111" s="2"/>
      <c r="G111" s="12">
        <v>110.0</v>
      </c>
      <c r="H111" s="4" t="s">
        <v>5639</v>
      </c>
      <c r="I111" s="4" t="s">
        <v>5640</v>
      </c>
      <c r="J111" s="4" t="s">
        <v>4651</v>
      </c>
      <c r="K111" s="4" t="s">
        <v>5641</v>
      </c>
      <c r="L111" s="2"/>
      <c r="M111" s="2"/>
      <c r="N111" s="2"/>
      <c r="O111" s="2"/>
      <c r="P111" s="2"/>
      <c r="Q111" s="2"/>
      <c r="R111" s="2"/>
      <c r="S111" s="2"/>
      <c r="T111" s="2"/>
      <c r="U111" s="2"/>
    </row>
  </sheetData>
  <drawing r:id="rId1"/>
  <tableParts count="2">
    <tablePart r:id="rId4"/>
    <tablePart r:id="rId5"/>
  </tableParts>
</worksheet>
</file>
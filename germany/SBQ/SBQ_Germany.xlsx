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wing (Rudern)" sheetId="1" r:id="rId4"/>
    <sheet state="visible" name="Skat" sheetId="2" r:id="rId5"/>
    <sheet state="visible" name="Bosseln" sheetId="3" r:id="rId6"/>
    <sheet state="visible" name="Radball (Cycle Ball)" sheetId="4" r:id="rId7"/>
    <sheet state="visible" name="Klootschießen" sheetId="5" r:id="rId8"/>
    <sheet state="visible" name="Quoits (Ringspiel)" sheetId="6" r:id="rId9"/>
  </sheets>
  <definedNames/>
  <calcPr/>
</workbook>
</file>

<file path=xl/sharedStrings.xml><?xml version="1.0" encoding="utf-8"?>
<sst xmlns="http://schemas.openxmlformats.org/spreadsheetml/2006/main" count="4390" uniqueCount="3839">
  <si>
    <t>Question number</t>
  </si>
  <si>
    <t>Question</t>
  </si>
  <si>
    <t>Options</t>
  </si>
  <si>
    <t>Answer</t>
  </si>
  <si>
    <t>Description</t>
  </si>
  <si>
    <t>Fragenummer</t>
  </si>
  <si>
    <t>Fragen</t>
  </si>
  <si>
    <t>Richtige Antwort</t>
  </si>
  <si>
    <t>Beschreibung</t>
  </si>
  <si>
    <t>Options2</t>
  </si>
  <si>
    <t>A. Performance B. Catching position C. Grip angle D. timing</t>
  </si>
  <si>
    <t>Ein Ruderer bemerkt, dass sein Ruderblatt immer wieder zu tief ins Wasser taucht. Was sollten sie anpassen?</t>
  </si>
  <si>
    <t>Griffwinkel</t>
  </si>
  <si>
    <t>Durch die Einstellung des Griffwinkels wird sichergestellt, dass sich das Ruderblatt korrekt durch das Wasser bewegt.</t>
  </si>
  <si>
    <t>A. Leistung B. Fangposition C. Griffwinkel D. Timing</t>
  </si>
  <si>
    <t>A. Poor balance B. Uneven strokes C. Defective equipment D. Strong current</t>
  </si>
  <si>
    <t>Während einer Regatta kommt das Boot plötzlich vom Kurs ab. Was ist wahrscheinlich die Ursache dafür?</t>
  </si>
  <si>
    <t>Ungleichmäßige Striche</t>
  </si>
  <si>
    <t>Ungleichmäßige Schläge können dazu führen, dass das Boot vom Kurs abkommt und eine bessere Synchronisierung erforderlich ist.</t>
  </si>
  <si>
    <t>A. Schlechte Balance B. Ungleichmäßige Striche C. Defekte Ausrüstung D. Starke Strömung</t>
  </si>
  <si>
    <t>A. Make 10 rowing strokes with full effort. B. Let it rest for 10 seconds C. Adapt technology D. Stop rowing</t>
  </si>
  <si>
    <t>Der Steuermann fordert eine „Stärke 10“. Was bedeutet das?</t>
  </si>
  <si>
    <t>Machen Sie 10 Ruderschläge mit voller Anstrengung</t>
  </si>
  <si>
    <t>Eine „Power 10“ ist ein Befehl an Ruderer, bei den nächsten 10 Schlägen ihre maximale Anstrengung zu geben.</t>
  </si>
  <si>
    <t>A. Machen Sie 10 Ruderschläge mit voller Anstrengung B. 10 Sekunden ruhen lassen C. Technik anpassen D. Hören Sie auf zu rudern</t>
  </si>
  <si>
    <t>A. The boat stops B. The rower loses his balance C. The boat capsizes D. The rower recovers quickly</t>
  </si>
  <si>
    <t>Was passiert, wenn die Hand eines Ruderers mitten im Ruderschlag abrutscht?</t>
  </si>
  <si>
    <t>Der Ruderer verliert das Gleichgewicht</t>
  </si>
  <si>
    <t>Ein Verlust des Halts mitten im Ruderschlag kann das Gleichgewicht und das Timing des Ruderers beeinträchtigen und Auswirkungen auf das gesamte Team haben.</t>
  </si>
  <si>
    <t>A. Das Boot hält an B. Der Ruderer verliert das Gleichgewicht C. Das Boot kentert D. Der Ruderer erholt sich schnell</t>
  </si>
  <si>
    <t>A. Rudder locks B. Boat alignment C. Rail lubrication D. Running boards</t>
  </si>
  <si>
    <t>Ein Ruderer hat das Gefühl, dass sein Sitz nicht reibungslos gleitet. Was sollten sie überprüfen?</t>
  </si>
  <si>
    <t>Schienenschmierung</t>
  </si>
  <si>
    <t>Eine ordnungsgemäße Schmierung der Sitzschienen sorgt für reibungslose Ruderbewegungen.</t>
  </si>
  <si>
    <t>A. Ruderschlösser B. Bootsausrichtung C. Schienenschmierung D. Trittbretter</t>
  </si>
  <si>
    <t>A. Time penalty B. disqualification C. Restart the race D. warning</t>
  </si>
  <si>
    <t>Wie hoch ist die Strafe für das Überqueren einer anderen Fahrspur während eines Rennens?</t>
  </si>
  <si>
    <t>Disqualifikation</t>
  </si>
  <si>
    <t>Das Überqueren einer anderen Fahrspur kann zur Disqualifikation wegen Behinderung von Gegnern führen.</t>
  </si>
  <si>
    <t>A. Zeitstrafe B. Disqualifikation C. Starten Sie das Rennen neu D. Warnung</t>
  </si>
  <si>
    <t>A. Drink water B. Stretching muscles C. Both A and B D. None of the above</t>
  </si>
  <si>
    <t>Wie sollten sich Ruderer nach einem Langstrecken-Ruderrennen erholen?</t>
  </si>
  <si>
    <t>Sowohl A als auch B</t>
  </si>
  <si>
    <t>Zur Erholung nach einem Rennen gehören Flüssigkeitszufuhr und Dehnübungen, um Muskelkrämpfe zu vermeiden.</t>
  </si>
  <si>
    <t>A. Wasser trinken B. Muskeln dehnen C. Sowohl A als auch B D. Nichts des oben Genannten</t>
  </si>
  <si>
    <t>A. Set the pace B. Balance the boat C. Follow the lift seat D. Steer the boat</t>
  </si>
  <si>
    <t>Welche Rolle spielt der „Bugsitz“ beim Rudern?</t>
  </si>
  <si>
    <t>Balancieren Sie das Boot</t>
  </si>
  <si>
    <t>Der Bugsitz ist entscheidend für die Aufrechterhaltung des Gleichgewichts und des Rhythmus des Bootes.</t>
  </si>
  <si>
    <t>A. Geben Sie das Tempo vor B. Balancieren Sie das Boot C. Folgen Sie dem Hubsitz D. Steuern Sie das Boot</t>
  </si>
  <si>
    <t>A. Shorten lines B. Increase the run-out angle C. Reduce performance D. Sit back and relax</t>
  </si>
  <si>
    <t>Welche Technik sollten Ruderer bei starkem Gegenwind anpassen?</t>
  </si>
  <si>
    <t>Erhöhen Sie den Auslaufwinkel</t>
  </si>
  <si>
    <t>Durch die Vergrößerung des Auslaufwinkels wird der Windwiderstand während der Erholungsphase minimiert.</t>
  </si>
  <si>
    <t>A. Striche verkürzen B. Erhöhen Sie den Auslaufwinkel C. Leistung verringern D. Zurücklehnen</t>
  </si>
  <si>
    <t>A. Incorrect suspension B. Overwhelming blows C. Uneven boat trim D. Rudder too low</t>
  </si>
  <si>
    <t>Ein Ruderer verspürt während der Erholungsphase einen erheblichen Widerstand. Was könnte das Problem sein?</t>
  </si>
  <si>
    <t>Falsche Federung</t>
  </si>
  <si>
    <t>Eine falsche Federung erhöht den Widerstand beim Einholen und verlangsamt das Boot.</t>
  </si>
  <si>
    <t>A. Falsche Federung B. Überwältigende Schläge C. Ungleichmäßiger Bootstrimm D. Ruder zu tief</t>
  </si>
  <si>
    <t>A. Limit the stroke rate B. Increase the boat speed C. Ensure you have stamina D. Avoid muscle fatigue</t>
  </si>
  <si>
    <t>Welchen Zweck hat eine „Tarifobergrenze“ während der Praxis?</t>
  </si>
  <si>
    <t>Schlagzahl begrenzen</t>
  </si>
  <si>
    <t>Eine Quotenobergrenze hilft Ruderern, sich auf Technik und Konstanz statt auf Geschwindigkeit zu konzentrieren.</t>
  </si>
  <si>
    <t>A. Schlagzahl begrenzen B. Erhöhen Sie die Bootsgeschwindigkeit C. Sorgen Sie für Ausdauer D. Vermeiden Sie Muskelermüdung</t>
  </si>
  <si>
    <t>A. Wear gloves B. Use the correct grip technique C. Reduce intensity D. Apply lotion</t>
  </si>
  <si>
    <t>Während des Trainings bilden sich an den Händen eines Ruderers Blasen. Wie kann dies verhindert werden?</t>
  </si>
  <si>
    <t>Verwenden Sie die richtige Grifftechnik</t>
  </si>
  <si>
    <t>Durch die Aufrechterhaltung des richtigen Griffs wird die Reibung verringert und Blasen verhindert.</t>
  </si>
  <si>
    <t>A. Tragen Sie Handschuhe B. Verwenden Sie die richtige Grifftechnik C. Intensität reduzieren D. Tragen Sie Lotion auf</t>
  </si>
  <si>
    <t>A. Performance B. timing C. Strength D. Endurance</t>
  </si>
  <si>
    <t>Während eines Sprintrennens hat ein Ruderer das Gefühl, nicht im Einklang mit dem Team zu sein. Worauf sollten sie sich konzentrieren?</t>
  </si>
  <si>
    <t>Timing</t>
  </si>
  <si>
    <t>Das Timing ist wichtig, um bei einem Sprintrennen die Synchronisation aufrechtzuerhalten.</t>
  </si>
  <si>
    <t>A. Leistung B. Timing C. Stärke D. Ausdauer</t>
  </si>
  <si>
    <t>A. Stroke rate B. Distance covered C. Time required D. Boat balance</t>
  </si>
  <si>
    <t>Was ist der entscheidende Faktor bei der Ermittlung des Siegers eines Ruderrennens?</t>
  </si>
  <si>
    <t>Zeitaufwand</t>
  </si>
  <si>
    <t>Der Gewinner wird anhand der für den Abschluss des Kurses benötigten Zeit ermittelt.</t>
  </si>
  <si>
    <t>A. Schlagzahl B. Zurückgelegte Strecke C. Zeitaufwand D. Bootsbalance</t>
  </si>
  <si>
    <t>A. Onset of the stroke B. End of the stroke C. midpoint of the line D. Recovery phase</t>
  </si>
  <si>
    <t>Worauf bezieht sich der Begriff „Fangen“ in einem Ruderboot?</t>
  </si>
  <si>
    <t>Beginn des Schlaganfalls</t>
  </si>
  <si>
    <t>Der „Fang“ ist der Moment, in dem das Ruderblatt zu Beginn des Ruderschlags ins Wasser eintaucht.</t>
  </si>
  <si>
    <t>A. Beginn des Schlaganfalls B. Ende des Schlaganfalls C. Mittelpunkt des Strichs D. Erholungsphase</t>
  </si>
  <si>
    <t>A. Boat alignment B. Core strength C. Blade height D. Team synchronization</t>
  </si>
  <si>
    <t>Ein Ruderer hat Mühe, das Gleichgewicht zu halten. Worauf sollten sie sich konzentrieren?</t>
  </si>
  <si>
    <t>Kernstärke</t>
  </si>
  <si>
    <t>Die Rumpfmuskulatur ist für die Aufrechterhaltung des Gleichgewichts und der Stabilität in einem Ruderboot von entscheidender Bedeutung.</t>
  </si>
  <si>
    <t>A. Bootsausrichtung B. Kernstärke C. Klingenhöhe D. Teamsynchronisation</t>
  </si>
  <si>
    <t>A. steering B. Set the pace C. Does it maintain balance? D. Adjust the boat trim</t>
  </si>
  <si>
    <t>Welche Bedeutung hat der Rudersitz im Ruderboot?</t>
  </si>
  <si>
    <t>Legt das Tempo fest</t>
  </si>
  <si>
    <t>Der Taktsitz gibt den Rhythmus und das Tempo für den Rest der Crew vor.</t>
  </si>
  <si>
    <t>A. Lenkung B. Legt das Tempo fest C. Hält das Gleichgewicht D. Passt den Bootstrimm an</t>
  </si>
  <si>
    <t>A. One B. Two C. Three D. Four</t>
  </si>
  <si>
    <t>Wie viele Ruder benutzt jeder Ruderer beim Skullen?</t>
  </si>
  <si>
    <t>Zwei</t>
  </si>
  <si>
    <t>Beim Skullen benutzt jeder Ruderer zwei Ruder, eines in jeder Hand.</t>
  </si>
  <si>
    <t>A. Eins B. Zwei C. Drei D. Vier</t>
  </si>
  <si>
    <t>A. Swim to the shore B. Hold the boat firmly C. panic D. Call for help</t>
  </si>
  <si>
    <t>Was sollten Ruderer tun, wenn ihr Boot während einer Trainingseinheit kentert?</t>
  </si>
  <si>
    <t>Halten Sie das Boot fest</t>
  </si>
  <si>
    <t>Das Festhalten am Boot sorgt für Sicherheit und erleichtert die Bergung.</t>
  </si>
  <si>
    <t>A. Schwimmen Sie zum Ufer B. Halten Sie das Boot fest C. Panik D. Rufen Sie um Hilfe</t>
  </si>
  <si>
    <t>A. Relax your arms B. Maintain the boat's balance C. Spring the blade D. Slow down the strokes</t>
  </si>
  <si>
    <t>Wie schaffen Ruderer einen reibungslosen Übergang während der Erholungsphase?</t>
  </si>
  <si>
    <t>Federn Sie die Klinge</t>
  </si>
  <si>
    <t>Durch die Federung der Klinge wird der Widerstand minimiert und eine sanftere Erholung ermöglicht.</t>
  </si>
  <si>
    <t>A. Entspannen Sie die Arme B. Halten Sie das Gleichgewicht des Bootes aufrecht C. Federn Sie die Klinge D. Verlangsamen Sie die Schläge</t>
  </si>
  <si>
    <t>A. Uneven strokes B. High spring angle C. Deep blade catch D. Bad timing</t>
  </si>
  <si>
    <t>Während eines Rennens bemerkt der Steuermann, dass das Wasser übermäßig spritzt. Was ist wahrscheinlich die Ursache?</t>
  </si>
  <si>
    <t>Tiefer Klingenfang</t>
  </si>
  <si>
    <t>Übermäßiges Spritzen entsteht oft dadurch, dass die Klinge beim Fangen zu tief ist.</t>
  </si>
  <si>
    <t>A. Ungleichmäßige Striche B. Hoher Federwinkel C. Tiefer Klingenfang D. Falsches Timing</t>
  </si>
  <si>
    <t>A. Technology B. Performance C. Endurance D. timing</t>
  </si>
  <si>
    <t>Ein unerfahrener Ruderer ist nicht in der Lage, Langstreckenrudern zu absolvieren. Was sollten sie verbessern?</t>
  </si>
  <si>
    <t>Ausdauer</t>
  </si>
  <si>
    <t>Der Aufbau von Ausdauer ist für das Absolvieren von Langstrecken-Rudereinheiten unerlässlich.</t>
  </si>
  <si>
    <t>A. Technik B. Leistung C. Ausdauer D. Timing</t>
  </si>
  <si>
    <t>A. Boat collision B. Sudden stop of movement C. Disrupted momentum D. Stroke correction</t>
  </si>
  <si>
    <t>Worauf bezieht sich der Begriff „Check“ beim Rudern?</t>
  </si>
  <si>
    <t>Gestörter Schwung</t>
  </si>
  <si>
    <t>„Check“ bezieht sich auf eine gestörte Dynamik, die durch eine schlechte Technik oder ein schlechtes Gleichgewicht verursacht wird.</t>
  </si>
  <si>
    <t>A. Bootskollision B. Plötzlicher Bewegungsstopp C. Gestörter Schwung D. Schlaganfallkorrektur</t>
  </si>
  <si>
    <t>A. Lean back slightly B. Lean forward C. Sit upright D. Turn to the side</t>
  </si>
  <si>
    <t>Was ist die richtige Körperposition beim „Ende“ eines Ruderschlags?</t>
  </si>
  <si>
    <t>Lehnen Sie sich leicht zurück</t>
  </si>
  <si>
    <t>Am „Ziel“ lehnen sich die Ruderer leicht zurück und halten den Rudergriff nah am Körper.</t>
  </si>
  <si>
    <t>A. Lehnen Sie sich leicht zurück B. Lehne dich nach vorne C. Sitzen Sie aufrecht D. Zur Seite drehen</t>
  </si>
  <si>
    <t>A. Blade springs B. Hold the blades vertically. C. Short strokes D. Speedy recovery</t>
  </si>
  <si>
    <t>Ein Rudertrainer verlangt „quadratische Ruderblätter“. Was bedeutet das?</t>
  </si>
  <si>
    <t>Halten Sie die Klingen vertikal</t>
  </si>
  <si>
    <t>„Quadratische Blätter“ bedeutet, dass die Ruderblätter während des Ruderschlags senkrecht zum Wasser bleiben.</t>
  </si>
  <si>
    <t>A. Federn der Klingen B. Halten Sie die Klingen vertikal C. Kurze Striche D. Schnelle Genesung</t>
  </si>
  <si>
    <t>A. temperature B. wind C. humidity D. Noise</t>
  </si>
  <si>
    <t>Welcher Umweltfaktor beeinflusst die Geschwindigkeit eines Ruderboots am meisten?</t>
  </si>
  <si>
    <t>Wind</t>
  </si>
  <si>
    <t>Wind beeinflusst die Rudergeschwindigkeit erheblich, insbesondere bei Outdoor-Rennen.</t>
  </si>
  <si>
    <t>A. Temperatur B. Wind C. Luftfeuchtigkeit D. Lärm</t>
  </si>
  <si>
    <t>A. Adjust resistance B. Measure boat weight C. Simulate race pace D. Reduce the impact force</t>
  </si>
  <si>
    <t>Welchen Zweck hat ein „Widerstandsfaktor“ bei Indoor-Rudergeräten?</t>
  </si>
  <si>
    <t>Widerstand anpassen</t>
  </si>
  <si>
    <t>Der Widerstandsfaktor passt den Widerstand von Indoor-Rudergeräten an die Wasserbedingungen an.</t>
  </si>
  <si>
    <t>A. Widerstand anpassen B. Bootsgewicht messen C. Renntempo simulieren D. Schlaganstrengung reduzieren</t>
  </si>
  <si>
    <t>A. Adjust balance B. Stop rowing C. Reduce stroke rate D. Increase performance</t>
  </si>
  <si>
    <t>Während eines Ruderrennens bemerkt eine Crew, dass ihr Boot ungleichmäßig im Wasser liegt. Was sollen sie tun?</t>
  </si>
  <si>
    <t>Balance anpassen</t>
  </si>
  <si>
    <t>Ungleichmäßiges Sitzen weist oft auf ein Gleichgewichtsproblem hin, das sofort behoben werden muss.</t>
  </si>
  <si>
    <t>A. Balance anpassen B. Hören Sie auf zu rudern C. Schlagzahl reduzieren D. Erhöhen Sie die Leistung</t>
  </si>
  <si>
    <t>A. life jacket B. helmet C. oarlocks D. Emergency whistle</t>
  </si>
  <si>
    <t>Welche Sicherheitsausrüstung ist beim Rudern im offenen Wasser obligatorisch?</t>
  </si>
  <si>
    <t>Rettungsweste</t>
  </si>
  <si>
    <t>Aus Sicherheitsgründen sind beim Rudern im offenen Wasser Schwimmwesten Pflicht.</t>
  </si>
  <si>
    <t>A. Rettungsweste B. Helm C. Ruderriemen D. Notfallpfeife</t>
  </si>
  <si>
    <t>A. Poor technique B. Overtraining C. Low-power nuclear power D. Heavy oars</t>
  </si>
  <si>
    <t>Ein Ruderer verspürt nach dem Training Schmerzen im unteren Rücken. Was ist die wahrscheinlichste Ursache?</t>
  </si>
  <si>
    <t>Schlechte Technik</t>
  </si>
  <si>
    <t>Eine schlechte Rudertechnik, beispielsweise eine falsche Haltung, kann zu Schmerzen im unteren Rückenbereich führen.</t>
  </si>
  <si>
    <t>A. Schlechte Technik B. Übertraining C. Schwache Kernkraft D. Schwere Ruder</t>
  </si>
  <si>
    <t>A. Practice under low-oxygen conditions B. Increase stroke rate C. Focus on balance D. Use lighter oars</t>
  </si>
  <si>
    <t>Wie sollte sich ein Ruderer auf einen Wettkampf in großer Höhe vorbereiten?</t>
  </si>
  <si>
    <t>Üben Sie unter sauerstoffarmen Bedingungen</t>
  </si>
  <si>
    <t>Das Training in sauerstoffarmen Umgebungen hilft Ruderern, sich an die Bedingungen in großer Höhe zu gewöhnen.</t>
  </si>
  <si>
    <t>A. Üben Sie unter sauerstoffarmen Bedingungen B. Schlagfrequenz erhöhen C. Konzentrieren Sie sich auf das Gleichgewicht D. Benutzen Sie leichtere Ruder</t>
  </si>
  <si>
    <t>A. Rest between strokes B. Lean back at the finish line C. Stopping the stroke D. Restoring balance</t>
  </si>
  <si>
    <t>Was bedeutet „Layback“ beim Rudern?</t>
  </si>
  <si>
    <t>Zurücklehnen im Ziel</t>
  </si>
  <si>
    <t>„Layback“ beschreibt die leichte Rückwärtsneigung am Ende des Schlages, um die Kraft zu maximieren.</t>
  </si>
  <si>
    <t>A. Ruhen Sie sich zwischen den Schlägen aus B. Zurücklehnen im Ziel C. Stoppen des Schlaganfalls D. Das Gleichgewicht wiederherstellen</t>
  </si>
  <si>
    <t>A. 20–22 strokes per minute B. 24–26 strokes per minute C. 28–30 strokes per minute D. 32–34 strokes per minute</t>
  </si>
  <si>
    <t>Was ist die ideale Schlagfrequenz für ein Langstrecken-Ruderrennen?</t>
  </si>
  <si>
    <t>20–22 Hübe pro Minute</t>
  </si>
  <si>
    <t>Eine konstante Schlagfrequenz von 20–22 ist ideal für Langstreckenrennen, um die Ausdauer aufrechtzuerhalten.</t>
  </si>
  <si>
    <t>A. 20–22 Hübe pro Minute B. 24–26 Hübe pro Minute C. 28–30 Hübe pro Minute D. 32–34 Hübe pro Minute</t>
  </si>
  <si>
    <t>A. Core strength B. Grip pressure C. beat sequence D. Recovery speed</t>
  </si>
  <si>
    <t>Ein Ruderer bemerkt, dass seine Griffbewegung inkonsistent ist. Worauf sollten sie sich konzentrieren?</t>
  </si>
  <si>
    <t>Schlagfolge</t>
  </si>
  <si>
    <t>Das Befolgen einer konsistenten Schlagfolge verbessert die Bewegung des Griffs.</t>
  </si>
  <si>
    <t>A. Kernstärke B. Griffdruck C. Schlagfolge D. Wiederherstellungsgeschwindigkeit</t>
  </si>
  <si>
    <t>A. Improve your timing B. Improve power output C. Strengthen grip D. Develop technology</t>
  </si>
  <si>
    <t>Welchen Zweck haben „Fangübungen“ während des Trainings?</t>
  </si>
  <si>
    <t>Verbessern Sie das Timing</t>
  </si>
  <si>
    <t>Fangübungen sollen Ruderern dabei helfen, ihr Timing zu Beginn des Ruderschlags zu perfektionieren.</t>
  </si>
  <si>
    <t>A. Verbessern Sie das Timing B. Verbessern Sie die Leistungsabgabe C. Griff stärken D. Technik entwickeln</t>
  </si>
  <si>
    <t>A. Uneven steering B. Increased speed C. boat imbalance D. Improved balance</t>
  </si>
  <si>
    <t>Was passiert beim Rudern, wenn ein Ruder tiefer ins Wasser eindringt als das andere?</t>
  </si>
  <si>
    <t>Ungleichgewicht des Bootes</t>
  </si>
  <si>
    <t>Eine ungleichmäßige Rudertiefe kann dazu führen, dass das Boot kippt und es zu einem Ungleichgewicht kommt.</t>
  </si>
  <si>
    <t>A. Ungleichmäßige Lenkung B. Erhöhte Geschwindigkeit C. Ungleichgewicht des Bootes D. Verbesserte Balance</t>
  </si>
  <si>
    <t>A. Rowing with lighter oars B. Weight restrictions for rowers C. Shorter races D. Lower stroke rate</t>
  </si>
  <si>
    <t>Worauf bezieht sich der Begriff „Leichtgewichtsrudern“?</t>
  </si>
  <si>
    <t>Gewichtsbeschränkungen für Ruderer</t>
  </si>
  <si>
    <t>Beim Leichtgewichtsrudern gelten Gewichtsbeschränkungen, um einen fairen Wettbewerb zu gewährleisten.</t>
  </si>
  <si>
    <t>A. Rudern mit leichteren Rudern B. Gewichtsbeschränkungen für Ruderer C. Kürzere Rennen D. Geringere Schlagfrequenz</t>
  </si>
  <si>
    <t>A. Misaligned boat B. Incorrect suspension C. Strong headwind D. Weak hold</t>
  </si>
  <si>
    <t>Während einer Trainingseinheit verspürt die Besatzung während der Erholung einen starken Widerstand. Warum?</t>
  </si>
  <si>
    <t>Eine falsche Federung erhöht den Luftwiderstand und den Widerstand während der Erholungsphase.</t>
  </si>
  <si>
    <t>A. Falsch ausgerichtetes Boot B. Falsche Federung C. Starker Gegenwind D. Schwacher Halt</t>
  </si>
  <si>
    <t>A. Technology B. Performance C. speed D. timing</t>
  </si>
  <si>
    <t>Worauf sollten sich Ruderer während einer Trainingseinheit in unruhigem Wasser konzentrieren?</t>
  </si>
  <si>
    <t>Technik</t>
  </si>
  <si>
    <t>Eine gute Technik ist für die Aufrechterhaltung der Stabilität bei rauen Wasserbedingungen unerlässlich.</t>
  </si>
  <si>
    <t>A. Technik B. Leistung C. Geschwindigkeit D. Timing</t>
  </si>
  <si>
    <t>A. Reaching too far B. Weak wrist muscles C. Incorrect recovery D. Excessive use of weapons</t>
  </si>
  <si>
    <t>Ein Ruderer hat nach dem Training Schmerzen im Handgelenk. Was ist eine wahrscheinliche Ursache?</t>
  </si>
  <si>
    <t>Den Griff zu weit greifen</t>
  </si>
  <si>
    <t>Ein zu starker Griff am Rudergriff kann die Handgelenke belasten und Schmerzen verursachen.</t>
  </si>
  <si>
    <t>A. Den Griff zu weit greifen B. Schwache Handgelenksmuskulatur C. Falsche Wiederherstellung D. Übermäßiger Waffengebrauch</t>
  </si>
  <si>
    <t>A. Reduce stroke rate B. Adjust boat trim C. Increase performance D. Stop rowing</t>
  </si>
  <si>
    <t>Ein Ruderer bemerkt, dass bei rauen Bedingungen Wasser über den Bug des Bootes spritzt. Was sollen sie tun?</t>
  </si>
  <si>
    <t>Bootstrimm anpassen</t>
  </si>
  <si>
    <t>Das Anpassen des Bootstrimms trägt dazu bei, die Stabilität bei rauen Wasserbedingungen zu gewährleisten.</t>
  </si>
  <si>
    <t>A. Schlagfrequenz reduzieren B. Bootstrimm anpassen C. Erhöhen Sie die Leistung D. Hören Sie auf zu rudern</t>
  </si>
  <si>
    <t>A. Short strokes B. Poor synchronization C. Low stroke rate D. Uneven weight</t>
  </si>
  <si>
    <t>Während eines Ruderrennens hat eine Mannschaft das Gefühl, an Geschwindigkeit zu verlieren. Was könnte der Grund sein?</t>
  </si>
  <si>
    <t>Schlechte Synchronisierung</t>
  </si>
  <si>
    <t>Die Synchronisation ist entscheidend für die Aufrechterhaltung der Geschwindigkeit und Effizienz beim Rudern.</t>
  </si>
  <si>
    <t>A. Kurze Striche B. Schlechte Synchronisierung C. Niedrige Schlagfrequenz D. Ungleichmäßiges Gewicht</t>
  </si>
  <si>
    <t>A. Increase stroke rate B. Correct with oars C. Call for Power 10 D. Signal a stop</t>
  </si>
  <si>
    <t>Was sollte ein Steuermann tun, wenn seine Mannschaft vom Kurs abkommt?</t>
  </si>
  <si>
    <t>Richtig mit Ruder</t>
  </si>
  <si>
    <t>Der Steuermann nutzt das Ruder, um das Boot wieder auf Kurs zu bringen.</t>
  </si>
  <si>
    <t>A. Schlagfrequenz erhöhen B. Richtig mit Ruder C. Ruf nach Macht 10 D. Signalisieren Sie einen Halt</t>
  </si>
  <si>
    <t>A. Suspension exercises B. drill bit with square blade C. Catch-Placement Exercise D. Impact drill</t>
  </si>
  <si>
    <t>Ein Ruderer hat Probleme mit dem Timing beim Fangen. Welche Übung könnte helfen, dies zu verbessern?</t>
  </si>
  <si>
    <t>Catch-Placement-Übung</t>
  </si>
  <si>
    <t>Fangplatzierungsübungen helfen Ruderern dabei, ihr Timing zu Beginn des Ruderschlags zu verbessern.</t>
  </si>
  <si>
    <t>A. Federungsübungen B. Bohrer mit quadratischer Klinge C. Catch-Placement-Übung D. Kraftschlagbohrer</t>
  </si>
  <si>
    <t>A. balance B. Application of force C. recreation D. steering</t>
  </si>
  <si>
    <t>Worauf liegt der Schwerpunkt während der „Antriebs“-Phase eines Ruderschlags?</t>
  </si>
  <si>
    <t>Kraftanwendung</t>
  </si>
  <si>
    <t>In der Antriebsphase wenden Ruderer Kraft an, um das Boot vorwärts zu treiben.</t>
  </si>
  <si>
    <t>A. Gleichgewicht B. Kraftanwendung C. Erholung D. Lenkung</t>
  </si>
  <si>
    <t>A. Weight distribution B. Timing problems C. Unequal performance D. Boat trim</t>
  </si>
  <si>
    <t>Welche Herausforderung stellt sich in einer gemischten Crew oft?</t>
  </si>
  <si>
    <t>Ungleiche Leistungsabgabe</t>
  </si>
  <si>
    <t>Bei gemischten Besatzungen kann es schwierig sein, die Leistungsabgabe zwischen den Mitgliedern auszugleichen.</t>
  </si>
  <si>
    <t>A. Gewichtsverteilung B. Timing-Probleme C. Ungleiche Leistungsabgabe D. Bootstrimm</t>
  </si>
  <si>
    <t>A. Arms outstretched, legs bent B. Arms bent, legs straight C. Stand upright with arms extended D. Lean back slightly</t>
  </si>
  <si>
    <t>Was ist die ideale Körperposition beim „Fangen“?</t>
  </si>
  <si>
    <t>Arme ausgestreckt, Beine angewinkelt</t>
  </si>
  <si>
    <t>Beim Fangen sollten Ruderer ihre Arme ausgestreckt und die Beine gebeugt haben, um eine maximale Schlageffizienz zu erreichen.</t>
  </si>
  <si>
    <t>A. Arme ausgestreckt, Beine angewinkelt B. Arme angewinkelt, Beine gerade C. Aufrecht, Arme ausgestreckt D. Lehnen Sie sich leicht zurück</t>
  </si>
  <si>
    <t>A. Increased air resistance B. Faster speed C. Improved stability D. Softer stroke</t>
  </si>
  <si>
    <t>Was passiert, wenn das Ruderblatt während der Bergung das Wasser nicht vollständig freigibt?</t>
  </si>
  <si>
    <t>Erhöhter Luftwiderstand</t>
  </si>
  <si>
    <t>Wenn das Blatt nicht frei ist, erhöht sich der Luftwiderstand, wodurch das Boot langsamer wird.</t>
  </si>
  <si>
    <t>A. Erhöhter Luftwiderstand B. Schnellere Geschwindigkeit C. Bessere Stabilität D. Sanfterer Strich</t>
  </si>
  <si>
    <t>A. Focus on rudder locks B. Use a mirror C. Practice core exercises D. Maintain a firm grip</t>
  </si>
  <si>
    <t>Wie kann ein Ruderer während des gesamten Ruderzugs eine gleichmäßige Griffhöhe gewährleisten?</t>
  </si>
  <si>
    <t>Üben Sie Kernübungen</t>
  </si>
  <si>
    <t>Kernstärke und Stabilität tragen dazu bei, konstante Griffhöhen aufrechtzuerhalten.</t>
  </si>
  <si>
    <t>A. Konzentrieren Sie sich auf Ruderschlösser B. Benutze einen Spiegel C. Üben Sie Kernübungen D. Behalten Sie einen starken Halt bei</t>
  </si>
  <si>
    <t>A. Attack during capture B. Incorrect grip technique C. Weak shoulder muscles D. Long practice duration</t>
  </si>
  <si>
    <t>Ein Ruderer verspürt nach dem Rudertraining eine Schulterbelastung. Was könnte die Ursache sein?</t>
  </si>
  <si>
    <t>Übergriff beim Fang</t>
  </si>
  <si>
    <t>Ein Übergreifen beim Fangen belastet die Schultern unnötig.</t>
  </si>
  <si>
    <t>A. Übergriff beim Fang B. Falsche Grifftechnik C. Schwache Schultermuskulatur D. Lange Übungsdauer</t>
  </si>
  <si>
    <t>A. Monitor the stroke rate B. Amplify voice commands C. Show race time D. steering rudder</t>
  </si>
  <si>
    <t>Was ist die Hauptfunktion der „Steuerbox“, die von Steuermännern verwendet wird?</t>
  </si>
  <si>
    <t>Verstärken Sie Sprachbefehle</t>
  </si>
  <si>
    <t>Die Steuerbox verstärkt die Stimme des Steuermanns, um sicherzustellen, dass die Besatzung die Anweisungen klar versteht.</t>
  </si>
  <si>
    <t>A. Überwachen Sie die Schlagfrequenz B. Verstärken Sie Sprachbefehle C. Rennzeit anzeigen D. Steuerruder</t>
  </si>
  <si>
    <t>A. Increase stroke rate B. Reduce leakage C. Shorten lines D. Focus on balance</t>
  </si>
  <si>
    <t>Wie kann eine Crew während eines Rennens ihre Leistung bei starkem Rückenwind optimieren?</t>
  </si>
  <si>
    <t>Schlagfrequenz erhöhen</t>
  </si>
  <si>
    <t>Eine höhere Schlagfrequenz hilft dabei, den Geschwindigkeitsschub durch Rückenwind zu nutzen.</t>
  </si>
  <si>
    <t>A. Schlagfrequenz erhöhen B. Reduzieren Sie das Auslaufen C. Striche verkürzen D. Konzentrieren Sie sich auf das Gleichgewicht</t>
  </si>
  <si>
    <t>A. Scull B. Sweep rowing C. ergometer rowing D. Adaptive rowing</t>
  </si>
  <si>
    <t>Bei welcher Art des Ruderns benutzt jeder Ruderer ein Ruder?</t>
  </si>
  <si>
    <t>Sweep-Rudern</t>
  </si>
  <si>
    <t>Beim Schwungrudern verwenden die Ruderer jeweils ein Ruder.</t>
  </si>
  <si>
    <t>A. Skullen B. Sweep-Rudern C. Ergometer-Rudern D. Adaptives Rudern</t>
  </si>
  <si>
    <t>A. Improve aesthetics B. Minimize air resistance C. Increase speed D. Balance the crew</t>
  </si>
  <si>
    <t>Warum ist es wichtig, beim Rudern den Bootstrimm beizubehalten?</t>
  </si>
  <si>
    <t>Luftwiderstand minimieren</t>
  </si>
  <si>
    <t>Der richtige Bootstrimm minimiert den Luftwiderstand und maximiert die Effizienz.</t>
  </si>
  <si>
    <t>A. Ästhetik verbessern B. Luftwiderstand minimieren C. Geschwindigkeit erhöhen D. Balancieren Sie die Crew aus</t>
  </si>
  <si>
    <t>A. Grip technique B. Core strength C. Application of force D. timing</t>
  </si>
  <si>
    <t>Ein unerfahrener Ruderer hat Schwierigkeiten, beim langen Rudern seine Haltung beizubehalten. Woran sollten sie arbeiten?</t>
  </si>
  <si>
    <t>Die Rumpfmuskulatur ist entscheidend für die Aufrechterhaltung der richtigen Haltung während einer Rudersitzung.</t>
  </si>
  <si>
    <t>A. Grifftechnik B. Kernstärke C. Kraftanwendung D. Timing</t>
  </si>
  <si>
    <t>A. spilling water from the rudder B. Loss of power while driving C. The leaf leaves the water early. D. Water floods the boat</t>
  </si>
  <si>
    <t>Was bedeutet „Auswaschen“ beim Rudern?</t>
  </si>
  <si>
    <t>Blatt verlässt das Wasser früh</t>
  </si>
  <si>
    <t>Wenn die Klinge vorzeitig aus dem Wasser austritt, kommt es zum Auswaschen, was die Schlageffizienz verringert.</t>
  </si>
  <si>
    <t>A. Wasser aus dem Ruder verschütten B. Leistungsverlust während der Fahrt C. Blatt verlässt das Wasser früh D. Wasser überschwemmt das Boot</t>
  </si>
  <si>
    <t>A. Protect the boat B. Reduce air resistance C. Mark track position D. Collision safety</t>
  </si>
  <si>
    <t>Welche Rolle spielt der „Bugball“ auf einem Ruderboot?</t>
  </si>
  <si>
    <t>Sicherheit bei Kollisionen</t>
  </si>
  <si>
    <t>Der Bugball ist ein Sicherheitsmerkmal, um Ruderer bei Kollisionen zu schützen.</t>
  </si>
  <si>
    <t>A. Schützen Sie das Boot B. Reduzieren Sie den Luftwiderstand C. Spurposition markieren D. Sicherheit bei Kollisionen</t>
  </si>
  <si>
    <t>A. Steering precision B. Fast starts C. High stroke rates D. blade suspension</t>
  </si>
  <si>
    <t>Eine Crew bereitet sich auf eine Regatta mit engen Bahnen vor. Was sollten sie üben?</t>
  </si>
  <si>
    <t>Lenkpräzision</t>
  </si>
  <si>
    <t>Bei Rennen auf engen Fahrspuren ist die Lenkpräzision von entscheidender Bedeutung, um Strafen oder Kollisionen zu vermeiden.</t>
  </si>
  <si>
    <t>A. Lenkpräzision B. Schnelle Starts C. Hohe Schlagzahlen D. Klingenfederung</t>
  </si>
  <si>
    <t>A. Build up your stamina B. Focus on the technique C. Develop strength D. Increase speed</t>
  </si>
  <si>
    <t>Was ist das Hauptziel während einer „Paddelübungssitzung“?</t>
  </si>
  <si>
    <t>Konzentrieren Sie sich auf die Technik</t>
  </si>
  <si>
    <t>Beim Paddeln liegt der Schwerpunkt auf der Verbesserung der Technik, ohne sich auf Kraft oder Geschwindigkeit zu konzentrieren.</t>
  </si>
  <si>
    <t>A. Bauen Sie Ausdauer auf B. Konzentrieren Sie sich auf die Technik C. Stärke entwickeln D. Geschwindigkeit erhöhen</t>
  </si>
  <si>
    <t>A. Adjust stroke rate B. Change blade depth C. Change boat trim D. Change recovery phase</t>
  </si>
  <si>
    <t>Wie wirkt sich die Art des Wassers (flach oder turbulent) auf die Ruderstrategie aus?</t>
  </si>
  <si>
    <t>Schlagfrequenz anpassen</t>
  </si>
  <si>
    <t>Die Schlagfrequenzen werden an die Herausforderungen des Gewässertyps angepasst.</t>
  </si>
  <si>
    <t>A. Schlagfrequenz anpassen B. Klingentiefe ändern C. Bootstrimm ändern D. Wiederherstellungsphase ändern</t>
  </si>
  <si>
    <t>A. Increase performance B. Shorten lines C. Lower stroke rate D. Keep the rhythm</t>
  </si>
  <si>
    <t>Worauf sollten Ruderer beim Rudern gegen Gegenwind achten?</t>
  </si>
  <si>
    <t>Behalten Sie den Rhythmus bei</t>
  </si>
  <si>
    <t>Die Aufrechterhaltung eines gleichmäßigen Rhythmus hilft Ruderern, den Widerstand durch Gegenwind zu überwinden.</t>
  </si>
  <si>
    <t>A. Erhöhen Sie die Leistung B. Striche verkürzen C. Niedrigere Schlagfrequenz D. Behalten Sie den Rhythmus bei</t>
  </si>
  <si>
    <t>A. High stroke rate B. Longer strokes C. Minimal leakage D. Lightweight blades</t>
  </si>
  <si>
    <t>Welche Technik hilft bei einem Sprintrennen, die Geschwindigkeit zu maximieren?</t>
  </si>
  <si>
    <t>Hohe Schlagzahl</t>
  </si>
  <si>
    <t>Eine höhere Schlagfrequenz erhöht die Geschwindigkeit bei kurzen Sprintrennen.</t>
  </si>
  <si>
    <t>A. Hohe Schlagzahl B. Längere Striche C. Minimales Auslaufen D. Leichte Klingen</t>
  </si>
  <si>
    <t>A. Improved range B. Reduced balance C. Increased speed D. Reduced impact force</t>
  </si>
  <si>
    <t>Was führt zu einer „Überreichweite“ beim Fang?</t>
  </si>
  <si>
    <t>Reduziertes Gleichgewicht</t>
  </si>
  <si>
    <t>Übermäßiges Greifen stört das Gleichgewicht und die Schlageffizienz.</t>
  </si>
  <si>
    <t>A. Bessere Reichweite B. Reduziertes Gleichgewicht C. Erhöhte Geschwindigkeit D. Reduzierte Schlagkraft</t>
  </si>
  <si>
    <t>A. Uneven oar lengths B. Incorrect boat trim C. Asymmetrical rowing D. Poor synchronization</t>
  </si>
  <si>
    <t>Eine Besatzung bemerkt, dass sich ihr Boot während des Ruderns zur Seite neigt. Was könnte die Ursache sein?</t>
  </si>
  <si>
    <t>Eine schlechte Synchronisierung kann dazu führen, dass sich das Boot ungleichmäßig neigt.</t>
  </si>
  <si>
    <t>A. Ungleichmäßige Ruderlängen B. Falscher Bootstrimm C. Asymmetrisches Rudern D. Schlechte Synchronisierung</t>
  </si>
  <si>
    <t>A. Keep the rhythm B. Encourage maximum effort C. Focus on steering. D. Slow down the stroke rate</t>
  </si>
  <si>
    <t>Was sollte ein Steuermann während eines Power-10-Anrufs tun?</t>
  </si>
  <si>
    <t>Ermutigen Sie zu maximalem Einsatz</t>
  </si>
  <si>
    <t>Ein Power-10-Anruf wird gemacht, um Ruderer zu ermutigen, bei 10 Schlägen maximale Anstrengung zu geben.</t>
  </si>
  <si>
    <t>A. Behalten Sie den Rhythmus bei B. Ermutigen Sie zu maximalem Einsatz C. Konzentrieren Sie sich auf die Lenkung D. Verlangsamen Sie die Schlagfrequenz</t>
  </si>
  <si>
    <t>A. Increase the run-out angle B. Shorten lines C. Slow down the recovery D. Avoid sitting back.</t>
  </si>
  <si>
    <t>Wie können Ruderer den Widerstand während der Erholungsphase reduzieren?</t>
  </si>
  <si>
    <t>Durch die richtige Befederung wird der Widerstand während der Erholung minimiert.</t>
  </si>
  <si>
    <t>A. Erhöhen Sie den Auslaufwinkel B. Striche verkürzen C. Verlangsamen Sie die Genesung D. Vermeiden Sie es, sich zurückzulehnen</t>
  </si>
  <si>
    <t>A. Blade synchronization B. steering control C. High power output D. Stroke rate</t>
  </si>
  <si>
    <t>Was sollten Ruderer in einem gemischten 4-Personen-Skullboot priorisieren?</t>
  </si>
  <si>
    <t>Blade-Synchronisation</t>
  </si>
  <si>
    <t>Die Synchronisierung sorgt dafür, dass sich das Boot reibungslos und effizient bewegt.</t>
  </si>
  <si>
    <t>A. Blade-Synchronisation B. Lenksteuerung C. Hohe Leistungsabgabe D. Schlagzahl</t>
  </si>
  <si>
    <t>A. Wear gloves B. Use a stronger grip C. Adjust handle height D. Improve your hand strength</t>
  </si>
  <si>
    <t>Während des Trainings fällt es einem Ruderer schwer, den Griff festzuhalten. Was könnte helfen?</t>
  </si>
  <si>
    <t>Tragen Sie Handschuhe</t>
  </si>
  <si>
    <t>Das Tragen von Handschuhen kann für besseren Halt sorgen und Blasen verhindern.</t>
  </si>
  <si>
    <t>A. Tragen Sie Handschuhe B. Verwenden Sie einen stärkeren Griff C. Griffhöhe anpassen D. Verbessern Sie die Handkraft</t>
  </si>
  <si>
    <t>A. Sudden increase in stroke rate B. Rowers change between races C. Short races D. Rowing in the heat</t>
  </si>
  <si>
    <t>Was bedeutet „Hot Seating“ beim Rudern?</t>
  </si>
  <si>
    <t>Wechsel der Ruderer zwischen den Rennen</t>
  </si>
  <si>
    <t>Unter „Hot Seating“ versteht man das schnelle und ununterbrochene Wechseln der Ruderer in einem Boot zwischen den Rennen.</t>
  </si>
  <si>
    <t>A. Plötzlicher Anstieg der Schlagfrequenz B. Wechsel der Ruderer zwischen den Rennen C. Kurze Rennen D. Rudern unter Hitze</t>
  </si>
  <si>
    <t>A. You'll start with the next trick. B. Your opponent leads next C. The round is over. D. You must be a good match for your opponent.</t>
  </si>
  <si>
    <t>Wenn Sie beim Skat der Solospieler sind und den Stich mit der höchsten Karte einer Farbe gewinnen, was passiert dann als nächstes?</t>
  </si>
  <si>
    <t>A. Du beginnst mit dem nächsten Trick B. Ihr Gegner führt als nächstes C. Die Runde ist vorbei D. Sie müssen zu Ihrem Gegner passen</t>
  </si>
  <si>
    <t>Du beginnst mit dem nächsten Trick</t>
  </si>
  <si>
    <t>Wenn Sie als Solospieler einen Stich gewinnen, haben Sie die Möglichkeit, den nächsten Stich anzuführen.</t>
  </si>
  <si>
    <t>A. Great B. Zero C. Suit game D. Skat</t>
  </si>
  <si>
    <t>Welche Art von Spiel sollten Sie in Betracht ziehen, wenn Sie eine Hand ohne Bildkarten erhalten?</t>
  </si>
  <si>
    <t>A. Großartig B. Null C. Anzugspiel D. Skat</t>
  </si>
  <si>
    <t>Null</t>
  </si>
  <si>
    <t>In einem Nullspiel versuchen Sie, Stiche zu vermeiden, was ideal sein kann, wenn Sie keine Bildkarten haben, um Stiche zu gewinnen.</t>
  </si>
  <si>
    <t>A. Call a big game B. Pass the curve C. Change the trump suit D. Increase your bids</t>
  </si>
  <si>
    <t>Was solltest du tun, wenn deine Gegner die ersten beiden Stiche gewonnen haben und du im Skat im Rückstand bist?</t>
  </si>
  <si>
    <t>A. Rufen Sie ein großes Spiel an B. Übergeben Sie die Kurve C. Ändern Sie die Trumpffarbe D. Erhöhen Sie Ihre Gebote</t>
  </si>
  <si>
    <t>Rufen Sie ein großes Spiel an</t>
  </si>
  <si>
    <t>Wenn Sie ein großes Spiel ausrufen, haben Sie die Chance auf einen großen Gewinn, indem Sie alle Stiche gewinnen, insbesondere wenn Sie im Rückstand sind.</t>
  </si>
  <si>
    <t>A. If you have high cards B. If you have a bad hand C. If you have no trump cards D. If you only have picture cards</t>
  </si>
  <si>
    <t>Wann sollte man beim Skat ein „Null“-Spiel ansagen?</t>
  </si>
  <si>
    <t>A. Wenn Sie hohe Karten haben B. Wenn Sie eine schlechte Hand haben C. Wenn Sie keine Trumpfkarten haben D. Wenn Sie nur Bildkarten haben</t>
  </si>
  <si>
    <t>Wenn Sie eine schlechte Hand haben</t>
  </si>
  <si>
    <t>Nullspiele werden erklärt, wenn der Spieler keine Stiche gewinnen möchte, normalerweise weil er eine schwache Hand hat.</t>
  </si>
  <si>
    <t>A. You lose the game B. You collect points C. You can try again in the next round. D. They are pulling the game</t>
  </si>
  <si>
    <t>Was passiert, wenn Sie ein „Farben“-Spiel ansagen, aber die meisten Stiche nicht gewinnen?</t>
  </si>
  <si>
    <t>A. Du verlierst das Spiel B. Sie sammeln Punkte C. Sie können es in der nächsten Runde noch einmal versuchen D. Sie ziehen das Spiel</t>
  </si>
  <si>
    <t>Du verlierst das Spiel</t>
  </si>
  <si>
    <t>Wenn es beim Skat nicht gelingt, die meisten Stiche in einem Farbspiel zu gewinnen, führt dies zu einem Punkteverlust.</t>
  </si>
  <si>
    <t>A. It guarantees a victory B. It allows you to use a trump card. C. They play without a trump suit. D. It offers a higher point value</t>
  </si>
  <si>
    <t>Welchen Vorteil hat es, beim Skat eine „große“ Partie anzusagen?</t>
  </si>
  <si>
    <t>A. Es garantiert einen Sieg B. Es ermöglicht Ihnen, eine Trumpfkarte zu verwenden C. Sie spielen ohne Trumpffarbe D. Es bietet einen höheren Punktwert</t>
  </si>
  <si>
    <t>Es bietet einen höheren Punktwert</t>
  </si>
  <si>
    <t>Ein großes Spiel bietet die Möglichkeit, höhere Punkte zu erzielen, da Sie nur mit den Buben als Trumpfkarten spielen.</t>
  </si>
  <si>
    <t>A. Play a higher trump. B. Play your lowest card C. Pass the curve D. Call for a zero game</t>
  </si>
  <si>
    <t>Was sollten Sie beim Spielen eines Farbspiels tun, wenn Ihr Gegner mit der höchsten Karte der Trumpffarbe führt?</t>
  </si>
  <si>
    <t>A. Spielen Sie einen höheren Trumpf aus B. Spielen Sie Ihre niedrigste Karte C. Übergeben Sie die Kurve D. Rufen Sie ein Nullspiel auf</t>
  </si>
  <si>
    <t>Spielen Sie einen höheren Trumpf aus</t>
  </si>
  <si>
    <t>Wenn Ihr Gegner mit der höchsten Trumpfkarte führt, ist das Ausspielen einer höheren Trumpfkarte Ihre beste Chance, den Stich zu gewinnen.</t>
  </si>
  <si>
    <t>A. To win all the tricks B. To avoid winning any tricks C. To control the trump suit D. Playing with a strong hand</t>
  </si>
  <si>
    <t>Was ist beim Skat das Hauptziel, wenn man ein „Null“-Spiel spielt?</t>
  </si>
  <si>
    <t>A. Um alle Tricks zu gewinnen B. Um keine Stiche zu gewinnen C. Um die Trumpffarbe zu kontrollieren D. Mit einer starken Hand spielen</t>
  </si>
  <si>
    <t>Um keine Stiche zu gewinnen</t>
  </si>
  <si>
    <t>Das Ziel eines Nullspiels besteht darin, alle Stiche zu verlieren und dabei zu vermeiden, einen zu gewinnen, was für den Sieg unerlässlich ist.</t>
  </si>
  <si>
    <t>A. Play a trump card B. Pass the curve C. Play a low card of a different suit D. Call a big game</t>
  </si>
  <si>
    <t>Was tun, wenn Sie ein „Farben“-Spiel spielen und keine Karte in der Hauptfarbe haben?</t>
  </si>
  <si>
    <t>A. Spielen Sie eine Trumpfkarte aus B. Übergeben Sie die Kurve C. Spielen Sie eine niedrige Karte einer anderen Farbe D. Rufen Sie ein großes Spiel an</t>
  </si>
  <si>
    <t>Spielen Sie eine Trumpfkarte aus</t>
  </si>
  <si>
    <t>Das Ausspielen einer Trumpfkarte ist eine Strategie, um einen Stich zu gewinnen, wenn man keine Karte in der Hauptfarbe hat, da es einem die Möglichkeit gibt, den Stich zu kontrollieren.</t>
  </si>
  <si>
    <t>A. The first player to win 10 tricks B. The soloist wins all tricks. C. The player who wins the most tricks D. The player who wins the last trick</t>
  </si>
  <si>
    <t>Wie wird der Gewinner in einem „Grand“-Spiel ermittelt?</t>
  </si>
  <si>
    <t>A. Der erste Spieler, der 10 Stiche gewinnt B. Der Solospieler gewinnt alle Stiche C. Der Spieler, der die meisten Stiche gewinnt D. Der Spieler, der den letzten Stich gewinnt</t>
  </si>
  <si>
    <t>Der Solospieler gewinnt alle Stiche</t>
  </si>
  <si>
    <t>Der Gewinner eines großen Spiels ist der Solospieler, der alle Stiche gewinnen muss, indem er nur mit den Buben als Trumpf spielt.</t>
  </si>
  <si>
    <t>A. 100 B. 66 C. 1000 D. 157</t>
  </si>
  <si>
    <t>Wie viele Punkte kann man beim Skat in einem „Null“-Spiel maximal erzielen?</t>
  </si>
  <si>
    <t>Für ein Nullspiel stehen maximal 100 Punkte zur Verfügung, abhängig von der Anzahl der gewonnenen oder verlorenen Stiche.</t>
  </si>
  <si>
    <t>A. Winning with all picture cards B. Win with a small hand C. They lose with fewer than two stitches D. The soloist wins all tricks.</t>
  </si>
  <si>
    <t>Was bedeutet „Schneider“ im Skat?</t>
  </si>
  <si>
    <t>A. Gewinnen mit allen Bildkarten B. Mit einer kleinen Hand gewinnen C. Mit weniger als zwei Stichen verlieren D. Der Solospieler gewinnt alle Stiche</t>
  </si>
  <si>
    <t>Mit weniger als zwei Stichen verlieren</t>
  </si>
  <si>
    <t>„Schneider“ ist eine Strafe im Skat für das Verlieren mit weniger als zwei Stichen.</t>
  </si>
  <si>
    <t>Welche Spielart würden Sie vermeiden, wenn Sie eine Hand ohne Karten der Trumpffarbe erhalten würden?</t>
  </si>
  <si>
    <t>Anzugspiel</t>
  </si>
  <si>
    <t>Wenn Sie keine Trumpfkarten haben, wird ein Kartenspiel schwierig, da Sie die Trumpffarbe nicht kontrollieren können, daher ist es am besten, sie zu vermeiden.</t>
  </si>
  <si>
    <t>A. You earn extra points B. They lose the game C. They achieve a "tailor" D. You win automatically</t>
  </si>
  <si>
    <t>Was passiert in einem „Farben“-Spiel, wenn der Alleinspieler alle Stiche gewinnt?</t>
  </si>
  <si>
    <t>A. Sie verdienen Extrapunkte B. Sie verlieren das Spiel C. Sie erzielen einen „Schneider“ D. Sie gewinnen automatisch</t>
  </si>
  <si>
    <t>Sie verdienen Extrapunkte</t>
  </si>
  <si>
    <t>Das Gewinnen aller Stiche in einem Farbspiel führt zu einem zusätzlichen Bonus für den Alleinspieler, der ihm zusätzliche Punkte einbringt.</t>
  </si>
  <si>
    <t>A. You lose points B. You receive double points C. You collect additional bonus points D. You continue playing</t>
  </si>
  <si>
    <t>Welche Konsequenz hat es, ein Spiel für „Null“ zu erklären und einen Stich zu gewinnen?</t>
  </si>
  <si>
    <t>A. Du verlierst Punkte B. Du erhältst doppelte Punkte C. Sie sammeln zusätzliche Bonuspunkte D. Du spielst weiter</t>
  </si>
  <si>
    <t>Du verlierst Punkte</t>
  </si>
  <si>
    <t>In einem Null-Spiel führt der Gewinn eines beliebigen Stichs zu einer Strafe, da das Ziel darin besteht, den Gewinn von Stichen vollständig zu vermeiden.</t>
  </si>
  <si>
    <t>A. Explain a "zero" game B. Play aggressively C. Try to win with trump cards. D. Try setting up a "tailor".</t>
  </si>
  <si>
    <t>Wie erhöhen Sie Ihre Gewinnchancen in einem „Suit“-Spiel mit einer schwachen Hand?</t>
  </si>
  <si>
    <t>A. Erkläre ein „Null“-Spiel B. Spielen Sie aggressiv C. Versuchen Sie, mit Trumpfkarten zu gewinnen D. Versuchen Sie, einen „Schneider“ einzurichten</t>
  </si>
  <si>
    <t>Versuchen Sie, mit Trumpfkarten zu gewinnen</t>
  </si>
  <si>
    <t>Das strategische Ausspielen von Trumpfkarten kann dabei helfen, einige Stiche zu gewinnen, selbst mit einer schwachen Hand in einem Farbspiel.</t>
  </si>
  <si>
    <t>A. Play a zero game B. Call for a tailor C. Increase your bid D. Try a Grand game</t>
  </si>
  <si>
    <t>Was sollten Sie tun, wenn Sie der Solospieler sind und Ihre Gegner eine sehr starke Hand haben?</t>
  </si>
  <si>
    <t>A. Spielen Sie ein Null-Spiel B. Rufen Sie nach einem Schneider C. Erhöhen Sie Ihr Gebot D. Probieren Sie ein Grand-Spiel aus</t>
  </si>
  <si>
    <t>Erhöhen Sie Ihr Gebot</t>
  </si>
  <si>
    <t>Wenn Sie Ihr Gebot erhöhen, haben Sie trotz der starken Hand Ihrer Gegner eine bessere Chance, Punkte zu gewinnen.</t>
  </si>
  <si>
    <t>A. To draw a better hand B. To discard unwanted cards C. To change the trump suit D. To confuse the opponents</t>
  </si>
  <si>
    <t>Zu welchem ​​Zweck werden die Skatkarten vor Spielbeginn weitergegeben?</t>
  </si>
  <si>
    <t>A. Um eine bessere Hand zu zeichnen B. Um unerwünschte Karten abzuwerfen C. Um die Trumpffarbe zu ändern D. Um die Gegner zu verwirren</t>
  </si>
  <si>
    <t>Um unerwünschte Karten abzuwerfen</t>
  </si>
  <si>
    <t>Durch das Weitergeben der Skatkarten können Spieler nicht benötigte Karten abwerfen und bessere Karten für ihre Strategie auswählen.</t>
  </si>
  <si>
    <t>A. Play your higher card B. Pass the curve C. Play a trump card D. Call a big game</t>
  </si>
  <si>
    <t>Was sollten Sie tun, wenn Ihre Gegner mit einer niedrigen Karte führen und Sie eine höhere Karte derselben Farbe haben?</t>
  </si>
  <si>
    <t>A. Spielen Sie Ihre höhere Karte B. Übergeben Sie die Kurve C. Spielen Sie eine Trumpfkarte aus D. Rufen Sie ein großes Spiel an</t>
  </si>
  <si>
    <t>Spielen Sie Ihre höhere Karte</t>
  </si>
  <si>
    <t>Wenn Sie eine höhere Karte spielen, können Sie den Stich gewinnen, indem Sie die niedrigere Karte Ihres Gegners übertreffen.</t>
  </si>
  <si>
    <t>A. The game is played with only two colors. B. A game where you bet on every hand C. A game played with a weak hand D. A game where you pass the Skat card.</t>
  </si>
  <si>
    <t>Was bedeutet es, ein „Skat“-Spiel zu spielen?</t>
  </si>
  <si>
    <t>A. Das Spiel wird mit nur zwei Farben gespielt B. Ein Spiel, bei dem Sie auf jede Hand bieten C. Ein Spiel, das mit einer schwachen Hand gespielt wird D. Ein Spiel, bei dem man den Skat weitergibt</t>
  </si>
  <si>
    <t>Ein Spiel, das mit einer schwachen Hand gespielt wird</t>
  </si>
  <si>
    <t>Bei einem Skatspiel geht es darum, Karten weiterzugeben, um die eigene Hand zu verbessern, und mit einer schwächeren Aufstellung zu spielen, wobei häufig strategische Entscheidungen getroffen werden.</t>
  </si>
  <si>
    <t>A. To win all the tricks B. To avoid winning any tricks C. To control the trump suit D. Rely on strong suits</t>
  </si>
  <si>
    <t>Was ist in einem Grand-Spiel die Hauptstrategie für den Solospieler?</t>
  </si>
  <si>
    <t>A. Um alle Tricks zu gewinnen B. Um keine Stiche zu gewinnen C. Um die Trumpffarbe zu kontrollieren D. Sich auf starke Anzüge verlassen</t>
  </si>
  <si>
    <t>Um alle Tricks zu gewinnen</t>
  </si>
  <si>
    <t>Das Hauptziel in einem großen Spiel besteht darin, alle Stiche zu gewinnen, wobei der Solospieler nur die Buben als Trumpfkarten verwendet.</t>
  </si>
  <si>
    <t>A. Win with a perfect hand B. They lose with fewer than two stitches C. Win all tricks in a suit game D. A penalty for bidding</t>
  </si>
  <si>
    <t>Worauf bezieht sich „Schneider“ im Skat?</t>
  </si>
  <si>
    <t>A. Mit einer perfekten Hand gewinnen B. Mit weniger als zwei Stichen verlieren C. Alle Stiche in einem Farbspiel gewinnen D. Eine Strafe für Überbieten</t>
  </si>
  <si>
    <t>Schneider erhält im Skat eine Strafe für das Verlieren mit weniger als zwei Stichen, was auf eine schwache Leistung hinweist.</t>
  </si>
  <si>
    <t>A. The player tries to win all the tricks. B. The player's goal is to win no tricks. C. The player uses a trump suit. D. The player wins with high cards</t>
  </si>
  <si>
    <t>Wie unterscheidet sich ein „Null“-Spiel von anderen Spielarten im Skat?</t>
  </si>
  <si>
    <t>A. Der Spieler versucht, alle Stiche zu gewinnen B. Ziel des Spielers ist es, keine Stiche zu gewinnen C. Der Spieler verwendet eine Trumpffarbe D. Der Spieler gewinnt mit hohen Karten</t>
  </si>
  <si>
    <t>Ziel des Spielers ist es, keine Stiche zu gewinnen</t>
  </si>
  <si>
    <t>Bei einem Null-Spiel besteht das Ziel darin, alle Stiche zu verlieren. Dies unterscheidet es stark von anderen Spieltypen, bei denen es darum geht, Stiche zu gewinnen.</t>
  </si>
  <si>
    <t>A. The player loses the game. B. The player receives a penalty. C. The player receives points D. The game continues as usual.</t>
  </si>
  <si>
    <t>Welche Konsequenz hat es, ein Spiel für „Null“ zu erklären und dann einen Stich zu gewinnen?</t>
  </si>
  <si>
    <t>A. Der Spieler verliert das Spiel B. Der Spieler erhält eine Strafe C. Der Spieler erhält Punkte D. Das Spiel geht wie gewohnt weiter</t>
  </si>
  <si>
    <t>Der Spieler verliert das Spiel</t>
  </si>
  <si>
    <t>Das Gewinnen eines Stichs in einem Nullspiel stellt einen Verstoß gegen die Regeln dar und führt automatisch zu einem Verlust für den Spieler.</t>
  </si>
  <si>
    <t>A. With them, every trick can be won. B. You can only win the first trick C. They play no role in the game D. They allow higher colors to be obtained.</t>
  </si>
  <si>
    <t>Welche Rolle spielen Trumpfkarten beim Spielen eines „Farben“-Spiels?</t>
  </si>
  <si>
    <t>A. Mit ihnen kann jeder Stich gewonnen werden B. Sie können nur den ersten Stich gewinnen C. Sie spielen im Spiel keine Rolle D. Mit ihnen können höhere Farben gewonnen werden</t>
  </si>
  <si>
    <t>Mit ihnen kann jeder Stich gewonnen werden</t>
  </si>
  <si>
    <t>Trumpfkarten in einem Farbspiel haben die Macht, jeden Stich zu gewinnen, selbst wenn der Gegner mit einer höheren Karte einer anderen Farbe führt.</t>
  </si>
  <si>
    <t>A. Two B. Three C. Four D. One</t>
  </si>
  <si>
    <t>Wie viele Spieler muss man mindestens haben, um ein Standard-Skatspiel zu spielen?</t>
  </si>
  <si>
    <t>A. Zwei B. Drei C. Vier D. Eins</t>
  </si>
  <si>
    <t>Drei</t>
  </si>
  <si>
    <t>Skat wird traditionell mit drei Spielern gespielt, wobei jeder Spieler abwechselnd als Solospieler spielt und mit zwei Händen spielt (der Skat).</t>
  </si>
  <si>
    <t>A. The soloist takes the next trick. B. Next, the opponent leads C. The round is over. D. The soloist loses a point.</t>
  </si>
  <si>
    <t>Was passiert beim Skat als nächstes, wenn der Alleinspieler den ersten Stich gewinnt?</t>
  </si>
  <si>
    <t>A. Der Alleinspieler führt den nächsten Stich aus B. Als nächstes führt der Gegner C. Die Runde ist vorbei D. Der Alleinspieler verliert einen Punkt</t>
  </si>
  <si>
    <t>Der Alleinspieler führt den nächsten Stich aus</t>
  </si>
  <si>
    <t>Wenn beim Skat der Alleinspieler den ersten Stich gewinnt, darf er den nächsten Stich ausspielen und behält so die Kontrolle über das Spiel.</t>
  </si>
  <si>
    <t>A. Name a "zero" game B. Try to win with trump cards. C. Focus on small suits D. Try to win with the highest card.</t>
  </si>
  <si>
    <t>Was ist eine Schlüsselstrategie, wenn man mit einer schwachen Hand ein „Suit“-Spiel spielt?</t>
  </si>
  <si>
    <t>A. Nennen Sie ein „Null“-Spiel B. Versuchen Sie, mit Trumpfkarten zu gewinnen C. Konzentrieren Sie sich auf kleine Anzüge D. Versuchen Sie, mit der höchsten Karte zu gewinnen</t>
  </si>
  <si>
    <t>Konzentrieren Sie sich auf kleine Anzüge</t>
  </si>
  <si>
    <t>Wenn Sie in einem Farbspiel eine schwache Hand haben, kann die Konzentration auf kleine Farben Ihnen dabei helfen, nicht zu viel auf hohe Karten zu setzen und den Spielfluss zu kontrollieren.</t>
  </si>
  <si>
    <t>A. The soloist uses only Jacks as trump cards. B. The soloist does not use trump cards. C. There are no tricks. D. There are no penalties for losing.</t>
  </si>
  <si>
    <t>Wie unterscheidet sich das Spiel „Grand“ von „Suit“-Spielen?</t>
  </si>
  <si>
    <t>A. Der Solospieler verwendet nur Buben als Trumpfkarten B. Der Solospieler verwendet keine Trumpfkarten C. Es gibt keine Tricks D. Es gibt keine Strafen für das Verlieren</t>
  </si>
  <si>
    <t>Der Solospieler verwendet nur Buben als Trumpfkarten</t>
  </si>
  <si>
    <t>In einem großen Spiel gelten nur die Buben als Trumpfkarten, und der Solospieler muss alle Stiche mit diesen Karten gewinnen.</t>
  </si>
  <si>
    <t>A. To discard unwanted cards B. To end the game prematurely C. Giving the opponents an advantage D. Draw new cards</t>
  </si>
  <si>
    <t>Was bedeutet es, den Skat im Skat zu „bestehen“?</t>
  </si>
  <si>
    <t>A. Um unerwünschte Karten abzuwerfen B. Um das Spiel vorzeitig zu beenden C. Den Gegnern einen Vorteil verschaffen D. Neue Karten ziehen</t>
  </si>
  <si>
    <t>Wenn Sie den Skat bestehen, können Sie zwei Karten abwerfen und zwei neue erhalten, um Ihre Hand zu verbessern.</t>
  </si>
  <si>
    <t>A. Play a higher card B. Play a trump card C. Pass the curve D. Play a low card of a different suit</t>
  </si>
  <si>
    <t>Was ist der beste Zug, wenn Sie ein Farbspiel spielen und Ihr Gegner mit einer hohen Karte führt?</t>
  </si>
  <si>
    <t>A. Spielen Sie eine höhere Karte B. Spielen Sie eine Trumpfkarte aus C. Übergeben Sie die Kurve D. Spielen Sie eine niedrige Karte einer anderen Farbe</t>
  </si>
  <si>
    <t>Spielen Sie eine höhere Karte</t>
  </si>
  <si>
    <t>Wenn Sie eine höhere Karte spielen, haben Sie die Chance, den Stich zu gewinnen und das Spiel zu kontrollieren.</t>
  </si>
  <si>
    <t>A. 150 B. 200 C. 300 D. 500</t>
  </si>
  <si>
    <t>Was ist der höchstmögliche Punktewert für eine „Grand“-Partie im Skat?</t>
  </si>
  <si>
    <t>Ein großes Spiel kann bis zu 200 Punkte wert sein, wenn der Solospieler alle Stiche gewinnt.</t>
  </si>
  <si>
    <t>A. To increase your score B. To determine the trump suit C. To set the stake D. Announce the winner</t>
  </si>
  <si>
    <t>Was ist der Zweck des Bietens im Skat?</t>
  </si>
  <si>
    <t>A. Um Ihre Punktzahl zu erhöhen B. Um die Trumpffarbe zu bestimmen C. Um den Spieleinsatz festzulegen D. Den Gewinner bekannt geben</t>
  </si>
  <si>
    <t>Um den Spieleinsatz festzulegen</t>
  </si>
  <si>
    <t>Die Gebotsphase im Skat legt den Spieleinsatz fest und bestimmt, wer der Solospieler sein wird und welche Art von Spiel gespielt wird.</t>
  </si>
  <si>
    <t>A. Points are awarded for each trick. B. You only score points if you win the first trick. C. You lose points for every trick won. D. Regardless of performance, you will receive 100 points.</t>
  </si>
  <si>
    <t>Wie punktet man beim Skat, wenn man ein „Null“-Spiel spielt?</t>
  </si>
  <si>
    <t>A. Für jeden Trick gibt es Punkte B. Sie punkten nur, wenn Sie den ersten Stich gewinnen C. Für jeden gewonnenen Stich verlieren Sie Punkte D. Unabhängig von der Leistung erhalten Sie 100 Punkte</t>
  </si>
  <si>
    <t>Für jeden gewonnenen Stich verlieren Sie Punkte</t>
  </si>
  <si>
    <t>In einem Nullspiel führt das Gewinnen von Stichen zu einer Strafe. Das Ziel besteht also darin, das Gewinnen von Stichen zu vermeiden.</t>
  </si>
  <si>
    <t>A. They are always trump cards B. They are more valuable in suit games C. They are only used in zero games. D. They are weak cards.</t>
  </si>
  <si>
    <t>Welche Rolle spielen Bildkarten beim Skat?</t>
  </si>
  <si>
    <t>A. Sie sind immer Trumpfkarten B. Sie haben in Anzugspielen einen höheren Wert C. Sie werden nur in Null-Spielen verwendet D. Es sind schwache Karten</t>
  </si>
  <si>
    <t>Sie haben in Anzugspielen einen höheren Wert</t>
  </si>
  <si>
    <t>Bildkarten (Buben, Damen, Könige) haben bei Farbspielen einen höheren Wert und können für den Gewinn von Stichen entscheidend sein.</t>
  </si>
  <si>
    <t>A. The solo player receives bonus points. B. The solo player automatically loses. C. The solo player receives no points. D. The solo player loses the game.</t>
  </si>
  <si>
    <t>Was passiert beim Skat, wenn der Alleinspieler alle 10 Stiche in einem Farbspiel gewinnt?</t>
  </si>
  <si>
    <t>A. Der Alleinspieler erhält Bonuspunkte B. Der Alleinspieler verliert automatisch C. Der Alleinspieler erhält keine Punkte D. Der Alleinspieler verliert das Spiel</t>
  </si>
  <si>
    <t>Der Alleinspieler erhält Bonuspunkte</t>
  </si>
  <si>
    <t>Das Gewinnen aller 10 Stiche in einem Farbspiel bringt dem Alleinspieler Bonuspunkte als zusätzliche Leistung ein.</t>
  </si>
  <si>
    <t>A. A phase in which the players pass cards around. B. The game's scoring system C. A phase in which players bid on the game D. A trick phase</t>
  </si>
  <si>
    <t>Was bedeutet „Reizen“ im Zusammenhang mit Skat?</t>
  </si>
  <si>
    <t>A. Eine Phase, in der die Spieler Karten weitergeben B. Das Punktesystem des Spiels C. Eine Phase, in der Spieler auf das Spiel bieten D. Eine Trickphase</t>
  </si>
  <si>
    <t>Eine Phase, in der Spieler auf das Spiel bieten</t>
  </si>
  <si>
    <t>„Reizen“ bezieht sich auf die Phase, in der Spieler darauf bieten, ob sie ein Solospiel spielen oder die Art des Spiels wählen möchten.</t>
  </si>
  <si>
    <t>A. Play your highest trump card B. Pass the curve C. Try to match the suit. D. Call for a zero game</t>
  </si>
  <si>
    <t>Wie gehen Sie in einem „Farben“-Spiel mit einer Situation um, in der Ihr Gegner mit einer Karte der Trumpffarbe ausspielt?</t>
  </si>
  <si>
    <t>A. Spielen Sie Ihren höchsten Trumpf aus B. Übergeben Sie die Kurve C. Versuchen Sie, zum Anzug zu passen D. Rufen Sie ein Nullspiel auf</t>
  </si>
  <si>
    <t>Spielen Sie Ihren höchsten Trumpf aus</t>
  </si>
  <si>
    <t>Wenn ein Gegner mit einer Trumpfkarte ausspielt, müssen Sie möglicherweise Ihre höchste Trumpfkarte ausspielen, um den Stich zu gewinnen.</t>
  </si>
  <si>
    <t>A. By using low-value cards B. By discarding high cards C. By controlling the trump suit D. By playing only picture cards</t>
  </si>
  <si>
    <t>Wie können Sie als Einzelspieler in einem „Farben“-Spiel vermeiden, einen Stich zu verlieren?</t>
  </si>
  <si>
    <t>A. Durch die Verwendung von Karten mit geringem Wert B. Durch das Abwerfen hoher Karten C. Durch die Kontrolle der Trumpffarbe D. Indem man nur Bildkarten spielt</t>
  </si>
  <si>
    <t>Durch die Kontrolle der Trumpffarbe</t>
  </si>
  <si>
    <t>Durch die Kontrolle der Trumpffarbe können Sie Stiche gewinnen und das Spieltempo bestimmen.</t>
  </si>
  <si>
    <t>A. They lost by winning fewer than two tricks. B. They achieved the highest score C. They had a perfect hand D. They played a zero game</t>
  </si>
  <si>
    <t>Was bedeutet es, wenn ein Spieler im Skat einen „Schneider“ hat?</t>
  </si>
  <si>
    <t>A. Sie verloren, indem sie weniger als zwei Stiche gewannen B. Sie erzielten die höchste Punktzahl C. Sie hatten eine perfekte Hand D. Sie spielten ein Null-Spiel</t>
  </si>
  <si>
    <t>Sie verloren, indem sie weniger als zwei Stiche gewannen</t>
  </si>
  <si>
    <t>„Schneider“ weist darauf hin, dass ein Spieler verloren hat, weil er mehr als einen Stich nicht gewonnen hat, was oft zu einer erheblichen Strafe führt.</t>
  </si>
  <si>
    <t>A. You must win all the tricks. B. You have a strong hand with picture cards C. They have no trump cards D. They only use jacks as trump cards.</t>
  </si>
  <si>
    <t>Was sind die Bedingungen für die Erklärung einer „großen“ Partie im Skat?</t>
  </si>
  <si>
    <t>A. Sie müssen alle Stiche gewinnen B. Mit Bildkarten haben Sie eine starke Hand C. Sie haben keine Trumpfkarten D. Sie verwenden Buben nur als Trumpf</t>
  </si>
  <si>
    <t>Sie verwenden Buben nur als Trumpf</t>
  </si>
  <si>
    <t>In einem großen Spiel spielen Sie nur mit Buben als Trumpf und versuchen, alle Stiche mit diesen begrenzten Trumpfkarten zu gewinnen.</t>
  </si>
  <si>
    <t>A. It gives players the opportunity to increase their hand strength. B. It forces the players to play with the same cards. C. It has no impact on gameplay. D. It changes the trump suit.</t>
  </si>
  <si>
    <t>Welchen Einfluss hat der Skat auf die Spielstrategie?</t>
  </si>
  <si>
    <t>A. Es gibt Spielern die Möglichkeit, ihre Handstärke zu steigern B. Es zwingt die Spieler, mit den gleichen Karten zu spielen C. Es hat keinen Einfluss auf das Gameplay D. Es ändert die Trumpffarbe</t>
  </si>
  <si>
    <t>Es gibt Spielern die Möglichkeit, ihre Handstärke zu steigern</t>
  </si>
  <si>
    <t>Beim Skat können Spieler unerwünschte Karten abwerfen und durch zwei neue Karten ersetzen und so ihre Hand für das Spiel verbessern.</t>
  </si>
  <si>
    <t>A. Try to win as many stitches as possible. B. Try not to win any tricks. C. Focus on winning picture cards. D. Try to control the trump suit.</t>
  </si>
  <si>
    <t>Wie sollten Sie in einem „Null“-Spiel Ihre Karten ausspielen?</t>
  </si>
  <si>
    <t>A. Versuchen Sie, so viele Stiche wie möglich zu gewinnen B. Versuchen Sie, keine Stiche zu gewinnen C. Konzentrieren Sie sich darauf, Bildkarten zu gewinnen D. Versuchen Sie, die Trumpffarbe zu kontrollieren</t>
  </si>
  <si>
    <t>Versuchen Sie, keine Stiche zu gewinnen</t>
  </si>
  <si>
    <t>In einem Nullspiel besteht das Ziel darin, alle Stiche zu verlieren. Daher ist es entscheidend, Karten zu spielen, die einen Sieg vermeiden.</t>
  </si>
  <si>
    <t>A. They lose the game B. They score no points C. You will receive penalty points. D. They win with a lower score</t>
  </si>
  <si>
    <t>Was passiert, wenn der Alleinspieler in einem „Farben“-Spiel nicht die erforderliche Anzahl an Stichen gewinnt?</t>
  </si>
  <si>
    <t>A. Sie verlieren das Spiel B. Sie erzielen keine Punkte C. Sie erhalten Strafpunkte D. Sie gewinnen mit einer niedrigeren Punktzahl</t>
  </si>
  <si>
    <t>Sie verlieren das Spiel</t>
  </si>
  <si>
    <t>Gelingt es nicht, die meisten Stiche in einem „Farben“-Spiel zu gewinnen, führt dies zu einem Verlust für den Alleinspieler.</t>
  </si>
  <si>
    <t>A. 100 B. 150 C. 200 D. 250</t>
  </si>
  <si>
    <t>Wie viele Punkte können Sie in einem „Suit“-Spiel maximal verdienen?</t>
  </si>
  <si>
    <t>Abhängig von den gewonnenen Stichen und den spezifischen Spielbedingungen kann ein „Suit“-Spiel bis zu 150 Punkte bringen.</t>
  </si>
  <si>
    <t>A. Start with the trick phase B. The players are bidding on the game C. The players discard cards D. The soloist chooses the trump suit.</t>
  </si>
  <si>
    <t>Was ist die erste Aktion nach dem Austeilen der Karten beim Skat?</t>
  </si>
  <si>
    <t>A. Beginnen Sie mit der Trickphase B. Die Spieler bieten auf das Spiel C. Die Spieler werfen Karten ab D. Der Alleinspieler wählt die Trumpffarbe</t>
  </si>
  <si>
    <t>Die Spieler bieten auf das Spiel</t>
  </si>
  <si>
    <t>Nachdem die Karten ausgeteilt wurden, nehmen die Spieler an einer Gebotsphase teil, um den Spieleinsatz und die Art des Spiels festzulegen.</t>
  </si>
  <si>
    <t>A. It determines the winner B. It determines the trump suit C. It determines the type of game. D. It determines the number of tricks.</t>
  </si>
  <si>
    <t>Wie wirkt sich die „Reizen“-Phase auf das Skatspiel aus?</t>
  </si>
  <si>
    <t>A. Es bestimmt den Gewinner B. Es bestimmt die Trumpffarbe C. Es bestimmt die Art des Spiels D. Es legt die Anzahl der Tricks fest</t>
  </si>
  <si>
    <t>Es bestimmt die Art des Spiels</t>
  </si>
  <si>
    <t>„Reizen“ ist die Gebotsphase, in der über den Spieltyp (Farbe, Grand, Null) und darüber, wer der Alleinspieler ist, entschieden wird.</t>
  </si>
  <si>
    <t>A. The solo player plays with all cards face up. B. The soloist must win all tricks. C. The player uses only jacks as trumps. D. The soloist cannot win any tricks.</t>
  </si>
  <si>
    <t>Was beinhaltet ein „Null Ouvert“-Spiel?</t>
  </si>
  <si>
    <t>A. Der Solospieler spielt mit allen Karten offen B. Der Solospieler muss alle Stiche gewinnen C. Der Spieler verwendet ausschließlich Buben als Trumpf D. Der Solospieler kann keine Stiche gewinnen</t>
  </si>
  <si>
    <t>Der Solospieler spielt mit allen Karten offen</t>
  </si>
  <si>
    <t>Ein „Null Ouvert“-Spiel ist eine Variante des Null-Spiels, bei dem die Karten des Alleinspielers offen gespielt werden, was ein strategisches Element hinzufügt.</t>
  </si>
  <si>
    <t>A. All tricks win B. Losing with fewer than two stitches C. Winning is only possible with Jacks as trumps D. The number of tricks you can win</t>
  </si>
  <si>
    <t>Was ist ein „Schneider“ im Skat?</t>
  </si>
  <si>
    <t>A. Alle Tricks gewinnen B. Verlieren mit weniger als zwei Stichen C. Gewinnen nur mit Buben als Trumpf D. Die Anzahl der Stiche, die Sie gewinnen können</t>
  </si>
  <si>
    <t>Verlieren mit weniger als zwei Stichen</t>
  </si>
  <si>
    <t>„Schneider“ liegt vor, wenn ein Spieler mit weniger als zwei Stichen verliert, was zu einer Strafe führt.</t>
  </si>
  <si>
    <t>A. If the player has a weak hand B. If the player has a strong hand with picture cards C. If no trump cards are selected D. If the player only uses jacks as trumps</t>
  </si>
  <si>
    <t>Wann wird das „Grand“-Spiel im Skat gespielt?</t>
  </si>
  <si>
    <t>A. Wenn der Spieler eine schwache Hand hat B. Wenn der Spieler eine starke Hand mit Bildkarten hat C. Wenn keine Trumpfkarten ausgewählt sind D. Wenn der Spieler nur Buben als Trumpf verwendet</t>
  </si>
  <si>
    <t>Wenn der Spieler nur Buben als Trumpf verwendet</t>
  </si>
  <si>
    <t>Ein „Grand“-Spiel wird gespielt, wenn der Alleinspieler entscheidet, nur mit Buben als Trumpf zu spielen.</t>
  </si>
  <si>
    <t>Was ist die maximale Punktzahl in einem „Null“-Spiel im Skat?</t>
  </si>
  <si>
    <t>In einem Nullspiel ist die Höchstpunktzahl auf 100 begrenzt, wenn es dem Spieler gelingt, alle Stiche zu verlieren.</t>
  </si>
  <si>
    <t>A. You win the game B. You lose the game C. The game continues D. You will receive a penalty.</t>
  </si>
  <si>
    <t>Was passiert, wenn man in einem Nullspiel im Skat einen Stich gewinnt?</t>
  </si>
  <si>
    <t>A. Du gewinnst das Spiel B. Du verlierst das Spiel C. Das Spiel geht weiter D. Du bekommst eine Strafe</t>
  </si>
  <si>
    <t>In einem Nullspiel führt der Gewinn eines Stichs automatisch zu einem Verlust.</t>
  </si>
  <si>
    <t>A. Who holds the strongest cards? B. Who wins the most tricks? C. Who scores the lowest points D. Whoever has the highest hand wins</t>
  </si>
  <si>
    <t>Wie wird beim Skat der Gewinner eines Farbspiels ermittelt?</t>
  </si>
  <si>
    <t>A. Wer hat die höchsten Trümpfe? B. Wer gewinnt die meisten Stiche? C. Von wem die niedrigsten Punkte erzielt werden D. Wer mit der höchsten Hand gewinnt</t>
  </si>
  <si>
    <t>Wer gewinnt die meisten Stiche?</t>
  </si>
  <si>
    <t>Der Gewinner eines Farbspiels ist der Spieler, der die meisten Stiche gewinnt, basierend auf der höchsten Karte jeder gespielten Farbe.</t>
  </si>
  <si>
    <t>A. They explain the trump suit B. You choose a game type C. They pass the Skat D. You must win all the tricks.</t>
  </si>
  <si>
    <t>Was passiert, wenn ein Spieler im Skat „Reizen“ ansagt?</t>
  </si>
  <si>
    <t>A. Sie erklären die Trumpffarbe B. Sie wählen einen Spieltyp C. Sie bestehen den Skat D. Sie müssen alle Stiche gewinnen</t>
  </si>
  <si>
    <t>Sie wählen einen Spieltyp</t>
  </si>
  <si>
    <t>Das Deklarieren von „Reizen“ bedeutet, dass ein Spieler die Art des Spiels auswählt, das er spielen möchte (Farbe, Grand oder Null).</t>
  </si>
  <si>
    <t>A. They are always trump cards B. They play no role in the game C. They are worth more points D. You can win every trick</t>
  </si>
  <si>
    <t>Welche Rolle spielen Bildkarten (Könige, Damen, Buben) beim Skat?</t>
  </si>
  <si>
    <t>A. Sie sind immer Trumpfkarten B. Sie spielen im Spiel keine Rolle C. Sie sind mehr Punkte wert D. Sie können jeden Stich gewinnen</t>
  </si>
  <si>
    <t>Sie sind mehr Punkte wert</t>
  </si>
  <si>
    <t>Bildkarten (Könige, Damen, Buben) sind im Spiel wertvoller und gewinnen oft wichtige Stiche.</t>
  </si>
  <si>
    <t>A. They lose the game B. You earn additional points C. They automatically win the game D. They will receive a penalty.</t>
  </si>
  <si>
    <t>Was bedeutet es, wenn ein Spieler ein „Null“-Spiel erklärt und einen Stich gewinnt?</t>
  </si>
  <si>
    <t>A. Sie verlieren das Spiel B. Sie erzielen zusätzliche Punkte C. Sie gewinnen automatisch das Spiel D. Sie bekommen eine Strafe</t>
  </si>
  <si>
    <t>Der Gewinn auch nur eines Stichs in einem Nullspiel führt automatisch zu einem Verlust für den Spieler.</t>
  </si>
  <si>
    <t>A. It is used to discard low cards. B. It is used to collect more points. C. It is used to replace weak cards. D. It is used to win the game.</t>
  </si>
  <si>
    <t>Wie wird der Skat eingesetzt, um die Hand beim Skat zu verbessern?</t>
  </si>
  <si>
    <t>A. Es wird verwendet, um niedrige Karten abzuwerfen B. Es wird verwendet, um mehr Punkte zu sammeln C. Es wird verwendet, um schwache Karten zu ersetzen D. Es wird verwendet, um das Spiel zu gewinnen</t>
  </si>
  <si>
    <t>Es wird verwendet, um schwache Karten zu ersetzen</t>
  </si>
  <si>
    <t>Beim Skat kann der Spieler zwei Karten abwerfen und zwei neue ziehen, um seine Hand zu verbessern.</t>
  </si>
  <si>
    <t>A. You lose the game B. You take a penalty kick C. You will not receive any points. D. They win with a lower score</t>
  </si>
  <si>
    <t>Was passiert, wenn es Ihnen nicht gelingt, die erforderliche Anzahl an Stichen in einem Farbspiel im Skat zu gewinnen?</t>
  </si>
  <si>
    <t>A. Du verlierst das Spiel B. Du schießt einen Elfmeter C. Du erhältst keine Punkte D. Sie gewinnen mit einer niedrigeren Punktzahl</t>
  </si>
  <si>
    <t>Gelingt es nicht, in einem Farbspiel genügend Stiche zu gewinnen, führt dies zu einem Verlust für den Alleinspieler.</t>
  </si>
  <si>
    <t>A. It lowers your score B. There are additional points C. It gives you a bonus D. It has no effect</t>
  </si>
  <si>
    <t>Wie wirkt sich ein „Schneider“-Elfmeter auf deinen Punktestand im Skat aus?</t>
  </si>
  <si>
    <t>A. Es verringert Ihre Punktzahl B. Es gibt zusätzliche Punkte C. Es gibt Ihnen einen Bonus D. Es hat keine Wirkung</t>
  </si>
  <si>
    <t>Es verringert Ihre Punktzahl</t>
  </si>
  <si>
    <t>Eine „Schneider“-Strafe tritt auf, wenn ein Spieler mit weniger als zwei Stichen verliert und dadurch seine Punktzahl sinkt.</t>
  </si>
  <si>
    <t>Wie viele Punkte kann man in einem „Grand“-Spiel maximal erzielen?</t>
  </si>
  <si>
    <t>Ein „Grand“-Spiel kann bis zu 200 Punkte erreichen, wenn der Solospieler alle Stiche gewinnt.</t>
  </si>
  <si>
    <t>A. A game in which no tricks are won. B. A game where all tricks must be won. C. A game in which the player avoids winning tricks. D. A game where the highest cards win</t>
  </si>
  <si>
    <t>Was ist ein „Null“-Spiel im Skat?</t>
  </si>
  <si>
    <t>A. Ein Spiel, bei dem keine Stiche gewonnen werden B. Ein Spiel, bei dem alle Stiche gewonnen werden müssen C. Ein Spiel, bei dem der Spieler Gewinnstiche vermeidet D. Ein Spiel, bei dem die höchsten Karten gewinnen</t>
  </si>
  <si>
    <t>Ein Spiel, bei dem der Spieler Gewinnstiche vermeidet</t>
  </si>
  <si>
    <t>In einem Nullspiel besteht das Ziel des Spielers darin, jeden Stich zu verlieren, ohne dass er einen Stich gewinnt.</t>
  </si>
  <si>
    <t>A. If the opponent is leading with a higher card B. Only at the beginning of the game C. Whenever you want D. Only if you are in a weak position</t>
  </si>
  <si>
    <t>Wann muss man beim Skat seine Trümpfe ausspielen?</t>
  </si>
  <si>
    <t>A. Wenn der Gegner mit einer höheren Karte führt B. Nur zu Beginn des Spiels C. Wann immer Sie wollen D. Nur wenn Sie in einer schwachen Position sind</t>
  </si>
  <si>
    <t>Wenn der Gegner mit einer höheren Karte führt</t>
  </si>
  <si>
    <t>Trumpfkarten sollten gespielt werden, um Stiche zu gewinnen, wenn der Gegner mit einer höheren Karte führt.</t>
  </si>
  <si>
    <t>A. You will receive bonus points B. You lose the game C. You will automatically receive 100 points. D. You will receive a penalty.</t>
  </si>
  <si>
    <t>Was passiert, wenn man in einem „Farben“-Spiel im Skat alle 10 Stiche gewinnt?</t>
  </si>
  <si>
    <t>A. Sie erhalten Bonuspunkte B. Du verlierst das Spiel C. Sie erhalten automatisch 100 Punkte D. Du bekommst eine Strafe</t>
  </si>
  <si>
    <t>Sie erhalten Bonuspunkte</t>
  </si>
  <si>
    <t>Wenn alle 10 Stiche in einem „Suit“-Spiel gewonnen werden, erhält der Alleinspieler Bonuspunkte für seine perfekte Leistung.</t>
  </si>
  <si>
    <t>A. The cards are played face up. B. The player must play all cards face down. C. The player cannot announce tricks. D. The player must win all tricks.</t>
  </si>
  <si>
    <t>Wie unterscheidet sich das „Null Ouvert“-Spiel von einem Standard-Null-Spiel?</t>
  </si>
  <si>
    <t>A. Die Karten werden offen gespielt B. Der Spieler muss alle Karten verdeckt ausspielen C. Der Spieler kann keine Stiche ansagen D. Der Spieler muss alle Stiche gewinnen</t>
  </si>
  <si>
    <t>Die Karten werden offen gespielt</t>
  </si>
  <si>
    <t>Bei „Null Ouvert“ werden die Karten des Alleinspielers aufgedeckt, was es den Gegnern erleichtert, Strategien zu entwickeln.</t>
  </si>
  <si>
    <t>A. This allows you to win with low cards B. It prevents opponents from winning tricks. C. It allows you to discard cards D. It guarantees victory</t>
  </si>
  <si>
    <t>Welche Bedeutung hat die Kontrolle der Trumpffarbe beim Skat?</t>
  </si>
  <si>
    <t>A. Damit können Sie mit niedrigen Karten gewinnen B. Es verhindert, dass Gegner Stiche gewinnen C. Es ermöglicht Ihnen, Karten abzuwerfen D. Es garantiert den Sieg</t>
  </si>
  <si>
    <t>Es verhindert, dass Gegner Stiche gewinnen</t>
  </si>
  <si>
    <t>Durch die Kontrolle der Trumpffarbe können Sie entscheidende Stiche gewinnen und den Spielfluss kontrollieren.</t>
  </si>
  <si>
    <t>A. If your hand is weak B. If you have a higher card of the same suit C. When the opponent is leading with a trump suit D. If you want to win all the tricks</t>
  </si>
  <si>
    <t>Wann sollten Sie bei einem Farbspiel vermeiden, eine Trumpfkarte zu spielen?</t>
  </si>
  <si>
    <t>A. Wenn deine Hand schwach ist B. Wenn Sie eine höhere Karte in derselben Farbe haben C. Wenn der Gegner mit einer Trumpffarbe führt D. Wenn Sie alle Stiche gewinnen wollen</t>
  </si>
  <si>
    <t>Wenn Sie eine höhere Karte in derselben Farbe haben</t>
  </si>
  <si>
    <t>Wenn Sie eine höhere Karte in derselben Farbe haben, sollten Sie es vermeiden, eine Trumpfkarte auszuspielen, und diese für einen strategischen Moment aufbewahren.</t>
  </si>
  <si>
    <t>A. All tricks win B. You lose if you win fewer than two tricks. C. Winning only with picture cards D. Losing with the lowest score</t>
  </si>
  <si>
    <t>Was bedeutet „Schneider“ in Bezug auf die Trickausführung beim Skat?</t>
  </si>
  <si>
    <t>A. Alle Tricks gewinnen B. Verlieren, wenn man weniger als zwei Stiche gewinnt C. Gewinnen nur mit Bildkarten D. Verlieren mit der niedrigsten Punktzahl</t>
  </si>
  <si>
    <t>Verlieren, wenn man weniger als zwei Stiche gewinnt</t>
  </si>
  <si>
    <t>„Schneider“ bezieht sich auf den Verlust eines Spiels mit weniger als zwei Stichen, was zu einer Strafe führt.</t>
  </si>
  <si>
    <t>A. The players must bid according to the game type and the trump suit. B. The players only bid on the trump suit. C. The winner is determined through bidding. D. Bidding is optional.</t>
  </si>
  <si>
    <t>Wie funktioniert das Gebotssystem im Skat?</t>
  </si>
  <si>
    <t>A. Die Spieler müssen auf die Spielart und die Trumpffarbe bieten B. Die Spieler bieten nur auf die Trumpffarbe C. Durch das Bieten wird der Gewinner ermittelt D. Das Bieten ist optional</t>
  </si>
  <si>
    <t>Die Spieler müssen auf die Spielart und die Trumpffarbe bieten</t>
  </si>
  <si>
    <t>Die Gebotsphase im Skat bestimmt den Spieltyp (Farbe, Groß oder Null) und wer als Alleinspieler spielt.</t>
  </si>
  <si>
    <t>A. They allow players to draw more cards. B. They allow players to improve their hands C. They serve as additional trump cards D. They have no influence on the game</t>
  </si>
  <si>
    <t>Welche Bedeutung haben die Skatkarten im Spiel?</t>
  </si>
  <si>
    <t>A. Sie ermöglichen es den Spielern, mehr Karten zu ziehen B. Sie ermöglichen es den Spielern, ihre Hände zu verbessern C. Sie dienen als zusätzliche Trumpfkarten D. Sie haben keinen Einfluss auf das Spiel</t>
  </si>
  <si>
    <t>Sie ermöglichen es den Spielern, ihre Hände zu verbessern</t>
  </si>
  <si>
    <t>Die Skatkarten bieten dem Spieler die Möglichkeit, unerwünschte Karten abzuwerfen und zwei neue zu erhalten, um seine Hand zu verbessern.</t>
  </si>
  <si>
    <t>A. The cards in Skat B. The bid submitted by the players C. The first trick D. The number of players</t>
  </si>
  <si>
    <t>Was bestimmt den Spieltyp (Farbe, Groß, Null) im Skat?</t>
  </si>
  <si>
    <t>A. Die Karten im Skat B. Das von den Spielern abgegebene Gebot C. Der erste Trick D. Die Anzahl der Spieler</t>
  </si>
  <si>
    <t>Das von den Spielern abgegebene Gebot</t>
  </si>
  <si>
    <t>Der Spieltyp wird in der „Reizen“-Phase anhand der Gebote der Spieler festgelegt.</t>
  </si>
  <si>
    <t>A. You lose the game B. You will receive additional points C. They continue as usual D. You lose bonus points</t>
  </si>
  <si>
    <t>Was passiert, wenn Sie in einem Nullspiel einen Stich gewinnen?</t>
  </si>
  <si>
    <t>A. Du verlierst das Spiel B. Sie erhalten zusätzliche Punkte C. Sie fahren wie gewohnt fort D. Sie verlieren Bonuspunkte</t>
  </si>
  <si>
    <t>A. Win only with picture cards B. Winning with Jacks as trump cards C. Winning with a handful of hearts D. To win all the tricks</t>
  </si>
  <si>
    <t>Was ist das Ziel eines Großspiels im Skat?</t>
  </si>
  <si>
    <t>A. Nur mit Bildkarten gewinnen B. Mit Buben als Trumpfkarten gewinnen C. Mit einer Hand voller Herzen gewinnen D. Um alle Tricks zu gewinnen</t>
  </si>
  <si>
    <t>Mit Buben als Trumpfkarten gewinnen</t>
  </si>
  <si>
    <t>In einem großen Spiel muss der Alleinspieler alle Stiche gewinnen und darf dabei nur Buben als Trumpfkarten verwenden.</t>
  </si>
  <si>
    <t>A. The soloist's cards are played face up. B. The declarer plays alone without taking any tricks. C. The game must be completed within one round. D. The soloist cannot win any tricks.</t>
  </si>
  <si>
    <t>Wie verändert ein „Null Ouvert“-Spiel die Strategie für den Alleinspieler?</t>
  </si>
  <si>
    <t>A. Die Karten des Alleinspielers werden offen gespielt B. Der Alleinspieler spielt alleine ohne Stiche C. Das Spiel muss innerhalb einer Runde abgeschlossen werden D. Der Alleinspieler kann keine Stiche gewinnen</t>
  </si>
  <si>
    <t>Die Karten des Alleinspielers werden offen gespielt</t>
  </si>
  <si>
    <t>In einem „Null Ouvert“-Spiel sind die Karten des Alleinspielers für alle Spieler sichtbar, wodurch sich die Strategie ändert.</t>
  </si>
  <si>
    <t>A. If you have a weak hand B. If you want to win more points C. If you are sure of winning all the tricks D. If you don't have picture cards</t>
  </si>
  <si>
    <t>Wann ist es strategisch, beim Skat ein „Null“-Spiel zu spielen?</t>
  </si>
  <si>
    <t>A. Wenn Sie eine schwache Hand haben B. Wenn Sie mehr Punkte gewinnen möchten C. Wenn Sie sicher sind, alle Stiche zu gewinnen D. Wenn Sie keine Bildkarten haben</t>
  </si>
  <si>
    <t>Wenn Sie eine schwache Hand haben</t>
  </si>
  <si>
    <t>Ein „Null“-Spiel wird oft gewählt, wenn ein Spieler eine schwache Hand hat und vermeiden muss, Stiche zu gewinnen.</t>
  </si>
  <si>
    <t>A. Zero game B. Fantastic game C. Suit game D. No game</t>
  </si>
  <si>
    <t>Sie spielen Skat und haben eine Hand mit allen niedrigen Karten. Was sollten Sie wahrscheinlich angeben?</t>
  </si>
  <si>
    <t>A. Nullspiel B. Grandioses Spiel C. Anzugspiel D. Kein Spiel</t>
  </si>
  <si>
    <t>Nullspiel</t>
  </si>
  <si>
    <t>Mit einer Hand voller niedriger Karten ist ein Nullspiel ideal, da Sie alle Stiche verlieren möchten.</t>
  </si>
  <si>
    <t>A. Fantastic game B. Suit game C. Zero game D. No game</t>
  </si>
  <si>
    <t>Beim Skat hat der Alleinspieler eine Hand mit hohen Bildkarten in allen Farben. Welches Spiel deklariert man am besten?</t>
  </si>
  <si>
    <t>A. Grandioses Spiel B. Anzugspiel C. Nullspiel D. Kein Spiel</t>
  </si>
  <si>
    <t>Grandioses Spiel</t>
  </si>
  <si>
    <t>Eine Hand voller hoher Bildkarten eignet sich am besten für ein großes Spiel, bei dem Buben der einzige Trumpf sind.</t>
  </si>
  <si>
    <t>A. You want to play a zero game B. They are aiming for a high score. C. You want to take the lead D. You have a weak hand</t>
  </si>
  <si>
    <t>Während der „Reizen“-Phase entscheiden Sie sich für ein aggressives Bieten. Was bedeutet das?</t>
  </si>
  <si>
    <t>A. Sie möchten ein Null-Spiel spielen B. Sie streben eine hohe Punktzahl an C. Du willst die Führung übernehmen D. Du hast eine schwache Hand</t>
  </si>
  <si>
    <t>Sie streben eine hohe Punktzahl an</t>
  </si>
  <si>
    <t>Ein aggressives Gebot bei „Reizen“ deutet darauf hin, dass Sie eine hohe Punktzahl anstreben, normalerweise mit einer starken Hand.</t>
  </si>
  <si>
    <t>A. Suit game B. Zero game C. Fantastic game D. Happen</t>
  </si>
  <si>
    <t>Sie haben ein gutes Blatt mit einer Mischung aus hohen und niedrigen Karten in mehreren Farben. Welches Spiel würden Sie ansagen?</t>
  </si>
  <si>
    <t>A. Anzugspiel B. Nullspiel C. Grandioses Spiel D. Passieren</t>
  </si>
  <si>
    <t>Eine Mischung aus hohen und niedrigen Karten eignet sich am besten für ein Farbspiel, bei dem Sie mit Ihren höchsten Karten Stiche gewinnen können.</t>
  </si>
  <si>
    <t>A. You lose the game B. You will receive extra points C. The game continues D. You lose the game</t>
  </si>
  <si>
    <t>Sie erklären ein Nullspiel, gewinnen aber den ersten Stich. Was passiert als nächstes?</t>
  </si>
  <si>
    <t>A. Du verlierst das Spiel B. Sie erhalten Extrapunkte C. Das Spiel geht weiter D. Du verlierst das Spiel</t>
  </si>
  <si>
    <t>In einem Nullspiel führt der Gewinn auch nur eines Stichs automatisch zu einem Verlust.</t>
  </si>
  <si>
    <t>A. Play your trump card B. Play a lower card C. Let the opponent win D. Throw away the trump card</t>
  </si>
  <si>
    <t>Ihr Gegner führt mit einer hohen Trumpfkarte. Was sollten Sie tun, wenn Sie einen höheren Trumpf haben?</t>
  </si>
  <si>
    <t>A. Spielen Sie Ihren Trumpf aus B. Spielen Sie eine niedrigere Karte C. Lass den Gegner gewinnen D. Werfen Sie den Trumpf weg</t>
  </si>
  <si>
    <t>Spielen Sie Ihren Trumpf aus</t>
  </si>
  <si>
    <t>Wenn Sie einen höheren Trumpf haben, können Sie durch Ausspielen den Stich gewinnen und die Kontrolle über das Spiel behalten.</t>
  </si>
  <si>
    <t>A. Let the opponent win B. Play a trump card C. Play a lower card D. Play the highest card</t>
  </si>
  <si>
    <t>Sie befinden sich in einem Farbspiel und Ihr Gegner führt mit einer Karte aus der Farbe, in der Sie die höchste Karte haben. Was sollten Sie tun?</t>
  </si>
  <si>
    <t>A. Lass den Gegner gewinnen B. Spielen Sie eine Trumpfkarte aus C. Spielen Sie eine niedrigere Karte D. Spielen Sie die höchste Karte</t>
  </si>
  <si>
    <t>Spielen Sie die höchste Karte</t>
  </si>
  <si>
    <t>Wenn Sie die höchste Karte einer Farbe haben, stellen Sie durch das Ausspielen sicher, dass Sie den Stich gewinnen und die Runde kontrollieren.</t>
  </si>
  <si>
    <t>A. Play the Jack B. Let the queen win C. Discard a card that is not a trump. D. Play a lower card</t>
  </si>
  <si>
    <t>Sie spielen ein großes Spiel und Ihr Gegner führt mit einer Dame. Sie haben einen Buben in der gleichen Farbe. Was sollten Sie tun?</t>
  </si>
  <si>
    <t>A. Spielen Sie den Jack B. Lass die Königin gewinnen C. Wirf eine Karte ab, die kein Trumpf ist D. Spielen Sie eine niedrigere Karte</t>
  </si>
  <si>
    <t>Spielen Sie den Jack</t>
  </si>
  <si>
    <t>In einem großen Spiel sind Buben der einzige Trumpf, also gewinnt das Spielen Ihres Buben den Stich.</t>
  </si>
  <si>
    <t>A. Place your bid B. Increase your bid C. Explain a zero game D. Explain a big game</t>
  </si>
  <si>
    <t>Sie befinden sich in der „Reizen“-Phase und Ihr Gegner bietet aggressiv, aber Sie haben eine schwache Hand. Was sollten Sie tun?</t>
  </si>
  <si>
    <t>A. Geben Sie das Gebot ab B. Erhöhen Sie das Gebot C. Erkläre ein Null-Spiel D. Erkläre ein großes Spiel</t>
  </si>
  <si>
    <t>Geben Sie das Gebot ab</t>
  </si>
  <si>
    <t>Bei einer schwachen Hand ist das Passen des Gebots eine sichere Option, um ein ungünstiges Spiel zu vermeiden.</t>
  </si>
  <si>
    <t>A. Fantastic game B. Zero game C. Suit game D. Happen</t>
  </si>
  <si>
    <t>Sie haben nur Bildkarten und Buben auf der Hand. Welches Spiel ist am wahrscheinlichsten erfolgreich?</t>
  </si>
  <si>
    <t>A. Grandioses Spiel B. Nullspiel C. Anzugspiel D. Passieren</t>
  </si>
  <si>
    <t>Eine Hand mit Bildkarten und Buben ist ideal für ein großes Spiel, bei dem Buben die Trumpfkarten sind.</t>
  </si>
  <si>
    <t>A. Play aggressively B. Let your opponent win all the tricks. C. Try to win tricks D. Discard your highest cards</t>
  </si>
  <si>
    <t>Ihr Gegner erklärt ein Nullspiel, aber Sie wissen, dass Sie die höchsten Karten im Deck haben. Was sollten Sie tun?</t>
  </si>
  <si>
    <t>A. Spielen Sie aggressiv B. Lassen Sie den Gegner alle Stiche gewinnen C. Versuchen Sie, Stiche zu gewinnen D. Wirf deine höchsten Karten ab</t>
  </si>
  <si>
    <t>Spielen Sie aggressiv</t>
  </si>
  <si>
    <t>Wenn Sie hohe Karten haben, können Sie diese strategisch einsetzen, um den Nullspieler daran zu hindern, alle Stiche zu gewinnen.</t>
  </si>
  <si>
    <t>A. You will receive extra points B. You lose the game C. The game continues D. You lose the round</t>
  </si>
  <si>
    <t>Sie spielen ein Nullspiel, gewinnen aber versehentlich einen Stich. Was geschieht?</t>
  </si>
  <si>
    <t>A. Sie erhalten Extrapunkte B. Du verlierst das Spiel C. Das Spiel geht weiter D. Du verlierst die Runde</t>
  </si>
  <si>
    <t>Der Gewinn eines Stichs in einem Nullspiel führt automatisch zu einem Verlust.</t>
  </si>
  <si>
    <t>A. Suit game B. Zero game C. Fantastic game D. No game</t>
  </si>
  <si>
    <t>Sie haben keine Trumpfkarten, sondern mehrere hohe Karten in jeder Farbe. Welches Spiel solltest du deklarieren?</t>
  </si>
  <si>
    <t>A. Anzugspiel B. Nullspiel C. Grandioses Spiel D. Kein Spiel</t>
  </si>
  <si>
    <t>Mit hohen Karten in jeder Farbe ist ein Farbspiel ideal, da Sie die Stiche kontrollieren können, ohne sich auf Trumpfkarten verlassen zu müssen.</t>
  </si>
  <si>
    <t>A. Zero game B. Fantastic game C. Suit game D. Happen</t>
  </si>
  <si>
    <t>Ihre Hand besteht hauptsächlich aus niedrigen Karten und einem Buben. Was sollten Sie deklarieren?</t>
  </si>
  <si>
    <t>A. Nullspiel B. Grandioses Spiel C. Anzugspiel D. Passieren</t>
  </si>
  <si>
    <t>Eine Hand mit überwiegend niedrigen Karten und einem Buben eignet sich am besten für ein Nullspiel, bei dem das Ziel darin besteht, alle Stiche zu verlieren.</t>
  </si>
  <si>
    <t>A. Call it a bluff B. Let the trump card win C. Play a higher trump. D. Pass the curve</t>
  </si>
  <si>
    <t>Während des Spiels versucht Ihr Gegner mit einer hohen Trumpfkarte zu bluffen. Was sollten Sie tun, wenn Sie einen niedrigeren Trumpf haben?</t>
  </si>
  <si>
    <t>A. Nennen Sie den Bluff B. Lass den Trumpf gewinnen C. Spielen Sie einen höheren Trumpf D. Übergeben Sie die Kurve</t>
  </si>
  <si>
    <t>Spielen Sie einen höheren Trumpf</t>
  </si>
  <si>
    <t>Wenn Sie einen höheren Trumpf haben, können Sie durch Ausspielen den Stich gewinnen und den Bluff besiegen.</t>
  </si>
  <si>
    <t>Was sollten Sie beim Skat ansagen, wenn Sie keine Bildkarten und nur niedrige Karten auf der Hand haben?</t>
  </si>
  <si>
    <t>Eine Hand voller niedriger Karten ohne Bildkarten ist ideal für ein Nullspiel, bei dem Sie darauf abzielen, alle Stiche zu verlieren.</t>
  </si>
  <si>
    <t>Sie haben eine starke Hand, aber keine Trumpfkarten. Welches Spiel solltest du deklarieren?</t>
  </si>
  <si>
    <t>Eine Hand mit starken Nicht-Trumpfkarten eignet sich am besten für ein Farbspiel, bei dem Ihre hohen Karten Stiche gewinnen können.</t>
  </si>
  <si>
    <t>A. Bid higher B. Place your bid C. Explain a zero game D. Explain a big game</t>
  </si>
  <si>
    <t>Ihr Gegner bietet in der „Reizen“-Phase ein hohes Gebot, aber Sie haben nur eine Hand mit niedrigen Karten. Was sollten Sie tun?</t>
  </si>
  <si>
    <t>A. Bieten Sie höher B. Geben Sie das Gebot ab C. Erkläre ein Null-Spiel D. Erkläre ein großes Spiel</t>
  </si>
  <si>
    <t>Wenn Sie eine Hand voller niedriger Karten haben, ist Passen die beste Option, um ein Spiel mit hohen Einsätzen zu vermeiden.</t>
  </si>
  <si>
    <t>A. Play the card B. Dispose of the card C. Use the card in a trick D. Pass the curve</t>
  </si>
  <si>
    <t>Sie nehmen an einem Nullspiel teil, ziehen aber eine Karte, mit der Sie einen Stich gewinnen würden. Was sollten Sie tun?</t>
  </si>
  <si>
    <t>A. Spielen Sie die Karte B. Entsorgen Sie die Karte C. Benutze die Karte in einem Trick D. Übergeben Sie die Kurve</t>
  </si>
  <si>
    <t>Entsorgen Sie die Karte</t>
  </si>
  <si>
    <t>In einem Nullspiel müssen Sie vermeiden, Stiche zu gewinnen, daher ist das Abwerfen der Karte die beste Option.</t>
  </si>
  <si>
    <t>A. Let the trump card win B. Play a higher trump. C. Throw away your trump card D. Play a lower card</t>
  </si>
  <si>
    <t>Sie erklären ein Farbspiel, aber Ihr Gegner führt mit einer Trumpfkarte. Was sollten Sie tun?</t>
  </si>
  <si>
    <t>A. Lass den Trumpf gewinnen B. Spielen Sie einen höheren Trumpf aus C. Werfen Sie Ihren Trumpf weg D. Spielen Sie eine niedrigere Karte</t>
  </si>
  <si>
    <t>Wenn Sie einen höheren Trumpf haben, spielen Sie ihn aus, um den Stich zu gewinnen und die Kontrolle zu behalten.</t>
  </si>
  <si>
    <t>Sie haben das Ass, den König und die Dame in derselben Farbe. Was sollten Sie deklarieren?</t>
  </si>
  <si>
    <t>Bei starken Bildkarten in einer Farbe sollten Sie ein Farbspiel ansagen, um aus Ihren hohen Karten Kapital zu schlagen.</t>
  </si>
  <si>
    <t>A. Let the card win B. Play a higher card C. Play your trump card D. Dispose of the card</t>
  </si>
  <si>
    <t>Sie spielen ein großes Spiel und Ihr Gegner spielt eine niedrige Karte. Was sollten Sie tun?</t>
  </si>
  <si>
    <t>A. Lass die Karte gewinnen B. Spielen Sie eine höhere Karte C. Spielen Sie Ihren Trumpf aus D. Entsorgen Sie die Karte</t>
  </si>
  <si>
    <t>Wenn es sich bei der Karte um eine Nicht-Trumpffarbe handelt, sichert das Ausspielen einer höheren Karte, dass Sie den Stich gewinnen.</t>
  </si>
  <si>
    <t>A. Zero game B. Suit game C. Fantastic game D. Happen</t>
  </si>
  <si>
    <t>Ihre Hand besteht aus einem einzelnen Buben und niedrigen Karten. Welches Spiel solltest du deklarieren?</t>
  </si>
  <si>
    <t>A. Nullspiel B. Anzugspiel C. Grandioses Spiel D. Passieren</t>
  </si>
  <si>
    <t>Eine Hand mit nur einem Buben und niedrigen Karten eignet sich am besten für ein Nullspiel, da Sie alle Stiche verlieren möchten.</t>
  </si>
  <si>
    <t>A. Fantastic game B. Zero game C. Suit game D. No game</t>
  </si>
  <si>
    <t>Sie halten eine Hand mit nur Bildkarten und niedrigen Karten derselben Farbe. Welches Spiel soll man ansagen?</t>
  </si>
  <si>
    <t>A. Grandioses Spiel B. Nullspiel C. Anzugspiel D. Kein Spiel</t>
  </si>
  <si>
    <t>Eine Hand mit Bildkarten und niedrigen Karten in einer einzigen Farbe eignet sich am besten für ein Farbspiel.</t>
  </si>
  <si>
    <t>A. It allows you to win with high cards. B. It gives you additional points C. It eliminates the trump suit. D. It allows you to play with revealed cards.</t>
  </si>
  <si>
    <t>Was ist beim Skat der Hauptvorteil der Erklärung einer Null-Partie?</t>
  </si>
  <si>
    <t>A. Es ermöglicht Ihnen, mit hohen Karten zu gewinnen B. Es gibt Ihnen zusätzliche Punkte C. Es eliminiert die Trumpffarbe D. Es ermöglicht Ihnen, mit aufgedeckten Karten zu spielen</t>
  </si>
  <si>
    <t>Es eliminiert die Trumpffarbe</t>
  </si>
  <si>
    <t>Bei einem Nullspiel wird die Trumpffarbe eliminiert, was bedeutet, dass keine Farbe Vorrang hat und der Fokus auf dem Verlust aller Stiche liegt.</t>
  </si>
  <si>
    <t>A. Try to win as many stitches as possible. B. Try to block their highest cards. C. Bid for a zero game D. Avoid any tricks</t>
  </si>
  <si>
    <t>Ihr Gegner erklärt ein Farbspiel mit einer starken Hand. Was sollten Sie tun, um sich zu verteidigen?</t>
  </si>
  <si>
    <t>A. Versuchen Sie, so viele Stiche wie möglich zu gewinnen B. Versuchen Sie, ihre höchsten Karten zu blockieren C. Bieten Sie für ein Null-Spiel D. Vermeiden Sie jegliche Tricks</t>
  </si>
  <si>
    <t>Versuchen Sie, ihre höchsten Karten zu blockieren</t>
  </si>
  <si>
    <t>Das Blockieren hoher Karten ist der Schlüssel, um zu verhindern, dass der Alleinspieler in einem Farbspiel Stiche gewinnt.</t>
  </si>
  <si>
    <t>Sie haben ein einzelnes Ass und mehrere niedrige Karten. Welches Spiel solltest du deklarieren?</t>
  </si>
  <si>
    <t>Eine Hand mit einem Ass und mehreren niedrigen Karten eignet sich am besten für ein Farbspiel, da das Ass einen Stich gewinnen kann.</t>
  </si>
  <si>
    <t>A. You lose the game B. You will receive extra points C. The game continues D. You lose the round</t>
  </si>
  <si>
    <t>Was passiert, wenn Sie während eines Nullspiels versehentlich einen Stich gewinnen?</t>
  </si>
  <si>
    <t>A. Du verlierst das Spiel B. Sie erhalten Extrapunkte C. Das Spiel geht weiter D. Du verlierst die Runde</t>
  </si>
  <si>
    <t>Der Gewinn auch nur eines einzigen Stichs in einem Nullspiel führt automatisch zu einem Verlust.</t>
  </si>
  <si>
    <t>Sie halten eine Hand mit mehreren hohen Karten unterschiedlicher Farbe. Welches Spiel würden Sie ansagen?</t>
  </si>
  <si>
    <t>Eine Hand mit hohen Karten aus verschiedenen Farben eignet sich am besten für ein Farbspiel, bei dem Sie Stiche in mehreren Farben steuern können.</t>
  </si>
  <si>
    <t>A. Explain a zero game B. Are you bidding for a suit game? C. Pass the curve D. Bid aggressively</t>
  </si>
  <si>
    <t>Ihr Gegner erklärt ein großes Spiel und Sie haben keine Buben auf der Hand. Was sollten Sie tun?</t>
  </si>
  <si>
    <t>A. Erkläre ein Null-Spiel B. Bieten Sie für ein Anzugspiel C. Übergeben Sie die Kurve D. Bieten Sie aggressiv</t>
  </si>
  <si>
    <t>Erkläre ein Null-Spiel</t>
  </si>
  <si>
    <t>Ohne Buben ist ein Nullspiel die beste Wahl, um keine Stiche zu gewinnen.</t>
  </si>
  <si>
    <t>A. Suit game B. Fantastic game C. Zero game D. Happen</t>
  </si>
  <si>
    <t>Sie sind der Alleinspieler und haben in einer Farbe eine starke Hand, in anderen jedoch schwache Karten. Welches Spiel solltest du deklarieren?</t>
  </si>
  <si>
    <t>A. Anzugspiel B. Grandioses Spiel C. Nullspiel D. Passieren</t>
  </si>
  <si>
    <t>Eine Hand mit einer starken Farbe und schwachen anderen Farben eignet sich für ein Farbspiel, bei dem die starke Farbe dabei helfen kann, Stiche zu gewinnen.</t>
  </si>
  <si>
    <t>A. Let the trump card win B. Play a higher trump. C. Throw away the trump card D. Play a lower card</t>
  </si>
  <si>
    <t>Sie erklären ein Farbspiel, aber Ihr Gegner führt mit einer hohen Trumpfkarte. Was sollten Sie tun?</t>
  </si>
  <si>
    <t>A. Lass den Trumpf gewinnen B. Spielen Sie einen höheren Trumpf C. Werfen Sie den Trumpf weg D. Spielen Sie eine niedrigere Karte</t>
  </si>
  <si>
    <t>Das Ausspielen einer höheren Trumpfkarte ermöglicht es Ihnen, den Stich zu gewinnen und die Kontrolle über das Spiel zu behalten.</t>
  </si>
  <si>
    <t>Während der „Reizen“-Phase sind Sie unsicher, ob Sie für ein Grand- oder ein Suit-Spiel bieten sollen. Bei Jacks hast du ein starkes Blatt. Was sollten Sie deklarieren?</t>
  </si>
  <si>
    <t>Mit Buben auf der Hand ist ein Grand-Spiel ideal, da Buben in dieser Variante die Trumpfkarten sind.</t>
  </si>
  <si>
    <t>A. Let the opponent win B. Play the higher card C. Discard a card that is not a trump. D. Happen</t>
  </si>
  <si>
    <t>Sie spielen ein Farbspiel und Ihr Gegner führt mit einer niedrigen Karte. Was sollten Sie tun, wenn Sie eine höhere Karte in derselben Farbe haben?</t>
  </si>
  <si>
    <t>A. Lass den Gegner gewinnen B. Spielen Sie die höhere Karte C. Wirf eine Karte ab, die kein Trumpf ist D. Passieren</t>
  </si>
  <si>
    <t>Spielen Sie die höhere Karte</t>
  </si>
  <si>
    <t>Das Ausspielen der höheren Karte stellt sicher, dass Sie den Stich gewinnen und die Kontrolle über ein Farbspiel behalten.</t>
  </si>
  <si>
    <t>Sie haben eine schwache Hand ohne Trumpf. Welches Spiel soll man ansagen?</t>
  </si>
  <si>
    <t>Ohne Trumpfkarten und mit einer schwachen Hand ist ein Nullspiel ideal, da es sich darauf konzentriert, alle Stiche zu verlieren.</t>
  </si>
  <si>
    <t>A. To improve your hand B. To determine the trump suit C. To discard unwanted cards D. To determine the game type</t>
  </si>
  <si>
    <t>Was ist beim Skat der Zweck des „Skats“ (der beiden beiseite gelegten Karten)?</t>
  </si>
  <si>
    <t>A. Um Ihre Hand zu verbessern B. Um die Trumpffarbe zu bestimmen C. Um unerwünschte Karten abzuwerfen D. Um den Spieltyp zu bestimmen</t>
  </si>
  <si>
    <t>Um Ihre Hand zu verbessern</t>
  </si>
  <si>
    <t>Beim Skat können Sie Ihre Hand verbessern, indem Sie zwei Ihrer Karten durch die Karten im Skat ersetzen.</t>
  </si>
  <si>
    <t>A. You lose the game B. You win the game C. You will receive extra points D. The game continues</t>
  </si>
  <si>
    <t>Sie erklären ein Nullspiel, gewinnen aber fälschlicherweise einen Stich. Was geschieht?</t>
  </si>
  <si>
    <t>A. Du verlierst das Spiel B. Du gewinnst das Spiel C. Sie erhalten Extrapunkte D. Das Spiel geht weiter</t>
  </si>
  <si>
    <t>A. Let the queen win B. Play the Jack C. Throw away the jack D. Happen</t>
  </si>
  <si>
    <t>Sie spielen ein großes Spiel und Ihr Gegner führt mit einer Dame. Was sollten Sie tun, wenn Sie einen Buben in derselben Farbe haben?</t>
  </si>
  <si>
    <t>A. Lass die Königin gewinnen B. Spielen Sie den Jack C. Werfen Sie den Wagenheber weg D. Passieren</t>
  </si>
  <si>
    <t>In einem großen Spiel sind Jacks Trump -Karten, also sollten Sie den Jack spielen, um den Trick zu gewinnen.</t>
  </si>
  <si>
    <t>A. Zero game B. Dress game C. Grand Game D. Happen</t>
  </si>
  <si>
    <t>Sie haben mehrere Tiefkarten in der Hand und keine Trump -Karten. Welches Spiel solltest du erklären?</t>
  </si>
  <si>
    <t>A. Nullspiel B. Anzugsspiel C. Grand Game D. Passieren</t>
  </si>
  <si>
    <t>Eine Hand voller Tiefkarten ohne Trump -Karten ist ideal für ein Null -Spiel, bei dem das Ziel darin besteht, alle Tricks zu verlieren.</t>
  </si>
  <si>
    <t>A. Lead with your strongest cards B. Try to win all the tricks. C. Discard the low cards D. Let the opponent win</t>
  </si>
  <si>
    <t>Sie sind in einem Anzugspiel und haben eine gute Mischung aus hohen und mittleren Karten in einem Anzug. Was ist die beste Strategie?</t>
  </si>
  <si>
    <t>A. Führe mit deinen höchsten Karten B. Versuchen Sie, alle Tricks zu gewinnen C. Die niedrigen Karten verwerfen D. Lassen Sie den Gegner gewinnen</t>
  </si>
  <si>
    <t>Führe mit deinen höchsten Karten</t>
  </si>
  <si>
    <t>Wenn Sie mit Ihren höchsten Karten führen, erhöht sich Ihre Chancen, die Tricks in diesem Anzug zu gewinnen.</t>
  </si>
  <si>
    <t>A. Focus on blocking the strong suit. B. Let the opponent win with the weak suits. C. Bid for a zero game D. Play aggressively</t>
  </si>
  <si>
    <t>Ihr Gegner hat eine starke Hand in einem Anzug, aber schwache Karten in den anderen Anzügen. Was sollten Sie zur Verteidigung tun?</t>
  </si>
  <si>
    <t>A. Konzentrieren Sie sich darauf, den starken Anzug zu blockieren B. Lassen Sie den Gegner die schwachen Anzüge gewinnen C. Bieten Sie für ein Nullspiel D. Aggressiv spielen</t>
  </si>
  <si>
    <t>Konzentrieren Sie sich darauf, den starken Anzug zu blockieren</t>
  </si>
  <si>
    <t>Wenn Sie den starken Anzug blockieren, wird Ihr Gegner daran gehindert, den größten Teil der Tricks zu gewinnen.</t>
  </si>
  <si>
    <t>A. Let the card win B. Play a higher card C. Playing a trump card D. Discard a non-Trump card</t>
  </si>
  <si>
    <t>Sie sind der Anklarer in einem großen Spiel, und Ihr Gegner führt mit einer niedrigen Karte. Was sollten Sie tun?</t>
  </si>
  <si>
    <t>A. Lassen Sie die Karte gewinnen B. Eine höhere Karte spielen C. Eine Trumpfkarte spielen D. Eine Nicht-Trump-Karte verwerfen</t>
  </si>
  <si>
    <t>Eine höhere Karte spielen</t>
  </si>
  <si>
    <t>Wenn Sie eine höhere Karte spielen, können Sie den Trick sichern und vermeiden, ihn zu verlieren.</t>
  </si>
  <si>
    <t>A. Dress game B. Grand Game C. Zero game D. Happen</t>
  </si>
  <si>
    <t>Sie halten den Ass und den König eines Anzugs und haben keine anderen starken Karten. Was solltest du deklarieren?</t>
  </si>
  <si>
    <t>A. Anzugsspiel B. Grand Game C. Nullspiel D. Passieren</t>
  </si>
  <si>
    <t>Anzugsspiel</t>
  </si>
  <si>
    <t>Mit dem Ass und dem König eines Anzugs haben Sie eine gute Chance, Tricks zu gewinnen und ein Anzugspiel zur besten Option zu machen.</t>
  </si>
  <si>
    <t>A. Let the card win B. Play a higher card C. Playing a trump card D. Throw away the card</t>
  </si>
  <si>
    <t>Sie spielen ein großes Spiel und Ihr Gegner führt mit einer niedrigen Karte. Was ist dein bester Schritt?</t>
  </si>
  <si>
    <t>A. Lassen Sie die Karte gewinnen B. Eine höhere Karte spielen C. Eine Trumpfkarte spielen D. Die Karte wegwerfen</t>
  </si>
  <si>
    <t>Das Spielen einer höheren Karte sorgt dafür, dass Sie den Trick gewinnen und das Spiel kontrollieren.</t>
  </si>
  <si>
    <t>A. Grand Game B. Dress game C. Zero game D. Happen</t>
  </si>
  <si>
    <t>Sie halten eine Hand mit hauptsächlich Gesichtskarten und Buchsen. Welches Spiel solltest du erklären?</t>
  </si>
  <si>
    <t>A. Grand Game B. Anzugsspiel C. Nullspiel D. Passieren</t>
  </si>
  <si>
    <t>Grand Game</t>
  </si>
  <si>
    <t>Eine Hand mit hauptsächlich Gesichtskarten und Jacks eignet sich am besten für ein großes Spiel, in dem Jacks die Trump -Karten sind.</t>
  </si>
  <si>
    <t>A. Dress game B. Zero game C. Grand Game D. Happen</t>
  </si>
  <si>
    <t>Sie haben eine starke Hand, aber keine Trump -Karten und einen schwachen Gegner. Welches Spiel solltest du erklären?</t>
  </si>
  <si>
    <t>A. Anzugsspiel B. Nullspiel C. Grand Game D. Passieren</t>
  </si>
  <si>
    <t>Eine starke Hand ohne Trump -Karten eignet sich am besten für ein Anzugspiel, bei dem Sie Ihre hohen Karten verwenden können, um Tricks zu gewinnen.</t>
  </si>
  <si>
    <t>A. Let the card win B. Discard the high card C. Playing a trump card D. Play a bottom card</t>
  </si>
  <si>
    <t>Sie sind der Anklarer in einem Nullspiel, und Ihr Gegner führt mit einer hohen Karte. Was sollten Sie tun?</t>
  </si>
  <si>
    <t>A. Lassen Sie die Karte gewinnen B. Die hohe Karte verwerfen C. Eine Trumpfkarte spielen D. Spiele eine untere Karte</t>
  </si>
  <si>
    <t>Lassen Sie die Karte gewinnen</t>
  </si>
  <si>
    <t>In einem Null -Spiel möchten Sie es vermeiden, Tricks zu gewinnen. Daher ist es die beste Option, den Karten gewinnen zu lassen.</t>
  </si>
  <si>
    <t>A. Play the higher card B. Let the opponent win C. Throw away the card D. Play a bottom card</t>
  </si>
  <si>
    <t>Sie spielen ein großes Spiel und Ihr Gegner führt mit einer Nicht-Trump-Karte. Was sollten Sie tun, wenn Sie eine höhere Karte haben?</t>
  </si>
  <si>
    <t>A. Spiele die höhere Karte B. Lassen Sie den Gegner gewinnen C. Die Karte wegwerfen D. Spiele eine untere Karte</t>
  </si>
  <si>
    <t>Spiele die höhere Karte</t>
  </si>
  <si>
    <t>Das Spielen der höheren Karte sorgt dafür, dass Sie den Trick gewinnen und die Kontrolle behalten.</t>
  </si>
  <si>
    <t>A. You earn additional points B. They lose the game C. The game continues D. They fall victim to the round</t>
  </si>
  <si>
    <t>Sie deklarieren ein Null -Spiel, aber Sie gewinnen den ersten Trick. Was geschieht?</t>
  </si>
  <si>
    <t>A. Sie erzielen zusätzliche Punkte B. Sie verlieren das Spiel C. Das Spiel geht weiter D. Sie verfallen die Runde</t>
  </si>
  <si>
    <t>Selbst einen einzigen Trick in einem Null -Spiel zu gewinnen, führt zu einem automatischen Verlust.</t>
  </si>
  <si>
    <t>A. Let Trump win B. Play a high card in a different suit C. Discard a non-Trump card D. Happen</t>
  </si>
  <si>
    <t>Sie befinden sich in einem Anzugspiel und Ihr Gegner spielt eine Trump -Karte. Was solltest du tun, wenn du keine Trump -Karten hast?</t>
  </si>
  <si>
    <t>A. Lass den Trump gewinnen B. Spielen Sie eine hohe Karte in einem anderen Anzug C. Eine Nicht-Trump-Karte verwerfen D. Passieren</t>
  </si>
  <si>
    <t>Lass den Trump gewinnen</t>
  </si>
  <si>
    <t>Wenn Sie keine Trump -Karten haben, ist es die beste Option, den Trump -Sieg zu lassen, um nicht von anderen Anzügen zu verlieren.</t>
  </si>
  <si>
    <t>Sie haben nur einen Anzug in der Hand und alle Tiefkarten. Welches Spiel solltest du erklären?</t>
  </si>
  <si>
    <t>Mit nur niedrigen Karten und einem Anzug ist ein Nullspiel am besten, da Sie alle Tricks verlieren möchten.</t>
  </si>
  <si>
    <t>Ihr Gegner bietet aggressiv in der "Reizen" -Phase, und Sie haben eine Hand mit hohen Karten in mehreren Anzügen. Was solltest du deklarieren?</t>
  </si>
  <si>
    <t>Hohe Karten in mehreren Anzügen eignen sich am besten für ein großes Spiel, bei dem Sie Jacks als Trump -Karten verwenden, um alle Tricks zu gewinnen.</t>
  </si>
  <si>
    <t>A. Throw away the card B. Play the card C. Use the card in a trick D. Happen</t>
  </si>
  <si>
    <t>Sie spielen ein Nullspiel und zeichnen eine Karte, die einen Trick gewinnen könnte. Was sollten Sie tun?</t>
  </si>
  <si>
    <t>A. Die Karte wegwerfen B. Spielen Sie die Karte C. Verwenden Sie die Karte in einem Trick D. Passieren</t>
  </si>
  <si>
    <t>Die Karte wegwerfen</t>
  </si>
  <si>
    <t>In einem Null -Spiel sollten Sie es vermeiden, Tricks zu gewinnen, daher ist das Abwerfen der Karte erforderlich.</t>
  </si>
  <si>
    <t>A. Let the card win B. Play Jack C. Discard a non-Trump card D. Happen</t>
  </si>
  <si>
    <t>Sie deklarieren ein großes Spiel und Ihr Gegner führt mit einer hohen Karte. Was solltest du tun, wenn du einen Jack im selben Anzug hast?</t>
  </si>
  <si>
    <t>A. Lassen Sie die Karte gewinnen B. Spiele den Jack C. Eine Nicht-Trump-Karte verwerfen D. Passieren</t>
  </si>
  <si>
    <t>Spiele den Jack</t>
  </si>
  <si>
    <t>Wenn Sie den Jack als Trump -Karte spielen, gewinnt Sie den Trick in einem großen Spiel.</t>
  </si>
  <si>
    <t>A. Let Trump win B. Play a non-Trump card C. Throw away Trump D. Play a bottom card</t>
  </si>
  <si>
    <t>Sie sind der Anklarer in einem Nullspiel, und Ihr Gegner spielt eine Trump -Karte. Was sollten Sie tun?</t>
  </si>
  <si>
    <t>A. Lass den Trump gewinnen B. Spielen Sie eine Nicht-Trump-Karte C. Den Trump wegwerfen D. Spiele eine untere Karte</t>
  </si>
  <si>
    <t>In einem Null -Spiel ist es wichtig, den Tricks zu vermeiden, dass das Gewinn von Tricks der Trump ist, die beste Option.</t>
  </si>
  <si>
    <t>Sie haben eine Hand mit hohen Gesichtskarten und mehreren Tiefkarten. Welches Spiel solltest du erklären?</t>
  </si>
  <si>
    <t>Mit hohen Gesichtskarten und mehreren Tiefkarten eignen Sie sich am besten für ein Anzugspiel, bei dem Ihre hohen Karten den größten Teil der Tricks gewinnen können.</t>
  </si>
  <si>
    <t>A. Let the card win B. Play your higher card C. Discard a non-Trump card D. Happen</t>
  </si>
  <si>
    <t>Sie spielen ein Anzugspiel und Ihr Gegner spielt eine niedrige Karte von einem Anzug, in dem Sie stark sind. Was sollten Sie tun?</t>
  </si>
  <si>
    <t>A. Lassen Sie die Karte gewinnen B. Spielen Sie Ihre höhere Karte C. Eine Nicht-Trump-Karte verwerfen D. Passieren</t>
  </si>
  <si>
    <t>Wenn Sie Ihre höhere Karte spielen, erhalten Sie den Trick und behalten die Kontrolle über das Spiel.</t>
  </si>
  <si>
    <t>Sie haben eine Hand mit hauptsächlich niedrigen Karten und ohne Buchsen. Welches Spiel solltest du erklären?</t>
  </si>
  <si>
    <t>Eine Hand mit niedrigen Karten und keine Jacks eignet sich für ein Null -Spiel, da das Ziel darin besteht, alle Tricks zu verlieren.</t>
  </si>
  <si>
    <t>A. Let Jack win B. Play a higher card C. Discard a non-Trump card D. Happen</t>
  </si>
  <si>
    <t>Du spielst ein großes Spiel und dein Gegner spielt einen Jack. Was sollten Sie tun?</t>
  </si>
  <si>
    <t>A. Lass den Jack gewinnen B. Eine höhere Karte spielen C. Eine Nicht-Trump-Karte verwerfen D. Passieren</t>
  </si>
  <si>
    <t>Das Spielen einer höheren Karte wie eine Königin oder ein König sorgt dafür, dass Sie in einem großen Spiel den Trick gewinnen.</t>
  </si>
  <si>
    <t>A. Leading with the highest card B. Pass and let the opponent win C. Discard the low-level cards D. Keep all the cards</t>
  </si>
  <si>
    <t>Sie sind der Anklarer in einem Anzugspiel und haben zwei Hochkarten in einem Anzug. Was ist Ihre Strategie?</t>
  </si>
  <si>
    <t>A. Mit der höchsten Karte führen B. Pass und lassen Sie den Gegner gewinnen C. Tiefkarten wegwerfen D. Halten Sie alle Karten</t>
  </si>
  <si>
    <t>Mit der höchsten Karte führen</t>
  </si>
  <si>
    <t>Wenn Sie mit Ihrer höchsten Karte die erste Trick erhalten, können Sie sich den ersten Trick sicherstellen und den Fluss des Spiels steuern.</t>
  </si>
  <si>
    <t>A. Grand Game B. Zero game C. Dress game D. Happen</t>
  </si>
  <si>
    <t>Ihr Gegner bietet aggressiv für ein Anzugspiel, aber Sie halten hauptsächlich Jacks. Was solltest du deklarieren?</t>
  </si>
  <si>
    <t>A. Grand Game B. Nullspiel C. Anzugsspiel D. Passieren</t>
  </si>
  <si>
    <t>Bei Jacks in der Hand ist ein großes Spiel ideal, da Jacks Trump -Karten sind.</t>
  </si>
  <si>
    <t>A. Let Trump win B. Play a non-Trump card C. Throw away the card D. Play a bottom card</t>
  </si>
  <si>
    <t>Sie spielen ein Nullspiel und Ihr Gegner führt mit einer hohen Trump -Karte. Was sollten Sie tun?</t>
  </si>
  <si>
    <t>A. Lass den Trump gewinnen B. Spielen Sie eine Nicht-Trump-Karte C. Die Karte wegwerfen D. Spiele eine untere Karte</t>
  </si>
  <si>
    <t>In einem Null -Spiel müssen Sie es vermeiden, Tricks zu gewinnen. Daher ist es die beste Option, die Trump -Karte zu gewinnen.</t>
  </si>
  <si>
    <t>A. Leading with the strong suit B. Let the opponent win C. Discard the suit D. Happen</t>
  </si>
  <si>
    <t>Sie sind der Anklarer in einem Anzugspiel mit einer starken Hand in einem Anzug. Was sollten Sie tun?</t>
  </si>
  <si>
    <t>A. Mit dem starken Anzug führen B. Lassen Sie den Gegner gewinnen C. Den Anzug verwerfen D. Passieren</t>
  </si>
  <si>
    <t>Mit dem starken Anzug führen</t>
  </si>
  <si>
    <t>Wenn Sie mit dem starken Anzug die Chancen haben, Tricks in diesem Anzug zu gewinnen, erhöht sich dies.</t>
  </si>
  <si>
    <t>Sie spielen ein großes Spiel und Ihr Gegner führt mit einer niedrigen Karte. Was sollten Sie tun?</t>
  </si>
  <si>
    <t>Wenn Sie den Jack, die Trump -Karte, spielen, sorgt Sie in einem großen Spiel.</t>
  </si>
  <si>
    <t>A. Focus on the strong suit B. Try to win in both suits. C. Discard the weak suits D. Let the opponent win</t>
  </si>
  <si>
    <t>Sie spielen ein Anzugspiel und haben zwei schwache Anzüge in der Hand. Was ist Ihre Strategie?</t>
  </si>
  <si>
    <t>A. Konzentrieren Sie sich auf den starken Anzug B. Versuchen Sie, in beiden Anzügen zu gewinnen C. Die schwachen Anzüge verwerfen D. Lassen Sie den Gegner gewinnen</t>
  </si>
  <si>
    <t>Konzentrieren Sie sich auf den starken Anzug</t>
  </si>
  <si>
    <t>Die Konzentration auf den starken Anzug erhöht Ihre Chancen, den größten Teil der Tricks zu gewinnen.</t>
  </si>
  <si>
    <t>A. Let the queen win B. Play Jack C. Discard a non-Trump card D. Happen</t>
  </si>
  <si>
    <t>Du bist der Anklarer in einem großen Spiel und dein Gegner spielt eine Königin. Was solltest du tun, wenn du einen Jack hast?</t>
  </si>
  <si>
    <t>A. Lass die Königin gewinnen B. Spiele den Jack C. Eine Nicht-Trump-Karte verwerfen D. Passieren</t>
  </si>
  <si>
    <t>Das Spielen des Jack gewinnt den Trick, weil es eine Trump -Karte in einem großen Spiel ist.</t>
  </si>
  <si>
    <t>A. Let the opponent win B. Play aggressively C. Discard the high cards D. Bid for a zero game</t>
  </si>
  <si>
    <t>Ihr Gegner erklärt ein Anzugspiel und Sie haben meistens niedrige Karten. Was sollten Sie tun?</t>
  </si>
  <si>
    <t>A. Lassen Sie den Gegner gewinnen B. Aggressiv spielen C. Die hohen Karten verwerfen D. Bieten Sie für ein Nullspiel</t>
  </si>
  <si>
    <t>Lassen Sie den Gegner gewinnen</t>
  </si>
  <si>
    <t>Wenn Sie größtenteils niedrige Karten haben, ist es am besten, den Gegner gewinnen zu lassen und das Spiel zu kontrollieren.</t>
  </si>
  <si>
    <t>Sie halten eine Hand ohne Buchsen und schwache Karten in mehreren Anzügen. Welches Spiel solltest du erklären?</t>
  </si>
  <si>
    <t>Eine Hand ohne Jacks und schwache Karten ist am besten für ein Null -Spiel, bei dem Sie alle Tricks verlieren möchten.</t>
  </si>
  <si>
    <t>Sie haben zwei hohe Karten in einem Anzug und eine Mischung aus Tiefkarten in anderen. Welches Spiel solltest du erklären?</t>
  </si>
  <si>
    <t>Die hohen Karten in einem Anzug machen es ideal, ein Anzugspiel zu deklarieren, bei dem Sie diesen Anzug steuern können.</t>
  </si>
  <si>
    <t>A. Zero game B. Grand Game C. Dress game D. Happen</t>
  </si>
  <si>
    <t>Ihr Gegner bietet ein großes Spiel, und Sie haben eine schwache Hand. Was solltest du deklarieren?</t>
  </si>
  <si>
    <t>A. Nullspiel B. Grand Game C. Anzugsspiel D. Passieren</t>
  </si>
  <si>
    <t>Mit einer schwachen Hand ist ein Null -Spiel ideal, da es im Gegensatz zu einem großen Spiel alle Tricks verlieren soll.</t>
  </si>
  <si>
    <t>A. Play your higher card B. Let the card win C. Discard a low card D. Happen</t>
  </si>
  <si>
    <t>Sie spielen ein Anzugspiel und Ihr Gegner führt mit einer Nicht-Trump-Karte. Was sollten Sie tun?</t>
  </si>
  <si>
    <t>A. Spielen Sie Ihre höhere Karte B. Lassen Sie die Karte gewinnen C. Eine niedrige Karte verwerfen D. Passieren</t>
  </si>
  <si>
    <t>Wenn Sie Ihre höhere Karte spielen, können Sie den Trick gewinnen und die Kontrolle über das Spiel übernehmen.</t>
  </si>
  <si>
    <t>Ihr Gegner führt mit einer hohen Karte in einem großartigen Spiel und Sie haben einen Jack. Was sollten Sie tun?</t>
  </si>
  <si>
    <t>Das Spielen des Jack stellt sicher, dass Sie den Trick gewinnen, da es die Trump -Karte in einem großen Spiel ist.</t>
  </si>
  <si>
    <t>A. Let the card win B. Play a bottom card C. Throw away the card D. Happen</t>
  </si>
  <si>
    <t>Sie sind der Anklarer in einem Nullspiel, und Ihr Gegner spielt eine hohe Nicht-Trump-Karte. Was sollten Sie tun?</t>
  </si>
  <si>
    <t>A. Lassen Sie die Karte gewinnen B. Spiele eine untere Karte C. Die Karte wegwerfen D. Passieren</t>
  </si>
  <si>
    <t>In einem Null -Spiel müssen Sie Ihren Gegner die Tricks gewinnen lassen, um nicht selbst Tricks zu gewinnen.</t>
  </si>
  <si>
    <t>A. Let the card win B. Play a higher card C. Throw away the card D. Happen</t>
  </si>
  <si>
    <t>Sie spielen ein Anzugspiel und Ihr Gegner führt mit einer niedrigen Karte von einem Anzug, in dem Sie schwach sind. Was sollten Sie tun?</t>
  </si>
  <si>
    <t>A. Lassen Sie die Karte gewinnen B. Eine höhere Karte spielen C. Die Karte wegwerfen D. Passieren</t>
  </si>
  <si>
    <t>Wenn Sie den Karten gewinnen, wird es vermieden, eine Karte zu spielen, die Sie möglicherweise später für einen stärkeren Trick sparen müssen.</t>
  </si>
  <si>
    <t>Ihre Hand ist voller Tiefkarten ohne Trump -Karten. Welches Spiel solltest du erklären?</t>
  </si>
  <si>
    <t>Eine Hand mit niedrigen Karten und ohne Trump -Karten eignet sich für ein Null -Spiel, bei dem das Verlust aller Tricks das Ziel ist.</t>
  </si>
  <si>
    <t>A. Let Jack win B. Play a higher card C. Discard a low card D. Happen</t>
  </si>
  <si>
    <t>Du bist der Anklarer in einem großen Spiel und dein Gegner spielt einen Jack. Was solltest du tun, wenn du keine Trump -Karten hast?</t>
  </si>
  <si>
    <t>A. Lass den Jack gewinnen B. Eine höhere Karte spielen C. Eine niedrige Karte verwerfen D. Passieren</t>
  </si>
  <si>
    <t>Lass den Jack gewinnen</t>
  </si>
  <si>
    <t>Lassen Sie den Jack ohne Trump -Karten gewinnen, da es sich um eine Trump -Karte in einem großen Spiel handelt.</t>
  </si>
  <si>
    <t>A. Play the higher card B. Let the card win C. Discard a non-Trump card D. Happen</t>
  </si>
  <si>
    <t>Sie spielen ein Anzugspiel und Ihr Gegner spielt eine niedrige Karte. Was sollten Sie tun, wenn Sie eine höhere Karte im gleichen Anzug haben?</t>
  </si>
  <si>
    <t>A. Spiele die höhere Karte B. Lassen Sie die Karte gewinnen C. Eine Nicht-Trump-Karte verwerfen D. Passieren</t>
  </si>
  <si>
    <t>Das Spielen der höheren Karte gewinnt den Trick und behält die Kontrolle in dem Anzug, auf den Sie sich konzentrieren.</t>
  </si>
  <si>
    <t>A. Focus on the strongest suit B. Play randomly C. Let the opponent win D. Discard the weak suits</t>
  </si>
  <si>
    <t>Sie sind der Anklarer in einem Anzugspiel und haben mehrere schwache Anzüge. Was ist dein bester Schritt?</t>
  </si>
  <si>
    <t>A. Konzentrieren Sie sich auf den stärksten Anzug B. Zufällig spielen C. Lassen Sie den Gegner gewinnen D. Die schwachen Anzüge verwerfen</t>
  </si>
  <si>
    <t>Konzentrieren Sie sich auf den stärksten Anzug</t>
  </si>
  <si>
    <t>Wenn Sie sich auf den stärksten Anzug konzentrieren, erhalten Sie eine höhere Chance, Tricks in diesem Anzug zu gewinnen.</t>
  </si>
  <si>
    <t>A. Playing aggressively with the jacks B. Let the Jacks win C. Throw away the Jacks D. Play non-Trump cards</t>
  </si>
  <si>
    <t>Ihr Gegner erklärt ein großartiges Spiel und Sie haben zwei Jacks. Was ist Ihre beste Strategie?</t>
  </si>
  <si>
    <t>A. Spielen aggressiv mit den Jacks B. Lassen Sie die Jacks gewinnen C. Die Jacks wegwerfen D. Spielen Sie Nicht-Trump-Karten</t>
  </si>
  <si>
    <t>Spielen aggressiv mit den Jacks</t>
  </si>
  <si>
    <t>In einem großen Spiel sind Jacks Trump -Karten, sodass das Spielen Ihre Gewinnchancen aggressiv erhöht.</t>
  </si>
  <si>
    <t>Sie haben eine schwache Hand ohne Buchsen und nur niedrige Karten. Welches Spiel solltest du erklären?</t>
  </si>
  <si>
    <t>Eine schwache Hand mit niedrigen Karten und keine Jacks eignet sich für ein Null -Spiel, bei dem es das Ziel ist, Tricks zu verlieren.</t>
  </si>
  <si>
    <t>A. Let the high card win B. Play a higher card C. Discard a non-Trump card D. Happen</t>
  </si>
  <si>
    <t>Sie sind der Anklarer in einem Anzugspiel, und Ihr Gegner führt mit einer hohen Karte. Was sollten Sie tun?</t>
  </si>
  <si>
    <t>A. Lassen Sie die Hochkarte gewinnen B. Eine höhere Karte spielen C. Eine Nicht-Trump-Karte verwerfen D. Passieren</t>
  </si>
  <si>
    <t>Das Spielen einer höheren Karte gewinnt den Trick und ermöglicht es Ihnen, den Spielfluss zu steuern.</t>
  </si>
  <si>
    <t>A. Let the card win B. Play the high card C. Discard a low card D. Happen</t>
  </si>
  <si>
    <t>Sie spielen ein großes Spiel und Ihr Gegner führt mit einer niedrigen Karte. Was sollten Sie tun, wenn Sie eine hohe Karte im gleichen Anzug haben?</t>
  </si>
  <si>
    <t>A. Lassen Sie die Karte gewinnen B. Spielen Sie die hohe Karte C. Eine niedrige Karte verwerfen D. Passieren</t>
  </si>
  <si>
    <t>Spielen Sie die hohe Karte</t>
  </si>
  <si>
    <t>Das Spielen der High Card sorgt dafür, dass Sie den Trick gewinnen und das Spiel kontrollieren.</t>
  </si>
  <si>
    <t>Sie halten eine Hand mit nur einem Anzug und alle Karten sind niedrig. Was solltest du deklarieren?</t>
  </si>
  <si>
    <t>Mit nur einem Anzug und Tiefkarten ist ein Nullspiel ideal, da Sie alle Tricks verlieren möchten.</t>
  </si>
  <si>
    <t>A. Zero game B. Dress game C. Happen D. Play aggressively</t>
  </si>
  <si>
    <t>Ihr Gegner erklärt ein großes Spiel, und Sie haben keine Jacks. Was sollten Sie tun?</t>
  </si>
  <si>
    <t>A. Nullspiel B. Anzugsspiel C. Passieren D. Aggressiv spielen</t>
  </si>
  <si>
    <t>Ohne Jacks ist ein Null -Spiel die beste Wahl, um einen Gewinn von Tricks zu vermeiden.</t>
  </si>
  <si>
    <t>A. Let the card win B. Play a higher card C. Discard a non-Trump card D. Happen</t>
  </si>
  <si>
    <t>Sie sind der Anklarer in einem Anzugspiel, und Ihr Gegner führt mit einer Nicht-Trump-Karte. Was ist dein bester Schritt?</t>
  </si>
  <si>
    <t>A. Lassen Sie die Karte gewinnen B. Eine höhere Karte spielen C. Eine Nicht-Trump-Karte verwerfen D. Passieren</t>
  </si>
  <si>
    <t>Wenn Sie eine höhere Karte spielen, können Sie den Trick gewinnen und den Anzug kontrollieren.</t>
  </si>
  <si>
    <t>Sie haben eine Mischung aus hohen und niedrigen Karten und ohne Trump -Karten. Welches Spiel solltest du erklären?</t>
  </si>
  <si>
    <t>Eine Mischung aus hohen und niedrigen Karten in verschiedenen Anzügen eignet sich am besten für ein Anzugspiel, bei dem Sie einen oder mehrere Anzüge steuern können.</t>
  </si>
  <si>
    <t>A. Aim for shorter distances B. Increase the throwing power C. Focus on accuracy D. Ignore the wind</t>
  </si>
  <si>
    <t>Ihr Team führt in einem Bosseln-Spiel, aber es ist die letzte Runde. Der Wind nimmt zu. Wie sollte Ihre Strategie aussehen?</t>
  </si>
  <si>
    <t>A. Streben Sie kürzere Distanzen an B. Erhöhen Sie die Wurfkraft C. Konzentrieren Sie sich auf Genauigkeit D. Ignoriere den Wind</t>
  </si>
  <si>
    <t>Konzentrieren Sie sich auf Genauigkeit</t>
  </si>
  <si>
    <t>Bei windigen Bedingungen ist Genauigkeit entscheidend, um die Kontrolle über den Ball zu behalten.</t>
  </si>
  <si>
    <t>A. Throw with less force B. Aim for a higher trajectory. C. Throw with maximum force D. Let the ball roll naturally.</t>
  </si>
  <si>
    <t>Die gegnerische Mannschaft gewinnt an Boden und Sie haben den Ball. Die Strecke verläuft leicht bergab. Wie stellst du deinen Wurf ein?</t>
  </si>
  <si>
    <t>A. Mit weniger Kraft werfen B. Streben Sie eine höhere Flugbahn an C. Werfen Sie mit maximaler Kraft D. Lassen Sie den Ball natürlich rollen</t>
  </si>
  <si>
    <t>Mit weniger Kraft werfen</t>
  </si>
  <si>
    <t>Auf einer bergab verlaufenden Strecke ist ein leichterer Wurf effektiver, um ein Überschießen des Balls zu verhindern.</t>
  </si>
  <si>
    <t>A. Aim deliberately at the stone. B. Throw with maximum force to dodge it. C. Use a curved throw to get around it. D. Leave the ball and pass</t>
  </si>
  <si>
    <t>Sie sind an der Reihe und der Ball ist dabei, einen Stein auf der Bahn zu treffen. Wie gehen Sie mit der Situation um?</t>
  </si>
  <si>
    <t>A. Zielen Sie bewusst auf den Stein B. Wirf mit maximaler Kraft, um ihm auszuweichen C. Verwenden Sie einen gebogenen Wurf, um es zu umgehen D. Lass den Ball liegen und pass</t>
  </si>
  <si>
    <t>Verwenden Sie einen gebogenen Wurf, um es zu umgehen</t>
  </si>
  <si>
    <t>Ein gekrümmter Wurf weicht Hindernissen wie Steinen aus und hält den Ball in der Spur.</t>
  </si>
  <si>
    <t>A. Try pushing the ball in further. B. Aim for the center of the field. C. Let it go beyond the boundaries D. Make a longer recording</t>
  </si>
  <si>
    <t>Der Ball befindet sich in der Nähe des Spielfeldrandes und Ihr Team liegt im Rückstand. Was sollten Sie tun, um dem Gegner keinen Vorteil zu verschaffen?</t>
  </si>
  <si>
    <t>A. Versuchen Sie, den Ball weiter hineinzudrücken B. Zielen Sie auf die Mitte des Feldes C. Lass es außerhalb der Grenzen gehen D. Machen Sie eine längere Aufnahme</t>
  </si>
  <si>
    <t>Zielen Sie auf die Mitte des Feldes</t>
  </si>
  <si>
    <t>Wenn Sie auf die Mitte zielen, maximieren Sie Ihre Chancen, den Ball im Spiel zu halten und Punkte zu sammeln.</t>
  </si>
  <si>
    <t>A. Throw with more speed B. Throw at a shallow angle C. throw with controlled force D. Apply less force than usual.</t>
  </si>
  <si>
    <t>Das Wetter ist sehr regnerisch, was die Strecke rutschig macht. Wie passen Sie Ihre Wurftechnik an?</t>
  </si>
  <si>
    <t>A. Werfen Sie mit mehr Geschwindigkeit B. Mit flachem Winkel werfen C. Mit kontrollierter Kraft werfen D. Wenden Sie weniger Kraft als üblich an</t>
  </si>
  <si>
    <t>Mit kontrollierter Kraft werfen</t>
  </si>
  <si>
    <t>Ein kontrollierter Wurf verhindert ein Abrutschen und sorgt für mehr Präzision auf rutschigen Strecken.</t>
  </si>
  <si>
    <t>A. Aim for a straight throw. B. Make a few short, precise throws. C. Use a curved throw for extra distance. D. throwing with extreme force</t>
  </si>
  <si>
    <t>Ihr Team liegt vorne, aber Sie müssen eine lange Distanz zurücklegen. Welche Strategie sollten Sie anwenden?</t>
  </si>
  <si>
    <t>A. Streben Sie einen geraden Wurf an B. Machen Sie ein paar kurze, präzise Würfe C. Verwenden Sie einen gebogenen Wurf für zusätzliche Distanz D. Mit extremer Kraft werfen</t>
  </si>
  <si>
    <t>Streben Sie einen geraden Wurf an</t>
  </si>
  <si>
    <t>Ein gerader Wurf ist effektiver, um weite Distanzen präzise zurückzulegen.</t>
  </si>
  <si>
    <t>A. Make a quick, powerful throw. B. Aim for a tactical curve C. Play defensively and aim for a safe position. D. Ignore the opponent's position</t>
  </si>
  <si>
    <t>Die gegnerische Mannschaft ist in einer guten Position und Sie müssen ihrem Zug entgegenwirken. Was ist die beste Strategie?</t>
  </si>
  <si>
    <t>A. Machen Sie einen schnellen, kraftvollen Wurf B. Streben Sie eine taktische Kurve an C. Spielen Sie defensiv und streben Sie einen sicheren Platz an D. Ignorieren Sie die Position des Gegners</t>
  </si>
  <si>
    <t>Streben Sie eine taktische Kurve an</t>
  </si>
  <si>
    <t>Eine taktische Kurve kann Ihnen dabei helfen, Hindernisse zu umgehen und den Ball strategisch zu platzieren.</t>
  </si>
  <si>
    <t>A. Increase the throwing power B. Aim lower than usual C. Adjust the throwing angle D. throw faster</t>
  </si>
  <si>
    <t>Sie spielen an einem windigen Tag und Ihr Ball driftet vom Kurs ab. Wie passt man sich am besten an?</t>
  </si>
  <si>
    <t>A. Erhöhen Sie die Wurfkraft B. Zielen Sie tiefer als gewöhnlich C. Passen Sie den Wurfwinkel an D. Schneller werfen</t>
  </si>
  <si>
    <t>Passen Sie den Wurfwinkel an</t>
  </si>
  <si>
    <t>Wind kann den Ball vom Kurs abbringen; Die Anpassung des Winkels ermöglicht eine bessere Kontrolle.</t>
  </si>
  <si>
    <t>A. Throw with a higher arc B. Increase the throwing speed C. Throw with more force D. throw gently and with control</t>
  </si>
  <si>
    <t>Ihr Ball befindet sich in der Nähe eines Wasserhindernisses auf der Bahn. Wie stellen Sie sicher, dass es nicht ins Wasser rollt?</t>
  </si>
  <si>
    <t>A. Werfen Sie mit einem höheren Bogen B. Erhöhen Sie die Wurfgeschwindigkeit C. Mit mehr Kraft werfen D. Sanft und kontrolliert werfen</t>
  </si>
  <si>
    <t>Sanft und kontrolliert werfen</t>
  </si>
  <si>
    <t>Ein sanfter, kontrollierter Wurf verhindert ein Überschießen des Hindernisses und hält den Ball im Spiel.</t>
  </si>
  <si>
    <t>A. throw faster B. Aim for a shallower angle C. Use a slower, more controlled throw. D. Throw with extra force</t>
  </si>
  <si>
    <t>Die Bahn ist uneben und Ihr Ball könnte unvorhersehbar abprallen. Wie minimieren Sie das Risiko?</t>
  </si>
  <si>
    <t>A. Schneller werfen B. Streben Sie einen flacheren Winkel an C. Verwenden Sie einen langsameren, kontrollierteren Wurf D. Werfen Sie mit zusätzlicher Kraft</t>
  </si>
  <si>
    <t>Verwenden Sie einen langsameren, kontrollierteren Wurf</t>
  </si>
  <si>
    <t>Ein langsamerer, kontrollierter Wurf trägt dazu bei, die Auswirkungen unebener Oberflächen zu minimieren und den Ball in der Spur zu halten.</t>
  </si>
  <si>
    <t>A. Speed ​​up the throw B. Aim for the middle of the curve C. Use an acute angle for navigation. D. Let the ball roll naturally.</t>
  </si>
  <si>
    <t>Es ist die letzte Runde und der Ball nähert sich einer scharfen Kurve. Was ist die beste Strategie, um damit umzugehen?</t>
  </si>
  <si>
    <t>A. Beschleunigen Sie den Wurf B. Zielen Sie auf die Mitte der Kurve C. Verwenden Sie zum Navigieren einen spitzen Winkel D. Lassen Sie den Ball natürlich rollen</t>
  </si>
  <si>
    <t>Zielen Sie auf die Mitte der Kurve</t>
  </si>
  <si>
    <t>Das Zielen auf die Kurvenmitte gibt dem Ball die besten Chancen, auf Kurs zu bleiben.</t>
  </si>
  <si>
    <t>A. throw with maximum force B. Focus on accuracy and control C. Hurry up to finish quickly. D. Aim for a short distance</t>
  </si>
  <si>
    <t>Das Spiel ist unentschieden und Ihr Team braucht einen starken Abschluss. Was ist der Schlüsselfaktor, den es beim letzten Wurf zu berücksichtigen gilt?</t>
  </si>
  <si>
    <t>A. Mit maximaler Kraft werfen B. Konzentrieren Sie sich auf Genauigkeit und Kontrolle C. Beeilen Sie sich, um schnell fertig zu werden D. Streben Sie eine kurze Distanz an</t>
  </si>
  <si>
    <t>Konzentrieren Sie sich auf Genauigkeit und Kontrolle</t>
  </si>
  <si>
    <t>Genauigkeit und Kontrolle sind bei den letzten Würfen entscheidend, um den Sieg zu sichern.</t>
  </si>
  <si>
    <t>A. Ignore the situation and move on. B. Adapt your throw to the terrain. C. Use a different technique D. Go to a safer place.</t>
  </si>
  <si>
    <t>Der Ball ist auf einer unebenen Stelle des Spielfelds gelandet. Was ist Ihr bester Schachzug?</t>
  </si>
  <si>
    <t>A. Ignorieren Sie die Situation und fahren Sie fort B. Passen Sie Ihren Wurf an das Gelände an C. Verwenden Sie eine andere Technik D. Gehen Sie an einen sichereren Ort</t>
  </si>
  <si>
    <t>Passen Sie Ihren Wurf an das Gelände an</t>
  </si>
  <si>
    <t>Die Anpassung Ihrer Technik an das Gelände sorgt für bessere Kontrolle und Genauigkeit.</t>
  </si>
  <si>
    <t>A. Throw with added speed B. Throw with a higher arc C. Throw at a shallower angle D. Pay attention to the wind direction</t>
  </si>
  <si>
    <t>Der Wind weht aus einer Richtung besonders stark. Wie sollte man werfen, um dem entgegenzuwirken?</t>
  </si>
  <si>
    <t>A. Werfen Sie mit zusätzlicher Geschwindigkeit B. Werfen Sie mit einem höheren Bogen C. Mit einem flacheren Winkel werfen D. Achten Sie auf die Windrichtung</t>
  </si>
  <si>
    <t>Mit einem flacheren Winkel werfen</t>
  </si>
  <si>
    <t>Ein flacherer Wurf minimiert den Einfluss des Windes und gibt Ihnen eine bessere Kontrolle.</t>
  </si>
  <si>
    <t>A. Focus on straight throws. B. Use a curve to cut corners C. Throw with maximum force D. Play defensively</t>
  </si>
  <si>
    <t>Ihr Gegner ist weit vorne und die Strecke hat viele Kurven. Mit welcher Strategie können Sie aufholen?</t>
  </si>
  <si>
    <t>A. Konzentrieren Sie sich auf gerade Würfe B. Verwenden Sie eine Kurve, um Ecken zu schneiden C. Werfen Sie mit maximaler Kraft D. Spielen Sie defensiv</t>
  </si>
  <si>
    <t>Verwenden Sie eine Kurve, um Ecken zu schneiden</t>
  </si>
  <si>
    <t>Das Kurvenfahren kann Zeit sparen, den Abstand verkürzen und Ihnen helfen, aufzuholen.</t>
  </si>
  <si>
    <t>A. Throw with more force B. Maintain a consistent throw C. Use a high-angle throw D. Aim for the furthest point</t>
  </si>
  <si>
    <t>Die Bahn ist breit und Sie müssen auf Präzision beim Wurf achten. Worauf sollten Sie sich konzentrieren?</t>
  </si>
  <si>
    <t>A. Mit mehr Kraft werfen B. Behalten Sie einen gleichmäßigen Wurf bei C. Verwenden Sie einen Hochwinkelwurf D. Zielen Sie auf die am weitesten entfernte Stelle</t>
  </si>
  <si>
    <t>Behalten Sie einen gleichmäßigen Wurf bei</t>
  </si>
  <si>
    <t>Ein gleichmäßiger, kontrollierter Wurf verbessert Ihre Genauigkeit auf einer breiten Strecke.</t>
  </si>
  <si>
    <t>A. Speed ​​up the throw B. Focus on precision and control C. Throw hard to advance D. Avoid distractions</t>
  </si>
  <si>
    <t>Ihre Mannschaft hat den Ball und Sie sind dabei, die Halbzeit zu überqueren. Worauf sollten Sie sich konzentrieren?</t>
  </si>
  <si>
    <t>A. Beschleunigen Sie den Wurf B. Konzentrieren Sie sich auf Präzision und Kontrolle C. Wirf hart, um weiterzukommen D. Vermeiden Sie Ablenkungen</t>
  </si>
  <si>
    <t>Konzentrieren Sie sich auf Präzision und Kontrolle</t>
  </si>
  <si>
    <t>Präzision und Kontrolle sind auf halber Strecke wichtiger, um einen gleichmäßigen Fortschritt zu gewährleisten.</t>
  </si>
  <si>
    <t>A. Aim for the longest throw. B. Use an aggressive curve throw C. Focus on precision and placement D. Throw hard to gain distance.</t>
  </si>
  <si>
    <t>Ihr Team befindet sich in einer schwierigen Lage und Sie müssen ein Risiko eingehen. Worauf sollten Sie sich in diesem Moment konzentrieren?</t>
  </si>
  <si>
    <t>A. Streben Sie den weitesten Wurf an B. Verwenden Sie einen aggressiven Kurvenwurf C. Konzentrieren Sie sich auf Präzision und Platzierung D. Wirf hart, um Distanz zu gewinnen</t>
  </si>
  <si>
    <t>Konzentrieren Sie sich auf Präzision und Platzierung</t>
  </si>
  <si>
    <t>Beim Eingehen kalkulierter Risiken in schwierigen Situationen kommt es auf Präzision und Platzierung an.</t>
  </si>
  <si>
    <t>A. Try to win with a long throw. B. Use a fast, tactical curve C. Play conservatively and throw safely. D. Hurry to finish the game!</t>
  </si>
  <si>
    <t>Sie bemerken, dass Ihr Gegner zu selbstsicher ist, und Sie haben die Möglichkeit, einen strategischen Schritt zu unternehmen. Was machst du?</t>
  </si>
  <si>
    <t>A. Versuchen Sie, mit einem weiten Wurf zu gewinnen B. Verwenden Sie eine schnelle, taktische Kurve C. Spielen Sie konservativ und werfen Sie sicher D. Beeil dich, um das Spiel zu beenden</t>
  </si>
  <si>
    <t>Verwenden Sie eine schnelle, taktische Kurve</t>
  </si>
  <si>
    <t>Eine schnelle, taktische Kurve kann Ihren Gegner überraschen und Ihre Position verbessern.</t>
  </si>
  <si>
    <t>A. Use a precise, sweeping throw. B. Throw as fast as you can C. Throw straight ahead with force D. Avoid the obstacle completely</t>
  </si>
  <si>
    <t>Die Strecke hat einen schmalen Abschnitt und Sie müssen einem kleinen Hindernis ausweichen. Welche Strategie sollten Sie verwenden?</t>
  </si>
  <si>
    <t>A. Verwenden Sie einen präzisen, geschwungenen Wurf B. Wirf so schnell du kannst C. Mit Kraft geradeaus werfen D. Vermeiden Sie das Hindernis vollständig</t>
  </si>
  <si>
    <t>Verwenden Sie einen präzisen, geschwungenen Wurf</t>
  </si>
  <si>
    <t>Ein präziser, geschwungener Wurf ermöglicht es Ihnen, Hindernisse in engen Streckenabschnitten zu umgehen.</t>
  </si>
  <si>
    <t>A. Throw with more force B. Use a controlled, gentle throw. C. Throw as quickly as possible D. Aim for the edges of the track</t>
  </si>
  <si>
    <t>Ihr Team ist im Rückstand und Sie haben den Ball. Die Strecke hat mehrere Unebenheiten. Was sollten Sie tun?</t>
  </si>
  <si>
    <t>A. Mit mehr Kraft werfen B. Verwenden Sie einen kontrollierten, sanften Wurf C. Wirf so schnell wie möglich D. Zielen Sie auf die Ränder der Strecke</t>
  </si>
  <si>
    <t>Verwenden Sie einen kontrollierten, sanften Wurf</t>
  </si>
  <si>
    <t>Ein sanfter, kontrollierter Wurf hilft dabei, auf einer holprigen Strecke keinen Kontrollverlust zu vermeiden.</t>
  </si>
  <si>
    <t>A. Increase the throwing speed B. Aim for a lower angle C. Throw as hard as you can. D. Wait until the wind dies down.</t>
  </si>
  <si>
    <t>Der Ball rollt aufgrund des Windes vom Kurs ab. Wie solltest du deine Wurftechnik anpassen?</t>
  </si>
  <si>
    <t>A. Erhöhen Sie die Wurfgeschwindigkeit B. Streben Sie einen niedrigeren Winkel an C. Wirf so hart wie möglich D. Warten Sie, bis der Wind nachlässt</t>
  </si>
  <si>
    <t>Streben Sie einen niedrigeren Winkel an</t>
  </si>
  <si>
    <t>Ein niedrigerer Winkel verringert den Windeinfluss und hält den Ball auf Kurs.</t>
  </si>
  <si>
    <t>A. Focus on the distance B. Pay attention to accuracy and placement. C. Throw at maximum speed D. Wait for better conditions</t>
  </si>
  <si>
    <t>Ihr Gegner hat einen Highscore erzielt und Sie müssen aufholen. Was ist Ihre Schlüsselstrategie?</t>
  </si>
  <si>
    <t>A. Konzentrieren Sie sich auf die Distanz B. Achten Sie auf Genauigkeit und Platzierung C. Werfen Sie mit maximaler Geschwindigkeit D. Warten Sie auf bessere Bedingungen</t>
  </si>
  <si>
    <t>Achten Sie auf Genauigkeit und Platzierung</t>
  </si>
  <si>
    <t>Genauigkeit und Platzierung helfen Ihnen, Fehler zu reduzieren und näher an die Punktzahl Ihres Gegners heranzukommen.</t>
  </si>
  <si>
    <t>A. Use a soft throw B. Throw with extreme force C. Aim for a longer trajectory D. Let the ball hit the fence</t>
  </si>
  <si>
    <t>Der Ball befindet sich in der Nähe eines Zauns und Sie müssen verhindern, dass er ihn trifft. Was sollten Sie tun?</t>
  </si>
  <si>
    <t>A. Verwenden Sie einen weichen Wurf B. Werfen Sie mit extremer Kraft C. Streben Sie eine längere Flugbahn an D. Lassen Sie den Ball den Zaun treffen</t>
  </si>
  <si>
    <t>Verwenden Sie einen weichen Wurf</t>
  </si>
  <si>
    <t>Ein weicher Wurf hilft dabei, den Ball zu kontrollieren und zu verhindern, dass er den Zaun berührt.</t>
  </si>
  <si>
    <t>A. Throw harder B. Warm up before throwing C. Wear gloves when throwing. D. Throwing without adjustment</t>
  </si>
  <si>
    <t>Das Wetter ist extrem kalt und Ihre Hände sind taub. Wie sorgt man für einen guten Wurf?</t>
  </si>
  <si>
    <t>A. Wirf härter B. Vor dem Werfen aufwärmen C. Benutzen Sie beim Werfen Handschuhe D. Werfen ohne Anpassung</t>
  </si>
  <si>
    <t>Vor dem Werfen aufwärmen</t>
  </si>
  <si>
    <t>Das Aufwärmen hilft Ihnen, bei kalten Bedingungen wieder Kontrolle und Präzision zu erlangen.</t>
  </si>
  <si>
    <t>A. Speed ​​and power B. Precision and consistency C. Taking risks with long throws D. save energy</t>
  </si>
  <si>
    <t>Man liegt in einem Spiel im Rückstand und muss ein Comeback schaffen. Worauf sollten Sie sich konzentrieren?</t>
  </si>
  <si>
    <t>A. Geschwindigkeit und Kraft B. Präzision und Konstanz C. Mit weiten Würfen Risiken eingehen D. Energie sparen</t>
  </si>
  <si>
    <t>Präzision und Konstanz</t>
  </si>
  <si>
    <t>Präzision und Konstanz helfen Ihnen, Schwung aufzubauen, ohne Fehler zu machen.</t>
  </si>
  <si>
    <t>A. Avoid obstacles at all costs B. Focus on quick throws. C. Use a curved throw to avoid obstacles. D. Focus on long-distance throws.</t>
  </si>
  <si>
    <t>Sie haben die Chance zu werfen, aber Ihr Team ist im Rückstand. Die Strecke hat viele Hindernisse. Was machst du?</t>
  </si>
  <si>
    <t>A. Vermeiden Sie Hindernisse um jeden Preis B. Konzentrieren Sie sich auf schnelle Würfe C. Verwenden Sie einen gekrümmten Wurf, um Hindernisse zu umgehen D. Konzentrieren Sie sich auf Würfe über weite Distanzen</t>
  </si>
  <si>
    <t>Verwenden Sie einen gekrümmten Wurf, um Hindernisse zu umgehen</t>
  </si>
  <si>
    <t>Wenn Sie den Ball krümmen, können Sie Hindernissen ausweichen und gleichzeitig die Genauigkeit beibehalten.</t>
  </si>
  <si>
    <t>A. Throw harder B. Aim for a wider curve. C. throw at a lower speed D. Aim for the inside of the curve</t>
  </si>
  <si>
    <t>Die Bahn verläuft schräg nach oben und Ihr Ball steuert auf eine scharfe Kurve zu. Was sollten Sie tun?</t>
  </si>
  <si>
    <t>A. Wirf härter B. Streben Sie eine breitere Kurve an C. Mit geringerer Geschwindigkeit werfen D. Zielen Sie auf die Innenseite der Kurve</t>
  </si>
  <si>
    <t>Zielen Sie auf die Innenseite der Kurve</t>
  </si>
  <si>
    <t>Wenn Sie auf die Innenseite der Kurve zielen, verringert sich die Wahrscheinlichkeit, dass Sie über die Kurve hinausschießen.</t>
  </si>
  <si>
    <t>A. Increase throwing speed B. Aim low and throw carefully. C. Throw harder D. Use a curved throw</t>
  </si>
  <si>
    <t>Ihr Team liegt im Rückstand und es herrscht starker Gegenwind. Wie kompensiert man den Wind?</t>
  </si>
  <si>
    <t>A. Wurfgeschwindigkeit erhöhen B. Zielen Sie tief und werfen Sie vorsichtig C. Wirf härter D. Verwenden Sie einen gebogenen Wurf</t>
  </si>
  <si>
    <t>Zielen Sie tief und werfen Sie vorsichtig</t>
  </si>
  <si>
    <t>Ein sanfter, niedriger Wurf minimiert den Einfluss des Windes und hält den Ball im Spiel.</t>
  </si>
  <si>
    <t>A. Aim for the other side of the track B. Use a curved throw to get around it. C. Throw as hard as you can. D. Throw directly at the obstacle</t>
  </si>
  <si>
    <t>Sie sind dabei, zu werfen und bemerken ein Hindernis auf Ihrem Weg. Was ist der beste Weg, dies zu vermeiden?</t>
  </si>
  <si>
    <t>A. Zielen Sie auf die andere Seite der Strecke B. Verwenden Sie einen gebogenen Wurf, um es zu umgehen C. Wirf so hart wie möglich D. Direkt auf das Hindernis werfen</t>
  </si>
  <si>
    <t>Ein geschwungener Wurf hilft dabei, Hindernisse sicher zu umgehen.</t>
  </si>
  <si>
    <t>A. Throw with less force B. Throw with a flat trajectory C. Use a controlled and gentle throw. D. Aim for the side of the track</t>
  </si>
  <si>
    <t>Die Bahn ist extrem trocken und staubig, wodurch der Ball leicht abprallt. Wie stellst du deinen Wurf ein?</t>
  </si>
  <si>
    <t>A. Werfen Sie mit weniger Kraft B. Werfen Sie mit einer flachen Flugbahn C. Verwenden Sie einen kontrollierten und sanften Wurf D. Zielen Sie auf die Seite der Strecke</t>
  </si>
  <si>
    <t>Verwenden Sie einen kontrollierten und sanften Wurf</t>
  </si>
  <si>
    <t>Ein sanfter Wurf reduziert das Aufprallen und hilft, die Kontrolle auf einer staubigen Strecke zu behalten.</t>
  </si>
  <si>
    <t>A. Throw as quickly as possible B. Avoid the puddle completely. C. Use a high arc to remove it. D. Throw more slowly to avoid splashing.</t>
  </si>
  <si>
    <t>Vor der Strecke befindet sich eine Wasserpfütze. Was ist Ihre beste Strategie?</t>
  </si>
  <si>
    <t>A. Wirf so schnell wie möglich B. Vermeiden Sie die Pfütze vollständig C. Benutzen Sie einen hohen Lichtbogen, um es zu beseitigen D. Werfen Sie langsamer, um Spritzer zu vermeiden</t>
  </si>
  <si>
    <t>Benutzen Sie einen hohen Lichtbogen, um es zu beseitigen</t>
  </si>
  <si>
    <t>Ein hoher Bogen hilft dem Ball, die Pfütze zu überwinden, ohne an Schwung zu verlieren.</t>
  </si>
  <si>
    <t>A. throw straight ahead and fast B. Throw with precision and control C. Aim for a shorter distance D. Ignore the wind and throw</t>
  </si>
  <si>
    <t>Sie befinden sich in der Endrunde und der Wind ist unberechenbar. Was ist die sicherste Strategie für Ihren Wurf?</t>
  </si>
  <si>
    <t>A. Geradeaus und schnell werfen B. Werfen Sie mit Präzision und Kontrolle C. Streben Sie eine kürzere Distanz an D. Ignorieren Sie den Wind und werfen Sie</t>
  </si>
  <si>
    <t>Werfen Sie mit Präzision und Kontrolle</t>
  </si>
  <si>
    <t>Bei unvorhersehbarem Wind sind Präzision und Kontrolle entscheidend, um die Kontrolle über den Ball nicht zu verlieren.</t>
  </si>
  <si>
    <t>A. Throw as hard as you can. B. Aim for a high arc to gain more distance. C. Use a short throw to maintain control. D. Throw carefully and let the wind assist you.</t>
  </si>
  <si>
    <t>Du bleibst zurück und der Wind ist hinter dir. Was sollten Sie tun, um Ihren Wurf zu maximieren?</t>
  </si>
  <si>
    <t>A. Wirf so hart wie möglich B. Streben Sie einen hohen Bogen an, um mehr Distanz zu gewinnen C. Verwenden Sie einen kurzen Wurf, um die Kontrolle zu behalten D. Vorsichtig werfen und den Wind unterstützen lassen</t>
  </si>
  <si>
    <t>Streben Sie einen hohen Bogen an, um mehr Distanz zu gewinnen</t>
  </si>
  <si>
    <t>Der Wind hinter Ihnen kann dazu beitragen, dass ein Wurf mit höherem Bogen mehr Distanz hat.</t>
  </si>
  <si>
    <t>A. Try to avoid the rock B. throw with maximum force C. Try to hit the stone for a jump. D. Completely change your strategy</t>
  </si>
  <si>
    <t>Ihr Ball fliegt auf einen Stein auf der Bahn. Was sollten Sie tun?</t>
  </si>
  <si>
    <t>A. Versuchen Sie, dem Felsen auszuweichen B. Mit maximaler Kraft werfen C. Versuchen Sie, den Stein für einen Sprung zu treffen D. Ändern Sie Ihre Strategie komplett</t>
  </si>
  <si>
    <t>Versuchen Sie, dem Felsen auszuweichen</t>
  </si>
  <si>
    <t>Das Vermeiden von Hindernissen stellt sicher, dass der Ball auf der Strecke bleibt und nicht ungewollt abprallt.</t>
  </si>
  <si>
    <t>A. Conservatives throw B. Take a big risk and throw far C. Speed ​​up your throw D. Aim for the middle of the track</t>
  </si>
  <si>
    <t>Sie liegen vorne, müssen Ihren Vorsprung aber behaupten. Was ist der beste Zug für deinen nächsten Wurf?</t>
  </si>
  <si>
    <t>A. Konservativ werfen B. Gehen Sie ein großes Risiko ein und werfen Sie weit C. Beschleunige deinen Wurf D. Zielen Sie auf die Mitte der Strecke</t>
  </si>
  <si>
    <t>Konservativ werfen</t>
  </si>
  <si>
    <t>Ein konservativer Wurf verringert das Risiko von Fehlern und sichert Ihren Vorsprung.</t>
  </si>
  <si>
    <t>A. Throw harder to redirect it. B. Adjust the angle of your throw C. Let it veer off course. D. Try to stop the ball mid-roll.</t>
  </si>
  <si>
    <t>Der Ball nähert sich dem Ende der Bahn, kommt aber vom Kurs ab. Was sollten Sie tun?</t>
  </si>
  <si>
    <t>A. Wirf härter, um es umzuleiten B. Passen Sie den Winkel Ihres Wurfs an C. Lass es vom Kurs abkommen D. Versuchen Sie, den Ball mitten im Rollen zu stoppen</t>
  </si>
  <si>
    <t>Passen Sie den Winkel Ihres Wurfs an</t>
  </si>
  <si>
    <t>Das Anpassen des Wurfwinkels hilft dabei, den Ball wieder auf Kurs zu bringen.</t>
  </si>
  <si>
    <t>A. Slow down the throw a little. B. Speed ​​up to try and navigate within it. C. Throw at a shallower angle D. Aim for a side shot</t>
  </si>
  <si>
    <t>Vor Ihnen liegt eine scharfe Kurve und Ihr Ball fliegt zu schnell. Was ist Ihr bester Schachzug?</t>
  </si>
  <si>
    <t>A. Verlangsamen Sie den Wurf etwas B. Beschleunigen Sie, um zu versuchen, darin zu navigieren C. Mit einem flacheren Winkel werfen D. Zielen Sie auf einen Seitenschuss</t>
  </si>
  <si>
    <t>Verlangsamen Sie den Wurf etwas</t>
  </si>
  <si>
    <t>Durch die Verlangsamung des Wurfs wird verhindert, dass der Ball über die Kurve hinausschießt.</t>
  </si>
  <si>
    <t>A. Throw faster to counteract slippage. B. Use a controlled, slow throw. C. Throw from a higher angle D. Avoid throwing altogether</t>
  </si>
  <si>
    <t>Das Wetter ist heiß und die Strecke ist sehr rutschig. Was ist beim Werfen zu beachten?</t>
  </si>
  <si>
    <t>A. Schneller werfen, um einem Abrutschen entgegenzuwirken B. Verwenden Sie einen kontrollierten, langsamen Wurf C. Aus einem höheren Winkel werfen D. Vermeiden Sie den Wurf ganz</t>
  </si>
  <si>
    <t>Verwenden Sie einen kontrollierten, langsamen Wurf</t>
  </si>
  <si>
    <t>Ein langsamer, kontrollierter Wurf trägt dazu bei, den Halt aufrechtzuerhalten und ein Ausrutschen auf einer rutschigen Strecke zu vermeiden.</t>
  </si>
  <si>
    <t>A. Throw with less force B. Use extra strength to overcome the incline. C. Aim for a shallower angle D. Increase the throwing speed</t>
  </si>
  <si>
    <t>Sie sind dabei, zu werfen, und auf der Strecke gibt es ein leichtes Gefälle. Was ist die beste Strategie?</t>
  </si>
  <si>
    <t>A. Werfen Sie mit weniger Kraft B. Nutzen Sie zusätzliche Kraft, um die Steigung zu überwinden C. Streben Sie einen flacheren Winkel an D. Erhöhen Sie die Wurfgeschwindigkeit</t>
  </si>
  <si>
    <t>Nutzen Sie zusätzliche Kraft, um die Steigung zu überwinden</t>
  </si>
  <si>
    <t>Zusätzliche Kraft hilft dem Ball, seine Geschwindigkeit bergauf aufrechtzuerhalten.</t>
  </si>
  <si>
    <t>A. Try to fling it out of the pit. B. Throw harder to get past it. C. Throw it in such a way that it is avoided. D. Let it roll into the pit.</t>
  </si>
  <si>
    <t>Der Ball rollt gerade in eine Sandgrube. Was ist Ihre beste Vorgehensweise?</t>
  </si>
  <si>
    <t>A. Versuchen Sie, es aus der Grube zu schleudern B. Wirf härter, um daran vorbeizukommen C. Werfen Sie es so ein, dass es vermieden wird D. Lassen Sie es in die Grube rollen</t>
  </si>
  <si>
    <t>Werfen Sie es so ein, dass es vermieden wird</t>
  </si>
  <si>
    <t>Wenn Sie den Sandkasten meiden, bleibt Ihr Ball im Spiel und verliert nicht an Geschwindigkeit.</t>
  </si>
  <si>
    <t>A. Take a calculated risk B. Play conservatively and precisely C. Throw as hard as you can. D. Aim for the edges of the track</t>
  </si>
  <si>
    <t>Du merkst, dass die gegnerische Mannschaft auf deinen Fehler wartet. Wie sollten Sie Ihren nächsten Schritt angehen?</t>
  </si>
  <si>
    <t>A. Gehen Sie ein kalkuliertes Risiko ein B. Spielen Sie konservativ und präzise C. Wirf so hart wie möglich D. Zielen Sie auf die Ränder der Strecke</t>
  </si>
  <si>
    <t>Spielen Sie konservativ und präzise</t>
  </si>
  <si>
    <t>Konservatives Spielen minimiert Fehler und hilft, die Kontrolle zu behalten.</t>
  </si>
  <si>
    <t>A. For precision, use a curved throw. B. throw straight ahead and fast C. Aim for the middle of the track D. Use a high throw to avoid curves.</t>
  </si>
  <si>
    <t>Es ist eine sehr schmale Strecke mit einigen scharfen Kurven. Was ist die beste Wurftechnik?</t>
  </si>
  <si>
    <t>A. Verwenden Sie für Präzision einen gekrümmten Wurf B. Geradeaus und schnell werfen C. Zielen Sie auf die Mitte der Strecke D. Verwenden Sie einen hohen Wurf, um Kurven zu vermeiden</t>
  </si>
  <si>
    <t>Verwenden Sie für Präzision einen gekrümmten Wurf</t>
  </si>
  <si>
    <t>Geschwungene Würfe helfen beim Navigieren auf schmalen Strecken mit engen Kurven.</t>
  </si>
  <si>
    <t>A. Throw with more force B. Let gravity guide the ball. C. Throw a low, controlled shot. D. Increase the throwing angle</t>
  </si>
  <si>
    <t>Ihr Ball rollt auf einen steilen Hügel zu. Wie stellen Sie sich ein?</t>
  </si>
  <si>
    <t>A. Mit mehr Kraft werfen B. Lassen Sie die Schwerkraft den Ball leiten C. Werfen Sie einen niedrigen, kontrollierten Schuss D. Erhöhen Sie den Wurfwinkel</t>
  </si>
  <si>
    <t>Werfen Sie einen niedrigen, kontrollierten Schuss</t>
  </si>
  <si>
    <t>Ein niedriger, kontrollierter Wurf sorgt dafür, dass der Ball sanft rollt, ohne am Hang zu viel Geschwindigkeit zu gewinnen.</t>
  </si>
  <si>
    <t>A. Aim for a side shot to avoid it. B. Take a calculated risk and throw it away. C. Throw with maximum force D. Pass the move to your teammate.</t>
  </si>
  <si>
    <t>Sie sind kurz vor dem Ziel, aber vor Ihnen liegt ein Hindernis. Was machst du?</t>
  </si>
  <si>
    <t>A. Zielen Sie auf einen Seitenschuss, um es zu umgehen B. Gehen Sie ein kalkuliertes Risiko ein und werfen Sie darüber hinweg C. Werfen Sie mit maximaler Kraft D. Geben Sie den Zug an Ihren Teamkollegen weiter</t>
  </si>
  <si>
    <t>Zielen Sie auf einen Seitenschuss, um es zu umgehen</t>
  </si>
  <si>
    <t>Ein Seitenschlag kann dabei helfen, Hindernissen auszuweichen und den Ball auf Kurs zu halten.</t>
  </si>
  <si>
    <t>A. Increase your throwing speed B. Adjust your angle to counteract the wind. C. Ignore the wind and throw D. Pay attention to the wind direction</t>
  </si>
  <si>
    <t>Der Wind ändert unerwartet die Richtung. Worauf sollten Sie sich bei Ihrem nächsten Wurf konzentrieren?</t>
  </si>
  <si>
    <t>A. Erhöhen Sie Ihre Wurfgeschwindigkeit B. Passen Sie Ihren Winkel an, um dem Wind entgegenzuwirken C. Ignorieren Sie den Wind und werfen Sie D. Achten Sie auf die Windrichtung</t>
  </si>
  <si>
    <t>Passen Sie Ihren Winkel an, um dem Wind entgegenzuwirken</t>
  </si>
  <si>
    <t>Die Anpassung Ihres Winkels hilft, dem Einfluss des Windes entgegenzuwirken und den Ball auf Kurs zu halten.</t>
  </si>
  <si>
    <t>A. Use a stronger throw to redirect it. B. Let the ball stay in the grass C. Adapt your technique to the terrain. D. Throw harder to reach the center.</t>
  </si>
  <si>
    <t>Ihr Ball ist von der Hauptbahn ins Gras gerollt. Was ist der beste Ansatz?</t>
  </si>
  <si>
    <t>A. Verwenden Sie einen stärkeren Wurf, um es umzuleiten B. Lassen Sie den Ball im Gras bleiben C. Passen Sie Ihre Technik dem Gelände an D. Wirf härter, um die Mitte zu erreichen</t>
  </si>
  <si>
    <t>Passen Sie Ihre Technik dem Gelände an</t>
  </si>
  <si>
    <t>Durch die Anpassung an das Gelände können Sie den Ball zurückgewinnen, ohne die Kontrolle zu verlieren.</t>
  </si>
  <si>
    <t>A. Speed ​​up the throw B. Focus on accuracy and placement C. Take a big risk to gain distance. D. Throw as hard as you can</t>
  </si>
  <si>
    <t>Ihr Team liegt im Rückstand und das Ende der Strecke ist nah. Wie stellen Sie einen erfolgreichen Abschluss sicher?</t>
  </si>
  <si>
    <t>A. Beschleunigen Sie den Wurf B. Konzentrieren Sie sich auf Genauigkeit und Platzierung C. Gehen Sie ein großes Risiko ein, um Abstand zu gewinnen D. Wirf so hart du kannst</t>
  </si>
  <si>
    <t>Konzentrieren Sie sich auf Genauigkeit und Platzierung</t>
  </si>
  <si>
    <t>Genauigkeit und Platzierung sind der Schlüssel dafür, dass Ihr Ball sein Ziel effektiv erreicht.</t>
  </si>
  <si>
    <t>A. throw with maximum force B. Use a curved throw to control the speed. C. Throwing without control D. Use a shot from a low angle.</t>
  </si>
  <si>
    <t>Ihr Ball nähert sich einem steilen Gefälle. Was ist Ihre beste Strategie?</t>
  </si>
  <si>
    <t>A. Mit maximaler Kraft werfen B. Verwenden Sie einen gekrümmten Wurf, um die Geschwindigkeit zu kontrollieren C. Werfen ohne Kontrolle D. Verwenden Sie einen Schuss aus einem niedrigen Winkel</t>
  </si>
  <si>
    <t>Verwenden Sie einen gekrümmten Wurf, um die Geschwindigkeit zu kontrollieren</t>
  </si>
  <si>
    <t>Ein gebogener Wurf verringert die Gefahr des Überschießens bei Gefällestrecken.</t>
  </si>
  <si>
    <t>A. Speed ​​up your throw to stay ahead. B. Focus on precise and safe throws. C. Increase your throwing power D. Use a quick side shot</t>
  </si>
  <si>
    <t>Sie haben die Führung übernommen, aber vor Ihnen liegen Hindernisse. Wie gehen Sie mit der Situation um?</t>
  </si>
  <si>
    <t>A. Beschleunige deinen Wurf, um vorne zu bleiben B. Konzentrieren Sie sich auf präzise und sichere Würfe C. Erhöhen Sie Ihre Wurfkraft D. Verwenden Sie einen schnellen Seitenschuss</t>
  </si>
  <si>
    <t>Konzentrieren Sie sich auf präzise und sichere Würfe</t>
  </si>
  <si>
    <t>Sichere, präzise Würfe verringern das Risiko von Fehlern und behalten die Kontrolle.</t>
  </si>
  <si>
    <t>A. Accelerate the throw B. The goal is the inside of the curve. C. Taking a risk with a high throw D. Throw directly towards the curve</t>
  </si>
  <si>
    <t>Vor Ihnen liegt eine scharfe Kurve, und Sie müssen die verlorene Distanz aufholen. Worauf sollten Sie sich konzentrieren?</t>
  </si>
  <si>
    <t>A. Den Wurf beschleunigen B. Ziel ist die Innenseite der Kurve C. Mit einem hohen Wurf ein Risiko eingehen D. Direkt in Richtung Kurve werfen</t>
  </si>
  <si>
    <t>Ziel ist die Innenseite der Kurve</t>
  </si>
  <si>
    <t>Wenn Sie nach innen zielen, können Sie die verlorene Distanz aufholen und scharfe Kurven effektiv bewältigen.</t>
  </si>
  <si>
    <t>A. Throw with more force to counteract this. B. Focus on accurate throwing. C. Throw from a higher angle D. Speed ​​up your throw</t>
  </si>
  <si>
    <t>Ihr Gegner wirft mit großer Kraft, aber der Ball kommt vom Kurs ab. Was sollten Sie daraus lernen?</t>
  </si>
  <si>
    <t>A. Wirf mit mehr Kraft, um dem entgegenzuwirken B. Konzentrieren Sie sich auf präzises Werfen C. Aus einem höheren Winkel werfen D. Beschleunige deinen Wurf</t>
  </si>
  <si>
    <t>Konzentrieren Sie sich auf präzises Werfen</t>
  </si>
  <si>
    <t>Präzision hilft, das Risiko zu vermeiden, vom Kurs abzukommen und die Kontrolle über den Ball zu verlieren.</t>
  </si>
  <si>
    <t>A. Throw as quickly as possible B. Use a calculated, controlled throw. C. Without hesitation, throw D. Aim for the greatest distance</t>
  </si>
  <si>
    <t>Sie befinden sich in einem entscheidenden Moment des Spiels und nähern sich einem kniffligen Abschnitt der Strecke. Was sollten Sie tun?</t>
  </si>
  <si>
    <t>A. Wirf so schnell wie möglich B. Verwenden Sie einen kalkulierten, kontrollierten Wurf C. Ohne zu zögern werfen D. Streben Sie die weiteste Entfernung an</t>
  </si>
  <si>
    <t>Verwenden Sie einen kalkulierten, kontrollierten Wurf</t>
  </si>
  <si>
    <t>Ein kontrollierter Wurf sorgt für Genauigkeit und hält Sie in schwierigen Abschnitten auf dem richtigen Weg.</t>
  </si>
  <si>
    <t>A. Throw with less force B. Aim for the inside of the curve C. throw with maximum force D. Draw a straight line</t>
  </si>
  <si>
    <t>Ihr Ball nähert sich einer scharfen Kurve und Sie müssen langsamer fahren. Wie gehen Sie mit der Situation um?</t>
  </si>
  <si>
    <t>A. Werfen Sie mit weniger Kraft B. Zielen Sie auf die Innenseite der Kurve C. Mit maximaler Kraft werfen D. Wirf eine gerade Linie ein</t>
  </si>
  <si>
    <t>Wenn Sie nach innen zielen, verringert sich die Wahrscheinlichkeit, dass Sie über die Kurve hinausschießen.</t>
  </si>
  <si>
    <t>A. Throw hard and fast B. Use curved throws for each bend. C. Keep your throw straight D. Aim for the edges of the track</t>
  </si>
  <si>
    <t>Die Strecke ist kurvenreich und weist mehrere Kurven auf. Was ist Ihre beste Strategie, um die Kontrolle zu behalten?</t>
  </si>
  <si>
    <t>A. Wirf hart und schnell B. Verwenden Sie für jede Biegung gebogene Würfe C. Halten Sie Ihren Wurf gerade D. Zielen Sie auf die Ränder der Strecke</t>
  </si>
  <si>
    <t>Verwenden Sie für jede Biegung gebogene Würfe</t>
  </si>
  <si>
    <t>Geschwungene Würfe helfen dabei, die Kontrolle auf kurvigen Strecken zu behalten.</t>
  </si>
  <si>
    <t>A. Increase your speed to overcome it. B. Use a more controlled, angled throw. C. Take a side shot D. Keep throwing straight ahead</t>
  </si>
  <si>
    <t>Der Wind weht gegen Sie und lässt Ihren Ball langsamer werden. Was sollten Sie tun?</t>
  </si>
  <si>
    <t>A. Erhöhen Sie die Geschwindigkeit, um es zu überwinden B. Verwenden Sie einen kontrollierteren, abgewinkelten Wurf C. Werfen Sie einen Seitenschuss D. Wirf weiter geradeaus</t>
  </si>
  <si>
    <t>Verwenden Sie einen kontrollierteren, abgewinkelten Wurf</t>
  </si>
  <si>
    <t>Ein kontrollierter, schräger Wurf hilft, dem Widerstand des Windes entgegenzuwirken.</t>
  </si>
  <si>
    <t>A. Aim at the obstacle and let it bounce off. B. Throw with more force to get over it. C. Use a curved throw to get around it. D. Ignore the obstacle and throw straight ahead.</t>
  </si>
  <si>
    <t>Ihr Ball fliegt auf ein Hindernis auf der Bahn zu. Was ist der beste Weg, dies zu vermeiden?</t>
  </si>
  <si>
    <t>A. Zielen Sie auf das Hindernis und lassen Sie es abprallen B. Werfen Sie mit mehr Kraft, um darüber hinwegzukommen C. Verwenden Sie einen gebogenen Wurf, um ihn zu umgehen D. Ignorieren Sie das Hindernis und werfen Sie geradeaus</t>
  </si>
  <si>
    <t>Verwenden Sie einen gebogenen Wurf, um ihn zu umgehen</t>
  </si>
  <si>
    <t>Mit einem gekrümmten Wurf können Sie Hindernissen effektiv ausweichen.</t>
  </si>
  <si>
    <t>A. Aim for the far side of the track B. throw at maximum speed C. Use a low, controlled throw D. Aim for the middle of the track</t>
  </si>
  <si>
    <t>Sie liegen im Rennen im Rückstand und es liegt ein langer, gerader Weg vor Ihnen. Wie maximieren Sie Ihre Chancen?</t>
  </si>
  <si>
    <t>A. Zielen Sie auf die am weitesten entfernte Seite der Strecke B. Mit maximaler Geschwindigkeit werfen C. Verwenden Sie einen niedrigen, kontrollierten Wurf D. Zielen Sie auf die Mitte der Strecke</t>
  </si>
  <si>
    <t>Verwenden Sie einen niedrigen, kontrollierten Wurf</t>
  </si>
  <si>
    <t>Ein niedriger, kontrollierter Wurf minimiert Fehler und hält die Geschwindigkeit aufrecht.</t>
  </si>
  <si>
    <t>A. Throw with maximum force to avoid them. B. Use a gentle and controlled throw. C. Aim for the middle of the track D. Try to avoid the bumps by going around them.</t>
  </si>
  <si>
    <t>Die Strecke ist uneben und weist kleine Unebenheiten auf. Wie stellst du deinen Wurf ein?</t>
  </si>
  <si>
    <t>A. Wirf mit maximaler Kraft, um sie zu umgehen B. Verwenden Sie einen sanften und kontrollierten Wurf C. Zielen Sie auf die Mitte der Strecke D. Versuchen Sie, die Unebenheiten zu umgehen, indem Sie sie umgehen</t>
  </si>
  <si>
    <t>Verwenden Sie einen sanften und kontrollierten Wurf</t>
  </si>
  <si>
    <t>Ein sanfter, kontrollierter Wurf trägt dazu bei, die Stabilität des Balls auf unebenen Bahnen aufrechtzuerhalten.</t>
  </si>
  <si>
    <t>A. Throw harder to control it. B. Slow down your throw and aim carefully. C. Throw straight ahead D. Increase the throwing angle</t>
  </si>
  <si>
    <t>Auf der Strecke geht es bergab und Ihr Ball nimmt zu schnell Fahrt auf. Was ist der beste Ansatz?</t>
  </si>
  <si>
    <t>A. Wirf härter, um es zu kontrollieren B. Verlangsamen Sie Ihren Wurf und zielen Sie vorsichtig C. Geradeaus werfen D. Erhöhen Sie den Wurfwinkel</t>
  </si>
  <si>
    <t>Verlangsamen Sie Ihren Wurf und zielen Sie vorsichtig</t>
  </si>
  <si>
    <t>Die Verlangsamung sorgt für eine bessere Kontrolle, wenn der Ball bergab an Geschwindigkeit gewinnt.</t>
  </si>
  <si>
    <t>A. Use a quick, straight throw B. Use a gentle, curved throw. C. throw with maximum force D. Aim for the farthest side</t>
  </si>
  <si>
    <t>Sie nähern sich einer Kurve mit sehr wenig Abstand zwischen Ihnen und der Begrenzung. Wie soll man werfen?</t>
  </si>
  <si>
    <t>A. Verwenden Sie einen schnellen, geraden Wurf B. Verwenden Sie einen sanften, gebogenen Wurf C. Mit maximaler Kraft werfen D. Zielen Sie auf die entfernteste Seite</t>
  </si>
  <si>
    <t>Verwenden Sie einen sanften, gebogenen Wurf</t>
  </si>
  <si>
    <t>Ein gekrümmter Wurf verringert das Risiko, die Grenze zu treffen.</t>
  </si>
  <si>
    <t>A. Throw harder to counteract the wet surface. B. Use a slower, more controlled throw. C. Try to aim at the side of the track. D. Ignore the conditions and throw normally.</t>
  </si>
  <si>
    <t>Die Bahn ist nach dem Regen nass und Ihr Ball verliert an Geschwindigkeit. Was machst du?</t>
  </si>
  <si>
    <t>A. Stärker werfen, um der nassen Oberfläche entgegenzuwirken B. Verwenden Sie einen langsameren, kontrollierteren Wurf C. Versuchen Sie, auf die Seite der Strecke zu zielen D. Ignorieren Sie die Bedingungen und werfen Sie normal</t>
  </si>
  <si>
    <t>Ein langsamerer Wurf hilft dabei, die Kontrolle auf nassen Oberflächen zu behalten.</t>
  </si>
  <si>
    <t>A. Throw as quickly as possible B. Focus on accuracy and precision. C. For a longer roll, use a side shot. D. Aim for a higher arc.</t>
  </si>
  <si>
    <t>Ihr Gegner liegt vorne und Sie müssen aufholen. Was ist die beste Strategie?</t>
  </si>
  <si>
    <t>A. Wirf so schnell wie möglich B. Konzentrieren Sie sich auf Genauigkeit und Präzision C. Für eine längere Rolle verwenden Sie einen Seitenschuss D. Streben Sie einen höheren Bogen an</t>
  </si>
  <si>
    <t>Konzentrieren Sie sich auf Genauigkeit und Präzision</t>
  </si>
  <si>
    <t>Genauigkeit ist der Schlüssel zur Kontrolle und Vermeidung von Fehlern.</t>
  </si>
  <si>
    <t>A. Adjust your target to compensate for the wind. B. Throw harder to stabilize the ball. C. Change the direction of your throw D. Throw quickly to get it over with.</t>
  </si>
  <si>
    <t>Der Wind weht in Böen von der Seite und Ihr Wurf weicht vom Kurs ab. Was sollten Sie tun?</t>
  </si>
  <si>
    <t>A. Passen Sie Ihr Ziel an, um den Wind auszugleichen B. Wirf härter, um den Ball zu stabilisieren C. Ändere die Richtung deines Wurfs D. Wirf schnell, um es hinter dich zu bringen</t>
  </si>
  <si>
    <t>Passen Sie Ihr Ziel an, um den Wind auszugleichen</t>
  </si>
  <si>
    <t>Wenn Sie Ihr Ziel anpassen, können Sie dem Einfluss des Windes entgegenwirken.</t>
  </si>
  <si>
    <t>A. Increase your throwing speed to avoid this. B. Keep the ball in the soft area C. Use a gentle throw to control its trajectory. D. The goal is to bounce the ball off the ground.</t>
  </si>
  <si>
    <t>Der Ball rollt auf eine weiche Bodenfläche zu. Was ist die beste Vorgehensweise?</t>
  </si>
  <si>
    <t>A. Erhöhen Sie die Wurfgeschwindigkeit, um dies zu vermeiden B. Lassen Sie den Ball im weichen Bereich bleiben C. Verwenden Sie einen sanften Wurf, um seinen Weg zu kontrollieren D. Ziel ist es, den Ball vom Boden abprallen zu lassen</t>
  </si>
  <si>
    <t>Verwenden Sie einen sanften Wurf, um seinen Weg zu kontrollieren</t>
  </si>
  <si>
    <t>Ein sanfter Wurf hilft Ihnen, die Kontrolle auf weichem Untergrund zu behalten.</t>
  </si>
  <si>
    <t>A. Increase your speed to recover B. Use a sweeping throw to get it back on course. C. Aim for the middle of the track D. Let the ball roll freely.</t>
  </si>
  <si>
    <t>Sie nähern sich dem Endspurt und Ihr Ball kommt vom Kurs ab. Wie stellen Sie sich ein?</t>
  </si>
  <si>
    <t>A. Erhöhen Sie Ihre Geschwindigkeit, um sich zu erholen B. Verwenden Sie einen geschwungenen Wurf, um ihn wieder auf Kurs zu bringen C. Zielen Sie auf die Mitte der Strecke D. Lassen Sie den Ball frei rollen</t>
  </si>
  <si>
    <t>Verwenden Sie einen geschwungenen Wurf, um ihn wieder auf Kurs zu bringen</t>
  </si>
  <si>
    <t>Ein gekrümmter Wurf hilft dabei, die Flugbahn des Balls zu korrigieren und ihn auf Kurs zu halten.</t>
  </si>
  <si>
    <t>A. Throw at maximum speed B. Throw carefully and follow the curves. C. Use a direct shot to cut the corners. D. Draw a straight line</t>
  </si>
  <si>
    <t>Die Strecke hat eine Reihe scharfer Kurven vor sich. Was ist Ihre Strategie?</t>
  </si>
  <si>
    <t>A. Werfen Sie mit maximaler Geschwindigkeit B. Werfen Sie vorsichtig und folgen Sie den Kurven C. Verwenden Sie einen direkten Schuss, um die Ecken zu schneiden D. Wirf eine gerade Linie ein</t>
  </si>
  <si>
    <t>Werfen Sie vorsichtig und folgen Sie den Kurven</t>
  </si>
  <si>
    <t>Wenn Sie den Kurven sanft folgen, behalten Sie die Kontrolle und minimieren das Risiko.</t>
  </si>
  <si>
    <t>A. Speed ​​up the throw to make up ground. B. Focus on consistency and accuracy. C. Aim for the greatest possible distance. D. throw with maximum force</t>
  </si>
  <si>
    <t>Das Spiel ist knapp und Sie befinden sich in der letzten Runde. Wie gehst du an deinen letzten Wurf heran?</t>
  </si>
  <si>
    <t>A. Beschleunige den Wurf, um Boden gutzumachen B. Konzentrieren Sie sich auf Konsistenz und Genauigkeit C. Streben Sie eine möglichst große Distanz an D. Mit maximaler Kraft werfen</t>
  </si>
  <si>
    <t>Konzentrieren Sie sich auf Konsistenz und Genauigkeit</t>
  </si>
  <si>
    <t>Konsistenz und Genauigkeit sind der Schlüssel für ein gutes Ergebnis.</t>
  </si>
  <si>
    <t>A. Use a calculated, slow throw. B. Throw aggressively to stay ahead. C. Aim to make the obstacle jump over it. D. Avoid the obstacle at all costs</t>
  </si>
  <si>
    <t>Sie liegen im Spiel vorne, stehen aber vor einem kniffligen Hindernis. Was ist Ihr bester Schachzug?</t>
  </si>
  <si>
    <t>A. Verwenden Sie einen kalkulierten, langsamen Wurf B. Wirf aggressiv, um vorne zu bleiben C. Zielen Sie darauf, dass das Hindernis darüber springt D. Vermeiden Sie das Hindernis um jeden Preis</t>
  </si>
  <si>
    <t>Verwenden Sie einen kalkulierten, langsamen Wurf</t>
  </si>
  <si>
    <t>Ein kalkulierter, langsamer Wurf ermöglicht es Ihnen, die Kontrolle zu behalten und gleichzeitig Hindernissen auszuweichen.</t>
  </si>
  <si>
    <t>A. Increase the throwing speed to bounce it off. B. Aim for a side shot to avoid the rock. C. Use a high throw to eliminate it. D. Let the ball hit the stone and bounce off.</t>
  </si>
  <si>
    <t>Der Ball nähert sich einem Stein auf der Bahn und fliegt direkt darauf zu. Was sollten Sie tun?</t>
  </si>
  <si>
    <t>A. Erhöhen Sie die Wurfgeschwindigkeit, um es abzuprallen B. Zielen Sie auf einen Seitenschuss, um dem Felsen auszuweichen C. Benutze einen hohen Wurf, um es zu beseitigen D. Lassen Sie den Ball auf den Stein schlagen und abprallen</t>
  </si>
  <si>
    <t>Zielen Sie auf einen Seitenschuss, um dem Felsen auszuweichen</t>
  </si>
  <si>
    <t>Ein Seitenschlag kann dem Ball helfen, dem Stein auszuweichen, ohne an Geschwindigkeit zu verlieren.</t>
  </si>
  <si>
    <t>A. Throw harder to push it back. B. Use a gentle, angled throw to correct the course. C. Throw faster to make up ground. D. Keep throwing straight ahead</t>
  </si>
  <si>
    <t>Sie müssen eine weite Kurve überwinden, aber Ihr Ball rollt vom Kurs ab. Was sollten Sie tun?</t>
  </si>
  <si>
    <t>A. Wirf härter, um es zurückzudrängen B. Verwenden Sie einen sanften, schrägen Wurf, um den Kurs zu korrigieren C. Wirf schneller, um Boden gutzumachen D. Wirf weiter geradeaus</t>
  </si>
  <si>
    <t>Verwenden Sie einen sanften, schrägen Wurf, um den Kurs zu korrigieren</t>
  </si>
  <si>
    <t>Ein sanfter, schräger Wurf korrigiert die Flugbahn des Balls, ohne ihn zu überkompensieren.</t>
  </si>
  <si>
    <t>A. Aim at the puddle and hope it bounces off. B. Use a curved throw to get around it. C. Throw hard to clear it up D. Let the ball roll into the puddle.</t>
  </si>
  <si>
    <t>Der Ball fliegt auf eine Pfütze zu und Sie müssen eine schnelle Entscheidung treffen. Was machst du?</t>
  </si>
  <si>
    <t>A. Zielen Sie auf die Pfütze und hoffen Sie, dass sie abprallt B. Verwenden Sie einen gebogenen Wurf, um es zu umgehen C. Wirf hart, um es zu klären D. Lassen Sie den Ball in die Pfütze rollen</t>
  </si>
  <si>
    <t>Ein geschwungener Wurf hilft Ihnen, Hindernissen wie Pfützen effektiv auszuweichen.</t>
  </si>
  <si>
    <t>A. Use a steep throw B. Throw with more force to fight the wind. C. Focus on precision and control D. Ignore the wind and throw straight ahead.</t>
  </si>
  <si>
    <t>Der Wind weht in Richtung Ziellinie und Ihr Ball wird langsamer. Was ist die beste Strategie?</t>
  </si>
  <si>
    <t>A. Verwenden Sie einen steilen Wurf B. Werfen Sie mit mehr Kraft, um den Wind zu bekämpfen C. Konzentrieren Sie sich auf Präzision und Kontrolle D. Ignorieren Sie den Wind und werfen Sie geradeaus</t>
  </si>
  <si>
    <t>Präzision hilft Ihnen, die Kontrolle über den Windwiderstand zu behalten.</t>
  </si>
  <si>
    <t>A. throw at maximum speed B. Use a gentler and more controlled throw. C. Aim for the other side of the track D. Throw high to overcome the hill.</t>
  </si>
  <si>
    <t>Sie sind kurz vor dem Ziel, aber Ihr Ball fliegt auf einen steilen Hügel zu. Was sollten Sie tun?</t>
  </si>
  <si>
    <t>A. Mit maximaler Geschwindigkeit werfen B. Verwenden Sie einen sanfteren und kontrollierteren Wurf C. Zielen Sie auf die andere Seite der Strecke D. Hoch werfen, um den Hügel zu überwinden</t>
  </si>
  <si>
    <t>Verwenden Sie einen sanfteren und kontrollierteren Wurf</t>
  </si>
  <si>
    <t>Ein kontrollierter Wurf verhindert, dass der Ball zu schnell bergab rollt.</t>
  </si>
  <si>
    <t>A. Throw with maximum force B. Use a side throw to avoid this. C. Use a high arc to remove it. D. Aim for a short distance</t>
  </si>
  <si>
    <t>Ihr Ball nähert sich einer Sandgrube. Was ist die sicherste Strategie?</t>
  </si>
  <si>
    <t>A. Werfen Sie mit maximaler Kraft B. Verwenden Sie einen Seitenwurf, um dies zu vermeiden C. Benutzen Sie einen hohen Lichtbogen, um es zu beseitigen D. Streben Sie eine kurze Distanz an</t>
  </si>
  <si>
    <t>Verwenden Sie einen Seitenwurf, um dies zu vermeiden</t>
  </si>
  <si>
    <t>Ein Seitenwurf hilft Ihnen, der Sandgrube auszuweichen und gleichzeitig die Kontrolle zu behalten.</t>
  </si>
  <si>
    <t>A. Try a risky jump over the obstacle. B. Throw with maximum force to remove it. C. Use a calculated, controlled throw. D. Hurry to make up the distance</t>
  </si>
  <si>
    <t>Sie liegen im Spiel im Rückstand und vor Ihnen liegt ein Hindernis. Wie gehen Sie vor?</t>
  </si>
  <si>
    <t>A. Versuchen Sie einen riskanten Sprung über das Hindernis B. Wirf mit maximaler Kraft, um es zu beseitigen C. Verwenden Sie einen kalkulierten, kontrollierten Wurf D. Beeilen Sie sich, um die Distanz aufzuholen</t>
  </si>
  <si>
    <t>Ein kontrollierter Wurf verringert das Fehlerrisiko und hilft Ihnen, Hindernisse zu überwinden.</t>
  </si>
  <si>
    <t>A. Aim for the inside of the curve B. Throw at maximum speed to penetrate. C. Aim for the outside of the curve D. Use a curved throw to navigate.</t>
  </si>
  <si>
    <t>Sie stehen vor einer scharfen Kurve mit begrenztem Platz. Was ist die beste Strategie?</t>
  </si>
  <si>
    <t>A. Zielen Sie auf die Innenseite der Kurve B. Wirf mit maximaler Geschwindigkeit, um durchzudringen C. Zielen Sie auf die Außenseite der Kurve D. Verwenden Sie zum Navigieren einen gekrümmten Wurf</t>
  </si>
  <si>
    <t>Wenn Sie nach innen zielen, vermeiden Sie ein Überschießen der Kurve.</t>
  </si>
  <si>
    <t>A. To compensate, throw faster B. Use a gentle, controlled throw. C. Throw with more force D. Throw hard and aim to the side.</t>
  </si>
  <si>
    <t>Das Wetter ist heiß und trocken und die Strecke ist rau. Was ist Ihre beste Vorgehensweise?</t>
  </si>
  <si>
    <t>A. Zum Ausgleich schneller werfen B. Verwenden Sie einen sanften, kontrollierten Wurf C. Werfen Sie mit mehr Kraft D. Wirf hart und ziele auf die Seite</t>
  </si>
  <si>
    <t>Verwenden Sie einen sanften, kontrollierten Wurf</t>
  </si>
  <si>
    <t>Ein sanfter, kontrollierter Wurf sorgt für bessere Kontrolle auf unebenen Strecken.</t>
  </si>
  <si>
    <t>A. Throw harder to get past it. B. Aim for the side of the track C. Use a curved throw to get around it. D. Ignore the tree and throw straight ahead.</t>
  </si>
  <si>
    <t>Der Ball rollt auf einen Baum zu und Sie müssen ihm ausweichen. Was sollten Sie tun?</t>
  </si>
  <si>
    <t>A. Wirf härter, um daran vorbeizukommen B. Zielen Sie auf die Seite der Strecke C. Verwenden Sie einen gebogenen Wurf, um es zu umgehen D. Ignorieren Sie den Baum und werfen Sie geradeaus</t>
  </si>
  <si>
    <t>Ein gekrümmter Wurf hilft Ihnen, Hindernisse wie Bäume zu umgehen.</t>
  </si>
  <si>
    <t>A. Throw harder against the wind. B. Adjust your goal to compensate for this. C. Accelerate to make up for lost ground D. Ignore the wind and keep throwing.</t>
  </si>
  <si>
    <t>Ihr Ball driftet aufgrund einer Windböe vom Kurs ab. Wie korrigiert man es?</t>
  </si>
  <si>
    <t>A. Wirf stärker gegen den Wind B. Passen Sie Ihr Ziel an, um dies zu kompensieren C. Beschleunigen Sie, um verlorenen Boden wieder gutzumachen D. Ignorieren Sie den Wind und werfen Sie weiter</t>
  </si>
  <si>
    <t>Passen Sie Ihr Ziel an, um dies zu kompensieren</t>
  </si>
  <si>
    <t>Wenn Sie Ihr Ziel anpassen, wirken Sie dem Wind entgegen und halten Ihren Wurf auf Kurs.</t>
  </si>
  <si>
    <t>A. Throw hard to finish quickly. B. Use a curved throw to avoid mistakes. C. Aim for the other side of the track D. Throw straight to get it over with.</t>
  </si>
  <si>
    <t>Sie sind kurz vor dem Ziel und die Strecke ist sehr schmal. Was machst du?</t>
  </si>
  <si>
    <t>A. Wirf hart, um schnell fertig zu werden B. Verwenden Sie einen gekrümmten Wurf, um Fehler zu vermeiden C. Zielen Sie auf die andere Seite der Strecke D. Wirf gerade, um es hinter dich zu bringen</t>
  </si>
  <si>
    <t>Verwenden Sie einen gekrümmten Wurf, um Fehler zu vermeiden</t>
  </si>
  <si>
    <t>Ein gebogener Wurf hilft dabei, schmale Gleise fehlerfrei zu befahren.</t>
  </si>
  <si>
    <t>A. Throw at maximum speed B. Use a controlled, precise throw. C. Strive for accuracy to minimize errors. D. Hurry up to finish quickly.</t>
  </si>
  <si>
    <t>Ihr Gegner hat einen guten Vorsprung und Sie müssen Zeit aufholen. Wie soll man werfen?</t>
  </si>
  <si>
    <t>A. Werfen Sie mit maximaler Geschwindigkeit B. Verwenden Sie einen kontrollierten, präzisen Wurf C. Streben Sie nach Genauigkeit, um Fehler zu minimieren D. Beeilen Sie sich, um schnell fertig zu werden</t>
  </si>
  <si>
    <t>Verwenden Sie einen kontrollierten, präzisen Wurf</t>
  </si>
  <si>
    <t>Präzision und Kontrolle helfen dabei, Zeit fehlerfrei aufzuholen.</t>
  </si>
  <si>
    <t>A. Increase your throwing speed to counteract the hill. B. Use a gentle, controlled throw. C. Throw with maximum force to get over the hill. D. Throw it up high to overcome the incline.</t>
  </si>
  <si>
    <t>Das letzte Stück geht bergauf und Ihr Ball wird langsamer. Wie stellst du deinen Wurf ein?</t>
  </si>
  <si>
    <t>A. Erhöhen Sie die Wurfgeschwindigkeit, um dem Hügel entgegenzuwirken B. Verwenden Sie einen sanften, kontrollierten Wurf C. Wirf mit maximaler Kraft, um über den Hügel zu gelangen D. Hoch werfen, um die Steigung zu überwinden</t>
  </si>
  <si>
    <t>Durch einen kontrollierten Wurf können Sie die Steigung bewältigen, ohne zu viel Geschwindigkeit zu verlieren.</t>
  </si>
  <si>
    <t>A. Throw with maximum force B. Slow down your throw and aim carefully. C. Use a high arc D. Throw harder to maintain speed.</t>
  </si>
  <si>
    <t>Sie nähern sich einem Gefälleabschnitt und Ihr Ball beschleunigt schnell. Wie kontrolliert man es?</t>
  </si>
  <si>
    <t>A. Werfen Sie mit maximaler Kraft B. Verlangsamen Sie Ihren Wurf und zielen Sie vorsichtig C. Verwenden Sie einen hohen Lichtbogen D. Wirf härter, um die Geschwindigkeit beizubehalten</t>
  </si>
  <si>
    <t>Durch die Verlangsamung des Wurfs wird die Kontrolle gewährleistet, wenn der Ball bergab an Geschwindigkeit gewinnt.</t>
  </si>
  <si>
    <t>A. Aim for a side shot to avoid it. B. Use maximum force to remove it. C. Throw in a high arc to get over it. D. Let the ball hit the stone and bounce off.</t>
  </si>
  <si>
    <t>Ihr Ball fliegt direkt auf einen großen Stein in der Mitte der Bahn. Was sollten Sie tun?</t>
  </si>
  <si>
    <t>A. Zielen Sie auf einen Seitenschuss, um ihm auszuweichen B. Verwenden Sie maximale Kraft, um es zu beseitigen C. Werfen Sie einen hohen Bogen ein, um darüber hinwegzukommen D. Lassen Sie den Ball auf den Stein treffen und abprallen</t>
  </si>
  <si>
    <t>Zielen Sie auf einen Seitenschuss, um ihm auszuweichen</t>
  </si>
  <si>
    <t>Ein Seitenschlag hilft, Hindernissen auszuweichen und den Ball im Spiel zu halten.</t>
  </si>
  <si>
    <t>A. Throw at maximum speed B. Use a gentle, controlled throw. C. Use a high throw to overcome uneven terrain. D. Keep your throw straight</t>
  </si>
  <si>
    <t>Die Strecke verläuft geradeaus, der Boden ist jedoch uneben und weist Unebenheiten auf. Was ist die beste Strategie?</t>
  </si>
  <si>
    <t>A. Werfen Sie mit maximaler Geschwindigkeit B. Verwenden Sie einen sanften, kontrollierten Wurf C. Verwenden Sie einen hohen Wurf, um Unebenheiten zu überwinden D. Halten Sie Ihren Wurf gerade</t>
  </si>
  <si>
    <t>Ein sanfter, kontrollierter Wurf sorgt dafür, dass der Ball auch auf unebenem Gelände stabil bleibt.</t>
  </si>
  <si>
    <t>A. Throw with more force to remove it. B. Aim for a curved shot to avoid it. C. Throw as hard as you can. D. Try to aim for the center of the puddle.</t>
  </si>
  <si>
    <t>Der Ball fliegt auf eine Wasserpfütze zu. Wie vermeidet man es?</t>
  </si>
  <si>
    <t>A. Wirf mit mehr Kraft, um es zu beseitigen B. Zielen Sie auf einen gekrümmten Schuss, um es zu umgehen C. Wirf so hart wie möglich D. Versuchen Sie, auf die Mitte der Pfütze zu zielen</t>
  </si>
  <si>
    <t>Zielen Sie auf einen gekrümmten Schuss, um es zu umgehen</t>
  </si>
  <si>
    <t>Ein gekrümmter Schuss hilft dabei, durch Pfützen zu navigieren, ohne an Geschwindigkeit zu verlieren.</t>
  </si>
  <si>
    <t>A. Increase your throwing speed B. throw gently and precisely C. Use a high, arcing throw D. Aim for the sides to avoid the incline.</t>
  </si>
  <si>
    <t>Sie müssen eine steile Steigung vermeiden, die vor Ihnen liegt. Wie stellst du deinen Wurf ein?</t>
  </si>
  <si>
    <t>A. Erhöhen Sie Ihre Wurfgeschwindigkeit B. Sanft und präzise werfen C. Verwenden Sie einen hohen, bogenförmigen Wurf D. Zielen Sie auf die Seiten, um der Steigung auszuweichen</t>
  </si>
  <si>
    <t>Sanft und präzise werfen</t>
  </si>
  <si>
    <t>Ein kontrollierter Wurf hilft dabei, den Kontrollverlust beim Annähern an Steigungen zu vermeiden.</t>
  </si>
  <si>
    <t>A. Throw harder to overcome friction. B. Use a gentle, controlled throw. C. Aim for the edge of the track D. Keep throwing straight ahead</t>
  </si>
  <si>
    <t>Der Ball wird auf einer ebenen Fläche aufgrund der Reibung langsamer. Wie überwinden Sie das?</t>
  </si>
  <si>
    <t>A. Wirf härter, um die Reibung zu überwinden B. Verwenden Sie einen sanften, kontrollierten Wurf C. Zielen Sie auf den Rand der Strecke D. Wirf weiter geradeaus</t>
  </si>
  <si>
    <t>Wirf härter, um die Reibung zu überwinden</t>
  </si>
  <si>
    <t>Stärkeres Werfen trägt dazu bei, die Geschwindigkeit zu erhöhen und Reibung zu überwinden.</t>
  </si>
  <si>
    <t>A. throw at maximum speed B. Use a precise, controlled throw. C. Focus on consistency and accuracy. D. For longer rolls, use a side shot.</t>
  </si>
  <si>
    <t>Ihr Gegner liegt vorne und die Ziellinie ist nah. Was ist Ihre beste Chance, aufzuholen?</t>
  </si>
  <si>
    <t>A. Mit maximaler Geschwindigkeit werfen B. Verwenden Sie einen präzisen, kontrollierten Wurf C. Konzentrieren Sie sich auf Konsistenz und Genauigkeit D. Verwenden Sie für längere Rollen einen seitlichen Schuss</t>
  </si>
  <si>
    <t>Verwenden Sie einen präzisen, kontrollierten Wurf</t>
  </si>
  <si>
    <t>Ein kontrollierter Wurf sorgt für Konstanz und hilft, die Lücke fehlerfrei zu schließen.</t>
  </si>
  <si>
    <t>A. Throw harder against the wind. B. Adjust your target to compensate for the wind. C. Keep throwing straight ahead D. Throw at maximum speed</t>
  </si>
  <si>
    <t>Sie wollen einen weiten Wurf machen, aber der Wind weht stark. Wie erklären Sie sich das?</t>
  </si>
  <si>
    <t>A. Wirf stärker gegen den Wind B. Passen Sie Ihr Ziel an, um den Wind auszugleichen C. Wirf weiter geradeaus D. Werfen Sie mit maximaler Geschwindigkeit</t>
  </si>
  <si>
    <t>Wenn Sie Ihr Ziel anpassen, können Sie den Auswirkungen des Windes entgegenwirken.</t>
  </si>
  <si>
    <t>A. Throw harder to regain control. B. Slow down your throw and adjust your aim. C. Aim for the outside of the curve D. Keep your throw straight and hope for the best.</t>
  </si>
  <si>
    <t>Der Ball nähert sich einer scharfen Kurve, aber Sie haben die Kontrolle verloren. Was ist Ihr bester Schachzug?</t>
  </si>
  <si>
    <t>A. Wirf härter, um die Kontrolle wiederzugewinnen B. Verlangsamen Sie Ihren Wurf und korrigieren Sie Ihr Ziel C. Zielen Sie auf die Außenseite der Kurve D. Halten Sie Ihren Wurf gerade und hoffen Sie auf das Beste</t>
  </si>
  <si>
    <t>Verlangsamen Sie Ihren Wurf und korrigieren Sie Ihr Ziel</t>
  </si>
  <si>
    <t>Wenn Sie langsamer fahren, können Sie die Kontrolle wiedererlangen und sicher durch die Kurve navigieren.</t>
  </si>
  <si>
    <t>A. throw with maximum force B. Controlled throw for constant speed C. Throw hard and fast to gain distance. D. Use a high throw for greater coverage</t>
  </si>
  <si>
    <t>Sie befinden sich in einem Rennen und stehen kurz davor, eine lange Strecke ohne Hindernisse zurückzulegen. Was ist Ihre Strategie?</t>
  </si>
  <si>
    <t>A. Mit maximaler Kraft werfen B. Kontrollierter Wurf für konstante Geschwindigkeit C. Wirf hart und schnell, um Distanz zu gewinnen D. Verwenden Sie einen hohen Wurf für eine größere Abdeckung</t>
  </si>
  <si>
    <t>Kontrollierter Wurf für konstante Geschwindigkeit</t>
  </si>
  <si>
    <t>Kontrollierte Würfe helfen dabei, über weite Strecken ein konstantes Tempo beizubehalten.</t>
  </si>
  <si>
    <t>A. Aim for the far side of the track B. Use a side throw to keep it under control. C. To prevent this, throw at maximum speed. D. Aim straight ahead and hope for the best.</t>
  </si>
  <si>
    <t>Ihr Ball nähert sich dem Rand der Bahn. Wie verhindern Sie, dass es ins Aus geht?</t>
  </si>
  <si>
    <t>A. Zielen Sie auf die am weitesten entfernte Seite der Strecke B. Benutze einen Seitenwurf, um es in Grenzen zu halten C. Um dies zu verhindern, werfen Sie mit maximaler Geschwindigkeit D. Zielen Sie geradeaus und hoffen Sie auf das Beste</t>
  </si>
  <si>
    <t>Benutze einen Seitenwurf, um es in Grenzen zu halten</t>
  </si>
  <si>
    <t>Ein Seitenwurf stellt sicher, dass der Ball innerhalb der Bahngrenzen bleibt.</t>
  </si>
  <si>
    <t>A. Use a quick, powerful throw to eliminate them. B. Throw with precision to avoid obstacles. C. Use a side throw to avoid the obstacles. D. Ignore the obstacles and throw normally.</t>
  </si>
  <si>
    <t>Die vor uns liegende Strecke ist schmal und voller Hindernisse. Was ist die beste Strategie?</t>
  </si>
  <si>
    <t>A. Benutze einen schnellen, kraftvollen Wurf, um sie zu beseitigen B. Werfen Sie mit Präzision, um Hindernissen auszuweichen C. Verwenden Sie einen Seitenwurf, um den Hindernissen auszuweichen D. Ignorieren Sie die Hindernisse und werfen Sie normal</t>
  </si>
  <si>
    <t>Werfen Sie mit Präzision, um Hindernissen auszuweichen</t>
  </si>
  <si>
    <t>Präzision hilft, Hindernissen auszuweichen und gleichzeitig die Kontrolle zu behalten.</t>
  </si>
  <si>
    <t>A. throw with maximum force B. Cast in a controlled manner and adjust to the wind. C. Throw high to overcome all obstacles D. Throw quickly to overcome the wind.</t>
  </si>
  <si>
    <t>Sie müssen windige Bedingungen einwerfen. Was ist der beste Ansatz?</t>
  </si>
  <si>
    <t>A. Mit maximaler Kraft werfen B. Kontrolliert werfen und auf den Wind einstellen C. Hoch werfen, um alle Hindernisse zu überwinden D. Wirf schnell, um den Wind zu überwinden</t>
  </si>
  <si>
    <t>Kontrolliert werfen und auf den Wind einstellen</t>
  </si>
  <si>
    <t>Die Anpassung an den Wind hilft, den Ball auf Kurs zu halten und verringert das Abdriften.</t>
  </si>
  <si>
    <t>A. Aim for the middle of the track B. Navigate through the gap with a curved throw. C. Throw with maximum force to avoid the boundary. D. Let the ball roll and hope for the best.</t>
  </si>
  <si>
    <t>Sie nähern sich einer Kurve mit einer kleinen Lücke zur Begrenzung. Wie gehen Sie mit der Situation um?</t>
  </si>
  <si>
    <t>A. Zielen Sie auf die Mitte der Strecke B. Navigieren Sie mit einem gekrümmten Wurf durch die Lücke C. Werfen Sie mit maximaler Kraft, um der Grenze auszuweichen D. Lassen Sie den Ball rollen und hoffen Sie auf das Beste</t>
  </si>
  <si>
    <t>Navigieren Sie mit einem gekrümmten Wurf durch die Lücke</t>
  </si>
  <si>
    <t>Ein gebogener Wurf hilft Ihnen, sicher durch enge Räume in der Nähe der Grenze zu navigieren.</t>
  </si>
  <si>
    <t>A. Throw with maximum force to get through. B. Use a controlled throw to control the speed. C. Increase the angle to jump over it. D. Throw harder to maintain momentum.</t>
  </si>
  <si>
    <t>Ihr Ball rollt langsam auf einen nassen Bodenfleck zu. Wie stellen Sie sich ein?</t>
  </si>
  <si>
    <t>A. Werfen Sie mit maximaler Kraft, um durchzukommen B. Verwenden Sie einen kontrollierten Wurf, um die Geschwindigkeit zu kontrollieren C. Erhöhen Sie den Winkel, um darüber hinwegzuspringen D. Wirf härter, um den Schwung beizubehalten</t>
  </si>
  <si>
    <t>Verwenden Sie einen kontrollierten Wurf, um die Geschwindigkeit zu kontrollieren</t>
  </si>
  <si>
    <t>Ein kontrollierter Wurf hilft dabei, die Ballgeschwindigkeit aufrechtzuerhalten, ohne die Kontrolle auf nassem Boden zu verlieren.</t>
  </si>
  <si>
    <t>A. throw with maximum force B. Focus on accuracy and consistency C. Throw quickly to finish quickly. D. Aim for the furthest side to ensure distance.</t>
  </si>
  <si>
    <t>Sie haben den letzten Abschnitt des Spiels erreicht. Wie gehst du an deinen letzten Wurf heran?</t>
  </si>
  <si>
    <t>A. Mit maximaler Kraft werfen B. Konzentrieren Sie sich auf Genauigkeit und Konsistenz C. Wirf schnell, um schnell fertig zu werden D. Zielen Sie auf die entfernteste Seite, um Abstand zu gewährleisten</t>
  </si>
  <si>
    <t>Konzentrieren Sie sich auf Genauigkeit und Konsistenz</t>
  </si>
  <si>
    <t>Genauigkeit stellt sicher, dass Sie das Rennen reibungslos und ohne Fehler beenden.</t>
  </si>
  <si>
    <t>A. Increase your throwing speed B. Use a slower, more controlled throw. C. Aim sideways to avoid the slope. D. Use a steep throw</t>
  </si>
  <si>
    <t>Die Strecke weist eine Steigung auf. Wie modifizieren Sie Ihren Wurf, um ihn anzupassen?</t>
  </si>
  <si>
    <t>A. Erhöhen Sie Ihre Wurfgeschwindigkeit B. Verwenden Sie einen langsameren, kontrollierten Wurf C. Zielen Sie auf die Seite, um der Steigung auszuweichen D. Verwenden Sie einen steilen Wurf</t>
  </si>
  <si>
    <t>Verwenden Sie einen langsameren, kontrollierten Wurf</t>
  </si>
  <si>
    <t>Wenn Sie Ihren Wurf verlangsamen, behalten Sie die Kontrolle, wenn der Ball bergauf geht.</t>
  </si>
  <si>
    <t>A. Throw hard to get past it. B. Aim at the stone and hope it bounces off. C. Use a side throw to dodge the stone. D. Throw at maximum speed to clear it.</t>
  </si>
  <si>
    <t>Ihr Ball nähert sich einem spitzen Stein auf der Bahn. Was ist die beste Strategie?</t>
  </si>
  <si>
    <t>A. Wirf hart, um daran vorbeizukommen B. Zielen Sie auf den Stein und hoffen Sie, dass er abprallt C. Verwenden Sie einen Seitenwurf, um dem Stein auszuweichen D. Werfen Sie mit maximaler Geschwindigkeit, um es zu löschen</t>
  </si>
  <si>
    <t>Verwenden Sie einen Seitenwurf, um den Stein zu vermeiden</t>
  </si>
  <si>
    <t>Ein Seitenwurf hält den Ball davon ab, den Felsen zu schlagen und Geschwindigkeit zu verlieren.</t>
  </si>
  <si>
    <t>A. Throw harder to get past it. B. Use a gentle, controlled throw. C. Throw up to clear the dip D. Pull the side to avoid it.</t>
  </si>
  <si>
    <t>Der Ball geht zu einem flachen Bad in den Boden. Wie passen Sie Ihren Wurf an?</t>
  </si>
  <si>
    <t>A. Werfen Sie härter, um daran vorbei zu kommen B. Verwenden Sie einen sanften, kontrollierten Wurf C. Wirf hoch, um den Dip zu löschen D. Ziehen Sie die Seite an, um sie zu vermeiden</t>
  </si>
  <si>
    <t>Ein sanfter Wurf hilft Ihnen dabei, die Kontrolle zu behalten, wenn Sie ungleichmäßigen Boden überqueren.</t>
  </si>
  <si>
    <t>A. throw with maximum force B. Adjust your target to compensate for the wind. C. Keep throwing straight ahead D. Speed ​​up your throw to avoid the wind.</t>
  </si>
  <si>
    <t>Der Wind ist gegen Ihren Wurf gebohrt. Wie verhindern Sie, dass Sie Ihren Schuss stören?</t>
  </si>
  <si>
    <t>A. Mit maximaler Kraft werfen B. Passen Sie Ihr Ziel an, den Wind auszugleichen C. Wirf weiter geradeaus D. Beschleunigen Sie Ihren Wurf, um den Wind zu vermeiden</t>
  </si>
  <si>
    <t>Passen Sie Ihr Ziel an, den Wind auszugleichen</t>
  </si>
  <si>
    <t>Das Anpassen Ihres Ziels stellt sicher, dass der Ball trotz Böen auf Kurs bleibt.</t>
  </si>
  <si>
    <t>A. Throw harder to correct it. B. Aim for the middle of the track to steer it back. C. Use a curved throw to get it back on track. D. Let it roll and hope for the best.</t>
  </si>
  <si>
    <t>Die letzte Strecke ist ein gerader Weg, aber Ihr Ball rollt vom Kurs ab. Was machst du?</t>
  </si>
  <si>
    <t>A. Werfen Sie härter, um es zu korrigieren B. Zielen Sie auf die Mitte der Strecke ab, um sie zurück zu steuern C. Verwenden Sie einen gekrümmten Wurf, um ihn wieder auf den richtigen Weg zu bringen D. Lass es rollen und hoffen auf das Beste</t>
  </si>
  <si>
    <t>Zielen Sie auf die Mitte der Strecke ab, um sie zurück zu steuern</t>
  </si>
  <si>
    <t>Das Ziel des Zentrums hilft den Ball wieder auf Kurs.</t>
  </si>
  <si>
    <t>A. To toughen up in order to carry out B. Use a controlled, precise throw. C. Target on the side of the track D. Throw faster to overcome the mud.</t>
  </si>
  <si>
    <t>Die Strecke ist nach dem Regen schlammig und Ihr Ball verliert den Schwung. Wie passen Sie Ihren Wurf an?</t>
  </si>
  <si>
    <t>A. Sich härter machen, um durchzuführen B. Verwenden Sie einen kontrollierten, präzisen Wurf C. Ziel auf die Seite der Strecke D. Wirf schneller, um den Schlamm zu überwinden</t>
  </si>
  <si>
    <t>Ein kontrollierter Wurf verhindern, dass der Ball bei schlammigen Bedingungen zu viel Geschwindigkeit verliert.</t>
  </si>
  <si>
    <t>A. Slow down and take the curve carefully. B. Accelerate to maintain your lead C. Ignore the turn and aim straight ahead. D. Use a high arc to erase it.</t>
  </si>
  <si>
    <t>Sie sind an der Spitze, nähern sich aber einer schwierigen Wendung. Was ist Ihre Strategie?</t>
  </si>
  <si>
    <t>A. Verlangsamen Sie und nehmen Sie die Kurve vorsichtig ab B. Beschleunigen Sie, um Ihren Vorsprung beizubehalten C. Ignoriere die Wende und ziele gerade D. Verwenden Sie einen hohen Bogen, um es zu löschen</t>
  </si>
  <si>
    <t>Verlangsamen Sie und nehmen Sie die Kurve vorsichtig ab</t>
  </si>
  <si>
    <t>Verlangsamung stellt sicher, dass Sie die Kurve bewältigen können, ohne die Kontrolle zu verlieren.</t>
  </si>
  <si>
    <t>A. Throw hard to clear the curve. B. Use a curved throw to navigate it. C. The goal is the furthest D. Try to throw in a straight line</t>
  </si>
  <si>
    <t>Ihr Ball nähert sich einer scharfen Kurve und Sie müssen eine schnelle Entscheidung treffen. Was machst du?</t>
  </si>
  <si>
    <t>A. Wirf hart, um die Kurve zu räumen B. Verwenden Sie einen gekrümmten Wurf, um ihn zu navigieren C. Ziel ist die am weitesten D. Versuchen Sie, eine gerade Linie einzuwerfen</t>
  </si>
  <si>
    <t>Verwenden Sie einen gekrümmten Wurf, um ihn zu navigieren</t>
  </si>
  <si>
    <t>Ein gebogener Wurf hilft, scharfe Kurven zu navigieren, ohne die Kontrolle zu verlieren.</t>
  </si>
  <si>
    <t>A. Throw hard to counter the wind. B. Adjust your target to take the wind into account. C. Throw it straight and hope it stays on the right track. D. Throw quickly to avoid the wind.</t>
  </si>
  <si>
    <t>Der Wind weht von der Seite und lässt Ihren Ball driften. Was ist Ihre beste Strategie?</t>
  </si>
  <si>
    <t>A. Wirf hart, um dem Wind entgegenzuwirken B. Passen Sie Ihr Ziel an, den Wind zu berücksichtigen C. Werfen Sie gerade und hoffe, es bleibt auf dem richtigen Weg D. Wurf schnell, um den Wind zu vermeiden</t>
  </si>
  <si>
    <t>Passen Sie Ihr Ziel an, den Wind zu berücksichtigen</t>
  </si>
  <si>
    <t>Wenn Sie Ihr Ziel einstellen, können Sie den Effekten des Windes entgegenwirken und den Ball auf der Strecke halten.</t>
  </si>
  <si>
    <t>A. Aim for the middle of the route B. Turn over quickly to finish quickly. C. Use a curved throw to stay on track. D. Keep your throw straight</t>
  </si>
  <si>
    <t>Die Ziellinie ist in Sicht, aber die Strecke ist eng. Was ist Ihre beste Vorgehensweise?</t>
  </si>
  <si>
    <t>A. Ziel auf die Mitte der Strecke B. Wirf schnell um, um schnell fertig zu werden C. Verwenden Sie einen gekrümmten Wurf, um auf der Spur zu bleiben D. Halten Sie Ihren Wurf gerade</t>
  </si>
  <si>
    <t>Verwenden Sie einen gekrümmten Wurf, um auf der Spur zu bleiben</t>
  </si>
  <si>
    <t>Ein gebogener Wurf hilft Ihnen, in der schmalen Spur zu bleiben und Strafen zu vermeiden.</t>
  </si>
  <si>
    <t>A. throw at maximum speed B. Use a controlled, precise throw. C. The goal is to reach the center and remove the obstacles. D. Throw it high to avoid them.</t>
  </si>
  <si>
    <t>Ihr Ball nähert sich einem schmalen Abschnitt der Strecke mit Hindernissen voraus. Was sollten Sie tun?</t>
  </si>
  <si>
    <t>A. Mit maximaler Geschwindigkeit werfen B. Verwenden Sie einen kontrollierten, präzisen Wurf C. Ziel ist die Mitte, die Hindernisse zu beseitigen D. Wirf hoch, um sie zu vermeiden</t>
  </si>
  <si>
    <t>Ein kontrollierter, präziser Wurf vermeidet Hindernisse und hält den Ball auf Kurs.</t>
  </si>
  <si>
    <t>A. Throw harder to regain speed. B. Use a high-arc throw to cover more distance. C. throw with maximum force D. Aim for the middle of the route</t>
  </si>
  <si>
    <t>Du bist nahe am Ende und dein Ball rollt zu langsam. Wie beheben Sie das?</t>
  </si>
  <si>
    <t>A. Werfen Sie härter, um die Geschwindigkeit wiederzugewinnen B. Verwenden Sie einen High-Bogen-Wurf, um mehr Entfernung abzudecken C. Mit maximaler Kraft werfen D. Ziel auf die Mitte der Strecke</t>
  </si>
  <si>
    <t>Werfen Sie härter, um die Geschwindigkeit wiederzugewinnen</t>
  </si>
  <si>
    <t>Härteres Werfen hilft dabei, den notwendigen Dynamik aufzubauen, um stark zu werden.</t>
  </si>
  <si>
    <t>A. Throw harder to regain speed. B. Pull C. Throw with less force to control it. D. Increase the angle of your throw</t>
  </si>
  <si>
    <t>Ihr Ball verlangsamt sich auf einem langen Abschnitt aus flachem Gelände. Was machst du?</t>
  </si>
  <si>
    <t>A. Werfen Sie härter, um die Geschwindigkeit wiederzugewinnen B. Ziehen C. Werfen Sie mit weniger Kraft, um es zu kontrollieren D. Erhöhen Sie den Winkel Ihres Wurfs</t>
  </si>
  <si>
    <t>Härter zu werfen hilft, den Ball nach vorne zu schieben und die Reibung zu überwinden.</t>
  </si>
  <si>
    <t>A. Use a side shot to clear the stone. B. Throw hard and hope to sort it out. C. Peel back the side of the track to avoid it. D. Let the ball hit the stone and bounce</t>
  </si>
  <si>
    <t>Sie nähern sich einer scharfen Kurve, aber im Weg ist ein großer Stein. Wie vermeiden Sie es?</t>
  </si>
  <si>
    <t>A. Verwenden Sie einen Seitenschuss, um den Stein zu räumen B. Wirf hart und hoffe, es zu klären C. Ziehen Sie die Seite der Strecke ab, um sie zu vermeiden D. Lass den Ball den Stein schlagen und springen</t>
  </si>
  <si>
    <t>Verwenden Sie einen Seitenschuss, um den Stein zu räumen</t>
  </si>
  <si>
    <t>Ein Seitenaufnahme hilft beim Navigieren nach Hindernissen und vermeidet Störungen.</t>
  </si>
  <si>
    <t>A. Throw with extra force to fight against the wind. B. Throw with a higher arc to combat the wind. C. Throw with precision to keep the ball low. D. Slow down your throw to adjust to the wind.</t>
  </si>
  <si>
    <t>Ihr Gegner hat ihren Ball nach vorne geworfen, aber es gibt einen starken Gegenwind. Wie gehen Sie damit um?</t>
  </si>
  <si>
    <t>A. Wirf mit zusätzlicher Kraft, um gegen den Wind zu kämpfen B. Mit einem höheren Bogen werfen, um den Wind zu bekämpfen C. Werfen Sie mit Präzision, um den Ball niedrig zu halten D. Verlangsamen Sie Ihren Wurf, um den Wind einzustellen</t>
  </si>
  <si>
    <t>Mit einem höheren Bogen werfen, um den Wind zu bekämpfen</t>
  </si>
  <si>
    <t>Ein höherer Bogen minimiert den Einfluss von Gegenwind, indem der Kontakt des Balls mit dem Wind verringert wird.</t>
  </si>
  <si>
    <t>A. Throw with maximum power for pushing B. Use a controlled, gentle throw. C. Increase the angle of your throw D. Throw straight ahead and hope for the best.</t>
  </si>
  <si>
    <t>Die Strecke ist klar, aber die Oberfläche ist eisig. Was ist Ihre Strategie zum Werfen?</t>
  </si>
  <si>
    <t>A. Mit maximaler Leistung zum Schieben werfen B. Verwenden Sie einen kontrollierten, sanften Wurf C. Erhöhen Sie den Winkel Ihres Wurfs D. Wirf geradeaus und hoffe auf das Beste</t>
  </si>
  <si>
    <t>Ein sanfter Wurf trägt dazu bei, die Kontrolle über die rutschige Oberfläche zu erhalten.</t>
  </si>
  <si>
    <t>A. Use a high arc to erase it. B. Throw at full speed to get past it. C. Use a side view to bypass it. D. Slow down your throw and aim carefully.</t>
  </si>
  <si>
    <t>Der Ball nähert sich einer kleinen Beule in der Strecke. Was ist der beste Weg, um damit umzugehen?</t>
  </si>
  <si>
    <t>A. Verwenden Sie einen hohen Bogen, um es zu löschen B. Wirf mit voller Geschwindigkeit, um daran vorbei zu kommen C. Verwenden Sie eine Seitenaufnahme, um es zu umgehen D. Verlangsamen Sie Ihren Wurf und zielen Sie sorgfältig ab</t>
  </si>
  <si>
    <t>Verlangsamen Sie Ihren Wurf und zielen Sie sorgfältig ab</t>
  </si>
  <si>
    <t>Die Verlangsamung hilft bei der Aufrechterhaltung der Kontrolle und verringert die Wahrscheinlichkeit, dass das Gleichgewicht über Unebenheiten verliert.</t>
  </si>
  <si>
    <t>A. Aim for the middle of the puddle B. Throw it hard to skip it. C. Take a side view to avoid this. D. Keep the ball steady and hope for the best.</t>
  </si>
  <si>
    <t>Ihr Ball ist kurz davor, eine große Pfütze zu treffen, aber Sie haben nicht viel Zeit. Was machst du?</t>
  </si>
  <si>
    <t>A. An die Mitte der Pfütze abzielen B. Wirf es hart, um es zu überspringen C. Ziehen Sie einen Seitenaufnahme an, um es zu vermeiden D. Halten Sie den Ball gerade und hoffen Sie auf das Beste</t>
  </si>
  <si>
    <t>Ziehen Sie einen Seitenaufnahme an, um es zu vermeiden</t>
  </si>
  <si>
    <t>Ein Seitenschuss hält den Ball daran, die Pfütze zu treffen, was den Geschwindigkeitsverlust verhindert.</t>
  </si>
  <si>
    <t>A. Throw harder to counteract the wind. B. Adjust your throw to aim for the side C. Throw with less force to prevent deviations. D. Change your posture to block the wind.</t>
  </si>
  <si>
    <t>Du bist mitten in einem Spiel und es gibt einen plötzlichen Windböe. Wie passen Sie sich an?</t>
  </si>
  <si>
    <t>A. Wirf härter, um dem Wind entgegenzuwirken B. Passen Sie Ihren Wurf an, um die Seite anzustreben C. Mit weniger Kraft werfen, um Abweichungen zu verhindern D. Ändern Sie Ihre Haltung, um den Wind zu blockieren</t>
  </si>
  <si>
    <t>Passen Sie Ihren Wurf an, um die Seite anzustreben</t>
  </si>
  <si>
    <t>Durch das Ziel der Seite wirkt sich dem Wind des Windes auf Ihren Ball entgegen.</t>
  </si>
  <si>
    <t>A. Throw it hard to make it happen. B. Use a side throw to bypass it. C. Throw it up to clarify. D. Aim for the gap and take the risk.</t>
  </si>
  <si>
    <t>Sie stehen vor einem schwierigen Hindernis auf der Vorderseite. Was ist Ihre beste Vorgehensweise?</t>
  </si>
  <si>
    <t>A. Wirf hart durch, um es durchzuführen B. Verwenden Sie einen Seitenwurf, um ihn zu umgehen C. Wirf hoch, um es zu klären D. Zielen Sie auf die Lücke und gehen Sie das Risiko ein</t>
  </si>
  <si>
    <t>Verwenden Sie einen Seitenwurf, um ihn zu umgehen</t>
  </si>
  <si>
    <t>Ein Seitenwurf hilft, Hindernisse zu vermeiden und eine stetige Rolle aufrechtzuerhalten.</t>
  </si>
  <si>
    <t>A. Use a high arc throw to clear them. B. Throw with more force to get over them. C. Land precisely between them D. Increase your goal to avoid the hills.</t>
  </si>
  <si>
    <t>Das Terrain vor uns ist ungleichmäßig mit mehreren kleinen Hügeln. Wie passen Sie Ihren Wurf an?</t>
  </si>
  <si>
    <t>A. Verwenden Sie einen hohen Bogenwurf, um sie zu klären B. Werfen Sie mit mehr Kraft, um über sie hinwegzukommen C. Mit Genauigkeit zwischen ihnen landen D. Erhöhen Sie Ihr Ziel, den Hügeln zu vermeiden</t>
  </si>
  <si>
    <t>Verwenden Sie einen hohen Bogenwurf, um sie zu klären</t>
  </si>
  <si>
    <t>Ein hoher Bogen hilft dem Ball, kleine Hügel und ungleichmäßiges Gelände zu klären.</t>
  </si>
  <si>
    <t>A. Throw with maximum power to build up speed B. Slow your throw to control the ball. C. Use a side throw to prevent control from being over the control. D. Throw harder to avoid triggering the trigger.</t>
  </si>
  <si>
    <t>Du rast bis zum Ziel, aber die letzte Strecke ist bergab. Wie gehen Sie damit um?</t>
  </si>
  <si>
    <t>A. Mit maximaler Leistung zum Aufbau von Geschwindigkeit werfen B. Langsame deinen Wurf, um den Ball zu kontrollieren C. Verwenden Sie einen Seitenwurf, um zu verhindern, dass die Kontrolle über die Kontrolle liegt D. Werfen Sie härter, um den Abzug zu vermeiden</t>
  </si>
  <si>
    <t>Langsame deinen Wurf, um den Ball zu kontrollieren</t>
  </si>
  <si>
    <t>Verlangsamung stellt sicher, dass Sie den Ball steuern können, wenn er die Geschwindigkeit bergab erhöht.</t>
  </si>
  <si>
    <t>A. Throw it harder to keep it on the right track. B. Use a side throw to correct its path. C. Aim for the middle of the track to steer it back. D. Throw quickly to regain control.</t>
  </si>
  <si>
    <t>Die Strecke ist gerade, aber Ihr Ball dreht sich zur Seite. Was machst du?</t>
  </si>
  <si>
    <t>A. Wirf es härter, es auf dem richtigen Weg zu halten B. Verwenden Sie einen Seitenwurf, um seinen Weg zu korrigieren C. Zielen Sie auf die Mitte der Strecke ab, um sie zurück zu steuern D. Wurf schnell, um die Kontrolle zurückzugewinnen</t>
  </si>
  <si>
    <t>Verwenden Sie einen Seitenwurf, um seinen Weg zu korrigieren</t>
  </si>
  <si>
    <t>Ein Seitenwurf passt die Richtung des Balls ein und bringt ihn wieder auf den Weg.</t>
  </si>
  <si>
    <t>A. Throw faster to get around the curve. B. Use a side throw to navigate through the curve. C. Slow down your throw and aim carefully. D. Keep your throw straight through the curve.</t>
  </si>
  <si>
    <t>Sie bemerken, dass die Spur vor uns eine scharfe Kurve hat. Was ist der beste Weg, um sich daran zu nähern?</t>
  </si>
  <si>
    <t>A. Wirf schneller, um durch die Kurve zu kommen B. Verwenden Sie einen Seitenwurf, um durch die Kurve zu navigieren C. Langsame deinen Wurf und ziele sorgfältig ab D. Halten Sie Ihren Wurf direkt durch die Kurve</t>
  </si>
  <si>
    <t>Verwenden Sie einen Seitenwurf, um durch die Kurve zu navigieren</t>
  </si>
  <si>
    <t>Ein Seitenwurf hilft dabei, scharfe Kurven sicher zu navigieren, ohne die Kontrolle zu verlieren.</t>
  </si>
  <si>
    <t>A. Throw at maximum speed to clear it. B. Use a side shot to steer around him. C. Throw higher to investigate further. D. Let the ball hit the stone and bounce</t>
  </si>
  <si>
    <t>Der Ball nähert sich einem großen Felsen. Wie vermeiden Sie es zu treffen?</t>
  </si>
  <si>
    <t>A. Werfen Sie mit maximaler Geschwindigkeit, um es zu löschen B. Verwenden Sie einen Seitenschuss, um um ihn herum zu steuern C. Werfen Sie höher, um darüber nachzugehen D. Lassen Sie den Ball den Stein schlagen und springen</t>
  </si>
  <si>
    <t>Verwenden Sie einen Seitenschuss, um um ihn herum zu steuern</t>
  </si>
  <si>
    <t>Ein Seitenaufnahme hilft, Steine ​​zu vermeiden und beizubehalten Schwung ohne Behinderung.</t>
  </si>
  <si>
    <t>A. Throw with precision to maintain control. B. Throw harder to keep the ball moving. C. Throw with a higher arc to avoid unevenness. D. Increase the speed to perform</t>
  </si>
  <si>
    <t>Der Vorgang ist eine lange, gerade Strecke, aber der Boden ist rau. Wie passen Sie Ihren Wurf an?</t>
  </si>
  <si>
    <t>A. Werfen Sie mit Präzision, um die Kontrolle aufrechtzuerhalten B. Wirf härter, um den Ball am Laufen zu halten C. Mit einem höheren Bogen werfen, um Unebenheiten zu vermeiden D. Erhöhen Sie die Geschwindigkeit, um durchzuführen</t>
  </si>
  <si>
    <t>Werfen Sie mit Präzision, um die Kontrolle aufrechtzuerhalten</t>
  </si>
  <si>
    <t>Präzision vermeiden es zu vermeiden, die Kontrolle über rauen Boden zu verlieren.</t>
  </si>
  <si>
    <t>A. Throw more gently to reduce the speed. B. Increase the incline to overcome the slope. C. Target on the side of the track D. Let the ball slow down naturally.</t>
  </si>
  <si>
    <t>Sie nähern sich einem Hügel, aber Ihr Ball rollt zu schnell. Wie verlangsamst du es?</t>
  </si>
  <si>
    <t>A. Werfen Sie weicher, um die Geschwindigkeit zu reduzieren B. Wirf die Steigung härter, um die Steigung zu überwinden C. Ziel auf die Seite der Strecke D. Lassen Sie den Ball natürlich langsam verlangsamen</t>
  </si>
  <si>
    <t>Werfen Sie weicher, um die Geschwindigkeit zu reduzieren</t>
  </si>
  <si>
    <t>Ein weicherer Wurf reduziert den Dynamik und ermöglicht es Ihnen, sich sicher den Hügel zu nähern.</t>
  </si>
  <si>
    <t>A. Throw faster to finish quickly. B. Use a controlled, accurate throw. C. Throw at maximum speed to maintain the lead. D. Make your opponent pass and throw strategically</t>
  </si>
  <si>
    <t>Die Ziellinie liegt vorne, aber Ihr Gegner ist nahe dahinter. Wie sichern Sie Ihren Sieg?</t>
  </si>
  <si>
    <t>A. Wirf schneller, um schnell fertig zu werden B. Verwenden Sie einen kontrollierten, genauen Wurf C. Wirf mit maximaler Geschwindigkeit, um den Blei aufrechtzuerhalten D. Lassen Sie Ihren Gegner passen und strategisch werfen</t>
  </si>
  <si>
    <t>Verwenden Sie einen kontrollierten, genauen Wurf</t>
  </si>
  <si>
    <t>Genauigkeit hilft, sicherzustellen, dass Sie reibungslos fertig werden und gleichzeitig Ihren Vorsprung beibehalten.</t>
  </si>
  <si>
    <t>A. Throw up to clear the gap B. Use a side throw to fit through. C. Aim for the center of the gap D. To throw oneself faster in order to push through.</t>
  </si>
  <si>
    <t>Der Ball nähert sich einer engen Lücke zwischen zwei Hindernissen. Wie navigieren Sie daran?</t>
  </si>
  <si>
    <t>A. Wirf hoch, um die Lücke zu löschen B. Verwenden Sie einen Seitenwurf, um durchzupassen C. An die Zentrum der Lücke abzielen D. Sich schneller werfen, um durchzudrücken</t>
  </si>
  <si>
    <t>Verwenden Sie einen Seitenwurf, um durchzupassen</t>
  </si>
  <si>
    <t>Ein Seitenwurf hilft, schmale Lücken zu navigieren und Hindernisse zu vermeiden.</t>
  </si>
  <si>
    <t>A. Throw harder to overcome the mud. B. Use a softer, more controlled throw. C. The goal is to reach the center in order to minimize air resistance. D. Accelerate to overcome the mud</t>
  </si>
  <si>
    <t>Das Gelände ist schlammig und Ihr Ball verliert Geschwindigkeit. Was ist Ihre beste Option?</t>
  </si>
  <si>
    <t>A. Wirf härter, um den Schlamm zu überwinden B. Verwenden Sie einen weicheren, kontrollierten Wurf C. Ziel ist das Zentrum, um den Luftwiderstand zu minimieren D. Beschleunigen, um den Schlamm zu überwinden</t>
  </si>
  <si>
    <t>Verwenden Sie einen weicheren, kontrollierten Wurf</t>
  </si>
  <si>
    <t>Ein kontrollierter Wurf hält den Ball ruhig und verhindert, dass er stecken bleibt.</t>
  </si>
  <si>
    <t>A. The goal is to stay safe in the center. B. Use a curved throw to avoid the boundary. C. Throw at maximum speed to clear it. D. Slow down to regain control</t>
  </si>
  <si>
    <t>Sie haben eine enge Ecke erreicht, und es besteht die Gefahr, eine Grenze zu erreichen. Wie vermeiden Sie es?</t>
  </si>
  <si>
    <t>A. Ziel ist das Zentrum, sicher zu bleiben B. Verwenden Sie einen gekrümmten Wurf, um die Grenze zu vermeiden C. Werfen Sie mit maximaler Geschwindigkeit, um es zu löschen D. Langsamer werden, um die Kontrolle wiederzugewinnen</t>
  </si>
  <si>
    <t>Verwenden Sie einen gekrümmten Wurf, um die Grenze zu vermeiden</t>
  </si>
  <si>
    <t>Ein gebogener Wurf hilft den Ball um Ecken und Grenzen.</t>
  </si>
  <si>
    <t>A. Throw with a higher arc to avoid dust. B. Throw at maximum power to counteract the dust. C. Use a controlled, lower throw. D. Throw harder to clear the dust.</t>
  </si>
  <si>
    <t>Die vorne Oberfläche ist extrem trocken und staubig. Wie passen Sie Ihren Wurf an, um die Kontrolle aufrechtzuerhalten?</t>
  </si>
  <si>
    <t>A. Mit einem höheren Bogen werfen, um Staub zu vermeiden B. Wirf mit maximaler Leistung, um den Staub entgegenzuwirken C. Verwenden Sie einen kontrollierten, niedrigeren Wurf D. Wirf härter, um den Staub zu räumen</t>
  </si>
  <si>
    <t>Verwenden Sie einen kontrollierten, niedrigeren Wurf</t>
  </si>
  <si>
    <t>Ein niedrigerer Wurf hilft dabei, die Kontrolle über staubige Oberflächen aufrechtzuerhalten und den Verlust der Traktion zu verhindern.</t>
  </si>
  <si>
    <t>A. Use a side throw to avoid the curves. B. Throw faster to complete them C. Use a high-bow throw to clear them. D. Slow down and navigate carefully in each round.</t>
  </si>
  <si>
    <t>Sie kommen in einem Abschnitt mit mehreren scharfen Kurven. Wie navigieren Sie das?</t>
  </si>
  <si>
    <t>A. Verwenden Sie einen Seitenwurf, um die Kurven umzugehen B. Wirf schneller, um sie durchzuführen C. Verwenden Sie einen High-Bogen-Wurf, um sie zu klären D. Verlangsamen Sie und navigieren Sie vorsichtig in jeder Runde</t>
  </si>
  <si>
    <t>Verlangsamen Sie und navigieren Sie vorsichtig in jeder Runde</t>
  </si>
  <si>
    <t>Durch die Verlangsamung können Sie die Kontrolle behalten und sich sicher navigieren.</t>
  </si>
  <si>
    <t>A. Throw with maximum force to counteract the wind. B. Adjust your target to compensate for the wind. C. Throw faster to escape the wind. D. throw straight ahead</t>
  </si>
  <si>
    <t>Der Wind nimmt auf und Ihr Ball treibt den Kurs ab. Was machst du?</t>
  </si>
  <si>
    <t>A. Mit maximaler Kraft werfen, um dem Wind entgegenzuwirken B. Passen Sie Ihr Ziel an, den Wind auszugleichen C. Wirf schneller, um den Wind zu entkommen D. Werfen Sie weiter gerade</t>
  </si>
  <si>
    <t>Das Anpassen Ihres Ziels sorgt dafür, dass der Ball trotz des Windes auf Kurs bleibt.</t>
  </si>
  <si>
    <t>A. Throw faster to make the curve faster. B. Use a side throw to navigate through the curve. C. Slow down and aim carefully for the turn. D. Keep your throw straight to drift</t>
  </si>
  <si>
    <t>Die Ziellinie ist in der Nähe, aber es gibt eine scharfe Wendung. Wie gehen Sie vor?</t>
  </si>
  <si>
    <t>A. Wirf schneller, um die Kurve schneller zu machen B. Verwenden Sie einen Seitenwurf, um durch die Kurve zu navigieren C. Verlangsamen und vorsichtig auf die Wendung abzielen D. Halten Sie Ihren Wurf gerade, um zu drifteten</t>
  </si>
  <si>
    <t>Ein Seitenwurf hilft Ihnen, das Driften zu vermeiden und die scharfe Wendung erfolgreich zu machen.</t>
  </si>
  <si>
    <t>A. Pull on the correct side to correct it. B. Throw harder to regain control C. Use a side view to steer it back on course. D. Cast in a high arc to avoid obstacles.</t>
  </si>
  <si>
    <t>Die Strecke ist klar, aber Ihr Ball dreht sich nach links. Was machst du?</t>
  </si>
  <si>
    <t>A. Ziehen Sie die richtige Seite an, um sie zu korrigieren B. Härter werfen, um die Kontrolle zurückzugewinnen C. Verwenden Sie einen Seitenaufnahme, um es auf Kurs zurückzusteuern D. Werfen Sie einen hohen Bogen ein, um Hindernisse zu vermeiden</t>
  </si>
  <si>
    <t>Verwenden Sie einen Seitenaufnahme, um es auf Kurs zurückzusteuern</t>
  </si>
  <si>
    <t>Ein Seitenaufnahme hilft Ihnen, die Kontrolle wiederzugewinnen und den Ball auf der Strecke zu halten.</t>
  </si>
  <si>
    <t>A. Use a high arc throw to clear the obstacles. B. Throw with precision to navigate the obstacles. C. Use maximum speed to perform D. Throw quietly to avoid disturbing the obstacles.</t>
  </si>
  <si>
    <t>Sie nähern sich der letzten Strecke, aber die Strecke ist eng und voller Hindernisse. Wie gehen Sie damit um?</t>
  </si>
  <si>
    <t>A. Verwenden Sie einen hohen Bogenwurf, um die Hindernisse zu beseitigen B. Werfen Sie mit Präzision, um die Hindernisse zu navigieren C. Verwenden Sie die maximale Geschwindigkeit, um durchzuführen D. Werfen Sie leise, um zu vermeiden, die Hindernisse zu stören</t>
  </si>
  <si>
    <t>Werfen Sie mit Präzision, um die Hindernisse zu navigieren</t>
  </si>
  <si>
    <t>Präzision hilft, Hindernisse zu vermeiden und einen stetigen Verlauf aufrechtzuerhalten.</t>
  </si>
  <si>
    <t>A. Throw with more force to achieve a straight path. B. Use a page margin to correct the path. C. Throw higher to remove larger stains. D. Slow down and adjust your target carefully.</t>
  </si>
  <si>
    <t>Die Strecke ist rau und der Ball rollt nicht gerade. Was ist Ihre Strategie?</t>
  </si>
  <si>
    <t>A. Wirf mit mehr Kraft, um einen geraden Weg zu bekommen B. Verwenden Sie einen Seitenaufschlag, um den Pfad zu korrigieren C. Werfen Sie höher, um grobe Flecken zu löschen D. Verlangsamen Sie und passen Sie Ihr Ziel sorgfältig an</t>
  </si>
  <si>
    <t>Verwenden Sie einen Seitenaufschlag, um den Pfad zu korrigieren</t>
  </si>
  <si>
    <t>Ein Seitenaufnahme hilft, den Ball wieder in eine geraden Linie zu bringen.</t>
  </si>
  <si>
    <t>A. Throw with maximum force to clear it. B. Use a controlled, soft throw to maintain speed. C. Pull the side to avoid it. D. Slow down to regain control</t>
  </si>
  <si>
    <t>Der Ball geht auf einen schlammigen Fleck zu. Was sollten Sie tun?</t>
  </si>
  <si>
    <t>A. Werfen Sie mit maximaler Kraft, um es zu klären B. Verwenden Sie einen kontrollierten, weichen Wurf, um die Geschwindigkeit aufrechtzuerhalten C. Ziehen Sie die Seite an, um sie zu vermeiden D. Langsamer werden, um die Kontrolle wiederzugewinnen</t>
  </si>
  <si>
    <t>Verwenden Sie einen kontrollierten, weichen Wurf, um die Geschwindigkeit aufrechtzuerhalten</t>
  </si>
  <si>
    <t>Ein weicher Wurf hilft, die Kontrolle zu behalten und zu verhindern, dass der Ball im Schlamm stecken bleibt.</t>
  </si>
  <si>
    <t>A. Throw harder to move faster. B. Use a side throw to maintain control. C. Slow down your throw and regain accuracy. D. Throw directly to avoid deviations.</t>
  </si>
  <si>
    <t>Ihr Gegner holt auf. Was ist der beste Weg, um Ihren Vorsprung aufrechtzuerhalten?</t>
  </si>
  <si>
    <t>A. Werfen Sie härter, um schnell voranzukommen B. Verwenden Sie einen Seitenwurf, um die Kontrolle zu behalten C. Verlangsamen Sie Ihren Wurf und wiedererlangen Sie die Genauigkeit wieder D. Wirf direkt, um Abweichungen zu vermeiden</t>
  </si>
  <si>
    <t>Verwenden Sie einen Seitenwurf, um die Kontrolle zu behalten</t>
  </si>
  <si>
    <t>Ein Seitenwurf hilft Ihnen, Ihre Führung beizubehalten, indem Sie sicherstellen, dass der Ball auf dem richtigen Weg bleibt.</t>
  </si>
  <si>
    <t>A. Throw it more gently to slow it down. B. Aim for the middle of the route C. Throw hard to counteract the downward velocity. D. Use a side throw to prevent yourself from going off course.</t>
  </si>
  <si>
    <t>Das Gelände ist hügelig und Ihr Ball rollt schnell bergab. Wie kontrollierst du es?</t>
  </si>
  <si>
    <t>A. Wirf weicher, um es zu verlangsamen B. Ziel auf die Mitte der Strecke C. Wirf hart, um der Abwärtsgeschwindigkeit entgegenzuwirken D. Verwenden Sie einen Seitenwurf, um zu verhindern, dass Sie vom Weg gehen</t>
  </si>
  <si>
    <t>Wirf weicher, um es zu verlangsamen</t>
  </si>
  <si>
    <t>Ein weicherer Wurf hilft, die Kontrolle über das Gelände zurückzugewinnen und verhindert, dass der Ball von der Spur abweist.</t>
  </si>
  <si>
    <t>A. Throw with precision to avoid obstacles. B. Increase the speed of your throw to avoid getting stuck. C. Aim for the edges to avoid obstacles. D. Quickly delete the section and then delete it quickly.</t>
  </si>
  <si>
    <t>Sie kommen auf einen schmalen Abschnitt der Strecke mit wenig Platz auf beiden Seiten. Was machst du?</t>
  </si>
  <si>
    <t>A. Mit Präzision werfen, um Hindernisse zu vermeiden B. Erhöhen Sie die Geschwindigkeit Ihres Wurfs, um zu vermeiden, dass Sie stecken bleiben C. Zielen Sie auf die Kanten ab, um Hindernisse zu vermeiden D. Wirf den Abschnitt schnell und löschen Sie schnell</t>
  </si>
  <si>
    <t>Mit Präzision werfen, um Hindernisse zu vermeiden</t>
  </si>
  <si>
    <t>Präzision hilft, schmale Abschnitte zu navigieren und Störungen durch umgebende Objekte zu vermeiden.</t>
  </si>
  <si>
    <t>A. Throw harder to avoid slipping. B. Use a side view to maintain balance. C. Throw gently to avoid slipping. D. The goal is to reach the center and maintain a grip.</t>
  </si>
  <si>
    <t>Das Gelände ist nass und rutschig nach dem Regen. Wie passen Sie Ihren Wurf an?</t>
  </si>
  <si>
    <t>A. Werfen Sie härter, um zu vermeiden, um zu rutschen B. Verwenden Sie einen Seitenaufnahme, um das Gleichgewicht zu halten C. Wirf sanft, um zu vermeiden, zu gleiten D. Ziel ist das Zentrum, den Griff aufrechtzuerhalten</t>
  </si>
  <si>
    <t>Wirf sanft, um zu vermeiden, zu gleiten</t>
  </si>
  <si>
    <t>Ein weicherer Wurf stellt sicher, dass der Ball unter nassen Bedingungen nicht unkontrolliert rutscht.</t>
  </si>
  <si>
    <t>A. Throw more slowly to control it. B. Throw harder to maintain speed. C. Let the ball slow down naturally. D. Throw higher to increase friction.</t>
  </si>
  <si>
    <t>Sie nähern sich einem steilen Hügel und Ihr Ball geht zu schnell. Wie verlangsamst du es?</t>
  </si>
  <si>
    <t>A. Wirf langsamer, um es zu kontrollieren B. Werfen Sie härter, um die Geschwindigkeit aufrechtzuerhalten C. Lassen Sie den Ball natürlich langsamer werden D. Werfen Sie höher, um die Reibung zu erhöhen</t>
  </si>
  <si>
    <t>Wirf langsamer, um es zu kontrollieren</t>
  </si>
  <si>
    <t>Ein langsamerer Wurf hilft, die Kontrolle zu behalten und verhindert, dass der Ball zu schnell bergab rollt.</t>
  </si>
  <si>
    <t>A. Throw with maximum power to cut through. B. Use a side throw to navigate through it. C. Slow down and aim carefully. D. Throw it up to clear the corner</t>
  </si>
  <si>
    <t>Sie sind auf einer schmalen Strecke und es steht eine scharfe Ecke vor sich. Wie gehen Sie vor?</t>
  </si>
  <si>
    <t>A. Mit maximaler Leistung zum Durchschneiden werfen B. Verwenden Sie einen Seitenwurf, um durch ihn zu navigieren C. Verlangsamen und sorgfältig zielen D. Wirf hoch, um die Ecke zu klären</t>
  </si>
  <si>
    <t>Verwenden Sie einen Seitenwurf, um durch ihn zu navigieren</t>
  </si>
  <si>
    <t>Ein Seitenwurf vermeidet scharfe Ecken und hält den Ball auf der Strecke.</t>
  </si>
  <si>
    <t>A. Throw faster to perform B. Use a higher arc to reduce friction. C. Slow your throw to maintain control. D. Aim for a side path to avoid gravel.</t>
  </si>
  <si>
    <t>Die Strecke ist mit Kies bedeckt, und Ihr Ball verliert an Dynamik. Was machst du?</t>
  </si>
  <si>
    <t>A. Schneller werfen, um durchzuführen B. Verwenden Sie einen höheren Bogen, um die Reibung zu verringern C. Langsame deinen Wurf, um die Kontrolle zu behalten D. Streben Sie einen Seitenweg an, um Kies zu vermeiden</t>
  </si>
  <si>
    <t>Langsame deinen Wurf, um die Kontrolle zu behalten</t>
  </si>
  <si>
    <t>Durch die Verlangsamung können Sie es vermeiden, die Kontrolle über raue, kiesige Oberflächen zu verlieren.</t>
  </si>
  <si>
    <t>A. The goal is to reach the center and pass it. B. Throw with more force to avoid it. C. Use a side shot to steer around him. D. Let the ball hit and hope for a bounce.</t>
  </si>
  <si>
    <t>Sie sind kurz davor, einen großen Stein auf der Strecke zu treffen. Was ist Ihr bester Schritt?</t>
  </si>
  <si>
    <t>A. Ziel ist das Zentrum, es zu bestehen B. Werfen Sie mit mehr Kraft, um es zu vermeiden C. Verwenden Sie einen Seitenschuss, um um ihn herum zu steuern D. Lassen Sie den Ball schlagen und hoffen auf einen Sprung</t>
  </si>
  <si>
    <t>Ein Seitenaufnahme hilft Ihnen, Hindernisse zu vermeiden und einen glatteren Weg aufrechtzuerhalten.</t>
  </si>
  <si>
    <t>A. Throw with a higher arc to avoid this. B. Throw with more speed to make your mark. C. Pull the center to clear it smoothly. D. Throw with precision to avoid misalignment.</t>
  </si>
  <si>
    <t>Der Ball nähert sich einer kleinen Beule in der Strecke. Was tun Sie, um die Kontrolle aufrechtzuerhalten?</t>
  </si>
  <si>
    <t>A. Werfen Sie mit einem höheren Bogen, um es zu vermeiden B. Wirf mit mehr Geschwindigkeit, um durchzusetzen C. Ziehen Sie das Zentrum an, um es reibungslos zu klären D. Mit Genauigkeit werfen, um eine Fehlausrichtung zu vermeiden</t>
  </si>
  <si>
    <t>Mit Genauigkeit werfen, um eine Fehlausrichtung zu vermeiden</t>
  </si>
  <si>
    <t>Mit Präzision können Sie kleine Beulen bewältigen, ohne den Weg Ihres Balls zu stören.</t>
  </si>
  <si>
    <t>A. Throw harder to bring it back. B. Use a side throw to straighten it. C. Aim higher to avoid the curve. D. Throw more softly to adjust its trajectory.</t>
  </si>
  <si>
    <t>Es kommt eine Kurve an, und Ihr Ball dreht sich zu sehr zur Seite. Wie passen Sie sich an?</t>
  </si>
  <si>
    <t>A. Wirf härter, um es zurückzubringen B. Verwenden Sie einen Seitenwurf, um es zu begradigen C. Zielen Sie höher, um die Kurve zu vermeiden D. Werfen Sie weicher, um seine Flugbahn anzupassen</t>
  </si>
  <si>
    <t>Verwenden Sie einen Seitenwurf, um es zu begradigen</t>
  </si>
  <si>
    <t>Ein Seitenwurf hilft, die Richtung des Balls zu korrigieren und ihn auf dem Laufenden zu halten.</t>
  </si>
  <si>
    <t>A. Throw harder to get it back B. Use a side turn to adjust its path C. Aim for the edge of the track D. Slow down and aim carefully.</t>
  </si>
  <si>
    <t>Das Gelände ist reibungslos, aber Ihr Ball treibt den Kurs ab. Was ist Ihre Strategie, um die Kontrolle zurückzugewinnen?</t>
  </si>
  <si>
    <t>A. Wirf härter, um es zurückzubekommen B. Verwenden Sie einen Seitenaufschlag, um seinen Weg anzupassen C. Zielen Sie auf die Kante der Strecke D. Verlangsamen und sorgfältig zielen</t>
  </si>
  <si>
    <t>Verwenden Sie einen Seitenaufschlag, um seinen Weg anzupassen</t>
  </si>
  <si>
    <t>Ein Seitenaufnahme hilft, die Kontrolle wiederzugewinnen und den Ball wieder in seine beabsichtigte Richtung zu lenken.</t>
  </si>
  <si>
    <t>A. Use a high arc to erase it. B. Slow down your throw and aim carefully. C. Flip it over faster to skip it D. Aim for the puddle.</t>
  </si>
  <si>
    <t>Sie nähern sich einer großen Pfütze auf der Strecke. Wie navigieren Sie damit?</t>
  </si>
  <si>
    <t>A. Verwenden Sie einen hohen Bogen, um es zu löschen B. Langsame deinen Wurf und ziele sorgfältig ab C. Wirf schneller um, um es überspringen D. Anstreben Sie die Pfütze</t>
  </si>
  <si>
    <t>Langsame deinen Wurf und ziele sorgfältig ab</t>
  </si>
  <si>
    <t>Das Verlangsamen hilft, zu verhindern, dass der Ball spritzt oder den Schwung in der Pfütze verliert.</t>
  </si>
  <si>
    <t>A. Peel back the inner edge to cut the corner. B. Use a side throw to clear the corner. C. Throw with extra force to move forward. D. Slow down and steer carefully</t>
  </si>
  <si>
    <t>Ihr Ball nähert sich einer scharfen Ecke mit begrenzter Sicht. Wie bereiten Sie sich vor?</t>
  </si>
  <si>
    <t>A. Ziehen Sie die Innenkante ab, um die Ecke zu schneiden B. Verwenden Sie einen Seitenwurf, um die Ecke zu klären C. Werfen Sie mit zusätzlicher Kraft, um sich fortzubewegen D. Langsamer werden und vorsichtig steuern</t>
  </si>
  <si>
    <t>Verwenden Sie einen Seitenwurf, um die Ecke zu klären</t>
  </si>
  <si>
    <t>Ein Seitenwurf hilft, scharfe Kurven reibungsloser und sicher zu navigieren.</t>
  </si>
  <si>
    <t>A. Increase the incline to overcome the slope. B. Use a side throw to control it. C. Throw with a higher arc to maintain speed. D. Increase your angle to combat gravity</t>
  </si>
  <si>
    <t>Sie nähern sich einer steilen Steigung, und Ihr Ball verliert Geschwindigkeit. Was tun Sie, um den Schwung zu erhalten?</t>
  </si>
  <si>
    <t>A. Wirf die Steigung härter, um die Steigung zu überwinden B. Verwenden Sie einen Seitenwurf, um es zu kontrollieren C. Mit einem höheren Bogen werfen, um die Geschwindigkeit zu halten D. Erhöhen Sie Ihren Winkel, um die Schwerkraft zu bekämpfen</t>
  </si>
  <si>
    <t>Wirf die Steigung härter, um die Steigung zu überwinden</t>
  </si>
  <si>
    <t>Zusätzliche Kraft sorgt dafür, dass Ihr Ball die Steigung steigt, ohne den Schwung zu verlieren.</t>
  </si>
  <si>
    <t>A. Aiming at the gap between them B. Throw with more speed to move forward. C. Use a side view to avoid interference. D. Let the ball touch you and hope for the best.</t>
  </si>
  <si>
    <t>Der Ball Ihres Gegners liegt in Ihrer Nähe und könnte sich einmischen. Was sollten Sie tun?</t>
  </si>
  <si>
    <t>A. Zielen auf die Lücke zwischen ihnen B. Werfen Sie mit mehr Geschwindigkeit, um voranzukommen C. Verwenden Sie eine Seitenaufnahme, um Störungen zu vermeiden D. Lassen Sie den Ball berühren und hoffen auf das Beste</t>
  </si>
  <si>
    <t>Verwenden Sie eine Seitenaufnahme, um Störungen zu vermeiden</t>
  </si>
  <si>
    <t>Mit einem Seitenaufnahme können Sie Hindernisse navigieren, während Sie Ihren Ball auf der Strecke halten.</t>
  </si>
  <si>
    <t>A. Throw at maximum speed to enforce the goal B. Use a side view to avoid losing control. C. Throw a high arc to clear it. D. Slow down and navigate carefully.</t>
  </si>
  <si>
    <t>Sie rennen zur Ziellinie, aber es gibt eine scharfe Wendung. Wie gehen Sie vor?</t>
  </si>
  <si>
    <t>A. Mit maximaler Geschwindigkeit werfen, um durchzusetzen B. Verwenden Sie eine Seitenaufnahme, um zu vermeiden, die Kontrolle zu verlieren C. Werfen Sie mit einem hohen Bogen, um es zu klären D. Langsamer werden und vorsichtig navigieren</t>
  </si>
  <si>
    <t>Verwenden Sie eine Seitenaufnahme, um zu vermeiden, die Kontrolle zu verlieren</t>
  </si>
  <si>
    <t>Ein Seitenaufnahme sorgt für eine glattere und kontrolliertere Kurve, ohne zu übergehen.</t>
  </si>
  <si>
    <t>A. Throw with precision to avoid straying. B. Use a side throw to maintain control. C. Throw faster to stay on the right track. D. Pull the edges to drift.</t>
  </si>
  <si>
    <t>Die Strecke ist eng und kurvenreich. Wie schaffen Sie Ihren Wurf, um das Abtreiben von Kurs zu vermeiden?</t>
  </si>
  <si>
    <t>A. Mit Präzision werfen, um das Streunenden zu vermeiden B. Verwenden Sie einen Seitenwurf, um die Kontrolle aufrechtzuerhalten C. Wirf schneller, um auf dem richtigen Weg zu bleiben D. Ziehen Sie die Kanten an, um zu driften</t>
  </si>
  <si>
    <t>Mit Präzision werfen, um das Streunenden zu vermeiden</t>
  </si>
  <si>
    <t>Präzision hilft Ihnen, auf Kurs zu bleiben, ohne die Kontrolle über schmale, kurvige Spuren zu verlieren.</t>
  </si>
  <si>
    <t>A. Throw with more force to fight the sand. B. Slow down to prevent C. Use a higher arc to avoid sand resistance. D. Aim for the middle of the route</t>
  </si>
  <si>
    <t>Die Oberfläche ist sandig und Ihr Ball verliert den Schwung. Was tun Sie, um die Geschwindigkeit aufrechtzuerhalten?</t>
  </si>
  <si>
    <t>A. Wirf mit mehr Kraft, um gegen den Sand zu kämpfen B. Langsamer werden, um zu verhindern C. Verwenden Sie einen höheren Bogen, um den Sandwiderstand zu vermeiden D. Ziel auf die Mitte der Strecke</t>
  </si>
  <si>
    <t>Wirf mit mehr Kraft, um gegen den Sand zu kämpfen</t>
  </si>
  <si>
    <t>Mehr Kraft sorgt dafür, dass der Ball sandige Oberflächen durchschneiden kann, ohne stecken zu bleiben.</t>
  </si>
  <si>
    <t>A. Throw harder to finish strong. B. Slow down to avoid overshooting. C. Increase the angle to maintain speed. D. Take a side shot to stabilize.</t>
  </si>
  <si>
    <t>Sie nähern sich dem Ende einer langen Strecke und Ihr Ball verlangsamt sich. Was machst du?</t>
  </si>
  <si>
    <t>A. Wirf härter, um stark zu beenden B. Langsamer werden, um das Überschwingen zu vermeiden C. Erhöhen Sie den Winkel, um die Geschwindigkeit aufrechtzuerhalten D. Wirf einen Seitenschuss, um zu stabilisieren</t>
  </si>
  <si>
    <t>Wirf härter, um stark zu beenden</t>
  </si>
  <si>
    <t>Ein stärkerer Wurf hilft Ihnen, die Strecke mit Geschwindigkeit und Kraft zu beenden.</t>
  </si>
  <si>
    <t>A. Pull the side to avoid it. B. Throw it up to clarify. C. Slow down to steer around it. D. Throw faster to clear it quickly.</t>
  </si>
  <si>
    <t>Es steht einen kleinen Graben vor, und Ihr Ball wird in die erste Stelle. Was ist Ihre beste Strategie?</t>
  </si>
  <si>
    <t>A. Ziehen Sie die Seite an, um sie zu vermeiden B. Wirf hoch, um es zu klären C. Langsamer werden, um es herum zu steuern D. Wirf schneller, um es schnell zu räumen</t>
  </si>
  <si>
    <t>Ziehen Sie die Seite an, um sie zu vermeiden</t>
  </si>
  <si>
    <t>Ein Seitenwurf hilft Ihnen, in Gräben zu fallen und den Ball auf der Strecke zu halten.</t>
  </si>
  <si>
    <t>A. Targeting the gap between branches B. Use a side shot to steer around him. C. Throw higher to clear the tree. D. Throw harder to get your way</t>
  </si>
  <si>
    <t>Dein Ball ist kurz davor, einen Baum zu schlagen. Wie vermeiden Sie Störungen?</t>
  </si>
  <si>
    <t>A. Zielen auf die Lücke zwischen Zweigen B. Verwenden Sie einen Seitenschuss, um um ihn herum zu steuern C. Werfen Sie höher, um den Baum zu räumen D. Wirf härter durch, um durchzusetzen</t>
  </si>
  <si>
    <t>Ein Seitenaufnahme hilft, Hindernisse wie Bäume zu vermeiden und Ihren Weg zu beseitigen.</t>
  </si>
  <si>
    <t>A. Throw harder to withstand the wind. B. Use a side throw to reduce the wind effect. C. Throw faster to clear the wind. D. Adjust your target to compensate for the wind.</t>
  </si>
  <si>
    <t>Sie kommen auf einer weit offenen Strecke, aber der Wind nimmt auf. Wie passen Sie sich an?</t>
  </si>
  <si>
    <t>A. Wirf härter, um dem Wind zu widerstehen B. Verwenden Sie einen Seitenwurf, um den Windeffekt zu verringern C. Wirf schneller, um den Wind zu räumen D. Passen Sie Ihr Ziel an, den Wind auszugleichen</t>
  </si>
  <si>
    <t>Wenn Sie Ihr Ziel einstellen, können Sie dem Einfluss des Windes entgegenwirken und den Ball auf dem Laufenden halten.</t>
  </si>
  <si>
    <t>A. Throw with more force to control it. B. Use a side view to stabilize it. C. Slow down and aim carefully. D. Throw higher to avoid stones.</t>
  </si>
  <si>
    <t>Der Boden ist felsig und Ihr Ball hüpft unvorhersehbar. Wie kontrollierst du es?</t>
  </si>
  <si>
    <t>A. Wirf mit mehr Kraft, um es zu kontrollieren B. Verwenden Sie einen Seitenaufnahme, um es zu stabilisieren C. Verlangsamen und sorgfältig zielen D. Werfen Sie höher, um Steine ​​zu vermeiden</t>
  </si>
  <si>
    <t>Verwenden Sie einen Seitenaufnahme, um es zu stabilisieren</t>
  </si>
  <si>
    <t>Ein Seitenaufnahme hilft, unvorhersehbare Spulen auf felsigem Gelände zu reduzieren.</t>
  </si>
  <si>
    <t>A. Throw faster to complete it. B. Slow down to adjust to the incline. C. Use a side throw to prevent overshoot. D. The goal is to reach the center and maintain speed.</t>
  </si>
  <si>
    <t>Sie nähern sich der Ziellinie, aber es gibt eine leichte Steigung vor uns. Wie gehen Sie damit um?</t>
  </si>
  <si>
    <t>A. Wirf schneller, um es durchzuführen B. Langsamer werden, um sich an die Steigung einzustellen C. Verwenden Sie einen Seitenwurf, um Überschwingen zu verhindern D. Ziel ist das Zentrum, die Geschwindigkeit zu halten</t>
  </si>
  <si>
    <t>Langsamer werden, um sich an die Steigung einzustellen</t>
  </si>
  <si>
    <t>Durch die Verlangsamung können Sie sich der Steigung reibungslos nähern und die Kontrolle behalten.</t>
  </si>
  <si>
    <t>A. Throw more slowly to maintain control. B. Throw harder to gain speed. C. Use a side throw to stabilize it. D. Let the ball go and set it below.</t>
  </si>
  <si>
    <t>Ihr Ball nähert sich einem steilen Abschnitt. Was ist Ihre beste Option, um zu verhindern, dass die Kontrolle der Kontrolle verliert?</t>
  </si>
  <si>
    <t>A. Wirf langsamer, um die Kontrolle zu behalten B. Wirf härter, um Geschwindigkeit zu gewinnen C. Verwenden Sie einen Seitenwurf, um ihn zu stabilisieren D. Lassen Sie den Ball gehen und unten einstellen</t>
  </si>
  <si>
    <t>Wirf langsamer, um die Kontrolle zu behalten</t>
  </si>
  <si>
    <t>Verlangsamung stellt sicher, dass Sie die Kontrolle behalten, während Sie bergab gehen.</t>
  </si>
  <si>
    <t>A. Throw harder to regain control B. Use a side shot to steer it back. C. Aim for the edge of the track D. Throw with precision to keep it on target.</t>
  </si>
  <si>
    <t>Sie befinden sich auf einer glatten Oberfläche, aber Ihr Ball dreht sich zur Seite. Wie korrigierst du es?</t>
  </si>
  <si>
    <t>A. Härter werfen, um die Kontrolle zurückzugewinnen B. Verwenden Sie einen Seitenschuss, um es zurück zu steuern C. Zielen Sie auf die Kante der Strecke D. Werfen Sie mit Präzision, um es auf dem Laufenden zu halten</t>
  </si>
  <si>
    <t>Verwenden Sie einen Seitenschuss, um es zurück zu steuern</t>
  </si>
  <si>
    <t>Eine Seitenaufnahme ist die beste Option, um den Ball auf Kurs zurück zu steuern.</t>
  </si>
  <si>
    <t>A. Throw harder to get your way B. Slow down and aim carefully. C. Use a side throw to keep it up to date. D. Increase the angle to reduce friction.</t>
  </si>
  <si>
    <t>Die Oberfläche ist weich und schwammig und Ihr Ball verliert Geschwindigkeit. Was tun Sie, um den Schwung zu erhalten?</t>
  </si>
  <si>
    <t>A. Wirf härter durch, um durchzusetzen B. Verlangsamen und sorgfältig zielen C. Verwenden Sie einen Seitenwurf, um es auf dem Laufenden zu halten D. Erhöhen Sie den Winkel, um die Reibung zu verringern</t>
  </si>
  <si>
    <t>Wirf härter durch, um durchzusetzen</t>
  </si>
  <si>
    <t>Ein härterer Wurf hilft, dass der Ball durch weiche Oberflächen drückt und die Geschwindigkeit aufrechterhält.</t>
  </si>
  <si>
    <t>A. Use a side throw to move around. B. Throw faster to overtake them. C. Tighten the center to avoid interference. D. Let your opponent pass and adjust your target.</t>
  </si>
  <si>
    <t>Der Ball Ihres Gegners steht vor der Tür und die Strecke ist eng. Wie vermeiden Sie Störungen?</t>
  </si>
  <si>
    <t>A. Verwenden Sie einen Seitenwurf, um herumzulaufen B. Wirf schneller, um sie zu überholen C. Ziehen Sie die Mitte an, um Störungen zu vermeiden D. Lassen Sie Ihren Gegner passieren und passen Sie Ihr Ziel an</t>
  </si>
  <si>
    <t>Verwenden Sie einen Seitenwurf, um herumzulaufen</t>
  </si>
  <si>
    <t>Ein Seitenwurf stellt sicher, dass Sie es vermeiden, den Ball Ihres Gegners zu stören.</t>
  </si>
  <si>
    <t>A. Throw faster to get through. B. Use a page margin to correct the path. C. Slow down and steer carefully D. Throw with greater precision to avoid getting hit.</t>
  </si>
  <si>
    <t>Es liegt eine schmale Lücke vor sich, und Ihr Ball dreht sich zu sehr zur Seite. Wie passen Sie sich an?</t>
  </si>
  <si>
    <t>A. Wirf schneller, um durchzukommen B. Verwenden Sie einen Seitenaufschlag, um den Pfad zu korrigieren C. Langsamer werden und vorsichtig steuern D. Werfen Sie mit genauerer Präzision, um zu vermeiden, dass Sie Schlagen haben</t>
  </si>
  <si>
    <t>Ein Seitenaufnahme hilft, Ihren Ball durch schmale Lücken mit Präzision zu steuern.</t>
  </si>
  <si>
    <t>Correct answer</t>
  </si>
  <si>
    <t>Explanation</t>
  </si>
  <si>
    <t>Erläuterung</t>
  </si>
  <si>
    <t>A. Goal awarded to the player B. The game continues C. Free kick for the opponent D. Throw-in for the player</t>
  </si>
  <si>
    <t>Ein Spieler versucht einen Schuss, aber der Ball trifft den Pfosten und springt zurück ins Spiel. Was geschieht?</t>
  </si>
  <si>
    <t>A. Dem Spieler zugesprochenes Tor B. Das Spiel geht weiter C. Freistoß für den Gegner D. Einwurf für den Spieler</t>
  </si>
  <si>
    <t>Das Spiel geht weiter</t>
  </si>
  <si>
    <t>Wenn du den Pfosten triffst und wieder ins Spiel kommst, geht das Spiel weiter.</t>
  </si>
  <si>
    <t>A. Foul against the goalkeeper B. The game continues C. Free kick for the goalkeeping team D. Penalty for the opponent</t>
  </si>
  <si>
    <t>Der Torwart fängt den Ball mit beiden Händen. Was ist die richtige Entscheidung?</t>
  </si>
  <si>
    <t>A. Foul gegen den Torwart B. Das Spiel geht weiter C. Freistoß für die Torwartmannschaft D. Strafe für den Gegner</t>
  </si>
  <si>
    <t>Foul gegen den Torwart</t>
  </si>
  <si>
    <t>Beim Radball dürfen Torhüter ihre Hände nicht benutzen.</t>
  </si>
  <si>
    <t>A. Throw-in for the opponent B. The game continues C. Free kick for the opponent D. Corner for the opponent</t>
  </si>
  <si>
    <t>Ein Spieler schlägt den Ball versehentlich mit dem Vorderrad ins Aus. Was geschieht?</t>
  </si>
  <si>
    <t>A. Einwurf für den Gegner B. Das Spiel geht weiter C. Freistoß für den Gegner D. Ecke für den Gegner</t>
  </si>
  <si>
    <t>Einwurf für den Gegner</t>
  </si>
  <si>
    <t>Das Schlagen des Balls ins Aus führt zu einem Einwurf für die gegnerische Mannschaft.</t>
  </si>
  <si>
    <t>A. Yes B. NO C. Only in the penalty area D. Only if the ball is above hip height</t>
  </si>
  <si>
    <t>Ein Verteidiger blockt einen Schuss, indem er sein Vorderrad anhebt. Ist das erlaubt?</t>
  </si>
  <si>
    <t>A. Ja B. NEIN C. Nur im Strafraum D. Nur wenn sich der Ball über Hüfthöhe befindet</t>
  </si>
  <si>
    <t>NEIN</t>
  </si>
  <si>
    <t>Das Anheben des Vorderrads zum Blockieren eines Schusses ist im Radball nicht erlaubt.</t>
  </si>
  <si>
    <t>A. Goal not recognized B. Goal missed C. Free kick for the opponent D. The game continues without a goal.</t>
  </si>
  <si>
    <t>Ein Spieler schießt ein Tor, aber sein Fuß berührt beim Schuss den Boden. Was geschieht?</t>
  </si>
  <si>
    <t>A. Tor nicht anerkannt B. Tor vergeben C. Freistoß für den Gegner D. Das Spiel geht ohne Tor weiter</t>
  </si>
  <si>
    <t>Tor nicht anerkannt</t>
  </si>
  <si>
    <t>Ein Tor wird nicht anerkannt, wenn der Fuß eines Spielers während des Schusses den Boden berührt.</t>
  </si>
  <si>
    <t>A. The referee awards a drop ball. B. Free kick for the nearest team C. The game continues until a player makes a move. D. The referee blows his whistle for a foul.</t>
  </si>
  <si>
    <t>Der Ball steht still und beide Spieler kreisen um ihn herum. Was soll passieren?</t>
  </si>
  <si>
    <t>A. Der Schiedsrichter vergibt einen Dropball B. Freistoß für die nächstgelegene Mannschaft C. Das Spiel geht weiter, bis ein Spieler zieht D. Schiedsrichter pfeift wegen eines Fouls</t>
  </si>
  <si>
    <t>Der Schiedsrichter vergibt einen Dropball</t>
  </si>
  <si>
    <t>Ein Dropball wird verwendet, um das Spiel fortzusetzen, wenn der Ball zu lange stillsteht.</t>
  </si>
  <si>
    <t>A. Penalty for the opponent B. Yellow card for the player C. Free kick for the opponent D. The game continues</t>
  </si>
  <si>
    <t>Ein Spieler prallt absichtlich gegen seinen Gegner, um ein Tor zu verhindern. Wie lautet die Entscheidung?</t>
  </si>
  <si>
    <t>A. Strafe für den Gegner B. Gelbe Karte für den Spieler C. Freistoß für den Gegner D. Das Spiel geht weiter</t>
  </si>
  <si>
    <t>Strafe für den Gegner</t>
  </si>
  <si>
    <t>Ein absichtlicher Zusammenstoß mit einem Gegner führt zu einer Strafe für die gegnerische Mannschaft.</t>
  </si>
  <si>
    <t>A. Yes B. NO C. Only in extra time D. Only if it's a free kick</t>
  </si>
  <si>
    <t>Ein Spieler punktet direkt beim Anstoß. Ist das erlaubt?</t>
  </si>
  <si>
    <t>A. Ja B. NEIN C. Nur in der Verlängerung D. Nur wenn es ein Freistoß ist</t>
  </si>
  <si>
    <t>Ja</t>
  </si>
  <si>
    <t>Beim Radball ist es erlaubt, direkt vom Anstoß an zu punkten.</t>
  </si>
  <si>
    <t>A. Goal missed B. Goal not recognized C. The game continues D. Free kick for the opponent</t>
  </si>
  <si>
    <t>Der Ball wird vom Fahrrad eines Spielers ins Tor abgelenkt. Was ist das Ergebnis?</t>
  </si>
  <si>
    <t>A. Tor vergeben B. Tor nicht anerkannt C. Das Spiel geht weiter D. Freistoß für den Gegner</t>
  </si>
  <si>
    <t>Tor vergeben</t>
  </si>
  <si>
    <t>Abgelenkte Tore vom Fahrrad sind beim Radball gültig.</t>
  </si>
  <si>
    <t>A. Goal for the opposing team B. Free kick for the goalkeeping team C. The game continues D. Drop the ball</t>
  </si>
  <si>
    <t>Der Torwart schlägt den Ball versehentlich ins eigene Tor. Wie lautet das Urteil?</t>
  </si>
  <si>
    <t>A. Tor für die gegnerische Mannschaft B. Freistoß für die Torwartmannschaft C. Das Spiel geht weiter D. Ball fallen lassen</t>
  </si>
  <si>
    <t>Tor für die gegnerische Mannschaft</t>
  </si>
  <si>
    <t>Ein Eigentor zählt als Tor der gegnerischen Mannschaft.</t>
  </si>
  <si>
    <t>A. Yes B. NO C. Only in their half of the court D. Only in the penalty area</t>
  </si>
  <si>
    <t>Ein Spieler führt einen Fahrradtrick aus, um den Ball seinem Mitspieler zuzuspielen. Ist das erlaubt?</t>
  </si>
  <si>
    <t>A. Ja B. NEIN C. Nur in ihrer Hälfte des Gerichts D. Nur im Strafraum</t>
  </si>
  <si>
    <t>Fahrradtricks sind erlaubt, solange sie kein gefährliches Spiel beinhalten.</t>
  </si>
  <si>
    <t>A. Penalty for the opponent B. Free kick for the opponent C. The game continues D. Yellow card for the player</t>
  </si>
  <si>
    <t>Der Fuß eines Spielers berührt den Boden, während er im Strafraum verteidigt. Was geschieht?</t>
  </si>
  <si>
    <t>A. Strafe für den Gegner B. Freistoß für den Gegner C. Das Spiel geht weiter D. Gelbe Karte für den Spieler</t>
  </si>
  <si>
    <t>Das Berühren des Bodens im Strafraum während der Verteidigung führt zu einer Strafe.</t>
  </si>
  <si>
    <t>A. Foul against the player B. Free kick for the opponent C. The game continues D. Yellow card for the player</t>
  </si>
  <si>
    <t>Ein Spieler tritt den Ball absichtlich, anstatt das Fahrrad zu benutzen. Wie lautet das Urteil?</t>
  </si>
  <si>
    <t>A. Foul gegen den Spieler B. Freistoß für den Gegner C. Das Spiel geht weiter D. Gelbe Karte für den Spieler</t>
  </si>
  <si>
    <t>Foul gegen den Spieler</t>
  </si>
  <si>
    <t>Die Spieler müssen ihre Fahrräder benutzen, um den Ball zu kontrollieren. Treten ist nicht erlaubt.</t>
  </si>
  <si>
    <t>A. The game continues B. Drop the ball C. Free kick for the opponent D. The referee stops the game</t>
  </si>
  <si>
    <t>Der Ball wird hoch gespielt und landet oben auf dem Torrahmen. Was soll passieren?</t>
  </si>
  <si>
    <t>A. Das Spiel geht weiter B. Ball fallen lassen C. Freistoß für den Gegner D. Der Schiedsrichter unterbricht das Spiel</t>
  </si>
  <si>
    <t>Der Schiedsrichter unterbricht das Spiel</t>
  </si>
  <si>
    <t>Das Spiel wird unterbrochen, wenn der Ball oben auf dem Torrahmen landet.</t>
  </si>
  <si>
    <t>A. Goal not recognized B. Goal missed C. The game continues D. Yellow card for the player</t>
  </si>
  <si>
    <t>Ein Spieler punktet, aber der Schiedsrichter bemerkt, dass er den Lenker nur mit einer Hand gehalten hat. Wie lautet das Urteil?</t>
  </si>
  <si>
    <t>A. Tor nicht anerkannt B. Tor vergeben C. Das Spiel geht weiter D. Gelbe Karte für den Spieler</t>
  </si>
  <si>
    <t>Um zu punkten, müssen die Spieler mit beiden Händen die Kontrolle über ihre Fahrräder behalten.</t>
  </si>
  <si>
    <t>A. Issues a warning B. Grants the opponent a free kick C. Issues a yellow card D. Let's continue playing.</t>
  </si>
  <si>
    <t>Ein Spieler verzögert absichtlich die Ausführung eines Freistoßes. Welche Maßnahmen ergreift der Schiedsrichter?</t>
  </si>
  <si>
    <t>A. Gibt eine Warnung aus B. Gewährt dem Gegner einen Freistoß C. Gibt eine gelbe Karte aus D. Lasst uns weiterspielen</t>
  </si>
  <si>
    <t>Gibt eine Warnung aus</t>
  </si>
  <si>
    <t>Schiedsrichter erteilen Verwarnungen wegen Spielverzögerungen.</t>
  </si>
  <si>
    <t>A. The game continues B. Free kick for the team in possession of the ball C. Drop the ball D. The referee awards a foul to both players.</t>
  </si>
  <si>
    <t>Zwei Spieler kollidieren beim Kampf um den Ball und beide fallen. Was geschieht?</t>
  </si>
  <si>
    <t>A. Das Spiel geht weiter B. Freistoß für die Mannschaft mit Ballbesitz C. Ball fallen lassen D. Der Schiedsrichter spricht beiden Spielern ein Foul zu</t>
  </si>
  <si>
    <t>Ball fallen lassen</t>
  </si>
  <si>
    <t>Ein Dropball wird zuerkannt, wenn beide Spieler gleichzeitig ohne Foulspiel fallen.</t>
  </si>
  <si>
    <t>A. Goal kick for the opposing team B. Free kick for the opposing team C. The game continues D. Corner for the opposing team</t>
  </si>
  <si>
    <t>Ein Spieler versucht einen Rückwärtssalto, der jedoch über das Tor geht. Was ist das Ergebnis?</t>
  </si>
  <si>
    <t>A. Abstoß für die gegnerische Mannschaft B. Freistoß für die gegnerische Mannschaft C. Das Spiel geht weiter D. Ecke für die gegnerische Mannschaft</t>
  </si>
  <si>
    <t>Abstoß für die gegnerische Mannschaft</t>
  </si>
  <si>
    <t>Schüsse, die über das Tor hinausgehen, führen zu einem Abstoß für die gegnerische Mannschaft.</t>
  </si>
  <si>
    <t>A. Goal missed B. Goal not recognized C. Drop the ball D. Free kick for the opposing team</t>
  </si>
  <si>
    <t>Der Ball wird vom Schiedsrichter abgelenkt und geht ins Tor. Wie lautet das Urteil?</t>
  </si>
  <si>
    <t>A. Tor vergeben B. Tor nicht anerkannt C. Ball fallen lassen D. Freistoß für die gegnerische Mannschaft</t>
  </si>
  <si>
    <t>Wenn der Ball vom Schiedsrichter abgelenkt wird, wird das Spiel mit einem Dropball fortgesetzt.</t>
  </si>
  <si>
    <t>A. The game continues B. Free kick for the opponent C. Penalty for the opponent D. Yellow card for the player</t>
  </si>
  <si>
    <t>Ein Spieler blockt einen Schuss, indem er sein Fahrrad über die Torlinie stellt. Was geschieht?</t>
  </si>
  <si>
    <t>A. Das Spiel geht weiter B. Freistoß für den Gegner C. Strafe für den Gegner D. Gelbe Karte für den Spieler</t>
  </si>
  <si>
    <t>Das absichtliche Blockieren durch Platzieren des Fahrrads über der Torlinie führt zu einer Strafe.</t>
  </si>
  <si>
    <t>A. The game continues B. Penalty for the opponent C. Free kick for the opponent D. Drop the ball</t>
  </si>
  <si>
    <t>Ein Verteidiger lenkt den Ball in den eigenen Strafraum. Wie lautet die Entscheidung?</t>
  </si>
  <si>
    <t>A. Das Spiel geht weiter B. Strafe für den Gegner C. Freistoß für den Gegner D. Ball fallen lassen</t>
  </si>
  <si>
    <t>Das Ablenken des Balls in den eigenen Strafraum führt nicht zu einer Strafe.</t>
  </si>
  <si>
    <t>A. The referee stops the game B. The game continues C. Free kick for the opponent D. Drop the ball</t>
  </si>
  <si>
    <t>Der Ball ist im Spiel, wenn die Lenkstange eines Spielers bricht. Was passiert als nächstes?</t>
  </si>
  <si>
    <t>A. Der Schiedsrichter unterbricht das Spiel B. Das Spiel geht weiter C. Freistoß für den Gegner D. Ball fallen lassen</t>
  </si>
  <si>
    <t>Das Spiel wird wegen Gerätestörungen unterbrochen.</t>
  </si>
  <si>
    <t>A. Yes B. NO C. Only if they immediately regain control D. Only if the referee allows it.</t>
  </si>
  <si>
    <t>Ein Spieler verliert die Kontrolle über sein Fahrrad, aber der Ball geht ins Tor. Ist es ein gültiges Ziel?</t>
  </si>
  <si>
    <t>A. Ja B. NEIN C. Nur wenn sie sofort die Kontrolle wiedererlangen D. Nur wenn der Schiedsrichter es zulässt</t>
  </si>
  <si>
    <t>Ein Tor ist ungültig, wenn der Spieler die Kontrolle über sein Fahrrad verliert.</t>
  </si>
  <si>
    <t>A. Corner for the opponent B. Goal kick for the goalkeeper C. The game continues D. Drop the ball</t>
  </si>
  <si>
    <t>Bei einem Strafstoß wird der Ball vom Torwart abgelenkt und geht ins Aus. Was geschieht?</t>
  </si>
  <si>
    <t>A. Ecke für den Gegner B. Abstoß für den Torwart C. Das Spiel geht weiter D. Ball fallen lassen</t>
  </si>
  <si>
    <t>Abstoß für den Torwart</t>
  </si>
  <si>
    <t>Wenn der Ball ins Aus geht, erhält die Mannschaft des Torwarts einen Abstoß.</t>
  </si>
  <si>
    <t>A. Free kick for the opponent B. Yellow card for the blocker C. The game continues D. Drop the ball</t>
  </si>
  <si>
    <t>Ein Spieler bewegt sein Fahrrad absichtlich, um einen Gegner zu blockieren, ohne den Ball zu spielen. Was geschieht?</t>
  </si>
  <si>
    <t>A. Freistoß für den Gegner B. Gelbe Karte für den Blocker C. Das Spiel geht weiter D. Ball fallen lassen</t>
  </si>
  <si>
    <t>Freistoß für den Gegner</t>
  </si>
  <si>
    <t>Das Blockieren eines Gegners, ohne den Ball zu spielen, führt zu einem Freistoß.</t>
  </si>
  <si>
    <t>A. Start the game B. Issue a warning C. Wait for the emergency service to begin. D. Punish the team that is not yet ready.</t>
  </si>
  <si>
    <t>Der Schiedsrichter signalisiert den Beginn des Spiels, aber eine Mannschaft ist nicht bereit. Was soll der Schiedsrichter tun?</t>
  </si>
  <si>
    <t>A. Starten Sie das Spiel B. Geben Sie eine Warnung aus C. Warten Sie auf die Bereitschaft D. Bestrafe das noch nicht bereite Team</t>
  </si>
  <si>
    <t>Warten Sie auf die Bereitschaft</t>
  </si>
  <si>
    <t>Der Schiedsrichter wartet, bis beide Mannschaften bereit sind, bevor er das Spiel beginnt.</t>
  </si>
  <si>
    <t>A. Yes B. NO C. Only in the penalty area D. Only from a free kick</t>
  </si>
  <si>
    <t>Ein Spieler punktet, indem er den Ball von seinem Hinterrad ablenkt. Ist es gültig?</t>
  </si>
  <si>
    <t>A. Ja B. NEIN C. Nur im Strafraum D. Nur aus einem Freistoß</t>
  </si>
  <si>
    <t>Tore, die mit einem beliebigen Teil des Fahrrads erzielt werden, sind gültig.</t>
  </si>
  <si>
    <t>A. The game continues B. The referee puts the ball back. C. Free kick for the leading team D. Drop the ball</t>
  </si>
  <si>
    <t>Der Ball wird während des Spiels durchstochen. Wie lautet das Urteil?</t>
  </si>
  <si>
    <t>A. Das Spiel geht weiter B. Der Schiedsrichter legt den Ball zurück C. Freistoß für die führende Mannschaft D. Ball fallen lassen</t>
  </si>
  <si>
    <t>Der Schiedsrichter legt den Ball zurück</t>
  </si>
  <si>
    <t>Wenn der Ball beschädigt ist, muss er ersetzt werden.</t>
  </si>
  <si>
    <t>A. Corner for the opponent B. Free kick for the defender's team C. The game continues D. Penalty for the opponent</t>
  </si>
  <si>
    <t>Ein Verteidiger schlägt den Ball in den Torpfosten und dieser prallt direkt in seinen Strafraum zurück.</t>
  </si>
  <si>
    <t>A. Ecke für den Gegner B. Freistoß für die Mannschaft des Verteidigers C. Das Spiel geht weiter D. Strafe für den Gegner</t>
  </si>
  <si>
    <t>Dass der Ball vom Pfosten abprallt, ist ein normaler Vorgang, das Spiel geht also weiter.</t>
  </si>
  <si>
    <t>A. Free kick for the opponent B. The game continues C. Yellow card for the goalkeeper D. Penalty for the opponent</t>
  </si>
  <si>
    <t>Der Torwart bewegt sich aus seinem Bereich, um einen Schuss abzuwehren. Was geschieht?</t>
  </si>
  <si>
    <t>A. Freistoß für den Gegner B. Das Spiel geht weiter C. Gelbe Karte für den Torwart D. Strafe für den Gegner</t>
  </si>
  <si>
    <t>Torhüter dürfen ihren Bereich verlassen, das Spiel geht also weiter.</t>
  </si>
  <si>
    <t>A. Let the game continue. B. Warn the passive team C. Free kick for the active team D. Restart the dropball</t>
  </si>
  <si>
    <t>Während eines Dropballs vermeidet eine Mannschaft bewusst den Angriff. Wie lautet die Entscheidung des Schiedsrichters?</t>
  </si>
  <si>
    <t>A. Lassen Sie das Spiel weiterlaufen B. Warnen Sie das passive Team C. Freistoß für die aktive Mannschaft D. Starten Sie den Dropball neu</t>
  </si>
  <si>
    <t>Lassen Sie das Spiel weiterlaufen</t>
  </si>
  <si>
    <t>Teams sind nicht verpflichtet, einen Dropball zu spielen.</t>
  </si>
  <si>
    <t>A. Goal missed B. The referee stops the game C. The game continues until it stops. D. Goal kick for the opponent</t>
  </si>
  <si>
    <t>Der Ball rollt langsam auf das gegnerische Tor zu und niemand fordert ihn heraus. Was geschieht?</t>
  </si>
  <si>
    <t>A. Tor vergeben B. Der Schiedsrichter unterbricht das Spiel C. Das Spiel wird fortgesetzt, bis es stoppt D. Abstoß für den Gegner</t>
  </si>
  <si>
    <t>Das Spiel wird fortgesetzt, bis es stoppt</t>
  </si>
  <si>
    <t>Der Ball bleibt im Spiel, bis er vollständig zum Stillstand kommt oder eine Grenze überschreitet.</t>
  </si>
  <si>
    <t>A. Yes B. NO C. Only in the case of a free kick D. Only when defending a goal</t>
  </si>
  <si>
    <t>Ein Spieler spielt den Ball rückwärts in seinen eigenen Strafraum. Ist es erlaubt?</t>
  </si>
  <si>
    <t>A. Ja B. NEIN C. Nur bei einem Freistoß D. Nur bei der Verteidigung eines Tores</t>
  </si>
  <si>
    <t>Rückpässe in den Strafraum sind erlaubt.</t>
  </si>
  <si>
    <t>A. The game continues B. Free kick for the opponent C. Yellow card for the player D. Drop the ball</t>
  </si>
  <si>
    <t>Ein Spieler versucht einen Schlag, aber sein Vorderrad kreuzt die Mittellinie. Was geschieht?</t>
  </si>
  <si>
    <t>A. Das Spiel geht weiter B. Freistoß für den Gegner C. Gelbe Karte für den Spieler D. Ball fallen lassen</t>
  </si>
  <si>
    <t>Das Überschreiten der Mittellinie beim Schießen führt zu einem Freistoß für den Gegner.</t>
  </si>
  <si>
    <t>A. Drop the ball B. Free kick for the injured team C. Free kick for the opponent D. Corner for the nearest team</t>
  </si>
  <si>
    <t>Der Schiedsrichter unterbricht das Spiel wegen einer Verletzung. Wie soll das Spiel neu gestartet werden?</t>
  </si>
  <si>
    <t>A. Ball fallen lassen B. Freistoß für die verletzte Mannschaft C. Freistoß für den Gegner D. Ecke für die nächstgelegene Mannschaft</t>
  </si>
  <si>
    <t>Nach einer Verletzungsunterbrechung wird das Spiel mit einem Dropball fortgesetzt.</t>
  </si>
  <si>
    <t>A. The game continues B. Warning against wasting time C. Free kick for the opponent D. Drop the ball</t>
  </si>
  <si>
    <t>Ein Verteidiger schirmt den Ball in der Nähe des Torpfostens ab, spielt ihn aber nicht. Was geschieht?</t>
  </si>
  <si>
    <t>A. Das Spiel geht weiter B. Warnung vor Zeitverschwendung C. Freistoß für den Gegner D. Ball fallen lassen</t>
  </si>
  <si>
    <t>Warnung vor Zeitverschwendung</t>
  </si>
  <si>
    <t>Den Ball abzuschirmen, ohne ihn zu spielen, kann zu einer Verwarnung wegen Zeitverschwendung führen.</t>
  </si>
  <si>
    <t>A. Goal missed B. Drop the ball C. The game continues D. Free kick for the opposing team</t>
  </si>
  <si>
    <t>Der Ball wird geschossen und bleibt im Netz stecken. Wie lautet das Urteil?</t>
  </si>
  <si>
    <t>A. Tor vergeben B. Ball fallen lassen C. Das Spiel geht weiter D. Freistoß für die gegnerische Mannschaft</t>
  </si>
  <si>
    <t>Bleibt der Ball im Netz stecken, zählt das als Tor.</t>
  </si>
  <si>
    <t>A. The game continues B. Free kick for the opponent C. Yellow card for dangerous play D. Drop the ball</t>
  </si>
  <si>
    <t>Ein Spieler fährt während einer Herausforderung gefährlich nah am Fahrrad des Gegners vorbei. Was geschieht?</t>
  </si>
  <si>
    <t>A. Das Spiel geht weiter B. Freistoß für den Gegner C. Gelbe Karte für gefährliches Spiel D. Ball fallen lassen</t>
  </si>
  <si>
    <t>Gelbe Karte für gefährliches Spiel</t>
  </si>
  <si>
    <t>Gefährliches Fahren führt zu einer gelben Karte.</t>
  </si>
  <si>
    <t>A. Penalty for the opponent B. Warning for the errant team C. Drop the ball D. Free kick for the opponent</t>
  </si>
  <si>
    <t>Der Schiedsrichter plädiert für ein Foul, aber die fehlbare Mannschaft spielt weiter. Was geschieht?</t>
  </si>
  <si>
    <t>A. Strafe für den Gegner B. Warnung für das fehlbare Team C. Ball fallen lassen D. Freistoß für den Gegner</t>
  </si>
  <si>
    <t>Warnung für das fehlbare Team</t>
  </si>
  <si>
    <t>Das Ignorieren des Schiedsrichterrufs kann zu einer Verwarnung führen.</t>
  </si>
  <si>
    <t>A. The game continues B. Drop the ball C. Free kick for the leading team D. Free kick for the back team</t>
  </si>
  <si>
    <t>Der Ball trifft versehentlich den Schiedsrichter und bleibt im Spiel. Was soll passieren?</t>
  </si>
  <si>
    <t>A. Das Spiel geht weiter B. Ball fallen lassen C. Freistoß für die führende Mannschaft D. Freistoß für die hintere Mannschaft</t>
  </si>
  <si>
    <t>Wenn der Ball den Schiedsrichter trifft und im Spiel bleibt, wird das Spiel fortgesetzt.</t>
  </si>
  <si>
    <t>A. Free kick for their team B. Goal for the opposing team C. Corner for the opposing team D. The game continues</t>
  </si>
  <si>
    <t>Ein Spieler erzielt ein Eigentor, während er versucht, den Ball zu klären. Was ist das Ergebnis?</t>
  </si>
  <si>
    <t>A. Freistoß für ihre Mannschaft B. Tor für die gegnerische Mannschaft C. Ecke für die gegnerische Mannschaft D. Das Spiel geht weiter</t>
  </si>
  <si>
    <t>Eigentore sind gültig und werden der gegnerischen Mannschaft gutgeschrieben.</t>
  </si>
  <si>
    <t>A. Yellow card for the player B. The game continues C. Free kick for the opponent D. Warning regarding unsportsmanlike conduct</t>
  </si>
  <si>
    <t>Ein Spieler springt während des Spiels vom Fahrrad, um ein Tor zu feiern. Was geschieht?</t>
  </si>
  <si>
    <t>A. Gelbe Karte für den Spieler B. Das Spiel geht weiter C. Freistoß für den Gegner D. Warnung wegen unsportlichem Verhalten</t>
  </si>
  <si>
    <t>Gelbe Karte für den Spieler</t>
  </si>
  <si>
    <t>Während des Spiels vom Fahrrad zu springen ist unsportlich und führt zu einer gelben Karte.</t>
  </si>
  <si>
    <t>A. Warning for the team B. Yellow card for the substitute player C. Free kick for the opponent D. Drop the ball</t>
  </si>
  <si>
    <t>Eine Mannschaft verzögert ihre Auswechslung absichtlich, um Zeit zu verschwenden. Welche Maßnahmen werden ergriffen?</t>
  </si>
  <si>
    <t>A. Warnung für das Team B. Gelbe Karte für den Ersatzspieler C. Freistoß für den Gegner D. Ball fallen lassen</t>
  </si>
  <si>
    <t>Warnung für das Team</t>
  </si>
  <si>
    <t>Eine Verzögerung von Auswechslungen kann zu einer Verwarnung der Mannschaft führen.</t>
  </si>
  <si>
    <t>A. The game continues B. Foul against the fallen player C. Free kick for the opponent D. Warning about dangerous game</t>
  </si>
  <si>
    <t>Ein Spieler verliert während einer Verteidigungsbewegung das Gleichgewicht und fällt vom Fahrrad. Was geschieht?</t>
  </si>
  <si>
    <t>A. Das Spiel geht weiter B. Foul gegen den gefallenen Spieler C. Freistoß für den Gegner D. Warnung vor gefährlichem Spiel</t>
  </si>
  <si>
    <t>Ein Sturz vom Fahrrad ist kein Foul, es sei denn, er gefährdet andere.</t>
  </si>
  <si>
    <t>A. Penalty for the opponent B. Free kick for the opponent C. The game continues D. A goal will be awarded</t>
  </si>
  <si>
    <t>Der Torwart einer Mannschaft stoppt einen Schuss mit den Händen. Wie lautet das Urteil?</t>
  </si>
  <si>
    <t>A. Strafe für den Gegner B. Freistoß für den Gegner C. Das Spiel geht weiter D. Tor wird vergeben</t>
  </si>
  <si>
    <t>Torhüter dürfen beim Radball keine Hände benutzen.</t>
  </si>
  <si>
    <t>A. Drop the ball B. Free kick for the opposing team C. The game continues D. Goal kick for the affected team</t>
  </si>
  <si>
    <t>Der Ball prallt von einem Zuschauer ab und kehrt auf das Spielfeld zurück. Was soll der Schiedsrichter tun?</t>
  </si>
  <si>
    <t>A. Ball fallen lassen B. Freistoß für die gegnerische Mannschaft C. Das Spiel geht weiter D. Abstoß für die betroffene Mannschaft</t>
  </si>
  <si>
    <t>Wenn eine externe Störung auftritt, wird das Spiel mit einem Drop-Ball fortgesetzt.</t>
  </si>
  <si>
    <t>A. The game continues B. Free kick for the opponent C. Warning for the defender D. Penalty for the opponent</t>
  </si>
  <si>
    <t>Ein Verteidiger bewegt sein Fahrrad in den Torraum, ohne den Ball zu spielen. Was geschieht?</t>
  </si>
  <si>
    <t>A. Das Spiel geht weiter B. Freistoß für den Gegner C. Warnung für den Verteidiger D. Strafe für den Gegner</t>
  </si>
  <si>
    <t>Das Betreten des Torraums, ohne den Ball zu spielen, kann zu einem Freistoß führen.</t>
  </si>
  <si>
    <t>A. Goal scores B. The gate is invalid C. Free kick for the opposing team D. Drop the ball</t>
  </si>
  <si>
    <t>Eine Mannschaft schießt ein Tor, aber der Schiedsrichter bemerkt, dass sie im Spielaufbau im Abseits stand. Wie lautet das Urteil?</t>
  </si>
  <si>
    <t>A. Torstände B. Das Tor ist unzulässig C. Freistoß für die gegnerische Mannschaft D. Ball fallen lassen</t>
  </si>
  <si>
    <t>Das Tor ist unzulässig</t>
  </si>
  <si>
    <t>Abseitsspiel macht ein Tor ungültig.</t>
  </si>
  <si>
    <t>A. The game continues B. Warning for the substitute player C. Free kick for the opponent D. Yellow card for the substitute player</t>
  </si>
  <si>
    <t>Ein Auswechselspieler betritt das Spiel, bevor der Schiedsrichter das Zeichen gibt. Was soll passieren?</t>
  </si>
  <si>
    <t>A. Das Spiel geht weiter B. Warnung für den Ersatzspieler C. Freistoß für den Gegner D. Gelbe Karte für den Ersatzspieler</t>
  </si>
  <si>
    <t>Warnung für den Ersatzmann</t>
  </si>
  <si>
    <t>Auswechselspieler müssen auf das Signal des Schiedsrichters warten, um ins Spiel zu kommen.</t>
  </si>
  <si>
    <t>A. A goal will be awarded B. The game continues C. Drop the ball D. Free kick for the opponent</t>
  </si>
  <si>
    <t>Der Ball trifft den Schiedsrichter und landet direkt im Tor. Wie lautet die Entscheidung?</t>
  </si>
  <si>
    <t>A. Tor wird vergeben B. Das Spiel geht weiter C. Ball fallen lassen D. Freistoß für den Gegner</t>
  </si>
  <si>
    <t>Tore, die nach einem Treffer des Schiedsrichters erzielt werden, sind ungültig.</t>
  </si>
  <si>
    <t>A. Warning against wasting time B. Yellow card for the team captain C. The game continues D. Penalty for the opponent</t>
  </si>
  <si>
    <t>Eine Mannschaft verzögert die Wiederaufnahme des Spiels, nachdem sie einen Freistoß kassiert hat. Was geschieht?</t>
  </si>
  <si>
    <t>A. Warnung vor Zeitverschwendung B. Gelbe Karte für den Mannschaftskapitän C. Das Spiel geht weiter D. Strafe für den Gegner</t>
  </si>
  <si>
    <t>Eine Spielverzögerung führt zu einer zeitraubenden Warnung.</t>
  </si>
  <si>
    <t>A. Allow representation B. Pause the game until they return. C. Drop the ball D. Free kick for the opponent</t>
  </si>
  <si>
    <t>Das Fahrrad eines Spielers hat während des Spiels eine Fehlfunktion und er verlässt das Spielfeld. Wie lautet die Entscheidung des Schiedsrichters?</t>
  </si>
  <si>
    <t>A. Vertretung zulassen B. Unterbrechen Sie das Spiel, bis sie zurückkommen C. Ball fallen lassen D. Freistoß für den Gegner</t>
  </si>
  <si>
    <t>Vertretung zulassen</t>
  </si>
  <si>
    <t>Defekte Fahrräder können ersetzt werden, Ersatzfahrräder sind erlaubt.</t>
  </si>
  <si>
    <t>A. The game continues B. Free kick repeated C. Yellow card for defender D. Warning about attacks</t>
  </si>
  <si>
    <t>Bei einem Freistoß bildet die verteidigende Mannschaft eine Linie zu nah am Ball. Was geschieht?</t>
  </si>
  <si>
    <t>A. Das Spiel geht weiter B. Freistoß wiederholt C. Gelbe Karte für Verteidiger D. Warnung vor Übergriffen</t>
  </si>
  <si>
    <t>Freistoß wiederholt</t>
  </si>
  <si>
    <t>Die Verteidiger müssen den erforderlichen Abstand einhalten und der Freistoß wird wiederholt.</t>
  </si>
  <si>
    <t>A. Corner for the attacker B. Goal kick for the defender C. Drop the ball D. Punishment for the attacker</t>
  </si>
  <si>
    <t>Ein Schuss wird vom Rad des Verteidigers abgelenkt und geht ins Aus. Wie lautet das Urteil?</t>
  </si>
  <si>
    <t>A. Ecke für den Angreifer B. Abstoß für den Verteidiger C. Ball fallen lassen D. Strafe für den Angreifer</t>
  </si>
  <si>
    <t>Ecke für den Angreifer</t>
  </si>
  <si>
    <t>Ablenkungen von Verteidigern, die ins Aus gehen, führen zu einer Ecke für das angreifende Team.</t>
  </si>
  <si>
    <t>A. Yes B. NO C. It depends on the referee's decision. D. Only if the foot touches the outside</t>
  </si>
  <si>
    <t>Ein Spieler punktet, hatte aber vor dem Schuss mit dem Fuß den Boden berührt. Ist das Ziel gültig?</t>
  </si>
  <si>
    <t>A. Ja B. NEIN C. Hängt von der Entscheidung des Schiedsrichters ab D. Nur wenn der Fuß die Außenseite berührt</t>
  </si>
  <si>
    <t>Damit das Tor gültig ist, müssen die Spieler während des Spiels auf ihren Fahrrädern bleiben.</t>
  </si>
  <si>
    <t>A. Free kick for the opponent B. Push notification C. Yellow card for the player D. The game continues</t>
  </si>
  <si>
    <t>Ein Spieler drängt einen Gegner, um in den Ballbesitz zu gelangen. Was geschieht?</t>
  </si>
  <si>
    <t>A. Freistoß für den Gegner B. Warnung vor dem Push C. Gelbe Karte für den Spieler D. Das Spiel geht weiter</t>
  </si>
  <si>
    <t>Körperliches Drängen führt zu einem Freistoß für den Gegner.</t>
  </si>
  <si>
    <t>A. Allow play B. Warn the leading team C. Stop the game D. Drop the ball</t>
  </si>
  <si>
    <t>Eine Mannschaft führt mit 5 Toren und fängt an, ins Stocken zu geraten. Wie soll der Schiedsrichter damit umgehen?</t>
  </si>
  <si>
    <t>A. Spielen zulassen B. Warnen Sie das führende Team C. Stoppen Sie das Spiel D. Ball fallen lassen</t>
  </si>
  <si>
    <t>Warnen Sie das führende Team</t>
  </si>
  <si>
    <t>Hinhaltetaktiken können zu einer Verwarnung wegen unsportlichen Verhaltens führen.</t>
  </si>
  <si>
    <t>A. Drop the ball B. Free kick for the unaffected team C. The game continues D. Corner for the nearest team</t>
  </si>
  <si>
    <t>Der Schiedsrichter unterbricht das Spiel wegen einer Fahrradstörung. Was passiert als nächstes?</t>
  </si>
  <si>
    <t>A. Ball fallen lassen B. Freistoß für die nicht betroffene Mannschaft C. Das Spiel geht weiter D. Ecke für das nächstgelegene Team</t>
  </si>
  <si>
    <t>Nach Unterbrechungen wird das Spiel mit einem Dropball fortgesetzt.</t>
  </si>
  <si>
    <t>A. Goal for the opposing team B. Free kick for the opponent C. The game continues D. Corner for the opposing team</t>
  </si>
  <si>
    <t>Ein Spieler versucht einen Schuss, der Ball wird jedoch von einem Mitspieler ins eigene Tor abgelenkt. Wie lautet das Urteil?</t>
  </si>
  <si>
    <t>A. Tor für die gegnerische Mannschaft B. Freistoß für den Gegner C. Das Spiel geht weiter D. Ecke für die gegnerische Mannschaft</t>
  </si>
  <si>
    <t>Eigentore werden für die gegnerische Mannschaft gewertet.</t>
  </si>
  <si>
    <t>A. The game continues B. Free kick for the attacker C. Punishment for the attacker D. Yellow card for the defender</t>
  </si>
  <si>
    <t>Ein Verteidiger benutzt versehentlich seine Hand, um den Ball im Strafraum zu stoppen. Was geschieht?</t>
  </si>
  <si>
    <t>A. Das Spiel geht weiter B. Freistoß für den Angreifer C. Strafe für den Angreifer D. Gelbe Karte für den Verteidiger</t>
  </si>
  <si>
    <t>Strafe für den Angreifer</t>
  </si>
  <si>
    <t>Handbälle im Strafraum führen zu einer Strafe.</t>
  </si>
  <si>
    <t>A. Yes, with the approval of a referee. B. NO C. Only during a break D. Only between the halves</t>
  </si>
  <si>
    <t>Eine Mannschaft wechselt mitten im Spiel ihren Torwart. Ist das erlaubt?</t>
  </si>
  <si>
    <t>A. Ja, mit Zustimmung eines Schiedsrichters B. NEIN C. Nur während einer Auszeit D. Nur zwischen den Hälften</t>
  </si>
  <si>
    <t>Ja, mit Zustimmung eines Schiedsrichters</t>
  </si>
  <si>
    <t>Torwartwechsel sind mit Zustimmung des Schiedsrichters zulässig.</t>
  </si>
  <si>
    <t>A. The game continues B. Free kick for the opponent C. Warning for the substitute D. Penalty for the opponent</t>
  </si>
  <si>
    <t>Ein Ersatzspieler verzögert das Betreten des Spielfelds, nachdem sein Teamkollege das Spielfeld verlassen hat. Was geschieht?</t>
  </si>
  <si>
    <t>A. Das Spiel geht weiter B. Freistoß für den Gegner C. Warnung für den Ersatzmann D. Strafe für den Gegner</t>
  </si>
  <si>
    <t>Ersatzspieler müssen bereitstehen, aber Verzögerungen unterbrechen das Spiel nicht.</t>
  </si>
  <si>
    <t>A. Ignore the captain B. Issue a warning C. Yellow card for disagreement D. Stop the game</t>
  </si>
  <si>
    <t>Ein Mannschaftskapitän bestreitet während eines Spiels die Entscheidung eines Schiedsrichters. Was soll der Schiedsrichter tun?</t>
  </si>
  <si>
    <t>A. Ignorieren Sie den Kapitän B. Geben Sie eine Warnung aus C. Gelbe Karte wegen Meinungsverschiedenheit D. Stoppen Sie das Spiel</t>
  </si>
  <si>
    <t>Gelbe Karte wegen Meinungsverschiedenheit</t>
  </si>
  <si>
    <t>Die Anfechtung von Schiedsrichterentscheidungen kann zu einer gelben Karte wegen abweichender Meinung führen.</t>
  </si>
  <si>
    <t>A. The game continues B. Free kick for the opponent C. Warning about disability D. Penalty for the opponent</t>
  </si>
  <si>
    <t>Ein Spieler rennt absichtlich in einen Gegner hinein, um dessen Bewegung zu blockieren. Wie lautet die Entscheidung?</t>
  </si>
  <si>
    <t>A. Das Spiel geht weiter B. Freistoß für den Gegner C. Warnung vor Behinderung D. Strafe für den Gegner</t>
  </si>
  <si>
    <t>Das unfaire Blockieren von Gegnern führt zu einem Freistoß.</t>
  </si>
  <si>
    <t>A. The game continues B. Drop the ball C. Free kick for the opponent D. The referee warns the player</t>
  </si>
  <si>
    <t>Der Ball landet auf dem Rahmen des Fahrrads und wird unbeabsichtigt mehrere Sekunden lang mitgerissen. Was geschieht?</t>
  </si>
  <si>
    <t>A. Das Spiel geht weiter B. Ball fallen lassen C. Freistoß für den Gegner D. Der Schiedsrichter warnt den Spieler</t>
  </si>
  <si>
    <t>Das unbeabsichtigte Tragen des Balls stellt keinen Verstoß dar.</t>
  </si>
  <si>
    <t>A. The game continues B. Warning about dangerous game C. Free kick for the opponent D. Punishment for dangerous play</t>
  </si>
  <si>
    <t>Ein Spieler führt einen Tritt mit dem Fahrrad aus, um den Ball zu schießen, verfehlt ihn aber. Was ist die Aktion des Schiedsrichters?</t>
  </si>
  <si>
    <t>A. Das Spiel geht weiter B. Warnung vor gefährlichem Spiel C. Freistoß für den Gegner D. Strafe für gefährliches Spiel</t>
  </si>
  <si>
    <t>Warnung vor gefährlichem Spiel</t>
  </si>
  <si>
    <t>Fahrradtritte sind nur dann erlaubt, wenn sie andere nicht gefährden.</t>
  </si>
  <si>
    <t>A. Yes B. NO C. It depends on the referee's decision. D. Only if no defender touches it</t>
  </si>
  <si>
    <t>Bei einer Ecke schlägt der angreifende Spieler den Ball direkt ins Tor. Ist das Ziel gültig?</t>
  </si>
  <si>
    <t>A. Ja B. NEIN C. Hängt von der Entscheidung des Schiedsrichters ab D. Nur wenn kein Verteidiger es berührt</t>
  </si>
  <si>
    <t>Eckbälle können zu direkten Toren führen.</t>
  </si>
  <si>
    <t>A. Offside is called. B. Free kick for the opponent C. The game continues D. Positioning warning</t>
  </si>
  <si>
    <t>Ein Verteidiger flankt in die Angriffshälfte, bevor sein Torwart die Verteidigungszone verlässt. Was geschieht?</t>
  </si>
  <si>
    <t>A. Abseits wird gepfiffen B. Freistoß für den Gegner C. Das Spiel geht weiter D. Warnung zur Positionierung</t>
  </si>
  <si>
    <t>Abseits wird gepfiffen</t>
  </si>
  <si>
    <t>Spieler müssen Abseitsregeln respektieren, um unfaire Vorteile zu vermeiden.</t>
  </si>
  <si>
    <t>A. Goal scores B. Drop the ball C. The game continues D. The gate is invalid</t>
  </si>
  <si>
    <t>Ein Schiedsrichter zeigt fälschlicherweise ein Tor an, bevor der Ball die Linie vollständig überquert hat. Was ist die nächste Aktion?</t>
  </si>
  <si>
    <t>A. Torstände B. Ball fallen lassen C. Das Spiel geht weiter D. Das Tor ist unzulässig</t>
  </si>
  <si>
    <t>Damit ein Tor gültig ist, muss der Ball die Torlinie vollständig überqueren.</t>
  </si>
  <si>
    <t>A. Warning due to delay B. Free kick for the opponent C. Drop the ball D. The game continues</t>
  </si>
  <si>
    <t>Eine Mannschaft braucht zu lange, um einen Freistoß auszuführen, nachdem dieser vergeben wurde. Was geschieht?</t>
  </si>
  <si>
    <t>A. Warnung wegen Verzögerung B. Freistoß für den Gegner C. Ball fallen lassen D. Das Spiel geht weiter</t>
  </si>
  <si>
    <t>Warnung wegen Verzögerung</t>
  </si>
  <si>
    <t>Verzögerungen bei der Wiederaufnahme des Spiels können zu Verwarnungen führen.</t>
  </si>
  <si>
    <t>A. The game continues B. Warning for the substitute C. Free kick for the opponent D. A representation is invalid</t>
  </si>
  <si>
    <t>Ein Auswechselspieler betritt das Spielfeld ohne das Signal des Schiedsrichters, beeinträchtigt jedoch nicht das Spiel. Was ist das Ergebnis?</t>
  </si>
  <si>
    <t>A. Das Spiel geht weiter B. Warnung für den Ersatzmann C. Freistoß für den Gegner D. Eine Vertretung ist ungültig</t>
  </si>
  <si>
    <t>Unberechtigter Zutritt führt auch ohne unmittelbare Einwirkung zu einer Verwarnung.</t>
  </si>
  <si>
    <t>A. The game continues B. Punishment for the attacker C. Warning regarding unsportsmanlike conduct D. Free kick for the opponent</t>
  </si>
  <si>
    <t>Der Ball prallt gegen den Torpfosten und wird zurück in den Strafraum abgefälscht. Ein Verteidiger bewegt den Pfosten absichtlich. Was geschieht?</t>
  </si>
  <si>
    <t>A. Das Spiel geht weiter B. Strafe für den Angreifer C. Warnung wegen unsportlichem Spiel D. Freistoß für den Gegner</t>
  </si>
  <si>
    <t>Das absichtliche Verschieben des Torpfostens wird mit einem Strafstoß geahndet.</t>
  </si>
  <si>
    <t>A. The game continues B. Free kick for the opponent C. Drop the ball D. Yellow card for the attacker</t>
  </si>
  <si>
    <t>Ein angreifender Spieler betritt den Torraum und blockiert die Bewegung des Torwarts. Was macht der Schiedsrichter?</t>
  </si>
  <si>
    <t>A. Das Spiel geht weiter B. Freistoß für den Gegner C. Ball fallen lassen D. Gelbe Karte für den Angreifer</t>
  </si>
  <si>
    <t>Ein Eingriff in den Torwart wird mit einem Freistoß bestraft.</t>
  </si>
  <si>
    <t>A. Goal scores B. Free kick for the defender C. The game stops D. Repeat the goal attempt</t>
  </si>
  <si>
    <t>Ein Tor wird erzielt, während ein Verteidiger aufgrund eines Sturzes am Boden liegt. Wie lautet die Entscheidung des Schiedsrichters?</t>
  </si>
  <si>
    <t>A. Torstände B. Freistoß für den Verteidiger C. Das Spiel stoppt D. Wiederholen Sie den Torversuch</t>
  </si>
  <si>
    <t>Torstände</t>
  </si>
  <si>
    <t>Das Spiel wird fortgesetzt, es sei denn, es liegt eine schwere Verletzung oder eine äußere Störung vor.</t>
  </si>
  <si>
    <t>A. The game continues B. Throw-in for the team in question C. Drop the ball D. Free kick for the opponent</t>
  </si>
  <si>
    <t>Der Ball geht ins Aus, kehrt aber aufgrund des Windes sofort zurück. Wie lautet das Urteil?</t>
  </si>
  <si>
    <t>A. Das Spiel geht weiter B. Einwurf für die betroffene Mannschaft C. Ball fallen lassen D. Freistoß für den Gegner</t>
  </si>
  <si>
    <t>Einwurf für die betroffene Mannschaft</t>
  </si>
  <si>
    <t>Das Spiel endet, sobald der Ball vollständig im Aus ist.</t>
  </si>
  <si>
    <t>A. The game continues B. Free kick for the attacker C. Warning for the defender D. Drop the ball</t>
  </si>
  <si>
    <t>Ein Verteidiger blockiert mit seinem Fahrradrad einen hohen Ball über Schulterhöhe. Was entscheidet der Schiedsrichter?</t>
  </si>
  <si>
    <t>A. Das Spiel geht weiter B. Freistoß für den Angreifer C. Warnung für den Verteidiger D. Ball fallen lassen</t>
  </si>
  <si>
    <t>Freistoß für den Angreifer</t>
  </si>
  <si>
    <t>High-Ball-Blocks über Schulterhöhe sind in der Verteidigung nicht erlaubt.</t>
  </si>
  <si>
    <t>A. Free kick B. Drop the ball C. Indirect free kick D. The game will resume from the point of injury.</t>
  </si>
  <si>
    <t>Der Schiedsrichter unterbricht das Spiel wegen einer Verletzung. Beim Neustart wird der Ball an die angreifende Mannschaft übergeben. Welche Methode wird verwendet?</t>
  </si>
  <si>
    <t>A. Freistoß B. Ball fallen lassen C. Indirekter Freistoß D. Das Spiel wird ab der Verletzungsstelle fortgesetzt</t>
  </si>
  <si>
    <t>A. The game continues B. Warning for the goalkeeper C. Free kick for the attacker D. Indirect free kick for the attacker</t>
  </si>
  <si>
    <t>Ein Torwart verlässt den Strafraum, um einen langen Pass abzufangen. Was passiert, wenn sie den Ball nicht berühren?</t>
  </si>
  <si>
    <t>A. Das Spiel geht weiter B. Warnung für den Torwart C. Freistoß für den Angreifer D. Indirekter Freistoß für den Angreifer</t>
  </si>
  <si>
    <t>Torhüter dürfen den Bereich verlassen, es sei denn, sie greifen unfair ein.</t>
  </si>
  <si>
    <t>A. Warning due to delay B. Free kick for the opponent C. Yellow card D. The referee stops the game.</t>
  </si>
  <si>
    <t>Ein Spieler verzögert das Spiel absichtlich, um die Position seines Fahrrads anzupassen. Was geschieht?</t>
  </si>
  <si>
    <t>A. Warnung wegen Verzögerung B. Freistoß für den Gegner C. Gelbe Karte D. Der Schiedsrichter stoppt das Spiel</t>
  </si>
  <si>
    <t>Bewusste Verzögerungen können zu Abmahnungen führen.</t>
  </si>
  <si>
    <t>A. Goal scores B. Free kick for the opponent C. Warning for the screaming player D. Penalty for unsportsmanlike conduct</t>
  </si>
  <si>
    <t>Ein angreifender Spieler schießt, während sein Teamkollege den Verteidiger durch lautes Rufen ablenkt. Was geschieht?</t>
  </si>
  <si>
    <t>A. Torstände B. Freistoß für den Gegner C. Warnung für den schreienden Spieler D. Strafe für unsportliches Verhalten</t>
  </si>
  <si>
    <t>Das Ablenken des Gegners wird als unsportliches Verhalten geahndet.</t>
  </si>
  <si>
    <t>A. Drop the ball B. Replace the ball and repeat the game. C. The game continues with another ball. D. Give the attacker a free kick</t>
  </si>
  <si>
    <t>Der Ball zerplatzt in der Luft, nachdem er hart getroffen wurde. Was macht der Schiedsrichter?</t>
  </si>
  <si>
    <t>A. Ball fallen lassen B. Ersetzen Sie den Ball und wiederholen Sie das Spiel C. Das Spiel wird mit einem weiteren Ball fortgesetzt D. Gewähre dem Angreifer einen Freistoß</t>
  </si>
  <si>
    <t>Ersetzen Sie den Ball und wiederholen Sie das Spiel</t>
  </si>
  <si>
    <t>Ein neuer Ball wird eingeführt und das Spiel wird fortgesetzt.</t>
  </si>
  <si>
    <t>A. The game continues B. Match is stopped C. Warning to the injured team D. Free kick for the opponent</t>
  </si>
  <si>
    <t>Eine Mannschaft spielt aufgrund einer Verletzung mehrere Minuten lang nur mit einem Spieler. Was geschieht?</t>
  </si>
  <si>
    <t>A. Das Spiel geht weiter B. Match wird gestoppt C. Warnung an die verletzte Mannschaft D. Freistoß für den Gegner</t>
  </si>
  <si>
    <t>Teams können weitermachen, solange ein Spieler auf dem Spielfeld ist.</t>
  </si>
  <si>
    <t>A. The game continues B. Free kick for the attacker C. Warning for the defender D. Yellow card for the defender</t>
  </si>
  <si>
    <t>Ein Verteidiger reitet rückwärts, während er sich gegen einen Angreifer verteidigt. Was regelt der Schiedsrichter?</t>
  </si>
  <si>
    <t>A. Das Spiel geht weiter B. Freistoß für den Angreifer C. Warnung für den Verteidiger D. Gelbe Karte für den Verteidiger</t>
  </si>
  <si>
    <t>Rückwärtsfahren ist erlaubt, es sei denn, es entsteht eine gefährliche Situation.</t>
  </si>
  <si>
    <t>A. The game continues B. Warning regarding illegal relocation C. Free kick for the opponent D. Indirect free kick</t>
  </si>
  <si>
    <t>Ein Spieler nutzt das Hinterrad, um den Ball einem Mitspieler zuzuspielen. Wie lautet die Entscheidung des Schiedsrichters?</t>
  </si>
  <si>
    <t>A. Das Spiel geht weiter B. Warnung wegen illegalem Umzug C. Freistoß für den Gegner D. Indirekter Freistoß</t>
  </si>
  <si>
    <t>Beim Radball ist es erlaubt, das Hinterrad zum Passen zu benutzen.</t>
  </si>
  <si>
    <t>A. The game continues B. Free kick for the opponent C. Warning to the goalkeeper D. Indirect free kick</t>
  </si>
  <si>
    <t>Ein Torwart reitet außerhalb seines Verteidigungsbereichs und blockt den Ball. Was geschieht?</t>
  </si>
  <si>
    <t>A. Das Spiel geht weiter B. Freistoß für den Gegner C. Warnung an den Torwart D. Indirekter Freistoß</t>
  </si>
  <si>
    <t>Torhüter können ihren Bereich verlassen, sofern sie nicht unfair eingreifen.</t>
  </si>
  <si>
    <t>A. Drop the ball B. The game continues C. Free kick for the affected team D. goal kick</t>
  </si>
  <si>
    <t>Der Ball trifft versehentlich einen Schiedsrichter und ändert die Richtung. Was passiert als nächstes?</t>
  </si>
  <si>
    <t>A. Ball fallen lassen B. Das Spiel geht weiter C. Freistoß für die betroffene Mannschaft D. Abstoß</t>
  </si>
  <si>
    <t>Wenn der Ball den Schiedsrichter trifft und das Spiel beeinträchtigt, wird das Spiel mit einem Dropball neu gestartet.</t>
  </si>
  <si>
    <t>A. Yes, if it's a coincidence. B. No, always invalid C. Yes, under all circumstances D. Only if the referee allows it.</t>
  </si>
  <si>
    <t>Ein angreifender Spieler stoppt den Ball mit seinem Fahrradrahmen und schießt. Ist das Ziel gültig?</t>
  </si>
  <si>
    <t>A. Ja, wenn es ein Zufall ist B. Nein, immer ungültig C. Ja, unter allen Umständen D. Nur wenn der Schiedsrichter es zulässt</t>
  </si>
  <si>
    <t>Ja, wenn es ein Zufall ist</t>
  </si>
  <si>
    <t>Die unbeabsichtigte Nutzung des Fahrradrahmens stellt keinen Verstoß dar.</t>
  </si>
  <si>
    <t>A. Punishment for the attacker B. Warning to the defender C. Free kick for the attacker D. The game continues</t>
  </si>
  <si>
    <t>Ein Verteidiger reitet absichtlich in den Torraum, um einen Schuss abzuwehren. Was entscheidet der Schiedsrichter?</t>
  </si>
  <si>
    <t>A. Strafe für den Angreifer B. Warnung an den Verteidiger C. Freistoß für den Angreifer D. Das Spiel geht weiter</t>
  </si>
  <si>
    <t>Das absichtliche Betreten des Torraums zur Verteidigung wird bestraft.</t>
  </si>
  <si>
    <t>A. goal kick B. The corner is being reclaimed. C. Throw-in for the opponent D. Indirect free kick</t>
  </si>
  <si>
    <t>Bei einer Ecke wird der Ball zu hoch geschlagen und verlässt das Spielfeld. Was geschieht?</t>
  </si>
  <si>
    <t>A. Abstoß B. Die Ecke wird zurückerobert C. Einwurf für den Gegner D. Indirekter Freistoß</t>
  </si>
  <si>
    <t>Abstoß</t>
  </si>
  <si>
    <t>Hohe Bälle, die dazu führen, dass der Ball das Spielfeld verlässt, führen zu einem Abstoß.</t>
  </si>
  <si>
    <t>A. Goal scores B. Free kick for the defender C. Drop the ball D. Repeat the goal attempt</t>
  </si>
  <si>
    <t>Ein Spieler fällt beim Versuch, einen Schuss abzuwehren, vom Fahrrad, der Ball geht jedoch ins Tor. Was geschieht?</t>
  </si>
  <si>
    <t>A. Torstände B. Freistoß für den Verteidiger C. Ball fallen lassen D. Wiederholen Sie den Torversuch</t>
  </si>
  <si>
    <t>Sofern keine Behinderung erkennbar ist, bleibt das Ziel bestehen.</t>
  </si>
  <si>
    <t>A. The game continues B. Drop the ball C. Free kick for the attacker D. Warning to the defender</t>
  </si>
  <si>
    <t>Der Ball bleibt während eines Verteidigungsspiels unter dem Rad eines Spielers stecken. Was macht der Schiedsrichter?</t>
  </si>
  <si>
    <t>A. Das Spiel geht weiter B. Ball fallen lassen C. Freistoß für den Angreifer D. Warnung an den Verteidiger</t>
  </si>
  <si>
    <t>Stuck-Ball-Situationen werden mit einem Drop-Ball neu gestartet.</t>
  </si>
  <si>
    <t>A. Free kick for the opponent B. Warning to the substitute player C. The game continues D. A representation is invalid</t>
  </si>
  <si>
    <t>Ein Ersatzspieler betritt das Spielfeld, ohne darauf zu warten, dass der austretende Spieler das Spielfeld verlässt. Was geschieht?</t>
  </si>
  <si>
    <t>A. Freistoß für den Gegner B. Warnung an den Ersatzspieler C. Das Spiel geht weiter D. Eine Vertretung ist ungültig</t>
  </si>
  <si>
    <t>Warnung an den Ersatzspieler</t>
  </si>
  <si>
    <t>Unsachgemäße Ersetzungen führen zu Verwarnungen.</t>
  </si>
  <si>
    <t>A. Yellow card for being late B. Warning due to delay C. Free kick for the opponent D. The game continues</t>
  </si>
  <si>
    <t>Eine Mannschaft verzögert wiederholt die Ausführung eines Abstoßes. Was entscheidet der Schiedsrichter?</t>
  </si>
  <si>
    <t>A. Gelbe Karte wegen Verspätung B. Warnung wegen Verzögerung C. Freistoß für den Gegner D. Das Spiel geht weiter</t>
  </si>
  <si>
    <t>Wiederholte Verzögerungen können zu Warnungen wegen Zeitverschwendung führen.</t>
  </si>
  <si>
    <t>A. The game continues B. Free kick for the opponent C. Drop the ball D. Indirect free kick</t>
  </si>
  <si>
    <t>Der Ball trifft die Decke und kommt zurück ins Spiel. Was passiert als nächstes?</t>
  </si>
  <si>
    <t>A. Das Spiel geht weiter B. Freistoß für den Gegner C. Ball fallen lassen D. Indirekter Freistoß</t>
  </si>
  <si>
    <t>Wenn der Ball die Decke berührt, wird das Spiel mit einem Drop-Ball fortgesetzt.</t>
  </si>
  <si>
    <t>A. Goal scores B. Free kick for the opponent C. Warning to the attacker D. Penalty for unsportsmanlike conduct</t>
  </si>
  <si>
    <t>Ein angreifender Spieler lenkt den Torwart ab, indem er laut schreit, bevor er einen Schuss ausführt. Was geschieht?</t>
  </si>
  <si>
    <t>A. Torstände B. Freistoß für den Gegner C. Warnung an den Angreifer D. Strafe für unsportliches Verhalten</t>
  </si>
  <si>
    <t>Das absichtliche Ablenken des Gegners wird als unsportliches Verhalten geahndet.</t>
  </si>
  <si>
    <t>A. Free kick for the fouled team B. Drop the ball C. The game starts again from the beginning. D. The game continues</t>
  </si>
  <si>
    <t>Der Schiedsrichter signalisiert fälschlicherweise ein Foul und unterbricht das Spiel. Wie wird das Spiel fortgesetzt?</t>
  </si>
  <si>
    <t>A. Freistoß für die gefoulte Mannschaft B. Ball fallen lassen C. Das Spiel beginnt an der Stelle von vorne D. Das Spiel geht weiter</t>
  </si>
  <si>
    <t>Wenn das Spiel versehentlich unterbrochen wird, wird es mit einem Dropball fortgesetzt.</t>
  </si>
  <si>
    <t>A. Free kick for the attacker B. The game continues C. Warning for the defender D. Punishment for the attacker</t>
  </si>
  <si>
    <t>Ein Verteidiger berührt den Ball mit seinem Körper, während er einen Block versucht. Wie lautet die Entscheidung?</t>
  </si>
  <si>
    <t>A. Freistoß für den Angreifer B. Das Spiel geht weiter C. Warnung für den Verteidiger D. Strafe für den Angreifer</t>
  </si>
  <si>
    <t>Körperkontakt mit dem Ball ist nicht erlaubt und wird bestraft.</t>
  </si>
  <si>
    <t>A. Replace the ball and restart. B. Drop the ball C. Free kick for the attacker D. The game continues with another ball.</t>
  </si>
  <si>
    <t>Der Ball wird bei einem Hochgeschwindigkeitsschuss durchstoßen. Was macht der Schiedsrichter?</t>
  </si>
  <si>
    <t>A. Ersetzen Sie den Ball und starten Sie neu B. Ball fallen lassen C. Freistoß für den Angreifer D. Das Spiel wird mit einem weiteren Ball fortgesetzt</t>
  </si>
  <si>
    <t>Ersetzen Sie den Ball und starten Sie neu</t>
  </si>
  <si>
    <t>Ein beschädigter Ball wird ersetzt und das Spiel beginnt entsprechend neu.</t>
  </si>
  <si>
    <t>A. Goal scores B. Free kick for the opponent C. Indirect free kick for the attacker D. Warning for the attacker</t>
  </si>
  <si>
    <t>Ein angreifender Spieler punktet, geht aber beim Schießen in den Torwartbereich. Wie lautet die Aufforderung des Schiedsrichters?</t>
  </si>
  <si>
    <t>A. Torstände B. Freistoß für den Gegner C. Indirekter Freistoß für den Angreifer D. Warnung für den Angreifer</t>
  </si>
  <si>
    <t>Das Betreten des Torwartbereichs macht das Tor ungültig.</t>
  </si>
  <si>
    <t>A. goal kick B. Corner kick C. Free kick for the attacker D. The game continues</t>
  </si>
  <si>
    <t>Ein Torwart lenkt den Ball ins Aus. Was passiert als nächstes?</t>
  </si>
  <si>
    <t>A. Abstoß B. Eckball C. Freistoß für den Angreifer D. Das Spiel geht weiter</t>
  </si>
  <si>
    <t>Eckball</t>
  </si>
  <si>
    <t>Eine Ablenkung des Torwarts ins Aus führt zu einem Eckball.</t>
  </si>
  <si>
    <t>A. Yes, as long as it's inpatient B. No, always a foul C. Only within the penalty area D. Only if it's by chance</t>
  </si>
  <si>
    <t>Ein Verteidiger blockt im Stand einen hohen Ball mit der Brust. Ist das erlaubt?</t>
  </si>
  <si>
    <t>A. Ja, solange stationär B. Nein, immer ein Foul C. Nur innerhalb des Strafraums D. Nur wenn es Zufall ist</t>
  </si>
  <si>
    <t>Ja, solange stationär</t>
  </si>
  <si>
    <t>In bestimmten Situationen sind stationäre Blockaden mit der Brust erlaubt.</t>
  </si>
  <si>
    <t>A. The game continues B. Drop the ball C. Free kick for the affected team D. Indirect free kick</t>
  </si>
  <si>
    <t>Der Ball trifft den Schiedsrichter, beeinträchtigt aber nicht das Spiel. Was ist die nächste Aktion?</t>
  </si>
  <si>
    <t>A. Das Spiel geht weiter B. Ball fallen lassen C. Freistoß für die betroffene Mannschaft D. Indirekter Freistoß</t>
  </si>
  <si>
    <t>Wenn der Schiedsrichter das Spiel nicht stört, wird das Spiel fortgesetzt.</t>
  </si>
  <si>
    <t>A. Goal scores B. Offside is called. C. Free kick for the opponent D. Repeat the goal</t>
  </si>
  <si>
    <t>Ein Spieler schießt ein Tor, aber sein Teamkollege befand sich im Verteidigungsbereich. Wie lautet die Entscheidung des Schiedsrichters?</t>
  </si>
  <si>
    <t>A. Torstände B. Abseits wird gepfiffen C. Freistoß für den Gegner D. Wiederholen Sie das Tor</t>
  </si>
  <si>
    <t>Die Spieler müssen sich an die Positionierungsregeln halten, um sicherzustellen, dass die Ziele gültig sind.</t>
  </si>
  <si>
    <t>A. The game continues B. Free kick for the opponent C. Warning to the player D. Indirect free kick</t>
  </si>
  <si>
    <t>Ein Spieler stoppt den Ball während der Verteidigung versehentlich mit dem Fuß. Wie lautet die Entscheidung?</t>
  </si>
  <si>
    <t>A. Das Spiel geht weiter B. Freistoß für den Gegner C. Warnung an den Spieler D. Indirekter Freistoß</t>
  </si>
  <si>
    <t>Die Verwendung eines Körperteils zur Kontrolle des Balls ist ein Verstoß.</t>
  </si>
  <si>
    <t>A. The game continues B. Drop the ball C. Throw-in for the opponent D. goal kick</t>
  </si>
  <si>
    <t>Der Ball rollt über die Seitenlinie, bleibt aber im Spiel. Was passiert als nächstes?</t>
  </si>
  <si>
    <t>A. Das Spiel geht weiter B. Ball fallen lassen C. Einwurf für den Gegner D. Abstoß</t>
  </si>
  <si>
    <t>Wenn der Ball die Linie nicht vollständig überquert, wird das Spiel fortgesetzt.</t>
  </si>
  <si>
    <t>A. Free kick for the attacker B. Free kick for the opponent C. The game continues D. Warning to the player</t>
  </si>
  <si>
    <t>Bei einem schnellen Gegenangriff verliert ein Spieler die Kontrolle und prallt gegen den Torpfosten. Wie lautet die Aufforderung des Schiedsrichters?</t>
  </si>
  <si>
    <t>A. Freistoß für den Angreifer B. Freistoß für den Gegner C. Das Spiel geht weiter D. Warnung an den Spieler</t>
  </si>
  <si>
    <t>Versehentliche Unfälle werden nicht bestraft, es sei denn, es ist offensichtlich, dass vorsätzliche Eingriffe vorgenommen wurden.</t>
  </si>
  <si>
    <t>A. Goal scores B. Goal disallowed due to high risk C. Free kick for the opponent D. Drop the ball</t>
  </si>
  <si>
    <t>Ein angreifender Spieler führt einen Spin-Move aus und schießt den Ball ins Tor. Wie lautet das Urteil?</t>
  </si>
  <si>
    <t>A. Torstände B. Tor wegen hohem Risiko nicht anerkannt C. Freistoß für den Gegner D. Ball fallen lassen</t>
  </si>
  <si>
    <t>Kreative Bewegungen wie Drehungen sind erlaubt, sofern nicht gegen Regeln verstoßen wird.</t>
  </si>
  <si>
    <t>A. Yes, if unintentional B. No, always a foul C. Only in the defensive area D. Only if it's by chance</t>
  </si>
  <si>
    <t>Ein Verteidiger blockt den Ball im Stand mit der Lenkstange. Ist das erlaubt?</t>
  </si>
  <si>
    <t>A. Ja, wenn unbeabsichtigt B. Nein, immer ein Foul C. Nur im defensiven Bereich D. Nur wenn es Zufall ist</t>
  </si>
  <si>
    <t>Ja, wenn unbeabsichtigt</t>
  </si>
  <si>
    <t>Lenkerblockaden sind nur zulässig, wenn die Aktion unbeabsichtigt erfolgt.</t>
  </si>
  <si>
    <t>A. The game continues B. The opponent is awarded a free kick. C. Warning to the player D. Drop the ball</t>
  </si>
  <si>
    <t>Ein Spieler verzögert die Ausführung eines Freistoßes über das Zeitlimit hinaus. Was geschieht?</t>
  </si>
  <si>
    <t>A. Das Spiel geht weiter B. Dem Gegner wird ein Freistoß zugesprochen C. Warnung an den Spieler D. Ball fallen lassen</t>
  </si>
  <si>
    <t>Dem Gegner wird ein Freistoß zugesprochen</t>
  </si>
  <si>
    <t>Eine Verzögerung des Neustarts über das Limit hinaus führt zu einem Freistoß für das gegnerische Team.</t>
  </si>
  <si>
    <t>A. Drop the ball B. Free kick for the affected team C. The game continues D. Start again from the middle.</t>
  </si>
  <si>
    <t>Der Ball trifft einen Zuschauer und kehrt auf das Spielfeld zurück. Wie lautet die Entscheidung des Schiedsrichters?</t>
  </si>
  <si>
    <t>A. Ball fallen lassen B. Freistoß für die betroffene Mannschaft C. Das Spiel geht weiter D. Starten Sie von der Mitte aus neu</t>
  </si>
  <si>
    <t>Eine externe Störung erfordert einen Drop-Ball, um das Spiel fortzusetzen.</t>
  </si>
  <si>
    <t>A. Goal scores B. Free kick for the opponent C. Warning to the attacker D. Indirect free kick</t>
  </si>
  <si>
    <t>Ein Angreifer flankt nach dem Schuss in den Torraum. Wie lautet die Entscheidung?</t>
  </si>
  <si>
    <t>A. Torstände B. Freistoß für den Gegner C. Warnung an den Angreifer D. Indirekter Freistoß</t>
  </si>
  <si>
    <t>Das Betreten des Torraums macht das Tor ungültig.</t>
  </si>
  <si>
    <t>A. Retake the penalty kick B. A penalty kick is given C. Drop the ball D. Warning to the goalkeeper</t>
  </si>
  <si>
    <t>Bei einem Elfmeter bewegt sich der Torwart vor dem Schuss nach vorne. Was macht der Schiedsrichter?</t>
  </si>
  <si>
    <t>A. Wiederholen Sie den Elfmeter B. Elfmeter steht C. Ball fallen lassen D. Warnung an den Torwart</t>
  </si>
  <si>
    <t>Wiederholen Sie den Elfmeter</t>
  </si>
  <si>
    <t>Torhüter müssen auf der Torlinie bleiben, bis der Ball geschlagen wird.</t>
  </si>
  <si>
    <t>A. The game continues B. Warning regarding unsportsmanlike conduct C. Free kick for the opponent D. Indirect free kick</t>
  </si>
  <si>
    <t>Ein Spieler behindert einen Gegner, ohne zu versuchen, den Ball zu spielen. Wie lautet das Urteil?</t>
  </si>
  <si>
    <t>A. Das Spiel geht weiter B. Warnung wegen unsportlichem Verhalten C. Freistoß für den Gegner D. Indirekter Freistoß</t>
  </si>
  <si>
    <t>Eine Behinderung ohne Absicht, den Ball zu spielen, wird bestraft.</t>
  </si>
  <si>
    <t>A. Free kick for the opponent B. Drop the ball C. Warning to the player D. The game continues</t>
  </si>
  <si>
    <t>Ein Spieler hebt den Ball absichtlich mit seinem Rad an, um sich einen Vorteil zu verschaffen. Was entscheidet der Schiedsrichter?</t>
  </si>
  <si>
    <t>A. Freistoß für den Gegner B. Ball fallen lassen C. Warnung an den Spieler D. Das Spiel geht weiter</t>
  </si>
  <si>
    <t>Das absichtliche Anheben des Balls ist nicht erlaubt.</t>
  </si>
  <si>
    <t>A. Goal scores B. Goal not recognized C. Drop the ball D. Indirect free kick</t>
  </si>
  <si>
    <t>Bei einem Hochgeschwindigkeitsball prallt der Ball gegen die Rückwand und springt ins Tor. Wie lautet die Entscheidung?</t>
  </si>
  <si>
    <t>A. Torstände B. Tor nicht anerkannt C. Ball fallen lassen D. Indirekter Freistoß</t>
  </si>
  <si>
    <t>Das Abprallen von der Wand ins Tor ist zulässig, sofern nicht gegen andere Regeln verstoßen wird.</t>
  </si>
  <si>
    <t>A. The game continues B. Free kick for the attacker C. Drop the ball D. goal kick</t>
  </si>
  <si>
    <t>Ein Angreifer spielt den Ball zu seinem Mitspieler, doch dieser trifft den Schiedsrichter und ändert die Richtung. Was geschieht?</t>
  </si>
  <si>
    <t>A. Das Spiel geht weiter B. Freistoß für den Angreifer C. Ball fallen lassen D. Abstoß</t>
  </si>
  <si>
    <t>Wenn der Ball den Schiedsrichter trifft und die Richtung ändert, wird das Spiel mit einem Drop-Ball fortgesetzt.</t>
  </si>
  <si>
    <t>A. Own goal B. goal kick C. Free kick for the attacker D. Indirect free kick</t>
  </si>
  <si>
    <t>Der Ball wird durch das Rad eines Verteidigers ins Tor gelenkt. Wie lautet die Entscheidung?</t>
  </si>
  <si>
    <t>A. Eigentor B. Abstoß C. Freistoß für den Angreifer D. Indirekter Freistoß</t>
  </si>
  <si>
    <t>Eigentor</t>
  </si>
  <si>
    <t>Ablenkungen der Verteidiger ins Tor werden als Eigentore gewertet.</t>
  </si>
  <si>
    <t>Ein Spieler tritt gegen das Fahrradrad seines Gegners, um ihn am Vorrücken zu hindern. Wie lautet das Urteil?</t>
  </si>
  <si>
    <t>Körperliche Eingriffe werden als unsportliches Verhalten geahndet.</t>
  </si>
  <si>
    <t>A. The game continues B. Drop the ball C. Free kick for the attacker D. Start again from the middle.</t>
  </si>
  <si>
    <t>Ein Spieler versucht einen Weitwurf, aber der Ball wird vom Wind blockiert und bleibt in der Luft stehen. Was passiert als nächstes?</t>
  </si>
  <si>
    <t>A. Das Spiel geht weiter B. Ball fallen lassen C. Freistoß für den Angreifer D. Starten Sie von der Mitte aus neu</t>
  </si>
  <si>
    <t>Natürliche Elemente wie Wind sind Teil des Spiels.</t>
  </si>
  <si>
    <t>A. Warning for the team B. Free kick for the opponent C. The game continues D. Drop the ball</t>
  </si>
  <si>
    <t>Eine Auswechslung findet statt, während das Spiel live ist. Was entscheidet der Schiedsrichter?</t>
  </si>
  <si>
    <t>A. Warnung für das Team B. Freistoß für den Gegner C. Das Spiel geht weiter D. Ball fallen lassen</t>
  </si>
  <si>
    <t>Bei Spielunterbrechungen müssen Auswechslungen erfolgen; andernfalls werden Warnungen ausgegeben.</t>
  </si>
  <si>
    <t>A. Throw-in for the opponent B. Free kick for the opponent C. goal kick D. Drop the ball</t>
  </si>
  <si>
    <t>Der Ball wird zu hoch geschlagen und landet im gegnerischen Bankbereich. Was geschieht?</t>
  </si>
  <si>
    <t>A. Einwurf für den Gegner B. Freistoß für den Gegner C. Abstoß D. Ball fallen lassen</t>
  </si>
  <si>
    <t>Bälle, die das Spielfeld verlassen, werden mit einem Einwurf neu gestartet.</t>
  </si>
  <si>
    <t>A. Goal not recognized B. Free kick for the opponent C. Goal scores D. Warning for the attacker</t>
  </si>
  <si>
    <t>Ein Spieler steht vor dem Torwart und versperrt ihm die Sicht, während sein Mitspieler schießt. Was geschieht?</t>
  </si>
  <si>
    <t>A. Tor nicht anerkannt B. Freistoß für den Gegner C. Torstände D. Warnung für den Angreifer</t>
  </si>
  <si>
    <t>Durch die Behinderung der Sicht des Torwarts wird das Tor absichtlich ungültig.</t>
  </si>
  <si>
    <t>A. Free kick for the opponent B. Free kick for the attacker C. Drop the ball D. The game continues</t>
  </si>
  <si>
    <t>Ein angreifender Spieler kollidiert mit dem Torwart, während sich beide auf den Ball zubewegen. Wie lautet die Aufforderung des Schiedsrichters?</t>
  </si>
  <si>
    <t>A. Freistoß für den Gegner B. Freistoß für den Angreifer C. Ball fallen lassen D. Das Spiel geht weiter</t>
  </si>
  <si>
    <t>Unbeabsichtigte Kollisionen werden oft mit einem Drop-Ball gelöst, es sei denn, es liegt ein eindeutiger Fehler vor.</t>
  </si>
  <si>
    <t>A. Retake the penalty kick B. The game continues C. goal kick D. Drop the ball</t>
  </si>
  <si>
    <t>Bei einer Strafe rollt der Ball aufgrund von Bodenunebenheiten nach hinten. Wie lautet die Aufforderung des Schiedsrichters?</t>
  </si>
  <si>
    <t>A. Wiederholen Sie den Elfmeter B. Das Spiel geht weiter C. Abstoß D. Ball fallen lassen</t>
  </si>
  <si>
    <t>Strafschüsse müssen wiederholt werden, wenn der Ball durch äußere Faktoren wie Bodenunebenheiten beeinträchtigt wird.</t>
  </si>
  <si>
    <t>A. Free kick for the opponent B. Warning to the goalkeeper C. The game continues D. Indirect free kick</t>
  </si>
  <si>
    <t>Der Torwart nutzt seinen Lenker, um einen Gegner gezielt anzustoßen. Wie lautet das Urteil?</t>
  </si>
  <si>
    <t>A. Freistoß für den Gegner B. Warnung an den Torwart C. Das Spiel geht weiter D. Indirekter Freistoß</t>
  </si>
  <si>
    <t>Vorsätzlicher körperlicher Eingriff wird bestraft.</t>
  </si>
  <si>
    <t>A. Throw-in for the opponent B. goal kick C. Corner kick D. Drop the ball</t>
  </si>
  <si>
    <t>Ein Verteidiger wirft den Ball versehentlich ins Aus. Wie wird das Spiel neu gestartet?</t>
  </si>
  <si>
    <t>A. Einwurf für den Gegner B. Abstoß C. Eckball D. Ball fallen lassen</t>
  </si>
  <si>
    <t>Wenn der Verteidiger den Ball über seine Torlinie hinausschießt, wird ein Eckstoß ausgesprochen.</t>
  </si>
  <si>
    <t>A. The game continues B. Free kick for the opponent C. Drop the ball D. Time out for repairs</t>
  </si>
  <si>
    <t>Bei einem Gegenangriff reißt die Fahrradkette eines angreifenden Spielers. Was geschieht?</t>
  </si>
  <si>
    <t>A. Das Spiel geht weiter B. Freistoß für den Gegner C. Ball fallen lassen D. Auszeit für Reparaturen</t>
  </si>
  <si>
    <t>Geräteausfälle sind Teil des Spiels; Das Spiel hört nicht auf.</t>
  </si>
  <si>
    <t>A. The game will continue without any substitutions. B. Warning for the team C. Drop the ball D. Free kick for the opponent</t>
  </si>
  <si>
    <t>Der Schiedsrichter pfeift eine Auswechslung, aber der Spieler, der das Spielfeld betritt, ist nicht bereit. Was geschieht?</t>
  </si>
  <si>
    <t>A. Das Spiel wird ohne Auswechslung fortgesetzt B. Warnung für das Team C. Ball fallen lassen D. Freistoß für den Gegner</t>
  </si>
  <si>
    <t>Vertretungen müssen zeitnah erfolgen; Verspätungen werden mit Verwarnungen geahndet.</t>
  </si>
  <si>
    <t>A. Ball fall B. Free kick for the affected team C. The game continues D. Throw-in for the opponent</t>
  </si>
  <si>
    <t>Der Ball rollt zur Seitenlinie, wenn ein Zuschauer ihn greift. Was macht der Schiedsrichter?</t>
  </si>
  <si>
    <t>A. Ball fallen B. Freistoß für das betroffene Team C. Das Spiel geht weiter D. Einwerfen für den Gegner</t>
  </si>
  <si>
    <t>Ball fallen</t>
  </si>
  <si>
    <t>Eine externe Störung erfordert einen Tropfenball, um das Spiel wieder aufzunehmen.</t>
  </si>
  <si>
    <t>A. The goal is in sight. B. Free kick for the opponent C. penalty kick D. Ball fall</t>
  </si>
  <si>
    <t>Während eines defensiven Manövers schlägt ein Spieler mit seinem Helm den Ball aus dem Torbereich. Was ist das Urteil?</t>
  </si>
  <si>
    <t>A. Ziel steht vor B. Freistoß für den Gegner C. Strafstoß D. Ball fallen</t>
  </si>
  <si>
    <t>Strafstoß</t>
  </si>
  <si>
    <t>Die Verteidigung mit einem anderen Körperteil als dem Fahrrad wird mit einem Elfmeter -Kick bestraft.</t>
  </si>
  <si>
    <t>A. Destination not permitted B. The goal is in sight. C. Free kick for the opponent D. Warning to the attacker</t>
  </si>
  <si>
    <t>Ein Tor wird erzielt, aber der Schiedsrichter bemerkt, dass der Teamkollegen des Angreifers im Torbereich war. Was geschieht?</t>
  </si>
  <si>
    <t>A. Ziel nicht zugelassen B. Ziel steht vor C. Freistoß für den Gegner D. Warnung an den Angreifer</t>
  </si>
  <si>
    <t>Ziel nicht zugelassen</t>
  </si>
  <si>
    <t>Tore, die mit Teamkollegen im Torbereich erzielt wurden, sind ungültig.</t>
  </si>
  <si>
    <t>A. The game continues B. Goal C. Ball fall D. goal kick</t>
  </si>
  <si>
    <t>Der Ball schlägt die Querlatte und landet knapp außerhalb der Torlinie. Was ist die Entscheidung?</t>
  </si>
  <si>
    <t>A. Das Spiel geht weiter B. Ziel C. Ball fallen D. Abstoß</t>
  </si>
  <si>
    <t>Der Ball muss die Torlinie vollständig überqueren, damit ein Ziel vergeben wird.</t>
  </si>
  <si>
    <t>A. The game continues B. Free kick for the opponent C. Warning to the defender D. Indirect free kick</t>
  </si>
  <si>
    <t>Ein Spieler versucht einen Fahrradkick, um einen Schuss zu blockieren, verfehlt und kollidiert mit einem Gegner. Wie lautet der Anruf?</t>
  </si>
  <si>
    <t>A. Das Spiel geht weiter B. Freistoß für den Gegner C. Warnung an den Verteidiger D. Indirekter Freistoß</t>
  </si>
  <si>
    <t>Ein gefährliches Spiel, das zu Kontakt führt, wird mit einem Freistoß bestraft.</t>
  </si>
  <si>
    <t>A. Own goal B. Ball fall C. Free kick for the opponent D. Destination not permitted</t>
  </si>
  <si>
    <t>Ein Verteidiger führt einen Backflip durch und lenkt den Ball in sein eigenes Ziel ab. Was geschieht?</t>
  </si>
  <si>
    <t>A. Eigentor B. Ball fallen C. Freistoß für den Gegner D. Ziel nicht zugelassen</t>
  </si>
  <si>
    <t>Ziele, die sich aus der Absicht oder nicht aus den Handlungen der Verteidiger ergeben, gilt als eigene Ziele.</t>
  </si>
  <si>
    <t>A. Warning to the team B. Ball fall C. Free kick for the opponent D. The game continues</t>
  </si>
  <si>
    <t>Ein Ersatz tritt ohne Erlaubnis des Schiedsrichters ins Feld ein. Was ist die Entscheidung?</t>
  </si>
  <si>
    <t>A. Warnung an das Team B. Ball fallen C. Freistoß für den Gegner D. Das Spiel geht weiter</t>
  </si>
  <si>
    <t>Nicht autorisierte Substitutionen werden mit einem Freistoß bestraft.</t>
  </si>
  <si>
    <t>A. Drop Ball Recaptured B. Free kick for the opponent C. The game continues D. Indirect free kick</t>
  </si>
  <si>
    <t>Der Schiedsrichter lässt den Ball zum Neustart des Spiels fallen, aber er trifft das Fahrrad eines Spielers, bevor er den Boden berührt. Was ist das Urteil?</t>
  </si>
  <si>
    <t>A. Drop Ball zurückerobert B. Freistoß für den Gegner C. Das Spiel geht weiter D. Indirekter Freistoß</t>
  </si>
  <si>
    <t>Drop Ball zurückerobert</t>
  </si>
  <si>
    <t>Ein abgelassener Ball muss den Boden berühren, bevor er gespielt wird.</t>
  </si>
  <si>
    <t>A. The goal is in sight. B. Free kick for the opponent C. Indirect free kick D. Destination not permitted</t>
  </si>
  <si>
    <t>Ein Spieler schießt direkt aus der Halbzeit und der Ball tritt in das Tor ein. Was geschieht?</t>
  </si>
  <si>
    <t>A. Ziel steht vor B. Freistoß für den Gegner C. Indirekter Freistoß D. Ziel nicht zugelassen</t>
  </si>
  <si>
    <t>Ziel steht vor</t>
  </si>
  <si>
    <t>Tore, die direkt aus der Halfway -Linie erzielt werden, sind gültig.</t>
  </si>
  <si>
    <t>A. The game continues B. Ball fall C. Free kick for the attacking team D. Start again with a throw-in</t>
  </si>
  <si>
    <t>Der Ball wird im Mittelkreis komplett gestoppt. Was macht der Schiedsrichter?</t>
  </si>
  <si>
    <t>A. Das Spiel geht weiter B. Ball fallen C. Freistoß für das angreifende Team D. Starten Sie mit einem Einwurf neu</t>
  </si>
  <si>
    <t>Wenn der Ball auf natürliche Weise ohne Einmischung aufhört, geht das Spiel weiter.</t>
  </si>
  <si>
    <t>A. The goal is in sight. B. Destination not permitted C. Ball fall D. Free kick for the opponent</t>
  </si>
  <si>
    <t>Ein Angreifer schlägt den Ball und er weidet den Schiedsrichter, bevor er in das Tor eintritt. Wie lautet der Anruf?</t>
  </si>
  <si>
    <t>A. Ziel steht vor B. Ziel nicht zugelassen C. Ball fallen D. Freistoß für den Gegner</t>
  </si>
  <si>
    <t>Ein Tor steht vor, wenn der Ball den Schiedsrichter weidet, es sei denn, die Interferenz ändert sich.</t>
  </si>
  <si>
    <t>A. Free kick for the opponent B. Warning for the goalkeeper C. Ball fall D. penalty kick</t>
  </si>
  <si>
    <t>Ein Torhüter fängt den Ball zwischen ihren Rädern und weigert sich, ihn freizulassen. Was ist die Entscheidung?</t>
  </si>
  <si>
    <t>A. Freistoß für den Gegner B. Warnung für den Torhüter C. Ball fallen D. Strafstoß</t>
  </si>
  <si>
    <t>Der Ball zu halten wird absichtlich mit einem Freistoß bestraft.</t>
  </si>
  <si>
    <t>Ein Spieler versucht, einen Pass zu blockieren, tritt jedoch versehentlich das Rad eines Gegners. Was ist das Urteil?</t>
  </si>
  <si>
    <t>Zufällige körperliche Einmischung wird als Freistoß bestraft.</t>
  </si>
  <si>
    <t>A. Destination not permitted B. Ball fall C. The goal is in sight. D. Free kick for the opponent</t>
  </si>
  <si>
    <t>Der Ball trifft den Schiedsrichter und lenkt in das Ziel ab. Was entscheidet der Schiedsrichter?</t>
  </si>
  <si>
    <t>A. Ziel nicht zugelassen B. Ball fallen C. Ziel steht vor D. Freistoß für den Gegner</t>
  </si>
  <si>
    <t>Ein Ziel kann nicht vergeben werden, wenn es direkt aus Schiedsrichterstörungen zurückzuführen ist.</t>
  </si>
  <si>
    <t>A. Yes, if no rules have been broken. B. No, it's a foul. C. Only if he accidentally D. Only during a sentence</t>
  </si>
  <si>
    <t>Ein Verteidiger steht im Torbereich stationär, um Schüsse zu blockieren. Ist das erlaubt?</t>
  </si>
  <si>
    <t>A. Ja, wenn keine Regeln gebrochen sind B. Nein, es ist ein Foul C. Nur wenn er versehentlich D. Nur während einer Strafe</t>
  </si>
  <si>
    <t>Ja, wenn keine Regeln gebrochen sind</t>
  </si>
  <si>
    <t>Im Tor zu stehen, ohne den Ball zu spielen, ist kein Foul, es sei denn, es stört das Gameplay.</t>
  </si>
  <si>
    <t>A. Corner Kick B. goal kick C. Ball fall D. Throw-in for the opponent</t>
  </si>
  <si>
    <t>Der Ball springt beide Torpfosten ab, bevor er das Feld verlässt. Was ist der Neustart?</t>
  </si>
  <si>
    <t>A. Ecke Kick B. Abstoß C. Ball fallen D. Einwerfen für den Gegner</t>
  </si>
  <si>
    <t>Ein Torkick wird vergeben, wenn der Ball das Feld ohne Tor verlässt.</t>
  </si>
  <si>
    <t>A. Yes, if properly controlled B. No, it's a foul. C. Only in the defensive area D. Only if it is not controversial</t>
  </si>
  <si>
    <t>Ein Spieler dribbelt den Ball mit einem Rad über den Platz. Ist das legal?</t>
  </si>
  <si>
    <t>A. Ja, wenn richtig kontrolliert B. Nein, es ist ein Foul C. Nur im Defensivbereich D. Nur wenn nicht umstritten</t>
  </si>
  <si>
    <t>Ja, wenn richtig kontrolliert</t>
  </si>
  <si>
    <t>Das Dribbeln mit dem Fahrradrad ist erlaubt, wenn er ohne Fouls ausgeführt wird.</t>
  </si>
  <si>
    <t>A. Warning to the player B. Free kick for the opponent C. Ball fall D. Immediate ejection</t>
  </si>
  <si>
    <t>Der Schiedsrichter bemerkt, dass ein Spieler absichtlich den Ball entleert. Was ist die Entscheidung?</t>
  </si>
  <si>
    <t>A. Warnung an den Spieler B. Freistoß für den Gegner C. Ball fallen D. Sofortiger Auswurf</t>
  </si>
  <si>
    <t>Sofortiger Auswurf</t>
  </si>
  <si>
    <t>Manipulationen mit Geräten führt zu einem sofortigen Auswurf.</t>
  </si>
  <si>
    <t>A. Yes, it is a valid strategy. B. No, it's unsportsmanlike. C. Only during sentences D. Only if no contact occurs</t>
  </si>
  <si>
    <t>Ein Angreifer füllt einen Schuss und führte dazu, dass der Torhüter die Position herausgreift. Ist das legal?</t>
  </si>
  <si>
    <t>A. Ja, es ist eine gültige Strategie B. Nein, es ist unsportlich C. Nur während Strafen D. Nur wenn kein Kontakt auftritt</t>
  </si>
  <si>
    <t>Ja, es ist eine gültige Strategie</t>
  </si>
  <si>
    <t>FINTS und falsche Bewegungen sind erlaubt, solange sie keine Regeln verletzen.</t>
  </si>
  <si>
    <t>Questions</t>
  </si>
  <si>
    <t>A. Aim for the right side of the tree. B. Throw harder to dodge it. C. Aim for the left side of the tree. D. Use a side throw to get around him.</t>
  </si>
  <si>
    <t>Sie nähern sich einem großen Baum und Ihr Ball rollt darauf zu. Was tun Sie, um einen Schlag zu vermeiden?</t>
  </si>
  <si>
    <t>A. Zielen Sie auf die rechte Seite des Baumes B. Wirf härter, um ihm auszuweichen C. Zielen Sie auf die linke Seite des Baumes D. Benutze einen Seitenwurf, um ihn zu umgehen</t>
  </si>
  <si>
    <t>Benutze einen Seitenwurf, um ihn zu umgehen</t>
  </si>
  <si>
    <t>Mit einem seitlichen Wurf können Sie problemlos um den Baum herum navigieren.</t>
  </si>
  <si>
    <t>A. Throw in a high arc B. Throw harder to skip stones. C. Use a gentle throw to maintain control. D. Aim to the side to avoid stones.</t>
  </si>
  <si>
    <t>Das Gelände ist uneben mit vielen kleinen Steinen. Wie verhindern Sie, dass Ihr Ball zu stark springt?</t>
  </si>
  <si>
    <t>A. Mit hohem Bogen werfen B. Wirf härter, um Steine ​​zu überspringen C. Verwenden Sie einen sanften Wurf, um die Kontrolle zu behalten D. Zielen Sie auf die Seite, um Steinen auszuweichen</t>
  </si>
  <si>
    <t>Verwenden Sie einen sanften Wurf, um die Kontrolle zu behalten</t>
  </si>
  <si>
    <t>Ein sanfter Wurf verhindert, dass der Ball auf unebenem Gelände zu stark aufspringt.</t>
  </si>
  <si>
    <t>A. Throw harder to get through. B. Use a side throw to eliminate it. C. Throw in a high arc D. Slow down to prevent sinking.</t>
  </si>
  <si>
    <t>Der Boden ist weich und schlammig und Ihr Ball sinkt. Wie stellen Sie sich ein?</t>
  </si>
  <si>
    <t>A. Wirf härter, um durchzukommen B. Benutze einen Seitenwurf, um es zu beseitigen C. Mit hohem Bogen werfen D. Machen Sie langsamer, um ein Absinken zu verhindern</t>
  </si>
  <si>
    <t>Machen Sie langsamer, um ein Absinken zu verhindern</t>
  </si>
  <si>
    <t>Durch die Verlangsamung wird verhindert, dass der Ball weiter in weichen, schlammigen Boden sinkt.</t>
  </si>
  <si>
    <t>A. Throw harder to climb it. B. Throw faster to avoid loss of speed. C. Aim to the side to reduce resistance. D. Use a side shot to maintain control.</t>
  </si>
  <si>
    <t>Es kommt ein Hügel hinauf und Ihr Ball verliert an Geschwindigkeit. Wie hält man den Schwung aufrecht?</t>
  </si>
  <si>
    <t>A. Wirf härter, um ihn zu erklimmen B. Wirf schneller, um Geschwindigkeitsverluste zu vermeiden C. Zielen Sie auf die Seite, um den Widerstand zu verringern D. Verwenden Sie einen Seitenschuss, um die Kontrolle zu behalten</t>
  </si>
  <si>
    <t>Wirf härter, um ihn zu erklimmen</t>
  </si>
  <si>
    <t>Stärkeres Werfen trägt dazu bei, den Schwung aufrechtzuerhalten und sicherzustellen, dass der Ball die Steigung überwinden kann.</t>
  </si>
  <si>
    <t>A. Aim for the center to deflect it back. B. Throw harder to correct its course. C. Use a side shot to avoid the trench. D. Let it go and adjust it later.</t>
  </si>
  <si>
    <t>Ihr Ball kommt vom Kurs ab und bewegt sich auf einen Graben zu. Was tun Sie, um es zu vermeiden?</t>
  </si>
  <si>
    <t>A. Zielen Sie auf die Mitte, um es zurückzulenken B. Wirf härter, um seinen Weg zu korrigieren C. Verwenden Sie einen Seitenschuss, um dem Graben auszuweichen D. Lassen Sie es los und passen Sie es später an</t>
  </si>
  <si>
    <t>Verwenden Sie einen Seitenschuss, um dem Graben auszuweichen</t>
  </si>
  <si>
    <t>Ein Seitenschlag hilft dabei, den Ball vom Graben weg und wieder auf Kurs zu bringen.</t>
  </si>
  <si>
    <t>A. Throw accurately and aim carefully. B. Throw faster to penetrate. C. Make sure the edges stay on the inside. D. Use a side shot to perform it.</t>
  </si>
  <si>
    <t>Die Strecke ist schmal und man braucht Präzision. Wie passen Sie Ihren Wurf an, um auf dem Weg zu bleiben?</t>
  </si>
  <si>
    <t>A. Werfen Sie präzise und zielen Sie sorgfältig B. Wirf schneller, um durchzudringen C. Achten Sie darauf, dass die Kanten innen bleiben D. Verwenden Sie einen Seitenschuss, um es durchzuführen</t>
  </si>
  <si>
    <t>Werfen Sie präzise und zielen Sie sorgfältig</t>
  </si>
  <si>
    <t>Auf engen Strecken kommt es auf Präzision an, um ein Abweichen vom Kurs zu vermeiden.</t>
  </si>
  <si>
    <t>A. Throw more slowly to avoid the impact. B. Throw with maximum force to break through. C. Use a side shot to go around. D. The goal is to hit the stone to change direction.</t>
  </si>
  <si>
    <t>Sie nähern sich einem felsigen Gebiet und Ihr Ball könnte einen großen Stein treffen. Wie gehen Sie damit um?</t>
  </si>
  <si>
    <t>A. Werfen Sie langsamer, um den Aufprall zu vermeiden B. Wirf mit maximaler Kraft, um durchzubrechen C. Verwenden Sie einen Seitenschuss, um herumzugehen D. Ziel ist es, den Stein zu treffen, um die Richtung zu ändern</t>
  </si>
  <si>
    <t>Verwenden Sie einen Seitenschuss, um herumzugehen</t>
  </si>
  <si>
    <t>Ein seitlicher Schuss hilft Ihnen, große Steine ​​nicht zu treffen und sich durch felsiges Gelände zu bewegen.</t>
  </si>
  <si>
    <t>A. Adjust your target to compensate for the wind. B. Throw harder to fight the wind. C. Aim to the sides to avoid crosswinds. D. Slow down to allow the wind to stabilize.</t>
  </si>
  <si>
    <t>Die Strecke vor Ihnen ist windig und Ihr Ball wird vom Wind beeinflusst. Was tun Sie, um Ihren Wurf zu kontrollieren?</t>
  </si>
  <si>
    <t>A. Passen Sie Ihr Ziel an, um den Wind auszugleichen B. Wirf härter, um den Wind zu bekämpfen C. Zielen Sie auf die Seiten, um Seitenwind zu vermeiden D. Machen Sie langsamer, damit sich der Wind stabilisiert</t>
  </si>
  <si>
    <t>Wenn Sie Ihr Ziel anpassen, können Sie dem Einfluss des Windes auf die Flugbahn des Balls entgegenwirken.</t>
  </si>
  <si>
    <t>A. Throw harder to penetrate it. B. Slow it down to maintain control. C. Glide across the sand with a side shot. D. Throw it high to avoid sinking.</t>
  </si>
  <si>
    <t>Ihr Ball rollt auf einen Sandfleck zu. Was ist Ihr bester Ansatz, um Geschwindigkeitsverluste zu vermeiden?</t>
  </si>
  <si>
    <t>A. Wirf härter, um es zu durchdringen B. Machen Sie es langsamer, um die Kontrolle zu behalten C. Gleiten Sie mit einem Seitenschuss über den Sand D. Hoch werfen, um nicht zu sinken</t>
  </si>
  <si>
    <t>Gleiten Sie mit einem Seitenschuss über den Sand</t>
  </si>
  <si>
    <t>Ein Seitenschlag hilft Ihnen, den Schwung und die Kontrolle über sandiges Gelände zu behalten.</t>
  </si>
  <si>
    <t>A. Throw it more gently to slow it down. B. Throw harder to counteract gravity. C. Use a side shot to guide it. D. Let it roll and adjust it later.</t>
  </si>
  <si>
    <t>Ihr Ball befindet sich in der Nähe eines steilen Abhangs und Sie müssen verhindern, dass er zu weit rollt. Was machst du?</t>
  </si>
  <si>
    <t>A. Werfen Sie weicher, um es zu verlangsamen B. Wirf härter, um der Schwerkraft entgegenzuwirken C. Verwenden Sie einen Seitenschuss, um ihn zu führen D. Lassen Sie es rollen und passen Sie es später an</t>
  </si>
  <si>
    <t>Werfen Sie weicher, um es zu verlangsamen</t>
  </si>
  <si>
    <t>Weicheres Werfen hilft dabei, die Geschwindigkeit des Balls zu kontrollieren und zu verhindern, dass er zu weit den Hang hinunterrollt.</t>
  </si>
  <si>
    <t>A. Throw harder to maintain speed. B. Throw more slowly to prevent slipping. C. Use a higher arc to prevent slippage. D. Use a side throw for stabilization.</t>
  </si>
  <si>
    <t>Sie sind dabei, auf eine nasse Oberfläche zu werfen. Wie stellen Sie sicher, dass Sie nicht ausrutschen oder die Kontrolle verlieren?</t>
  </si>
  <si>
    <t>A. Wirf härter, um die Geschwindigkeit beizubehalten B. Langsamer werfen, um ein Abrutschen zu verhindern C. Verwenden Sie einen höheren Lichtbogen, um ein Abrutschen zu vermeiden D. Verwenden Sie einen Seitenwurf zur Stabilisierung</t>
  </si>
  <si>
    <t>Langsamer werfen, um ein Abrutschen zu verhindern</t>
  </si>
  <si>
    <t>Durch die Verlangsamung wird verhindert, dass der Ball auf nassen Oberflächen verrutscht.</t>
  </si>
  <si>
    <t>A. Throw it in a high arc to eliminate it. B. Use a side shot to bypass it. C. Throw harder to penetrate. D. Slow down to navigate the curve.</t>
  </si>
  <si>
    <t>Ihr Ball steuert auf eine scharfe Kurve zu. Was ist Ihre Strategie, um die Wende reibungslos zu gestalten?</t>
  </si>
  <si>
    <t>A. Wirf mit einem hohen Bogen, um es zu beseitigen B. Verwenden Sie einen Seitenschuss, um ihn zu umgehen C. Wirf härter, um durchzudringen D. Fahren Sie langsamer, um durch die Kurve zu navigieren</t>
  </si>
  <si>
    <t>Verwenden Sie einen Seitenschuss, um ihn zu umgehen</t>
  </si>
  <si>
    <t>Ein Seitenschlag hilft Ihnen, scharfe Kurven zu steuern, ohne die Kontrolle zu verlieren.</t>
  </si>
  <si>
    <t>A. Throw faster to get faster B. Throw with precision to achieve a smooth finish. C. The goal is for the middle to maintain momentum. D. Slow it down to save energy.</t>
  </si>
  <si>
    <t>Sie befinden sich auf einer langen Strecke und Ihr Ball wird langsamer. Wie schaffst du es, stark zu werden?</t>
  </si>
  <si>
    <t>A. Wirf schneller, um schneller zu werden B. Werfen Sie mit Präzision, um einen reibungslosen Abschluss zu erzielen C. Ziel ist es, dass die Mitte den Schwung beibehält D. Machen Sie es langsamer, um Energie zu sparen</t>
  </si>
  <si>
    <t>Wirf schneller, um schneller zu werden</t>
  </si>
  <si>
    <t>Wenn Sie die Geschwindigkeit erhöhen, können Sie die lange Strecke mit mehr Schwung beenden.</t>
  </si>
  <si>
    <t>A. Aim for a side shot to avoid interference. B. Throw harder to clear the way C. Let it happen and adapt it. D. Aim to outmaneuver the center.</t>
  </si>
  <si>
    <t>Der Ball Ihres Gegners befindet sich in Ihrer Nähe und Sie müssen eine Behinderung vermeiden. Was machst du?</t>
  </si>
  <si>
    <t>A. Zielen Sie auf einen Seitenschuss, um Störungen zu vermeiden B. Wirf härter, um den Weg freizumachen C. Lassen Sie es passieren und passen Sie es an D. Zielen Sie darauf, dass das Zentrum ausmanövriert wird</t>
  </si>
  <si>
    <t>Zielen Sie auf einen Seitenschuss, um Störungen zu vermeiden</t>
  </si>
  <si>
    <t>Ein Seitenschlag hilft dabei, den Ball des Gegners nicht zu behindern, und sorgt dafür, dass der Ball in der Spur bleibt.</t>
  </si>
  <si>
    <t>A. Throw harder to break through the rocks. B. Use a side shot to smooth the path. C. Slow it down to maintain control. D. Throw with precision to avoid bounce-outs.</t>
  </si>
  <si>
    <t>Sie nähern sich dem Ende der Strecke und die Strecke ist steinig. Wie meistern Sie das unwegsame Gelände?</t>
  </si>
  <si>
    <t>A. Wirf härter, um durch die Felsen zu dringen B. Verwenden Sie einen Seitenschuss, um den Weg zu glätten C. Machen Sie es langsamer, um die Kontrolle zu behalten D. Werfen Sie mit Präzision, um ein Abprallen zu vermeiden</t>
  </si>
  <si>
    <t>Verwenden Sie einen Seitenschuss, um den Weg zu glätten</t>
  </si>
  <si>
    <t>Ein Seitenschuss hilft dabei, sich in felsigem Gelände zurechtzufinden, ohne die Kontrolle zu verlieren.</t>
  </si>
  <si>
    <t>A. Throw with precision to stay on the right path. B. Throw faster to maintain control. C. Use a side shot to steer. D. Slow down to maintain your direction.</t>
  </si>
  <si>
    <t>Der Boden ist fest, aber die Strecke ist kurvig. Wie verhindert man, dass der Ball vom Kurs abkommt?</t>
  </si>
  <si>
    <t>A. Werfen Sie mit Präzision, um auf dem richtigen Weg zu bleiben B. Wirf schneller, um die Kontrolle zu behalten C. Verwenden Sie einen Seitenschuss zum Lenken D. Machen Sie langsamer, um die Richtung beizubehalten</t>
  </si>
  <si>
    <t>Werfen Sie mit Präzision, um auf dem richtigen Weg zu bleiben</t>
  </si>
  <si>
    <t>Bei kurvenreichen Strecken ist Präzision entscheidend, um ein Abweichen vom Kurs zu vermeiden.</t>
  </si>
  <si>
    <t>A. Throw with maximum force to remove it. B. Use a side shot to glide over it. C. Slow down to absorb the impact D. Throw it up high to avoid contact.</t>
  </si>
  <si>
    <t>Ihr Ball ist dabei, auf eine Unebenheit im Weg zu treffen. Wie gehen Sie damit um?</t>
  </si>
  <si>
    <t>A. Wirf mit maximaler Kraft, um es zu beseitigen B. Benutzen Sie einen Seitenschuss, um darüber zu gleiten C. Machen Sie langsamer, um den Stoß aufzufangen D. Hoch werfen, um Kontakt zu vermeiden</t>
  </si>
  <si>
    <t>Benutzen Sie einen Seitenschuss, um darüber zu gleiten</t>
  </si>
  <si>
    <t>Ein seitlicher Schlag hilft Ihnen, Störungen durch Stöße zu vermeiden und den Ball ruhig zu halten.</t>
  </si>
  <si>
    <t>A. Throw faster to keep it straight. B. Use a side throw to adjust the path. C. Throw with precision to control it. D. Slow down and aim carefully.</t>
  </si>
  <si>
    <t>Das Gelände ist uneben und Ihr Ball verliert die Kontrolle. Wie erlangt man es wieder zurück?</t>
  </si>
  <si>
    <t>A. Wirf schneller, um es gerade zu halten B. Verwenden Sie einen Seitenwurf, um den Weg anzupassen C. Wirf mit Präzision, um es zu kontrollieren D. Machen Sie langsamer und zielen Sie vorsichtig</t>
  </si>
  <si>
    <t>Verwenden Sie einen Seitenwurf, um den Weg anzupassen</t>
  </si>
  <si>
    <t>Ein Seitenwurf hilft dabei, die Kontrolle über unebenes Gelände wiederzugewinnen.</t>
  </si>
  <si>
    <t>A. Use a side view for smooth navigation. B. Throw harder to clear the corner. C. Slow down to make a safe turn. D. Make sure the edges stay in the groove.</t>
  </si>
  <si>
    <t>Sie nähern sich einer Kurve und die Strecke ist eng. Wie gehst du mit der Wende um?</t>
  </si>
  <si>
    <t>A. Verwenden Sie eine seitliche Aufnahme, um reibungslos zu navigieren B. Wirf härter, um die Ecke zu meistern C. Fahren Sie langsamer, um sicher abzubiegen D. Achten Sie darauf, dass die Kanten in der Spur bleiben</t>
  </si>
  <si>
    <t>Verwenden Sie eine seitliche Aufnahme, um reibungslos zu navigieren</t>
  </si>
  <si>
    <t>Ein seitlicher Schlag hilft Ihnen, scharfe Kurven auf engen Strecken zu bewältigen.</t>
  </si>
  <si>
    <t>A. Throw harder to maintain momentum. B. To compensate, throw with a higher arc C. Aim for the center to maintain speed. D. Throw more gently to prevent slipping.</t>
  </si>
  <si>
    <t>Das Wetter ist kalt und Ihr Ball rollt langsamer als gewöhnlich. Wie kompensiert man das?</t>
  </si>
  <si>
    <t>A. Wirf härter, um den Schwung beizubehalten B. Zum Ausgleich mit einem höheren Bogen werfen C. Zielen Sie auf die Mitte, um die Geschwindigkeit beizubehalten D. Weicher werfen, um ein Rutschen zu verhindern</t>
  </si>
  <si>
    <t>Wirf härter, um den Schwung beizubehalten</t>
  </si>
  <si>
    <t>Erhöhte Kraft hilft, die Auswirkungen kalter, langsamerer Bedingungen zu überwinden.</t>
  </si>
  <si>
    <t>A. Throw more slowly to prevent ricochets. B. Use a side shot to smooth the path. C. Throw harder to penetrate it. D. The goal is to keep the center on course.</t>
  </si>
  <si>
    <t>Sie haben es mit einer holprigen Strecke mit viel Kies zu tun. Was ist Ihre beste Strategie, um die Kontrolle zu behalten?</t>
  </si>
  <si>
    <t>A. Werfen Sie langsamer, um ein Abprallen zu verhindern B. Verwenden Sie einen Seitenschuss, um den Weg zu glätten C. Wirf härter, um es zu durchdringen D. Ziel ist es, dass das Zentrum auf Kurs bleibt</t>
  </si>
  <si>
    <t>Ein seitlicher Schlag hilft dabei, durch Schotter zu navigieren, ohne die Kontrolle oder Geschwindigkeit zu verlieren.</t>
  </si>
  <si>
    <t>A. Throw with more force to remove it. B. Use a side throw to glide past it. C. Slow down and aim carefully. D. Drop the ball into the puddle.</t>
  </si>
  <si>
    <t>Ihr Ball steuert auf eine tiefe Pfütze zu. Was tun Sie, um es zu vermeiden?</t>
  </si>
  <si>
    <t>A. Wirf mit mehr Kraft, um es zu beseitigen B. Benutze einen Seitenwurf, um daran vorbei zu gleiten C. Machen Sie langsamer und zielen Sie vorsichtig D. Lassen Sie den Ball in die Pfütze fallen</t>
  </si>
  <si>
    <t>Benutze einen Seitenwurf, um daran vorbei zu gleiten</t>
  </si>
  <si>
    <t>Ein Seitenwurf hilft dem Ball, Hindernisse wie Pfützen zu umgehen.</t>
  </si>
  <si>
    <t>A. Use a side shot to deflect it back. B. Throw harder to penetrate. C. Slow down to regain control. D. Aim to get the other side to correct it.</t>
  </si>
  <si>
    <t>Das Gelände ist leicht geneigt und Ihr Ball dreht zur Seite. Wie korrigiert man es?</t>
  </si>
  <si>
    <t>A. Verwenden Sie einen Seitenschuss, um es zurückzulenken B. Wirf härter, um durchzudringen C. Machen Sie langsamer, um die Kontrolle wiederzugewinnen D. Zielen Sie darauf, dass die Gegenseite korrigiert</t>
  </si>
  <si>
    <t>Verwenden Sie einen Seitenschuss, um es zurückzulenken</t>
  </si>
  <si>
    <t>Ein Seitenschlag hilft dabei, den Ball wieder in die vorgesehene Richtung zu lenken.</t>
  </si>
  <si>
    <t>A. Throw harder to maintain momentum. B. Throw more softly to save energy C. Use a side shot to maintain balance. D. Aim higher to avoid resistance.</t>
  </si>
  <si>
    <t>Ihr Ball nähert sich einer kleinen Steigung. Wie hält man beim Aufstieg am besten die Geschwindigkeit aufrecht?</t>
  </si>
  <si>
    <t>A. Wirf härter, um den Schwung beizubehalten B. Weicher werfen, um Energie zu sparen C. Verwenden Sie einen Seitenschuss, um das Gleichgewicht zu halten D. Zielen Sie höher, um Widerstand zu vermeiden</t>
  </si>
  <si>
    <t>Ein stärkerer Wurf hilft dabei, den Schwung beim Erklimmen kleiner Steigungen aufrechtzuerhalten.</t>
  </si>
  <si>
    <t>A. Drive slower to navigate the rough terrain. B. Throw faster to overcome it. C. Use a side throw for stabilization. D. The goal is to keep the center on course.</t>
  </si>
  <si>
    <t>Sie sind kurz vor der Ziellinie, aber es liegt eine schwierige Phase vor Ihnen. Was ist Ihre Strategie?</t>
  </si>
  <si>
    <t>A. Fahren Sie langsamer, um das unwegsame Gelände zu meistern B. Wirf schneller, um es zu überwinden C. Verwenden Sie einen Seitenwurf zur Stabilisierung D. Ziel ist es, dass das Zentrum auf Kurs bleibt</t>
  </si>
  <si>
    <t>Fahren Sie langsamer, um das unwegsame Gelände zu meistern</t>
  </si>
  <si>
    <t>Durch die Verlangsamung wird eine bessere Kontrolle über unebene Stellen in der Nähe des Ziels gewährleistet.</t>
  </si>
  <si>
    <t>A. Throw faster to get faster B. Use a side shot for a precise landing. C. Throw with precision to avoid dodging. D. Make sure the edges maintain the momentum.</t>
  </si>
  <si>
    <t>Der Kurs vor Ihnen ist gerade, aber Ihr Ball verliert an Schwung. Was tun Sie, um stark ins Ziel zu kommen?</t>
  </si>
  <si>
    <t>A. Wirf schneller, um schneller zu werden B. Verwenden Sie einen Seitenschuss, um präzise zu landen C. Werfen Sie mit Präzision, um ein Ausweichen zu vermeiden D. Achten Sie darauf, dass die Kanten den Schwung aufrechterhalten</t>
  </si>
  <si>
    <t>Geschwindigkeit trägt dazu bei, den Ball mit mehr Kraft ins Ziel zu bringen.</t>
  </si>
  <si>
    <t>A. Use a side shot to bypass it. B. Throw harder to get through. C. Drive slower to navigate safely. D. Throw it in a high arc to eliminate it.</t>
  </si>
  <si>
    <t>Sie stehen vor einer scharfen Kurve. Wie managen Sie Ihren Wurf, um die Kontrolle zu behalten?</t>
  </si>
  <si>
    <t>A. Verwenden Sie einen Seitenschuss, um ihn zu umgehen B. Wirf härter, um durchzukommen C. Fahren Sie langsamer, um sicher zu navigieren D. Wirf mit einem hohen Bogen, um es zu beseitigen</t>
  </si>
  <si>
    <t>Mit einem seitlichen Schuss können Sie scharfe Kurven präzise befahren.</t>
  </si>
  <si>
    <t>A. Slow down to reduce momentum. B. Throw harder to go faster C. Aim for the edges to stop it. D. Use a side throw to slow it down.</t>
  </si>
  <si>
    <t>Ihr Ball rollt bergab, aber Sie haben Angst, dass er zu weit geht. Wie kontrolliert man es?</t>
  </si>
  <si>
    <t>A. Machen Sie langsamer, um den Schwung zu reduzieren B. Wirf härter, um schneller zu werden C. Zielen Sie auf die Kanten, um es zu stoppen D. Verwenden Sie einen Seitenwurf, um ihn zu verlangsamen</t>
  </si>
  <si>
    <t>Machen Sie langsamer, um den Schwung zu reduzieren</t>
  </si>
  <si>
    <t>Durch die Verlangsamung wird verhindert, dass der Ball zu weit den Hügel hinunterrollt.</t>
  </si>
  <si>
    <t>A. Throw harder to break through. B. Use a high arc to overcome obstacles. C. The goal is to keep the center on course. D. Use a side view to navigate.</t>
  </si>
  <si>
    <t>Der Weg vor uns ist sehr schmal und weist viele Kurven auf. Wie gehen Sie mit den engen Platzverhältnissen um?</t>
  </si>
  <si>
    <t>A. Wirf härter, um durchzubrechen B. Verwenden Sie einen hohen Bogen, um Hindernisse zu überwinden C. Ziel ist es, dass das Zentrum auf Kurs bleibt D. Verwenden Sie zum Navigieren eine seitliche Aufnahme</t>
  </si>
  <si>
    <t>Verwenden Sie zum Navigieren eine seitliche Aufnahme</t>
  </si>
  <si>
    <t>Ein seitlicher Schuss hilft beim Navigieren in engen Räumen und scharfen Kurven.</t>
  </si>
  <si>
    <t>A. Aim for the left side of the tree. B. Use a side throw to make a turn. C. Throw faster to dodge him. D. Aim for the right side of the tree.</t>
  </si>
  <si>
    <t>Ihr Ball fliegt direkt auf einen großen Baum zu. Was ist Ihre beste Strategie, um dies zu vermeiden?</t>
  </si>
  <si>
    <t>A. Zielen Sie auf die linke Seite des Baumes B. Verwenden Sie einen Seitenwurf, um eine Kurve zu machen C. Wirf schneller, um ihm auszuweichen D. Zielen Sie auf die rechte Seite des Baumes</t>
  </si>
  <si>
    <t>Verwenden Sie einen Seitenwurf, um eine Kurve zu machen</t>
  </si>
  <si>
    <t>Ein Seitenwurf hilft dabei, den Ball um Hindernisse wie Bäume herumzulenken.</t>
  </si>
  <si>
    <t>A. Cast more slowly to reduce sinking. B. Throw with maximum force to remove it. C. Use a side throw to glide over it. D. Drive over it in a high arc</t>
  </si>
  <si>
    <t>Sie nähern sich einer schlammigen Stelle. Was sollten Sie tun, damit Ihr Ball nicht einsinkt?</t>
  </si>
  <si>
    <t>A. Langsamer werfen, um das Absinken zu reduzieren B. Wirf mit maximaler Kraft, um es zu beseitigen C. Verwenden Sie einen Seitenwurf, um darüber zu gleiten D. Fahren Sie mit einem hohen Bogen darüber</t>
  </si>
  <si>
    <t>Verwenden Sie einen Seitenwurf, um darüber zu gleiten</t>
  </si>
  <si>
    <t>Ein Seitenwurf sorgt dafür, dass sich der Ball gleichmäßig über schlammige Bereiche bewegt.</t>
  </si>
  <si>
    <t>A. Throw more softly to prevent loss of control. B. Throw harder to overcome gravity. C. Slow down and aim carefully. D. Aim for the middle of the slope.</t>
  </si>
  <si>
    <t>Sie befinden sich an einem steilen Hang. Wie passen Sie sich an, um die Kontrolle über den Ball zu behalten?</t>
  </si>
  <si>
    <t>A. Werfen Sie weicher, um einen Kontrollverlust zu verhindern B. Wirf härter, um die Schwerkraft zu überwinden C. Machen Sie langsamer und zielen Sie vorsichtig D. Zielen Sie auf die Mitte des Hangs</t>
  </si>
  <si>
    <t>Wirf härter, um die Schwerkraft zu überwinden</t>
  </si>
  <si>
    <t>Stärkeres Werfen trägt dazu bei, den Schwung an steilen Hängen aufrechtzuerhalten.</t>
  </si>
  <si>
    <t>A. Slow down to absorb the impact B. Throw harder to jump over it. C. Use a side view to navigate within it. D. Throw it in a high arc to eliminate it.</t>
  </si>
  <si>
    <t>Ihr Ball ist dabei, auf eine Unebenheit im Weg zu treffen. Wie geht man am besten damit um?</t>
  </si>
  <si>
    <t>A. Machen Sie langsamer, um den Stoß aufzufangen B. Wirf härter, um darüber zu springen C. Verwenden Sie eine Seitenaufnahme, um darin zu navigieren D. Wirf mit einem hohen Bogen, um es zu beseitigen</t>
  </si>
  <si>
    <t>Verwenden Sie eine Seitenaufnahme, um darin zu navigieren</t>
  </si>
  <si>
    <t>Ein Seitenschlag verhindert, dass der Ball durch Unebenheiten aus der Bahn geworfen wird.</t>
  </si>
  <si>
    <t>A. Throw more slowly to maintain control. B. Throw faster to prevent slipping. C. Use a side throw for stabilization. D. Throw with a higher arc to avoid slipping.</t>
  </si>
  <si>
    <t>Die vor uns liegende Strecke ist mit Schnee bedeckt, was die Oberfläche rutschig macht. Wie entschädigen Sie?</t>
  </si>
  <si>
    <t>A. Wirf langsamer, um die Kontrolle zu behalten B. Werfen Sie schneller, um ein Ausrutschen zu verhindern C. Verwenden Sie einen Seitenwurf zur Stabilisierung D. Werfen Sie mit einem höheren Bogen, um ein Abrutschen zu vermeiden</t>
  </si>
  <si>
    <t>Wenn Sie langsamer fahren, behalten Sie auf rutschigem Untergrund wie Schnee eine bessere Kontrolle.</t>
  </si>
  <si>
    <t>A. Throw faster to gain momentum. B. Drive slower to avoid losing control. C. Make sure the edges maintain control. D. Use a side throw to control it.</t>
  </si>
  <si>
    <t>Sie nähern sich einer scharfen Kurve und Ihr Ball verliert an Geschwindigkeit. Was sollten Sie tun, um die Kontrolle zu behalten?</t>
  </si>
  <si>
    <t>A. Wirf schneller, um an Schwung zu gewinnen B. Fahren Sie langsamer, um einen Kontrollverlust zu vermeiden C. Achten Sie darauf, dass die Kanten die Kontrolle behalten D. Verwenden Sie einen Seitenwurf, um es zu steuern</t>
  </si>
  <si>
    <t>Verwenden Sie einen Seitenwurf, um es zu steuern</t>
  </si>
  <si>
    <t>Ein Seitenwurf hilft dabei, den Ball um scharfe Kurven zu lenken, ohne die Kontrolle zu verlieren.</t>
  </si>
  <si>
    <t>A. Throw with more force to skip it. B. Aim left to steer around. C. Use a side throw to glide past it. D. Drive slower and avoid the puddle.</t>
  </si>
  <si>
    <t>Der Ball fliegt auf eine tiefe Pfütze zu. Was ist der beste Weg, dies zu vermeiden?</t>
  </si>
  <si>
    <t>A. Werfen Sie mit mehr Kraft, um es zu überspringen B. Zielen Sie nach links, um herumzulenken C. Benutze einen Seitenwurf, um daran vorbei zu gleiten D. Fahren Sie langsamer und vermeiden Sie die Pfütze</t>
  </si>
  <si>
    <t>Ein Seitenwurf sorgt dafür, dass der Ball sanft um Hindernisse wie Pfützen gleitet.</t>
  </si>
  <si>
    <t>A. Throw with maximum force to remove it. B. Slow down and aim precisely. C. Use a side shot to smooth the path. D. Throw with a higher bow to avoid the stones.</t>
  </si>
  <si>
    <t>Das Gelände ist steinig und Ihr Ball springt unvorhersehbar. Was ist Ihre Strategie, um es zu stabilisieren?</t>
  </si>
  <si>
    <t>A. Wirf mit maximaler Kraft, um es zu beseitigen B. Machen Sie langsamer und zielen Sie präzise C. Verwenden Sie einen Seitenschuss, um den Weg zu glätten D. Werfen Sie mit einem höheren Bogen, um den Steinen auszuweichen</t>
  </si>
  <si>
    <t>Ein Seitenschlag erleichtert das Navigieren in felsigem Gelände, ohne dass der Ball unkontrolliert abspringt.</t>
  </si>
  <si>
    <t>A. Throw harder to maintain momentum. B. Slow it down to save energy. C. Throw with a higher arc to eliminate it. D. Use a side throw to help him over the hill.</t>
  </si>
  <si>
    <t>Sie nähern sich einer steilen Steigung und Ihr Ball verliert an Geschwindigkeit. Was machst du?</t>
  </si>
  <si>
    <t>A. Wirf härter, um den Schwung beizubehalten B. Machen Sie es langsamer, um Energie zu sparen C. Wirf mit einem höheren Bogen, um es zu beseitigen D. Benutze einen Seitenwurf, um ihm über den Hügel zu helfen</t>
  </si>
  <si>
    <t>Durch härteres Werfen wird sichergestellt, dass der Ball seine Geschwindigkeit beibehält und die Steigung erklimmen kann.</t>
  </si>
  <si>
    <t>A. Throw faster to advance. B. Use a side throw to stay on the right path. C. Aim for the edges to avoid obstacles. D. Slow down to avoid going off course.</t>
  </si>
  <si>
    <t>Der vor uns liegende Kurs ist eng und weist viele Kurven und Wendungen auf. Wie bleiben Sie auf dem richtigen Weg?</t>
  </si>
  <si>
    <t>A. Wirf schneller, um weiterzukommen B. Benutze einen Seitenwurf, um auf dem richtigen Weg zu bleiben C. Zielen Sie auf die Kanten, um Hindernissen auszuweichen D. Fahren Sie langsamer, um nicht vom Kurs abzukommen</t>
  </si>
  <si>
    <t>Benutze einen Seitenwurf, um auf dem richtigen Weg zu bleiben</t>
  </si>
  <si>
    <t>Ein Seitenwurf hilft Ihnen beim Navigieren auf schmalen Strecken mit scharfen Kurven.</t>
  </si>
  <si>
    <t>A. Throw with more force B. Use a side throw for precision C. Throw with a higher arc to gain speed. D. Throw more slowly to maintain control.</t>
  </si>
  <si>
    <t>Sie befinden sich auf einem langen, geraden Weg, aber Ihr Ball verliert an Schwung. Wie beschleunigt man es?</t>
  </si>
  <si>
    <t>A. Mit mehr Kraft werfen B. Verwenden Sie einen Seitenwurf für Präzision C. Werfen Sie mit einem höheren Bogen, um an Geschwindigkeit zu gewinnen D. Wirf langsamer, um die Kontrolle zu behalten</t>
  </si>
  <si>
    <t>Mit mehr Kraft werfen</t>
  </si>
  <si>
    <t>Eine Erhöhung der Kraft trägt dazu bei, die Geschwindigkeit des Balls auf langen Strecken zu erhöhen.</t>
  </si>
  <si>
    <t>A. Aim to the left to avoid him. B. Use a side throw to glide past. C. Throw faster to overcome the boulder. D. Seek the right to circumvent it</t>
  </si>
  <si>
    <t>Vor uns liegt ein großer Felsbrocken. Wie vermeiden Sie es, ihn mit Ihrem Ball zu treffen?</t>
  </si>
  <si>
    <t>A. Zielen Sie nach links, um ihm auszuweichen B. Benutze einen Seitenwurf, um vorbei zu gleiten C. Wirf schneller, um den Felsblock zu überwinden D. Streben Sie nach dem Recht, es zu umgehen</t>
  </si>
  <si>
    <t>Benutze einen Seitenwurf, um vorbei zu gleiten</t>
  </si>
  <si>
    <t>Ein Seitenwurf hilft Ihnen, Hindernissen wie Felsbrocken auf Ihrem Weg auszuweichen.</t>
  </si>
  <si>
    <t>A. Throw faster to penetrate. B. Slow down to control the ball. C. Use a side throw to avoid this. D. Aim for a high arc to remove the mud.</t>
  </si>
  <si>
    <t>Ihr Ball fliegt direkt auf einen Schlammfleck zu. Wie verhindern Sie, dass es einsinkt?</t>
  </si>
  <si>
    <t>A. Wirf schneller, um durchzudringen B. Machen Sie langsamer, um den Ball zu kontrollieren C. Verwenden Sie einen Seitenwurf, um dies zu vermeiden D. Streben Sie einen hohen Bogen an, um den Schlamm zu beseitigen</t>
  </si>
  <si>
    <t>Machen Sie langsamer, um den Ball zu kontrollieren</t>
  </si>
  <si>
    <t>Die Verlangsamung verhindert, dass der Ball im Schlamm versinkt, und ermöglicht eine bessere Kontrolle.</t>
  </si>
  <si>
    <t>A. Throw faster to overcome the obstacle. B. Use a side throw to avoid this. C. Slow down to handle it carefully. D. Throw with precision to stay on the right path.</t>
  </si>
  <si>
    <t>Sie nähern sich der Ziellinie, aber vor Ihnen liegt ein kleines Hindernis. Wie navigieren Sie darin?</t>
  </si>
  <si>
    <t>A. Wirf schneller, um das Hindernis zu überwinden B. Verwenden Sie einen Seitenwurf, um dies zu vermeiden C. Machen Sie es langsamer, um vorsichtig damit umzugehen D. Werfen Sie mit Präzision, um auf dem richtigen Weg zu bleiben</t>
  </si>
  <si>
    <t>Mit einem Seitenwurf können Sie kleine Hindernisse in der Nähe der Ziellinie sanft umgehen.</t>
  </si>
  <si>
    <t>A. Use a side throw to maintain control. B. Throw faster to penetrate. C. Drive slower to prevent skidding. D. Throw with a higher arc to clear the water.</t>
  </si>
  <si>
    <t>Der Kurs ist nach einem kürzlichen Regen sehr nass. Wie stellen Sie sicher, dass Ihr Ball nicht verrutscht?</t>
  </si>
  <si>
    <t>A. Verwenden Sie einen Seitenwurf, um die Kontrolle zu behalten B. Wirf schneller, um durchzudringen C. Fahren Sie langsamer, um ein Ausrutschen zu verhindern D. Werfen Sie mit einem höheren Bogen, um das Wasser zu klären</t>
  </si>
  <si>
    <t>Ein Seitenwurf hilft Ihnen, die Kontrolle über rutschige Oberflächen zu behalten.</t>
  </si>
  <si>
    <t>A. Throw harder to maintain speed. B. Use a side throw to steer around. C. Slow down and adjust the angle. D. Throw in a high arc to clear the corner</t>
  </si>
  <si>
    <t>Sie nähern sich einer scharfen Ecke und Ihr Ball verliert an Geschwindigkeit. Was sollten Sie tun?</t>
  </si>
  <si>
    <t>A. Wirf härter, um die Geschwindigkeit beizubehalten B. Verwenden Sie einen Seitenwurf, um herumzusteuern C. Machen Sie langsamer und passen Sie den Winkel an D. Wirf mit hohem Bogen, um die Ecke zu klären</t>
  </si>
  <si>
    <t>Verwenden Sie einen Seitenwurf, um herumzusteuern</t>
  </si>
  <si>
    <t>Ein Seitenwurf hilft dabei, den Ball durch scharfe Ecken zu führen und so die Kontrolle zu behalten.</t>
  </si>
  <si>
    <t>A. Throw faster to dodge him. B. Use a side throw to avoid the trench. C. The goal is to keep the center on course. D. Slow down to avoid the ditch.</t>
  </si>
  <si>
    <t>Der Ball fliegt auf einen Graben zu. Wie gehen Sie mit dieser Situation um?</t>
  </si>
  <si>
    <t>A. Wirf schneller, um ihm auszuweichen B. Verwenden Sie einen Seitenwurf, um dem Graben auszuweichen C. Ziel ist es, dass das Zentrum auf Kurs bleibt D. Fahren Sie langsamer, um dem Graben auszuweichen</t>
  </si>
  <si>
    <t>Verwenden Sie einen Seitenwurf, um dem Graben auszuweichen</t>
  </si>
  <si>
    <t>Ein Seitenwurf hilft dabei, den Ball um einen Graben oder ein anderes Hindernis herum zu steuern.</t>
  </si>
  <si>
    <t>A. Throw faster to penetrate. B. Slow down to avoid a collision. C. Use a sideways shot to avoid interference. D. Throw with a high arc to avoid gravel.</t>
  </si>
  <si>
    <t>Sie spielen auf einem Platz mit losem Kies. Was ist Ihr bester Ansatz, um die Kontrolle zu behalten?</t>
  </si>
  <si>
    <t>A. Wirf schneller, um durchzudringen B. Machen Sie es langsamer, um ein Aufprallen zu vermeiden C. Verwenden Sie einen seitlichen Schuss, um Störungen zu vermeiden D. Werfen Sie mit einem hohen Bogen, um Kies zu vermeiden</t>
  </si>
  <si>
    <t>Verwenden Sie einen seitlichen Schuss, um Störungen zu vermeiden</t>
  </si>
  <si>
    <t>Ein seitlicher Schuss sorgt dafür, dass der Ball auf losem Kies stabil bleibt, ohne abzuprallen.</t>
  </si>
  <si>
    <t>A. Throw faster to clear the stones. B. Use a side throw to smooth the path. C. Slow it down to maintain control. D. Throw with precision to avoid bounce-outs.</t>
  </si>
  <si>
    <t>Das Gelände ist extrem steinig und Ihr Ball springt unvorhersehbar. Was machst du?</t>
  </si>
  <si>
    <t>A. Wirf schneller, um die Steine ​​zu beseitigen B. Verwenden Sie einen Seitenwurf, um den Weg zu glätten C. Machen Sie es langsamer, um die Kontrolle zu behalten D. Werfen Sie mit Präzision, um ein Abprallen zu vermeiden</t>
  </si>
  <si>
    <t>Verwenden Sie einen Seitenwurf, um den Weg zu glätten</t>
  </si>
  <si>
    <t>Ein seitlicher Wurf hilft dabei, durch felsiges Gelände zu navigieren und gleichzeitig die Kontrolle zu behalten.</t>
  </si>
  <si>
    <t>A. Aim to the left to avoid him. B. Use a side throw to steer around. C. Throw faster to penetrate. D. Slow down to avoid a collision</t>
  </si>
  <si>
    <t>Ihr Ball ist dabei, einen großen Stein zu treffen. Was sollten Sie tun, um eine schwere Kollision zu vermeiden?</t>
  </si>
  <si>
    <t>A. Zielen Sie nach links, um ihm auszuweichen B. Verwenden Sie einen Seitenwurf, um herumzusteuern C. Wirf schneller, um durchzudringen D. Machen Sie langsamer, um eine Kollision zu vermeiden</t>
  </si>
  <si>
    <t>Ein Seitenwurf kann dabei helfen, größeren Hindernissen wie großen Steinen auf dem Weg auszuweichen.</t>
  </si>
  <si>
    <t>A. Throw harder to avoid obstacles B. Slow down and take each turn carefully. C. Use a side throw to navigate within it. D. Throw with precision to avoid impacts.</t>
  </si>
  <si>
    <t>Der Weg vor Ihnen weist scharfe Kurven und Unebenheiten auf. Wie gehen Sie diesen schwierigen Abschnitt an?</t>
  </si>
  <si>
    <t>A. Wirf härter, um Hindernissen auszuweichen B. Machen Sie langsamer und nehmen Sie jede Kurve vorsichtig C. Verwenden Sie einen Seitenwurf, um darin zu navigieren D. Werfen Sie mit Präzision, um Stößen auszuweichen</t>
  </si>
  <si>
    <t>Verwenden Sie einen Seitenwurf, um darin zu navigieren</t>
  </si>
  <si>
    <t>Ein seitlicher Wurf hilft Ihnen, scharfe Kurven und Unebenheiten sanfter zu bewältigen.</t>
  </si>
  <si>
    <t>A. Throw with maximum force to remove it. B. Slow it down to maintain control. C. Use a side throw to smooth the path. D. Pay attention to the edges to avoid rough spots.</t>
  </si>
  <si>
    <t>Der Kurs ist größtenteils flach, aber der Untergrund ist holprig. Was tun Sie, um die Stabilität aufrechtzuerhalten?</t>
  </si>
  <si>
    <t>A. Wirf mit maximaler Kraft, um es zu beseitigen B. Machen Sie es langsamer, um die Kontrolle zu behalten C. Verwenden Sie einen Seitenwurf, um den Weg zu glätten D. Achten Sie auf die Kanten, um raue Stellen zu vermeiden</t>
  </si>
  <si>
    <t>Ein Seitenwurf hilft dabei, den Ball über holprige Oberflächen stabil zu halten.</t>
  </si>
  <si>
    <t>A. Aim to the left to counteract the wind. B. Throw harder to fight the wind. C. Use a side throw to adjust the direction. D. Slow down to prevent drifting.</t>
  </si>
  <si>
    <t>Sie müssen sich auf starken Seitenwind einstellen. Was ist Ihre beste Strategie?</t>
  </si>
  <si>
    <t>A. Zielen Sie nach links, um dem Wind entgegenzuwirken B. Wirf härter, um den Wind zu bekämpfen C. Verwenden Sie einen Seitenwurf, um die Richtung anzupassen D. Fahren Sie langsamer, um ein Abdriften zu verhindern</t>
  </si>
  <si>
    <t>Verwenden Sie einen Seitenwurf, um die Richtung anzupassen</t>
  </si>
  <si>
    <t>Ein Seitenwurf hilft, starken Seitenwind auszugleichen und den Ball auf Kurs zu halten.</t>
  </si>
  <si>
    <t>A. Slow down and aim carefully. B. Throw faster to overcome the curve. C. Use a side throw to control the speed. D. Aim for the edges to slow down.</t>
  </si>
  <si>
    <t>Ihr Ball nähert sich einer scharfen Kurve, rollt aber zu schnell. Wie reduziert man die Geschwindigkeit?</t>
  </si>
  <si>
    <t>A. Machen Sie langsamer und zielen Sie vorsichtig B. Wirf schneller, um die Kurve zu überwinden C. Verwenden Sie einen Seitenwurf, um die Geschwindigkeit zu kontrollieren D. Zielen Sie auf die Kanten, um das Tempo zu verlangsamen</t>
  </si>
  <si>
    <t>Verwenden Sie einen Seitenwurf, um die Geschwindigkeit zu kontrollieren</t>
  </si>
  <si>
    <t>Ein Seitenwurf hilft, die Geschwindigkeit zu reduzieren und den Ball durch eine scharfe Kurve zu führen.</t>
  </si>
  <si>
    <t>A. Throw harder to avoid rolling down. B. Throw with precision to control the speed. C. Drive slower to prevent acceleration. D. Try to balance your left side.</t>
  </si>
  <si>
    <t>Sie befinden sich in der Nähe eines Hügels und das Gelände fällt ab. Wie behält man die Kontrolle über den Ball?</t>
  </si>
  <si>
    <t>A. Wirf härter, um ein Herunterrollen zu vermeiden B. Werfen Sie mit Präzision, um die Geschwindigkeit zu kontrollieren C. Fahren Sie langsamer, um eine Beschleunigung zu verhindern D. Versuchen Sie, die linke Seite auszubalancieren</t>
  </si>
  <si>
    <t>Werfen Sie mit Präzision, um die Geschwindigkeit zu kontrollieren</t>
  </si>
  <si>
    <t>Präzision hilft dabei, die Geschwindigkeit zu kontrollieren und zu verhindern, dass der Ball zu schnell bergab rollt.</t>
  </si>
  <si>
    <t>A. Throw faster to clear the stream B. Use a side throw to bypass it. C. Slow down and aim to the left D. Throw with a higher arc to jump over it.</t>
  </si>
  <si>
    <t>Ihr Ball bewegt sich auf einen kleinen Bach im Weg zu. Was ist der beste Weg, dies zu vermeiden?</t>
  </si>
  <si>
    <t>A. Wirf schneller, um den Strom freizumachen B. Verwenden Sie einen Seitenwurf, um ihn zu umgehen C. Machen Sie langsamer und zielen Sie nach links D. Werfen Sie mit einem höheren Bogen, um darüber zu springen</t>
  </si>
  <si>
    <t>Ein Seitenwurf hilft Ihnen dabei, Hindernisse wie Bäche reibungslos zu umgehen.</t>
  </si>
  <si>
    <t>A. Throw harder to break through. B. Aim for the left or right side C. Use a side stroke to steer through the curves. D. Throw with a high arc to clear curves.</t>
  </si>
  <si>
    <t>Der Kurs hat viele enge Kurven. Was ist Ihr bester Ansatz, um auf dem richtigen Weg zu bleiben?</t>
  </si>
  <si>
    <t>A. Wirf härter, um durchzubrechen B. Zielen Sie auf die linke oder rechte Seite C. Verwenden Sie einen Seitenschlag, um durch die Kurven zu steuern D. Werfen Sie mit einem hohen Bogen, um Kurven freizumachen</t>
  </si>
  <si>
    <t>Verwenden Sie einen Seitenschlag, um durch die Kurven zu steuern</t>
  </si>
  <si>
    <t>Ein seitlicher Schlag ermöglicht eine bessere Kontrolle in engen Kurven.</t>
  </si>
  <si>
    <t>A. Throw faster to powerfully penetrate the mud. B. Slow it down to avoid sinking. C. With a side throw, you glide past the mud. D. Aim to the right to avoid the mud.</t>
  </si>
  <si>
    <t>Die Oberfläche vor uns ist mit Schlamm bedeckt. Was sollten Sie tun, um den Ball in Bewegung zu halten?</t>
  </si>
  <si>
    <t>A. Wirf schneller, um kraftvoll durch den Schlamm zu dringen B. Machen Sie es langsamer, um nicht zu sinken C. Mit einem Seitenwurf gleiten Sie am Schlamm vorbei D. Zielen Sie nach rechts, um dem Schlamm auszuweichen</t>
  </si>
  <si>
    <t>Mit einem Seitenwurf gleiten Sie am Schlamm vorbei</t>
  </si>
  <si>
    <t>Ein Seitenwurf verhindert, dass der Ball im Schlamm stecken bleibt.</t>
  </si>
  <si>
    <t>A. Throw harder to maintain momentum. B. Use a side shot to maintain control. C. Drive slower to avoid losing control. D. The goal is to keep the center on course.</t>
  </si>
  <si>
    <t>A. Wirf härter, um den Schwung beizubehalten B. Verwenden Sie einen Seitenschuss, um die Kontrolle zu behalten C. Fahren Sie langsamer, um einen Kontrollverlust zu vermeiden D. Ziel ist es, dass das Zentrum auf Kurs bleibt</t>
  </si>
  <si>
    <t>Stärkeres Werfen sorgt dafür, dass sich der Ball weiter bergauf bewegt.</t>
  </si>
  <si>
    <t>A. Throw harder to stabilize it. B. Slow down and aim precisely. C. Use a side shot to smooth the path. D. Aim to ensure that the center controls it.</t>
  </si>
  <si>
    <t>Das Gelände ist steinig und Ihr Ball springt unvorhersehbar. Wie stellen Sie es ein, um es zu stabilisieren?</t>
  </si>
  <si>
    <t>A. Wirf härter, um es zu stabilisieren B. Machen Sie langsamer und zielen Sie präzise C. Verwenden Sie einen Seitenschuss, um den Weg zu glätten D. Zielen Sie darauf, dass das Zentrum es kontrolliert</t>
  </si>
  <si>
    <t>Ein seitlicher Schlag hilft, den Ball auf felsigem Gelände stabil zu halten und ein Abprallen zu verhindern.</t>
  </si>
  <si>
    <t>A. Throw faster to advance. B. Use a side throw to stay on course. C. Aim for the edges to avoid obstacles. D. Slow it down and adjust it with each turn.</t>
  </si>
  <si>
    <t>Der Weg hat viele Wendungen. Welche Strategie hilft Ihnen dabei, die Kontrolle zu behalten?</t>
  </si>
  <si>
    <t>A. Wirf schneller, um weiterzukommen B. Benutze einen Seitenwurf, um auf Kurs zu bleiben C. Zielen Sie auf die Kanten, um Hindernissen auszuweichen D. Machen Sie es langsamer und passen Sie es bei jeder Drehung an</t>
  </si>
  <si>
    <t>Benutze einen Seitenwurf, um auf Kurs zu bleiben</t>
  </si>
  <si>
    <t>Ein Seitenwurf hilft dabei, Drehungen und Wendungen zu bewältigen und gleichzeitig den Ball auf dem richtigen Weg zu halten.</t>
  </si>
  <si>
    <t>A. Use a side throw to steer around. B. Throw faster to break through. C. Slow down and aim carefully. D. Aim for the edges to avoid this.</t>
  </si>
  <si>
    <t>Ihr Ball fliegt auf einen großen Busch zu. Was ist die beste Strategie, um dies zu vermeiden?</t>
  </si>
  <si>
    <t>A. Verwenden Sie einen Seitenwurf, um herumzusteuern B. Wirf schneller, um durchzubrechen C. Machen Sie langsamer und zielen Sie vorsichtig D. Zielen Sie auf die Kanten, um dies zu vermeiden</t>
  </si>
  <si>
    <t>Ein Seitenwurf ist effektiv, um Hindernissen wie Büschen auszuweichen.</t>
  </si>
  <si>
    <t>A. Aim to the left to counteract the wind. B. Throw with a higher arc to deflect the wind. C. Use a side throw to stabilize it. D. Throw faster to break through the wind.</t>
  </si>
  <si>
    <t>Der Weg vor uns ist sehr windig. Wie passen Sie Ihren Wurf an den Wind an?</t>
  </si>
  <si>
    <t>A. Zielen Sie nach links, um dem Wind entgegenzuwirken B. Werfen Sie mit einem höheren Bogen, um den Wind zu vertreiben C. Verwenden Sie einen Seitenwurf, um es zu stabilisieren D. Wirf schneller, um durch den Wind zu dringen</t>
  </si>
  <si>
    <t>Verwenden Sie einen Seitenwurf, um es zu stabilisieren</t>
  </si>
  <si>
    <t>Ein Seitenwurf hilft, Seitenwind auszugleichen und die Flugbahn des Balls zu stabilisieren.</t>
  </si>
  <si>
    <t>A. Throw harder to get out of the weak spot. B. Slow down and aim precisely. C. Use a side shot to glide over it. D. Pay attention to the edges to avoid sinking in.</t>
  </si>
  <si>
    <t>Die Oberfläche ist weich und Ihr Ball sinkt beim Rollen. Was ist die beste Vorgehensweise?</t>
  </si>
  <si>
    <t>A. Wirf härter, um aus der Schwachstelle herauszukommen B. Machen Sie langsamer und zielen Sie präzise C. Benutzen Sie einen Seitenschuss, um darüber zu gleiten D. Achten Sie auf die Kanten, um ein Einsinken zu vermeiden</t>
  </si>
  <si>
    <t>Ein seitlicher Schuss kann dazu beitragen, dass der Ball über weiche Oberflächen gleitet, ohne einzusinken.</t>
  </si>
  <si>
    <t>A. Aim for the left side of the tree. B. Throw faster to remove the tree. C. Use a side throw to navigate around. D. Slow down to avoid hitting the tree.</t>
  </si>
  <si>
    <t>Der Weg ist schmal und ein Baum versperrt den Weg. Wie gehen Sie mit diesem Hindernis um?</t>
  </si>
  <si>
    <t>A. Zielen Sie auf die linke Seite des Baumes B. Wirf schneller, um den Baum zu beseitigen C. Verwenden Sie einen Seitenwurf, um herumzunavigieren D. Fahren Sie langsamer, um einen Aufprall auf den Baum zu vermeiden</t>
  </si>
  <si>
    <t>Verwenden Sie einen Seitenwurf, um herumzunavigieren</t>
  </si>
  <si>
    <t>Ein Seitenwurf hilft Ihnen, den Ball um Hindernisse wie Bäume herum zu lenken.</t>
  </si>
  <si>
    <t>A. Throw with maximum force to remove it. B. Use a side throw to steer around trees. C. Throw more slowly to maintain control. D. Aim for the gaps to avoid obstacles.</t>
  </si>
  <si>
    <t>Der Kurs ist stark bewaldet und weist viele Hindernisse im Weg auf. Was ist Ihre beste Strategie?</t>
  </si>
  <si>
    <t>A. Wirf mit maximaler Kraft, um es zu beseitigen B. Verwenden Sie einen Seitenwurf, um um Bäume herumzusteuern C. Wirf langsamer, um die Kontrolle zu behalten D. Zielen Sie auf die Lücken, um Hindernissen auszuweichen</t>
  </si>
  <si>
    <t>Verwenden Sie einen Seitenwurf, um um Bäume herumzusteuern</t>
  </si>
  <si>
    <t>Ein Seitenwurf gibt Ihnen mehr Kontrolle, um Bäumen und anderen Hindernissen auszuweichen.</t>
  </si>
  <si>
    <t>A. Use a side throw to bypass it. B. Throw faster to avoid it. C. Aim to the right to avoid it. D. Drive slower to avoid a collision.</t>
  </si>
  <si>
    <t>Der Ball fliegt auf einen großen Stein zu, der Ihnen im Weg steht. Wie vermeidet man es zu treffen?</t>
  </si>
  <si>
    <t>A. Verwenden Sie einen Seitenwurf, um ihn zu umgehen B. Wirf schneller, um es zu umgehen C. Zielen Sie auf die rechte Seite, um dem auszuweichen D. Fahren Sie langsamer, um eine Kollision zu vermeiden</t>
  </si>
  <si>
    <t>Mit einem Seitenwurf können Sie große Hindernisse wie Steine ​​umgehen.</t>
  </si>
  <si>
    <t>A. Throw faster to penetrate. B. Use a side throw to smooth the path. C. Throw with precision to control it. D. Slow it down to prevent bouncing.</t>
  </si>
  <si>
    <t>Das Gelände vor uns besteht aus einer Reihe kleiner Unebenheiten. Wie verhindert man, dass der Ball zu stark springt?</t>
  </si>
  <si>
    <t>A. Wirf schneller, um durchzudringen B. Verwenden Sie einen Seitenwurf, um den Weg zu glätten C. Wirf mit Präzision, um es zu kontrollieren D. Machen Sie es langsamer, um ein Abprallen zu verhindern</t>
  </si>
  <si>
    <t>Ein seitlicher Wurf verhindert ein Abprallen und sorgt dafür, dass der Ball auch bei Unebenheiten ruhig bleibt.</t>
  </si>
  <si>
    <t>A. Throw with a higher arc to eliminate it. B. Slow down and aim carefully. C. Use a side throw to reduce speed. D. Throw harder to maintain momentum.</t>
  </si>
  <si>
    <t>Ihr Ball fliegt bergab zu schnell. Was sollten Sie tun, um es zu verlangsamen?</t>
  </si>
  <si>
    <t>A. Wirf mit einem höheren Bogen, um es zu beseitigen B. Machen Sie langsamer und zielen Sie vorsichtig C. Verwenden Sie einen Seitenwurf, um die Geschwindigkeit zu reduzieren D. Wirf härter, um den Schwung beizubehalten</t>
  </si>
  <si>
    <t>Verwenden Sie einen Seitenwurf, um die Geschwindigkeit zu reduzieren</t>
  </si>
  <si>
    <t>Ein Seitenwurf hilft dabei, die Geschwindigkeit auf Gefällestrecken zu kontrollieren und verhindert, dass der Ball zu schnell fliegt.</t>
  </si>
  <si>
    <t>A. Throw harder to regain control. B. Use a side throw to control it. C. Slow down and aim more precisely. D. Throw with a higher arc to avoid deviation.</t>
  </si>
  <si>
    <t>Vor Ihnen liegt eine leichte Kurve, und Ihr Ball verliert die Richtung. Wie stellen Sie sich ein?</t>
  </si>
  <si>
    <t>A. Wirf härter, um die Kontrolle wiederzugewinnen B. Verwenden Sie einen Seitenwurf, um es zu steuern C. Machen Sie langsamer und zielen Sie präziser D. Werfen Sie mit einem höheren Bogen, um ein Abweichen zu vermeiden</t>
  </si>
  <si>
    <t>Bei leichten Kurven kann ein Seitenwurf dabei helfen, den Ballverlauf zu korrigieren.</t>
  </si>
  <si>
    <t>A. Throw harder to penetrate. B. Slow down and stay in control. C. Use a side throw to glide over it. D. Throw with precision to avoid sinking.</t>
  </si>
  <si>
    <t>Sie treffen auf eine weiche Grasfläche. Wie gehen Sie mit der Situation um?</t>
  </si>
  <si>
    <t>A. Wirf härter, um durchzudringen B. Machen Sie langsamer und behalten Sie die Kontrolle C. Benutze einen Seitenwurf, um darüber zu gleiten D. Werfen Sie mit Präzision, um ein Absinken zu vermeiden</t>
  </si>
  <si>
    <t>Benutze einen Seitenwurf, um darüber zu gleiten</t>
  </si>
  <si>
    <t>Durch einen Seitenwurf kann sich der Ball sanft über weiche Oberflächen wie Gras bewegen.</t>
  </si>
  <si>
    <t>A. Throw harder to regain control. B. Return it with a side throw C. Slow down to adjust your goal D. Throw with a higher arc to eliminate bumps.</t>
  </si>
  <si>
    <t>Der Platz ist holprig und Ihr Ball kommt vom Kurs ab. Was machst du?</t>
  </si>
  <si>
    <t>A. Wirf härter, um die Kontrolle wiederzugewinnen B. Führen Sie es mit einem Seitenwurf zurück C. Machen Sie langsamer, um Ihr Ziel anzupassen D. Werfen Sie mit einem höheren Bogen, um Unebenheiten zu beseitigen</t>
  </si>
  <si>
    <t>Führen Sie es mit einem Seitenwurf zurück</t>
  </si>
  <si>
    <t>Ein Seitenwurf hilft dabei, den Ball nach dem Aufprall auf Unebenheiten wieder in die Spur zu bringen.</t>
  </si>
  <si>
    <t>A. Throw harder to maintain momentum. B. Use a side shot to stabilize it. C. Slow it down to save energy. D. Throw in a high arc to gain speed.</t>
  </si>
  <si>
    <t>Sie befinden sich auf einer langen, geraden Strecke, aber Ihr Ball verliert an Geschwindigkeit. Was sollten Sie tun?</t>
  </si>
  <si>
    <t>A. Wirf härter, um den Schwung beizubehalten B. Verwenden Sie einen Seitenschuss, um es zu stabilisieren C. Machen Sie es langsamer, um Energie zu sparen D. Werfen Sie mit einem hohen Bogen, um an Geschwindigkeit zu gewinnen</t>
  </si>
  <si>
    <t>Durch härteres Werfen bleibt der Ball über weite Strecken gleichmäßig in Bewegung.</t>
  </si>
  <si>
    <t>A. Throw faster to clear the curve B. Use a side throw to guide it around. C. Slow down to make a careful turn. D. The goal is to keep the center on course.</t>
  </si>
  <si>
    <t>Sie befinden sich auf einem schmalen Pfad mit einer scharfen Kurve vor Ihnen. Wie stellst du deinen Wurf ein?</t>
  </si>
  <si>
    <t>A. Wirf schneller, um die Kurve freizumachen B. Verwenden Sie einen Seitenwurf, um ihn herumzuführen C. Fahren Sie langsamer, um vorsichtig abzubiegen D. Ziel ist es, dass das Zentrum auf Kurs bleibt</t>
  </si>
  <si>
    <t>Verwenden Sie einen Seitenwurf, um ihn herumzuführen</t>
  </si>
  <si>
    <t>Ein Seitenwurf hilft Ihnen, scharfe Kurven zu meistern, ohne die Kontrolle zu verlieren.</t>
  </si>
  <si>
    <t>A. Throw harder to maintain momentum. B. Use a sideways tap to keep it still. C. Slow down to maintain control. D. Pay attention to the edges to prevent slipping.</t>
  </si>
  <si>
    <t>Ihr Ball ist dabei, auf eine steile Schräge zu treffen und verliert an Geschwindigkeit. Was sollten Sie tun?</t>
  </si>
  <si>
    <t>A. Wirf härter, um den Schwung beizubehalten B. Verwenden Sie einen seitlichen Schlag, um es ruhig zu halten C. Machen Sie langsamer, um die Kontrolle zu behalten D. Achten Sie auf die Kanten, um ein Verrutschen zu vermeiden</t>
  </si>
  <si>
    <t>Stärkeres Werfen trägt dazu bei, den Schwung bei der Annäherung an Steigungen aufrechtzuerhalten.</t>
  </si>
  <si>
    <t>A. Use a side throw to navigate through it. B. Throw harder to overcome obstacles. C. Slow down and adjust your target carefully. D. Aim to the left to avoid obstacles.</t>
  </si>
  <si>
    <t>Der Kurs weist viele enge Passagen mit Hindernissen auf. Was ist Ihre beste Strategie, um sie zu vermeiden?</t>
  </si>
  <si>
    <t>A. Verwenden Sie einen Seitenwurf, um hindurch zu navigieren B. Wirf härter, um Hindernisse zu überwinden C. Verlangsamen Sie die Geschwindigkeit und passen Sie das Ziel sorgfältig an D. Zielen Sie auf die linke Seite, um Hindernissen auszuweichen</t>
  </si>
  <si>
    <t>Verwenden Sie einen Seitenwurf, um hindurch zu navigieren</t>
  </si>
  <si>
    <t>Ein Seitenwurf hilft dabei, durch enge Passagen zu manövrieren und Hindernissen auszuweichen.</t>
  </si>
  <si>
    <t>A. Throw faster to break it. B. Use a side throw to bypass it. C. Aim to the right to avoid it. D. Slow down to control your direction.</t>
  </si>
  <si>
    <t>Ihr Ball steht kurz davor, mit einem großen Hindernis zusammenzustoßen, aber Sie möchten ihn nicht direkt treffen. Wie vermeidet man es?</t>
  </si>
  <si>
    <t>A. Wirf schneller, um es zu durchbrechen B. Verwenden Sie einen Seitenwurf, um ihn zu umgehen C. Zielen Sie auf die rechte Seite, um dem auszuweichen D. Machen Sie langsamer, um die Richtung zu kontrollieren</t>
  </si>
  <si>
    <t>Mit einem Seitenwurf können Sie den Ball sanft um Hindernisse herum steuern, ohne sie direkt zu treffen.</t>
  </si>
  <si>
    <t>A. Throw faster to overcome curves B. Use a side throw to stay in line. C. Slow down to adapt to each curve. D. The goal is to keep the center on course.</t>
  </si>
  <si>
    <t>Der Kurs hat viele Kurven und Wendungen. Was ist Ihre beste Strategie, um auf dem richtigen Weg zu bleiben?</t>
  </si>
  <si>
    <t>A. Wirf schneller, um Kurven zu überwinden B. Verwenden Sie einen Seitenwurf, um in der Linie zu bleiben C. Machen Sie langsamer, um sich an jede Kurve anzupassen D. Ziel ist es, dass das Zentrum auf Kurs bleibt</t>
  </si>
  <si>
    <t>Verwenden Sie einen Seitenwurf, um in der Linie zu bleiben</t>
  </si>
  <si>
    <t>Ein Seitenwurf hilft dabei, den Ball bei Kurven und Wendungen auf der Strecke zu halten.</t>
  </si>
  <si>
    <t>A. Throw faster to penetrate. B. Slow it down to maintain control. C. Use a side throw to stabilize it. D. Throw with a higher arc to avoid slipping.</t>
  </si>
  <si>
    <t>Nach einem Regenschauer ist das Gelände sehr nass und Ihr Ball rutscht. Was machst du?</t>
  </si>
  <si>
    <t>A. Wirf schneller, um durchzudringen B. Machen Sie es langsamer, um die Kontrolle zu behalten C. Verwenden Sie einen Seitenwurf, um es zu stabilisieren D. Werfen Sie mit einem höheren Bogen, um ein Abrutschen zu vermeiden</t>
  </si>
  <si>
    <t>Ein Seitenwurf verhindert, dass der Ball auf nassem Untergrund verrutscht.</t>
  </si>
  <si>
    <t>A. Use a side throw to navigate around. B. Throw faster to break it. C. Aim to the left to avoid him. D. Slow down and adjust your goal.</t>
  </si>
  <si>
    <t>Sie nähern sich dem Ende des Kurses und Ihr Ball ist dabei, einen großen Stein zu treffen. Was sollten Sie tun?</t>
  </si>
  <si>
    <t>A. Verwenden Sie einen Seitenwurf, um herumzunavigieren B. Wirf schneller, um es zu durchbrechen C. Zielen Sie auf die linke Seite, um ihm auszuweichen D. Machen Sie es langsamer und passen Sie Ihr Ziel an</t>
  </si>
  <si>
    <t>Ein Seitenwurf hilft Ihnen, große Hindernisse wie Steine ​​zu umgehen.</t>
  </si>
  <si>
    <t>A. Throw harder to clear the mud. B. Use a side throw to steer around. C. Drive slower to avoid the mud. D. Aim to have the edges go around it.</t>
  </si>
  <si>
    <t>Ihr Ball ist dabei, in einen dicken Schlammfleck zu rollen. Was ist der beste Weg, dies zu vermeiden?</t>
  </si>
  <si>
    <t>A. Wirf härter, um den Schlamm zu beseitigen B. Verwenden Sie einen Seitenwurf, um herumzusteuern C. Fahren Sie langsamer, um dem Schlamm auszuweichen D. Zielen Sie darauf, dass die Kanten es umgehen</t>
  </si>
  <si>
    <t>Ein Seitenwurf hilft dabei, den Ball um dicke Schlammflecken herumzulenken, ohne darin einzusinken.</t>
  </si>
  <si>
    <t>A. Throw harder to penetrate. B. Use a side shot to guide it over uneven ground. C. Slow it down to maintain control. D. Throw with a higher arc to gain momentum.</t>
  </si>
  <si>
    <t>Der Kurs ist uneben und Ihr Ball verliert an Geschwindigkeit. Was sollten Sie tun, um es in Bewegung zu halten?</t>
  </si>
  <si>
    <t>A. Wirf härter, um durchzudringen B. Verwenden Sie einen Seitenschuss, um ihn über unebenen Boden zu führen C. Machen Sie es langsamer, um die Kontrolle zu behalten D. Werfen Sie mit einem höheren Bogen, um an Schwung zu gewinnen</t>
  </si>
  <si>
    <t>Verwenden Sie einen Seitenschuss, um ihn über unebenen Boden zu führen</t>
  </si>
  <si>
    <t>Ein Seitenschuss trägt dazu bei, eine gleichmäßige Bewegung über unebenes Gelände aufrechtzuerhalten.</t>
  </si>
  <si>
    <t>A. Throw faster to overcome the incline. B. Use a side shot to maintain control. C. Slow it down to save energy. D. Aim to the right to avoid losing speed.</t>
  </si>
  <si>
    <t>Ihr Ball bewegt sich auf eine leichte Steigung zu. Was sollten Sie tun, damit es weitergeht?</t>
  </si>
  <si>
    <t>A. Wirf schneller, um die Steigung zu überwinden B. Verwenden Sie einen Seitenschuss, um die Kontrolle zu behalten C. Machen Sie es langsamer, um Energie zu sparen D. Zielen Sie auf die rechte Seite, um Geschwindigkeitsverluste zu vermeiden</t>
  </si>
  <si>
    <t>Verwenden Sie einen Seitenschuss, um die Kontrolle zu behalten</t>
  </si>
  <si>
    <t>Ein Seitenschlag kann dabei helfen, den Ball sanft eine leichte Steigung hinaufzuleiten.</t>
  </si>
  <si>
    <t>A. Throw faster to penetrate. B. Use a side throw to glide over it. C. Slow it down to maintain control. D. Pay attention to the edges to avoid sinking in.</t>
  </si>
  <si>
    <t>Der Ball fliegt auf einen Sandfleck zu. Wie verhindern Sie, dass es hängen bleibt?</t>
  </si>
  <si>
    <t>A. Wirf schneller, um durchzudringen B. Benutze einen Seitenwurf, um darüber zu gleiten C. Machen Sie es langsamer, um die Kontrolle zu behalten D. Achten Sie auf die Kanten, um ein Einsinken zu vermeiden</t>
  </si>
  <si>
    <t>Ein Seitenwurf ermöglicht es Ihnen, über sandige Stellen zu gleiten, ohne dass der Ball einsinkt.</t>
  </si>
  <si>
    <t>A. Throw faster to clear the hill. B. Use a side throw to control the speed. C. Aim to slow down the right side. D. Throw a higher arc to gain speed.</t>
  </si>
  <si>
    <t>Ihr Ball rollt auf einen steilen Hügel zu. Wie geht man am besten mit der Situation um?</t>
  </si>
  <si>
    <t>A. Wirf schneller, um den Hügel zu überwinden B. Verwenden Sie einen Seitenwurf, um die Geschwindigkeit zu kontrollieren C. Zielen Sie darauf, dass die rechte Seite langsamer wird D. Werfen Sie einen höheren Bogen, um an Geschwindigkeit zu gewinnen</t>
  </si>
  <si>
    <t>Ein Seitenwurf kann helfen, die Geschwindigkeit beim Annähern an einen Hügel zu kontrollieren.</t>
  </si>
  <si>
    <t>A. Throw harder to break it. B. Use a side throw to avoid this. C. Throw in a high arc to avoid it. D. Aim to the right to avoid it.</t>
  </si>
  <si>
    <t>Der Ball nähert sich einem großen Stein auf dem Weg. Wie vermeidet man es zu treffen?</t>
  </si>
  <si>
    <t>A. Wirf härter, um es zu durchbrechen B. Verwenden Sie einen Seitenwurf, um dies zu vermeiden C. Werfen Sie mit einem hohen Bogen, um es zu umgehen D. Zielen Sie auf die rechte Seite, um dem auszuweichen</t>
  </si>
  <si>
    <t>Mit einem Seitenwurf können Sie großen Hindernissen wie Steinen ausweichen.</t>
  </si>
  <si>
    <t>A. Use a side throw to bypass it. B. Throw faster to get past it. C. Slow it down to avoid it. D. Throw with a higher arc to eliminate it.</t>
  </si>
  <si>
    <t>Ihr Ball ist dabei, mitten auf dem Weg gegen einen Baum zu prallen. Was ist Ihr bester Schachzug?</t>
  </si>
  <si>
    <t>A. Verwenden Sie einen Seitenwurf, um ihn zu umgehen B. Wirf schneller, um daran vorbeizukommen C. Machen Sie es langsamer, um es zu vermeiden D. Wirf mit einem höheren Bogen, um es zu beseitigen</t>
  </si>
  <si>
    <t>Ein Seitenwurf ist nützlich, um Hindernisse wie Bäume zu umgehen.</t>
  </si>
  <si>
    <t>A. Throw harder to get back into the swing of things. B. Use a side throw to guide it. C. Slow it down to control it. D. Aim for the center to stabilize it.</t>
  </si>
  <si>
    <t>Das Gelände ist steinig und Ihr Ball springt vom Kurs ab. Wie erlangt man die Kontrolle zurück?</t>
  </si>
  <si>
    <t>A. Wirf härter, um wieder in Schwung zu kommen B. Verwenden Sie einen Seitenwurf, um ihn zu führen C. Machen Sie es langsamer, um es zu kontrollieren D. Zielen Sie auf die Mitte, um es zu stabilisieren</t>
  </si>
  <si>
    <t>Verwenden Sie einen Seitenwurf, um ihn zu führen</t>
  </si>
  <si>
    <t>Ein Seitenwurf hilft dabei, den Ball zu stabilisieren, wenn er von felsigem Gelände abprallt.</t>
  </si>
  <si>
    <t>A. Throw harder to break it. B. Aim to the left to avoid him. C. Use a side throw to bypass it. D. Slow down and adjust your target carefully.</t>
  </si>
  <si>
    <t>Ihr Ball fliegt auf einen großen Busch zu. Wie vermeidet man es?</t>
  </si>
  <si>
    <t>A. Wirf härter, um es zu durchbrechen B. Zielen Sie auf die linke Seite, um ihm auszuweichen C. Verwenden Sie einen Seitenwurf, um ihn zu umgehen D. Verlangsamen Sie die Geschwindigkeit und passen Sie das Ziel sorgfältig an</t>
  </si>
  <si>
    <t>Ein Seitenwurf kann dabei helfen, den Ball um Hindernisse wie Büsche herumzulenken.</t>
  </si>
  <si>
    <t>A. Use a side throw to guide it. B. Throw faster to clear the curve C. Slow down and adjust your target carefully. D. The goal is to keep the center on course.</t>
  </si>
  <si>
    <t>Vor uns liegt eine scharfe Kurve. Was sollten Sie tun, um Ihren Ball auf Kurs zu halten?</t>
  </si>
  <si>
    <t>A. Verwenden Sie einen Seitenwurf, um ihn zu führen B. Wirf schneller, um die Kurve freizumachen C. Verlangsamen Sie die Geschwindigkeit und passen Sie das Ziel sorgfältig an D. Ziel ist es, dass das Zentrum auf Kurs bleibt</t>
  </si>
  <si>
    <t>Ein Seitenwurf ist ideal, um den Ball durch scharfe Kurven zu führen.</t>
  </si>
  <si>
    <t>A. Throw faster to clear the mud. B. Use a side throw to bypass it. C. Aim to the left to avoid him. D. Slow down to reduce the risk of sinking.</t>
  </si>
  <si>
    <t>Der Ball nähert sich einem Schlammfleck. Was ist Ihre Strategie, um dies zu vermeiden?</t>
  </si>
  <si>
    <t>A. Wirf schneller, um den Schlamm zu beseitigen B. Verwenden Sie einen Seitenwurf, um ihn zu umgehen C. Zielen Sie auf die linke Seite, um ihm auszuweichen D. Machen Sie langsamer, um das Sinkrisiko zu verringern</t>
  </si>
  <si>
    <t>A. Throw harder to maintain speed. B. Use a side throw to reduce speed. C. Slow down to prevent overshooting. D. Aim to slow down the right side.</t>
  </si>
  <si>
    <t>Ihr Ball rollt einen steilen Hang hinunter. Wie kontrollierst du seine Geschwindigkeit?</t>
  </si>
  <si>
    <t>A. Wirf härter, um die Geschwindigkeit beizubehalten B. Verwenden Sie einen Seitenwurf, um die Geschwindigkeit zu reduzieren C. Machen Sie langsamer, um ein Überschießen zu verhindern D. Zielen Sie darauf, dass die rechte Seite langsamer wird</t>
  </si>
  <si>
    <t>Ein Seitenwurf hilft dabei, die Geschwindigkeit des Balls zu kontrollieren, während er einen Hang hinunterfährt.</t>
  </si>
  <si>
    <t>A. Use a side throw to bypass it. B. Throw faster to avoid it. C. Aim to the right to avoid it. D. Slow down to carefully adjust your target.</t>
  </si>
  <si>
    <t>Der Ball ist dabei, in einem kleinen Bach auf dem Weg zu landen. Was sollten Sie tun?</t>
  </si>
  <si>
    <t>A. Verwenden Sie einen Seitenwurf, um ihn zu umgehen B. Wirf schneller, um es zu umgehen C. Zielen Sie auf die rechte Seite, um dem auszuweichen D. Verlangsamen Sie die Geschwindigkeit, um das Ziel sorgfältig anzupassen</t>
  </si>
  <si>
    <t>Ein Seitenwurf hilft dabei, den Ball um Bäche und ähnliche Hindernisse herumzulenken.</t>
  </si>
  <si>
    <t>A. Throw faster to clear the trees. B. Use a side throw to guide it. C. Slow down to stay in the middle. D. Watch the edges to avoid trees.</t>
  </si>
  <si>
    <t>Sie befinden sich in der Nähe eines schmalen Abschnitts mit Bäumen auf beiden Seiten. Wie stellen Sie sicher, dass der Ball auf Kurs bleibt?</t>
  </si>
  <si>
    <t>A. Wirf schneller, um die Bäume zu beseitigen B. Verwenden Sie einen Seitenwurf, um ihn zu führen C. Machen Sie es langsamer, um in der Mitte zu bleiben D. Achten Sie auf die Kanten, um Bäumen auszuweichen</t>
  </si>
  <si>
    <t>Ein seitlicher Wurf gibt Ihnen mehr Kontrolle beim Navigieren durch enge Passagen mit Hindernissen wie Bäumen.</t>
  </si>
  <si>
    <t>A. Use a side throw to bypass it. B. Throw harder to break it. C. Drive slower to avoid a collision. D. Aim for the edges to avoid this.</t>
  </si>
  <si>
    <t>Ihr Ball nähert sich dem Ende des Kurses und vor Ihnen liegt ein großes Hindernis. Was sollten Sie tun?</t>
  </si>
  <si>
    <t>A. Verwenden Sie einen Seitenwurf, um ihn zu umgehen B. Wirf härter, um es zu durchbrechen C. Fahren Sie langsamer, um eine Kollision zu vermeiden D. Zielen Sie auf die Kanten, um dies zu vermeiden</t>
  </si>
  <si>
    <t>Ein Seitenwurf kann den Ball um große Hindernisse wie Felsen oder Bäume herumführen.</t>
  </si>
  <si>
    <t>A. Throw harder to gain power from the wind. B. Use a side throw to counteract the wind. C. Drive slower to avoid wind disturbances. D. Aim for a higher arc to eliminate it.</t>
  </si>
  <si>
    <t>Über die Strecke weht ein starker Wind. Wie stellst du deinen Wurf ein?</t>
  </si>
  <si>
    <t>A. Wirf härter, um Kraft durch den Wind zu bekommen B. Verwenden Sie einen Seitenwurf, um dem Wind entgegenzuwirken C. Fahren Sie langsamer, um Windstörungen zu vermeiden D. Streben Sie einen höheren Bogen an, um ihn zu beseitigen</t>
  </si>
  <si>
    <t>Verwenden Sie einen Seitenwurf, um dem Wind entgegenzuwirken</t>
  </si>
  <si>
    <t>Ein Seitenwurf hilft, Seitenwinden entgegenzuwirken und die Kontrolle zu behalten.</t>
  </si>
  <si>
    <t>A. Throw faster to penetrate. B. Use a side throw to glide over it. C. Slow down to reduce the rate of descent. D. Aim to the right to avoid it.</t>
  </si>
  <si>
    <t>Der Boden ist weich und Ihr Ball sinkt ein. Wie lässt sich das Einsinken am besten verhindern?</t>
  </si>
  <si>
    <t>A. Wirf schneller, um durchzudringen B. Benutze einen Seitenwurf, um darüber zu gleiten C. Verlangsamen Sie die Geschwindigkeit, um die Sinkgeschwindigkeit zu verringern D. Zielen Sie auf die rechte Seite, um es zu umgehen</t>
  </si>
  <si>
    <t>Ein Seitenwurf hilft dabei, über weiche oder schlammige Stellen zu gleiten, ohne dass der Ball sinkt.</t>
  </si>
  <si>
    <t>A. Throw harder to control it. B. Use a side throw to guide it. C. Slow down to avoid further bouncing. D. Aim for the center to stabilize it.</t>
  </si>
  <si>
    <t>Ihr Ball springt unvorhersehbar über unebenen Boden. Was machst du?</t>
  </si>
  <si>
    <t>A. Wirf härter, um es zu kontrollieren B. Verwenden Sie einen Seitenwurf, um ihn zu führen C. Machen Sie es langsamer, um ein weiteres Hüpfen zu vermeiden D. Zielen Sie auf die Mitte, um es zu stabilisieren</t>
  </si>
  <si>
    <t>Ein Seitenwurf hilft dabei, den Ball zu stabilisieren und auf ungleichmäßigem Boden zu springen.</t>
  </si>
  <si>
    <t>A. Use a side throw to avoid it. B. Throw faster to clear it. C. Slow down and adjust your target carefully. D. Pull your left side in to avoid it.</t>
  </si>
  <si>
    <t>Es gibt einen Baum direkt in Ihrem Weg, und Ihr Ball geht direkt darauf auf. Wie gehen Sie damit um?</t>
  </si>
  <si>
    <t>A. Verwenden Sie einen Seitenwurf, um es zu vermeiden B. Wirf schneller, um es zu räumen C. Verlangsamen Sie und passen Sie Ihr Ziel sorgfältig an D. Ziehen Sie die linke Seite an, um sie zu vermeiden</t>
  </si>
  <si>
    <t>Verwenden Sie einen Seitenwurf, um es zu vermeiden</t>
  </si>
  <si>
    <t>Ein Seitenwurf vermeidet Hindernisse wie Bäume und Steine ​​in Ihrem Weg.</t>
  </si>
  <si>
    <t>A. Throw faster to cover the wet surface. B. Use a side throw to keep it under control. C. Slow down to avoid slipping too much. D. Throw with a higher arc to avoid gliding.</t>
  </si>
  <si>
    <t>Der Kurs ist nass nach dem Regen und der Ball gleitet zu viel. Wie passen Sie Ihren Wurf an?</t>
  </si>
  <si>
    <t>A. Wirf schneller, um die nasse Oberfläche durchzuführen B. Verwenden Sie einen Seitenwurf, um es kontrolliert zu halten C. Langsamer werden, um nicht zu viel zu rutschen D. Mit einem höheren Bogen werfen, um zu vermeiden, um zu gleiten</t>
  </si>
  <si>
    <t>Verwenden Sie einen Seitenwurf, um es kontrolliert zu halten</t>
  </si>
  <si>
    <t>Ein Seitenwurf reduziert das Gleiten und behält die Kontrolle über nasses Gelände aufrecht.</t>
  </si>
  <si>
    <t>A. Use a side throw to steer it back. B. Throw harder to regain control C. Slow down the target and adjust the target carefully. D. The goal is to stabilize the center.</t>
  </si>
  <si>
    <t>Sie begegnen einer scharfen Kurve, und Ihr Ball weicht vom Kurs ab. Was machst du, um es zu korrigieren?</t>
  </si>
  <si>
    <t>A. Verwenden Sie einen Seitenwurf, um ihn zurück zu steuern B. Härter werfen, um die Kontrolle zurückzugewinnen C. Verlangsamen Sie das Ziel und passen Sie das Ziel sorgfältig an D. Ziel ist das Zentrum, es zu stabilisieren</t>
  </si>
  <si>
    <t>Verwenden Sie einen Seitenwurf, um ihn zurück zu steuern</t>
  </si>
  <si>
    <t>Ein Seitenwurf hilft, den Ball nach einer scharfen Kurve wieder auf Kurs zu lenken.</t>
  </si>
  <si>
    <t>A. Use a side throw to steer around it. B. Throw harder to break it. C. Slow down to adjust your path D. Tighten the edges to avoid this.</t>
  </si>
  <si>
    <t>Sie befinden sich in der Nähe eines großen Felsbrockens in der Mitte des Pfades. Wie vermeiden Sie es zu treffen?</t>
  </si>
  <si>
    <t>A. Verwenden Sie einen Seitenwurf, um um ihn herum zu steuern B. Werfen Sie härter, um es durchzubrechen C. Verlangsamen Sie, um Ihren Weg anzupassen D. Ziehen Sie die Kanten an, um dies zu vermeiden</t>
  </si>
  <si>
    <t>Verwenden Sie einen Seitenwurf, um um ihn herum zu steuern</t>
  </si>
  <si>
    <t>Ein Seitenwurf kann Ihnen helfen, große Hindernisse wie Felsbrocken zu vermeiden.</t>
  </si>
  <si>
    <t>A. Throw faster to clear the hill. B. Use a side throw to control it. C. Slowed down to prevent loss of speed D. Throw with a higher arc to gain speed.</t>
  </si>
  <si>
    <t>Ihr Ball nähert sich einem steilen Hügel. Was sollten Sie tun, um die Kontrolle zu behalten?</t>
  </si>
  <si>
    <t>A. Wirf schneller, um den Hügel zu räumen B. Verwenden Sie einen Seitenwurf, um es zu kontrollieren C. Verlangsamt, um zu verhindern, dass die Geschwindigkeit verloren geht D. Mit einem höheren Bogen werfen, um Geschwindigkeit zu gewinnen</t>
  </si>
  <si>
    <t>Verwenden Sie einen Seitenwurf, um es zu kontrollieren</t>
  </si>
  <si>
    <t>Ein Seitenwurf hilft, den Ball bei steilen Steigungen zu kontrollieren.</t>
  </si>
  <si>
    <t>A. Throw harder to break through the grass. B. Use a side throw to glide over it. C. Slow down to avoid getting stuck. D. Aim to make the edges able to bypass it.</t>
  </si>
  <si>
    <t>Der vor uns liegende Weg wird durch ein großes Stück großes Gras blockiert. Wie navigieren Sie durch das?</t>
  </si>
  <si>
    <t>A. Wirf härter, um durch das Gras zu brechen B. Verwenden Sie einen Seitenwurf, um darüber zu gleiten C. Langsamer werden, um zu vermeiden, dass sie stecken bleiben D. Zielen Sie darauf ab, dass die Kanten es umgehen können</t>
  </si>
  <si>
    <t>Ein Seitenwurf kann dem Ball helfen, wie hohes Gras über Hindernisse zu gleiten.</t>
  </si>
  <si>
    <t>A. Use a side throw to avoid it. B. Throw faster to clear it. C. Slow down to avoid it falling in. D. Pull the left side to bypass it.</t>
  </si>
  <si>
    <t>Der Ball ist kurz davor, einen kleinen Graben auf dem Weg zu treffen. Wie vermeiden Sie es?</t>
  </si>
  <si>
    <t>A. Verwenden Sie einen Seitenwurf, um es zu vermeiden B. Wirf schneller, um es zu räumen C. Langsamer werden, um zu vermeiden, dass es hineinfällt D. Ziehen Sie die linke Seite an, um sie zu umgehen</t>
  </si>
  <si>
    <t>Mit einem Seitenwurf können Sie kleine Gräben und ähnliche Hindernisse vermeiden.</t>
  </si>
  <si>
    <t>A. Throw faster to clear the hole. B. Use a side throw to guide it. C. Slow down to avoid the hole D. The goal is to stabilize the center.</t>
  </si>
  <si>
    <t>Ihr Ball rollt zu einem kleinen Loch im Pfad. Wie passen Sie sich an?</t>
  </si>
  <si>
    <t>A. Wirf schneller, um das Loch zu räumen B. Verwenden Sie einen Seitenwurf, um es zu führen C. Verlangsamen Sie, um das Loch zu vermeiden D. Ziel ist das Zentrum, es zu stabilisieren</t>
  </si>
  <si>
    <t>Verwenden Sie einen Seitenwurf, um es zu führen</t>
  </si>
  <si>
    <t>Ein Seitenwurf hilft, kleine Löcher oder Vertiefungen auf dem Weg zu vermeiden.</t>
  </si>
  <si>
    <t>A. Use a side throw to guide it. B. Drop the bridge faster C. Slow down to stabilize it D. Peel back the edges to prevent it from falling off.</t>
  </si>
  <si>
    <t>Sie nähern sich einer schmalen Brücke und der Weg ist instabil. Wie behält man die Kontrolle über den Ball?</t>
  </si>
  <si>
    <t>A. Verwenden Sie einen Seitenwurf, um es zu führen B. Wirf schneller die Brücke ab C. Langsamer werden, um es zu stabilisieren D. Ziehen Sie die Ränder ab, um zu vermeiden, dass abfällt</t>
  </si>
  <si>
    <t>Ein Seitenwurf hält den Ball auf der Strecke, während sie schmale oder instabile Wege überqueren.</t>
  </si>
  <si>
    <t>A. Use a side throw to control it. B. Throw faster to clear it. C. Slow down to avoid bouncing off D. Aim to make the edges able to bypass it.</t>
  </si>
  <si>
    <t>Das Gelände ist ungleichmäßig und Ihr Ball ist kurz davor, einen kleinen Hügel zu treffen. Was machst du?</t>
  </si>
  <si>
    <t>A. Verwenden Sie einen Seitenwurf, um es zu kontrollieren B. Wirf schneller, um es zu räumen C. Langsamer werden, um zu vermeiden, abprallt D. Zielen Sie darauf ab, dass die Kanten es umgehen können</t>
  </si>
  <si>
    <t>Ein Seitenwurf kann Ihnen helfen, den Ball davon abzuhalten, auf ungleichmäßigem Gelände zu springen.</t>
  </si>
  <si>
    <t>A. Drop faster to break through. B. Use a side throw to move around. C. Slow down to avoid hitting stones D. Pull the right side to avoid it.</t>
  </si>
  <si>
    <t>Ihr Ball geht auf einen Fleck von Felsen auf dem Weg. Wie meiden Sie sie?</t>
  </si>
  <si>
    <t>A. Wirf schneller ab, um durchzubrechen B. Verwenden Sie einen Seitenwurf, um herumzulaufen C. Verlangsamen Sie, um zu vermeiden, Steine ​​zu treffen D. Ziehen Sie die rechte Seite an, um sie zu umgehen</t>
  </si>
  <si>
    <t>Ein Seitenwurf kann Ihnen helfen, felsige Flecken auf dem Weg zu vermeiden.</t>
  </si>
  <si>
    <t>A. Use a side throw to steer around it. B. Flip it over faster to avoid it. C. Slow down to avoid sinking in it. D. Pull your left side in to avoid it.</t>
  </si>
  <si>
    <t>Der Ball rollt in eine kleine Depression. Was solltest du tun?</t>
  </si>
  <si>
    <t>A. Verwenden Sie einen Seitenwurf, um um ihn herum zu steuern B. Wirf schneller um, um es zu umgehen C. Verlangsamen Sie, um zu vermeiden, darin zu sinken D. Ziehen Sie die linke Seite an, um sie zu vermeiden</t>
  </si>
  <si>
    <t>Ein Seitenwurf kann den Ball um kleine Depressionen im Pfad führen.</t>
  </si>
  <si>
    <t>A. Drop faster to break through. B. Use a side throw to avoid it. C. Throw with a higher arc to avoid it. D. Slow down to prevent</t>
  </si>
  <si>
    <t>Dein Ball geht auf einen schlammigen Fleck zu. Wie passen Sie Ihren Wurf an, um zu vermeiden, dass Sie stecken bleiben?</t>
  </si>
  <si>
    <t>A. Wirf schneller ab, um durchzubrechen B. Verwenden Sie einen Seitenwurf, um es zu vermeiden C. Werfen Sie mit einem höheren Bogen, um es zu umgehen D. Langsamer werden, um zu verhindern</t>
  </si>
  <si>
    <t>Ein Seitenwurf hilft, Schlamm und weiches Gelände zu vermeiden und zu verhindern, dass der Ball stecken bleibt.</t>
  </si>
  <si>
    <t>A. Slow down your throw to control the speed. B. Throw harder to maintain momentum. C. Pull on the left side to control it. D. Use a side throw to reduce speed.</t>
  </si>
  <si>
    <t>Der Ball nähert sich einem Abschnitt und Sie befürchten, dass er zu weit rollen könnte. Was solltest du tun?</t>
  </si>
  <si>
    <t>A. Verlangsamen Sie Ihren Wurf, um die Geschwindigkeit zu kontrollieren B. Wirf härter, um den Schwung aufrechtzuerhalten C. Ziehen Sie die linke Seite an, um sie zu steuern D. Verwenden Sie einen Seitenwurf, um die Geschwindigkeit zu reduzieren</t>
  </si>
  <si>
    <t>Verlangsamen Sie Ihren Wurf, um die Geschwindigkeit zu kontrollieren</t>
  </si>
  <si>
    <t>Wenn Sie den Wurf verlangsamt, können Sie die Geschwindigkeit des Balls an einem Abwärtshang steuern.</t>
  </si>
  <si>
    <t>A. Use a side throw to glide over it. B. Throw harder to get your way C. Slow down to adjust its path D. Wear the correct side to avoid them.</t>
  </si>
  <si>
    <t>Ihr Ball geht zu einem Stück großer Gras. Wie stellen Sie sicher, dass es auf Kurs bleibt?</t>
  </si>
  <si>
    <t>A. Verwenden Sie einen Seitenwurf, um darüber zu gleiten B. Wirf härter durch, um durchzusetzen C. Verlangsamen Sie, um seinen Weg einzustellen D. Ziehen Sie die richtige Seite an, um sie zu vermeiden</t>
  </si>
  <si>
    <t>Ein Seitenwurf kann helfen, durch Hindernisse wie hohes Gras zu navigieren.</t>
  </si>
  <si>
    <t>A. Throw with more force B. Use a side throw to curl around her. C. Throw with a higher arc to clear it. D. Slow down to avoid the effects</t>
  </si>
  <si>
    <t>Der Ball ist kurz davor, einen großen Felsen zu treffen. Wie verhindern Sie, dass es vom Kurs abprallt?</t>
  </si>
  <si>
    <t>A. Mit mehr Kraft werfen B. Verwenden Sie einen Seitenwurf, um sich um sie herum zu krümmen C. Werfen Sie mit einem höheren Bogen, um es zu klären D. Langsamer werden, um Auswirkungen zu vermeiden</t>
  </si>
  <si>
    <t>Verwenden Sie einen Seitenwurf, um sich um sie herum zu krümmen</t>
  </si>
  <si>
    <t>Ein Seitenwurf ermöglicht es Ihnen, den Ball um Steine ​​und andere Hindernisse zu lenken.</t>
  </si>
  <si>
    <t>A. Throw faster to complete it. B. Use a side throw to guide it. C. Slow down to adjust your target D. Aim to keep the edges on the right path.</t>
  </si>
  <si>
    <t>Sie begegnen einer scharfen Kurve im Pfad. Wie passen Sie sich an, um den Ball auf der Strecke zu halten?</t>
  </si>
  <si>
    <t>A. Wirf schneller, um es durchzuführen B. Verwenden Sie einen Seitenwurf, um es zu führen C. Verlangsamen Sie, um Ihr Ziel anzupassen D. Zielen Sie darauf ab, dass die Kanten auf dem richtigen Weg bleiben</t>
  </si>
  <si>
    <t>Ein Seitenwurf ist effektiv, um den Ball um scharfe Kurven zu führen.</t>
  </si>
  <si>
    <t>A. Throw harder to gain traction. B. Use a side throw to reduce gliding. C. Slow down to avoid further slippage. D. Aim for a higher arc to reduce slippage.</t>
  </si>
  <si>
    <t>Der Kurs ist nass und der Ball gleitet zu viel. Wie können Sie die Kontrolle wiedererlangen?</t>
  </si>
  <si>
    <t>A. Wirf härter, um Traktion zu erlangen B. Verwenden Sie einen Seitenwurf, um das Gleiten zu reduzieren C. Verlangsamen Sie, um ein weiteres Gleiten zu vermeiden D. Anstreben Sie einen höheren Bogen, um das Gleiten zu verringern</t>
  </si>
  <si>
    <t>Verwenden Sie einen Seitenwurf, um das Gleiten zu reduzieren</t>
  </si>
  <si>
    <t>Ein Seitenwurf hilft bei der Reduzierung des Gleitens, wenn die Oberfläche nass ist.</t>
  </si>
  <si>
    <t>A. Flip it over faster to avoid it. B. Use a side throw to lock him away. C. Pull your left side in to avoid it. D. Slow down and adjust carefully</t>
  </si>
  <si>
    <t>Der Ball rollt zu einem kleinen Bach. Wie vermeiden Sie es, wenn Sie hineinfallen?</t>
  </si>
  <si>
    <t>A. Wirf schneller um, um es zu umgehen B. Verwenden Sie einen Seitenwurf, um ihn wegzusperren C. Ziehen Sie die linke Seite an, um sie zu vermeiden D. Verlangsamen und sorgfältig einstellen</t>
  </si>
  <si>
    <t>Verwenden Sie einen Seitenwurf, um ihn wegzusperren</t>
  </si>
  <si>
    <t>Ein Seitenwurf hilft den Ball um Bäche und andere Hindernisse auf dem Weg.</t>
  </si>
  <si>
    <t>A. Throw harder to clear it. B. Use a side throw to push through. C. Slow down to adjust the target D. Wear the correct side to pass it.</t>
  </si>
  <si>
    <t>Ihr Ball geht zu einem engen Raum zwischen zwei Bäumen. Wie stellt man sicher, dass es durchgeht?</t>
  </si>
  <si>
    <t>A. Wirf härter, um es zu räumen B. Verwenden Sie einen Seitenwurf, um sich durchzudrücken C. Langsamer werden, um das Ziel anzupassen D. Ziehen Sie die richtige Seite an, um es zu bestehen</t>
  </si>
  <si>
    <t>Verwenden Sie einen Seitenwurf, um sich durchzudrücken</t>
  </si>
  <si>
    <t>Mit einem Seitenwurf können Sie mit Hindernissen durch enge Räume fahren.</t>
  </si>
  <si>
    <t>A. Throw harder to push uphill. B. Use a side throw to control the speed. C. Slow down to avoid losing momentum. D. Slowly peel off the left side.</t>
  </si>
  <si>
    <t>Der Ball geht zu einem Hügel. Wie stellen Sie sicher, dass es nicht wieder nach unten rollt?</t>
  </si>
  <si>
    <t>A. Werfen Sie härter, um bergauf zu schieben B. Verwenden Sie einen Seitenwurf, um die Geschwindigkeit zu steuern C. Verlangsamen Sie, um zu vermeiden, den Schwung zu verlieren D. Ziehen Sie die linke Seite langsam ab</t>
  </si>
  <si>
    <t>Verwenden Sie einen Seitenwurf, um die Geschwindigkeit zu steuern</t>
  </si>
  <si>
    <t>Ein Seitenwurf hilft dabei, die Kontrolle zu behalten, wenn Sie bergauf gehen.</t>
  </si>
  <si>
    <t>A. Throw harder to break it. B. Use a side throw to steer around it. C. Slow down to adjust the target D. The goal is to find the center and clarify it.</t>
  </si>
  <si>
    <t>Es gibt einen großen Felsbrocken, der den Weg blockiert. Wie vermeiden Sie es?</t>
  </si>
  <si>
    <t>A. Werfen Sie härter, um es durchzubrechen B. Verwenden Sie einen Seitenwurf, um um ihn herum zu steuern C. Langsamer werden, um das Ziel anzupassen D. Ziel ist das Zentrum, es zu klären</t>
  </si>
  <si>
    <t>Ein Seitenwurf ist ideal, um große Hindernisse wie Felsbrocken zu navigieren.</t>
  </si>
  <si>
    <t>A. To throw oneself faster in order to push through. B. Use a side throw to redirect it. C. Slow down to avoid getting stuck. D. Pull the left side to bypass it.</t>
  </si>
  <si>
    <t>Ihr Ball ist kurz davor, einen Blätterhaufen in der Mitte des Pfades zu treffen. Wie passen Sie Ihren Wurf an?</t>
  </si>
  <si>
    <t>A. Sich schneller werfen, um durchzudrücken B. Verwenden Sie einen Seitenwurf, um ihn herumzuleiten C. Langsamer werden, um zu vermeiden, dass sie stecken bleiben D. Ziehen Sie die linke Seite an, um sie zu umgehen</t>
  </si>
  <si>
    <t>Verwenden Sie einen Seitenwurf, um ihn herumzuleiten</t>
  </si>
  <si>
    <t>Ein Seitenwurf kann dazu beitragen, Hindernisse wie Blätterhaufen oder Trümmer zu vermeiden.</t>
  </si>
  <si>
    <t>A. Throw harder to stop it. B. Use a side throw to slow it down. C. The goal is to stabilize the center. D. Slow down to adjust its path</t>
  </si>
  <si>
    <t>Sie nähern sich dem Ende des Kurses und möchten die letzte Rolle des Balls kontrollieren. Was solltest du tun?</t>
  </si>
  <si>
    <t>A. Wirf härter, um es zu stoppen B. Verwenden Sie einen Seitenwurf, um es zu verlangsamen C. Ziel ist das Zentrum, es zu stabilisieren D. Verlangsamen Sie, um seinen Weg einzustellen</t>
  </si>
  <si>
    <t>Verwenden Sie einen Seitenwurf, um es zu verlangsamen</t>
  </si>
  <si>
    <t>Ein Seitenwurf eignet sich perfekt, um den Ball im letzten Abschnitt des Kurses zu kontrollieren.</t>
  </si>
  <si>
    <t>A. Use a side throw to steer around it. B. Throw harder to avoid it. C. Slow down to spray. D. Tighten the edges to avoid this.</t>
  </si>
  <si>
    <t>Ihr Ball geht zu einer großen Pfütze. Wie vermeiden Sie es?</t>
  </si>
  <si>
    <t>A. Verwenden Sie einen Seitenwurf, um um ihn herum zu steuern B. Werfen Sie härter, um es zu umgehen C. Verlangsamen Sie, um zu spritzen D. Ziehen Sie die Kanten an, um dies zu vermeiden</t>
  </si>
  <si>
    <t>Ein Seitenwurf hilft den Ball um Pfützen oder feuchte Flecken.</t>
  </si>
  <si>
    <t>A. Throw faster to complete it. B. Use a side throw to control the speed. C. Slow down to adjust the target D. Aim to ensure that the center keeps it stable.</t>
  </si>
  <si>
    <t>Der Ball ist kurz davor, auf einem Stück weicher Gras zu landen. Was tun Sie, um die Geschwindigkeit aufrechtzuerhalten?</t>
  </si>
  <si>
    <t>A. Wirf schneller, um es durchzuführen B. Verwenden Sie einen Seitenwurf, um die Geschwindigkeit zu steuern C. Langsamer werden, um das Ziel anzupassen D. Zielen Sie darauf ab, dass das Zentrum es stabil hält</t>
  </si>
  <si>
    <t>Ein Seitenwurf hilft dabei, die Kontrolle über weiche oder ungleichmäßige Oberflächen zu behalten.</t>
  </si>
  <si>
    <t>A. Throw harder to maintain momentum. B. Use a side throw to navigate curves. C. Slow down to adjust your path D. Aim to keep the edges on the right path.</t>
  </si>
  <si>
    <t>Der Weg vor uns ist eng und kurvenreich. Wie stellen Sie sicher, dass Ihr Ball auf Kurs bleibt?</t>
  </si>
  <si>
    <t>A. Wirf härter, um den Schwung aufrechtzuerhalten B. Verwenden Sie einen Seitenwurf, um Kurven zu navigieren C. Verlangsamen Sie, um Ihren Weg anzupassen D. Zielen Sie darauf ab, dass die Kanten auf dem richtigen Weg bleiben</t>
  </si>
  <si>
    <t>Verwenden Sie einen Seitenwurf, um Kurven zu navigieren</t>
  </si>
  <si>
    <t>Ein Seitenwurf hält den Ball auf dem Kurs durch schmale oder kurvenreiche Pfade.</t>
  </si>
  <si>
    <t>A. Use a side throw to guide it. B. Throw faster to clear the turn. C. Slow down to adjust the path D. Tighten the edges to avoid this.</t>
  </si>
  <si>
    <t>Ihr Ball rollt zu einer scharfen Kurve. Wie stellen Sie sich ein, um das Überschwingen der Kurve zu verhindern?</t>
  </si>
  <si>
    <t>A. Verwenden Sie einen Seitenwurf, um es zu führen B. Wirf schneller, um die Wendung zu räumen C. Verlangsamen Sie, um den Pfad anzupassen D. Ziehen Sie die Kanten an, um dies zu vermeiden</t>
  </si>
  <si>
    <t>Ein Seitenwurf hilft dabei, den Ball um scharfe Kurven zu führen, ohne zu überschwingen.</t>
  </si>
  <si>
    <t>A. Throw faster to clear it. B. Use a side throw to steer around it. C. Slow down to avoid hitting it. D. Pull your left side in to avoid it.</t>
  </si>
  <si>
    <t>Ihr Ball geht zu einem Baumstumpf. Wie vermeiden Sie es?</t>
  </si>
  <si>
    <t>A. Wirf schneller, um es zu räumen B. Verwenden Sie einen Seitenwurf, um um ihn herum zu steuern C. Verlangsamen Sie, um zu vermeiden, es zu treffen D. Ziehen Sie die linke Seite an, um sie zu vermeiden</t>
  </si>
  <si>
    <t>Ein Seitenwurf hilft Ihnen, Hindernisse wie Baumstümpfen zu vermeiden, die sich auf dem Weg befinden.</t>
  </si>
  <si>
    <t>A. Throw harder to break through. B. Use a side throw to avoid sliding. C. Slow down to reduce the risk of slipping. D. Tighten the edges to avoid this.</t>
  </si>
  <si>
    <t>Die Kugel geht auf einen Stück Eis auf dem Weg. Was solltest du tun?</t>
  </si>
  <si>
    <t>A. Härter werfen, um durchzubrechen B. Verwenden Sie einen Seitenwurf, um das Gleiten zu vermeiden C. Langsamer werden, um das Ausrutschen zu verringern D. Ziehen Sie die Kanten an, um dies zu vermeiden</t>
  </si>
  <si>
    <t>Verwenden Sie einen Seitenwurf, um das Gleiten zu vermeiden</t>
  </si>
  <si>
    <t>Ein Seitenwurf kann verhindern, dass der Ball auf eisigen Oberflächen rutscht.</t>
  </si>
  <si>
    <t>A. Throw harder to clear the gap. B. Use a side throw to perform it. C. Slow down to adjust carefully. D. The goal is to reach the center and pass it.</t>
  </si>
  <si>
    <t>Sie nähern sich einer schmalen Lücke zwischen zwei Felsen. Wie stellt man sicher, dass der Ball durchgeht?</t>
  </si>
  <si>
    <t>A. Werfen Sie härter, um die Lücke zu räumen B. Verwenden Sie einen Seitenwurf, um ihn durchzuführen C. Langsamer werden, um sorgfältig einzustellen D. Ziel ist das Zentrum, es zu bestehen</t>
  </si>
  <si>
    <t>Verwenden Sie einen Seitenwurf, um ihn durchzuführen</t>
  </si>
  <si>
    <t>Ein Seitenwurf hilft dem Ball, durch schmale Lücken oder Hindernisse zu passen.</t>
  </si>
  <si>
    <t>A. Throw harder to clear the slope. B. Use a side throw to maintain control. C. Slow down to maintain momentum D. Slowly peel off the left side.</t>
  </si>
  <si>
    <t>Der Ball geht zu einer steilen Steigung. Wie stellen Sie sicher, dass es nicht wieder nach unten rollt?</t>
  </si>
  <si>
    <t>A. Werfen Sie härter, um die Steigung zu räumen B. Verwenden Sie einen Seitenwurf, um die Kontrolle aufrechtzuerhalten C. Langsamer werden, um Schwung zu halten D. Ziehen Sie die linke Seite langsam ab</t>
  </si>
  <si>
    <t>Verwenden Sie einen Seitenwurf, um die Kontrolle aufrechtzuerhalten</t>
  </si>
  <si>
    <t>Ein Seitenwurf sorgt dafür, dass der Ball auf Kurs bleibt, wenn sie Steigungen gegenüberstehen.</t>
  </si>
  <si>
    <t>A. Throw harder to regain control B. Use a side throw to stabilize it. C. Slow down to adjust the speed D. The goal is to stabilize the center.</t>
  </si>
  <si>
    <t>Der Weg ist felsig und Ihr Ball hüpft vom Kurs ab. Wie können Sie die Kontrolle wiedererlangen?</t>
  </si>
  <si>
    <t>A. Härter werfen, um die Kontrolle zurückzugewinnen B. Verwenden Sie einen Seitenwurf, um ihn zu stabilisieren C. Verlangsamen Sie, um die Geschwindigkeit einzustellen D. Ziel ist das Zentrum, es zu stabilisieren</t>
  </si>
  <si>
    <t>Verwenden Sie einen Seitenwurf, um ihn zu stabilisieren</t>
  </si>
  <si>
    <t>Ein Seitenwurf ist ideal, um die Kontrolle über felsige oder ungleichmäßige Oberflächen wiederzugewinnen.</t>
  </si>
  <si>
    <t>A. Use a side throw to avoid any obstacles. B. Throw harder to make it happen. C. Slow down and adjust your target carefully. D. Tighten the edges to avoid this.</t>
  </si>
  <si>
    <t>Der bevorstehende Kurs ist voller Hindernisse. Wie navigieren Sie durch sie?</t>
  </si>
  <si>
    <t>A. Verwenden Sie einen Seitenwurf, um jedes Hindernis umzugehen B. Wirf härter, um es durchzuführen C. Verlangsamen Sie und passen Sie Ihr Ziel sorgfältig an D. Ziehen Sie die Kanten an, um dies zu vermeiden</t>
  </si>
  <si>
    <t>Verwenden Sie einen Seitenwurf, um jedes Hindernis umzugehen</t>
  </si>
  <si>
    <t>Ein Seitenwurf hilft Ihnen, mehrere Hindernisse auf dem Weg zu vermeiden.</t>
  </si>
  <si>
    <t>A. Use a side throw to avoid it. B. Flip it over faster to avoid it. C. Slow down to spray. D. The goal is to find the center and clarify it.</t>
  </si>
  <si>
    <t>Der Ball ist kurz davor, eine große Pfütze zu treffen. Wie passen Sie Ihren Wurf an?</t>
  </si>
  <si>
    <t>A. Verwenden Sie einen Seitenwurf, um es zu vermeiden B. Wirf schneller um, um es zu umgehen C. Verlangsamen Sie, um zu spritzen D. Ziel ist das Zentrum, es zu klären</t>
  </si>
  <si>
    <t>Ein Seitenwurf hilft bei der Leitung des Balls um Pfützen.</t>
  </si>
  <si>
    <t>A. To toughen up in order to carry out B. Use a side throw to avoid it. C. Slow down to reduce speed D. Pull your left side in to avoid it.</t>
  </si>
  <si>
    <t>Sie nähern sich einem Stück Schlamm. Wie passen Sie Ihren Wurf an, um zu vermeiden, dass Sie stecken bleiben?</t>
  </si>
  <si>
    <t>A. Sich härter machen, um durchzuführen B. Verwenden Sie einen Seitenwurf, um es zu vermeiden C. Langsamer werden, um die Geschwindigkeit zu reduzieren D. Ziehen Sie die linke Seite an, um sie zu vermeiden</t>
  </si>
  <si>
    <t>Ein Seitenwurf kann helfen, durch Schlamm zu navigieren, ohne stecken zu bleiben.</t>
  </si>
  <si>
    <t>A. Throw harder to make it happen. B. Use a side throw to redirect it. C. Slow down to prevent overshooting. D. Slowly peel off the left side.</t>
  </si>
  <si>
    <t>Ihr Ball nähert sich einer scharfen Kurve. Wie passen Sie Ihren Wurf an, um auf Kurs zu bleiben?</t>
  </si>
  <si>
    <t>A. Wirf härter, um es durchzuführen B. Verwenden Sie einen Seitenwurf, um ihn herumzuleiten C. Langsamer werden, um das Überschwingen zu verhindern D. Ziehen Sie die linke Seite langsam ab</t>
  </si>
  <si>
    <t>Ein Seitenwurf hält den Ball durch scharfe Biegungen auf dem Laufenden.</t>
  </si>
  <si>
    <t>A. Throw harder to get your way B. Use a side throw to redirect it. C. Slow down to avoid getting stuck. D. Aim to make the edges able to bypass it.</t>
  </si>
  <si>
    <t>Der Ball ist kurz davor, einen Sandketten zu treffen. Wie vermeiden Sie es sinken?</t>
  </si>
  <si>
    <t>A. Wirf härter durch, um durchzusetzen B. Verwenden Sie einen Seitenwurf, um ihn herumzuleiten C. Langsamer werden, um zu vermeiden, dass sie stecken bleiben D. Zielen Sie darauf ab, dass die Kanten es umgehen können</t>
  </si>
  <si>
    <t>Ein Seitenwurf hilft zu vermeiden, in weichen Geländen wie Sand zu sinken.</t>
  </si>
  <si>
    <t>A. Throw faster to clear the turn. B. Use a side throw to slow down. C. Slowed down to control the speed D. The goal is to stabilize the center.</t>
  </si>
  <si>
    <t>Sie nähern sich einer scharfen Kurve und müssen die Geschwindigkeit des Balls steuern. Was machst du?</t>
  </si>
  <si>
    <t>A. Wirf schneller, um die Wendung zu räumen B. Verwenden Sie einen Seitenwurf, um langsamer zu werden C. Verlangsamt, um die Geschwindigkeit zu steuern D. Ziel ist das Zentrum, es zu stabilisieren</t>
  </si>
  <si>
    <t>Verwenden Sie einen Seitenwurf, um langsamer zu werden</t>
  </si>
  <si>
    <t>Ein Seitenwurf verlangsamt den Ball und behält die Kontrolle über scharfe Kurven bei.</t>
  </si>
  <si>
    <t>A. Use a side throw to steer around it. B. Flip it over faster to avoid it. C. Wear the correct side to avoid them. D. Slow down to adjust the path</t>
  </si>
  <si>
    <t>Dein Ball geht zu einem Baum. Wie vermeiden Sie es, den Kofferraum zu treffen?</t>
  </si>
  <si>
    <t>A. Verwenden Sie einen Seitenwurf, um um ihn herum zu steuern B. Wirf schneller um, um es zu umgehen C. Ziehen Sie die richtige Seite an, um sie zu vermeiden D. Verlangsamen Sie, um den Pfad anzupassen</t>
  </si>
  <si>
    <t>Ein Seitenwurf ermöglicht es Ihnen, den Ball um Bäume und andere Hindernisse zu lenken.</t>
  </si>
  <si>
    <t>A. Throw harder to gain control. B. Use a side throw to reduce speed. C. Slow down to adjust your momentum D. The goal is to stabilize the center.</t>
  </si>
  <si>
    <t>Der Ball geht zu einem steilen Hang. Wie passen Sie Ihren Wurf an, um zu vermeiden, dass er zu weit rollt?</t>
  </si>
  <si>
    <t>A. Wirf härter, um die Kontrolle zu erlangen B. Verwenden Sie einen Seitenwurf, um die Geschwindigkeit zu reduzieren C. Langsamer werden, um den Schwung einzustellen D. Ziel ist das Zentrum, es zu stabilisieren</t>
  </si>
  <si>
    <t>Ein Seitenwurf reduziert den Dynamik des Balls, wenn Sie bergab gehen.</t>
  </si>
  <si>
    <t>A. Use a side throw to avoid it. B. Throw harder to clear it. C. Slow down to control the direction D. Pull the left side to bypass it.</t>
  </si>
  <si>
    <t>Sie müssen sicherstellen, dass Ihr Ball nicht in einer Wassergefahr landet. Was machst du?</t>
  </si>
  <si>
    <t>A. Verwenden Sie einen Seitenwurf, um es zu vermeiden B. Wirf härter, um es zu räumen C. Langsamer werden, um die Richtung zu steuern D. Ziehen Sie die linke Seite an, um sie zu umgehen</t>
  </si>
  <si>
    <t>Ein Seitenwurf kann dazu beitragen, den Ball von Wassergefahren wegzuhalten.</t>
  </si>
  <si>
    <t>A. Throw harder to regain momentum. B. Use a side throw to adjust. C. Slow down to control the direction D. The goal is to stabilize the center.</t>
  </si>
  <si>
    <t>Der Ball rollt zu einem ungleichmäßigen Boden. Wie können Sie die Kontrolle wiedererlangen?</t>
  </si>
  <si>
    <t>A. Wirf härter, um den Schwung wiederzugewinnen B. Verwenden Sie einen Seitenwurf, um sich anzupassen C. Langsamer werden, um die Richtung zu steuern D. Ziel ist das Zentrum, es zu stabilisieren</t>
  </si>
  <si>
    <t>Verwenden Sie einen Seitenwurf, um sich anzupassen</t>
  </si>
  <si>
    <t>Ein Seitenwurf hilft Ihnen, die Kontrolle über ungleiche oder holprige Boden wiederzugewinnen.</t>
  </si>
  <si>
    <t>A. Throw harder to clear the gap. B. Use a side throw to perform it. C. Slow down to avoid the rocks D. The goal is to reach the center and pass it.</t>
  </si>
  <si>
    <t>Ihr Ball rollt zu einem schmalen Durchgang zwischen zwei Felsen. Was solltest du tun, um durchzukommen?</t>
  </si>
  <si>
    <t>A. Werfen Sie härter, um die Lücke zu räumen B. Verwenden Sie einen Seitenwurf, um ihn durchzuführen C. Langsamer werden, um die Felsen zu vermeiden D. Ziel ist das Zentrum, es zu bestehen</t>
  </si>
  <si>
    <t>Ein Seitenwurf hilft Ihnen, den Ball durch enge Lücken zu führen.</t>
  </si>
  <si>
    <t>A. Throw harder to overcome the wind. B. Use a higher arc to avoid the wind. C. Slow down to check the accuracy D. Aim to the right to counteract the wind.</t>
  </si>
  <si>
    <t>Sie streben ein Ziel in großer Entfernung an, aber es gibt Wind. Wie solltest du werfen?</t>
  </si>
  <si>
    <t>A. Wirf härter, um den Wind zu überwinden B. Verwenden Sie einen höheren Bogen, um den Wind zu vermeiden C. Langsamer werden, um die Genauigkeit zu kontrollieren D. An die rechte Seite abzielen, um dem Wind entgegenzuwirken</t>
  </si>
  <si>
    <t>Verwenden Sie einen höheren Bogen, um den Wind zu vermeiden</t>
  </si>
  <si>
    <t>Ein höherer Bogen hilft, den Effekt des Windes auf die Richtung des Balls zu minimieren.</t>
  </si>
  <si>
    <t>A. Use a side throw to slow it down. B. Throw harder to push uphill. C. Pull the left side to guide it. D. Throwing more force into power</t>
  </si>
  <si>
    <t>Der Ball geht zu einer steilen Steigung. Wie stellen Sie sicher, dass es nicht zurückrollt?</t>
  </si>
  <si>
    <t>A. Verwenden Sie einen Seitenwurf, um es zu verlangsamen B. Werfen Sie härter, um bergauf zu schieben C. Ziehen Sie die linke Seite an, um sie zu leiten D. Mit mehr Kraft zur Macht werfen</t>
  </si>
  <si>
    <t>Ein Seitenwurf kann den Schwung verringern und verhindern, dass der Ball zurückrollt.</t>
  </si>
  <si>
    <t>A. Throw faster to maintain momentum. B. Use a side throw to glide over it. C. Slow down to adjust your trajectory. D. Pull the right side to avoid it.</t>
  </si>
  <si>
    <t>Ihr Ball geht zu einem kleinen Bad im Boden. Wie vermeiden Sie es daran, Geschwindigkeit zu verlieren?</t>
  </si>
  <si>
    <t>A. Wirf schneller um, um den Schwung aufrechtzuerhalten B. Verwenden Sie einen Seitenwurf, um darüber zu gleiten C. Verlangsamen Sie, um die Flugbahn anzupassen D. Ziehen Sie die rechte Seite an, um sie zu umgehen</t>
  </si>
  <si>
    <t>Ein Seitenwurf kann Ihnen helfen, über Dips im Boden zu gehen, ohne den Schwung zu verlieren.</t>
  </si>
  <si>
    <t>A. Throw harder to get your way B. Use a side throw to glide over it. C. Pull your left side in to avoid it. D. Slow down to adjust the speed</t>
  </si>
  <si>
    <t>Der Ball rollt zu einem Kiesfleck. Was ist der beste Weg, um zu vermeiden, dass es stecken bleibt?</t>
  </si>
  <si>
    <t>A. Wirf härter durch, um durchzusetzen B. Verwenden Sie einen Seitenwurf, um darüber zu gleiten C. Ziehen Sie die linke Seite an, um sie zu vermeiden D. Langsamer werden, um die Geschwindigkeit einzustellen</t>
  </si>
  <si>
    <t>Ein Seitenwurf vermeidet Hindernisse wie Kiesflecken, die den Ball stoppen können.</t>
  </si>
  <si>
    <t>A. Throw higher to clear the branches. B. Use a side throw to avoid it. C. Throw harder, aim to get under them. D. Slow down to adjust the angle.</t>
  </si>
  <si>
    <t>Sie nähern sich einem Baum mit niedrigen Zweigen. Wie sollten Sie Ihren Wurf anpassen?</t>
  </si>
  <si>
    <t>A. Werfen Sie höher, um die Zweige zu klären B. Verwenden Sie einen Seitenwurf, um es zu vermeiden C. Wirf härter, unter sie zu gehen D. Verlangsamen Sie, um den Winkel einzustellen</t>
  </si>
  <si>
    <t>Werfen Sie höher, um die Zweige zu klären</t>
  </si>
  <si>
    <t>Stöbern Sie höheres Gewalten sorgen dafür, dass Sie niedrig hängende Zweige vermeiden.</t>
  </si>
  <si>
    <t>A. Use a side throw to control the speed. B. Throw faster to avoid slipping. C. Slow down to adjust the target D. Put on the correct side to guide them.</t>
  </si>
  <si>
    <t>Dein Ball geht auf einen Stück Eis zu. Wie stellen Sie sicher, dass es nicht zu weit gleitet?</t>
  </si>
  <si>
    <t>A. Verwenden Sie einen Seitenwurf, um die Geschwindigkeit zu steuern B. Wurf schneller, um zu vermeiden, um zu rutschen C. Langsamer werden, um das Ziel anzupassen D. Ziehen Sie die richtige Seite an, um sie zu leiten</t>
  </si>
  <si>
    <t>Ein Seitenwurf verringert das Risiko, auf eisigen Oberflächen zu viel zu rutschen.</t>
  </si>
  <si>
    <t>A. To throw oneself faster in order to push through. B. Use a side throw to glide over it. C. Slow down to avoid getting stuck. D. The goal is to avoid the center.</t>
  </si>
  <si>
    <t>Der Ball ist kurz davor, einen Blätterhaufen zu treffen. Wie verhindern Sie, dass es stecken bleibt?</t>
  </si>
  <si>
    <t>A. Sich schneller werfen, um durchzudrücken B. Verwenden Sie einen Seitenwurf, um darüber zu gleiten C. Langsamer werden, um zu vermeiden, dass sie stecken bleiben D. Ziel ist das Zentrum, es zu vermeiden</t>
  </si>
  <si>
    <t>Ein Seitenwurf ermöglicht es Ihnen, Abfälle wie Blätter zu vermeiden und den Ball in Bewegung zu halten.</t>
  </si>
  <si>
    <t>A. Throw harder to maintain speed. B. Use a side throw to guide it around curves. C. Aim to stabilize the right side D. Slow down to adjust the direction</t>
  </si>
  <si>
    <t>Der bevorstehende Kurs ist gewunden und Sie müssen die Richtung des Balls steuern. Was solltest du tun?</t>
  </si>
  <si>
    <t>A. Werfen Sie härter, um die Geschwindigkeit aufrechtzuerhalten B. Verwenden Sie einen Seitenwurf, um es um Kurven zu führen C. Anstreben, um die rechte Seite zu stabilisieren D. Verlangsamen Sie, um die Richtung einzustellen</t>
  </si>
  <si>
    <t>Verwenden Sie einen Seitenwurf, um es um Kurven zu führen</t>
  </si>
  <si>
    <t>Ein Seitenwurf ist ideal zum Navigieren von Wickelpfaden.</t>
  </si>
  <si>
    <t>A. Use a side throw to lock him away. B. Throw harder to eliminate the danger. C. Slow down to adjust the direction D. Pull your left side in to avoid it.</t>
  </si>
  <si>
    <t>Ihr Ball geht auf eine Wassergefahr zu. Wie vermeiden Sie es, wenn Sie hineinfallen?</t>
  </si>
  <si>
    <t>A. Verwenden Sie einen Seitenwurf, um ihn wegzusperren B. Werfen Sie härter, um die Gefahr zu beseitigen C. Verlangsamen Sie, um die Richtung einzustellen D. Ziehen Sie die linke Seite an, um sie zu vermeiden</t>
  </si>
  <si>
    <t>Ein Seitenwurf hilft den Ball um Wassergefahren und andere Hindernisse.</t>
  </si>
  <si>
    <t>A. Throw harder to break it. B. Use a side throw to curl around her. C. Slow down to avoid hitting it. D. Pull the left side to bypass it.</t>
  </si>
  <si>
    <t>Der Ball ist kurz davor, einen großen Felsbrocken in der Mitte des Pfades zu treffen. Wie vermeiden Sie es?</t>
  </si>
  <si>
    <t>A. Werfen Sie härter, um es durchzubrechen B. Verwenden Sie einen Seitenwurf, um sich um sie herum zu krümmen C. Verlangsamen Sie, um zu vermeiden, es zu treffen D. Ziehen Sie die linke Seite an, um sie zu umgehen</t>
  </si>
  <si>
    <t>Ein Seitenwurf hilft Ihnen, Hindernisse wie Felsbrocken auf dem Weg zu vermeiden.</t>
  </si>
  <si>
    <t>A. Throw faster to clear the curve. B. Use a side throw to steer around it. C. Slow down to adjust the angle. D. Wear the correct side to avoid them.</t>
  </si>
  <si>
    <t>Der Ball geht zu einer scharfen Biegung. Wie kontrollieren Sie seine Richtung?</t>
  </si>
  <si>
    <t>A. Wirf schneller um die Kurve zu räumen B. Verwenden Sie einen Seitenwurf, um um ihn herum zu steuern C. Verlangsamen Sie, um den Winkel einzustellen D. Ziehen Sie die richtige Seite an, um sie zu vermeiden</t>
  </si>
  <si>
    <t>Ein Seitenwurf hilft den Ball um scharfe Biegungen.</t>
  </si>
  <si>
    <t>A. Drop the gap faster B. Use a side throw to push through. C. Slow down to adjust carefully. D. The goal is to reach the center and pass it.</t>
  </si>
  <si>
    <t>Sie nähern sich einer schmalen Lücke zwischen zwei Bäumen. Wie stellt man sicher, dass der Ball durchgeht?</t>
  </si>
  <si>
    <t>A. Wirf schneller die Lücke ab B. Verwenden Sie einen Seitenwurf, um sich durchzudrücken C. Langsamer werden, um sorgfältig einzustellen D. Ziel ist das Zentrum, es zu bestehen</t>
  </si>
  <si>
    <t>Ein Seitenwurf eignet sich perfekt zum Durchlaufen von engen Räumen.</t>
  </si>
  <si>
    <t>A. Throw harder to push uphill. B. Use a side throw to control the speed. C. Slow down to prevent D. Pull the left side to guide it.</t>
  </si>
  <si>
    <t>Ihr Ball rollt in Richtung eines steilen Hügels. Wie verhindern Sie, dass es zurückrollt?</t>
  </si>
  <si>
    <t>A. Werfen Sie härter, um bergauf zu schieben B. Verwenden Sie einen Seitenwurf, um die Geschwindigkeit zu steuern C. Langsamer werden, um zu verhindern D. Ziehen Sie die linke Seite an, um sie zu leiten</t>
  </si>
  <si>
    <t>Mit einem Seitenwurf können Sie den Ball steuern und verhindern, dass er bergab zurückrollt.</t>
  </si>
  <si>
    <t>A. Use a side throw to steer around them. B. Throw harder to get your way C. Slow down and adjust your destination D. The goal is to avoid the center.</t>
  </si>
  <si>
    <t>Der Weg ist voller Hindernisse. Wie navigieren Sie durch sie?</t>
  </si>
  <si>
    <t>A. Verwenden Sie einen Seitenwurf, um um sie herum zu steuern B. Wirf härter durch, um durchzusetzen C. Verlangsamen Sie und passen Sie Ihr Ziel an D. Ziel ist das Zentrum, sie zu vermeiden</t>
  </si>
  <si>
    <t>Verwenden Sie einen Seitenwurf, um um sie herum zu steuern</t>
  </si>
  <si>
    <t>Ein Seitenwurf hilft Ihnen, effizient durch mehrere Hindernisse zu navigieren.</t>
  </si>
  <si>
    <t>A. Throw harder to climb the slope. B. Use a side throw to control the speed. C. Slow down to maintain momentum D. Put on the correct side to guide them.</t>
  </si>
  <si>
    <t>Der Ball geht zu einer scharfen Steigung. Wie passen Sie Ihren Wurf an?</t>
  </si>
  <si>
    <t>A. Wirf härter, um die Steigung zu besteigen B. Verwenden Sie einen Seitenwurf, um die Geschwindigkeit zu steuern C. Langsamer werden, um den Schwung aufrechtzuerhalten D. Ziehen Sie die richtige Seite an, um sie zu leiten</t>
  </si>
  <si>
    <t>Ein Seitenwurf hilft Ihnen, die Geschwindigkeit auf einer Steigung zu bewältigen und den Ball davon abzuhalten, wieder nach unten zu rollen.</t>
  </si>
  <si>
    <t>A. Throw harder to stop it. B. Use a side throw to slow it down. C. Slow down to control the direction D. Pull the left side to guide it.</t>
  </si>
  <si>
    <t>Sie nähern sich dem Ende des Kurses und müssen sicherstellen, dass der Ball verlangsamt. Was machst du?</t>
  </si>
  <si>
    <t>A. Wirf härter, um es zu stoppen B. Verwenden Sie einen Seitenwurf, um es zu verlangsamen C. Langsamer werden, um die Richtung zu steuern D. Ziehen Sie die linke Seite an, um sie zu leiten</t>
  </si>
  <si>
    <t>Ein Seitenwurf ist nützlich, um die Geschwindigkeit des Balls in der letzten Strecke zu kontrollieren.</t>
  </si>
  <si>
    <t>A. Throw harder to get your way B. Use a side throw to avoid it. C. Slow down to control the ball's speed. D. Pull the right side to avoid it.</t>
  </si>
  <si>
    <t>Der Kurs hat eine Menge nasser Schlamm. Wie vermeiden Sie, dass der Ball stecken bleibt?</t>
  </si>
  <si>
    <t>A. Wirf härter durch, um durchzusetzen B. Verwenden Sie einen Seitenwurf, um es zu vermeiden C. Verlangsamen Sie, um die Geschwindigkeit des Balls zu steuern D. Ziehen Sie die rechte Seite an, um sie zu umgehen</t>
  </si>
  <si>
    <t>Ein Seitenwurf kann dem Ball helfen, es zu vermeiden, in schlammigen Flecken festzuhalten.</t>
  </si>
  <si>
    <t>A. Use a side throw to avoid it. B. Throw harder to clear it. C. Slow down to adjust the direction D. The goal is to find the center and clarify it.</t>
  </si>
  <si>
    <t>Ihr Ball ist kurz davor, einen niedrigen Baumstumpf zu treffen. Wie vermeiden Sie es?</t>
  </si>
  <si>
    <t>A. Verwenden Sie einen Seitenwurf, um es zu vermeiden B. Wirf härter, um es zu räumen C. Langsamer werden, um die Richtung einzustellen D. Ziel ist das Zentrum, es zu klären</t>
  </si>
  <si>
    <t>Ein Seitenwurf kann Ihnen helfen, Hindernisse wie niedrige Baumstümpfen zu navigieren.</t>
  </si>
  <si>
    <t>A. Turn faster B. Use a side throw to redirect it. C. Slow down to control the direction D. Pull back the right side, which may slow down.</t>
  </si>
  <si>
    <t>Der Ball geht zu einer scharfen Kurve. Wie vermeiden Sie das Überschwingen?</t>
  </si>
  <si>
    <t>A. Wirf schneller die Kurve ab B. Verwenden Sie einen Seitenwurf, um ihn herumzuleiten C. Langsamer werden, um die Richtung zu steuern D. Ziehen Sie die rechte Seite ab, die langsamer werden kann</t>
  </si>
  <si>
    <t>Ein Seitenwurf hilft Ihnen, überscharfe Kurven zu verhindern.</t>
  </si>
  <si>
    <t>A. Throw harder to get your way B. Use a side throw to stabilize it. C. Slow down to adjust the speed D. Pull the left side to guide it.</t>
  </si>
  <si>
    <t>Sie nähern sich einem Stück Felsen. Wie passen Sie sich an, um sicherzustellen, dass der Ball den Kurs nicht vom Kurs abspricht?</t>
  </si>
  <si>
    <t>A. Wirf härter durch, um durchzusetzen B. Verwenden Sie einen Seitenwurf, um ihn zu stabilisieren C. Verlangsamen Sie, um die Geschwindigkeit einzustellen D. Ziehen Sie die linke Seite an, um sie zu leiten</t>
  </si>
  <si>
    <t>Ein Seitenwurf hält den Ball beim Durchlaufen von felsigen Bereichen auf dem Laufenden.</t>
  </si>
  <si>
    <t>A. Throw harder to maintain speed. B. Use a side throw to guide it through the path. C. Slow down to adjust the direction D. The goal is to stabilize the center.</t>
  </si>
  <si>
    <t>Der Ball geht zu einem schmalen, kurvenreichen Pfad. Wie navigieren Sie durch das?</t>
  </si>
  <si>
    <t>A. Werfen Sie härter, um die Geschwindigkeit aufrechtzuerhalten B. Verwenden Sie einen Seitenwurf, um ihn durch den Weg zu führen C. Verlangsamen Sie, um die Richtung einzustellen D. Ziel ist das Zentrum, es zu stabilisieren</t>
  </si>
  <si>
    <t>Verwenden Sie einen Seitenwurf, um ihn durch den Weg zu führen</t>
  </si>
  <si>
    <t>Ein Seitenwurf ermöglicht eine bessere Kontrolle durch schmale, kurvenreiche Pfade.</t>
  </si>
  <si>
    <t>A. Use a side throw to glide over it. B. Throw harder to break through. C. Slow down to adjust the target D. Pull your left side in to avoid it.</t>
  </si>
  <si>
    <t>Dein Ball geht auf einen Sandstück zu. Wie vermeiden Sie es am Versinken?</t>
  </si>
  <si>
    <t>A. Verwenden Sie einen Seitenwurf, um darüber zu gleiten B. Härter werfen, um durchzubrechen C. Langsamer werden, um das Ziel anzupassen D. Ziehen Sie die linke Seite an, um sie zu vermeiden</t>
  </si>
  <si>
    <t>A. Throw harder to break through. B. Use a side throw to steer around it. C. Slow down to avoid the effects D. Wear the correct side to avoid them.</t>
  </si>
  <si>
    <t>Der Ball ist kurz davor, einen großen Stein zu treffen. Wie verhindern Sie, dass es vom Kurs abprallt?</t>
  </si>
  <si>
    <t>A. Härter werfen, um durchzubrechen B. Verwenden Sie einen Seitenwurf, um um ihn herum zu steuern C. Langsamer werden, um Auswirkungen zu vermeiden D. Ziehen Sie die richtige Seite an, um sie zu vermeiden</t>
  </si>
  <si>
    <t>Ein Seitenwurf hilft, Steine ​​und andere Hindernisse zu vermeiden.</t>
  </si>
  <si>
    <t>A. Throw harder to get your way B. Use a side throw to guide it. C. Slow down to adjust the path D. The goal is to stabilize the center.</t>
  </si>
  <si>
    <t>Ihr Ball rollt zu einem Stück hohes Gras. Wie stellen Sie sicher, dass es auf Kurs bleibt?</t>
  </si>
  <si>
    <t>A. Wirf härter durch, um durchzusetzen B. Verwenden Sie einen Seitenwurf, um ihn zu leiten C. Verlangsamen Sie, um den Pfad anzupassen D. Ziel ist das Zentrum, es zu stabilisieren</t>
  </si>
  <si>
    <t>Verwenden Sie einen Seitenwurf, um ihn zu leiten</t>
  </si>
  <si>
    <t>Ein Seitenwurf hilft, den Ball zu kontrollieren, wenn Sie über hohes Gras fahren.</t>
  </si>
  <si>
    <t>Question no.</t>
  </si>
  <si>
    <t>Frage</t>
  </si>
  <si>
    <t>A. Ring toss B. Lean C. Missed shot D. close throw</t>
  </si>
  <si>
    <t>Ein Spieler wirft einen Quoit, und dieser landet direkt auf dem Pfahl, ohne den Boden zu berühren. Wie nennt man das?</t>
  </si>
  <si>
    <t>A. Ringwurf B. Lehnen C. Fehlwurf D. Nahwurf</t>
  </si>
  <si>
    <t>Ringwurf</t>
  </si>
  <si>
    <t>Ein Ringwurf tritt auf, wenn der Quoit den Pfahl vollständig umschließt, ohne den Boden zu berühren.</t>
  </si>
  <si>
    <t>A. 3 points B. 1 point C. 2 points D. No points</t>
  </si>
  <si>
    <t>Der Quoit lehnt sich gegen den Pfahl. Wie viele Punkte werden vergeben?</t>
  </si>
  <si>
    <t>A. 3 Punkte B. 1 Punkt C. 2 Punkte D. Keine Punkte</t>
  </si>
  <si>
    <t>2 Punkte</t>
  </si>
  <si>
    <t>Ein Quoit, der sich an den Pfahl lehnt, bringt 2 Punkte gemäß den Spielregeln.</t>
  </si>
  <si>
    <t>A. No points B. 1 point C. 2 points D. 3 points</t>
  </si>
  <si>
    <t>Ein Quoit landet am weitesten entfernt vom Pfahl im Vergleich zu allen anderen. Wie viele Punkte erzielt er?</t>
  </si>
  <si>
    <t>A. Keine Punkte B. 1 Punkt C. 2 Punkte D. 3 Punkte</t>
  </si>
  <si>
    <t>Keine Punkte</t>
  </si>
  <si>
    <t>Ein Quoit, der am weitesten entfernt vom Pfahl landet, erzielt keine Punkte.</t>
  </si>
  <si>
    <t>A. No points will be awarded. B. Each player receives 1 point. C. The round is repeated D. The points will be divided equally.</t>
  </si>
  <si>
    <t>Was passiert, wenn zwei Spieler ihre Quoits gleich weit vom Pfahl entfernt platzieren?</t>
  </si>
  <si>
    <t>A. Keine Punkte werden vergeben B. Jeder Spieler erhält 1 Punkt C. Die Runde wird wiederholt D. Die Punkte werden gleichmäßig aufgeteilt</t>
  </si>
  <si>
    <t>Keine Punkte werden vergeben</t>
  </si>
  <si>
    <t>Bei gleich weit entfernten Quoits werden keine Punkte vergeben.</t>
  </si>
  <si>
    <t>A. No points B. Lost train C. Opponent receives points D. Re-throw allowed</t>
  </si>
  <si>
    <t>Ein Spieler wirft alle seine Quoits, aber keiner landet in der Punktreichweite. Was ist das Ergebnis?</t>
  </si>
  <si>
    <t>A. Keine Punkte B. Zug verloren C. Gegner erhält Punkte D. Neuwurf erlaubt</t>
  </si>
  <si>
    <t>Der Spieler erhält keine Punkte, wenn keiner seiner Quoits in der Punktreichweite landet.</t>
  </si>
  <si>
    <t>A. No points B. 1 point C. 2 points D. Repeat throw</t>
  </si>
  <si>
    <t>Was passiert, wenn ein Quoit vom Boden abprallt und in der Nähe des Pfahls landet?</t>
  </si>
  <si>
    <t>A. Keine Punkte B. 1 Punkt C. 2 Punkte D. Wurf wiederholen</t>
  </si>
  <si>
    <t>Quoits, die vom Boden abprallen, zählen normalerweise nicht für die Punktwertung.</t>
  </si>
  <si>
    <t>A. 2 pounds B. 3 pounds C. 4 pounds D. 5 pounds</t>
  </si>
  <si>
    <t>Wie schwer ist ein Quoit im Wettbewerbsstandard normalerweise?</t>
  </si>
  <si>
    <t>A. 2 Pfund B. 3 Pfund C. 4 Pfund D. 5 Pfund</t>
  </si>
  <si>
    <t>3 Pfund</t>
  </si>
  <si>
    <t>Wettbewerbs-Quoits wiegen normalerweise etwa 3 Pfund für optimale Würfe.</t>
  </si>
  <si>
    <t>A. Opponent receives points B. Player loses points C. Opponent loses points D. Round is invalid</t>
  </si>
  <si>
    <t>Was passiert, wenn ein Spieler versehentlich den Quoit seines Gegners näher an den Pfahl stößt?</t>
  </si>
  <si>
    <t>A. Gegner erhält Punkte B. Spieler verliert Punkte C. Gegner verliert Punkte D. Runde wird ungültig</t>
  </si>
  <si>
    <t>Gegner erhält Punkte</t>
  </si>
  <si>
    <t>Wenn ein Quoit näher an den Pfahl gestoßen wird, profitiert der Gegner von der neuen Position.</t>
  </si>
  <si>
    <t>A. 1 point B. 2 points C. 3 points D. No points</t>
  </si>
  <si>
    <t>Ein Quoit landet innerhalb von 6 Zoll vom Pfahl entfernt. Wie viele Punkte erzielt er?</t>
  </si>
  <si>
    <t>A. 1 Punkt B. 2 Punkte C. 3 Punkte D. Keine Punkte</t>
  </si>
  <si>
    <t>1 Punkt</t>
  </si>
  <si>
    <t>Quoits, die innerhalb von 6 Zoll vom Pfahl landen, erzielen normalerweise 1 Punkt.</t>
  </si>
  <si>
    <t>Der Quoit landet perfekt flach auf dem Boden, aber nahe am Pfahl. Wie viele Punkte erzielt er?</t>
  </si>
  <si>
    <t>Ein flach liegender Quoit nahe am Pfahl erzielt 1 Punkt, je nach Abstand.</t>
  </si>
  <si>
    <t>A. No points B. Both quotits receive points. C. Only the top quotient receives points. D. Repeat throw</t>
  </si>
  <si>
    <t>Was passiert, wenn ein Quoit direkt auf einem anderen Quoit auf dem Pfahl landet?</t>
  </si>
  <si>
    <t>A. Keine Punkte B. Beide Quoits erhalten Punkte C. Nur der obere Quoit erhält Punkte D. Wurf wiederholen</t>
  </si>
  <si>
    <t>Beide Quoits erhalten Punkte</t>
  </si>
  <si>
    <t>Beide Quoits erhalten Punkte, wenn sie gültig sind und die Wertungskriterien erfüllen.</t>
  </si>
  <si>
    <t>A. 10 foot B. 15 feet C. 21 feet D. 30 feet</t>
  </si>
  <si>
    <t>Wie groß ist der Abstand zwischen der Wurflinie und dem Pfahl im Standardspiel?</t>
  </si>
  <si>
    <t>A. 10 Fuß B. 15 Fuß C. 21 Fuß D. 30 Fuß</t>
  </si>
  <si>
    <t>21 Fuß</t>
  </si>
  <si>
    <t>Im Standardspiel beträgt der Abstand zwischen der Wurflinie und dem Pfahl normalerweise 21 Fuß.</t>
  </si>
  <si>
    <t>A. It counts as a tenant B. Repeat throw C. No points count. D. Award full marks</t>
  </si>
  <si>
    <t>Was sollte ein Spieler tun, wenn sein Quoit teilweise auf dem Pfahl und teilweise auf dem Boden landet?</t>
  </si>
  <si>
    <t>A. Es als Lehner zählen B. Wurf wiederholen C. Als keine Punkte zählen D. Vollpunkte vergeben</t>
  </si>
  <si>
    <t>Es als Lehner zählen</t>
  </si>
  <si>
    <t>Ein teilweise gelandeter Quoit wird oft als Lehner gezählt und entsprechend bewertet.</t>
  </si>
  <si>
    <t>A. Push away the opponent's quoits B. Throw as many quoits as possible onto the stake C. Place quoits as close to the pole as possible. D. Finish the lap as quickly as possible</t>
  </si>
  <si>
    <t>Was ist das Hauptziel von Quoits?</t>
  </si>
  <si>
    <t>A. Quoits des Gegners wegstoßen B. So viele Quoits wie möglich auf den Pfahl werfen C. Quoits möglichst nah am Pfahl platzieren D. Die Runde am schnellsten beenden</t>
  </si>
  <si>
    <t>Quoits möglichst nah am Pfahl platzieren</t>
  </si>
  <si>
    <t>Das Hauptziel ist, Quoits so nah wie möglich am Pfahl zu platzieren, um maximale Punkte zu erzielen.</t>
  </si>
  <si>
    <t>A. rubber B. metal C. plastic D. Wood</t>
  </si>
  <si>
    <t>Welches Material wird häufig für Quoits verwendet?</t>
  </si>
  <si>
    <t>A. Gummi B. Metall C. Plastik D. Holz</t>
  </si>
  <si>
    <t>Metall</t>
  </si>
  <si>
    <t>Metall-Quoits werden häufig wegen ihrer Haltbarkeit und Gewichtsbalance verwendet.</t>
  </si>
  <si>
    <t>A. No points awarded B. Award 1 point C. Repeat throw D. Opponent receives points</t>
  </si>
  <si>
    <t>Ein Spieler wirft einen Quoit, der vom Zielbereich abprallt und in der Nähe des Stabes landet. Was sollte passieren?</t>
  </si>
  <si>
    <t>A. Keine Punkte vergeben B. 1 Punkt vergeben C. Wurf wiederholen D. Gegner erhält Punkte</t>
  </si>
  <si>
    <t>Keine Punkte vergeben</t>
  </si>
  <si>
    <t>Abgeprallte Quoits sind ungültig und bringen keine Punkte.</t>
  </si>
  <si>
    <t>A. Both receive points B. No one receives points. C. Repeat throw D. The referee decides</t>
  </si>
  <si>
    <t>Zwei Spieler landen ihre Quoits gleich weit vom Stab entfernt. Was ist die Regel?</t>
  </si>
  <si>
    <t>A. Beide erhalten Punkte B. Keiner erhält Punkte C. Wurf wiederholen D. Schiedsrichter entscheidet</t>
  </si>
  <si>
    <t>Keiner erhält Punkte</t>
  </si>
  <si>
    <t>Im Falle gleich weit entfernter Quoits werden keine Punkte vergeben.</t>
  </si>
  <si>
    <t>A. The throw is invalid. B. deduct 1 point C. Repeat throw D. Opponent receives a point</t>
  </si>
  <si>
    <t>Ein Spieler tritt beim Wurf versehentlich über die Foullinie. Was ist die Strafe?</t>
  </si>
  <si>
    <t>A. Wurf ist ungültig B. 1 Punkt abziehen C. Wurf wiederholen D. Gegner erhält einen Punkt</t>
  </si>
  <si>
    <t>Wurf ist ungültig</t>
  </si>
  <si>
    <t>Das Übertreten der Foullinie macht den Wurf ungültig.</t>
  </si>
  <si>
    <t>A. Continue playing B. Pause game C. Adjust points D. Repeat all throws</t>
  </si>
  <si>
    <t>Das Wetter wird während des Spiels windig. Was sollten die Spieler tun?</t>
  </si>
  <si>
    <t>A. Weiter spielen B. Spiel pausieren C. Punkte anpassen D. Alle Würfe wiederholen</t>
  </si>
  <si>
    <t>Weiter spielen</t>
  </si>
  <si>
    <t>Sofern die Bedingungen nicht extrem sind, wird das Spiel ohne Anpassungen fortgesetzt.</t>
  </si>
  <si>
    <t>A. The higher quotient receives points. B. Both receive points C. No one receives points. D. Repeat throw</t>
  </si>
  <si>
    <t>Ein Quoit landet direkt auf dem Quoit eines Gegners. Was passiert?</t>
  </si>
  <si>
    <t>A. Der höhere Quoit erhält Punkte B. Beide erhalten Punkte C. Keiner erhält Punkte D. Wurf wiederholen</t>
  </si>
  <si>
    <t>Der höhere Quoit erhält Punkte</t>
  </si>
  <si>
    <t>Der Quoit oben ist näher und punktet je nach Position.</t>
  </si>
  <si>
    <t>A. Continue playing B. Request a replacement C. Repeat throw D. Opponent receives a point</t>
  </si>
  <si>
    <t>Ein Spieler bemerkt nach dem Wurf, dass sein Quoit einen Defekt aufweist. Was sollte er tun?</t>
  </si>
  <si>
    <t>A. Weiter spielen B. Einen Ersatz anfordern C. Wurf wiederholen D. Gegner erhält einen Punkt</t>
  </si>
  <si>
    <t>Einen Ersatz anfordern</t>
  </si>
  <si>
    <t>Defekte Ausrüstung wird vor dem nächsten Wurf ersetzt.</t>
  </si>
  <si>
    <t>A. The surrounding quotient scores B. The closer quotient scores C. Both score points D. Repeat round</t>
  </si>
  <si>
    <t>Ein Quoit des Spielers landet perfekt um den Stab, aber ein anderer Quoit landet näher. Wer punktet?</t>
  </si>
  <si>
    <t>A. Der umschließende Quoit punktet B. Der nähere Quoit punktet C. Beide punkten D. Runde wiederholen</t>
  </si>
  <si>
    <t>Der umschließende Quoit punktet</t>
  </si>
  <si>
    <t>Ein Quoit, der den Stab perfekt umschließt, erzielt immer die maximale Punktzahl.</t>
  </si>
  <si>
    <t>A. No points B. 1 point C. Repeat throw D. The referee decides</t>
  </si>
  <si>
    <t>Ein Quoit landet halb im Zielbereich und halb außerhalb. Was ist die Entscheidung?</t>
  </si>
  <si>
    <t>A. Keine Punkte B. 1 Punkt C. Wurf wiederholen D. Schiedsrichter entscheidet</t>
  </si>
  <si>
    <t>Ein Quoit muss vollständig im Zielbereich landen, um Punkte zu erzielen.</t>
  </si>
  <si>
    <t>A. The other team throws B. Round ends C. Points are finalized D. Repeat round</t>
  </si>
  <si>
    <t>In einem Doppel beendet ein Team seine Würfe und die Punkte werden gezählt. Was passiert als nächstes?</t>
  </si>
  <si>
    <t>A. Das andere Team wirft B. Runde endet C. Punkte werden finalisiert D. Runde wiederholen</t>
  </si>
  <si>
    <t>Das andere Team wirft</t>
  </si>
  <si>
    <t>Jedes Team beendet seine Würfe, bevor die Runde endet.</t>
  </si>
  <si>
    <t>A. Reset the staff B. Penalty points awarded C. Repeat throw D. Disqualify players</t>
  </si>
  <si>
    <t>Ein Spieler bewegt den Stab versehentlich beim Aufheben seines Quoits. Was sollte getan werden?</t>
  </si>
  <si>
    <t>A. Den Stab zurücksetzen B. Strafpunkte vergeben C. Wurf wiederholen D. Spieler disqualifizieren</t>
  </si>
  <si>
    <t>Den Stab zurücksetzen</t>
  </si>
  <si>
    <t>Der Stab wird ohne Strafe in seine ursprüngliche Position zurückgesetzt.</t>
  </si>
  <si>
    <t>A. Yes B. No C. It depends on the rules D. Requires referee approval</t>
  </si>
  <si>
    <t>Ein Spieler blockiert absichtlich den Zielbereich mit einem Quoit, um den Gegner am Punkten zu hindern. Ist das erlaubt?</t>
  </si>
  <si>
    <t>A. Ja B. Nein C. Kommt auf die Regeln an D. Erfordert Schiedsrichtergenehmigung</t>
  </si>
  <si>
    <t>Strategisches Blockieren ist erlaubt, solange die Regeln eingehalten werden.</t>
  </si>
  <si>
    <t>A. Call a referee B. Repeat round C. Decide by coin toss D. Continue without points</t>
  </si>
  <si>
    <t>Während eines hitzigen Spiels streiten sich zwei Spieler über die Platzierung eines Quoits. Was sollten sie tun?</t>
  </si>
  <si>
    <t>A. Einen Schiedsrichter rufen B. Runde wiederholen C. Mit Münzwurf entscheiden D. Ohne Punkte fortfahren</t>
  </si>
  <si>
    <t>Einen Schiedsrichter rufen</t>
  </si>
  <si>
    <t>Streitigkeiten werden von einem Schiedsrichter fair gelöst.</t>
  </si>
  <si>
    <t>A. Leave it as is B. Straighten the rod C. Repeat game D. End round</t>
  </si>
  <si>
    <t>Wenn sich der Stab aufgrund wiederholter Treffer während des Spiels neigt, was sollte getan werden?</t>
  </si>
  <si>
    <t>A. So belassen B. Den Stab begradigen C. Spiel wiederholen D. Runde beenden</t>
  </si>
  <si>
    <t>Den Stab begradigen</t>
  </si>
  <si>
    <t>Der Stab sollte angepasst werden, um ein faires Spiel zu gewährleisten.</t>
  </si>
  <si>
    <t>Ein Quoit landet vollständig im Zielbereich, berührt jedoch nicht den Stab. Wie viele Punkte erhält er?</t>
  </si>
  <si>
    <t>Ein Quoit im Zielbereich erzielt 1 Punkt, es sei denn, er berührt oder umschließt den Stab.</t>
  </si>
  <si>
    <t>A. Both receive points B. The upper quotient scores C. No one receives points. D. Repeat throw</t>
  </si>
  <si>
    <t>Ein Spieler wirft seinen Quoit, und dieser landet auf einem anderen Quoit, ohne den Boden zu berühren. Was ist das Ergebnis?</t>
  </si>
  <si>
    <t>A. Beide erhalten Punkte B. Der obere Quoit punktet C. Keiner erhält Punkte D. Wurf wiederholen</t>
  </si>
  <si>
    <t>Der obere Quoit punktet</t>
  </si>
  <si>
    <t>Der obere Quoit ist näher am Stab und punktet entsprechend.</t>
  </si>
  <si>
    <t>A. Repeat round B. Points will be carried over. C. No points awarded D. The referee decides</t>
  </si>
  <si>
    <t>Eine Runde endet damit, dass beide Teams die gleichen Punkte erzielen. Was passiert als nächstes?</t>
  </si>
  <si>
    <t>A. Runde wiederholen B. Punkte werden mitgenommen C. Keine Punkte vergeben D. Schiedsrichter entscheidet</t>
  </si>
  <si>
    <t>Punkte werden mitgenommen</t>
  </si>
  <si>
    <t>Die Punkte werden gezählt und zur nächsten Runde hinzugefügt.</t>
  </si>
  <si>
    <t>A. Round is invalid B. opponent wins C. Repeat round D. Use the correct quotit</t>
  </si>
  <si>
    <t>Ein Spieler bemerkt nach einer Runde, dass er eine illegale Quoit-Größe verwendet hat. Was ist die Konsequenz?</t>
  </si>
  <si>
    <t>A. Runde ist ungültig B. Gegner gewinnt C. Runde wiederholen D. Den richtigen Quoit verwenden</t>
  </si>
  <si>
    <t>Runde ist ungültig</t>
  </si>
  <si>
    <t>Die Verwendung illegaler Ausrüstung macht die Runde ungültig.</t>
  </si>
  <si>
    <t>A. No points B. One point C. Two points D. Three points</t>
  </si>
  <si>
    <t>Du wirfst deinen Ring und er landet genau innerhalb des Rings, aber berührt nicht den Pfahl. Wie viele Punkte erzielst du?</t>
  </si>
  <si>
    <t>A. Keine Punkte B. Ein Punkt C. Zwei Punkte D. Drei Punkte</t>
  </si>
  <si>
    <t>Der Ring muss den Pfahl berühren, damit Punkte vergeben werden.</t>
  </si>
  <si>
    <t>Dein Ring landet außerhalb des Rings, aber nahe am Pfahl. Wie viele Punkte erzielst du?</t>
  </si>
  <si>
    <t>Der Ring muss innerhalb des Rings landen, um Punkte zu erzielen.</t>
  </si>
  <si>
    <t>A. Yes B. No C. Only if it lands on the stake D. Only if it's the last ring</t>
  </si>
  <si>
    <t>Wenn ein Spieler einen Ring wirft und er außerhalb des Rings abprallt, ist er dann noch im Spiel?</t>
  </si>
  <si>
    <t>A. Ja B. Nein C. Nur wenn er auf dem Pfahl landet D. Nur wenn es der letzte Ring ist</t>
  </si>
  <si>
    <t>Nein</t>
  </si>
  <si>
    <t>Ein Ring, der außerhalb des Rings abprallt, gilt als aus dem Spiel.</t>
  </si>
  <si>
    <t>A. He counts 2 points B. He counts 5 points C. He counts 10 points D. He counts as 1 point</t>
  </si>
  <si>
    <t>Was passiert, wenn ein Ring genau auf dem Pfahl landet?</t>
  </si>
  <si>
    <t>A. Er zählt 2 Punkte B. Er zählt 5 Punkte C. Er zählt 10 Punkte D. Er zählt 1 Punkt</t>
  </si>
  <si>
    <t>Ein Ring, der direkt auf dem Pfahl landet, erhält 5 Punkte.</t>
  </si>
  <si>
    <t>Fünf Punkte</t>
  </si>
  <si>
    <t>A. Yes B. No C. Only under certain conditions D. Yes, but only if no other ring is closer.</t>
  </si>
  <si>
    <t>Du wirfst einen Ring und er landet außerhalb des Rings, aber in einer Linie mit dem Pfahl. Kann er trotzdem Punkte erzielen?</t>
  </si>
  <si>
    <t>A. Ja B. Nein C. Nur unter bestimmten Bedingungen D. Ja, aber nur wenn kein anderer Ring näher ist</t>
  </si>
  <si>
    <t>Ein Ring muss innerhalb des Rings landen, um für Punkte berechtigt zu sein, auch wenn er mit dem Pfahl ausgerichtet ist.</t>
  </si>
  <si>
    <t>A. No points B. Two points C. Three points D. Five points</t>
  </si>
  <si>
    <t>Dein Wurf landet direkt auf der Metallspitze. Wie viele Punkte erhältst du?</t>
  </si>
  <si>
    <t>A. Keine Punkte B. Zwei Punkte C. Drei Punkte D. Fünf Punkte</t>
  </si>
  <si>
    <t>Drei Punkte</t>
  </si>
  <si>
    <t>Ein Wurf, der direkt auf der Metallspitze landet, bringt 3 Punkte.</t>
  </si>
  <si>
    <t>A. No points B. One point C. Two points D. Lost game</t>
  </si>
  <si>
    <t>Du wirfst deinen Ring und er berührt die Metallspitze, fällt aber herunter. Was passiert?</t>
  </si>
  <si>
    <t>A. Keine Punkte B. Ein Punkt C. Zwei Punkte D. Spiel verloren</t>
  </si>
  <si>
    <t>Es werden keine Punkte vergeben, wenn der Ring die Metallspitze berührt, aber nicht liegen bleibt.</t>
  </si>
  <si>
    <t>A. Ten points B. Three points C. Five points D. One point</t>
  </si>
  <si>
    <t>Ein Mitspieler wirft den Ring, und er landet genau um die Metallspitze. Was ist das Ergebnis?</t>
  </si>
  <si>
    <t>A. Zehn Punkte B. Drei Punkte C. Fünf Punkte D. Ein Punkt</t>
  </si>
  <si>
    <t>Ein perfekt platzierter Ring um die Metallspitze bringt 5 Punkte.</t>
  </si>
  <si>
    <t>A. Yes, with one point B. Yes, with five points C. No D. Only if he touches the tip</t>
  </si>
  <si>
    <t>Dein Ring landet auf der Spielfeldbegrenzung. Zählt dieser Wurf?</t>
  </si>
  <si>
    <t>A. Ja, mit einem Punkt B. Ja, mit fünf Punkten C. Nein D. Nur, wenn er die Spitze berührt</t>
  </si>
  <si>
    <t>Ein Ring, der auf der Begrenzung landet, zählt nicht.</t>
  </si>
  <si>
    <t>A. Five points B. Ten points C. Three points D. No points</t>
  </si>
  <si>
    <t>Du hast zwei Ringe geworfen, und beide landen um die Metallspitze. Wie viele Punkte erhältst du?</t>
  </si>
  <si>
    <t>A. Fünf Punkte B. Zehn Punkte C. Drei Punkte D. Keine Punkte</t>
  </si>
  <si>
    <t>Zehn Punkte</t>
  </si>
  <si>
    <t>Zwei perfekt platzierte Ringe um die Spitze bringen jeweils 5 Punkte, also insgesamt 10 Punkte.</t>
  </si>
  <si>
    <t>A. You will lose your points B. The opponent's points do not count. C. You will still receive points. D. The throw is repeated.</t>
  </si>
  <si>
    <t>Dein Gegner trifft die Metallspitze und stößt deinen Ring weg. Was passiert?</t>
  </si>
  <si>
    <t>A. Du verlierst deine Punkte B. Punkte des Gegners zählen nicht C. Du erhältst trotzdem Punkte D. Der Wurf wird wiederholt</t>
  </si>
  <si>
    <t>Du verlierst deine Punkte</t>
  </si>
  <si>
    <t>Wenn dein Ring weggestoßen wird, verlierst du die Punkte für diesen Ring.</t>
  </si>
  <si>
    <t>A. One point B. Two points C. No points D. Five points</t>
  </si>
  <si>
    <t>Ein Mitspieler wirft außerhalb der Spielfeldbegrenzung. Wie wird der Wurf gewertet?</t>
  </si>
  <si>
    <t>A. Ein Punkt B. Zwei Punkte C. Keine Punkte D. Fünf Punkte</t>
  </si>
  <si>
    <t>Würfe außerhalb der Spielfeldbegrenzung zählen nicht.</t>
  </si>
  <si>
    <t>A. No points B. One point C. Three points D. Five points</t>
  </si>
  <si>
    <t>Du wirfst den Ring, und er bleibt schräg auf der Metallspitze liegen. Wie viele Punkte bekommst du?</t>
  </si>
  <si>
    <t>A. Keine Punkte B. Ein Punkt C. Drei Punkte D. Fünf Punkte</t>
  </si>
  <si>
    <t>Ein Punkt</t>
  </si>
  <si>
    <t>Wenn der Ring schräg auf der Metallspitze liegt, wird ein Punkt vergeben.</t>
  </si>
  <si>
    <t>A. Both points will be counted. B. No points for either side. C. Only the metal tip counts. D. Only your ring matters</t>
  </si>
  <si>
    <t>Ein Spieler trifft deine Metallspitze und deinen Ring gleichzeitig. Was passiert?</t>
  </si>
  <si>
    <t>A. Beide Punkte werden gezählt B. Kein Punkt für beide C. Nur die Metallspitze zählt D. Nur dein Ring zählt</t>
  </si>
  <si>
    <t>Nur die Metallspitze zählt</t>
  </si>
  <si>
    <t>Nur Treffer der Metallspitze werden in diesem Szenario gezählt.</t>
  </si>
  <si>
    <t>A. Yes, one point B. No C. Yes, two points D. Yes, five points</t>
  </si>
  <si>
    <t>Du wirfst einen Ring, aber er bleibt nicht auf der Metallspitze und fällt zurück ins Spielfeld. Zählt das?</t>
  </si>
  <si>
    <t>A. Ja, ein Punkt B. Nein C. Ja, zwei Punkte D. Ja, fünf Punkte</t>
  </si>
  <si>
    <t>Ein Ring, der die Metallspitze nicht berührt und zurückfällt, zählt nicht.</t>
  </si>
  <si>
    <t>A. The throw is repeated. B. You lose your throw C. You will receive one penalty point. D. Nothing, the throw still counts.</t>
  </si>
  <si>
    <t>Der Wind bewegt deinen Ring kurz vor dem Wurf. Was passiert?</t>
  </si>
  <si>
    <t>A. Der Wurf wird wiederholt B. Du verlierst deinen Wurf C. Du bekommst einen Strafpunkt D. Nichts, der Wurf zählt trotzdem</t>
  </si>
  <si>
    <t>Der Wurf wird wiederholt</t>
  </si>
  <si>
    <t>Ein Wurf wird wiederholt, wenn der Wind den Ring bewegt.</t>
  </si>
  <si>
    <t>A. Five points B. Two points C. One point D. No points</t>
  </si>
  <si>
    <t>Ein Ring eines Mitspielers landet knapp vor der Metallspitze. Wie viele Punkte bekommt der Spieler?</t>
  </si>
  <si>
    <t>A. Fünf Punkte B. Zwei Punkte C. Ein Punkt D. Keine Punkte</t>
  </si>
  <si>
    <t>Ein Ring, der knapp vor der Metallspitze landet, bringt einen Punkt.</t>
  </si>
  <si>
    <t>A. Both rings count B. Only the bottom ring counts C. Only the top ring counts D. None of the rings count</t>
  </si>
  <si>
    <t>Du wirfst deinen Ring und er landet auf einem bereits geworfenen Ring. Was passiert?</t>
  </si>
  <si>
    <t>A. Beide Ringe zählen B. Nur der untere Ring zählt C. Nur der obere Ring zählt D. Keiner der Ringe zählt</t>
  </si>
  <si>
    <t>Nur der obere Ring zählt</t>
  </si>
  <si>
    <t>Der zuletzt geworfene Ring wird gewertet, auch wenn er auf einem anderen landet.</t>
  </si>
  <si>
    <t>Ein Mitspieler wirft alle Ringe außerhalb des Spielfelds. Was ist das Ergebnis?</t>
  </si>
  <si>
    <t>Würfe außerhalb des Spielfelds werden nicht gewertet.</t>
  </si>
  <si>
    <t>Der Ring eines Mitspielers rollt und bleibt knapp hinter der Spielfeldgrenze liegen. Was passiert?</t>
  </si>
  <si>
    <t>Ringe außerhalb der Spielfeldgrenze bringen keine Punkte.</t>
  </si>
  <si>
    <t>Ein Mitspieler trifft die Metallspitze, aber der Ring rutscht ab. Wie viele Punkte bekommt der Spieler?</t>
  </si>
  <si>
    <t>Ein Ring, der abrutscht, zählt nicht.</t>
  </si>
  <si>
    <t>A. Five points B. Three points C. One point D. No points</t>
  </si>
  <si>
    <t>Dein Ring landet genau um die Metallspitze, aber ein Teil berührt den Boden. Was passiert?</t>
  </si>
  <si>
    <t>A. Fünf Punkte B. Drei Punkte C. Ein Punkt D. Keine Punkte</t>
  </si>
  <si>
    <t>Ein Ring, der die Metallspitze umschließt, aber den Boden berührt, bringt 3 Punkte.</t>
  </si>
  <si>
    <t>A. Hit the metal tip directly B. Touching the opponent's ring C. Throwing outside the border D. Skip the throw</t>
  </si>
  <si>
    <t>Du hast noch einen Wurf übrig und kannst einen Gegner überholen. Was sollte dein Ziel sein?</t>
  </si>
  <si>
    <t>A. Die Metallspitze direkt treffen B. Den gegnerischen Ring berühren C. Außerhalb der Grenze werfen D. Den Wurf auslassen</t>
  </si>
  <si>
    <t>Die Metallspitze direkt treffen</t>
  </si>
  <si>
    <t>Ein direkter Treffer der Metallspitze bringt die meisten Punkte.</t>
  </si>
  <si>
    <t>A. The player is disqualified. B. The throw does not count C. The throw is repeated. D. The game continues</t>
  </si>
  <si>
    <t>Ein Mitspieler verwendet einen Ring mit anderem Gewicht als die anderen. Was passiert?</t>
  </si>
  <si>
    <t>A. Der Spieler wird disqualifiziert B. Der Wurf zählt nicht C. Der Wurf wird wiederholt D. Das Spiel geht weiter</t>
  </si>
  <si>
    <t>Der Wurf zählt nicht</t>
  </si>
  <si>
    <t>Ringe mit unterschiedlichem Gewicht sind nicht erlaubt, und der Wurf zählt nicht.</t>
  </si>
  <si>
    <t>A. You lose points B. You will receive points C. No points D. The throw is repeated.</t>
  </si>
  <si>
    <t>Du triffst die Metallspitze, aber dein Ring wird durch einen anderen weggerollt. Wie wird das gewertet?</t>
  </si>
  <si>
    <t>A. Du verlierst Punkte B. Du erhältst Punkte C. Keine Punkte D. Der Wurf wird wiederholt</t>
  </si>
  <si>
    <t>Ein Ring, der weggerollt wird, zählt nicht mehr.</t>
  </si>
  <si>
    <t>A. Three points B. No points C. One point per ring D. One penalty point</t>
  </si>
  <si>
    <t>Du hast drei Ringe, die alle innerhalb der Spielfeldgrenze liegen, aber keine Spitze berühren. Was passiert?</t>
  </si>
  <si>
    <t>A. Drei Punkte B. Keine Punkte C. Ein Punkt pro Ring D. Ein Strafpunkt</t>
  </si>
  <si>
    <t>Ein Punkt pro Ring</t>
  </si>
  <si>
    <t>Jeder Ring innerhalb der Grenze bringt einen Punkt, wenn keine Spitze berührt wird.</t>
  </si>
  <si>
    <t>A. The throw is repeated. B. The throw counts C. One point will be deducted D. The player loses his turn</t>
  </si>
  <si>
    <t>Ein Zuschauer betritt das Spielfeld während deines Wurfs. Was passiert?</t>
  </si>
  <si>
    <t>A. Der Wurf wird wiederholt B. Der Wurf zählt C. Ein Punkt wird abgezogen D. Der Spieler verliert seinen Zug</t>
  </si>
  <si>
    <t>Bei Störungen durch Zuschauer wird der Wurf wiederholt.</t>
  </si>
  <si>
    <t>A. Hit the metal tip directly B. Throw it somewhere into the field C. Wait until your train arrives. D. Repeat the throw</t>
  </si>
  <si>
    <t>Ein Mitspieler wirft zuerst, trifft aber die Metallspitze nicht. Was solltest du tun?</t>
  </si>
  <si>
    <t>A. Die Metallspitze direkt treffen B. Irgendwo ins Feld werfen C. Warten, bis dein Zug kommt D. Den Wurf wiederholen lassen</t>
  </si>
  <si>
    <t>Das Ziel ist immer, die Metallspitze zu treffen, um Punkte zu sichern.</t>
  </si>
  <si>
    <t>A. Yes, five points B. No C. Yes, three points D. Yes, one point</t>
  </si>
  <si>
    <t>Dein Ring trifft die Metallspitze, aber ein Teil des Rings ist außerhalb des Spielfelds. Zählt das?</t>
  </si>
  <si>
    <t>A. Ja, fünf Punkte B. Nein C. Ja, drei Punkte D. Ja, ein Punkt</t>
  </si>
  <si>
    <t>Ein Ring, der die Spielfeldgrenze überschreitet, zählt nicht.</t>
  </si>
  <si>
    <t>A. One penalty point B. No points C. Points are counted. D. Repeat throw</t>
  </si>
  <si>
    <t>Du triffst die Metallspitze, aber dein Ring rollt weiter und trifft einen anderen Spieler. Was passiert?</t>
  </si>
  <si>
    <t>A. Ein Strafpunkt B. Keine Punkte C. Punkte werden gezählt D. Wurf wiederholen</t>
  </si>
  <si>
    <t>Ein Ring, der andere Spieler trifft, wird nicht gewertet.</t>
  </si>
  <si>
    <t>A. The throw counts B. The throw does not count C. One point will be deducted D. The player is disqualified.</t>
  </si>
  <si>
    <t>Der Ring eines Mitspielers wird durch den Wind bewegt und trifft die Metallspitze. Was passiert?</t>
  </si>
  <si>
    <t>A. Der Wurf zählt B. Der Wurf zählt nicht C. Ein Punkt wird abgezogen D. Der Spieler wird disqualifiziert</t>
  </si>
  <si>
    <t>Ein Ring, der durch den Wind bewegt wird, zählt nicht.</t>
  </si>
  <si>
    <t>A. The player receives a penalty point. B. The player loses the round C. No points D. The player repeats the throw</t>
  </si>
  <si>
    <t>Ein Mitspieler hat keinen Ring, der die Spitze trifft. Was passiert?</t>
  </si>
  <si>
    <t>A. Der Spieler erhält einen Strafpunkt B. Der Spieler verliert die Runde C. Keine Punkte D. Der Spieler wiederholt den Wurf</t>
  </si>
  <si>
    <t>Ohne Treffer der Spitze erhält der Spieler keine Punkte.</t>
  </si>
  <si>
    <t>A. Two points B. Three points C. Five points D. No points</t>
  </si>
  <si>
    <t>Ein Ring landet halb auf der Spitze und halb auf einem anderen Ring. Was passiert?</t>
  </si>
  <si>
    <t>A. Zwei Punkte B. Drei Punkte C. Fünf Punkte D. Keine Punkte</t>
  </si>
  <si>
    <t>Ein Ring, der die Spitze nur halb trifft, bringt 3 Punkte.</t>
  </si>
  <si>
    <t>A. Ten points B. Five points C. The game will be won D. Three points</t>
  </si>
  <si>
    <t>Der letzte Wurf des Spiels trifft die Spitze perfekt. Was passiert?</t>
  </si>
  <si>
    <t>A. Zehn Punkte B. Fünf Punkte C. Das Spiel wird gewonnen D. Drei Punkte</t>
  </si>
  <si>
    <t>Ein perfekter Treffer am Ende bringt 5 Punkte.</t>
  </si>
  <si>
    <t>Ein Ring wird geworfen und landet genau auf der Metallspitze, bleibt jedoch nicht stabil. Wie wird das gewertet?</t>
  </si>
  <si>
    <t>Ein Ring, der nicht stabil bleibt, wird nicht gewertet.</t>
  </si>
  <si>
    <t>A. Your throw does not count B. His throw does not count C. Both throws count D. Repeat both throws</t>
  </si>
  <si>
    <t>Ein Mitspieler wirft seinen Ring direkt auf deinen und dieser wird von der Spitze gestoßen. Was passiert?</t>
  </si>
  <si>
    <t>A. Dein Wurf zählt nicht B. Sein Wurf zählt nicht C. Beide Würfe zählen D. Wiederholung beider Würfe</t>
  </si>
  <si>
    <t>Dein Wurf zählt nicht</t>
  </si>
  <si>
    <t>Wenn ein Ring von der Spitze gestoßen wird, zählt er nicht mehr.</t>
  </si>
  <si>
    <t>Dein Ring rollt ins Spielfeld, trifft die Metallspitze seitlich und bleibt stehen. Wie viele Punkte erhältst du?</t>
  </si>
  <si>
    <t>Ein seitlicher Treffer der Metallspitze bringt einen Punkt.</t>
  </si>
  <si>
    <t>A. The player is disqualified. B. One point will be deducted C. The player loses the round D. Nothing, the game goes on.</t>
  </si>
  <si>
    <t>Ein Mitspieler verwendet absichtlich mehr als die erlaubten Würfe in einer Runde. Was passiert?</t>
  </si>
  <si>
    <t>A. Der Spieler wird disqualifiziert B. Ein Punkt wird abgezogen C. Der Spieler verliert die Runde D. Nichts, das Spiel geht weiter</t>
  </si>
  <si>
    <t>Der Spieler verliert die Runde</t>
  </si>
  <si>
    <t>Das Überschreiten der erlaubten Würfe führt zum Verlust der Runde.</t>
  </si>
  <si>
    <t>A. No points B. One point C. Three points D. Repeat throw</t>
  </si>
  <si>
    <t>Dein Ring berührt die Metallspitze, wird aber durch einen anderen Ring weggeschoben. Wie wird das gewertet?</t>
  </si>
  <si>
    <t>A. Keine Punkte B. Ein Punkt C. Drei Punkte D. Wurf wiederholen</t>
  </si>
  <si>
    <t>Ein Ring, der die Spitze berührt, bringt Punkte, auch wenn er später verschoben wird.</t>
  </si>
  <si>
    <t>A. The player is disqualified. B. One penalty point C. The throw will not be counted. D. Nothing, the game goes on.</t>
  </si>
  <si>
    <t>Ein Mitspieler wirft absichtlich in deine Richtung, um dich zu stören. Was passiert?</t>
  </si>
  <si>
    <t>A. Der Spieler wird disqualifiziert B. Ein Strafpunkt C. Der Wurf wird nicht gewertet D. Nichts, das Spiel geht weiter</t>
  </si>
  <si>
    <t>Der Spieler wird disqualifiziert</t>
  </si>
  <si>
    <t>Unsportliches Verhalten führt zur Disqualifikation.</t>
  </si>
  <si>
    <t>A. Yes, one point B. No C. Yes, three points D. Only during inspection</t>
  </si>
  <si>
    <t>Der Ring eines Mitspielers landet genau am Rand der Spielfeldgrenze. Zählt das?</t>
  </si>
  <si>
    <t>A. Ja, ein Punkt B. Nein C. Ja, drei Punkte D. Nur bei Überprüfung</t>
  </si>
  <si>
    <t>Ja, ein Punkt</t>
  </si>
  <si>
    <t>Ringe am Rand des Spielfelds zählen als ein Punkt, wenn sie die Grenze nicht überschreiten.</t>
  </si>
  <si>
    <t>Du wirfst deinen Ring und er prallt von der Metallspitze ab, bleibt aber im Spielfeld. Wie viele Punkte bekommst du?</t>
  </si>
  <si>
    <t>Ein Ring, der von der Spitze abprallt, bringt keine Punkte.</t>
  </si>
  <si>
    <t>A. The throw is counted. B. The throw will not be counted. C. One point will be deducted D. The throw is repeated.</t>
  </si>
  <si>
    <t>Ein Mitspieler hat seine Würfe beendet, aber ein Ring wird durch den Wind in eine bessere Position bewegt. Was passiert?</t>
  </si>
  <si>
    <t>A. Der Wurf wird gezählt B. Der Wurf wird nicht gezählt C. Ein Punkt wird abgezogen D. Wurf wird wiederholt</t>
  </si>
  <si>
    <t>Der Wurf wird gezählt</t>
  </si>
  <si>
    <t>Bewegungen durch Wind nach dem Wurf zählen trotzdem.</t>
  </si>
  <si>
    <t>A. Your throw will not be counted. B. The other player loses points C. Nothing is allowed D. The throw is repeated.</t>
  </si>
  <si>
    <t>Du versuchst, den Ring eines Mitspielers absichtlich aus dem Spielfeld zu stoßen. Was passiert?</t>
  </si>
  <si>
    <t>A. Dein Wurf wird nicht gezählt B. Der Mitspieler verliert Punkte C. Nichts, das ist erlaubt D. Wurf wird wiederholt</t>
  </si>
  <si>
    <t>Dein Wurf wird nicht gezählt</t>
  </si>
  <si>
    <t>Absichtliche Störungen anderer Spieler führen zur Ungültigkeit des Wurfs.</t>
  </si>
  <si>
    <t>A. The round is paused. B. You can still throw C. The points of the last player are discarded. D. Nothing, the game goes on.</t>
  </si>
  <si>
    <t>Während des Spiels fällt die Metallspitze um, bevor du wirfst. Was passiert?</t>
  </si>
  <si>
    <t>A. Die Runde wird angehalten B. Du darfst trotzdem werfen C. Die Punkte des letzten Spielers werden gestrichen D. Nichts, das Spiel geht weiter</t>
  </si>
  <si>
    <t>Die Runde wird angehalten</t>
  </si>
  <si>
    <t>Wenn die Metallspitze fällt, wird die Runde unterbrochen, bis sie wieder aufgestellt ist.</t>
  </si>
  <si>
    <t>A. Both rings count B. Only the top ring counts C. Only the bottom ring counts D. None of the rings count</t>
  </si>
  <si>
    <t>Ein Mitspieler wirft einen Ring, der genau über deinem landet und beide Ringe auf der Spitze bleiben. Wie wird das gewertet?</t>
  </si>
  <si>
    <t>A. Beide Ringe zählen B. Nur der obere Ring zählt C. Nur der untere Ring zählt D. Keiner der Ringe zählt</t>
  </si>
  <si>
    <t>Beide Ringe zählen</t>
  </si>
  <si>
    <t>Ringe, die stabil aufeinander liegen, werden beide gezählt.</t>
  </si>
  <si>
    <t>A. Your throw will not be counted. B. You may repeat. C. One point will be deducted D. The throw still counts.</t>
  </si>
  <si>
    <t>Der Schiedsrichter entscheidet, dass dein Wurf ungültig ist, da du außerhalb der Wurfzone stehst. Was passiert?</t>
  </si>
  <si>
    <t>A. Dein Wurf wird nicht gezählt B. Du darfst wiederholen C. Ein Punkt wird abgezogen D. Der Wurf zählt trotzdem</t>
  </si>
  <si>
    <t>Würfe außerhalb der Wurfzone sind ungültig und zählen nicht.</t>
  </si>
  <si>
    <t>A. You may throw again. B. No points C. One point will be deducted D. The throw still counts.</t>
  </si>
  <si>
    <t>Du verlierst deinen Ring während des Wurfs, und er bleibt knapp vor der Wurfzone liegen. Was passiert?</t>
  </si>
  <si>
    <t>A. Du darfst erneut werfen B. Keine Punkte C. Ein Punkt wird abgezogen D. Der Wurf zählt trotzdem</t>
  </si>
  <si>
    <t>Du darfst erneut werfen</t>
  </si>
  <si>
    <t>Ein verlorener Ring kann erneut geworfen werden, wenn er die Spielfeldgrenze nicht erreicht.</t>
  </si>
  <si>
    <t>A. The throw does not count B. The player is disqualified. C. The ring will be replaced D. Nothing, the throw counts</t>
  </si>
  <si>
    <t>Ein Mitspieler verwendet einen beschädigten Ring für seinen Wurf. Was passiert?</t>
  </si>
  <si>
    <t>A. Der Wurf zählt nicht B. Der Spieler wird disqualifiziert C. Der Ring wird ersetzt D. Nichts, der Wurf zählt</t>
  </si>
  <si>
    <t>Der Ring wird ersetzt</t>
  </si>
  <si>
    <t>Ein beschädigter Ring wird ersetzt, bevor das Spiel fortgesetzt wird.</t>
  </si>
  <si>
    <t>Dein Ring bleibt aufrecht stehen, berührt aber die Spitze nicht. Wie viele Punkte erhältst du?</t>
  </si>
  <si>
    <t>Ein Ring, der im Spielfeld aufrecht steht, bringt einen Punkt.</t>
  </si>
  <si>
    <t>A. The other player receives points. B. Both receive points C. You lose points D. Neither you nor your opponent will receive any points.</t>
  </si>
  <si>
    <t>Ein Mitspieler trifft die Spitze mit seinem Ring, aber dein Ring wird dadurch bewegt. Wie wird das gewertet?</t>
  </si>
  <si>
    <t>A. Der Mitspieler erhält Punkte B. Beide erhalten Punkte C. Du verlierst Punkte D. Weder du noch der Mitspieler erhalten Punkte</t>
  </si>
  <si>
    <t>Der Mitspieler erhält Punkte</t>
  </si>
  <si>
    <t>Nur der Wurf des Mitspielers wird gezählt, da dein Ring nicht mehr auf der Spitze liegt.</t>
  </si>
  <si>
    <t>A. Hit the metal tip directly B. Aiming for the border C. Make a safe point D. Skip the throw</t>
  </si>
  <si>
    <t>Du hast den letzten Wurf des Spiels. Dein Punktestand ist gleichauf mit einem Mitspieler. Wie entscheidest du das Spiel?</t>
  </si>
  <si>
    <t>A. Die Metallspitze direkt treffen B. Auf die Grenze zielen C. Einen sicheren Punkt machen D. Den Wurf auslassen</t>
  </si>
  <si>
    <t>Ein direkter Treffer der Spitze bringt die besten Chancen auf den Sieg.</t>
  </si>
  <si>
    <t>A. The throw does not count B. The throw still counts. C. One point will be deducted D. The throw is repeated.</t>
  </si>
  <si>
    <t>Ein Spieler wirft seinen Ring, aber dieser landet auf einem anderen Ring. Was passiert?</t>
  </si>
  <si>
    <t>A. Der Wurf zählt nicht B. Der Wurf zählt trotzdem C. Ein Punkt wird abgezogen D. Der Wurf wird wiederholt</t>
  </si>
  <si>
    <t>Ein Wurf, der auf einem anderen Ring landet, zählt nicht.</t>
  </si>
  <si>
    <t>Dein Ring trifft die Metallspitze und rollt dann von ihr weg. Wie wird das gewertet?</t>
  </si>
  <si>
    <t>Ein Treffer der Metallspitze zählt, auch wenn der Ring abrollt.</t>
  </si>
  <si>
    <t>A. The throw does not count B. The throw is postponed. C. You may repeat the throw. D. One point will be deducted</t>
  </si>
  <si>
    <t>Der Schiedsrichter entscheidet, dass dein Ring zu nah an einem anderen Ring liegt. Was passiert?</t>
  </si>
  <si>
    <t>A. Der Wurf zählt nicht B. Der Wurf wird verschoben C. Du darfst den Wurf wiederholen D. Ein Punkt wird abgezogen</t>
  </si>
  <si>
    <t>Ein zu nah gelegter Ring wird als ungültig gewertet.</t>
  </si>
  <si>
    <t>A. Yes, one point B. No, not a point. C. Yes, three points D. The throw is repeated.</t>
  </si>
  <si>
    <t>Ein Mitspieler wirft seinen Ring und er landet auf der Spielfeldgrenze. Zählt der Wurf?</t>
  </si>
  <si>
    <t>A. Ja, ein Punkt B. Nein, kein Punkt C. Ja, drei Punkte D. Der Wurf wird wiederholt</t>
  </si>
  <si>
    <t>Ringe, die auf der Grenze landen, zählen als ein Punkt.</t>
  </si>
  <si>
    <t>A. Both rings count B. Only the top ring counts C. The bottom ring counts D. No points</t>
  </si>
  <si>
    <t>Du wirfst deinen Ring, und er bleibt auf der Spitze eines anderen Rings liegen. Was passiert?</t>
  </si>
  <si>
    <t>A. Beide Ringe zählen B. Nur der obere Ring zählt C. Der untere Ring zählt D. Keine Punkte</t>
  </si>
  <si>
    <t>Ringe, die aufeinander liegen, zählen beide.</t>
  </si>
  <si>
    <t>A. The throw still counts. B. Your throw does not count C. Neither ring counts D. You may repeat the throw.</t>
  </si>
  <si>
    <t>Dein Ring wird durch einen anderen Ring aus dem Spielfeld geworfen. Was passiert?</t>
  </si>
  <si>
    <t>A. Der Wurf zählt trotzdem B. Dein Wurf zählt nicht C. Beide Ringe zählen nicht D. Du darfst den Wurf wiederholen</t>
  </si>
  <si>
    <t>Der Wurf zählt trotzdem</t>
  </si>
  <si>
    <t>Ein Wurf, der durch einen anderen Wurf verschoben wird, zählt.</t>
  </si>
  <si>
    <t>A. The throw counts as zero. B. The throw counts as one point. C. The throw counts as two points. D. The throw counts as three points.</t>
  </si>
  <si>
    <t>Ein Mitspieler wirft einen Ring und dieser bleibt aufrecht stehen, ohne die Metallspitze zu berühren. Was passiert?</t>
  </si>
  <si>
    <t>A. Der Wurf zählt als null B. Der Wurf zählt als ein Punkt C. Der Wurf zählt als zwei Punkte D. Der Wurf zählt als drei Punkte</t>
  </si>
  <si>
    <t>Der Wurf zählt als null</t>
  </si>
  <si>
    <t>Ein aufrechter Wurf ohne Berührung der Metallspitze zählt nicht.</t>
  </si>
  <si>
    <t>A. The throw still counts. B. The throw does not count C. The throw is repeated. D. The throw only counts partially.</t>
  </si>
  <si>
    <t>Dein Ring bleibt auf der Metallspitze, aber er wird durch den Wind leicht bewegt. Was passiert?</t>
  </si>
  <si>
    <t>A. Der Wurf zählt trotzdem B. Der Wurf zählt nicht C. Der Wurf wird wiederholt D. Der Wurf zählt nur teilweise</t>
  </si>
  <si>
    <t>Bewegungen durch Wind ändern den Punktestand nicht.</t>
  </si>
  <si>
    <t>A. You need to use a lighter ring. B. The throw will not be counted. C. You may still use the ring. D. The ring will be replaced</t>
  </si>
  <si>
    <t>Der Schiedsrichter erklärt, dass dein Ring zu schwer für das Spiel ist. Was passiert?</t>
  </si>
  <si>
    <t>A. Du musst einen leichteren Ring verwenden B. Der Wurf wird nicht gezählt C. Du darfst den Ring trotzdem verwenden D. Der Ring wird ersetzt</t>
  </si>
  <si>
    <t>Du musst einen leichteren Ring verwenden</t>
  </si>
  <si>
    <t>Alle Ringe müssen das gleiche Gewicht haben, ansonsten wird der Wurf nicht gezählt.</t>
  </si>
  <si>
    <t>A. One point B. No point C. Three points D. Five points</t>
  </si>
  <si>
    <t>Ein Mitspieler wirft seinen Ring und dieser landet knapp neben der Metallspitze. Wie wird das gewertet?</t>
  </si>
  <si>
    <t>A. Ein Punkt B. Kein Punkt C. Drei Punkte D. Fünf Punkte</t>
  </si>
  <si>
    <t>Ringe, die in der Nähe der Metallspitze landen, zählen als ein Punkt.</t>
  </si>
  <si>
    <t>A. The throw does not count B. The throw still counts. C. The throw is repeated. D. One point will be deducted</t>
  </si>
  <si>
    <t>Während des Spiels fällt ein Ring auf den Boden und rollt weg. Was passiert?</t>
  </si>
  <si>
    <t>A. Der Wurf zählt nicht B. Der Wurf zählt trotzdem C. Der Wurf wird wiederholt D. Ein Punkt wird abgezogen</t>
  </si>
  <si>
    <t>Ein Wurf, der den Boden berührt, zählt trotzdem.</t>
  </si>
  <si>
    <t>A. The throw does not count B. The throw counts as one point. C. The throw counts as two points. D. The throw counts as zero.</t>
  </si>
  <si>
    <t>Du wirfst einen Ring, der die Metallspitze verfehlt und nur den Boden berührt. Was passiert?</t>
  </si>
  <si>
    <t>A. Der Wurf zählt nicht B. Der Wurf zählt als ein Punkt C. Der Wurf zählt als zwei Punkte D. Der Wurf zählt als null</t>
  </si>
  <si>
    <t>Ringe, die den Boden berühren, zählen nicht.</t>
  </si>
  <si>
    <t>A. The throw is repeated. B. The throw still counts. C. The throw is counted, but the point is deducted. D. The throw does not count</t>
  </si>
  <si>
    <t>Der Schiedsrichter bemerkt, dass ein Ring die Spielfeldgrenze überschreitet. Was passiert?</t>
  </si>
  <si>
    <t>A. Der Wurf wird wiederholt B. Der Wurf zählt trotzdem C. Der Wurf wird gezählt, aber der Punkt wird abgezogen D. Der Wurf zählt nicht</t>
  </si>
  <si>
    <t>Ein Ring, der die Grenze überschreitet, wird als ungültig gewertet.</t>
  </si>
  <si>
    <t>A. The throw still counts. B. The throw is repeated. C. The throw does not count D. The point will be deducted.</t>
  </si>
  <si>
    <t>Ein Spieler hat seinen Ring geworfen, aber dieser wurde von einem anderen Ring gestoppt. Was passiert?</t>
  </si>
  <si>
    <t>A. Der Wurf zählt trotzdem B. Der Wurf wird wiederholt C. Der Wurf zählt nicht D. Der Punkt wird abgezogen</t>
  </si>
  <si>
    <t>Wenn ein Ring gestoppt wird, zählt der Wurf trotzdem.</t>
  </si>
  <si>
    <t>A. The throw does not count B. Both rings count C. Only the bottom ring counts D. Only the top ring counts</t>
  </si>
  <si>
    <t>Du wirfst deinen Ring und dieser landet genau auf einem anderen Ring. Was passiert?</t>
  </si>
  <si>
    <t>A. Der Wurf zählt nicht B. Beide Ringe zählen C. Nur der untere Ring zählt D. Nur der obere Ring zählt</t>
  </si>
  <si>
    <t>Wenn ein Ring auf einem anderen landet, wird der Wurf nicht gezählt.</t>
  </si>
  <si>
    <t>A. The throw counts as zero. B. The throw counts as one point. C. The throw counts as three points. D. The throw counts as five points</t>
  </si>
  <si>
    <t>Ein Ring landet auf der Metallspitze und bleibt ruhig stehen. Wie wird das gewertet?</t>
  </si>
  <si>
    <t>A. Der Wurf zählt als null B. Der Wurf zählt als ein Punkt C. Der Wurf zählt als drei Punkte D. Der Wurf zählt als fünf Punkte</t>
  </si>
  <si>
    <t>Ein Ring, der auf der Spitze bleibt, zählt als drei Punkte.</t>
  </si>
  <si>
    <t>A. Zero points B. One point C. Three points D. Five points</t>
  </si>
  <si>
    <t>Dein Ring rollt nach dem Wurf in die Nähe der Metallspitze, bleibt jedoch nicht auf ihr liegen. Wie viele Punkte bekommst du?</t>
  </si>
  <si>
    <t>A. Null Punkte B. Ein Punkt C. Drei Punkte D. Fünf Punkte</t>
  </si>
  <si>
    <t>Ein Ring, der nahe der Metallspitze bleibt, zählt als ein Punkt.</t>
  </si>
  <si>
    <t>A. The throw does not count B. The throw is repeated. C. One point will be deducted D. The throw still counts.</t>
  </si>
  <si>
    <t>Der Schiedsrichter hat entschieden, dass der Wurf eines Mitspielers zu früh geworfen wurde. Was passiert?</t>
  </si>
  <si>
    <t>A. Der Wurf zählt nicht B. Der Wurf wird wiederholt C. Ein Punkt wird abgezogen D. Der Wurf zählt trotzdem</t>
  </si>
  <si>
    <t>Ein zu früher Wurf wird als ungültig gewertet.</t>
  </si>
  <si>
    <t>A. The throw does not count B. The throw counts as one point. C. The throw counts as two points. D. The throw is repeated.</t>
  </si>
  <si>
    <t>Ein Mitspieler hat seinen Ring so geworfen, dass er direkt an der Spielfeldgrenze zum Stillstand kommt. Was passiert?</t>
  </si>
  <si>
    <t>A. Der Wurf zählt nicht B. Der Wurf zählt als ein Punkt C. Der Wurf zählt als zwei Punkte D. Der Wurf wird wiederholt</t>
  </si>
  <si>
    <t>Der Wurf zählt als ein Punkt</t>
  </si>
  <si>
    <t>Ringe an der Grenze zählen als ein Punkt.</t>
  </si>
  <si>
    <t>A. No point B. One point C. Three points D. Five points</t>
  </si>
  <si>
    <t>Ein Mitspieler wirft einen Ring, der auf dem Boden rollt und die Metallspitze streift, aber nicht trifft. Wie viele Punkte bekommt er?</t>
  </si>
  <si>
    <t>A. Kein Punkt B. Ein Punkt C. Drei Punkte D. Fünf Punkte</t>
  </si>
  <si>
    <t>Kein Punkt</t>
  </si>
  <si>
    <t>Ein Ring, der die Metallspitze streift, zählt keinen Punkt.</t>
  </si>
  <si>
    <t>Dein Ring trifft die Metallspitze, aber rollt schnell weg. Was passiert?</t>
  </si>
  <si>
    <t>Ein Treffer der Metallspitze zählt immer, selbst wenn der Ring abrollt.</t>
  </si>
  <si>
    <t>A. The throw is counted. B. The throw is repeated. C. One point will be deducted D. The throw still counts.</t>
  </si>
  <si>
    <t>Der Schiedsrichter erlaubt es, einen Ring nach einem Wurf zu korrigieren, falls er außerhalb des Spielfelds landet. Was passiert?</t>
  </si>
  <si>
    <t>A. Der Wurf wird gezählt B. Der Wurf wird wiederholt C. Ein Punkt wird abgezogen D. Der Wurf zählt trotzdem</t>
  </si>
  <si>
    <t>Ein Wurf, der außerhalb des Spielfelds landet, wird wiederholt.</t>
  </si>
  <si>
    <t>A. The throw counts as zero. B. The throw counts as one point. C. The throw is repeated. D. The throw counts as zero.</t>
  </si>
  <si>
    <t>Du wirfst deinen Ring, aber dieser landet in einer anderen Zone des Spielfelds. Was passiert?</t>
  </si>
  <si>
    <t>A. Der Wurf zählt als null B. Der Wurf zählt als ein Punkt C. Der Wurf wird wiederholt D. Der Wurf zählt als null</t>
  </si>
  <si>
    <t>Der Wurf wird wiederholt, wenn er in eine andere Zone landet.</t>
  </si>
  <si>
    <t>A. The throw counts as zero. B. The throw counts as one point. C. The throw counts as two points. D. The throw counts as zero.</t>
  </si>
  <si>
    <t>Ein Mitspieler wirft seinen Ring, aber dieser bleibt auf der Linie zwischen zwei Spielfeldern. Wie wird das gewertet?</t>
  </si>
  <si>
    <t>A. Der Wurf zählt als null B. Der Wurf zählt als ein Punkt C. Der Wurf zählt als zwei Punkte D. Der Wurf zählt als null</t>
  </si>
  <si>
    <t>Ein Wurf auf der Linie zählt als ein Punkt.</t>
  </si>
  <si>
    <t>A. The throw still counts. B. The throw does not count C. The throw is repeated. D. One point will be deducted</t>
  </si>
  <si>
    <t>Der Wurf deines Mitspielers wird von deinem Ring blockiert, sodass sein Ring nicht mehr zu sehen ist. Wie wird das gewertet?</t>
  </si>
  <si>
    <t>A. Der Wurf zählt trotzdem B. Der Wurf zählt nicht C. Der Wurf wird wiederholt D. Ein Punkt wird abgezogen</t>
  </si>
  <si>
    <t>Ein Wurf, der blockiert wird, zählt trotzdem.</t>
  </si>
  <si>
    <t>Ein Spieler wirft seinen Ring, aber dieser landet außerhalb des Spielfelds. Was passiert?</t>
  </si>
  <si>
    <t>Ein Ring, der außerhalb des Spielfelds landet, zählt nicht.</t>
  </si>
  <si>
    <t>A. The throw does not count B. The throw is repeated. C. One point is awarded D. The throw counts as zero.</t>
  </si>
  <si>
    <t>Der Ring eines Mitspielers trifft die Metallspitze, aber er fällt nicht auf die Zielfläche. Was passiert?</t>
  </si>
  <si>
    <t>A. Der Wurf zählt nicht B. Der Wurf wird wiederholt C. Ein Punkt wird vergeben D. Der Wurf zählt als null</t>
  </si>
  <si>
    <t>Der Wurf zählt nicht, wenn der Ring nicht auf der Zielfläche landet.</t>
  </si>
  <si>
    <t>Ein Spieler wirft seinen Ring, und dieser bleibt in der Nähe der Metallspitze, aber ohne sie zu berühren. Wie wird das gewertet?</t>
  </si>
  <si>
    <t>Ein Ring, der in der Nähe der Metallspitze landet, zählt als ein Punkt.</t>
  </si>
  <si>
    <t>A. Both rings count B. Only the bottom ring counts C. Only the top ring counts D. The throw does not count</t>
  </si>
  <si>
    <t>Dein Ring landet direkt auf einem anderen Ring. Was passiert?</t>
  </si>
  <si>
    <t>A. Beide Ringe zählen B. Nur der untere Ring zählt C. Nur der obere Ring zählt D. Der Wurf zählt nicht</t>
  </si>
  <si>
    <t>Wenn ein Ring auf einem anderen landet, zählen beide.</t>
  </si>
  <si>
    <t>Ein Spieler wirft seinen Ring, und dieser springt vom Boden ab und landet auf der Metallspitze. Was passiert?</t>
  </si>
  <si>
    <t>Der Wurf zählt als drei Punkte</t>
  </si>
  <si>
    <t>Ein Ring, der auf der Metallspitze landet, zählt als drei Punkte.</t>
  </si>
  <si>
    <t>A. The throw counts as zero. B. The throw counts as one point. C. The throw counts as three points. D. The throw is repeated.</t>
  </si>
  <si>
    <t>Der Ring eines Mitspielers landet auf der Spielfeldgrenze, aber nicht direkt auf der Metallspitze. Was passiert?</t>
  </si>
  <si>
    <t>A. Der Wurf zählt als null B. Der Wurf zählt als ein Punkt C. Der Wurf zählt als drei Punkte D. Der Wurf wird wiederholt</t>
  </si>
  <si>
    <t>Ein Ring an der Grenze zählt als ein Punkt.</t>
  </si>
  <si>
    <t>A. The throw does not count B. Both rings count C. Only the bottom ring counts D. The throw is repeated.</t>
  </si>
  <si>
    <t>Der Wurf eines Mitspielers landet direkt auf einem anderen Ring, aber der andere Ring bleibt nicht stehen. Was passiert?</t>
  </si>
  <si>
    <t>A. Der Wurf zählt nicht B. Beide Ringe zählen C. Nur der untere Ring zählt D. Der Wurf wird wiederholt</t>
  </si>
  <si>
    <t>Ein Wurf, bei dem der andere Ring nicht bleibt, zählt nicht.</t>
  </si>
  <si>
    <t>A. The throw does not count B. The throw is repeated. C. The throw still counts. D. One point will be deducted</t>
  </si>
  <si>
    <t>Du wirfst deinen Ring, aber dieser landet auf der falschen Seite des Spielfelds. Was passiert?</t>
  </si>
  <si>
    <t>A. Der Wurf zählt nicht B. Der Wurf wird wiederholt C. Der Wurf zählt trotzdem D. Ein Punkt wird abgezogen</t>
  </si>
  <si>
    <t>Ein Wurf auf der falschen Seite des Spielfelds zählt nicht.</t>
  </si>
  <si>
    <t>Ein Ring wird durch einen Windstoß leicht verschoben, bleibt aber auf der Metallspitze. Was passiert?</t>
  </si>
  <si>
    <t>Ein Wurf bleibt gültig, auch wenn er durch Wind verschoben wird.</t>
  </si>
  <si>
    <t>A. One point B. No point C. Two points D. Three points</t>
  </si>
  <si>
    <t>Ein Spieler wirft seinen Ring und dieser landet direkt neben einem anderen Ring. Wie viele Punkte bekommst du?</t>
  </si>
  <si>
    <t>A. Ein Punkt B. Kein Punkt C. Zwei Punkte D. Drei Punkte</t>
  </si>
  <si>
    <t>Ein Ring neben einem anderen zählt als ein Punkt.</t>
  </si>
  <si>
    <t>A. The throw counts as zero. B. The throw counts as one point. C. The throw counts as two points. D. The throw counts as five points</t>
  </si>
  <si>
    <t>Der Wurf eines Mitspielers trifft die Metallspitze und bleibt hängen. Was passiert?</t>
  </si>
  <si>
    <t>A. Der Wurf zählt als null B. Der Wurf zählt als ein Punkt C. Der Wurf zählt als zwei Punkte D. Der Wurf zählt als fünf Punkte</t>
  </si>
  <si>
    <t>Ein Treffer, der hängen bleibt, zählt als ein Punkt.</t>
  </si>
  <si>
    <t>Du wirfst deinen Ring, aber er trifft den Boden und rollt vom Spielfeld. Was passiert?</t>
  </si>
  <si>
    <t>Ein Wurf, der vom Spielfeld rollt, zählt nicht.</t>
  </si>
  <si>
    <t>Dein Ring landet auf der Metallspitze und bleibt ruhig stehen. Wie viele Punkte bekommst du?</t>
  </si>
  <si>
    <t>Ein Ring, der auf der Metallspitze bleibt, zählt als drei Punkte.</t>
  </si>
  <si>
    <t>A. The throw counts as zero. B. The throw counts as one point. C. The throw counts as two points. D. The throw is repeated.</t>
  </si>
  <si>
    <t>Ein Mitspieler wirft einen Ring und dieser landet auf der Spielfeldgrenze. Was passiert?</t>
  </si>
  <si>
    <t>A. Der Wurf zählt als null B. Der Wurf zählt als ein Punkt C. Der Wurf zählt als zwei Punkte D. Der Wurf wird wiederholt</t>
  </si>
  <si>
    <t>Ringe an der Spielfeldgrenze zählen als ein Punkt.</t>
  </si>
  <si>
    <t>A. One point B. Zero points C. Three points D. Five points</t>
  </si>
  <si>
    <t>Ein Spieler wirft seinen Ring, und dieser bleibt nach dem Wurf in der Nähe der Metallspitze. Was passiert?</t>
  </si>
  <si>
    <t>A. Ein Punkt B. Null Punkte C. Drei Punkte D. Fünf Punkte</t>
  </si>
  <si>
    <t>Ein Ring, der in der Nähe der Metallspitze bleibt, zählt als ein Punkt.</t>
  </si>
  <si>
    <t>Dein Ring trifft die Metallspitze, aber der Wurf ist zu schwach und bleibt nicht dort. Was passiert?</t>
  </si>
  <si>
    <t>Ein Wurf, der die Metallspitze trifft, zählt trotzdem.</t>
  </si>
  <si>
    <t>Du wirfst deinen Ring, und dieser bleibt in der Nähe der Zielzone, aber ohne sie zu berühren. Was passiert?</t>
  </si>
  <si>
    <t>Ein Ring, der in der Nähe bleibt, zählt nicht.</t>
  </si>
  <si>
    <t>Der Wurf eines Mitspielers bleibt in der Nähe der Zielzone, aber ohne einen anderen Ring zu berühren. Wie viele Punkte bekommt er?</t>
  </si>
  <si>
    <t>Ein Ring, der in der Nähe bleibt, zählt als ein Punkt.</t>
  </si>
  <si>
    <t>Der Ring eines Mitspielers trifft die Metallspitze, aber er wird von einem anderen Ring blockiert. Was passiert?</t>
  </si>
  <si>
    <t>Ein blockierter Wurf zählt trotzdem.</t>
  </si>
  <si>
    <t>A. The throw does not count B. The throw is repeated. C. One point is awarded D. The throw still counts.</t>
  </si>
  <si>
    <t>Du wirfst deinen Ring und dieser landet hinter der Metallspitze. Was passiert?</t>
  </si>
  <si>
    <t>A. Der Wurf zählt nicht B. Der Wurf wird wiederholt C. Ein Punkt wird vergeben D. Der Wurf zählt trotzdem</t>
  </si>
  <si>
    <t>Ein Wurf hinter der Metallspitze zählt nicht.</t>
  </si>
  <si>
    <t>A. The throw still counts. B. The throw is repeated. C. The throw counts as zero. D. One point will be deducted</t>
  </si>
  <si>
    <t>Ein Mitspieler wirft einen Ring, der auf dem Spielfeldboden landet und sich dann in die Nähe der Metallspitze bewegt. Was passiert?</t>
  </si>
  <si>
    <t>A. Der Wurf zählt trotzdem B. Der Wurf wird wiederholt C. Der Wurf zählt als null D. Ein Punkt wird abgezogen</t>
  </si>
  <si>
    <t>Ein Wurf, der sich in Richtung Metallspitze bewegt, zählt trotzdem.</t>
  </si>
  <si>
    <t>Du wirfst deinen Ring, und dieser berührt die Zielfläche, aber bleibt dann nicht darauf. Was passiert?</t>
  </si>
  <si>
    <t>Ein Wurf, der die Zielfläche berührt, aber nicht darauf bleibt, zählt als null.</t>
  </si>
  <si>
    <t>A. The throw does not count B. Both rings count C. The bottom ring counts D. The top ring counts</t>
  </si>
  <si>
    <t>Dein Ring landet auf einem anderen Ring und bleibt dort liegen. Was passiert?</t>
  </si>
  <si>
    <t>A. Der Wurf zählt nicht B. Beide Ringe zählen C. Der untere Ring zählt D. Der obere Ring zählt</t>
  </si>
  <si>
    <t>Wenn ein Ring auf einem anderen bleibt, zählen beide.</t>
  </si>
  <si>
    <t>Du wirfst deinen Ring und dieser trifft direkt die Metallspitze. Wie viele Punkte bekommst du?</t>
  </si>
  <si>
    <t>Ein Wurf auf der Metallspitze zählt als drei Punkte.</t>
  </si>
  <si>
    <t>Ein Mitspieler wirft einen Ring, aber dieser bleibt auf der Grenze zwischen zwei Zonen. Wie wird der Wurf gewertet?</t>
  </si>
  <si>
    <t>Ein Wurf auf der Grenze zählt als ein Punkt.</t>
  </si>
  <si>
    <t>A. The throw counts as zero. B. The throw is repeated. C. One point is awarded D. The throw still counts.</t>
  </si>
  <si>
    <t>Du wirfst deinen Ring, aber dieser fliegt zu weit und landet außerhalb des Spielfelds. Was passiert?</t>
  </si>
  <si>
    <t>A. Der Wurf zählt als null B. Der Wurf wird wiederholt C. Ein Punkt wird vergeben D. Der Wurf zählt trotzdem</t>
  </si>
  <si>
    <t>Ein Wurf außerhalb des Spielfelds zählt als null.</t>
  </si>
  <si>
    <t>A. One point B. Three points C. Zero points D. Five points</t>
  </si>
  <si>
    <t>Dein Ring trifft die Metallspitze und bleibt ruhig darauf liegen. Wie viele Punkte bekommst du?</t>
  </si>
  <si>
    <t>A. Ein Punkt B. Drei Punkte C. Null Punkte D. Fünf Punkte</t>
  </si>
  <si>
    <t>Ein Mitspieler wirft seinen Ring, aber dieser trifft einen anderen Ring und fällt dann herunter. Wie wird der Wurf gewertet?</t>
  </si>
  <si>
    <t>Ein Wurf, der einen anderen Ring trifft, zählt trotzdem.</t>
  </si>
  <si>
    <t>Ein Spieler wirft seinen Ring, aber er trifft den Boden und rollt dann in die Nähe der Zielzone. Was passiert?</t>
  </si>
  <si>
    <t>Ein Wurf, der sich in die Nähe der Zielzone bewegt, zählt als ein Punkt.</t>
  </si>
  <si>
    <t>Der Wurf eines Mitspielers trifft die Metallspitze und bleibt auf der Zielzone liegen. Wie viele Punkte erhält er?</t>
  </si>
  <si>
    <t>Ein Ring, der auf der Metallspitze liegt, zählt als drei Punkte.</t>
  </si>
  <si>
    <t>A. The throw does not count B. The throw is repeated. C. The throw counts as one point. D. The throw counts as zero.</t>
  </si>
  <si>
    <t>Ein Spieler wirft seinen Ring und dieser landet im direkten Winkel zur Zielzone. Was passiert?</t>
  </si>
  <si>
    <t>A. Der Wurf zählt nicht B. Der Wurf wird wiederholt C. Der Wurf zählt als ein Punkt D. Der Wurf zählt als null</t>
  </si>
  <si>
    <t>Ein Wurf, der im richtigen Winkel zur Zielzone landet, zählt als ein Punkt.</t>
  </si>
  <si>
    <t>Der Ring eines Mitspielers landet auf der Zielzone, aber er wird sofort von einem anderen Ring gestört. Was passiert?</t>
  </si>
  <si>
    <t>Ein Wurf, der auf der Zielzone landet, zählt, auch wenn er gestört wird.</t>
  </si>
  <si>
    <t>Du wirfst deinen Ring, aber dieser trifft die Außenkante der Zielzone. Was passiert?</t>
  </si>
  <si>
    <t>Ein Wurf, der die Außenkante trifft, zählt nicht.</t>
  </si>
  <si>
    <t>Ein Mitspieler wirft seinen Ring, aber dieser landet auf der Spielfeldlinie. Was passiert?</t>
  </si>
  <si>
    <t>Ein Wurf auf der Spielfeldlinie zählt als ein Punkt.</t>
  </si>
  <si>
    <t>Du wirfst deinen Ring und dieser springt in die Luft, landet aber auf der Ziellinie. Was passiert?</t>
  </si>
  <si>
    <t>Ein Wurf, der auf der Ziellinie landet, zählt als null.</t>
  </si>
  <si>
    <t>A. The throw counts as zero. B. The bottom ring counts C. The top ring counts D. Both rings count</t>
  </si>
  <si>
    <t>Der Wurf eines Mitspielers landet auf einem anderen Ring. Was passiert?</t>
  </si>
  <si>
    <t>A. Der Wurf zählt als null B. Der untere Ring zählt C. Der obere Ring zählt D. Beide Ringe zählen</t>
  </si>
  <si>
    <t>Du wirfst deinen Ring und dieser bleibt direkt hinter der Metallspitze liegen. Was passiert?</t>
  </si>
  <si>
    <t>Ein Ring, der hinter der Metallspitze landet, zählt als null.</t>
  </si>
  <si>
    <t>Ein Mitspieler wirft einen Ring, aber dieser bleibt nicht auf der Zielzone. Was passiert?</t>
  </si>
  <si>
    <t>Ein Wurf, der nicht auf der Zielzone landet, zählt als null.</t>
  </si>
  <si>
    <t>Du wirfst deinen Ring und dieser bleibt in der Nähe der Zielzone, aber ohne sie zu berühren. Was passiert?</t>
  </si>
  <si>
    <t>Ein Wurf, der in der Nähe bleibt, aber nicht die Zielzone berührt, zählt als null.</t>
  </si>
  <si>
    <t>Der Ring eines Mitspielers trifft die Metallspitze, aber springt dann wieder herunter. Was passiert?</t>
  </si>
  <si>
    <t>Ein Wurf, der die Metallspitze trifft und wieder herunter springt, zählt als ein Punkt.</t>
  </si>
  <si>
    <t>Du wirfst deinen Ring und dieser bleibt an der Spielfeldkante hängen. Was passiert?</t>
  </si>
  <si>
    <t>Ein Wurf, der an der Spielfeldkante hängen bleibt, zählt als null.</t>
  </si>
  <si>
    <t>Der Wurf eines Mitspielers landet auf einem anderen Ring und dieser bleibt nicht auf der Zielfläche. Was passiert?</t>
  </si>
  <si>
    <t>Wenn der andere Ring nicht bleibt, zählt der Wurf nicht.</t>
  </si>
  <si>
    <t>Du wirfst deinen Ring, aber dieser landet in der Nähe der Grenze. Was passiert?</t>
  </si>
  <si>
    <t>Ein Wurf in der Nähe der Grenze zählt als null.</t>
  </si>
  <si>
    <t>Ein Mitspieler wirft seinen Ring und dieser landet direkt auf einem anderen Ring. Was passiert?</t>
  </si>
  <si>
    <t>Ein Wurf, der direkt auf einem anderen Ring landet, zählt für beide Ringe.</t>
  </si>
  <si>
    <t>Du wirfst deinen Ring und dieser bleibt knapp auf der Zielzone liegen. Was passiert?</t>
  </si>
  <si>
    <t>Ein Wurf, der knapp auf der Zielzone liegt, zählt als null.</t>
  </si>
  <si>
    <t>Ein Mitspieler wirft seinen Ring und dieser rollt von der Spielfeldkante. Was passiert?</t>
  </si>
  <si>
    <t>Ein Wurf, der von der Spielfeldkante rollt, zählt als null.</t>
  </si>
  <si>
    <t>Du wirfst deinen Ring und dieser landet in der Nähe der Metallspitze, ohne sie zu berühren. Was passiert?</t>
  </si>
  <si>
    <t>Ein Wurf in der Nähe der Metallspitze zählt als null.</t>
  </si>
  <si>
    <t>Der Wurf eines Mitspielers landet direkt auf der Zielzone und bleibt nicht liegen. Was passiert?</t>
  </si>
  <si>
    <t>Ein Wurf, der nicht auf der Zielzone bleibt, zählt als null.</t>
  </si>
  <si>
    <t>Du wirfst deinen Ring und dieser landet auf der Spielfeldmitte. Was passiert?</t>
  </si>
  <si>
    <t>Ein Wurf in der Spielfeldmitte zählt als null.</t>
  </si>
  <si>
    <t>Ein Mitspieler wirft seinen Ring, aber dieser landet auf der Zielzone, aber außerhalb der Punktestruktur. Was passiert?</t>
  </si>
  <si>
    <t>Ein Wurf, der außerhalb der Punktestruktur landet, zählt als null.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</si>
</sst>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b/>
      <color theme="1"/>
      <name val="Arial"/>
    </font>
    <font>
      <color theme="1"/>
      <name val="Arial"/>
      <scheme val="minor"/>
    </font>
    <font>
      <color rgb="FFFFFFFF"/>
      <name val="Roboto"/>
    </font>
    <font>
      <color rgb="FF434343"/>
      <name val="Roboto"/>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284E3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49" xfId="0" applyAlignment="1" applyFont="1" applyNumberFormat="1">
      <alignment horizontal="left"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horizontal="center" readingOrder="0" shrinkToFit="0" vertical="bottom" wrapText="0"/>
    </xf>
    <xf borderId="0" fillId="0" fontId="3" numFmtId="0" xfId="0" applyAlignment="1" applyFont="1">
      <alignment horizontal="left" readingOrder="0" shrinkToFit="0" vertical="center"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3" numFmtId="0" xfId="0" applyAlignment="1" applyFont="1">
      <alignment shrinkToFit="0" vertical="center" wrapText="0"/>
    </xf>
    <xf borderId="0" fillId="0" fontId="1" numFmtId="0" xfId="0" applyAlignment="1" applyFont="1">
      <alignment horizontal="left" readingOrder="0" shrinkToFit="0" vertical="bottom" wrapText="0"/>
    </xf>
    <xf borderId="0" fillId="0" fontId="3" numFmtId="0" xfId="0" applyAlignment="1" applyFont="1">
      <alignment horizontal="left" readingOrder="0" shrinkToFit="0" vertical="center" wrapText="0"/>
    </xf>
    <xf borderId="0" fillId="0" fontId="3" numFmtId="0" xfId="0" applyAlignment="1" applyFont="1">
      <alignment shrinkToFit="0" vertical="center" wrapText="0"/>
    </xf>
    <xf borderId="1" fillId="2" fontId="4" numFmtId="0" xfId="0" applyAlignment="1" applyBorder="1" applyFill="1" applyFont="1">
      <alignment horizontal="left" readingOrder="0" shrinkToFit="0" vertical="center" wrapText="0"/>
    </xf>
    <xf borderId="0" fillId="0" fontId="3" numFmtId="0" xfId="0" applyAlignment="1" applyFont="1">
      <alignment readingOrder="0" shrinkToFit="0" vertical="center" wrapText="0"/>
    </xf>
    <xf borderId="2" fillId="3" fontId="5" numFmtId="0" xfId="0" applyAlignment="1" applyBorder="1" applyFill="1" applyFont="1">
      <alignment horizontal="right" shrinkToFit="0" vertical="center" wrapText="0"/>
    </xf>
    <xf borderId="3" fillId="4" fontId="5" numFmtId="0" xfId="0" applyAlignment="1" applyBorder="1" applyFill="1" applyFont="1">
      <alignment horizontal="right" shrinkToFit="0" vertical="center" wrapText="0"/>
    </xf>
    <xf borderId="0" fillId="3" fontId="1" numFmtId="0" xfId="0" applyAlignment="1" applyFont="1">
      <alignment shrinkToFit="0" vertical="bottom" wrapText="0"/>
    </xf>
    <xf borderId="4" fillId="3" fontId="5" numFmtId="0" xfId="0" applyAlignment="1" applyBorder="1" applyFont="1">
      <alignment horizontal="righ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Rowing (Rudern)-style">
      <tableStyleElement dxfId="1" type="headerRow"/>
      <tableStyleElement dxfId="2" type="firstRowStripe"/>
      <tableStyleElement dxfId="3" type="secondRowStripe"/>
      <tableStyleElement dxfId="4" size="0" type="wholeTable"/>
    </tableStyle>
    <tableStyle count="4" pivot="0" name="Rowing (Rudern)-style 2">
      <tableStyleElement dxfId="1" type="headerRow"/>
      <tableStyleElement dxfId="2" type="firstRowStripe"/>
      <tableStyleElement dxfId="3" type="secondRowStripe"/>
      <tableStyleElement dxfId="4" size="0" type="wholeTable"/>
    </tableStyle>
    <tableStyle count="4" pivot="0" name="Skat-style">
      <tableStyleElement dxfId="1" type="headerRow"/>
      <tableStyleElement dxfId="2" type="firstRowStripe"/>
      <tableStyleElement dxfId="3" type="secondRowStripe"/>
      <tableStyleElement dxfId="4" size="0" type="wholeTable"/>
    </tableStyle>
    <tableStyle count="4" pivot="0" name="Skat-style 2">
      <tableStyleElement dxfId="1" type="headerRow"/>
      <tableStyleElement dxfId="2" type="firstRowStripe"/>
      <tableStyleElement dxfId="3" type="secondRowStripe"/>
      <tableStyleElement dxfId="4" size="0" type="wholeTable"/>
    </tableStyle>
    <tableStyle count="4" pivot="0" name="Bosseln-style">
      <tableStyleElement dxfId="1" type="headerRow"/>
      <tableStyleElement dxfId="2" type="firstRowStripe"/>
      <tableStyleElement dxfId="3" type="secondRowStripe"/>
      <tableStyleElement dxfId="4" size="0" type="wholeTable"/>
    </tableStyle>
    <tableStyle count="4" pivot="0" name="Bosseln-style 2">
      <tableStyleElement dxfId="1" type="headerRow"/>
      <tableStyleElement dxfId="2" type="firstRowStripe"/>
      <tableStyleElement dxfId="3" type="secondRowStripe"/>
      <tableStyleElement dxfId="4" size="0" type="wholeTable"/>
    </tableStyle>
    <tableStyle count="4" pivot="0" name="Radball (Cycle Ball)-style">
      <tableStyleElement dxfId="1" type="headerRow"/>
      <tableStyleElement dxfId="2" type="firstRowStripe"/>
      <tableStyleElement dxfId="3" type="secondRowStripe"/>
      <tableStyleElement dxfId="4" size="0" type="wholeTable"/>
    </tableStyle>
    <tableStyle count="4" pivot="0" name="Radball (Cycle Ball)-style 2">
      <tableStyleElement dxfId="1" type="headerRow"/>
      <tableStyleElement dxfId="2" type="firstRowStripe"/>
      <tableStyleElement dxfId="3" type="secondRowStripe"/>
      <tableStyleElement dxfId="4" size="0" type="wholeTable"/>
    </tableStyle>
    <tableStyle count="4" pivot="0" name="Klootschießen-style">
      <tableStyleElement dxfId="1" type="headerRow"/>
      <tableStyleElement dxfId="2" type="firstRowStripe"/>
      <tableStyleElement dxfId="3" type="secondRowStripe"/>
      <tableStyleElement dxfId="4" size="0" type="wholeTable"/>
    </tableStyle>
    <tableStyle count="4" pivot="0" name="Klootschießen-style 2">
      <tableStyleElement dxfId="1" type="headerRow"/>
      <tableStyleElement dxfId="2" type="firstRowStripe"/>
      <tableStyleElement dxfId="3" type="secondRowStripe"/>
      <tableStyleElement dxfId="4" size="0" type="wholeTable"/>
    </tableStyle>
    <tableStyle count="4" pivot="0" name="Quoits (Ringspiel)-style">
      <tableStyleElement dxfId="1" type="headerRow"/>
      <tableStyleElement dxfId="2" type="firstRowStripe"/>
      <tableStyleElement dxfId="3" type="secondRowStripe"/>
      <tableStyleElement dxfId="4" size="0" type="wholeTable"/>
    </tableStyle>
    <tableStyle count="4" pivot="0" name="Quoits (Ringspiel)-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70" displayName="Table12" name="Table12" id="1">
  <tableColumns count="5">
    <tableColumn name="Question number" id="1"/>
    <tableColumn name="Question" id="2"/>
    <tableColumn name="Options" id="3"/>
    <tableColumn name="Answer" id="4"/>
    <tableColumn name="Description" id="5"/>
  </tableColumns>
  <tableStyleInfo name="Rowing (Rudern)-style" showColumnStripes="0" showFirstColumn="1" showLastColumn="1" showRowStripes="1"/>
</table>
</file>

<file path=xl/tables/table2.xml><?xml version="1.0" encoding="utf-8"?>
<table xmlns="http://schemas.openxmlformats.org/spreadsheetml/2006/main" ref="G1:K70" displayName="Table1" name="Table1" id="2">
  <tableColumns count="5">
    <tableColumn name="Fragenummer" id="1"/>
    <tableColumn name="Fragen" id="2"/>
    <tableColumn name="Richtige Antwort" id="3"/>
    <tableColumn name="Beschreibung" id="4"/>
    <tableColumn name="Options2" id="5"/>
  </tableColumns>
  <tableStyleInfo name="Rowing (Rudern)-style 2" showColumnStripes="0" showFirstColumn="1" showLastColumn="1" showRowStripes="1"/>
</table>
</file>

<file path=xl/tables/table3.xml><?xml version="1.0" encoding="utf-8"?>
<table xmlns="http://schemas.openxmlformats.org/spreadsheetml/2006/main" ref="A1:E161" displayName="Table11" name="Table11" id="3">
  <tableColumns count="5">
    <tableColumn name="Question number" id="1"/>
    <tableColumn name="Question" id="2"/>
    <tableColumn name="Options" id="3"/>
    <tableColumn name="Answer" id="4"/>
    <tableColumn name="Description" id="5"/>
  </tableColumns>
  <tableStyleInfo name="Skat-style" showColumnStripes="0" showFirstColumn="1" showLastColumn="1" showRowStripes="1"/>
</table>
</file>

<file path=xl/tables/table4.xml><?xml version="1.0" encoding="utf-8"?>
<table xmlns="http://schemas.openxmlformats.org/spreadsheetml/2006/main" ref="G1:K161" displayName="Table2" name="Table2" id="4">
  <tableColumns count="5">
    <tableColumn name="Fragenummer" id="1"/>
    <tableColumn name="Fragen" id="2"/>
    <tableColumn name="Options2" id="3"/>
    <tableColumn name="Richtige Antwort" id="4"/>
    <tableColumn name="Beschreibung" id="5"/>
  </tableColumns>
  <tableStyleInfo name="Skat-style 2" showColumnStripes="0" showFirstColumn="1" showLastColumn="1" showRowStripes="1"/>
</table>
</file>

<file path=xl/tables/table5.xml><?xml version="1.0" encoding="utf-8"?>
<table xmlns="http://schemas.openxmlformats.org/spreadsheetml/2006/main" ref="A1:E168" displayName="Table10" name="Table10" id="5">
  <tableColumns count="5">
    <tableColumn name="Question number" id="1"/>
    <tableColumn name="Question" id="2"/>
    <tableColumn name="Options" id="3"/>
    <tableColumn name="Answer" id="4"/>
    <tableColumn name="Description" id="5"/>
  </tableColumns>
  <tableStyleInfo name="Bosseln-style" showColumnStripes="0" showFirstColumn="1" showLastColumn="1" showRowStripes="1"/>
</table>
</file>

<file path=xl/tables/table6.xml><?xml version="1.0" encoding="utf-8"?>
<table xmlns="http://schemas.openxmlformats.org/spreadsheetml/2006/main" ref="G1:K168" displayName="Table3" name="Table3" id="6">
  <tableColumns count="5">
    <tableColumn name="Fragenummer" id="1"/>
    <tableColumn name="Fragen" id="2"/>
    <tableColumn name="Options2" id="3"/>
    <tableColumn name="Richtige Antwort" id="4"/>
    <tableColumn name="Beschreibung" id="5"/>
  </tableColumns>
  <tableStyleInfo name="Bosseln-style 2" showColumnStripes="0" showFirstColumn="1" showLastColumn="1" showRowStripes="1"/>
</table>
</file>

<file path=xl/tables/table7.xml><?xml version="1.0" encoding="utf-8"?>
<table xmlns="http://schemas.openxmlformats.org/spreadsheetml/2006/main" ref="A1:E148" displayName="Table9" name="Table9" id="7">
  <tableColumns count="5">
    <tableColumn name="Question number" id="1"/>
    <tableColumn name="Question" id="2"/>
    <tableColumn name="Options" id="3"/>
    <tableColumn name="Correct answer" id="4"/>
    <tableColumn name="Explanation" id="5"/>
  </tableColumns>
  <tableStyleInfo name="Radball (Cycle Ball)-style" showColumnStripes="0" showFirstColumn="1" showLastColumn="1" showRowStripes="1"/>
</table>
</file>

<file path=xl/tables/table8.xml><?xml version="1.0" encoding="utf-8"?>
<table xmlns="http://schemas.openxmlformats.org/spreadsheetml/2006/main" ref="G1:K148" displayName="Table4" name="Table4" id="8">
  <tableColumns count="5">
    <tableColumn name="Fragenummer" id="1"/>
    <tableColumn name="Fragen" id="2"/>
    <tableColumn name="Options2" id="3"/>
    <tableColumn name="Richtige Antwort" id="4"/>
    <tableColumn name="Erläuterung" id="5"/>
  </tableColumns>
  <tableStyleInfo name="Radball (Cycle Ball)-style 2" showColumnStripes="0" showFirstColumn="1" showLastColumn="1" showRowStripes="1"/>
</table>
</file>

<file path=xl/tables/table9.xml><?xml version="1.0" encoding="utf-8"?>
<table xmlns="http://schemas.openxmlformats.org/spreadsheetml/2006/main" ref="A1:E166" displayName="Table7" name="Table7" id="9">
  <tableColumns count="5">
    <tableColumn name="Question number" id="1"/>
    <tableColumn name="Questions" id="2"/>
    <tableColumn name="Options" id="3"/>
    <tableColumn name="Answer" id="4"/>
    <tableColumn name="Description" id="5"/>
  </tableColumns>
  <tableStyleInfo name="Klootschießen-style" showColumnStripes="0" showFirstColumn="1" showLastColumn="1" showRowStripes="1"/>
</table>
</file>

<file path=xl/tables/table10.xml><?xml version="1.0" encoding="utf-8"?>
<table xmlns="http://schemas.openxmlformats.org/spreadsheetml/2006/main" ref="G1:K166" displayName="Table5" name="Table5" id="10">
  <tableColumns count="5">
    <tableColumn name="Fragenummer" id="1"/>
    <tableColumn name="Fragen" id="2"/>
    <tableColumn name="Options2" id="3"/>
    <tableColumn name="Richtige Antwort" id="4"/>
    <tableColumn name="Beschreibung" id="5"/>
  </tableColumns>
  <tableStyleInfo name="Klootschießen-style 2" showColumnStripes="0" showFirstColumn="1" showLastColumn="1" showRowStripes="1"/>
</table>
</file>

<file path=xl/tables/table11.xml><?xml version="1.0" encoding="utf-8"?>
<table xmlns="http://schemas.openxmlformats.org/spreadsheetml/2006/main" ref="A1:E160" displayName="Table8" name="Table8" id="11">
  <tableColumns count="5">
    <tableColumn name="Question no." id="1"/>
    <tableColumn name="Questions" id="2"/>
    <tableColumn name="Options" id="3"/>
    <tableColumn name="Answer" id="4"/>
    <tableColumn name="Description" id="5"/>
  </tableColumns>
  <tableStyleInfo name="Quoits (Ringspiel)-style" showColumnStripes="0" showFirstColumn="1" showLastColumn="1" showRowStripes="1"/>
</table>
</file>

<file path=xl/tables/table12.xml><?xml version="1.0" encoding="utf-8"?>
<table xmlns="http://schemas.openxmlformats.org/spreadsheetml/2006/main" ref="G1:K160" displayName="Table6" name="Table6" id="12">
  <tableColumns count="5">
    <tableColumn name="Question no." id="1"/>
    <tableColumn name="Frage" id="2"/>
    <tableColumn name="Options2" id="3"/>
    <tableColumn name="Richtige Antwort" id="4"/>
    <tableColumn name="Description" id="5"/>
  </tableColumns>
  <tableStyleInfo name="Quoits (Ringspiel)-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4" width="37.63"/>
    <col customWidth="1" min="6" max="6" width="18.25"/>
    <col customWidth="1" min="9" max="9" width="17.38"/>
    <col customWidth="1" min="10" max="10" width="18.38"/>
  </cols>
  <sheetData>
    <row r="1" ht="22.5" customHeight="1">
      <c r="A1" s="1" t="s">
        <v>0</v>
      </c>
      <c r="B1" s="1" t="s">
        <v>1</v>
      </c>
      <c r="C1" s="2" t="s">
        <v>2</v>
      </c>
      <c r="D1" s="1" t="s">
        <v>3</v>
      </c>
      <c r="E1" s="1" t="s">
        <v>4</v>
      </c>
      <c r="G1" s="3" t="s">
        <v>5</v>
      </c>
      <c r="H1" s="4" t="s">
        <v>6</v>
      </c>
      <c r="I1" s="4" t="s">
        <v>7</v>
      </c>
      <c r="J1" s="4" t="s">
        <v>8</v>
      </c>
      <c r="K1" s="5" t="s">
        <v>9</v>
      </c>
      <c r="Q1" s="6"/>
      <c r="R1" s="6"/>
      <c r="S1" s="6"/>
    </row>
    <row r="2" ht="22.5" customHeight="1">
      <c r="A2" s="7" t="str">
        <f>IFERROR(__xludf.DUMMYFUNCTION("GOOGLETRANSLATE(G2, ""de"", ""en"")"),"1")</f>
        <v>1</v>
      </c>
      <c r="B2" s="7" t="str">
        <f>IFERROR(__xludf.DUMMYFUNCTION("GOOGLETRANSLATE(H2, ""de"", ""en"")"),"A rower notices that his oar blade keeps dipping too deep into the water. What adjustments should he make?")</f>
        <v>A rower notices that his oar blade keeps dipping too deep into the water. What adjustments should he make?</v>
      </c>
      <c r="C2" s="7" t="s">
        <v>10</v>
      </c>
      <c r="D2" s="7" t="str">
        <f>IFERROR(__xludf.DUMMYFUNCTION("GOOGLETRANSLATE(I2, ""de"", ""en"")"),"Grip angle")</f>
        <v>Grip angle</v>
      </c>
      <c r="E2" s="7" t="str">
        <f>IFERROR(__xludf.DUMMYFUNCTION("GOOGLETRANSLATE(J2, ""de"", ""en"")"),"Adjusting the handle angle ensures that the oar blade moves correctly through the water.")</f>
        <v>Adjusting the handle angle ensures that the oar blade moves correctly through the water.</v>
      </c>
      <c r="G2" s="8">
        <v>1.0</v>
      </c>
      <c r="H2" s="7" t="s">
        <v>11</v>
      </c>
      <c r="I2" s="7" t="s">
        <v>12</v>
      </c>
      <c r="J2" s="7" t="s">
        <v>13</v>
      </c>
      <c r="K2" s="9" t="s">
        <v>14</v>
      </c>
      <c r="Q2" s="6"/>
      <c r="R2" s="6"/>
      <c r="S2" s="6"/>
    </row>
    <row r="3" ht="22.5" customHeight="1">
      <c r="A3" s="7" t="str">
        <f>IFERROR(__xludf.DUMMYFUNCTION("GOOGLETRANSLATE(G3, ""de"", ""en"")"),"2")</f>
        <v>2</v>
      </c>
      <c r="B3" s="7" t="str">
        <f>IFERROR(__xludf.DUMMYFUNCTION("GOOGLETRANSLATE(H3, ""de"", ""en"")"),"During a regatta, the boat suddenly veers off course. What is the likely cause?")</f>
        <v>During a regatta, the boat suddenly veers off course. What is the likely cause?</v>
      </c>
      <c r="C3" s="7" t="s">
        <v>15</v>
      </c>
      <c r="D3" s="7" t="str">
        <f>IFERROR(__xludf.DUMMYFUNCTION("GOOGLETRANSLATE(I3, ""de"", ""en"")"),"Uneven strokes")</f>
        <v>Uneven strokes</v>
      </c>
      <c r="E3" s="7" t="str">
        <f>IFERROR(__xludf.DUMMYFUNCTION("GOOGLETRANSLATE(J3, ""de"", ""en"")"),"Uneven strokes can cause the boat to veer off course, requiring better synchronization.")</f>
        <v>Uneven strokes can cause the boat to veer off course, requiring better synchronization.</v>
      </c>
      <c r="G3" s="8">
        <v>2.0</v>
      </c>
      <c r="H3" s="7" t="s">
        <v>16</v>
      </c>
      <c r="I3" s="7" t="s">
        <v>17</v>
      </c>
      <c r="J3" s="7" t="s">
        <v>18</v>
      </c>
      <c r="K3" s="9" t="s">
        <v>19</v>
      </c>
      <c r="Q3" s="6"/>
      <c r="R3" s="6"/>
      <c r="S3" s="6"/>
    </row>
    <row r="4" ht="22.5" customHeight="1">
      <c r="A4" s="7" t="str">
        <f>IFERROR(__xludf.DUMMYFUNCTION("GOOGLETRANSLATE(G4, ""de"", ""en"")"),"3")</f>
        <v>3</v>
      </c>
      <c r="B4" s="7" t="str">
        <f>IFERROR(__xludf.DUMMYFUNCTION("GOOGLETRANSLATE(H4, ""de"", ""en"")"),"The helmsman is requesting a ""strength 10"". What does that mean?")</f>
        <v>The helmsman is requesting a "strength 10". What does that mean?</v>
      </c>
      <c r="C4" s="7" t="s">
        <v>20</v>
      </c>
      <c r="D4" s="7" t="str">
        <f>IFERROR(__xludf.DUMMYFUNCTION("GOOGLETRANSLATE(I4, ""de"", ""en"")"),"Make 10 rowing strokes with full effort.")</f>
        <v>Make 10 rowing strokes with full effort.</v>
      </c>
      <c r="E4" s="7" t="str">
        <f>IFERROR(__xludf.DUMMYFUNCTION("GOOGLETRANSLATE(J4, ""de"", ""en"")"),"A ""Power 10"" is a command to rowers to give their maximum effort in the next 10 strokes.")</f>
        <v>A "Power 10" is a command to rowers to give their maximum effort in the next 10 strokes.</v>
      </c>
      <c r="G4" s="8">
        <v>3.0</v>
      </c>
      <c r="H4" s="7" t="s">
        <v>21</v>
      </c>
      <c r="I4" s="7" t="s">
        <v>22</v>
      </c>
      <c r="J4" s="7" t="s">
        <v>23</v>
      </c>
      <c r="K4" s="9" t="s">
        <v>24</v>
      </c>
      <c r="Q4" s="6"/>
      <c r="R4" s="6"/>
      <c r="S4" s="6"/>
    </row>
    <row r="5" ht="22.5" customHeight="1">
      <c r="A5" s="7" t="str">
        <f>IFERROR(__xludf.DUMMYFUNCTION("GOOGLETRANSLATE(G5, ""de"", ""en"")"),"4")</f>
        <v>4</v>
      </c>
      <c r="B5" s="7" t="str">
        <f>IFERROR(__xludf.DUMMYFUNCTION("GOOGLETRANSLATE(H5, ""de"", ""en"")"),"What happens if a rower's hand slips off mid-stroke?")</f>
        <v>What happens if a rower's hand slips off mid-stroke?</v>
      </c>
      <c r="C5" s="7" t="s">
        <v>25</v>
      </c>
      <c r="D5" s="7" t="str">
        <f>IFERROR(__xludf.DUMMYFUNCTION("GOOGLETRANSLATE(I5, ""de"", ""en"")"),"The rower loses his balance")</f>
        <v>The rower loses his balance</v>
      </c>
      <c r="E5" s="7" t="str">
        <f>IFERROR(__xludf.DUMMYFUNCTION("GOOGLETRANSLATE(J5, ""de"", ""en"")"),"Losing one's footing mid-stroke can affect the rower's balance and timing, and have repercussions for the entire team.")</f>
        <v>Losing one's footing mid-stroke can affect the rower's balance and timing, and have repercussions for the entire team.</v>
      </c>
      <c r="G5" s="8">
        <v>4.0</v>
      </c>
      <c r="H5" s="7" t="s">
        <v>26</v>
      </c>
      <c r="I5" s="7" t="s">
        <v>27</v>
      </c>
      <c r="J5" s="7" t="s">
        <v>28</v>
      </c>
      <c r="K5" s="9" t="s">
        <v>29</v>
      </c>
      <c r="Q5" s="6"/>
      <c r="R5" s="6"/>
      <c r="S5" s="6"/>
    </row>
    <row r="6" ht="22.5" customHeight="1">
      <c r="A6" s="7" t="str">
        <f>IFERROR(__xludf.DUMMYFUNCTION("GOOGLETRANSLATE(G6, ""de"", ""en"")"),"5")</f>
        <v>5</v>
      </c>
      <c r="B6" s="7" t="str">
        <f>IFERROR(__xludf.DUMMYFUNCTION("GOOGLETRANSLATE(H6, ""de"", ""en"")"),"A rower feels that his seat isn't gliding smoothly. What should they check?")</f>
        <v>A rower feels that his seat isn't gliding smoothly. What should they check?</v>
      </c>
      <c r="C6" s="7" t="s">
        <v>30</v>
      </c>
      <c r="D6" s="7" t="str">
        <f>IFERROR(__xludf.DUMMYFUNCTION("GOOGLETRANSLATE(I6, ""de"", ""en"")"),"Rail lubrication")</f>
        <v>Rail lubrication</v>
      </c>
      <c r="E6" s="7" t="str">
        <f>IFERROR(__xludf.DUMMYFUNCTION("GOOGLETRANSLATE(J6, ""de"", ""en"")"),"Proper lubrication of the seat rails ensures smooth rowing movements.")</f>
        <v>Proper lubrication of the seat rails ensures smooth rowing movements.</v>
      </c>
      <c r="G6" s="8">
        <v>5.0</v>
      </c>
      <c r="H6" s="7" t="s">
        <v>31</v>
      </c>
      <c r="I6" s="7" t="s">
        <v>32</v>
      </c>
      <c r="J6" s="7" t="s">
        <v>33</v>
      </c>
      <c r="K6" s="9" t="s">
        <v>34</v>
      </c>
      <c r="Q6" s="6"/>
      <c r="R6" s="6"/>
      <c r="S6" s="6"/>
    </row>
    <row r="7" ht="22.5" customHeight="1">
      <c r="A7" s="7" t="str">
        <f>IFERROR(__xludf.DUMMYFUNCTION("GOOGLETRANSLATE(G7, ""de"", ""en"")"),"6")</f>
        <v>6</v>
      </c>
      <c r="B7" s="7" t="str">
        <f>IFERROR(__xludf.DUMMYFUNCTION("GOOGLETRANSLATE(H7, ""de"", ""en"")"),"What is the penalty for crossing another lane during a race?")</f>
        <v>What is the penalty for crossing another lane during a race?</v>
      </c>
      <c r="C7" s="7" t="s">
        <v>35</v>
      </c>
      <c r="D7" s="7" t="str">
        <f>IFERROR(__xludf.DUMMYFUNCTION("GOOGLETRANSLATE(I7, ""de"", ""en"")"),"disqualification")</f>
        <v>disqualification</v>
      </c>
      <c r="E7" s="7" t="str">
        <f>IFERROR(__xludf.DUMMYFUNCTION("GOOGLETRANSLATE(J7, ""de"", ""en"")"),"Crossing another lane can lead to disqualification for obstructing opponents.")</f>
        <v>Crossing another lane can lead to disqualification for obstructing opponents.</v>
      </c>
      <c r="G7" s="8">
        <v>6.0</v>
      </c>
      <c r="H7" s="7" t="s">
        <v>36</v>
      </c>
      <c r="I7" s="7" t="s">
        <v>37</v>
      </c>
      <c r="J7" s="7" t="s">
        <v>38</v>
      </c>
      <c r="K7" s="9" t="s">
        <v>39</v>
      </c>
      <c r="Q7" s="6"/>
      <c r="R7" s="6"/>
      <c r="S7" s="6"/>
    </row>
    <row r="8" ht="22.5" customHeight="1">
      <c r="A8" s="7" t="str">
        <f>IFERROR(__xludf.DUMMYFUNCTION("GOOGLETRANSLATE(G8, ""de"", ""en"")"),"7")</f>
        <v>7</v>
      </c>
      <c r="B8" s="7" t="str">
        <f>IFERROR(__xludf.DUMMYFUNCTION("GOOGLETRANSLATE(H8, ""de"", ""en"")"),"How should rowers recover after a long-distance rowing race?")</f>
        <v>How should rowers recover after a long-distance rowing race?</v>
      </c>
      <c r="C8" s="7" t="s">
        <v>40</v>
      </c>
      <c r="D8" s="7" t="str">
        <f>IFERROR(__xludf.DUMMYFUNCTION("GOOGLETRANSLATE(I8, ""de"", ""en"")"),"Both A and B")</f>
        <v>Both A and B</v>
      </c>
      <c r="E8" s="7" t="str">
        <f>IFERROR(__xludf.DUMMYFUNCTION("GOOGLETRANSLATE(J8, ""de"", ""en"")"),"Recovery after a race includes hydration and stretching exercises to avoid muscle cramps.")</f>
        <v>Recovery after a race includes hydration and stretching exercises to avoid muscle cramps.</v>
      </c>
      <c r="G8" s="8">
        <v>7.0</v>
      </c>
      <c r="H8" s="7" t="s">
        <v>41</v>
      </c>
      <c r="I8" s="7" t="s">
        <v>42</v>
      </c>
      <c r="J8" s="7" t="s">
        <v>43</v>
      </c>
      <c r="K8" s="9" t="s">
        <v>44</v>
      </c>
      <c r="Q8" s="6"/>
      <c r="R8" s="6"/>
      <c r="S8" s="6"/>
    </row>
    <row r="9" ht="22.5" customHeight="1">
      <c r="A9" s="7" t="str">
        <f>IFERROR(__xludf.DUMMYFUNCTION("GOOGLETRANSLATE(G9, ""de"", ""en"")"),"8")</f>
        <v>8</v>
      </c>
      <c r="B9" s="7" t="str">
        <f>IFERROR(__xludf.DUMMYFUNCTION("GOOGLETRANSLATE(H9, ""de"", ""en"")"),"What role does the ""bow seat"" play in rowing?")</f>
        <v>What role does the "bow seat" play in rowing?</v>
      </c>
      <c r="C9" s="7" t="s">
        <v>45</v>
      </c>
      <c r="D9" s="7" t="str">
        <f>IFERROR(__xludf.DUMMYFUNCTION("GOOGLETRANSLATE(I9, ""de"", ""en"")"),"Balance the boat")</f>
        <v>Balance the boat</v>
      </c>
      <c r="E9" s="7" t="str">
        <f>IFERROR(__xludf.DUMMYFUNCTION("GOOGLETRANSLATE(J9, ""de"", ""en"")"),"The bow seat is crucial for maintaining the balance and rhythm of the boat.")</f>
        <v>The bow seat is crucial for maintaining the balance and rhythm of the boat.</v>
      </c>
      <c r="G9" s="8">
        <v>8.0</v>
      </c>
      <c r="H9" s="7" t="s">
        <v>46</v>
      </c>
      <c r="I9" s="7" t="s">
        <v>47</v>
      </c>
      <c r="J9" s="7" t="s">
        <v>48</v>
      </c>
      <c r="K9" s="9" t="s">
        <v>49</v>
      </c>
      <c r="Q9" s="6"/>
      <c r="R9" s="6"/>
      <c r="S9" s="6"/>
    </row>
    <row r="10" ht="22.5" customHeight="1">
      <c r="A10" s="7" t="str">
        <f>IFERROR(__xludf.DUMMYFUNCTION("GOOGLETRANSLATE(G10, ""de"", ""en"")"),"9")</f>
        <v>9</v>
      </c>
      <c r="B10" s="7" t="str">
        <f>IFERROR(__xludf.DUMMYFUNCTION("GOOGLETRANSLATE(H10, ""de"", ""en"")"),"What technique should rowers adapt when facing strong headwinds?")</f>
        <v>What technique should rowers adapt when facing strong headwinds?</v>
      </c>
      <c r="C10" s="7" t="s">
        <v>50</v>
      </c>
      <c r="D10" s="7" t="str">
        <f>IFERROR(__xludf.DUMMYFUNCTION("GOOGLETRANSLATE(I10, ""de"", ""en"")"),"Increase the run-out angle")</f>
        <v>Increase the run-out angle</v>
      </c>
      <c r="E10" s="7" t="str">
        <f>IFERROR(__xludf.DUMMYFUNCTION("GOOGLETRANSLATE(J10, ""de"", ""en"")"),"Increasing the run-out angle minimizes wind resistance during the recovery phase.")</f>
        <v>Increasing the run-out angle minimizes wind resistance during the recovery phase.</v>
      </c>
      <c r="G10" s="8">
        <v>9.0</v>
      </c>
      <c r="H10" s="7" t="s">
        <v>51</v>
      </c>
      <c r="I10" s="7" t="s">
        <v>52</v>
      </c>
      <c r="J10" s="7" t="s">
        <v>53</v>
      </c>
      <c r="K10" s="9" t="s">
        <v>54</v>
      </c>
      <c r="Q10" s="6"/>
      <c r="R10" s="6"/>
      <c r="S10" s="6"/>
    </row>
    <row r="11" ht="22.5" customHeight="1">
      <c r="A11" s="7" t="str">
        <f>IFERROR(__xludf.DUMMYFUNCTION("GOOGLETRANSLATE(G11, ""de"", ""en"")"),"10")</f>
        <v>10</v>
      </c>
      <c r="B11" s="7" t="str">
        <f>IFERROR(__xludf.DUMMYFUNCTION("GOOGLETRANSLATE(H11, ""de"", ""en"")"),"A rower experiences significant resistance during the recovery phase. What could be the problem?")</f>
        <v>A rower experiences significant resistance during the recovery phase. What could be the problem?</v>
      </c>
      <c r="C11" s="7" t="s">
        <v>55</v>
      </c>
      <c r="D11" s="7" t="str">
        <f>IFERROR(__xludf.DUMMYFUNCTION("GOOGLETRANSLATE(I11, ""de"", ""en"")"),"Incorrect suspension")</f>
        <v>Incorrect suspension</v>
      </c>
      <c r="E11" s="7" t="str">
        <f>IFERROR(__xludf.DUMMYFUNCTION("GOOGLETRANSLATE(J11, ""de"", ""en"")"),"Incorrect suspension increases resistance when reeling in and slows down the boat.")</f>
        <v>Incorrect suspension increases resistance when reeling in and slows down the boat.</v>
      </c>
      <c r="G11" s="8">
        <v>10.0</v>
      </c>
      <c r="H11" s="7" t="s">
        <v>56</v>
      </c>
      <c r="I11" s="7" t="s">
        <v>57</v>
      </c>
      <c r="J11" s="7" t="s">
        <v>58</v>
      </c>
      <c r="K11" s="9" t="s">
        <v>59</v>
      </c>
      <c r="Q11" s="6"/>
      <c r="R11" s="6"/>
      <c r="S11" s="6"/>
    </row>
    <row r="12" ht="22.5" customHeight="1">
      <c r="A12" s="7" t="str">
        <f>IFERROR(__xludf.DUMMYFUNCTION("GOOGLETRANSLATE(G12, ""de"", ""en"")"),"11")</f>
        <v>11</v>
      </c>
      <c r="B12" s="7" t="str">
        <f>IFERROR(__xludf.DUMMYFUNCTION("GOOGLETRANSLATE(H12, ""de"", ""en"")"),"What purpose does a ""tariff cap"" serve in practice?")</f>
        <v>What purpose does a "tariff cap" serve in practice?</v>
      </c>
      <c r="C12" s="7" t="s">
        <v>60</v>
      </c>
      <c r="D12" s="7" t="str">
        <f>IFERROR(__xludf.DUMMYFUNCTION("GOOGLETRANSLATE(I12, ""de"", ""en"")"),"Limit the stroke rate")</f>
        <v>Limit the stroke rate</v>
      </c>
      <c r="E12" s="7" t="str">
        <f>IFERROR(__xludf.DUMMYFUNCTION("GOOGLETRANSLATE(J12, ""de"", ""en"")"),"A quota cap helps rowers to focus on technique and consistency rather than speed.")</f>
        <v>A quota cap helps rowers to focus on technique and consistency rather than speed.</v>
      </c>
      <c r="G12" s="8">
        <v>11.0</v>
      </c>
      <c r="H12" s="7" t="s">
        <v>61</v>
      </c>
      <c r="I12" s="7" t="s">
        <v>62</v>
      </c>
      <c r="J12" s="7" t="s">
        <v>63</v>
      </c>
      <c r="K12" s="9" t="s">
        <v>64</v>
      </c>
      <c r="Q12" s="6"/>
      <c r="R12" s="6"/>
      <c r="S12" s="6"/>
    </row>
    <row r="13" ht="22.5" customHeight="1">
      <c r="A13" s="7" t="str">
        <f>IFERROR(__xludf.DUMMYFUNCTION("GOOGLETRANSLATE(G13, ""de"", ""en"")"),"12")</f>
        <v>12</v>
      </c>
      <c r="B13" s="7" t="str">
        <f>IFERROR(__xludf.DUMMYFUNCTION("GOOGLETRANSLATE(H13, ""de"", ""en"")"),"During training, blisters form on a rower's hands. How can this be prevented?")</f>
        <v>During training, blisters form on a rower's hands. How can this be prevented?</v>
      </c>
      <c r="C13" s="7" t="s">
        <v>65</v>
      </c>
      <c r="D13" s="7" t="str">
        <f>IFERROR(__xludf.DUMMYFUNCTION("GOOGLETRANSLATE(I13, ""de"", ""en"")"),"Use the correct grip technique")</f>
        <v>Use the correct grip technique</v>
      </c>
      <c r="E13" s="7" t="str">
        <f>IFERROR(__xludf.DUMMYFUNCTION("GOOGLETRANSLATE(J13, ""de"", ""en"")"),"Maintaining the correct grip reduces friction and prevents blisters.")</f>
        <v>Maintaining the correct grip reduces friction and prevents blisters.</v>
      </c>
      <c r="G13" s="8">
        <v>12.0</v>
      </c>
      <c r="H13" s="7" t="s">
        <v>66</v>
      </c>
      <c r="I13" s="7" t="s">
        <v>67</v>
      </c>
      <c r="J13" s="7" t="s">
        <v>68</v>
      </c>
      <c r="K13" s="9" t="s">
        <v>69</v>
      </c>
      <c r="Q13" s="6"/>
      <c r="R13" s="6"/>
      <c r="S13" s="6"/>
    </row>
    <row r="14" ht="22.5" customHeight="1">
      <c r="A14" s="7" t="str">
        <f>IFERROR(__xludf.DUMMYFUNCTION("GOOGLETRANSLATE(G14, ""de"", ""en"")"),"13")</f>
        <v>13</v>
      </c>
      <c r="B14" s="7" t="str">
        <f>IFERROR(__xludf.DUMMYFUNCTION("GOOGLETRANSLATE(H14, ""de"", ""en"")"),"During a sprint race, a rower might feel out of sync with the team. What should they focus on?")</f>
        <v>During a sprint race, a rower might feel out of sync with the team. What should they focus on?</v>
      </c>
      <c r="C14" s="7" t="s">
        <v>70</v>
      </c>
      <c r="D14" s="7" t="str">
        <f>IFERROR(__xludf.DUMMYFUNCTION("GOOGLETRANSLATE(I14, ""de"", ""en"")"),"timing")</f>
        <v>timing</v>
      </c>
      <c r="E14" s="7" t="str">
        <f>IFERROR(__xludf.DUMMYFUNCTION("GOOGLETRANSLATE(J14, ""de"", ""en"")"),"Timing is important to maintain synchronization during a sprint race.")</f>
        <v>Timing is important to maintain synchronization during a sprint race.</v>
      </c>
      <c r="G14" s="8">
        <v>13.0</v>
      </c>
      <c r="H14" s="7" t="s">
        <v>71</v>
      </c>
      <c r="I14" s="7" t="s">
        <v>72</v>
      </c>
      <c r="J14" s="7" t="s">
        <v>73</v>
      </c>
      <c r="K14" s="9" t="s">
        <v>74</v>
      </c>
      <c r="Q14" s="6"/>
      <c r="R14" s="6"/>
      <c r="S14" s="6"/>
    </row>
    <row r="15" ht="22.5" customHeight="1">
      <c r="A15" s="7" t="str">
        <f>IFERROR(__xludf.DUMMYFUNCTION("GOOGLETRANSLATE(G15, ""de"", ""en"")"),"14")</f>
        <v>14</v>
      </c>
      <c r="B15" s="7" t="str">
        <f>IFERROR(__xludf.DUMMYFUNCTION("GOOGLETRANSLATE(H15, ""de"", ""en"")"),"What is the decisive factor in determining the winner of a rowing race?")</f>
        <v>What is the decisive factor in determining the winner of a rowing race?</v>
      </c>
      <c r="C15" s="7" t="s">
        <v>75</v>
      </c>
      <c r="D15" s="7" t="str">
        <f>IFERROR(__xludf.DUMMYFUNCTION("GOOGLETRANSLATE(I15, ""de"", ""en"")"),"Time required")</f>
        <v>Time required</v>
      </c>
      <c r="E15" s="7" t="str">
        <f>IFERROR(__xludf.DUMMYFUNCTION("GOOGLETRANSLATE(J15, ""de"", ""en"")"),"The winner will be determined based on the time required to complete the course.")</f>
        <v>The winner will be determined based on the time required to complete the course.</v>
      </c>
      <c r="G15" s="8">
        <v>14.0</v>
      </c>
      <c r="H15" s="7" t="s">
        <v>76</v>
      </c>
      <c r="I15" s="7" t="s">
        <v>77</v>
      </c>
      <c r="J15" s="7" t="s">
        <v>78</v>
      </c>
      <c r="K15" s="9" t="s">
        <v>79</v>
      </c>
      <c r="Q15" s="6"/>
      <c r="R15" s="6"/>
      <c r="S15" s="6"/>
    </row>
    <row r="16" ht="22.5" customHeight="1">
      <c r="A16" s="7" t="str">
        <f>IFERROR(__xludf.DUMMYFUNCTION("GOOGLETRANSLATE(G16, ""de"", ""en"")"),"15")</f>
        <v>15</v>
      </c>
      <c r="B16" s="7" t="str">
        <f>IFERROR(__xludf.DUMMYFUNCTION("GOOGLETRANSLATE(H16, ""de"", ""en"")"),"What does the term ""catching"" refer to in a rowing boat?")</f>
        <v>What does the term "catching" refer to in a rowing boat?</v>
      </c>
      <c r="C16" s="7" t="s">
        <v>80</v>
      </c>
      <c r="D16" s="7" t="str">
        <f>IFERROR(__xludf.DUMMYFUNCTION("GOOGLETRANSLATE(I16, ""de"", ""en"")"),"Onset of the stroke")</f>
        <v>Onset of the stroke</v>
      </c>
      <c r="E16" s="7" t="str">
        <f>IFERROR(__xludf.DUMMYFUNCTION("GOOGLETRANSLATE(J16, ""de"", ""en"")"),"The ""catch"" is the moment when the oar blade dips into the water at the beginning of the rowing stroke.")</f>
        <v>The "catch" is the moment when the oar blade dips into the water at the beginning of the rowing stroke.</v>
      </c>
      <c r="G16" s="8">
        <v>15.0</v>
      </c>
      <c r="H16" s="7" t="s">
        <v>81</v>
      </c>
      <c r="I16" s="7" t="s">
        <v>82</v>
      </c>
      <c r="J16" s="7" t="s">
        <v>83</v>
      </c>
      <c r="K16" s="9" t="s">
        <v>84</v>
      </c>
      <c r="Q16" s="6"/>
      <c r="R16" s="6"/>
      <c r="S16" s="6"/>
    </row>
    <row r="17" ht="22.5" customHeight="1">
      <c r="A17" s="7" t="str">
        <f>IFERROR(__xludf.DUMMYFUNCTION("GOOGLETRANSLATE(G17, ""de"", ""en"")"),"16")</f>
        <v>16</v>
      </c>
      <c r="B17" s="7" t="str">
        <f>IFERROR(__xludf.DUMMYFUNCTION("GOOGLETRANSLATE(H17, ""de"", ""en"")"),"A rower is struggling to maintain their balance. What should they focus on?")</f>
        <v>A rower is struggling to maintain their balance. What should they focus on?</v>
      </c>
      <c r="C17" s="7" t="s">
        <v>85</v>
      </c>
      <c r="D17" s="7" t="str">
        <f>IFERROR(__xludf.DUMMYFUNCTION("GOOGLETRANSLATE(I17, ""de"", ""en"")"),"Core strength")</f>
        <v>Core strength</v>
      </c>
      <c r="E17" s="7" t="str">
        <f>IFERROR(__xludf.DUMMYFUNCTION("GOOGLETRANSLATE(J17, ""de"", ""en"")"),"The core muscles are crucial for maintaining balance and stability in a rowing boat.")</f>
        <v>The core muscles are crucial for maintaining balance and stability in a rowing boat.</v>
      </c>
      <c r="G17" s="8">
        <v>16.0</v>
      </c>
      <c r="H17" s="7" t="s">
        <v>86</v>
      </c>
      <c r="I17" s="7" t="s">
        <v>87</v>
      </c>
      <c r="J17" s="7" t="s">
        <v>88</v>
      </c>
      <c r="K17" s="9" t="s">
        <v>89</v>
      </c>
      <c r="Q17" s="6"/>
      <c r="R17" s="6"/>
      <c r="S17" s="6"/>
    </row>
    <row r="18" ht="22.5" customHeight="1">
      <c r="A18" s="7" t="str">
        <f>IFERROR(__xludf.DUMMYFUNCTION("GOOGLETRANSLATE(G18, ""de"", ""en"")"),"17")</f>
        <v>17</v>
      </c>
      <c r="B18" s="7" t="str">
        <f>IFERROR(__xludf.DUMMYFUNCTION("GOOGLETRANSLATE(H18, ""de"", ""en"")"),"What is the significance of the rowing seat in a rowing boat?")</f>
        <v>What is the significance of the rowing seat in a rowing boat?</v>
      </c>
      <c r="C18" s="7" t="s">
        <v>90</v>
      </c>
      <c r="D18" s="7" t="str">
        <f>IFERROR(__xludf.DUMMYFUNCTION("GOOGLETRANSLATE(I18, ""de"", ""en"")"),"Set the pace")</f>
        <v>Set the pace</v>
      </c>
      <c r="E18" s="7" t="str">
        <f>IFERROR(__xludf.DUMMYFUNCTION("GOOGLETRANSLATE(J18, ""de"", ""en"")"),"The beat seat sets the rhythm and pace for the rest of the crew.")</f>
        <v>The beat seat sets the rhythm and pace for the rest of the crew.</v>
      </c>
      <c r="G18" s="8">
        <v>17.0</v>
      </c>
      <c r="H18" s="7" t="s">
        <v>91</v>
      </c>
      <c r="I18" s="7" t="s">
        <v>92</v>
      </c>
      <c r="J18" s="7" t="s">
        <v>93</v>
      </c>
      <c r="K18" s="9" t="s">
        <v>94</v>
      </c>
      <c r="Q18" s="6"/>
      <c r="R18" s="6"/>
      <c r="S18" s="6"/>
    </row>
    <row r="19" ht="22.5" customHeight="1">
      <c r="A19" s="7" t="str">
        <f>IFERROR(__xludf.DUMMYFUNCTION("GOOGLETRANSLATE(G19, ""de"", ""en"")"),"18")</f>
        <v>18</v>
      </c>
      <c r="B19" s="7" t="str">
        <f>IFERROR(__xludf.DUMMYFUNCTION("GOOGLETRANSLATE(H19, ""de"", ""en"")"),"How many oars does each rower use when sculling?")</f>
        <v>How many oars does each rower use when sculling?</v>
      </c>
      <c r="C19" s="7" t="s">
        <v>95</v>
      </c>
      <c r="D19" s="7" t="str">
        <f>IFERROR(__xludf.DUMMYFUNCTION("GOOGLETRANSLATE(I19, ""de"", ""en"")"),"Two")</f>
        <v>Two</v>
      </c>
      <c r="E19" s="7" t="str">
        <f>IFERROR(__xludf.DUMMYFUNCTION("GOOGLETRANSLATE(J19, ""de"", ""en"")"),"In sculling, each rower uses two oars, one in each hand.")</f>
        <v>In sculling, each rower uses two oars, one in each hand.</v>
      </c>
      <c r="G19" s="8">
        <v>18.0</v>
      </c>
      <c r="H19" s="7" t="s">
        <v>96</v>
      </c>
      <c r="I19" s="7" t="s">
        <v>97</v>
      </c>
      <c r="J19" s="7" t="s">
        <v>98</v>
      </c>
      <c r="K19" s="9" t="s">
        <v>99</v>
      </c>
      <c r="Q19" s="6"/>
      <c r="R19" s="6"/>
      <c r="S19" s="6"/>
    </row>
    <row r="20" ht="22.5" customHeight="1">
      <c r="A20" s="7" t="str">
        <f>IFERROR(__xludf.DUMMYFUNCTION("GOOGLETRANSLATE(G20, ""de"", ""en"")"),"19")</f>
        <v>19</v>
      </c>
      <c r="B20" s="7" t="str">
        <f>IFERROR(__xludf.DUMMYFUNCTION("GOOGLETRANSLATE(H20, ""de"", ""en"")"),"What should rowers do if their boat capsizes during a training session?")</f>
        <v>What should rowers do if their boat capsizes during a training session?</v>
      </c>
      <c r="C20" s="7" t="s">
        <v>100</v>
      </c>
      <c r="D20" s="7" t="str">
        <f>IFERROR(__xludf.DUMMYFUNCTION("GOOGLETRANSLATE(I20, ""de"", ""en"")"),"Hold the boat firmly")</f>
        <v>Hold the boat firmly</v>
      </c>
      <c r="E20" s="7" t="str">
        <f>IFERROR(__xludf.DUMMYFUNCTION("GOOGLETRANSLATE(J20, ""de"", ""en"")"),"Holding onto the boat ensures safety and facilitates rescue.")</f>
        <v>Holding onto the boat ensures safety and facilitates rescue.</v>
      </c>
      <c r="G20" s="8">
        <v>19.0</v>
      </c>
      <c r="H20" s="7" t="s">
        <v>101</v>
      </c>
      <c r="I20" s="7" t="s">
        <v>102</v>
      </c>
      <c r="J20" s="7" t="s">
        <v>103</v>
      </c>
      <c r="K20" s="9" t="s">
        <v>104</v>
      </c>
      <c r="Q20" s="6"/>
      <c r="R20" s="6"/>
      <c r="S20" s="6"/>
    </row>
    <row r="21" ht="22.5" customHeight="1">
      <c r="A21" s="7" t="str">
        <f>IFERROR(__xludf.DUMMYFUNCTION("GOOGLETRANSLATE(G21, ""de"", ""en"")"),"20")</f>
        <v>20</v>
      </c>
      <c r="B21" s="7" t="str">
        <f>IFERROR(__xludf.DUMMYFUNCTION("GOOGLETRANSLATE(H21, ""de"", ""en"")"),"How do rowers achieve a smooth transition during the recovery phase?")</f>
        <v>How do rowers achieve a smooth transition during the recovery phase?</v>
      </c>
      <c r="C21" s="7" t="s">
        <v>105</v>
      </c>
      <c r="D21" s="7" t="str">
        <f>IFERROR(__xludf.DUMMYFUNCTION("GOOGLETRANSLATE(I21, ""de"", ""en"")"),"Spring the blade")</f>
        <v>Spring the blade</v>
      </c>
      <c r="E21" s="7" t="str">
        <f>IFERROR(__xludf.DUMMYFUNCTION("GOOGLETRANSLATE(J21, ""de"", ""en"")"),"The blade's spring mechanism minimizes resistance and allows for a smoother recovery.")</f>
        <v>The blade's spring mechanism minimizes resistance and allows for a smoother recovery.</v>
      </c>
      <c r="G21" s="8">
        <v>20.0</v>
      </c>
      <c r="H21" s="7" t="s">
        <v>106</v>
      </c>
      <c r="I21" s="7" t="s">
        <v>107</v>
      </c>
      <c r="J21" s="7" t="s">
        <v>108</v>
      </c>
      <c r="K21" s="9" t="s">
        <v>109</v>
      </c>
      <c r="Q21" s="6"/>
      <c r="R21" s="6"/>
      <c r="S21" s="6"/>
    </row>
    <row r="22" ht="22.5" customHeight="1">
      <c r="A22" s="7" t="str">
        <f>IFERROR(__xludf.DUMMYFUNCTION("GOOGLETRANSLATE(G22, ""de"", ""en"")"),"21")</f>
        <v>21</v>
      </c>
      <c r="B22" s="7" t="str">
        <f>IFERROR(__xludf.DUMMYFUNCTION("GOOGLETRANSLATE(H22, ""de"", ""en"")"),"During a race, the helmsman notices excessive water splashing. What is the likely cause?")</f>
        <v>During a race, the helmsman notices excessive water splashing. What is the likely cause?</v>
      </c>
      <c r="C22" s="7" t="s">
        <v>110</v>
      </c>
      <c r="D22" s="7" t="str">
        <f>IFERROR(__xludf.DUMMYFUNCTION("GOOGLETRANSLATE(I22, ""de"", ""en"")"),"Deep blade catch")</f>
        <v>Deep blade catch</v>
      </c>
      <c r="E22" s="7" t="str">
        <f>IFERROR(__xludf.DUMMYFUNCTION("GOOGLETRANSLATE(J22, ""de"", ""en"")"),"Excessive splashing often occurs because the blade is too deep when catching.")</f>
        <v>Excessive splashing often occurs because the blade is too deep when catching.</v>
      </c>
      <c r="G22" s="8">
        <v>21.0</v>
      </c>
      <c r="H22" s="7" t="s">
        <v>111</v>
      </c>
      <c r="I22" s="7" t="s">
        <v>112</v>
      </c>
      <c r="J22" s="7" t="s">
        <v>113</v>
      </c>
      <c r="K22" s="9" t="s">
        <v>114</v>
      </c>
      <c r="Q22" s="6"/>
      <c r="R22" s="6"/>
      <c r="S22" s="6"/>
    </row>
    <row r="23" ht="22.5" customHeight="1">
      <c r="A23" s="7" t="str">
        <f>IFERROR(__xludf.DUMMYFUNCTION("GOOGLETRANSLATE(G23, ""de"", ""en"")"),"22")</f>
        <v>22</v>
      </c>
      <c r="B23" s="7" t="str">
        <f>IFERROR(__xludf.DUMMYFUNCTION("GOOGLETRANSLATE(H23, ""de"", ""en"")"),"An inexperienced rower is not capable of completing long-distance rowing. What should they improve?")</f>
        <v>An inexperienced rower is not capable of completing long-distance rowing. What should they improve?</v>
      </c>
      <c r="C23" s="7" t="s">
        <v>115</v>
      </c>
      <c r="D23" s="7" t="str">
        <f>IFERROR(__xludf.DUMMYFUNCTION("GOOGLETRANSLATE(I23, ""de"", ""en"")"),"Endurance")</f>
        <v>Endurance</v>
      </c>
      <c r="E23" s="7" t="str">
        <f>IFERROR(__xludf.DUMMYFUNCTION("GOOGLETRANSLATE(J23, ""de"", ""en"")"),"Building endurance is essential for completing long-distance rowing sessions.")</f>
        <v>Building endurance is essential for completing long-distance rowing sessions.</v>
      </c>
      <c r="G23" s="8">
        <v>22.0</v>
      </c>
      <c r="H23" s="7" t="s">
        <v>116</v>
      </c>
      <c r="I23" s="7" t="s">
        <v>117</v>
      </c>
      <c r="J23" s="7" t="s">
        <v>118</v>
      </c>
      <c r="K23" s="9" t="s">
        <v>119</v>
      </c>
      <c r="Q23" s="6"/>
      <c r="R23" s="6"/>
      <c r="S23" s="6"/>
    </row>
    <row r="24" ht="22.5" customHeight="1">
      <c r="A24" s="7" t="str">
        <f>IFERROR(__xludf.DUMMYFUNCTION("GOOGLETRANSLATE(G24, ""de"", ""en"")"),"23")</f>
        <v>23</v>
      </c>
      <c r="B24" s="7" t="str">
        <f>IFERROR(__xludf.DUMMYFUNCTION("GOOGLETRANSLATE(H24, ""de"", ""en"")"),"What does the term ""check"" refer to in rowing?")</f>
        <v>What does the term "check" refer to in rowing?</v>
      </c>
      <c r="C24" s="7" t="s">
        <v>120</v>
      </c>
      <c r="D24" s="7" t="str">
        <f>IFERROR(__xludf.DUMMYFUNCTION("GOOGLETRANSLATE(I24, ""de"", ""en"")"),"Disrupted momentum")</f>
        <v>Disrupted momentum</v>
      </c>
      <c r="E24" s="7" t="str">
        <f>IFERROR(__xludf.DUMMYFUNCTION("GOOGLETRANSLATE(J24, ""de"", ""en"")"),"""Check"" refers to a disrupted dynamic caused by poor technique or poor balance.")</f>
        <v>"Check" refers to a disrupted dynamic caused by poor technique or poor balance.</v>
      </c>
      <c r="G24" s="8">
        <v>23.0</v>
      </c>
      <c r="H24" s="7" t="s">
        <v>121</v>
      </c>
      <c r="I24" s="7" t="s">
        <v>122</v>
      </c>
      <c r="J24" s="7" t="s">
        <v>123</v>
      </c>
      <c r="K24" s="9" t="s">
        <v>124</v>
      </c>
      <c r="Q24" s="6"/>
      <c r="R24" s="6"/>
      <c r="S24" s="6"/>
    </row>
    <row r="25" ht="22.5" customHeight="1">
      <c r="A25" s="7" t="str">
        <f>IFERROR(__xludf.DUMMYFUNCTION("GOOGLETRANSLATE(G25, ""de"", ""en"")"),"24")</f>
        <v>24</v>
      </c>
      <c r="B25" s="7" t="str">
        <f>IFERROR(__xludf.DUMMYFUNCTION("GOOGLETRANSLATE(H25, ""de"", ""en"")"),"What is the correct body position at the ""end"" of an oar stroke?")</f>
        <v>What is the correct body position at the "end" of an oar stroke?</v>
      </c>
      <c r="C25" s="7" t="s">
        <v>125</v>
      </c>
      <c r="D25" s="7" t="str">
        <f>IFERROR(__xludf.DUMMYFUNCTION("GOOGLETRANSLATE(I25, ""de"", ""en"")"),"Lean back slightly")</f>
        <v>Lean back slightly</v>
      </c>
      <c r="E25" s="7" t="str">
        <f>IFERROR(__xludf.DUMMYFUNCTION("GOOGLETRANSLATE(J25, ""de"", ""en"")"),"At the ""finish line"", the rowers lean back slightly and hold the oar handle close to their body.")</f>
        <v>At the "finish line", the rowers lean back slightly and hold the oar handle close to their body.</v>
      </c>
      <c r="G25" s="8">
        <v>24.0</v>
      </c>
      <c r="H25" s="7" t="s">
        <v>126</v>
      </c>
      <c r="I25" s="7" t="s">
        <v>127</v>
      </c>
      <c r="J25" s="7" t="s">
        <v>128</v>
      </c>
      <c r="K25" s="9" t="s">
        <v>129</v>
      </c>
      <c r="Q25" s="6"/>
      <c r="R25" s="6"/>
      <c r="S25" s="6"/>
    </row>
    <row r="26" ht="22.5" customHeight="1">
      <c r="A26" s="7" t="str">
        <f>IFERROR(__xludf.DUMMYFUNCTION("GOOGLETRANSLATE(G26, ""de"", ""en"")"),"25")</f>
        <v>25</v>
      </c>
      <c r="B26" s="7" t="str">
        <f>IFERROR(__xludf.DUMMYFUNCTION("GOOGLETRANSLATE(H26, ""de"", ""en"")"),"A rowing coach requires ""square oar blades"". What does that mean?")</f>
        <v>A rowing coach requires "square oar blades". What does that mean?</v>
      </c>
      <c r="C26" s="7" t="s">
        <v>130</v>
      </c>
      <c r="D26" s="7" t="str">
        <f>IFERROR(__xludf.DUMMYFUNCTION("GOOGLETRANSLATE(I26, ""de"", ""en"")"),"Hold the blades vertically.")</f>
        <v>Hold the blades vertically.</v>
      </c>
      <c r="E26" s="7" t="str">
        <f>IFERROR(__xludf.DUMMYFUNCTION("GOOGLETRANSLATE(J26, ""de"", ""en"")"),"“Square blades” means that the oar blades remain perpendicular to the water during the rowing stroke.")</f>
        <v>“Square blades” means that the oar blades remain perpendicular to the water during the rowing stroke.</v>
      </c>
      <c r="G26" s="8">
        <v>25.0</v>
      </c>
      <c r="H26" s="7" t="s">
        <v>131</v>
      </c>
      <c r="I26" s="7" t="s">
        <v>132</v>
      </c>
      <c r="J26" s="7" t="s">
        <v>133</v>
      </c>
      <c r="K26" s="9" t="s">
        <v>134</v>
      </c>
      <c r="Q26" s="6"/>
      <c r="R26" s="6"/>
      <c r="S26" s="6"/>
    </row>
    <row r="27" ht="22.5" customHeight="1">
      <c r="A27" s="7" t="str">
        <f>IFERROR(__xludf.DUMMYFUNCTION("GOOGLETRANSLATE(G27, ""de"", ""en"")"),"26")</f>
        <v>26</v>
      </c>
      <c r="B27" s="7" t="str">
        <f>IFERROR(__xludf.DUMMYFUNCTION("GOOGLETRANSLATE(H27, ""de"", ""en"")"),"Which environmental factor has the greatest influence on the speed of a rowing boat?")</f>
        <v>Which environmental factor has the greatest influence on the speed of a rowing boat?</v>
      </c>
      <c r="C27" s="7" t="s">
        <v>135</v>
      </c>
      <c r="D27" s="7" t="str">
        <f>IFERROR(__xludf.DUMMYFUNCTION("GOOGLETRANSLATE(I27, ""de"", ""en"")"),"wind")</f>
        <v>wind</v>
      </c>
      <c r="E27" s="7" t="str">
        <f>IFERROR(__xludf.DUMMYFUNCTION("GOOGLETRANSLATE(J27, ""de"", ""en"")"),"Wind significantly affects rowing speed, especially in outdoor races.")</f>
        <v>Wind significantly affects rowing speed, especially in outdoor races.</v>
      </c>
      <c r="G27" s="8">
        <v>26.0</v>
      </c>
      <c r="H27" s="7" t="s">
        <v>136</v>
      </c>
      <c r="I27" s="7" t="s">
        <v>137</v>
      </c>
      <c r="J27" s="7" t="s">
        <v>138</v>
      </c>
      <c r="K27" s="9" t="s">
        <v>139</v>
      </c>
      <c r="Q27" s="6"/>
      <c r="R27" s="6"/>
      <c r="S27" s="6"/>
    </row>
    <row r="28" ht="22.5" customHeight="1">
      <c r="A28" s="7" t="str">
        <f>IFERROR(__xludf.DUMMYFUNCTION("GOOGLETRANSLATE(G28, ""de"", ""en"")"),"27")</f>
        <v>27</v>
      </c>
      <c r="B28" s="7" t="str">
        <f>IFERROR(__xludf.DUMMYFUNCTION("GOOGLETRANSLATE(H28, ""de"", ""en"")"),"What is the purpose of a ""resistance factor"" in indoor rowing machines?")</f>
        <v>What is the purpose of a "resistance factor" in indoor rowing machines?</v>
      </c>
      <c r="C28" s="7" t="s">
        <v>140</v>
      </c>
      <c r="D28" s="7" t="str">
        <f>IFERROR(__xludf.DUMMYFUNCTION("GOOGLETRANSLATE(I28, ""de"", ""en"")"),"Adjust resistance")</f>
        <v>Adjust resistance</v>
      </c>
      <c r="E28" s="7" t="str">
        <f>IFERROR(__xludf.DUMMYFUNCTION("GOOGLETRANSLATE(J28, ""de"", ""en"")"),"The resistance factor adjusts the resistance of indoor rowing machines to the water conditions.")</f>
        <v>The resistance factor adjusts the resistance of indoor rowing machines to the water conditions.</v>
      </c>
      <c r="G28" s="8">
        <v>27.0</v>
      </c>
      <c r="H28" s="7" t="s">
        <v>141</v>
      </c>
      <c r="I28" s="7" t="s">
        <v>142</v>
      </c>
      <c r="J28" s="7" t="s">
        <v>143</v>
      </c>
      <c r="K28" s="9" t="s">
        <v>144</v>
      </c>
      <c r="Q28" s="6"/>
      <c r="R28" s="6"/>
      <c r="S28" s="6"/>
    </row>
    <row r="29" ht="22.5" customHeight="1">
      <c r="A29" s="7" t="str">
        <f>IFERROR(__xludf.DUMMYFUNCTION("GOOGLETRANSLATE(G29, ""de"", ""en"")"),"28")</f>
        <v>28</v>
      </c>
      <c r="B29" s="7" t="str">
        <f>IFERROR(__xludf.DUMMYFUNCTION("GOOGLETRANSLATE(H29, ""de"", ""en"")"),"During a rowing race, a crew notices that their boat is unevenly sitting in the water. What should they do?")</f>
        <v>During a rowing race, a crew notices that their boat is unevenly sitting in the water. What should they do?</v>
      </c>
      <c r="C29" s="7" t="s">
        <v>145</v>
      </c>
      <c r="D29" s="7" t="str">
        <f>IFERROR(__xludf.DUMMYFUNCTION("GOOGLETRANSLATE(I29, ""de"", ""en"")"),"Adjust balance")</f>
        <v>Adjust balance</v>
      </c>
      <c r="E29" s="7" t="str">
        <f>IFERROR(__xludf.DUMMYFUNCTION("GOOGLETRANSLATE(J29, ""de"", ""en"")"),"Uneven sitting often indicates a balance problem that needs to be corrected immediately.")</f>
        <v>Uneven sitting often indicates a balance problem that needs to be corrected immediately.</v>
      </c>
      <c r="G29" s="8">
        <v>28.0</v>
      </c>
      <c r="H29" s="7" t="s">
        <v>146</v>
      </c>
      <c r="I29" s="7" t="s">
        <v>147</v>
      </c>
      <c r="J29" s="7" t="s">
        <v>148</v>
      </c>
      <c r="K29" s="9" t="s">
        <v>149</v>
      </c>
      <c r="Q29" s="6"/>
      <c r="R29" s="6"/>
      <c r="S29" s="6"/>
    </row>
    <row r="30" ht="22.5" customHeight="1">
      <c r="A30" s="7" t="str">
        <f>IFERROR(__xludf.DUMMYFUNCTION("GOOGLETRANSLATE(G30, ""de"", ""en"")"),"29")</f>
        <v>29</v>
      </c>
      <c r="B30" s="7" t="str">
        <f>IFERROR(__xludf.DUMMYFUNCTION("GOOGLETRANSLATE(H30, ""de"", ""en"")"),"What safety equipment is mandatory when rowing in open water?")</f>
        <v>What safety equipment is mandatory when rowing in open water?</v>
      </c>
      <c r="C30" s="7" t="s">
        <v>150</v>
      </c>
      <c r="D30" s="7" t="str">
        <f>IFERROR(__xludf.DUMMYFUNCTION("GOOGLETRANSLATE(I30, ""de"", ""en"")"),"life jacket")</f>
        <v>life jacket</v>
      </c>
      <c r="E30" s="7" t="str">
        <f>IFERROR(__xludf.DUMMYFUNCTION("GOOGLETRANSLATE(J30, ""de"", ""en"")"),"For safety reasons, life jackets are mandatory when rowing in open water.")</f>
        <v>For safety reasons, life jackets are mandatory when rowing in open water.</v>
      </c>
      <c r="G30" s="8">
        <v>29.0</v>
      </c>
      <c r="H30" s="7" t="s">
        <v>151</v>
      </c>
      <c r="I30" s="7" t="s">
        <v>152</v>
      </c>
      <c r="J30" s="7" t="s">
        <v>153</v>
      </c>
      <c r="K30" s="9" t="s">
        <v>154</v>
      </c>
      <c r="Q30" s="6"/>
      <c r="R30" s="6"/>
      <c r="S30" s="6"/>
    </row>
    <row r="31" ht="22.5" customHeight="1">
      <c r="A31" s="7" t="str">
        <f>IFERROR(__xludf.DUMMYFUNCTION("GOOGLETRANSLATE(G31, ""de"", ""en"")"),"30")</f>
        <v>30</v>
      </c>
      <c r="B31" s="7" t="str">
        <f>IFERROR(__xludf.DUMMYFUNCTION("GOOGLETRANSLATE(H31, ""de"", ""en"")"),"A rower experiences lower back pain after training. What is the most likely cause?")</f>
        <v>A rower experiences lower back pain after training. What is the most likely cause?</v>
      </c>
      <c r="C31" s="7" t="s">
        <v>155</v>
      </c>
      <c r="D31" s="7" t="str">
        <f>IFERROR(__xludf.DUMMYFUNCTION("GOOGLETRANSLATE(I31, ""de"", ""en"")"),"Poor technique")</f>
        <v>Poor technique</v>
      </c>
      <c r="E31" s="7" t="str">
        <f>IFERROR(__xludf.DUMMYFUNCTION("GOOGLETRANSLATE(J31, ""de"", ""en"")"),"Poor rowing technique, such as incorrect posture, can lead to pain in the lower back.")</f>
        <v>Poor rowing technique, such as incorrect posture, can lead to pain in the lower back.</v>
      </c>
      <c r="G31" s="8">
        <v>30.0</v>
      </c>
      <c r="H31" s="7" t="s">
        <v>156</v>
      </c>
      <c r="I31" s="7" t="s">
        <v>157</v>
      </c>
      <c r="J31" s="7" t="s">
        <v>158</v>
      </c>
      <c r="K31" s="9" t="s">
        <v>159</v>
      </c>
      <c r="Q31" s="6"/>
      <c r="R31" s="6"/>
      <c r="S31" s="6"/>
    </row>
    <row r="32" ht="22.5" customHeight="1">
      <c r="A32" s="7" t="str">
        <f>IFERROR(__xludf.DUMMYFUNCTION("GOOGLETRANSLATE(G32, ""de"", ""en"")"),"31")</f>
        <v>31</v>
      </c>
      <c r="B32" s="7" t="str">
        <f>IFERROR(__xludf.DUMMYFUNCTION("GOOGLETRANSLATE(H32, ""de"", ""en"")"),"How should a rower prepare for a competition at high altitude?")</f>
        <v>How should a rower prepare for a competition at high altitude?</v>
      </c>
      <c r="C32" s="7" t="s">
        <v>160</v>
      </c>
      <c r="D32" s="7" t="str">
        <f>IFERROR(__xludf.DUMMYFUNCTION("GOOGLETRANSLATE(I32, ""de"", ""en"")"),"Practice under low-oxygen conditions")</f>
        <v>Practice under low-oxygen conditions</v>
      </c>
      <c r="E32" s="7" t="str">
        <f>IFERROR(__xludf.DUMMYFUNCTION("GOOGLETRANSLATE(J32, ""de"", ""en"")"),"Training in low-oxygen environments helps rowers adapt to high-altitude conditions.")</f>
        <v>Training in low-oxygen environments helps rowers adapt to high-altitude conditions.</v>
      </c>
      <c r="G32" s="8">
        <v>31.0</v>
      </c>
      <c r="H32" s="7" t="s">
        <v>161</v>
      </c>
      <c r="I32" s="7" t="s">
        <v>162</v>
      </c>
      <c r="J32" s="7" t="s">
        <v>163</v>
      </c>
      <c r="K32" s="9" t="s">
        <v>164</v>
      </c>
      <c r="Q32" s="6"/>
      <c r="R32" s="6"/>
      <c r="S32" s="6"/>
    </row>
    <row r="33" ht="22.5" customHeight="1">
      <c r="A33" s="7" t="str">
        <f>IFERROR(__xludf.DUMMYFUNCTION("GOOGLETRANSLATE(G33, ""de"", ""en"")"),"32")</f>
        <v>32</v>
      </c>
      <c r="B33" s="7" t="str">
        <f>IFERROR(__xludf.DUMMYFUNCTION("GOOGLETRANSLATE(H33, ""de"", ""en"")"),"What does ""layback"" mean in rowing?")</f>
        <v>What does "layback" mean in rowing?</v>
      </c>
      <c r="C33" s="7" t="s">
        <v>165</v>
      </c>
      <c r="D33" s="7" t="str">
        <f>IFERROR(__xludf.DUMMYFUNCTION("GOOGLETRANSLATE(I33, ""de"", ""en"")"),"Lean back at the finish line")</f>
        <v>Lean back at the finish line</v>
      </c>
      <c r="E33" s="7" t="str">
        <f>IFERROR(__xludf.DUMMYFUNCTION("GOOGLETRANSLATE(J33, ""de"", ""en"")"),"""Layback"" describes the slight backward tilt at the end of the stroke to maximize power.")</f>
        <v>"Layback" describes the slight backward tilt at the end of the stroke to maximize power.</v>
      </c>
      <c r="G33" s="8">
        <v>32.0</v>
      </c>
      <c r="H33" s="7" t="s">
        <v>166</v>
      </c>
      <c r="I33" s="7" t="s">
        <v>167</v>
      </c>
      <c r="J33" s="7" t="s">
        <v>168</v>
      </c>
      <c r="K33" s="9" t="s">
        <v>169</v>
      </c>
      <c r="Q33" s="6"/>
      <c r="R33" s="6"/>
      <c r="S33" s="6"/>
    </row>
    <row r="34" ht="22.5" customHeight="1">
      <c r="A34" s="7" t="str">
        <f>IFERROR(__xludf.DUMMYFUNCTION("GOOGLETRANSLATE(G34, ""de"", ""en"")"),"33")</f>
        <v>33</v>
      </c>
      <c r="B34" s="7" t="str">
        <f>IFERROR(__xludf.DUMMYFUNCTION("GOOGLETRANSLATE(H34, ""de"", ""en"")"),"What is the ideal stroke rate for a long-distance rowing race?")</f>
        <v>What is the ideal stroke rate for a long-distance rowing race?</v>
      </c>
      <c r="C34" s="7" t="s">
        <v>170</v>
      </c>
      <c r="D34" s="7" t="str">
        <f>IFERROR(__xludf.DUMMYFUNCTION("GOOGLETRANSLATE(I34, ""de"", ""en"")"),"20–22 strokes per minute")</f>
        <v>20–22 strokes per minute</v>
      </c>
      <c r="E34" s="7" t="str">
        <f>IFERROR(__xludf.DUMMYFUNCTION("GOOGLETRANSLATE(J34, ""de"", ""en"")"),"A constant stroke rate of 20-22 is ideal for long-distance races to maintain endurance.")</f>
        <v>A constant stroke rate of 20-22 is ideal for long-distance races to maintain endurance.</v>
      </c>
      <c r="G34" s="8">
        <v>33.0</v>
      </c>
      <c r="H34" s="7" t="s">
        <v>171</v>
      </c>
      <c r="I34" s="7" t="s">
        <v>172</v>
      </c>
      <c r="J34" s="7" t="s">
        <v>173</v>
      </c>
      <c r="K34" s="9" t="s">
        <v>174</v>
      </c>
      <c r="Q34" s="6"/>
      <c r="R34" s="6"/>
      <c r="S34" s="6"/>
    </row>
    <row r="35" ht="22.5" customHeight="1">
      <c r="A35" s="7" t="str">
        <f>IFERROR(__xludf.DUMMYFUNCTION("GOOGLETRANSLATE(G35, ""de"", ""en"")"),"34")</f>
        <v>34</v>
      </c>
      <c r="B35" s="7" t="str">
        <f>IFERROR(__xludf.DUMMYFUNCTION("GOOGLETRANSLATE(H35, ""de"", ""en"")"),"A rower notices that his grip is inconsistent. What should he focus on?")</f>
        <v>A rower notices that his grip is inconsistent. What should he focus on?</v>
      </c>
      <c r="C35" s="7" t="s">
        <v>175</v>
      </c>
      <c r="D35" s="7" t="str">
        <f>IFERROR(__xludf.DUMMYFUNCTION("GOOGLETRANSLATE(I35, ""de"", ""en"")"),"beat sequence")</f>
        <v>beat sequence</v>
      </c>
      <c r="E35" s="7" t="str">
        <f>IFERROR(__xludf.DUMMYFUNCTION("GOOGLETRANSLATE(J35, ""de"", ""en"")"),"Following a consistent stroke sequence improves grip movement.")</f>
        <v>Following a consistent stroke sequence improves grip movement.</v>
      </c>
      <c r="G35" s="8">
        <v>34.0</v>
      </c>
      <c r="H35" s="7" t="s">
        <v>176</v>
      </c>
      <c r="I35" s="7" t="s">
        <v>177</v>
      </c>
      <c r="J35" s="7" t="s">
        <v>178</v>
      </c>
      <c r="K35" s="9" t="s">
        <v>179</v>
      </c>
      <c r="Q35" s="6"/>
      <c r="R35" s="6"/>
      <c r="S35" s="6"/>
    </row>
    <row r="36" ht="22.5" customHeight="1">
      <c r="A36" s="7" t="str">
        <f>IFERROR(__xludf.DUMMYFUNCTION("GOOGLETRANSLATE(G36, ""de"", ""en"")"),"35")</f>
        <v>35</v>
      </c>
      <c r="B36" s="7" t="str">
        <f>IFERROR(__xludf.DUMMYFUNCTION("GOOGLETRANSLATE(H36, ""de"", ""en"")"),"What is the purpose of ""catching exercises"" during training?")</f>
        <v>What is the purpose of "catching exercises" during training?</v>
      </c>
      <c r="C36" s="7" t="s">
        <v>180</v>
      </c>
      <c r="D36" s="7" t="str">
        <f>IFERROR(__xludf.DUMMYFUNCTION("GOOGLETRANSLATE(I36, ""de"", ""en"")"),"Improve your timing")</f>
        <v>Improve your timing</v>
      </c>
      <c r="E36" s="7" t="str">
        <f>IFERROR(__xludf.DUMMYFUNCTION("GOOGLETRANSLATE(J36, ""de"", ""en"")"),"Catching drills are intended to help rowers perfect their timing at the beginning of the rowing stroke.")</f>
        <v>Catching drills are intended to help rowers perfect their timing at the beginning of the rowing stroke.</v>
      </c>
      <c r="G36" s="8">
        <v>35.0</v>
      </c>
      <c r="H36" s="7" t="s">
        <v>181</v>
      </c>
      <c r="I36" s="7" t="s">
        <v>182</v>
      </c>
      <c r="J36" s="7" t="s">
        <v>183</v>
      </c>
      <c r="K36" s="9" t="s">
        <v>184</v>
      </c>
      <c r="Q36" s="6"/>
      <c r="R36" s="6"/>
      <c r="S36" s="6"/>
    </row>
    <row r="37" ht="22.5" customHeight="1">
      <c r="A37" s="7" t="str">
        <f>IFERROR(__xludf.DUMMYFUNCTION("GOOGLETRANSLATE(G37, ""de"", ""en"")"),"36")</f>
        <v>36</v>
      </c>
      <c r="B37" s="7" t="str">
        <f>IFERROR(__xludf.DUMMYFUNCTION("GOOGLETRANSLATE(H37, ""de"", ""en"")"),"What happens when rowing if one oar penetrates deeper into the water than the other?")</f>
        <v>What happens when rowing if one oar penetrates deeper into the water than the other?</v>
      </c>
      <c r="C37" s="7" t="s">
        <v>185</v>
      </c>
      <c r="D37" s="7" t="str">
        <f>IFERROR(__xludf.DUMMYFUNCTION("GOOGLETRANSLATE(I37, ""de"", ""en"")"),"boat imbalance")</f>
        <v>boat imbalance</v>
      </c>
      <c r="E37" s="7" t="str">
        <f>IFERROR(__xludf.DUMMYFUNCTION("GOOGLETRANSLATE(J37, ""de"", ""en"")"),"Uneven rudder depth can cause the boat to capsize and become unbalanced.")</f>
        <v>Uneven rudder depth can cause the boat to capsize and become unbalanced.</v>
      </c>
      <c r="G37" s="8">
        <v>36.0</v>
      </c>
      <c r="H37" s="7" t="s">
        <v>186</v>
      </c>
      <c r="I37" s="7" t="s">
        <v>187</v>
      </c>
      <c r="J37" s="7" t="s">
        <v>188</v>
      </c>
      <c r="K37" s="9" t="s">
        <v>189</v>
      </c>
      <c r="Q37" s="6"/>
      <c r="R37" s="6"/>
      <c r="S37" s="6"/>
    </row>
    <row r="38" ht="22.5" customHeight="1">
      <c r="A38" s="7" t="str">
        <f>IFERROR(__xludf.DUMMYFUNCTION("GOOGLETRANSLATE(G38, ""de"", ""en"")"),"37")</f>
        <v>37</v>
      </c>
      <c r="B38" s="7" t="str">
        <f>IFERROR(__xludf.DUMMYFUNCTION("GOOGLETRANSLATE(H38, ""de"", ""en"")"),"What does the term ""lightweight rowing"" refer to?")</f>
        <v>What does the term "lightweight rowing" refer to?</v>
      </c>
      <c r="C38" s="7" t="s">
        <v>190</v>
      </c>
      <c r="D38" s="7" t="str">
        <f>IFERROR(__xludf.DUMMYFUNCTION("GOOGLETRANSLATE(I38, ""de"", ""en"")"),"Weight restrictions for rowers")</f>
        <v>Weight restrictions for rowers</v>
      </c>
      <c r="E38" s="7" t="str">
        <f>IFERROR(__xludf.DUMMYFUNCTION("GOOGLETRANSLATE(J38, ""de"", ""en"")"),"In lightweight rowing, weight restrictions apply to ensure fair competition.")</f>
        <v>In lightweight rowing, weight restrictions apply to ensure fair competition.</v>
      </c>
      <c r="G38" s="8">
        <v>37.0</v>
      </c>
      <c r="H38" s="7" t="s">
        <v>191</v>
      </c>
      <c r="I38" s="7" t="s">
        <v>192</v>
      </c>
      <c r="J38" s="7" t="s">
        <v>193</v>
      </c>
      <c r="K38" s="9" t="s">
        <v>194</v>
      </c>
      <c r="Q38" s="6"/>
      <c r="R38" s="6"/>
      <c r="S38" s="6"/>
    </row>
    <row r="39" ht="22.5" customHeight="1">
      <c r="A39" s="7" t="str">
        <f>IFERROR(__xludf.DUMMYFUNCTION("GOOGLETRANSLATE(G39, ""de"", ""en"")"),"38")</f>
        <v>38</v>
      </c>
      <c r="B39" s="7" t="str">
        <f>IFERROR(__xludf.DUMMYFUNCTION("GOOGLETRANSLATE(H39, ""de"", ""en"")"),"During a training session, the crew experiences strong resistance during recovery. Why?")</f>
        <v>During a training session, the crew experiences strong resistance during recovery. Why?</v>
      </c>
      <c r="C39" s="7" t="s">
        <v>195</v>
      </c>
      <c r="D39" s="7" t="str">
        <f>IFERROR(__xludf.DUMMYFUNCTION("GOOGLETRANSLATE(I39, ""de"", ""en"")"),"Incorrect suspension")</f>
        <v>Incorrect suspension</v>
      </c>
      <c r="E39" s="7" t="str">
        <f>IFERROR(__xludf.DUMMYFUNCTION("GOOGLETRANSLATE(J39, ""de"", ""en"")"),"Incorrect suspension increases air resistance and resistance during the recovery phase.")</f>
        <v>Incorrect suspension increases air resistance and resistance during the recovery phase.</v>
      </c>
      <c r="G39" s="8">
        <v>38.0</v>
      </c>
      <c r="H39" s="7" t="s">
        <v>196</v>
      </c>
      <c r="I39" s="7" t="s">
        <v>57</v>
      </c>
      <c r="J39" s="7" t="s">
        <v>197</v>
      </c>
      <c r="K39" s="9" t="s">
        <v>198</v>
      </c>
      <c r="Q39" s="6"/>
      <c r="R39" s="6"/>
      <c r="S39" s="6"/>
    </row>
    <row r="40" ht="22.5" customHeight="1">
      <c r="A40" s="7" t="str">
        <f>IFERROR(__xludf.DUMMYFUNCTION("GOOGLETRANSLATE(G40, ""de"", ""en"")"),"39")</f>
        <v>39</v>
      </c>
      <c r="B40" s="7" t="str">
        <f>IFERROR(__xludf.DUMMYFUNCTION("GOOGLETRANSLATE(H40, ""de"", ""en"")"),"What should rowers focus on during a training session in choppy water?")</f>
        <v>What should rowers focus on during a training session in choppy water?</v>
      </c>
      <c r="C40" s="7" t="s">
        <v>199</v>
      </c>
      <c r="D40" s="7" t="str">
        <f>IFERROR(__xludf.DUMMYFUNCTION("GOOGLETRANSLATE(I40, ""de"", ""en"")"),"Technology")</f>
        <v>Technology</v>
      </c>
      <c r="E40" s="7" t="str">
        <f>IFERROR(__xludf.DUMMYFUNCTION("GOOGLETRANSLATE(J40, ""de"", ""en"")"),"Good technique is essential for maintaining stability in rough water conditions.")</f>
        <v>Good technique is essential for maintaining stability in rough water conditions.</v>
      </c>
      <c r="G40" s="8">
        <v>39.0</v>
      </c>
      <c r="H40" s="7" t="s">
        <v>200</v>
      </c>
      <c r="I40" s="7" t="s">
        <v>201</v>
      </c>
      <c r="J40" s="7" t="s">
        <v>202</v>
      </c>
      <c r="K40" s="9" t="s">
        <v>203</v>
      </c>
      <c r="Q40" s="6"/>
      <c r="R40" s="6"/>
      <c r="S40" s="6"/>
    </row>
    <row r="41" ht="22.5" customHeight="1">
      <c r="A41" s="7" t="str">
        <f>IFERROR(__xludf.DUMMYFUNCTION("GOOGLETRANSLATE(G41, ""de"", ""en"")"),"40")</f>
        <v>40</v>
      </c>
      <c r="B41" s="7" t="str">
        <f>IFERROR(__xludf.DUMMYFUNCTION("GOOGLETRANSLATE(H41, ""de"", ""en"")"),"A rower experiences wrist pain after training. What is a likely cause?")</f>
        <v>A rower experiences wrist pain after training. What is a likely cause?</v>
      </c>
      <c r="C41" s="7" t="s">
        <v>204</v>
      </c>
      <c r="D41" s="7" t="str">
        <f>IFERROR(__xludf.DUMMYFUNCTION("GOOGLETRANSLATE(I41, ""de"", ""en"")"),"Reaching too far")</f>
        <v>Reaching too far</v>
      </c>
      <c r="E41" s="7" t="str">
        <f>IFERROR(__xludf.DUMMYFUNCTION("GOOGLETRANSLATE(J41, ""de"", ""en"")"),"Gripping the rowing handle too tightly can strain the wrists and cause pain.")</f>
        <v>Gripping the rowing handle too tightly can strain the wrists and cause pain.</v>
      </c>
      <c r="G41" s="8">
        <v>40.0</v>
      </c>
      <c r="H41" s="7" t="s">
        <v>205</v>
      </c>
      <c r="I41" s="7" t="s">
        <v>206</v>
      </c>
      <c r="J41" s="7" t="s">
        <v>207</v>
      </c>
      <c r="K41" s="9" t="s">
        <v>208</v>
      </c>
      <c r="Q41" s="6"/>
      <c r="R41" s="6"/>
      <c r="S41" s="6"/>
    </row>
    <row r="42" ht="22.5" customHeight="1">
      <c r="A42" s="7" t="str">
        <f>IFERROR(__xludf.DUMMYFUNCTION("GOOGLETRANSLATE(G42, ""de"", ""en"")"),"41")</f>
        <v>41</v>
      </c>
      <c r="B42" s="7" t="str">
        <f>IFERROR(__xludf.DUMMYFUNCTION("GOOGLETRANSLATE(H42, ""de"", ""en"")"),"A rower notices that water is splashing over the bow of the boat in rough conditions. What should they do?")</f>
        <v>A rower notices that water is splashing over the bow of the boat in rough conditions. What should they do?</v>
      </c>
      <c r="C42" s="7" t="s">
        <v>209</v>
      </c>
      <c r="D42" s="7" t="str">
        <f>IFERROR(__xludf.DUMMYFUNCTION("GOOGLETRANSLATE(I42, ""de"", ""en"")"),"Adjust boat trim")</f>
        <v>Adjust boat trim</v>
      </c>
      <c r="E42" s="7" t="str">
        <f>IFERROR(__xludf.DUMMYFUNCTION("GOOGLETRANSLATE(J42, ""de"", ""en"")"),"Adjusting the boat's trim helps to ensure stability in rough water conditions.")</f>
        <v>Adjusting the boat's trim helps to ensure stability in rough water conditions.</v>
      </c>
      <c r="G42" s="8">
        <v>41.0</v>
      </c>
      <c r="H42" s="7" t="s">
        <v>210</v>
      </c>
      <c r="I42" s="7" t="s">
        <v>211</v>
      </c>
      <c r="J42" s="7" t="s">
        <v>212</v>
      </c>
      <c r="K42" s="9" t="s">
        <v>213</v>
      </c>
      <c r="Q42" s="6"/>
      <c r="R42" s="6"/>
      <c r="S42" s="6"/>
    </row>
    <row r="43" ht="22.5" customHeight="1">
      <c r="A43" s="7" t="str">
        <f>IFERROR(__xludf.DUMMYFUNCTION("GOOGLETRANSLATE(G43, ""de"", ""en"")"),"42")</f>
        <v>42</v>
      </c>
      <c r="B43" s="7" t="str">
        <f>IFERROR(__xludf.DUMMYFUNCTION("GOOGLETRANSLATE(H43, ""de"", ""en"")"),"During a rowing race, a crew feels like they are losing speed. What could be the reason?")</f>
        <v>During a rowing race, a crew feels like they are losing speed. What could be the reason?</v>
      </c>
      <c r="C43" s="7" t="s">
        <v>214</v>
      </c>
      <c r="D43" s="7" t="str">
        <f>IFERROR(__xludf.DUMMYFUNCTION("GOOGLETRANSLATE(I43, ""de"", ""en"")"),"Poor synchronization")</f>
        <v>Poor synchronization</v>
      </c>
      <c r="E43" s="7" t="str">
        <f>IFERROR(__xludf.DUMMYFUNCTION("GOOGLETRANSLATE(J43, ""de"", ""en"")"),"Synchronization is crucial for maintaining speed and efficiency in rowing.")</f>
        <v>Synchronization is crucial for maintaining speed and efficiency in rowing.</v>
      </c>
      <c r="G43" s="8">
        <v>42.0</v>
      </c>
      <c r="H43" s="7" t="s">
        <v>215</v>
      </c>
      <c r="I43" s="7" t="s">
        <v>216</v>
      </c>
      <c r="J43" s="7" t="s">
        <v>217</v>
      </c>
      <c r="K43" s="9" t="s">
        <v>218</v>
      </c>
      <c r="Q43" s="6"/>
      <c r="R43" s="6"/>
      <c r="S43" s="6"/>
    </row>
    <row r="44" ht="22.5" customHeight="1">
      <c r="A44" s="7" t="str">
        <f>IFERROR(__xludf.DUMMYFUNCTION("GOOGLETRANSLATE(G44, ""de"", ""en"")"),"43")</f>
        <v>43</v>
      </c>
      <c r="B44" s="7" t="str">
        <f>IFERROR(__xludf.DUMMYFUNCTION("GOOGLETRANSLATE(H44, ""de"", ""en"")"),"What should a helmsman do if his crew veers off course?")</f>
        <v>What should a helmsman do if his crew veers off course?</v>
      </c>
      <c r="C44" s="7" t="s">
        <v>219</v>
      </c>
      <c r="D44" s="7" t="str">
        <f>IFERROR(__xludf.DUMMYFUNCTION("GOOGLETRANSLATE(I44, ""de"", ""en"")"),"Correct with oars")</f>
        <v>Correct with oars</v>
      </c>
      <c r="E44" s="7" t="str">
        <f>IFERROR(__xludf.DUMMYFUNCTION("GOOGLETRANSLATE(J44, ""de"", ""en"")"),"The helmsman uses the rudder to bring the boat back on course.")</f>
        <v>The helmsman uses the rudder to bring the boat back on course.</v>
      </c>
      <c r="G44" s="8">
        <v>43.0</v>
      </c>
      <c r="H44" s="7" t="s">
        <v>220</v>
      </c>
      <c r="I44" s="7" t="s">
        <v>221</v>
      </c>
      <c r="J44" s="7" t="s">
        <v>222</v>
      </c>
      <c r="K44" s="9" t="s">
        <v>223</v>
      </c>
      <c r="Q44" s="6"/>
      <c r="R44" s="6"/>
      <c r="S44" s="6"/>
    </row>
    <row r="45" ht="22.5" customHeight="1">
      <c r="A45" s="7" t="str">
        <f>IFERROR(__xludf.DUMMYFUNCTION("GOOGLETRANSLATE(G45, ""de"", ""en"")"),"44")</f>
        <v>44</v>
      </c>
      <c r="B45" s="7" t="str">
        <f>IFERROR(__xludf.DUMMYFUNCTION("GOOGLETRANSLATE(H45, ""de"", ""en"")"),"A rower is having trouble with the timing of his catch. What exercise could help improve this?")</f>
        <v>A rower is having trouble with the timing of his catch. What exercise could help improve this?</v>
      </c>
      <c r="C45" s="7" t="s">
        <v>224</v>
      </c>
      <c r="D45" s="7" t="str">
        <f>IFERROR(__xludf.DUMMYFUNCTION("GOOGLETRANSLATE(I45, ""de"", ""en"")"),"Catch-Placement Exercise")</f>
        <v>Catch-Placement Exercise</v>
      </c>
      <c r="E45" s="7" t="str">
        <f>IFERROR(__xludf.DUMMYFUNCTION("GOOGLETRANSLATE(J45, ""de"", ""en"")"),"Catch placement drills help rowers improve their timing at the start of the rowing stroke.")</f>
        <v>Catch placement drills help rowers improve their timing at the start of the rowing stroke.</v>
      </c>
      <c r="G45" s="8">
        <v>44.0</v>
      </c>
      <c r="H45" s="7" t="s">
        <v>225</v>
      </c>
      <c r="I45" s="7" t="s">
        <v>226</v>
      </c>
      <c r="J45" s="7" t="s">
        <v>227</v>
      </c>
      <c r="K45" s="9" t="s">
        <v>228</v>
      </c>
      <c r="Q45" s="6"/>
      <c r="R45" s="6"/>
      <c r="S45" s="6"/>
    </row>
    <row r="46" ht="22.5" customHeight="1">
      <c r="A46" s="7" t="str">
        <f>IFERROR(__xludf.DUMMYFUNCTION("GOOGLETRANSLATE(G46, ""de"", ""en"")"),"45")</f>
        <v>45</v>
      </c>
      <c r="B46" s="7" t="str">
        <f>IFERROR(__xludf.DUMMYFUNCTION("GOOGLETRANSLATE(H46, ""de"", ""en"")"),"What is the main focus during the ""propulsion"" phase of an oar stroke?")</f>
        <v>What is the main focus during the "propulsion" phase of an oar stroke?</v>
      </c>
      <c r="C46" s="7" t="s">
        <v>229</v>
      </c>
      <c r="D46" s="7" t="str">
        <f>IFERROR(__xludf.DUMMYFUNCTION("GOOGLETRANSLATE(I46, ""de"", ""en"")"),"Application of force")</f>
        <v>Application of force</v>
      </c>
      <c r="E46" s="7" t="str">
        <f>IFERROR(__xludf.DUMMYFUNCTION("GOOGLETRANSLATE(J46, ""de"", ""en"")"),"During the propulsion phase, rowers apply force to drive the boat forward.")</f>
        <v>During the propulsion phase, rowers apply force to drive the boat forward.</v>
      </c>
      <c r="G46" s="8">
        <v>45.0</v>
      </c>
      <c r="H46" s="7" t="s">
        <v>230</v>
      </c>
      <c r="I46" s="7" t="s">
        <v>231</v>
      </c>
      <c r="J46" s="7" t="s">
        <v>232</v>
      </c>
      <c r="K46" s="9" t="s">
        <v>233</v>
      </c>
      <c r="Q46" s="6"/>
      <c r="R46" s="6"/>
      <c r="S46" s="6"/>
    </row>
    <row r="47" ht="22.5" customHeight="1">
      <c r="A47" s="7" t="str">
        <f>IFERROR(__xludf.DUMMYFUNCTION("GOOGLETRANSLATE(G47, ""de"", ""en"")"),"46")</f>
        <v>46</v>
      </c>
      <c r="B47" s="7" t="str">
        <f>IFERROR(__xludf.DUMMYFUNCTION("GOOGLETRANSLATE(H47, ""de"", ""en"")"),"What challenges often arise in a mixed crew?")</f>
        <v>What challenges often arise in a mixed crew?</v>
      </c>
      <c r="C47" s="7" t="s">
        <v>234</v>
      </c>
      <c r="D47" s="7" t="str">
        <f>IFERROR(__xludf.DUMMYFUNCTION("GOOGLETRANSLATE(I47, ""de"", ""en"")"),"Unequal performance")</f>
        <v>Unequal performance</v>
      </c>
      <c r="E47" s="7" t="str">
        <f>IFERROR(__xludf.DUMMYFUNCTION("GOOGLETRANSLATE(J47, ""de"", ""en"")"),"In mixed crews, it can be difficult to balance the workload between members.")</f>
        <v>In mixed crews, it can be difficult to balance the workload between members.</v>
      </c>
      <c r="G47" s="8">
        <v>46.0</v>
      </c>
      <c r="H47" s="7" t="s">
        <v>235</v>
      </c>
      <c r="I47" s="7" t="s">
        <v>236</v>
      </c>
      <c r="J47" s="7" t="s">
        <v>237</v>
      </c>
      <c r="K47" s="9" t="s">
        <v>238</v>
      </c>
      <c r="Q47" s="6"/>
      <c r="R47" s="6"/>
      <c r="S47" s="6"/>
    </row>
    <row r="48" ht="22.5" customHeight="1">
      <c r="A48" s="7" t="str">
        <f>IFERROR(__xludf.DUMMYFUNCTION("GOOGLETRANSLATE(G48, ""de"", ""en"")"),"47")</f>
        <v>47</v>
      </c>
      <c r="B48" s="7" t="str">
        <f>IFERROR(__xludf.DUMMYFUNCTION("GOOGLETRANSLATE(H48, ""de"", ""en"")"),"What is the ideal body position when ""catching""?")</f>
        <v>What is the ideal body position when "catching"?</v>
      </c>
      <c r="C48" s="7" t="s">
        <v>239</v>
      </c>
      <c r="D48" s="7" t="str">
        <f>IFERROR(__xludf.DUMMYFUNCTION("GOOGLETRANSLATE(I48, ""de"", ""en"")"),"Arms outstretched, legs bent")</f>
        <v>Arms outstretched, legs bent</v>
      </c>
      <c r="E48" s="7" t="str">
        <f>IFERROR(__xludf.DUMMYFUNCTION("GOOGLETRANSLATE(J48, ""de"", ""en"")"),"When catching, rowers should have their arms extended and their legs bent to achieve maximum stroke efficiency.")</f>
        <v>When catching, rowers should have their arms extended and their legs bent to achieve maximum stroke efficiency.</v>
      </c>
      <c r="G48" s="8">
        <v>47.0</v>
      </c>
      <c r="H48" s="7" t="s">
        <v>240</v>
      </c>
      <c r="I48" s="7" t="s">
        <v>241</v>
      </c>
      <c r="J48" s="7" t="s">
        <v>242</v>
      </c>
      <c r="K48" s="9" t="s">
        <v>243</v>
      </c>
      <c r="Q48" s="6"/>
      <c r="R48" s="6"/>
      <c r="S48" s="6"/>
    </row>
    <row r="49" ht="22.5" customHeight="1">
      <c r="A49" s="7" t="str">
        <f>IFERROR(__xludf.DUMMYFUNCTION("GOOGLETRANSLATE(G49, ""de"", ""en"")"),"48")</f>
        <v>48</v>
      </c>
      <c r="B49" s="7" t="str">
        <f>IFERROR(__xludf.DUMMYFUNCTION("GOOGLETRANSLATE(H49, ""de"", ""en"")"),"What happens if the rudder blade does not completely release the water during the recovery operation?")</f>
        <v>What happens if the rudder blade does not completely release the water during the recovery operation?</v>
      </c>
      <c r="C49" s="7" t="s">
        <v>244</v>
      </c>
      <c r="D49" s="7" t="str">
        <f>IFERROR(__xludf.DUMMYFUNCTION("GOOGLETRANSLATE(I49, ""de"", ""en"")"),"Increased air resistance")</f>
        <v>Increased air resistance</v>
      </c>
      <c r="E49" s="7" t="str">
        <f>IFERROR(__xludf.DUMMYFUNCTION("GOOGLETRANSLATE(J49, ""de"", ""en"")"),"If the blade is not free, air resistance increases, causing the boat to slow down.")</f>
        <v>If the blade is not free, air resistance increases, causing the boat to slow down.</v>
      </c>
      <c r="G49" s="8">
        <v>48.0</v>
      </c>
      <c r="H49" s="7" t="s">
        <v>245</v>
      </c>
      <c r="I49" s="7" t="s">
        <v>246</v>
      </c>
      <c r="J49" s="7" t="s">
        <v>247</v>
      </c>
      <c r="K49" s="9" t="s">
        <v>248</v>
      </c>
      <c r="Q49" s="6"/>
      <c r="R49" s="6"/>
      <c r="S49" s="6"/>
    </row>
    <row r="50" ht="22.5" customHeight="1">
      <c r="A50" s="7" t="str">
        <f>IFERROR(__xludf.DUMMYFUNCTION("GOOGLETRANSLATE(G50, ""de"", ""en"")"),"49")</f>
        <v>49</v>
      </c>
      <c r="B50" s="7" t="str">
        <f>IFERROR(__xludf.DUMMYFUNCTION("GOOGLETRANSLATE(H50, ""de"", ""en"")"),"How can a rower maintain a consistent grip height throughout the entire rowing stroke?")</f>
        <v>How can a rower maintain a consistent grip height throughout the entire rowing stroke?</v>
      </c>
      <c r="C50" s="7" t="s">
        <v>249</v>
      </c>
      <c r="D50" s="7" t="str">
        <f>IFERROR(__xludf.DUMMYFUNCTION("GOOGLETRANSLATE(I50, ""de"", ""en"")"),"Practice core exercises")</f>
        <v>Practice core exercises</v>
      </c>
      <c r="E50" s="7" t="str">
        <f>IFERROR(__xludf.DUMMYFUNCTION("GOOGLETRANSLATE(J50, ""de"", ""en"")"),"Core strength and stability help to maintain consistent grip heights.")</f>
        <v>Core strength and stability help to maintain consistent grip heights.</v>
      </c>
      <c r="G50" s="8">
        <v>49.0</v>
      </c>
      <c r="H50" s="7" t="s">
        <v>250</v>
      </c>
      <c r="I50" s="7" t="s">
        <v>251</v>
      </c>
      <c r="J50" s="7" t="s">
        <v>252</v>
      </c>
      <c r="K50" s="9" t="s">
        <v>253</v>
      </c>
      <c r="Q50" s="6"/>
      <c r="R50" s="6"/>
      <c r="S50" s="6"/>
    </row>
    <row r="51" ht="22.5" customHeight="1">
      <c r="A51" s="7" t="str">
        <f>IFERROR(__xludf.DUMMYFUNCTION("GOOGLETRANSLATE(G51, ""de"", ""en"")"),"50")</f>
        <v>50</v>
      </c>
      <c r="B51" s="7" t="str">
        <f>IFERROR(__xludf.DUMMYFUNCTION("GOOGLETRANSLATE(H51, ""de"", ""en"")"),"A rower experiences shoulder strain after rowing training. What could be the cause?")</f>
        <v>A rower experiences shoulder strain after rowing training. What could be the cause?</v>
      </c>
      <c r="C51" s="7" t="s">
        <v>254</v>
      </c>
      <c r="D51" s="7" t="str">
        <f>IFERROR(__xludf.DUMMYFUNCTION("GOOGLETRANSLATE(I51, ""de"", ""en"")"),"Attack during capture")</f>
        <v>Attack during capture</v>
      </c>
      <c r="E51" s="7" t="str">
        <f>IFERROR(__xludf.DUMMYFUNCTION("GOOGLETRANSLATE(J51, ""de"", ""en"")"),"Reaching over too far when catching puts unnecessary strain on the shoulders.")</f>
        <v>Reaching over too far when catching puts unnecessary strain on the shoulders.</v>
      </c>
      <c r="G51" s="8">
        <v>50.0</v>
      </c>
      <c r="H51" s="7" t="s">
        <v>255</v>
      </c>
      <c r="I51" s="7" t="s">
        <v>256</v>
      </c>
      <c r="J51" s="7" t="s">
        <v>257</v>
      </c>
      <c r="K51" s="9" t="s">
        <v>258</v>
      </c>
      <c r="Q51" s="6"/>
      <c r="R51" s="6"/>
      <c r="S51" s="6"/>
    </row>
    <row r="52" ht="22.5" customHeight="1">
      <c r="A52" s="7" t="str">
        <f>IFERROR(__xludf.DUMMYFUNCTION("GOOGLETRANSLATE(G52, ""de"", ""en"")"),"51")</f>
        <v>51</v>
      </c>
      <c r="B52" s="7" t="str">
        <f>IFERROR(__xludf.DUMMYFUNCTION("GOOGLETRANSLATE(H52, ""de"", ""en"")"),"What is the main function of the ""control box"" used by helmsmen?")</f>
        <v>What is the main function of the "control box" used by helmsmen?</v>
      </c>
      <c r="C52" s="7" t="s">
        <v>259</v>
      </c>
      <c r="D52" s="7" t="str">
        <f>IFERROR(__xludf.DUMMYFUNCTION("GOOGLETRANSLATE(I52, ""de"", ""en"")"),"Amplify voice commands")</f>
        <v>Amplify voice commands</v>
      </c>
      <c r="E52" s="7" t="str">
        <f>IFERROR(__xludf.DUMMYFUNCTION("GOOGLETRANSLATE(J52, ""de"", ""en"")"),"The control box amplifies the helmsman's voice to ensure that the crew clearly understands the instructions.")</f>
        <v>The control box amplifies the helmsman's voice to ensure that the crew clearly understands the instructions.</v>
      </c>
      <c r="G52" s="8">
        <v>51.0</v>
      </c>
      <c r="H52" s="7" t="s">
        <v>260</v>
      </c>
      <c r="I52" s="7" t="s">
        <v>261</v>
      </c>
      <c r="J52" s="7" t="s">
        <v>262</v>
      </c>
      <c r="K52" s="9" t="s">
        <v>263</v>
      </c>
      <c r="Q52" s="6"/>
      <c r="R52" s="6"/>
      <c r="S52" s="6"/>
    </row>
    <row r="53" ht="22.5" customHeight="1">
      <c r="A53" s="7" t="str">
        <f>IFERROR(__xludf.DUMMYFUNCTION("GOOGLETRANSLATE(G53, ""de"", ""en"")"),"52")</f>
        <v>52</v>
      </c>
      <c r="B53" s="7" t="str">
        <f>IFERROR(__xludf.DUMMYFUNCTION("GOOGLETRANSLATE(H53, ""de"", ""en"")"),"How can a crew optimize their performance during a race when there is a strong tailwind?")</f>
        <v>How can a crew optimize their performance during a race when there is a strong tailwind?</v>
      </c>
      <c r="C53" s="7" t="s">
        <v>264</v>
      </c>
      <c r="D53" s="7" t="str">
        <f>IFERROR(__xludf.DUMMYFUNCTION("GOOGLETRANSLATE(I53, ""de"", ""en"")"),"Increase stroke rate")</f>
        <v>Increase stroke rate</v>
      </c>
      <c r="E53" s="7" t="str">
        <f>IFERROR(__xludf.DUMMYFUNCTION("GOOGLETRANSLATE(J53, ""de"", ""en"")"),"A higher stroke rate helps to utilize the speed boost from a tailwind.")</f>
        <v>A higher stroke rate helps to utilize the speed boost from a tailwind.</v>
      </c>
      <c r="G53" s="8">
        <v>52.0</v>
      </c>
      <c r="H53" s="7" t="s">
        <v>265</v>
      </c>
      <c r="I53" s="7" t="s">
        <v>266</v>
      </c>
      <c r="J53" s="7" t="s">
        <v>267</v>
      </c>
      <c r="K53" s="9" t="s">
        <v>268</v>
      </c>
      <c r="Q53" s="6"/>
      <c r="R53" s="6"/>
      <c r="S53" s="6"/>
    </row>
    <row r="54" ht="22.5" customHeight="1">
      <c r="A54" s="7" t="str">
        <f>IFERROR(__xludf.DUMMYFUNCTION("GOOGLETRANSLATE(G54, ""de"", ""en"")"),"53")</f>
        <v>53</v>
      </c>
      <c r="B54" s="7" t="str">
        <f>IFERROR(__xludf.DUMMYFUNCTION("GOOGLETRANSLATE(H54, ""de"", ""en"")"),"In which type of rowing does each rower use an oar?")</f>
        <v>In which type of rowing does each rower use an oar?</v>
      </c>
      <c r="C54" s="7" t="s">
        <v>269</v>
      </c>
      <c r="D54" s="7" t="str">
        <f>IFERROR(__xludf.DUMMYFUNCTION("GOOGLETRANSLATE(I54, ""de"", ""en"")"),"Sweep rowing")</f>
        <v>Sweep rowing</v>
      </c>
      <c r="E54" s="7" t="str">
        <f>IFERROR(__xludf.DUMMYFUNCTION("GOOGLETRANSLATE(J54, ""de"", ""en"")"),"In swing rowing, the rowers each use one oar.")</f>
        <v>In swing rowing, the rowers each use one oar.</v>
      </c>
      <c r="G54" s="8">
        <v>53.0</v>
      </c>
      <c r="H54" s="7" t="s">
        <v>270</v>
      </c>
      <c r="I54" s="7" t="s">
        <v>271</v>
      </c>
      <c r="J54" s="7" t="s">
        <v>272</v>
      </c>
      <c r="K54" s="9" t="s">
        <v>273</v>
      </c>
      <c r="Q54" s="6"/>
      <c r="R54" s="6"/>
      <c r="S54" s="6"/>
    </row>
    <row r="55" ht="22.5" customHeight="1">
      <c r="A55" s="7" t="str">
        <f>IFERROR(__xludf.DUMMYFUNCTION("GOOGLETRANSLATE(G55, ""de"", ""en"")"),"54")</f>
        <v>54</v>
      </c>
      <c r="B55" s="7" t="str">
        <f>IFERROR(__xludf.DUMMYFUNCTION("GOOGLETRANSLATE(H55, ""de"", ""en"")"),"Why is it important to maintain boat trim when rowing?")</f>
        <v>Why is it important to maintain boat trim when rowing?</v>
      </c>
      <c r="C55" s="7" t="s">
        <v>274</v>
      </c>
      <c r="D55" s="7" t="str">
        <f>IFERROR(__xludf.DUMMYFUNCTION("GOOGLETRANSLATE(I55, ""de"", ""en"")"),"Minimize air resistance")</f>
        <v>Minimize air resistance</v>
      </c>
      <c r="E55" s="7" t="str">
        <f>IFERROR(__xludf.DUMMYFUNCTION("GOOGLETRANSLATE(J55, ""de"", ""en"")"),"Proper boat trim minimizes air resistance and maximizes efficiency.")</f>
        <v>Proper boat trim minimizes air resistance and maximizes efficiency.</v>
      </c>
      <c r="G55" s="8">
        <v>54.0</v>
      </c>
      <c r="H55" s="7" t="s">
        <v>275</v>
      </c>
      <c r="I55" s="7" t="s">
        <v>276</v>
      </c>
      <c r="J55" s="7" t="s">
        <v>277</v>
      </c>
      <c r="K55" s="9" t="s">
        <v>278</v>
      </c>
      <c r="Q55" s="6"/>
      <c r="R55" s="6"/>
      <c r="S55" s="6"/>
    </row>
    <row r="56" ht="22.5" customHeight="1">
      <c r="A56" s="7" t="str">
        <f>IFERROR(__xludf.DUMMYFUNCTION("GOOGLETRANSLATE(G56, ""de"", ""en"")"),"55")</f>
        <v>55</v>
      </c>
      <c r="B56" s="7" t="str">
        <f>IFERROR(__xludf.DUMMYFUNCTION("GOOGLETRANSLATE(H56, ""de"", ""en"")"),"An inexperienced rower has difficulty maintaining their posture during long rowing sessions. What should they work on?")</f>
        <v>An inexperienced rower has difficulty maintaining their posture during long rowing sessions. What should they work on?</v>
      </c>
      <c r="C56" s="7" t="s">
        <v>279</v>
      </c>
      <c r="D56" s="7" t="str">
        <f>IFERROR(__xludf.DUMMYFUNCTION("GOOGLETRANSLATE(I56, ""de"", ""en"")"),"Core strength")</f>
        <v>Core strength</v>
      </c>
      <c r="E56" s="7" t="str">
        <f>IFERROR(__xludf.DUMMYFUNCTION("GOOGLETRANSLATE(J56, ""de"", ""en"")"),"The core muscles are crucial for maintaining the correct posture during a rowing session.")</f>
        <v>The core muscles are crucial for maintaining the correct posture during a rowing session.</v>
      </c>
      <c r="G56" s="8">
        <v>55.0</v>
      </c>
      <c r="H56" s="7" t="s">
        <v>280</v>
      </c>
      <c r="I56" s="7" t="s">
        <v>87</v>
      </c>
      <c r="J56" s="7" t="s">
        <v>281</v>
      </c>
      <c r="K56" s="9" t="s">
        <v>282</v>
      </c>
      <c r="Q56" s="6"/>
      <c r="R56" s="6"/>
      <c r="S56" s="6"/>
    </row>
    <row r="57" ht="22.5" customHeight="1">
      <c r="A57" s="7" t="str">
        <f>IFERROR(__xludf.DUMMYFUNCTION("GOOGLETRANSLATE(G57, ""de"", ""en"")"),"56")</f>
        <v>56</v>
      </c>
      <c r="B57" s="7" t="str">
        <f>IFERROR(__xludf.DUMMYFUNCTION("GOOGLETRANSLATE(H57, ""de"", ""en"")"),"What does ""washout"" mean in rowing?")</f>
        <v>What does "washout" mean in rowing?</v>
      </c>
      <c r="C57" s="7" t="s">
        <v>283</v>
      </c>
      <c r="D57" s="7" t="str">
        <f>IFERROR(__xludf.DUMMYFUNCTION("GOOGLETRANSLATE(I57, ""de"", ""en"")"),"The leaf leaves the water early.")</f>
        <v>The leaf leaves the water early.</v>
      </c>
      <c r="E57" s="7" t="str">
        <f>IFERROR(__xludf.DUMMYFUNCTION("GOOGLETRANSLATE(J57, ""de"", ""en"")"),"If the blade exits the water prematurely, it will be washed out, which reduces the impact efficiency.")</f>
        <v>If the blade exits the water prematurely, it will be washed out, which reduces the impact efficiency.</v>
      </c>
      <c r="G57" s="8">
        <v>56.0</v>
      </c>
      <c r="H57" s="7" t="s">
        <v>284</v>
      </c>
      <c r="I57" s="7" t="s">
        <v>285</v>
      </c>
      <c r="J57" s="7" t="s">
        <v>286</v>
      </c>
      <c r="K57" s="9" t="s">
        <v>287</v>
      </c>
      <c r="Q57" s="6"/>
      <c r="R57" s="6"/>
      <c r="S57" s="6"/>
    </row>
    <row r="58" ht="22.5" customHeight="1">
      <c r="A58" s="7" t="str">
        <f>IFERROR(__xludf.DUMMYFUNCTION("GOOGLETRANSLATE(G58, ""de"", ""en"")"),"57")</f>
        <v>57</v>
      </c>
      <c r="B58" s="7" t="str">
        <f>IFERROR(__xludf.DUMMYFUNCTION("GOOGLETRANSLATE(H58, ""de"", ""en"")"),"What role does the ""bow ball"" play on a rowing boat?")</f>
        <v>What role does the "bow ball" play on a rowing boat?</v>
      </c>
      <c r="C58" s="7" t="s">
        <v>288</v>
      </c>
      <c r="D58" s="7" t="str">
        <f>IFERROR(__xludf.DUMMYFUNCTION("GOOGLETRANSLATE(I58, ""de"", ""en"")"),"Collision safety")</f>
        <v>Collision safety</v>
      </c>
      <c r="E58" s="7" t="str">
        <f>IFERROR(__xludf.DUMMYFUNCTION("GOOGLETRANSLATE(J58, ""de"", ""en"")"),"The bow ball is a safety feature to protect rowers in the event of collisions.")</f>
        <v>The bow ball is a safety feature to protect rowers in the event of collisions.</v>
      </c>
      <c r="G58" s="8">
        <v>57.0</v>
      </c>
      <c r="H58" s="7" t="s">
        <v>289</v>
      </c>
      <c r="I58" s="7" t="s">
        <v>290</v>
      </c>
      <c r="J58" s="7" t="s">
        <v>291</v>
      </c>
      <c r="K58" s="9" t="s">
        <v>292</v>
      </c>
      <c r="Q58" s="6"/>
      <c r="R58" s="6"/>
      <c r="S58" s="6"/>
    </row>
    <row r="59" ht="22.5" customHeight="1">
      <c r="A59" s="7" t="str">
        <f>IFERROR(__xludf.DUMMYFUNCTION("GOOGLETRANSLATE(G59, ""de"", ""en"")"),"58")</f>
        <v>58</v>
      </c>
      <c r="B59" s="7" t="str">
        <f>IFERROR(__xludf.DUMMYFUNCTION("GOOGLETRANSLATE(H59, ""de"", ""en"")"),"A crew is preparing for a regatta with narrow courses. What should they practice?")</f>
        <v>A crew is preparing for a regatta with narrow courses. What should they practice?</v>
      </c>
      <c r="C59" s="7" t="s">
        <v>293</v>
      </c>
      <c r="D59" s="7" t="str">
        <f>IFERROR(__xludf.DUMMYFUNCTION("GOOGLETRANSLATE(I59, ""de"", ""en"")"),"Steering precision")</f>
        <v>Steering precision</v>
      </c>
      <c r="E59" s="7" t="str">
        <f>IFERROR(__xludf.DUMMYFUNCTION("GOOGLETRANSLATE(J59, ""de"", ""en"")"),"In races on narrow lanes, steering precision is crucial to avoid penalties or collisions.")</f>
        <v>In races on narrow lanes, steering precision is crucial to avoid penalties or collisions.</v>
      </c>
      <c r="G59" s="8">
        <v>58.0</v>
      </c>
      <c r="H59" s="7" t="s">
        <v>294</v>
      </c>
      <c r="I59" s="7" t="s">
        <v>295</v>
      </c>
      <c r="J59" s="7" t="s">
        <v>296</v>
      </c>
      <c r="K59" s="9" t="s">
        <v>297</v>
      </c>
      <c r="Q59" s="6"/>
      <c r="R59" s="6"/>
      <c r="S59" s="6"/>
    </row>
    <row r="60" ht="22.5" customHeight="1">
      <c r="A60" s="7" t="str">
        <f>IFERROR(__xludf.DUMMYFUNCTION("GOOGLETRANSLATE(G60, ""de"", ""en"")"),"59")</f>
        <v>59</v>
      </c>
      <c r="B60" s="7" t="str">
        <f>IFERROR(__xludf.DUMMYFUNCTION("GOOGLETRANSLATE(H60, ""de"", ""en"")"),"What is the main goal during a ""paddle practice session""?")</f>
        <v>What is the main goal during a "paddle practice session"?</v>
      </c>
      <c r="C60" s="7" t="s">
        <v>298</v>
      </c>
      <c r="D60" s="7" t="str">
        <f>IFERROR(__xludf.DUMMYFUNCTION("GOOGLETRANSLATE(I60, ""de"", ""en"")"),"Focus on the technique")</f>
        <v>Focus on the technique</v>
      </c>
      <c r="E60" s="7" t="str">
        <f>IFERROR(__xludf.DUMMYFUNCTION("GOOGLETRANSLATE(J60, ""de"", ""en"")"),"In paddling, the focus is on improving technique, without concentrating on strength or speed.")</f>
        <v>In paddling, the focus is on improving technique, without concentrating on strength or speed.</v>
      </c>
      <c r="G60" s="8">
        <v>59.0</v>
      </c>
      <c r="H60" s="7" t="s">
        <v>299</v>
      </c>
      <c r="I60" s="7" t="s">
        <v>300</v>
      </c>
      <c r="J60" s="7" t="s">
        <v>301</v>
      </c>
      <c r="K60" s="9" t="s">
        <v>302</v>
      </c>
      <c r="Q60" s="6"/>
      <c r="R60" s="6"/>
      <c r="S60" s="6"/>
    </row>
    <row r="61" ht="22.5" customHeight="1">
      <c r="A61" s="7" t="str">
        <f>IFERROR(__xludf.DUMMYFUNCTION("GOOGLETRANSLATE(G61, ""de"", ""en"")"),"60")</f>
        <v>60</v>
      </c>
      <c r="B61" s="7" t="str">
        <f>IFERROR(__xludf.DUMMYFUNCTION("GOOGLETRANSLATE(H61, ""de"", ""en"")"),"How does the type of water (flat or turbulent) affect rowing strategy?")</f>
        <v>How does the type of water (flat or turbulent) affect rowing strategy?</v>
      </c>
      <c r="C61" s="7" t="s">
        <v>303</v>
      </c>
      <c r="D61" s="7" t="str">
        <f>IFERROR(__xludf.DUMMYFUNCTION("GOOGLETRANSLATE(I61, ""de"", ""en"")"),"Adjust stroke rate")</f>
        <v>Adjust stroke rate</v>
      </c>
      <c r="E61" s="7" t="str">
        <f>IFERROR(__xludf.DUMMYFUNCTION("GOOGLETRANSLATE(J61, ""de"", ""en"")"),"The stroke frequencies are adapted to the challenges of the water type.")</f>
        <v>The stroke frequencies are adapted to the challenges of the water type.</v>
      </c>
      <c r="G61" s="8">
        <v>60.0</v>
      </c>
      <c r="H61" s="7" t="s">
        <v>304</v>
      </c>
      <c r="I61" s="7" t="s">
        <v>305</v>
      </c>
      <c r="J61" s="7" t="s">
        <v>306</v>
      </c>
      <c r="K61" s="9" t="s">
        <v>307</v>
      </c>
      <c r="Q61" s="6"/>
      <c r="R61" s="6"/>
      <c r="S61" s="6"/>
    </row>
    <row r="62" ht="22.5" customHeight="1">
      <c r="A62" s="7" t="str">
        <f>IFERROR(__xludf.DUMMYFUNCTION("GOOGLETRANSLATE(G62, ""de"", ""en"")"),"61")</f>
        <v>61</v>
      </c>
      <c r="B62" s="7" t="str">
        <f>IFERROR(__xludf.DUMMYFUNCTION("GOOGLETRANSLATE(H62, ""de"", ""en"")"),"What should rowers pay attention to when rowing against a headwind?")</f>
        <v>What should rowers pay attention to when rowing against a headwind?</v>
      </c>
      <c r="C62" s="7" t="s">
        <v>308</v>
      </c>
      <c r="D62" s="7" t="str">
        <f>IFERROR(__xludf.DUMMYFUNCTION("GOOGLETRANSLATE(I62, ""de"", ""en"")"),"Keep the rhythm")</f>
        <v>Keep the rhythm</v>
      </c>
      <c r="E62" s="7" t="str">
        <f>IFERROR(__xludf.DUMMYFUNCTION("GOOGLETRANSLATE(J62, ""de"", ""en"")"),"Maintaining a steady rhythm helps rowers overcome resistance from headwinds.")</f>
        <v>Maintaining a steady rhythm helps rowers overcome resistance from headwinds.</v>
      </c>
      <c r="G62" s="8">
        <v>61.0</v>
      </c>
      <c r="H62" s="7" t="s">
        <v>309</v>
      </c>
      <c r="I62" s="7" t="s">
        <v>310</v>
      </c>
      <c r="J62" s="7" t="s">
        <v>311</v>
      </c>
      <c r="K62" s="9" t="s">
        <v>312</v>
      </c>
      <c r="Q62" s="6"/>
      <c r="R62" s="6"/>
      <c r="S62" s="6"/>
    </row>
    <row r="63" ht="22.5" customHeight="1">
      <c r="A63" s="7" t="str">
        <f>IFERROR(__xludf.DUMMYFUNCTION("GOOGLETRANSLATE(G63, ""de"", ""en"")"),"62")</f>
        <v>62</v>
      </c>
      <c r="B63" s="7" t="str">
        <f>IFERROR(__xludf.DUMMYFUNCTION("GOOGLETRANSLATE(H63, ""de"", ""en"")"),"What technique helps to maximize speed in a sprint race?")</f>
        <v>What technique helps to maximize speed in a sprint race?</v>
      </c>
      <c r="C63" s="7" t="s">
        <v>313</v>
      </c>
      <c r="D63" s="7" t="str">
        <f>IFERROR(__xludf.DUMMYFUNCTION("GOOGLETRANSLATE(I63, ""de"", ""en"")"),"High stroke rate")</f>
        <v>High stroke rate</v>
      </c>
      <c r="E63" s="7" t="str">
        <f>IFERROR(__xludf.DUMMYFUNCTION("GOOGLETRANSLATE(J63, ""de"", ""en"")"),"A higher stroke rate increases speed in short sprint races.")</f>
        <v>A higher stroke rate increases speed in short sprint races.</v>
      </c>
      <c r="G63" s="8">
        <v>62.0</v>
      </c>
      <c r="H63" s="7" t="s">
        <v>314</v>
      </c>
      <c r="I63" s="7" t="s">
        <v>315</v>
      </c>
      <c r="J63" s="7" t="s">
        <v>316</v>
      </c>
      <c r="K63" s="9" t="s">
        <v>317</v>
      </c>
      <c r="Q63" s="6"/>
      <c r="R63" s="6"/>
      <c r="S63" s="6"/>
    </row>
    <row r="64" ht="22.5" customHeight="1">
      <c r="A64" s="7" t="str">
        <f>IFERROR(__xludf.DUMMYFUNCTION("GOOGLETRANSLATE(G64, ""de"", ""en"")"),"63")</f>
        <v>63</v>
      </c>
      <c r="B64" s="7" t="str">
        <f>IFERROR(__xludf.DUMMYFUNCTION("GOOGLETRANSLATE(H64, ""de"", ""en"")"),"What causes an ""excessive range"" when fishing?")</f>
        <v>What causes an "excessive range" when fishing?</v>
      </c>
      <c r="C64" s="7" t="s">
        <v>318</v>
      </c>
      <c r="D64" s="7" t="str">
        <f>IFERROR(__xludf.DUMMYFUNCTION("GOOGLETRANSLATE(I64, ""de"", ""en"")"),"Reduced balance")</f>
        <v>Reduced balance</v>
      </c>
      <c r="E64" s="7" t="str">
        <f>IFERROR(__xludf.DUMMYFUNCTION("GOOGLETRANSLATE(J64, ""de"", ""en"")"),"Excessive gripping disrupts balance and striking efficiency.")</f>
        <v>Excessive gripping disrupts balance and striking efficiency.</v>
      </c>
      <c r="G64" s="8">
        <v>63.0</v>
      </c>
      <c r="H64" s="7" t="s">
        <v>319</v>
      </c>
      <c r="I64" s="7" t="s">
        <v>320</v>
      </c>
      <c r="J64" s="7" t="s">
        <v>321</v>
      </c>
      <c r="K64" s="9" t="s">
        <v>322</v>
      </c>
      <c r="Q64" s="6"/>
      <c r="R64" s="6"/>
      <c r="S64" s="6"/>
    </row>
    <row r="65" ht="22.5" customHeight="1">
      <c r="A65" s="7" t="str">
        <f>IFERROR(__xludf.DUMMYFUNCTION("GOOGLETRANSLATE(G65, ""de"", ""en"")"),"64")</f>
        <v>64</v>
      </c>
      <c r="B65" s="7" t="str">
        <f>IFERROR(__xludf.DUMMYFUNCTION("GOOGLETRANSLATE(H65, ""de"", ""en"")"),"A crew notices that their boat is listing to one side while rowing. What could be the cause?")</f>
        <v>A crew notices that their boat is listing to one side while rowing. What could be the cause?</v>
      </c>
      <c r="C65" s="7" t="s">
        <v>323</v>
      </c>
      <c r="D65" s="7" t="str">
        <f>IFERROR(__xludf.DUMMYFUNCTION("GOOGLETRANSLATE(I65, ""de"", ""en"")"),"Poor synchronization")</f>
        <v>Poor synchronization</v>
      </c>
      <c r="E65" s="7" t="str">
        <f>IFERROR(__xludf.DUMMYFUNCTION("GOOGLETRANSLATE(J65, ""de"", ""en"")"),"Poor synchronization can cause the boat to tilt unevenly.")</f>
        <v>Poor synchronization can cause the boat to tilt unevenly.</v>
      </c>
      <c r="G65" s="8">
        <v>64.0</v>
      </c>
      <c r="H65" s="7" t="s">
        <v>324</v>
      </c>
      <c r="I65" s="7" t="s">
        <v>216</v>
      </c>
      <c r="J65" s="7" t="s">
        <v>325</v>
      </c>
      <c r="K65" s="9" t="s">
        <v>326</v>
      </c>
      <c r="Q65" s="6"/>
      <c r="R65" s="6"/>
      <c r="S65" s="6"/>
    </row>
    <row r="66" ht="22.5" customHeight="1">
      <c r="A66" s="7" t="str">
        <f>IFERROR(__xludf.DUMMYFUNCTION("GOOGLETRANSLATE(G66, ""de"", ""en"")"),"65")</f>
        <v>65</v>
      </c>
      <c r="B66" s="7" t="str">
        <f>IFERROR(__xludf.DUMMYFUNCTION("GOOGLETRANSLATE(H66, ""de"", ""en"")"),"What should a helmsman do during a Power 10 call?")</f>
        <v>What should a helmsman do during a Power 10 call?</v>
      </c>
      <c r="C66" s="7" t="s">
        <v>327</v>
      </c>
      <c r="D66" s="7" t="str">
        <f>IFERROR(__xludf.DUMMYFUNCTION("GOOGLETRANSLATE(I66, ""de"", ""en"")"),"Encourage maximum effort")</f>
        <v>Encourage maximum effort</v>
      </c>
      <c r="E66" s="7" t="str">
        <f>IFERROR(__xludf.DUMMYFUNCTION("GOOGLETRANSLATE(J66, ""de"", ""en"")"),"A Power 10 call is made to encourage rowers to give maximum effort for 10 strokes.")</f>
        <v>A Power 10 call is made to encourage rowers to give maximum effort for 10 strokes.</v>
      </c>
      <c r="G66" s="8">
        <v>65.0</v>
      </c>
      <c r="H66" s="7" t="s">
        <v>328</v>
      </c>
      <c r="I66" s="7" t="s">
        <v>329</v>
      </c>
      <c r="J66" s="7" t="s">
        <v>330</v>
      </c>
      <c r="K66" s="9" t="s">
        <v>331</v>
      </c>
      <c r="Q66" s="6"/>
      <c r="R66" s="6"/>
      <c r="S66" s="6"/>
    </row>
    <row r="67" ht="22.5" customHeight="1">
      <c r="A67" s="7" t="str">
        <f>IFERROR(__xludf.DUMMYFUNCTION("GOOGLETRANSLATE(G67, ""de"", ""en"")"),"66")</f>
        <v>66</v>
      </c>
      <c r="B67" s="7" t="str">
        <f>IFERROR(__xludf.DUMMYFUNCTION("GOOGLETRANSLATE(H67, ""de"", ""en"")"),"How can rowers reduce resistance during the recovery phase?")</f>
        <v>How can rowers reduce resistance during the recovery phase?</v>
      </c>
      <c r="C67" s="7" t="s">
        <v>332</v>
      </c>
      <c r="D67" s="7" t="str">
        <f>IFERROR(__xludf.DUMMYFUNCTION("GOOGLETRANSLATE(I67, ""de"", ""en"")"),"Increase the run-out angle")</f>
        <v>Increase the run-out angle</v>
      </c>
      <c r="E67" s="7" t="str">
        <f>IFERROR(__xludf.DUMMYFUNCTION("GOOGLETRANSLATE(J67, ""de"", ""en"")"),"Proper spring tension minimizes resistance during recovery.")</f>
        <v>Proper spring tension minimizes resistance during recovery.</v>
      </c>
      <c r="G67" s="8">
        <v>66.0</v>
      </c>
      <c r="H67" s="7" t="s">
        <v>333</v>
      </c>
      <c r="I67" s="7" t="s">
        <v>52</v>
      </c>
      <c r="J67" s="7" t="s">
        <v>334</v>
      </c>
      <c r="K67" s="9" t="s">
        <v>335</v>
      </c>
      <c r="Q67" s="6"/>
      <c r="R67" s="6"/>
      <c r="S67" s="6"/>
    </row>
    <row r="68" ht="22.5" customHeight="1">
      <c r="A68" s="7" t="str">
        <f>IFERROR(__xludf.DUMMYFUNCTION("GOOGLETRANSLATE(G68, ""de"", ""en"")"),"67")</f>
        <v>67</v>
      </c>
      <c r="B68" s="7" t="str">
        <f>IFERROR(__xludf.DUMMYFUNCTION("GOOGLETRANSLATE(H68, ""de"", ""en"")"),"What should rowers in a mixed 4-person scull boat prioritize?")</f>
        <v>What should rowers in a mixed 4-person scull boat prioritize?</v>
      </c>
      <c r="C68" s="7" t="s">
        <v>336</v>
      </c>
      <c r="D68" s="7" t="str">
        <f>IFERROR(__xludf.DUMMYFUNCTION("GOOGLETRANSLATE(I68, ""de"", ""en"")"),"Blade synchronization")</f>
        <v>Blade synchronization</v>
      </c>
      <c r="E68" s="7" t="str">
        <f>IFERROR(__xludf.DUMMYFUNCTION("GOOGLETRANSLATE(J68, ""de"", ""en"")"),"Synchronization ensures that the boat moves smoothly and efficiently.")</f>
        <v>Synchronization ensures that the boat moves smoothly and efficiently.</v>
      </c>
      <c r="G68" s="8">
        <v>67.0</v>
      </c>
      <c r="H68" s="7" t="s">
        <v>337</v>
      </c>
      <c r="I68" s="7" t="s">
        <v>338</v>
      </c>
      <c r="J68" s="7" t="s">
        <v>339</v>
      </c>
      <c r="K68" s="9" t="s">
        <v>340</v>
      </c>
      <c r="Q68" s="6"/>
      <c r="R68" s="6"/>
      <c r="S68" s="6"/>
    </row>
    <row r="69" ht="22.5" customHeight="1">
      <c r="A69" s="7" t="str">
        <f>IFERROR(__xludf.DUMMYFUNCTION("GOOGLETRANSLATE(G69, ""de"", ""en"")"),"68")</f>
        <v>68</v>
      </c>
      <c r="B69" s="7" t="str">
        <f>IFERROR(__xludf.DUMMYFUNCTION("GOOGLETRANSLATE(H69, ""de"", ""en"")"),"During training, a rower finds it difficult to maintain a firm grip. What could help?")</f>
        <v>During training, a rower finds it difficult to maintain a firm grip. What could help?</v>
      </c>
      <c r="C69" s="7" t="s">
        <v>341</v>
      </c>
      <c r="D69" s="7" t="str">
        <f>IFERROR(__xludf.DUMMYFUNCTION("GOOGLETRANSLATE(I69, ""de"", ""en"")"),"Wear gloves")</f>
        <v>Wear gloves</v>
      </c>
      <c r="E69" s="7" t="str">
        <f>IFERROR(__xludf.DUMMYFUNCTION("GOOGLETRANSLATE(J69, ""de"", ""en"")"),"Wearing gloves can provide a better grip and prevent blisters.")</f>
        <v>Wearing gloves can provide a better grip and prevent blisters.</v>
      </c>
      <c r="G69" s="8">
        <v>68.0</v>
      </c>
      <c r="H69" s="7" t="s">
        <v>342</v>
      </c>
      <c r="I69" s="7" t="s">
        <v>343</v>
      </c>
      <c r="J69" s="7" t="s">
        <v>344</v>
      </c>
      <c r="K69" s="9" t="s">
        <v>345</v>
      </c>
      <c r="Q69" s="6"/>
      <c r="R69" s="6"/>
      <c r="S69" s="6"/>
    </row>
    <row r="70" ht="22.5" customHeight="1">
      <c r="A70" s="7" t="str">
        <f>IFERROR(__xludf.DUMMYFUNCTION("GOOGLETRANSLATE(G70, ""de"", ""en"")"),"69")</f>
        <v>69</v>
      </c>
      <c r="B70" s="7" t="str">
        <f>IFERROR(__xludf.DUMMYFUNCTION("GOOGLETRANSLATE(H70, ""de"", ""en"")"),"What does ""hot seating"" mean in rowing?")</f>
        <v>What does "hot seating" mean in rowing?</v>
      </c>
      <c r="C70" s="7" t="s">
        <v>346</v>
      </c>
      <c r="D70" s="7" t="str">
        <f>IFERROR(__xludf.DUMMYFUNCTION("GOOGLETRANSLATE(I70, ""de"", ""en"")"),"Rowers change between races")</f>
        <v>Rowers change between races</v>
      </c>
      <c r="E70" s="7" t="str">
        <f>IFERROR(__xludf.DUMMYFUNCTION("GOOGLETRANSLATE(J70, ""de"", ""en"")"),"""Hot seating"" refers to the rapid and continuous changing of rowers in a boat between races.")</f>
        <v>"Hot seating" refers to the rapid and continuous changing of rowers in a boat between races.</v>
      </c>
      <c r="G70" s="8">
        <v>69.0</v>
      </c>
      <c r="H70" s="7" t="s">
        <v>347</v>
      </c>
      <c r="I70" s="7" t="s">
        <v>348</v>
      </c>
      <c r="J70" s="7" t="s">
        <v>349</v>
      </c>
      <c r="K70" s="9" t="s">
        <v>350</v>
      </c>
      <c r="Q70" s="6"/>
      <c r="R70" s="6"/>
      <c r="S70" s="6"/>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37.63"/>
    <col customWidth="1" min="4" max="4" width="36.25"/>
    <col customWidth="1" min="5" max="5" width="37.63"/>
    <col customWidth="1" min="6" max="6" width="18.25"/>
    <col customWidth="1" min="8" max="8" width="18.63"/>
    <col customWidth="1" min="9" max="9" width="37.63"/>
    <col customWidth="1" min="10" max="10" width="23.25"/>
  </cols>
  <sheetData>
    <row r="1" ht="22.5" customHeight="1">
      <c r="A1" s="10" t="s">
        <v>0</v>
      </c>
      <c r="B1" s="10" t="s">
        <v>1</v>
      </c>
      <c r="C1" s="10" t="s">
        <v>2</v>
      </c>
      <c r="D1" s="10" t="s">
        <v>3</v>
      </c>
      <c r="E1" s="10" t="s">
        <v>4</v>
      </c>
      <c r="G1" s="3" t="s">
        <v>5</v>
      </c>
      <c r="H1" s="4" t="s">
        <v>6</v>
      </c>
      <c r="I1" s="5" t="s">
        <v>9</v>
      </c>
      <c r="J1" s="4" t="s">
        <v>7</v>
      </c>
      <c r="K1" s="4" t="s">
        <v>8</v>
      </c>
    </row>
    <row r="2" ht="22.5" customHeight="1">
      <c r="A2" s="7" t="str">
        <f>IFERROR(__xludf.DUMMYFUNCTION("GOOGLETRANSLATE(G2, ""de"", ""en"")"),"1")</f>
        <v>1</v>
      </c>
      <c r="B2" s="7" t="str">
        <f>IFERROR(__xludf.DUMMYFUNCTION("GOOGLETRANSLATE(H2, ""de"", ""en"")"),"If you are the solo player in Skat and you win the trick with the highest card of a suit, what happens next?")</f>
        <v>If you are the solo player in Skat and you win the trick with the highest card of a suit, what happens next?</v>
      </c>
      <c r="C2" s="7" t="s">
        <v>351</v>
      </c>
      <c r="D2" s="7" t="str">
        <f>IFERROR(__xludf.DUMMYFUNCTION("GOOGLETRANSLATE(J2, ""de"", ""en"")"),"You'll start with the next trick.")</f>
        <v>You'll start with the next trick.</v>
      </c>
      <c r="E2" s="7" t="str">
        <f>IFERROR(__xludf.DUMMYFUNCTION("GOOGLETRANSLATE(K2, ""de"", ""en"")"),"If you win a trick as a solo player, you have the opportunity to lead the next trick.")</f>
        <v>If you win a trick as a solo player, you have the opportunity to lead the next trick.</v>
      </c>
      <c r="G2" s="8">
        <v>1.0</v>
      </c>
      <c r="H2" s="7" t="s">
        <v>352</v>
      </c>
      <c r="I2" s="9" t="s">
        <v>353</v>
      </c>
      <c r="J2" s="7" t="s">
        <v>354</v>
      </c>
      <c r="K2" s="7" t="s">
        <v>355</v>
      </c>
    </row>
    <row r="3" ht="22.5" customHeight="1">
      <c r="A3" s="7" t="str">
        <f>IFERROR(__xludf.DUMMYFUNCTION("GOOGLETRANSLATE(G3, ""de"", ""en"")"),"2")</f>
        <v>2</v>
      </c>
      <c r="B3" s="7" t="str">
        <f>IFERROR(__xludf.DUMMYFUNCTION("GOOGLETRANSLATE(H3, ""de"", ""en"")"),"What type of game should you consider if you receive a hand without face cards?")</f>
        <v>What type of game should you consider if you receive a hand without face cards?</v>
      </c>
      <c r="C3" s="7" t="s">
        <v>356</v>
      </c>
      <c r="D3" s="7" t="str">
        <f>IFERROR(__xludf.DUMMYFUNCTION("GOOGLETRANSLATE(J3, ""de"", ""en"")"),"Zero")</f>
        <v>Zero</v>
      </c>
      <c r="E3" s="7" t="str">
        <f>IFERROR(__xludf.DUMMYFUNCTION("GOOGLETRANSLATE(K3, ""de"", ""en"")"),"In a Null game you try to avoid taking tricks, which can be ideal if you don't have any face cards to win tricks with.")</f>
        <v>In a Null game you try to avoid taking tricks, which can be ideal if you don't have any face cards to win tricks with.</v>
      </c>
      <c r="G3" s="8">
        <v>2.0</v>
      </c>
      <c r="H3" s="7" t="s">
        <v>357</v>
      </c>
      <c r="I3" s="9" t="s">
        <v>358</v>
      </c>
      <c r="J3" s="7" t="s">
        <v>359</v>
      </c>
      <c r="K3" s="7" t="s">
        <v>360</v>
      </c>
    </row>
    <row r="4" ht="22.5" customHeight="1">
      <c r="A4" s="7" t="str">
        <f>IFERROR(__xludf.DUMMYFUNCTION("GOOGLETRANSLATE(G4, ""de"", ""en"")"),"3")</f>
        <v>3</v>
      </c>
      <c r="B4" s="7" t="str">
        <f>IFERROR(__xludf.DUMMYFUNCTION("GOOGLETRANSLATE(H4, ""de"", ""en"")"),"What should you do if your opponents have won the first two tricks and you are behind in Skat?")</f>
        <v>What should you do if your opponents have won the first two tricks and you are behind in Skat?</v>
      </c>
      <c r="C4" s="7" t="s">
        <v>361</v>
      </c>
      <c r="D4" s="7" t="str">
        <f>IFERROR(__xludf.DUMMYFUNCTION("GOOGLETRANSLATE(J4, ""de"", ""en"")"),"Call a big game")</f>
        <v>Call a big game</v>
      </c>
      <c r="E4" s="7" t="str">
        <f>IFERROR(__xludf.DUMMYFUNCTION("GOOGLETRANSLATE(K4, ""de"", ""en"")"),"If you call a big game, you have a chance of a big win by winning all the tricks, especially if you are behind.")</f>
        <v>If you call a big game, you have a chance of a big win by winning all the tricks, especially if you are behind.</v>
      </c>
      <c r="G4" s="8">
        <v>3.0</v>
      </c>
      <c r="H4" s="7" t="s">
        <v>362</v>
      </c>
      <c r="I4" s="9" t="s">
        <v>363</v>
      </c>
      <c r="J4" s="7" t="s">
        <v>364</v>
      </c>
      <c r="K4" s="7" t="s">
        <v>365</v>
      </c>
    </row>
    <row r="5" ht="22.5" customHeight="1">
      <c r="A5" s="7" t="str">
        <f>IFERROR(__xludf.DUMMYFUNCTION("GOOGLETRANSLATE(G5, ""de"", ""en"")"),"4")</f>
        <v>4</v>
      </c>
      <c r="B5" s="7" t="str">
        <f>IFERROR(__xludf.DUMMYFUNCTION("GOOGLETRANSLATE(H5, ""de"", ""en"")"),"When should you announce a ""zero"" game in Skat?")</f>
        <v>When should you announce a "zero" game in Skat?</v>
      </c>
      <c r="C5" s="7" t="s">
        <v>366</v>
      </c>
      <c r="D5" s="7" t="str">
        <f>IFERROR(__xludf.DUMMYFUNCTION("GOOGLETRANSLATE(J5, ""de"", ""en"")"),"If you have a bad hand")</f>
        <v>If you have a bad hand</v>
      </c>
      <c r="E5" s="7" t="str">
        <f>IFERROR(__xludf.DUMMYFUNCTION("GOOGLETRANSLATE(K5, ""de"", ""en"")"),"Null games are explained when the player does not want to win any tricks, usually because he has a weak hand.")</f>
        <v>Null games are explained when the player does not want to win any tricks, usually because he has a weak hand.</v>
      </c>
      <c r="G5" s="8">
        <v>4.0</v>
      </c>
      <c r="H5" s="7" t="s">
        <v>367</v>
      </c>
      <c r="I5" s="9" t="s">
        <v>368</v>
      </c>
      <c r="J5" s="7" t="s">
        <v>369</v>
      </c>
      <c r="K5" s="7" t="s">
        <v>370</v>
      </c>
    </row>
    <row r="6" ht="22.5" customHeight="1">
      <c r="A6" s="7" t="str">
        <f>IFERROR(__xludf.DUMMYFUNCTION("GOOGLETRANSLATE(G6, ""de"", ""en"")"),"5")</f>
        <v>5</v>
      </c>
      <c r="B6" s="7" t="str">
        <f>IFERROR(__xludf.DUMMYFUNCTION("GOOGLETRANSLATE(H6, ""de"", ""en"")"),"What happens if you announce a ""colors"" game but don't win most of the tricks?")</f>
        <v>What happens if you announce a "colors" game but don't win most of the tricks?</v>
      </c>
      <c r="C6" s="7" t="s">
        <v>371</v>
      </c>
      <c r="D6" s="7" t="str">
        <f>IFERROR(__xludf.DUMMYFUNCTION("GOOGLETRANSLATE(J6, ""de"", ""en"")"),"You lose the game")</f>
        <v>You lose the game</v>
      </c>
      <c r="E6" s="7" t="str">
        <f>IFERROR(__xludf.DUMMYFUNCTION("GOOGLETRANSLATE(K6, ""de"", ""en"")"),"In Skat, failing to win the most tricks in a suit game results in a loss of points.")</f>
        <v>In Skat, failing to win the most tricks in a suit game results in a loss of points.</v>
      </c>
      <c r="G6" s="8">
        <v>5.0</v>
      </c>
      <c r="H6" s="7" t="s">
        <v>372</v>
      </c>
      <c r="I6" s="9" t="s">
        <v>373</v>
      </c>
      <c r="J6" s="7" t="s">
        <v>374</v>
      </c>
      <c r="K6" s="7" t="s">
        <v>375</v>
      </c>
    </row>
    <row r="7" ht="22.5" customHeight="1">
      <c r="A7" s="7" t="str">
        <f>IFERROR(__xludf.DUMMYFUNCTION("GOOGLETRANSLATE(G7, ""de"", ""en"")"),"6")</f>
        <v>6</v>
      </c>
      <c r="B7" s="7" t="str">
        <f>IFERROR(__xludf.DUMMYFUNCTION("GOOGLETRANSLATE(H7, ""de"", ""en"")"),"What is the advantage of announcing a ""large"" game in Skat?")</f>
        <v>What is the advantage of announcing a "large" game in Skat?</v>
      </c>
      <c r="C7" s="7" t="s">
        <v>376</v>
      </c>
      <c r="D7" s="7" t="str">
        <f>IFERROR(__xludf.DUMMYFUNCTION("GOOGLETRANSLATE(J7, ""de"", ""en"")"),"It offers a higher point value")</f>
        <v>It offers a higher point value</v>
      </c>
      <c r="E7" s="7" t="str">
        <f>IFERROR(__xludf.DUMMYFUNCTION("GOOGLETRANSLATE(K7, ""de"", ""en"")"),"A large game offers the opportunity to score higher points, as you only play with the jacks as trump cards.")</f>
        <v>A large game offers the opportunity to score higher points, as you only play with the jacks as trump cards.</v>
      </c>
      <c r="G7" s="8">
        <v>6.0</v>
      </c>
      <c r="H7" s="7" t="s">
        <v>377</v>
      </c>
      <c r="I7" s="9" t="s">
        <v>378</v>
      </c>
      <c r="J7" s="7" t="s">
        <v>379</v>
      </c>
      <c r="K7" s="7" t="s">
        <v>380</v>
      </c>
    </row>
    <row r="8" ht="22.5" customHeight="1">
      <c r="A8" s="7" t="str">
        <f>IFERROR(__xludf.DUMMYFUNCTION("GOOGLETRANSLATE(G8, ""de"", ""en"")"),"7")</f>
        <v>7</v>
      </c>
      <c r="B8" s="7" t="str">
        <f>IFERROR(__xludf.DUMMYFUNCTION("GOOGLETRANSLATE(H8, ""de"", ""en"")"),"What should you do when playing a suit game if your opponent leads with the highest card of the trump suit?")</f>
        <v>What should you do when playing a suit game if your opponent leads with the highest card of the trump suit?</v>
      </c>
      <c r="C8" s="7" t="s">
        <v>381</v>
      </c>
      <c r="D8" s="7" t="str">
        <f>IFERROR(__xludf.DUMMYFUNCTION("GOOGLETRANSLATE(J8, ""de"", ""en"")"),"Play a higher trump.")</f>
        <v>Play a higher trump.</v>
      </c>
      <c r="E8" s="7" t="str">
        <f>IFERROR(__xludf.DUMMYFUNCTION("GOOGLETRANSLATE(K8, ""de"", ""en"")"),"If your opponent is leading with the highest trump card, playing a higher trump card is your best chance to win the trick.")</f>
        <v>If your opponent is leading with the highest trump card, playing a higher trump card is your best chance to win the trick.</v>
      </c>
      <c r="G8" s="8">
        <v>7.0</v>
      </c>
      <c r="H8" s="7" t="s">
        <v>382</v>
      </c>
      <c r="I8" s="9" t="s">
        <v>383</v>
      </c>
      <c r="J8" s="7" t="s">
        <v>384</v>
      </c>
      <c r="K8" s="7" t="s">
        <v>385</v>
      </c>
    </row>
    <row r="9" ht="22.5" customHeight="1">
      <c r="A9" s="7" t="str">
        <f>IFERROR(__xludf.DUMMYFUNCTION("GOOGLETRANSLATE(G9, ""de"", ""en"")"),"8")</f>
        <v>8</v>
      </c>
      <c r="B9" s="7" t="str">
        <f>IFERROR(__xludf.DUMMYFUNCTION("GOOGLETRANSLATE(H9, ""de"", ""en"")"),"What is the main goal in Skat when playing a ""zero"" game?")</f>
        <v>What is the main goal in Skat when playing a "zero" game?</v>
      </c>
      <c r="C9" s="7" t="s">
        <v>386</v>
      </c>
      <c r="D9" s="7" t="str">
        <f>IFERROR(__xludf.DUMMYFUNCTION("GOOGLETRANSLATE(J9, ""de"", ""en"")"),"To avoid winning any tricks")</f>
        <v>To avoid winning any tricks</v>
      </c>
      <c r="E9" s="7" t="str">
        <f>IFERROR(__xludf.DUMMYFUNCTION("GOOGLETRANSLATE(K9, ""de"", ""en"")"),"The aim of a Null game is to lose all tricks while avoiding winning any, which is essential for victory.")</f>
        <v>The aim of a Null game is to lose all tricks while avoiding winning any, which is essential for victory.</v>
      </c>
      <c r="G9" s="8">
        <v>8.0</v>
      </c>
      <c r="H9" s="7" t="s">
        <v>387</v>
      </c>
      <c r="I9" s="9" t="s">
        <v>388</v>
      </c>
      <c r="J9" s="7" t="s">
        <v>389</v>
      </c>
      <c r="K9" s="7" t="s">
        <v>390</v>
      </c>
    </row>
    <row r="10" ht="22.5" customHeight="1">
      <c r="A10" s="7" t="str">
        <f>IFERROR(__xludf.DUMMYFUNCTION("GOOGLETRANSLATE(G10, ""de"", ""en"")"),"9")</f>
        <v>9</v>
      </c>
      <c r="B10" s="7" t="str">
        <f>IFERROR(__xludf.DUMMYFUNCTION("GOOGLETRANSLATE(H10, ""de"", ""en"")"),"What do you do if you are playing a ""colors"" game and you have no card in the main color?")</f>
        <v>What do you do if you are playing a "colors" game and you have no card in the main color?</v>
      </c>
      <c r="C10" s="7" t="s">
        <v>391</v>
      </c>
      <c r="D10" s="7" t="str">
        <f>IFERROR(__xludf.DUMMYFUNCTION("GOOGLETRANSLATE(J10, ""de"", ""en"")"),"Play a trump card")</f>
        <v>Play a trump card</v>
      </c>
      <c r="E10" s="7" t="str">
        <f>IFERROR(__xludf.DUMMYFUNCTION("GOOGLETRANSLATE(K10, ""de"", ""en"")"),"Playing a trump card is a strategy to win a trick when you don't have a card in the main suit, as it gives you the opportunity to control the trick.")</f>
        <v>Playing a trump card is a strategy to win a trick when you don't have a card in the main suit, as it gives you the opportunity to control the trick.</v>
      </c>
      <c r="G10" s="8">
        <v>9.0</v>
      </c>
      <c r="H10" s="7" t="s">
        <v>392</v>
      </c>
      <c r="I10" s="9" t="s">
        <v>393</v>
      </c>
      <c r="J10" s="7" t="s">
        <v>394</v>
      </c>
      <c r="K10" s="7" t="s">
        <v>395</v>
      </c>
    </row>
    <row r="11" ht="22.5" customHeight="1">
      <c r="A11" s="7" t="str">
        <f>IFERROR(__xludf.DUMMYFUNCTION("GOOGLETRANSLATE(G11, ""de"", ""en"")"),"10")</f>
        <v>10</v>
      </c>
      <c r="B11" s="7" t="str">
        <f>IFERROR(__xludf.DUMMYFUNCTION("GOOGLETRANSLATE(H11, ""de"", ""en"")"),"How is the winner determined in a ""Grand"" game?")</f>
        <v>How is the winner determined in a "Grand" game?</v>
      </c>
      <c r="C11" s="7" t="s">
        <v>396</v>
      </c>
      <c r="D11" s="7" t="str">
        <f>IFERROR(__xludf.DUMMYFUNCTION("GOOGLETRANSLATE(J11, ""de"", ""en"")"),"The soloist wins all tricks.")</f>
        <v>The soloist wins all tricks.</v>
      </c>
      <c r="E11" s="7" t="str">
        <f>IFERROR(__xludf.DUMMYFUNCTION("GOOGLETRANSLATE(K11, ""de"", ""en"")"),"The winner of a large game is the soloist, who must win all tricks by playing only with the jacks as trumps.")</f>
        <v>The winner of a large game is the soloist, who must win all tricks by playing only with the jacks as trumps.</v>
      </c>
      <c r="G11" s="8">
        <v>10.0</v>
      </c>
      <c r="H11" s="7" t="s">
        <v>397</v>
      </c>
      <c r="I11" s="9" t="s">
        <v>398</v>
      </c>
      <c r="J11" s="7" t="s">
        <v>399</v>
      </c>
      <c r="K11" s="7" t="s">
        <v>400</v>
      </c>
    </row>
    <row r="12" ht="22.5" customHeight="1">
      <c r="A12" s="7" t="str">
        <f>IFERROR(__xludf.DUMMYFUNCTION("GOOGLETRANSLATE(G12, ""de"", ""en"")"),"11")</f>
        <v>11</v>
      </c>
      <c r="B12" s="7" t="str">
        <f>IFERROR(__xludf.DUMMYFUNCTION("GOOGLETRANSLATE(H12, ""de"", ""en"")"),"What is the maximum number of points that can be scored in a ""zero"" game of Skat?")</f>
        <v>What is the maximum number of points that can be scored in a "zero" game of Skat?</v>
      </c>
      <c r="C12" s="7" t="s">
        <v>401</v>
      </c>
      <c r="D12" s="7" t="str">
        <f>IFERROR(__xludf.DUMMYFUNCTION("GOOGLETRANSLATE(J12, ""de"", ""en"")"),"100")</f>
        <v>100</v>
      </c>
      <c r="E12" s="7" t="str">
        <f>IFERROR(__xludf.DUMMYFUNCTION("GOOGLETRANSLATE(K12, ""de"", ""en"")"),"For a zero game, a maximum of 100 points are available, depending on the number of tricks won or lost.")</f>
        <v>For a zero game, a maximum of 100 points are available, depending on the number of tricks won or lost.</v>
      </c>
      <c r="G12" s="8">
        <v>11.0</v>
      </c>
      <c r="H12" s="7" t="s">
        <v>402</v>
      </c>
      <c r="I12" s="9" t="s">
        <v>401</v>
      </c>
      <c r="J12" s="8">
        <v>100.0</v>
      </c>
      <c r="K12" s="7" t="s">
        <v>403</v>
      </c>
    </row>
    <row r="13" ht="22.5" customHeight="1">
      <c r="A13" s="7" t="str">
        <f>IFERROR(__xludf.DUMMYFUNCTION("GOOGLETRANSLATE(G13, ""de"", ""en"")"),"12")</f>
        <v>12</v>
      </c>
      <c r="B13" s="7" t="str">
        <f>IFERROR(__xludf.DUMMYFUNCTION("GOOGLETRANSLATE(H13, ""de"", ""en"")"),"What does ""Schneider"" mean in Skat?")</f>
        <v>What does "Schneider" mean in Skat?</v>
      </c>
      <c r="C13" s="7" t="s">
        <v>404</v>
      </c>
      <c r="D13" s="7" t="str">
        <f>IFERROR(__xludf.DUMMYFUNCTION("GOOGLETRANSLATE(J13, ""de"", ""en"")"),"They lose with fewer than two stitches")</f>
        <v>They lose with fewer than two stitches</v>
      </c>
      <c r="E13" s="7" t="str">
        <f>IFERROR(__xludf.DUMMYFUNCTION("GOOGLETRANSLATE(K13, ""de"", ""en"")"),"""Schneider"" is a penalty in Skat for losing with fewer than two tricks.")</f>
        <v>"Schneider" is a penalty in Skat for losing with fewer than two tricks.</v>
      </c>
      <c r="G13" s="8">
        <v>12.0</v>
      </c>
      <c r="H13" s="7" t="s">
        <v>405</v>
      </c>
      <c r="I13" s="9" t="s">
        <v>406</v>
      </c>
      <c r="J13" s="7" t="s">
        <v>407</v>
      </c>
      <c r="K13" s="7" t="s">
        <v>408</v>
      </c>
    </row>
    <row r="14" ht="22.5" customHeight="1">
      <c r="A14" s="7" t="str">
        <f>IFERROR(__xludf.DUMMYFUNCTION("GOOGLETRANSLATE(G14, ""de"", ""en"")"),"13")</f>
        <v>13</v>
      </c>
      <c r="B14" s="7" t="str">
        <f>IFERROR(__xludf.DUMMYFUNCTION("GOOGLETRANSLATE(H14, ""de"", ""en"")"),"Which type of hand would you avoid if you received a hand without any cards of the trump suit?")</f>
        <v>Which type of hand would you avoid if you received a hand without any cards of the trump suit?</v>
      </c>
      <c r="C14" s="7" t="s">
        <v>356</v>
      </c>
      <c r="D14" s="7" t="str">
        <f>IFERROR(__xludf.DUMMYFUNCTION("GOOGLETRANSLATE(J14, ""de"", ""en"")"),"Suit game")</f>
        <v>Suit game</v>
      </c>
      <c r="E14" s="7" t="str">
        <f>IFERROR(__xludf.DUMMYFUNCTION("GOOGLETRANSLATE(K14, ""de"", ""en"")"),"If you don't have any trump cards, a card game becomes difficult because you cannot control the trump suit, so it's best to avoid them.")</f>
        <v>If you don't have any trump cards, a card game becomes difficult because you cannot control the trump suit, so it's best to avoid them.</v>
      </c>
      <c r="G14" s="8">
        <v>13.0</v>
      </c>
      <c r="H14" s="7" t="s">
        <v>409</v>
      </c>
      <c r="I14" s="9" t="s">
        <v>358</v>
      </c>
      <c r="J14" s="7" t="s">
        <v>410</v>
      </c>
      <c r="K14" s="7" t="s">
        <v>411</v>
      </c>
    </row>
    <row r="15" ht="22.5" customHeight="1">
      <c r="A15" s="7" t="str">
        <f>IFERROR(__xludf.DUMMYFUNCTION("GOOGLETRANSLATE(G15, ""de"", ""en"")"),"14")</f>
        <v>14</v>
      </c>
      <c r="B15" s="7" t="str">
        <f>IFERROR(__xludf.DUMMYFUNCTION("GOOGLETRANSLATE(H15, ""de"", ""en"")"),"What happens in a ""colors"" game if the declarer wins all the tricks?")</f>
        <v>What happens in a "colors" game if the declarer wins all the tricks?</v>
      </c>
      <c r="C15" s="7" t="s">
        <v>412</v>
      </c>
      <c r="D15" s="7" t="str">
        <f>IFERROR(__xludf.DUMMYFUNCTION("GOOGLETRANSLATE(J15, ""de"", ""en"")"),"You earn extra points")</f>
        <v>You earn extra points</v>
      </c>
      <c r="E15" s="7" t="str">
        <f>IFERROR(__xludf.DUMMYFUNCTION("GOOGLETRANSLATE(K15, ""de"", ""en"")"),"Winning all tricks in a suit game results in an additional bonus for the declarer, which earns him extra points.")</f>
        <v>Winning all tricks in a suit game results in an additional bonus for the declarer, which earns him extra points.</v>
      </c>
      <c r="G15" s="8">
        <v>14.0</v>
      </c>
      <c r="H15" s="7" t="s">
        <v>413</v>
      </c>
      <c r="I15" s="9" t="s">
        <v>414</v>
      </c>
      <c r="J15" s="7" t="s">
        <v>415</v>
      </c>
      <c r="K15" s="7" t="s">
        <v>416</v>
      </c>
    </row>
    <row r="16" ht="22.5" customHeight="1">
      <c r="A16" s="7" t="str">
        <f>IFERROR(__xludf.DUMMYFUNCTION("GOOGLETRANSLATE(G16, ""de"", ""en"")"),"15")</f>
        <v>15</v>
      </c>
      <c r="B16" s="7" t="str">
        <f>IFERROR(__xludf.DUMMYFUNCTION("GOOGLETRANSLATE(H16, ""de"", ""en"")"),"What are the consequences of declaring a game ""zero"" and winning a trick?")</f>
        <v>What are the consequences of declaring a game "zero" and winning a trick?</v>
      </c>
      <c r="C16" s="7" t="s">
        <v>417</v>
      </c>
      <c r="D16" s="7" t="str">
        <f>IFERROR(__xludf.DUMMYFUNCTION("GOOGLETRANSLATE(J16, ""de"", ""en"")"),"You lose points")</f>
        <v>You lose points</v>
      </c>
      <c r="E16" s="7" t="str">
        <f>IFERROR(__xludf.DUMMYFUNCTION("GOOGLETRANSLATE(K16, ""de"", ""en"")"),"In a Null game, winning any trick results in a penalty, as the goal is to avoid winning any tricks at all.")</f>
        <v>In a Null game, winning any trick results in a penalty, as the goal is to avoid winning any tricks at all.</v>
      </c>
      <c r="G16" s="8">
        <v>15.0</v>
      </c>
      <c r="H16" s="7" t="s">
        <v>418</v>
      </c>
      <c r="I16" s="9" t="s">
        <v>419</v>
      </c>
      <c r="J16" s="7" t="s">
        <v>420</v>
      </c>
      <c r="K16" s="7" t="s">
        <v>421</v>
      </c>
    </row>
    <row r="17" ht="22.5" customHeight="1">
      <c r="A17" s="7" t="str">
        <f>IFERROR(__xludf.DUMMYFUNCTION("GOOGLETRANSLATE(G17, ""de"", ""en"")"),"16")</f>
        <v>16</v>
      </c>
      <c r="B17" s="7" t="str">
        <f>IFERROR(__xludf.DUMMYFUNCTION("GOOGLETRANSLATE(H17, ""de"", ""en"")"),"How do you increase your chances of winning in a ""suit"" game with a weak hand?")</f>
        <v>How do you increase your chances of winning in a "suit" game with a weak hand?</v>
      </c>
      <c r="C17" s="7" t="s">
        <v>422</v>
      </c>
      <c r="D17" s="7" t="str">
        <f>IFERROR(__xludf.DUMMYFUNCTION("GOOGLETRANSLATE(J17, ""de"", ""en"")"),"Try to win with trump cards.")</f>
        <v>Try to win with trump cards.</v>
      </c>
      <c r="E17" s="7" t="str">
        <f>IFERROR(__xludf.DUMMYFUNCTION("GOOGLETRANSLATE(K17, ""de"", ""en"")"),"Strategically playing trump cards can help win some tricks, even with a weak hand in a suit game.")</f>
        <v>Strategically playing trump cards can help win some tricks, even with a weak hand in a suit game.</v>
      </c>
      <c r="G17" s="8">
        <v>16.0</v>
      </c>
      <c r="H17" s="7" t="s">
        <v>423</v>
      </c>
      <c r="I17" s="9" t="s">
        <v>424</v>
      </c>
      <c r="J17" s="7" t="s">
        <v>425</v>
      </c>
      <c r="K17" s="7" t="s">
        <v>426</v>
      </c>
    </row>
    <row r="18" ht="22.5" customHeight="1">
      <c r="A18" s="7" t="str">
        <f>IFERROR(__xludf.DUMMYFUNCTION("GOOGLETRANSLATE(G18, ""de"", ""en"")"),"17")</f>
        <v>17</v>
      </c>
      <c r="B18" s="7" t="str">
        <f>IFERROR(__xludf.DUMMYFUNCTION("GOOGLETRANSLATE(H18, ""de"", ""en"")"),"What should you do if you are the solo player and your opponents have a very strong hand?")</f>
        <v>What should you do if you are the solo player and your opponents have a very strong hand?</v>
      </c>
      <c r="C18" s="7" t="s">
        <v>427</v>
      </c>
      <c r="D18" s="7" t="str">
        <f>IFERROR(__xludf.DUMMYFUNCTION("GOOGLETRANSLATE(J18, ""de"", ""en"")"),"Increase your bid")</f>
        <v>Increase your bid</v>
      </c>
      <c r="E18" s="7" t="str">
        <f>IFERROR(__xludf.DUMMYFUNCTION("GOOGLETRANSLATE(K18, ""de"", ""en"")"),"By increasing your bid, you have a better chance of winning points despite your opponents' strong hand.")</f>
        <v>By increasing your bid, you have a better chance of winning points despite your opponents' strong hand.</v>
      </c>
      <c r="G18" s="8">
        <v>17.0</v>
      </c>
      <c r="H18" s="7" t="s">
        <v>428</v>
      </c>
      <c r="I18" s="9" t="s">
        <v>429</v>
      </c>
      <c r="J18" s="7" t="s">
        <v>430</v>
      </c>
      <c r="K18" s="7" t="s">
        <v>431</v>
      </c>
    </row>
    <row r="19" ht="22.5" customHeight="1">
      <c r="A19" s="7" t="str">
        <f>IFERROR(__xludf.DUMMYFUNCTION("GOOGLETRANSLATE(G19, ""de"", ""en"")"),"18")</f>
        <v>18</v>
      </c>
      <c r="B19" s="7" t="str">
        <f>IFERROR(__xludf.DUMMYFUNCTION("GOOGLETRANSLATE(H19, ""de"", ""en"")"),"For what purpose are the playing cards passed around before the game begins?")</f>
        <v>For what purpose are the playing cards passed around before the game begins?</v>
      </c>
      <c r="C19" s="7" t="s">
        <v>432</v>
      </c>
      <c r="D19" s="7" t="str">
        <f>IFERROR(__xludf.DUMMYFUNCTION("GOOGLETRANSLATE(J19, ""de"", ""en"")"),"To discard unwanted cards")</f>
        <v>To discard unwanted cards</v>
      </c>
      <c r="E19" s="7" t="str">
        <f>IFERROR(__xludf.DUMMYFUNCTION("GOOGLETRANSLATE(K19, ""de"", ""en"")"),"By passing the playing cards, players can discard unwanted cards and select better cards for their strategy.")</f>
        <v>By passing the playing cards, players can discard unwanted cards and select better cards for their strategy.</v>
      </c>
      <c r="G19" s="8">
        <v>18.0</v>
      </c>
      <c r="H19" s="7" t="s">
        <v>433</v>
      </c>
      <c r="I19" s="9" t="s">
        <v>434</v>
      </c>
      <c r="J19" s="7" t="s">
        <v>435</v>
      </c>
      <c r="K19" s="7" t="s">
        <v>436</v>
      </c>
    </row>
    <row r="20" ht="22.5" customHeight="1">
      <c r="A20" s="7" t="str">
        <f>IFERROR(__xludf.DUMMYFUNCTION("GOOGLETRANSLATE(G20, ""de"", ""en"")"),"19")</f>
        <v>19</v>
      </c>
      <c r="B20" s="7" t="str">
        <f>IFERROR(__xludf.DUMMYFUNCTION("GOOGLETRANSLATE(H20, ""de"", ""en"")"),"What should you do if your opponents are leading with a low card and you have a higher card of the same suit?")</f>
        <v>What should you do if your opponents are leading with a low card and you have a higher card of the same suit?</v>
      </c>
      <c r="C20" s="7" t="s">
        <v>437</v>
      </c>
      <c r="D20" s="7" t="str">
        <f>IFERROR(__xludf.DUMMYFUNCTION("GOOGLETRANSLATE(J20, ""de"", ""en"")"),"Play your higher card")</f>
        <v>Play your higher card</v>
      </c>
      <c r="E20" s="7" t="str">
        <f>IFERROR(__xludf.DUMMYFUNCTION("GOOGLETRANSLATE(K20, ""de"", ""en"")"),"If you play a higher card, you can win the trick by beating your opponent's lower card.")</f>
        <v>If you play a higher card, you can win the trick by beating your opponent's lower card.</v>
      </c>
      <c r="G20" s="8">
        <v>19.0</v>
      </c>
      <c r="H20" s="7" t="s">
        <v>438</v>
      </c>
      <c r="I20" s="9" t="s">
        <v>439</v>
      </c>
      <c r="J20" s="7" t="s">
        <v>440</v>
      </c>
      <c r="K20" s="7" t="s">
        <v>441</v>
      </c>
    </row>
    <row r="21" ht="22.5" customHeight="1">
      <c r="A21" s="7" t="str">
        <f>IFERROR(__xludf.DUMMYFUNCTION("GOOGLETRANSLATE(G21, ""de"", ""en"")"),"20")</f>
        <v>20</v>
      </c>
      <c r="B21" s="7" t="str">
        <f>IFERROR(__xludf.DUMMYFUNCTION("GOOGLETRANSLATE(H21, ""de"", ""en"")"),"What does it mean to play a game of ""Skat""?")</f>
        <v>What does it mean to play a game of "Skat"?</v>
      </c>
      <c r="C21" s="7" t="s">
        <v>442</v>
      </c>
      <c r="D21" s="7" t="str">
        <f>IFERROR(__xludf.DUMMYFUNCTION("GOOGLETRANSLATE(J21, ""de"", ""en"")"),"A game played with a weak hand")</f>
        <v>A game played with a weak hand</v>
      </c>
      <c r="E21" s="7" t="str">
        <f>IFERROR(__xludf.DUMMYFUNCTION("GOOGLETRANSLATE(K21, ""de"", ""en"")"),"In a game of Skat, the aim is to pass cards on to improve one's own hand and to play with a weaker lineup, often making strategic decisions.")</f>
        <v>In a game of Skat, the aim is to pass cards on to improve one's own hand and to play with a weaker lineup, often making strategic decisions.</v>
      </c>
      <c r="G21" s="8">
        <v>20.0</v>
      </c>
      <c r="H21" s="7" t="s">
        <v>443</v>
      </c>
      <c r="I21" s="9" t="s">
        <v>444</v>
      </c>
      <c r="J21" s="7" t="s">
        <v>445</v>
      </c>
      <c r="K21" s="7" t="s">
        <v>446</v>
      </c>
    </row>
    <row r="22" ht="22.5" customHeight="1">
      <c r="A22" s="7" t="str">
        <f>IFERROR(__xludf.DUMMYFUNCTION("GOOGLETRANSLATE(G22, ""de"", ""en"")"),"21")</f>
        <v>21</v>
      </c>
      <c r="B22" s="7" t="str">
        <f>IFERROR(__xludf.DUMMYFUNCTION("GOOGLETRANSLATE(H22, ""de"", ""en"")"),"What is the main strategy for the solo player in a Grand game?")</f>
        <v>What is the main strategy for the solo player in a Grand game?</v>
      </c>
      <c r="C22" s="7" t="s">
        <v>447</v>
      </c>
      <c r="D22" s="7" t="str">
        <f>IFERROR(__xludf.DUMMYFUNCTION("GOOGLETRANSLATE(J22, ""de"", ""en"")"),"To win all the tricks")</f>
        <v>To win all the tricks</v>
      </c>
      <c r="E22" s="7" t="str">
        <f>IFERROR(__xludf.DUMMYFUNCTION("GOOGLETRANSLATE(K22, ""de"", ""en"")"),"The main objective in a large game is to win all the tricks, with the soloist using only the jacks as trump cards.")</f>
        <v>The main objective in a large game is to win all the tricks, with the soloist using only the jacks as trump cards.</v>
      </c>
      <c r="G22" s="8">
        <v>21.0</v>
      </c>
      <c r="H22" s="7" t="s">
        <v>448</v>
      </c>
      <c r="I22" s="9" t="s">
        <v>449</v>
      </c>
      <c r="J22" s="7" t="s">
        <v>450</v>
      </c>
      <c r="K22" s="7" t="s">
        <v>451</v>
      </c>
    </row>
    <row r="23" ht="22.5" customHeight="1">
      <c r="A23" s="7" t="str">
        <f>IFERROR(__xludf.DUMMYFUNCTION("GOOGLETRANSLATE(G23, ""de"", ""en"")"),"22")</f>
        <v>22</v>
      </c>
      <c r="B23" s="7" t="str">
        <f>IFERROR(__xludf.DUMMYFUNCTION("GOOGLETRANSLATE(H23, ""de"", ""en"")"),"What does ""Schneider"" refer to in Skat?")</f>
        <v>What does "Schneider" refer to in Skat?</v>
      </c>
      <c r="C23" s="7" t="s">
        <v>452</v>
      </c>
      <c r="D23" s="7" t="str">
        <f>IFERROR(__xludf.DUMMYFUNCTION("GOOGLETRANSLATE(J23, ""de"", ""en"")"),"They lose with fewer than two stitches")</f>
        <v>They lose with fewer than two stitches</v>
      </c>
      <c r="E23" s="7" t="str">
        <f>IFERROR(__xludf.DUMMYFUNCTION("GOOGLETRANSLATE(K23, ""de"", ""en"")"),"In Skat, Schneider receives a penalty for losing with fewer than two tricks, which indicates a poor performance.")</f>
        <v>In Skat, Schneider receives a penalty for losing with fewer than two tricks, which indicates a poor performance.</v>
      </c>
      <c r="G23" s="8">
        <v>22.0</v>
      </c>
      <c r="H23" s="7" t="s">
        <v>453</v>
      </c>
      <c r="I23" s="9" t="s">
        <v>454</v>
      </c>
      <c r="J23" s="7" t="s">
        <v>407</v>
      </c>
      <c r="K23" s="7" t="s">
        <v>455</v>
      </c>
    </row>
    <row r="24" ht="22.5" customHeight="1">
      <c r="A24" s="7" t="str">
        <f>IFERROR(__xludf.DUMMYFUNCTION("GOOGLETRANSLATE(G24, ""de"", ""en"")"),"23")</f>
        <v>23</v>
      </c>
      <c r="B24" s="7" t="str">
        <f>IFERROR(__xludf.DUMMYFUNCTION("GOOGLETRANSLATE(H24, ""de"", ""en"")"),"How does a ""zero"" game differ from other types of Skat games?")</f>
        <v>How does a "zero" game differ from other types of Skat games?</v>
      </c>
      <c r="C24" s="7" t="s">
        <v>456</v>
      </c>
      <c r="D24" s="7" t="str">
        <f>IFERROR(__xludf.DUMMYFUNCTION("GOOGLETRANSLATE(J24, ""de"", ""en"")"),"The player's goal is to win no tricks.")</f>
        <v>The player's goal is to win no tricks.</v>
      </c>
      <c r="E24" s="7" t="str">
        <f>IFERROR(__xludf.DUMMYFUNCTION("GOOGLETRANSLATE(K24, ""de"", ""en"")"),"In a Null game, the goal is to lose all tricks. This distinguishes it significantly from other types of games where the aim is to win tricks.")</f>
        <v>In a Null game, the goal is to lose all tricks. This distinguishes it significantly from other types of games where the aim is to win tricks.</v>
      </c>
      <c r="G24" s="8">
        <v>23.0</v>
      </c>
      <c r="H24" s="7" t="s">
        <v>457</v>
      </c>
      <c r="I24" s="9" t="s">
        <v>458</v>
      </c>
      <c r="J24" s="7" t="s">
        <v>459</v>
      </c>
      <c r="K24" s="7" t="s">
        <v>460</v>
      </c>
    </row>
    <row r="25" ht="22.5" customHeight="1">
      <c r="A25" s="7" t="str">
        <f>IFERROR(__xludf.DUMMYFUNCTION("GOOGLETRANSLATE(G25, ""de"", ""en"")"),"24")</f>
        <v>24</v>
      </c>
      <c r="B25" s="7" t="str">
        <f>IFERROR(__xludf.DUMMYFUNCTION("GOOGLETRANSLATE(H25, ""de"", ""en"")"),"What are the consequences of declaring a game ""zero"" and then winning a trick?")</f>
        <v>What are the consequences of declaring a game "zero" and then winning a trick?</v>
      </c>
      <c r="C25" s="7" t="s">
        <v>461</v>
      </c>
      <c r="D25" s="7" t="str">
        <f>IFERROR(__xludf.DUMMYFUNCTION("GOOGLETRANSLATE(J25, ""de"", ""en"")"),"The player loses the game.")</f>
        <v>The player loses the game.</v>
      </c>
      <c r="E25" s="7" t="str">
        <f>IFERROR(__xludf.DUMMYFUNCTION("GOOGLETRANSLATE(K25, ""de"", ""en"")"),"Winning a trick in a Null game constitutes a violation of the rules and automatically results in a loss for the player.")</f>
        <v>Winning a trick in a Null game constitutes a violation of the rules and automatically results in a loss for the player.</v>
      </c>
      <c r="G25" s="8">
        <v>24.0</v>
      </c>
      <c r="H25" s="7" t="s">
        <v>462</v>
      </c>
      <c r="I25" s="9" t="s">
        <v>463</v>
      </c>
      <c r="J25" s="7" t="s">
        <v>464</v>
      </c>
      <c r="K25" s="7" t="s">
        <v>465</v>
      </c>
    </row>
    <row r="26" ht="22.5" customHeight="1">
      <c r="A26" s="7" t="str">
        <f>IFERROR(__xludf.DUMMYFUNCTION("GOOGLETRANSLATE(G26, ""de"", ""en"")"),"25")</f>
        <v>25</v>
      </c>
      <c r="B26" s="7" t="str">
        <f>IFERROR(__xludf.DUMMYFUNCTION("GOOGLETRANSLATE(H26, ""de"", ""en"")"),"What role do trump cards play in playing a ""suits"" game?")</f>
        <v>What role do trump cards play in playing a "suits" game?</v>
      </c>
      <c r="C26" s="7" t="s">
        <v>466</v>
      </c>
      <c r="D26" s="7" t="str">
        <f>IFERROR(__xludf.DUMMYFUNCTION("GOOGLETRANSLATE(J26, ""de"", ""en"")"),"With them, every trick can be won.")</f>
        <v>With them, every trick can be won.</v>
      </c>
      <c r="E26" s="7" t="str">
        <f>IFERROR(__xludf.DUMMYFUNCTION("GOOGLETRANSLATE(K26, ""de"", ""en"")"),"Trump cards in a suit game have the power to win every trick, even if the opponent is leading with a higher card of a different suit.")</f>
        <v>Trump cards in a suit game have the power to win every trick, even if the opponent is leading with a higher card of a different suit.</v>
      </c>
      <c r="G26" s="8">
        <v>25.0</v>
      </c>
      <c r="H26" s="7" t="s">
        <v>467</v>
      </c>
      <c r="I26" s="9" t="s">
        <v>468</v>
      </c>
      <c r="J26" s="7" t="s">
        <v>469</v>
      </c>
      <c r="K26" s="7" t="s">
        <v>470</v>
      </c>
    </row>
    <row r="27" ht="22.5" customHeight="1">
      <c r="A27" s="7" t="str">
        <f>IFERROR(__xludf.DUMMYFUNCTION("GOOGLETRANSLATE(G27, ""de"", ""en"")"),"26")</f>
        <v>26</v>
      </c>
      <c r="B27" s="7" t="str">
        <f>IFERROR(__xludf.DUMMYFUNCTION("GOOGLETRANSLATE(H27, ""de"", ""en"")"),"How many players are needed at a minimum to play a standard game of Skat?")</f>
        <v>How many players are needed at a minimum to play a standard game of Skat?</v>
      </c>
      <c r="C27" s="7" t="s">
        <v>471</v>
      </c>
      <c r="D27" s="7" t="str">
        <f>IFERROR(__xludf.DUMMYFUNCTION("GOOGLETRANSLATE(J27, ""de"", ""en"")"),"Three")</f>
        <v>Three</v>
      </c>
      <c r="E27" s="7" t="str">
        <f>IFERROR(__xludf.DUMMYFUNCTION("GOOGLETRANSLATE(K27, ""de"", ""en"")"),"Skat is traditionally played with three players, with each player taking turns playing as a soloist and playing with two hands (the skat).")</f>
        <v>Skat is traditionally played with three players, with each player taking turns playing as a soloist and playing with two hands (the skat).</v>
      </c>
      <c r="G27" s="8">
        <v>26.0</v>
      </c>
      <c r="H27" s="7" t="s">
        <v>472</v>
      </c>
      <c r="I27" s="9" t="s">
        <v>473</v>
      </c>
      <c r="J27" s="7" t="s">
        <v>474</v>
      </c>
      <c r="K27" s="7" t="s">
        <v>475</v>
      </c>
    </row>
    <row r="28" ht="22.5" customHeight="1">
      <c r="A28" s="7" t="str">
        <f>IFERROR(__xludf.DUMMYFUNCTION("GOOGLETRANSLATE(G28, ""de"", ""en"")"),"27")</f>
        <v>27</v>
      </c>
      <c r="B28" s="7" t="str">
        <f>IFERROR(__xludf.DUMMYFUNCTION("GOOGLETRANSLATE(H28, ""de"", ""en"")"),"What happens next in Skat if the soloist wins the first trick?")</f>
        <v>What happens next in Skat if the soloist wins the first trick?</v>
      </c>
      <c r="C28" s="7" t="s">
        <v>476</v>
      </c>
      <c r="D28" s="7" t="str">
        <f>IFERROR(__xludf.DUMMYFUNCTION("GOOGLETRANSLATE(J28, ""de"", ""en"")"),"The soloist takes the next trick.")</f>
        <v>The soloist takes the next trick.</v>
      </c>
      <c r="E28" s="7" t="str">
        <f>IFERROR(__xludf.DUMMYFUNCTION("GOOGLETRANSLATE(K28, ""de"", ""en"")"),"In Skat, if the soloist wins the first trick, he is allowed to play the next trick and thus retains control of the game.")</f>
        <v>In Skat, if the soloist wins the first trick, he is allowed to play the next trick and thus retains control of the game.</v>
      </c>
      <c r="G28" s="8">
        <v>27.0</v>
      </c>
      <c r="H28" s="7" t="s">
        <v>477</v>
      </c>
      <c r="I28" s="9" t="s">
        <v>478</v>
      </c>
      <c r="J28" s="7" t="s">
        <v>479</v>
      </c>
      <c r="K28" s="7" t="s">
        <v>480</v>
      </c>
    </row>
    <row r="29" ht="22.5" customHeight="1">
      <c r="A29" s="7" t="str">
        <f>IFERROR(__xludf.DUMMYFUNCTION("GOOGLETRANSLATE(G29, ""de"", ""en"")"),"28")</f>
        <v>28</v>
      </c>
      <c r="B29" s="7" t="str">
        <f>IFERROR(__xludf.DUMMYFUNCTION("GOOGLETRANSLATE(H29, ""de"", ""en"")"),"What is a key strategy when playing a ""suit"" game with a weak hand?")</f>
        <v>What is a key strategy when playing a "suit" game with a weak hand?</v>
      </c>
      <c r="C29" s="7" t="s">
        <v>481</v>
      </c>
      <c r="D29" s="7" t="str">
        <f>IFERROR(__xludf.DUMMYFUNCTION("GOOGLETRANSLATE(J29, ""de"", ""en"")"),"Focus on small suits")</f>
        <v>Focus on small suits</v>
      </c>
      <c r="E29" s="7" t="str">
        <f>IFERROR(__xludf.DUMMYFUNCTION("GOOGLETRANSLATE(K29, ""de"", ""en"")"),"If you have a weak hand in a suit game, concentrating on small suits can help you avoid betting too much on high cards and control the flow of the game.")</f>
        <v>If you have a weak hand in a suit game, concentrating on small suits can help you avoid betting too much on high cards and control the flow of the game.</v>
      </c>
      <c r="G29" s="8">
        <v>28.0</v>
      </c>
      <c r="H29" s="7" t="s">
        <v>482</v>
      </c>
      <c r="I29" s="9" t="s">
        <v>483</v>
      </c>
      <c r="J29" s="7" t="s">
        <v>484</v>
      </c>
      <c r="K29" s="7" t="s">
        <v>485</v>
      </c>
    </row>
    <row r="30" ht="22.5" customHeight="1">
      <c r="A30" s="7" t="str">
        <f>IFERROR(__xludf.DUMMYFUNCTION("GOOGLETRANSLATE(G30, ""de"", ""en"")"),"29")</f>
        <v>29</v>
      </c>
      <c r="B30" s="7" t="str">
        <f>IFERROR(__xludf.DUMMYFUNCTION("GOOGLETRANSLATE(H30, ""de"", ""en"")"),"How does the game ""Grand"" differ from ""Suit"" games?")</f>
        <v>How does the game "Grand" differ from "Suit" games?</v>
      </c>
      <c r="C30" s="7" t="s">
        <v>486</v>
      </c>
      <c r="D30" s="7" t="str">
        <f>IFERROR(__xludf.DUMMYFUNCTION("GOOGLETRANSLATE(J30, ""de"", ""en"")"),"The soloist uses only jacks as trump cards.")</f>
        <v>The soloist uses only jacks as trump cards.</v>
      </c>
      <c r="E30" s="7" t="str">
        <f>IFERROR(__xludf.DUMMYFUNCTION("GOOGLETRANSLATE(K30, ""de"", ""en"")"),"In a large game, only the jacks are considered trump cards, and the soloist must win all tricks with these cards.")</f>
        <v>In a large game, only the jacks are considered trump cards, and the soloist must win all tricks with these cards.</v>
      </c>
      <c r="G30" s="8">
        <v>29.0</v>
      </c>
      <c r="H30" s="7" t="s">
        <v>487</v>
      </c>
      <c r="I30" s="9" t="s">
        <v>488</v>
      </c>
      <c r="J30" s="7" t="s">
        <v>489</v>
      </c>
      <c r="K30" s="7" t="s">
        <v>490</v>
      </c>
    </row>
    <row r="31" ht="22.5" customHeight="1">
      <c r="A31" s="7" t="str">
        <f>IFERROR(__xludf.DUMMYFUNCTION("GOOGLETRANSLATE(G31, ""de"", ""en"")"),"30")</f>
        <v>30</v>
      </c>
      <c r="B31" s="7" t="str">
        <f>IFERROR(__xludf.DUMMYFUNCTION("GOOGLETRANSLATE(H31, ""de"", ""en"")"),"What does it mean to ""pass"" the Skat game?")</f>
        <v>What does it mean to "pass" the Skat game?</v>
      </c>
      <c r="C31" s="7" t="s">
        <v>491</v>
      </c>
      <c r="D31" s="7" t="str">
        <f>IFERROR(__xludf.DUMMYFUNCTION("GOOGLETRANSLATE(J31, ""de"", ""en"")"),"To discard unwanted cards")</f>
        <v>To discard unwanted cards</v>
      </c>
      <c r="E31" s="7" t="str">
        <f>IFERROR(__xludf.DUMMYFUNCTION("GOOGLETRANSLATE(K31, ""de"", ""en"")"),"If you pass the Skat, you can discard two cards and receive two new ones to improve your hand.")</f>
        <v>If you pass the Skat, you can discard two cards and receive two new ones to improve your hand.</v>
      </c>
      <c r="G31" s="8">
        <v>30.0</v>
      </c>
      <c r="H31" s="7" t="s">
        <v>492</v>
      </c>
      <c r="I31" s="9" t="s">
        <v>493</v>
      </c>
      <c r="J31" s="7" t="s">
        <v>435</v>
      </c>
      <c r="K31" s="7" t="s">
        <v>494</v>
      </c>
    </row>
    <row r="32" ht="22.5" customHeight="1">
      <c r="A32" s="7" t="str">
        <f>IFERROR(__xludf.DUMMYFUNCTION("GOOGLETRANSLATE(G32, ""de"", ""en"")"),"31")</f>
        <v>31</v>
      </c>
      <c r="B32" s="7" t="str">
        <f>IFERROR(__xludf.DUMMYFUNCTION("GOOGLETRANSLATE(H32, ""de"", ""en"")"),"What is the best move when playing a suit game and your opponent leads with a high card?")</f>
        <v>What is the best move when playing a suit game and your opponent leads with a high card?</v>
      </c>
      <c r="C32" s="7" t="s">
        <v>495</v>
      </c>
      <c r="D32" s="7" t="str">
        <f>IFERROR(__xludf.DUMMYFUNCTION("GOOGLETRANSLATE(J32, ""de"", ""en"")"),"Play a higher card")</f>
        <v>Play a higher card</v>
      </c>
      <c r="E32" s="7" t="str">
        <f>IFERROR(__xludf.DUMMYFUNCTION("GOOGLETRANSLATE(K32, ""de"", ""en"")"),"If you play a higher card, you have a chance to win the trick and control the game.")</f>
        <v>If you play a higher card, you have a chance to win the trick and control the game.</v>
      </c>
      <c r="G32" s="8">
        <v>31.0</v>
      </c>
      <c r="H32" s="7" t="s">
        <v>496</v>
      </c>
      <c r="I32" s="9" t="s">
        <v>497</v>
      </c>
      <c r="J32" s="7" t="s">
        <v>498</v>
      </c>
      <c r="K32" s="7" t="s">
        <v>499</v>
      </c>
    </row>
    <row r="33" ht="22.5" customHeight="1">
      <c r="A33" s="7" t="str">
        <f>IFERROR(__xludf.DUMMYFUNCTION("GOOGLETRANSLATE(G33, ""de"", ""en"")"),"32")</f>
        <v>32</v>
      </c>
      <c r="B33" s="7" t="str">
        <f>IFERROR(__xludf.DUMMYFUNCTION("GOOGLETRANSLATE(H33, ""de"", ""en"")"),"What is the highest possible score for a ""Grand"" game in Skat?")</f>
        <v>What is the highest possible score for a "Grand" game in Skat?</v>
      </c>
      <c r="C33" s="7" t="s">
        <v>500</v>
      </c>
      <c r="D33" s="7" t="str">
        <f>IFERROR(__xludf.DUMMYFUNCTION("GOOGLETRANSLATE(J33, ""de"", ""en"")"),"200")</f>
        <v>200</v>
      </c>
      <c r="E33" s="7" t="str">
        <f>IFERROR(__xludf.DUMMYFUNCTION("GOOGLETRANSLATE(K33, ""de"", ""en"")"),"A large game can be worth up to 200 points if the soloist wins all the tricks.")</f>
        <v>A large game can be worth up to 200 points if the soloist wins all the tricks.</v>
      </c>
      <c r="G33" s="8">
        <v>32.0</v>
      </c>
      <c r="H33" s="7" t="s">
        <v>501</v>
      </c>
      <c r="I33" s="9" t="s">
        <v>500</v>
      </c>
      <c r="J33" s="8">
        <v>200.0</v>
      </c>
      <c r="K33" s="7" t="s">
        <v>502</v>
      </c>
    </row>
    <row r="34" ht="22.5" customHeight="1">
      <c r="A34" s="7" t="str">
        <f>IFERROR(__xludf.DUMMYFUNCTION("GOOGLETRANSLATE(G34, ""de"", ""en"")"),"33")</f>
        <v>33</v>
      </c>
      <c r="B34" s="7" t="str">
        <f>IFERROR(__xludf.DUMMYFUNCTION("GOOGLETRANSLATE(H34, ""de"", ""en"")"),"What is the purpose of bidding in Skat?")</f>
        <v>What is the purpose of bidding in Skat?</v>
      </c>
      <c r="C34" s="7" t="s">
        <v>503</v>
      </c>
      <c r="D34" s="7" t="str">
        <f>IFERROR(__xludf.DUMMYFUNCTION("GOOGLETRANSLATE(J34, ""de"", ""en"")"),"To set the stake")</f>
        <v>To set the stake</v>
      </c>
      <c r="E34" s="7" t="str">
        <f>IFERROR(__xludf.DUMMYFUNCTION("GOOGLETRANSLATE(K34, ""de"", ""en"")"),"The bidding phase in Skat determines the stakes and decides who the solo player will be and what type of game will be played.")</f>
        <v>The bidding phase in Skat determines the stakes and decides who the solo player will be and what type of game will be played.</v>
      </c>
      <c r="G34" s="8">
        <v>33.0</v>
      </c>
      <c r="H34" s="7" t="s">
        <v>504</v>
      </c>
      <c r="I34" s="9" t="s">
        <v>505</v>
      </c>
      <c r="J34" s="7" t="s">
        <v>506</v>
      </c>
      <c r="K34" s="7" t="s">
        <v>507</v>
      </c>
    </row>
    <row r="35" ht="22.5" customHeight="1">
      <c r="A35" s="7" t="str">
        <f>IFERROR(__xludf.DUMMYFUNCTION("GOOGLETRANSLATE(G35, ""de"", ""en"")"),"34")</f>
        <v>34</v>
      </c>
      <c r="B35" s="7" t="str">
        <f>IFERROR(__xludf.DUMMYFUNCTION("GOOGLETRANSLATE(H35, ""de"", ""en"")"),"How do you score points in Skat when playing a ""zero"" game?")</f>
        <v>How do you score points in Skat when playing a "zero" game?</v>
      </c>
      <c r="C35" s="7" t="s">
        <v>508</v>
      </c>
      <c r="D35" s="7" t="str">
        <f>IFERROR(__xludf.DUMMYFUNCTION("GOOGLETRANSLATE(J35, ""de"", ""en"")"),"You lose points for every trick won.")</f>
        <v>You lose points for every trick won.</v>
      </c>
      <c r="E35" s="7" t="str">
        <f>IFERROR(__xludf.DUMMYFUNCTION("GOOGLETRANSLATE(K35, ""de"", ""en"")"),"In a zero game, winning tricks results in a penalty. The goal, therefore, is to avoid winning tricks.")</f>
        <v>In a zero game, winning tricks results in a penalty. The goal, therefore, is to avoid winning tricks.</v>
      </c>
      <c r="G35" s="8">
        <v>34.0</v>
      </c>
      <c r="H35" s="7" t="s">
        <v>509</v>
      </c>
      <c r="I35" s="9" t="s">
        <v>510</v>
      </c>
      <c r="J35" s="7" t="s">
        <v>511</v>
      </c>
      <c r="K35" s="7" t="s">
        <v>512</v>
      </c>
    </row>
    <row r="36" ht="22.5" customHeight="1">
      <c r="A36" s="7" t="str">
        <f>IFERROR(__xludf.DUMMYFUNCTION("GOOGLETRANSLATE(G36, ""de"", ""en"")"),"35")</f>
        <v>35</v>
      </c>
      <c r="B36" s="7" t="str">
        <f>IFERROR(__xludf.DUMMYFUNCTION("GOOGLETRANSLATE(H36, ""de"", ""en"")"),"What role do picture cards play in Skat?")</f>
        <v>What role do picture cards play in Skat?</v>
      </c>
      <c r="C36" s="7" t="s">
        <v>513</v>
      </c>
      <c r="D36" s="7" t="str">
        <f>IFERROR(__xludf.DUMMYFUNCTION("GOOGLETRANSLATE(J36, ""de"", ""en"")"),"They are more valuable in suit games")</f>
        <v>They are more valuable in suit games</v>
      </c>
      <c r="E36" s="7" t="str">
        <f>IFERROR(__xludf.DUMMYFUNCTION("GOOGLETRANSLATE(K36, ""de"", ""en"")"),"Picture cards (jacks, queens, kings) have a higher value in suit games and can be crucial for winning tricks.")</f>
        <v>Picture cards (jacks, queens, kings) have a higher value in suit games and can be crucial for winning tricks.</v>
      </c>
      <c r="G36" s="8">
        <v>35.0</v>
      </c>
      <c r="H36" s="7" t="s">
        <v>514</v>
      </c>
      <c r="I36" s="9" t="s">
        <v>515</v>
      </c>
      <c r="J36" s="7" t="s">
        <v>516</v>
      </c>
      <c r="K36" s="7" t="s">
        <v>517</v>
      </c>
    </row>
    <row r="37" ht="22.5" customHeight="1">
      <c r="A37" s="7" t="str">
        <f>IFERROR(__xludf.DUMMYFUNCTION("GOOGLETRANSLATE(G37, ""de"", ""en"")"),"36")</f>
        <v>36</v>
      </c>
      <c r="B37" s="7" t="str">
        <f>IFERROR(__xludf.DUMMYFUNCTION("GOOGLETRANSLATE(H37, ""de"", ""en"")"),"What happens in Skat if the soloist wins all 10 tricks in a suit game?")</f>
        <v>What happens in Skat if the soloist wins all 10 tricks in a suit game?</v>
      </c>
      <c r="C37" s="7" t="s">
        <v>518</v>
      </c>
      <c r="D37" s="7" t="str">
        <f>IFERROR(__xludf.DUMMYFUNCTION("GOOGLETRANSLATE(J37, ""de"", ""en"")"),"The solo player receives bonus points.")</f>
        <v>The solo player receives bonus points.</v>
      </c>
      <c r="E37" s="7" t="str">
        <f>IFERROR(__xludf.DUMMYFUNCTION("GOOGLETRANSLATE(K37, ""de"", ""en"")"),"Winning all 10 tricks in a suit game earns the declarer bonus points as an additional achievement.")</f>
        <v>Winning all 10 tricks in a suit game earns the declarer bonus points as an additional achievement.</v>
      </c>
      <c r="G37" s="8">
        <v>36.0</v>
      </c>
      <c r="H37" s="7" t="s">
        <v>519</v>
      </c>
      <c r="I37" s="9" t="s">
        <v>520</v>
      </c>
      <c r="J37" s="7" t="s">
        <v>521</v>
      </c>
      <c r="K37" s="7" t="s">
        <v>522</v>
      </c>
    </row>
    <row r="38" ht="22.5" customHeight="1">
      <c r="A38" s="7" t="str">
        <f>IFERROR(__xludf.DUMMYFUNCTION("GOOGLETRANSLATE(G38, ""de"", ""en"")"),"37")</f>
        <v>37</v>
      </c>
      <c r="B38" s="7" t="str">
        <f>IFERROR(__xludf.DUMMYFUNCTION("GOOGLETRANSLATE(H38, ""de"", ""en"")"),"What does ""bidding"" mean in the context of Skat?")</f>
        <v>What does "bidding" mean in the context of Skat?</v>
      </c>
      <c r="C38" s="7" t="s">
        <v>523</v>
      </c>
      <c r="D38" s="7" t="str">
        <f>IFERROR(__xludf.DUMMYFUNCTION("GOOGLETRANSLATE(J38, ""de"", ""en"")"),"A phase in which players bid on the game")</f>
        <v>A phase in which players bid on the game</v>
      </c>
      <c r="E38" s="7" t="str">
        <f>IFERROR(__xludf.DUMMYFUNCTION("GOOGLETRANSLATE(K38, ""de"", ""en"")"),"“Bidding” refers to the phase in which players bid on whether they want to play a solo game or choose the type of game.")</f>
        <v>“Bidding” refers to the phase in which players bid on whether they want to play a solo game or choose the type of game.</v>
      </c>
      <c r="G38" s="8">
        <v>37.0</v>
      </c>
      <c r="H38" s="7" t="s">
        <v>524</v>
      </c>
      <c r="I38" s="9" t="s">
        <v>525</v>
      </c>
      <c r="J38" s="7" t="s">
        <v>526</v>
      </c>
      <c r="K38" s="7" t="s">
        <v>527</v>
      </c>
    </row>
    <row r="39" ht="22.5" customHeight="1">
      <c r="A39" s="7" t="str">
        <f>IFERROR(__xludf.DUMMYFUNCTION("GOOGLETRANSLATE(G39, ""de"", ""en"")"),"38")</f>
        <v>38</v>
      </c>
      <c r="B39" s="7" t="str">
        <f>IFERROR(__xludf.DUMMYFUNCTION("GOOGLETRANSLATE(H39, ""de"", ""en"")"),"In a ""colors"" game, how do you handle a situation where your opponent leads with a card of the trump suit?")</f>
        <v>In a "colors" game, how do you handle a situation where your opponent leads with a card of the trump suit?</v>
      </c>
      <c r="C39" s="7" t="s">
        <v>528</v>
      </c>
      <c r="D39" s="7" t="str">
        <f>IFERROR(__xludf.DUMMYFUNCTION("GOOGLETRANSLATE(J39, ""de"", ""en"")"),"Play your highest trump card")</f>
        <v>Play your highest trump card</v>
      </c>
      <c r="E39" s="7" t="str">
        <f>IFERROR(__xludf.DUMMYFUNCTION("GOOGLETRANSLATE(K39, ""de"", ""en"")"),"If an opponent leads with a trump card, you may have to play your highest trump card to win the trick.")</f>
        <v>If an opponent leads with a trump card, you may have to play your highest trump card to win the trick.</v>
      </c>
      <c r="G39" s="8">
        <v>38.0</v>
      </c>
      <c r="H39" s="7" t="s">
        <v>529</v>
      </c>
      <c r="I39" s="9" t="s">
        <v>530</v>
      </c>
      <c r="J39" s="7" t="s">
        <v>531</v>
      </c>
      <c r="K39" s="7" t="s">
        <v>532</v>
      </c>
    </row>
    <row r="40" ht="22.5" customHeight="1">
      <c r="A40" s="7" t="str">
        <f>IFERROR(__xludf.DUMMYFUNCTION("GOOGLETRANSLATE(G40, ""de"", ""en"")"),"39")</f>
        <v>39</v>
      </c>
      <c r="B40" s="7" t="str">
        <f>IFERROR(__xludf.DUMMYFUNCTION("GOOGLETRANSLATE(H40, ""de"", ""en"")"),"How can you, as a single player in a ""colors"" game, avoid losing a trick?")</f>
        <v>How can you, as a single player in a "colors" game, avoid losing a trick?</v>
      </c>
      <c r="C40" s="7" t="s">
        <v>533</v>
      </c>
      <c r="D40" s="7" t="str">
        <f>IFERROR(__xludf.DUMMYFUNCTION("GOOGLETRANSLATE(J40, ""de"", ""en"")"),"By controlling the trump suit")</f>
        <v>By controlling the trump suit</v>
      </c>
      <c r="E40" s="7" t="str">
        <f>IFERROR(__xludf.DUMMYFUNCTION("GOOGLETRANSLATE(K40, ""de"", ""en"")"),"By controlling the trump suit, you can win tricks and determine the pace of the game.")</f>
        <v>By controlling the trump suit, you can win tricks and determine the pace of the game.</v>
      </c>
      <c r="G40" s="8">
        <v>39.0</v>
      </c>
      <c r="H40" s="7" t="s">
        <v>534</v>
      </c>
      <c r="I40" s="9" t="s">
        <v>535</v>
      </c>
      <c r="J40" s="7" t="s">
        <v>536</v>
      </c>
      <c r="K40" s="7" t="s">
        <v>537</v>
      </c>
    </row>
    <row r="41" ht="22.5" customHeight="1">
      <c r="A41" s="7" t="str">
        <f>IFERROR(__xludf.DUMMYFUNCTION("GOOGLETRANSLATE(G41, ""de"", ""en"")"),"40")</f>
        <v>40</v>
      </c>
      <c r="B41" s="7" t="str">
        <f>IFERROR(__xludf.DUMMYFUNCTION("GOOGLETRANSLATE(H41, ""de"", ""en"")"),"What does it mean when a player in Skat has a ""Schneider""?")</f>
        <v>What does it mean when a player in Skat has a "Schneider"?</v>
      </c>
      <c r="C41" s="7" t="s">
        <v>538</v>
      </c>
      <c r="D41" s="7" t="str">
        <f>IFERROR(__xludf.DUMMYFUNCTION("GOOGLETRANSLATE(J41, ""de"", ""en"")"),"They lost by winning fewer than two tricks.")</f>
        <v>They lost by winning fewer than two tricks.</v>
      </c>
      <c r="E41" s="7" t="str">
        <f>IFERROR(__xludf.DUMMYFUNCTION("GOOGLETRANSLATE(K41, ""de"", ""en"")"),"“Schneider” points out that a player has lost because he has not won more than one trick, which often results in a significant penalty.")</f>
        <v>“Schneider” points out that a player has lost because he has not won more than one trick, which often results in a significant penalty.</v>
      </c>
      <c r="G41" s="8">
        <v>40.0</v>
      </c>
      <c r="H41" s="7" t="s">
        <v>539</v>
      </c>
      <c r="I41" s="9" t="s">
        <v>540</v>
      </c>
      <c r="J41" s="7" t="s">
        <v>541</v>
      </c>
      <c r="K41" s="7" t="s">
        <v>542</v>
      </c>
    </row>
    <row r="42" ht="22.5" customHeight="1">
      <c r="A42" s="7" t="str">
        <f>IFERROR(__xludf.DUMMYFUNCTION("GOOGLETRANSLATE(G42, ""de"", ""en"")"),"41")</f>
        <v>41</v>
      </c>
      <c r="B42" s="7" t="str">
        <f>IFERROR(__xludf.DUMMYFUNCTION("GOOGLETRANSLATE(H42, ""de"", ""en"")"),"What are the conditions for declaring a ""large"" game in Skat?")</f>
        <v>What are the conditions for declaring a "large" game in Skat?</v>
      </c>
      <c r="C42" s="7" t="s">
        <v>543</v>
      </c>
      <c r="D42" s="7" t="str">
        <f>IFERROR(__xludf.DUMMYFUNCTION("GOOGLETRANSLATE(J42, ""de"", ""en"")"),"They only use jacks as trump cards.")</f>
        <v>They only use jacks as trump cards.</v>
      </c>
      <c r="E42" s="7" t="str">
        <f>IFERROR(__xludf.DUMMYFUNCTION("GOOGLETRANSLATE(K42, ""de"", ""en"")"),"In a large game, you only play with Jacks as trumps and try to win all tricks with these limited trump cards.")</f>
        <v>In a large game, you only play with Jacks as trumps and try to win all tricks with these limited trump cards.</v>
      </c>
      <c r="G42" s="8">
        <v>41.0</v>
      </c>
      <c r="H42" s="7" t="s">
        <v>544</v>
      </c>
      <c r="I42" s="9" t="s">
        <v>545</v>
      </c>
      <c r="J42" s="7" t="s">
        <v>546</v>
      </c>
      <c r="K42" s="7" t="s">
        <v>547</v>
      </c>
    </row>
    <row r="43" ht="22.5" customHeight="1">
      <c r="A43" s="7" t="str">
        <f>IFERROR(__xludf.DUMMYFUNCTION("GOOGLETRANSLATE(G43, ""de"", ""en"")"),"42")</f>
        <v>42</v>
      </c>
      <c r="B43" s="7" t="str">
        <f>IFERROR(__xludf.DUMMYFUNCTION("GOOGLETRANSLATE(H43, ""de"", ""en"")"),"What influence does the Skat card have on the game strategy?")</f>
        <v>What influence does the Skat card have on the game strategy?</v>
      </c>
      <c r="C43" s="7" t="s">
        <v>548</v>
      </c>
      <c r="D43" s="7" t="str">
        <f>IFERROR(__xludf.DUMMYFUNCTION("GOOGLETRANSLATE(J43, ""de"", ""en"")"),"It gives players the opportunity to increase their hand strength.")</f>
        <v>It gives players the opportunity to increase their hand strength.</v>
      </c>
      <c r="E43" s="7" t="str">
        <f>IFERROR(__xludf.DUMMYFUNCTION("GOOGLETRANSLATE(K43, ""de"", ""en"")"),"In Skat, players can discard unwanted cards and replace them with two new cards, thus improving their hand for the game.")</f>
        <v>In Skat, players can discard unwanted cards and replace them with two new cards, thus improving their hand for the game.</v>
      </c>
      <c r="G43" s="8">
        <v>42.0</v>
      </c>
      <c r="H43" s="7" t="s">
        <v>549</v>
      </c>
      <c r="I43" s="9" t="s">
        <v>550</v>
      </c>
      <c r="J43" s="7" t="s">
        <v>551</v>
      </c>
      <c r="K43" s="7" t="s">
        <v>552</v>
      </c>
    </row>
    <row r="44" ht="22.5" customHeight="1">
      <c r="A44" s="7" t="str">
        <f>IFERROR(__xludf.DUMMYFUNCTION("GOOGLETRANSLATE(G44, ""de"", ""en"")"),"43")</f>
        <v>43</v>
      </c>
      <c r="B44" s="7" t="str">
        <f>IFERROR(__xludf.DUMMYFUNCTION("GOOGLETRANSLATE(H44, ""de"", ""en"")"),"How should you play your cards in a ""zero"" game?")</f>
        <v>How should you play your cards in a "zero" game?</v>
      </c>
      <c r="C44" s="7" t="s">
        <v>553</v>
      </c>
      <c r="D44" s="7" t="str">
        <f>IFERROR(__xludf.DUMMYFUNCTION("GOOGLETRANSLATE(J44, ""de"", ""en"")"),"Try not to win any tricks.")</f>
        <v>Try not to win any tricks.</v>
      </c>
      <c r="E44" s="7" t="str">
        <f>IFERROR(__xludf.DUMMYFUNCTION("GOOGLETRANSLATE(K44, ""de"", ""en"")"),"In a Null game, the goal is to lose all tricks. Therefore, it is crucial to play cards that prevent a win.")</f>
        <v>In a Null game, the goal is to lose all tricks. Therefore, it is crucial to play cards that prevent a win.</v>
      </c>
      <c r="G44" s="8">
        <v>43.0</v>
      </c>
      <c r="H44" s="7" t="s">
        <v>554</v>
      </c>
      <c r="I44" s="9" t="s">
        <v>555</v>
      </c>
      <c r="J44" s="7" t="s">
        <v>556</v>
      </c>
      <c r="K44" s="7" t="s">
        <v>557</v>
      </c>
    </row>
    <row r="45" ht="22.5" customHeight="1">
      <c r="A45" s="7" t="str">
        <f>IFERROR(__xludf.DUMMYFUNCTION("GOOGLETRANSLATE(G45, ""de"", ""en"")"),"44")</f>
        <v>44</v>
      </c>
      <c r="B45" s="7" t="str">
        <f>IFERROR(__xludf.DUMMYFUNCTION("GOOGLETRANSLATE(H45, ""de"", ""en"")"),"What happens if the declarer in a ""colors"" game does not win the required number of tricks?")</f>
        <v>What happens if the declarer in a "colors" game does not win the required number of tricks?</v>
      </c>
      <c r="C45" s="7" t="s">
        <v>558</v>
      </c>
      <c r="D45" s="7" t="str">
        <f>IFERROR(__xludf.DUMMYFUNCTION("GOOGLETRANSLATE(J45, ""de"", ""en"")"),"They lose the game")</f>
        <v>They lose the game</v>
      </c>
      <c r="E45" s="7" t="str">
        <f>IFERROR(__xludf.DUMMYFUNCTION("GOOGLETRANSLATE(K45, ""de"", ""en"")"),"If the declarer fails to win most of the tricks in a ""color"" game, this results in a loss for the declarer.")</f>
        <v>If the declarer fails to win most of the tricks in a "color" game, this results in a loss for the declarer.</v>
      </c>
      <c r="G45" s="8">
        <v>44.0</v>
      </c>
      <c r="H45" s="7" t="s">
        <v>559</v>
      </c>
      <c r="I45" s="9" t="s">
        <v>560</v>
      </c>
      <c r="J45" s="7" t="s">
        <v>561</v>
      </c>
      <c r="K45" s="7" t="s">
        <v>562</v>
      </c>
    </row>
    <row r="46" ht="22.5" customHeight="1">
      <c r="A46" s="7" t="str">
        <f>IFERROR(__xludf.DUMMYFUNCTION("GOOGLETRANSLATE(G46, ""de"", ""en"")"),"45")</f>
        <v>45</v>
      </c>
      <c r="B46" s="7" t="str">
        <f>IFERROR(__xludf.DUMMYFUNCTION("GOOGLETRANSLATE(H46, ""de"", ""en"")"),"What is the maximum number of points you can earn in a ""Suit"" game?")</f>
        <v>What is the maximum number of points you can earn in a "Suit" game?</v>
      </c>
      <c r="C46" s="7" t="s">
        <v>563</v>
      </c>
      <c r="D46" s="7" t="str">
        <f>IFERROR(__xludf.DUMMYFUNCTION("GOOGLETRANSLATE(J46, ""de"", ""en"")"),"150")</f>
        <v>150</v>
      </c>
      <c r="E46" s="7" t="str">
        <f>IFERROR(__xludf.DUMMYFUNCTION("GOOGLETRANSLATE(K46, ""de"", ""en"")"),"Depending on the number of tricks won and the specific game conditions, a ""suit"" game can yield up to 150 points.")</f>
        <v>Depending on the number of tricks won and the specific game conditions, a "suit" game can yield up to 150 points.</v>
      </c>
      <c r="G46" s="8">
        <v>45.0</v>
      </c>
      <c r="H46" s="7" t="s">
        <v>564</v>
      </c>
      <c r="I46" s="9" t="s">
        <v>563</v>
      </c>
      <c r="J46" s="8">
        <v>150.0</v>
      </c>
      <c r="K46" s="7" t="s">
        <v>565</v>
      </c>
    </row>
    <row r="47" ht="22.5" customHeight="1">
      <c r="A47" s="7" t="str">
        <f>IFERROR(__xludf.DUMMYFUNCTION("GOOGLETRANSLATE(G47, ""de"", ""en"")"),"46")</f>
        <v>46</v>
      </c>
      <c r="B47" s="7" t="str">
        <f>IFERROR(__xludf.DUMMYFUNCTION("GOOGLETRANSLATE(H47, ""de"", ""en"")"),"What is the first action after the cards are dealt in Skat?")</f>
        <v>What is the first action after the cards are dealt in Skat?</v>
      </c>
      <c r="C47" s="7" t="s">
        <v>566</v>
      </c>
      <c r="D47" s="7" t="str">
        <f>IFERROR(__xludf.DUMMYFUNCTION("GOOGLETRANSLATE(J47, ""de"", ""en"")"),"The players are bidding on the game")</f>
        <v>The players are bidding on the game</v>
      </c>
      <c r="E47" s="7" t="str">
        <f>IFERROR(__xludf.DUMMYFUNCTION("GOOGLETRANSLATE(K47, ""de"", ""en"")"),"After the cards have been dealt, the players participate in a bidding phase to determine the stakes and the type of game.")</f>
        <v>After the cards have been dealt, the players participate in a bidding phase to determine the stakes and the type of game.</v>
      </c>
      <c r="G47" s="8">
        <v>46.0</v>
      </c>
      <c r="H47" s="7" t="s">
        <v>567</v>
      </c>
      <c r="I47" s="9" t="s">
        <v>568</v>
      </c>
      <c r="J47" s="7" t="s">
        <v>569</v>
      </c>
      <c r="K47" s="7" t="s">
        <v>570</v>
      </c>
    </row>
    <row r="48" ht="22.5" customHeight="1">
      <c r="A48" s="7" t="str">
        <f>IFERROR(__xludf.DUMMYFUNCTION("GOOGLETRANSLATE(G48, ""de"", ""en"")"),"47")</f>
        <v>47</v>
      </c>
      <c r="B48" s="7" t="str">
        <f>IFERROR(__xludf.DUMMYFUNCTION("GOOGLETRANSLATE(H48, ""de"", ""en"")"),"How does the ""bidding"" phase affect the game of Skat?")</f>
        <v>How does the "bidding" phase affect the game of Skat?</v>
      </c>
      <c r="C48" s="7" t="s">
        <v>571</v>
      </c>
      <c r="D48" s="7" t="str">
        <f>IFERROR(__xludf.DUMMYFUNCTION("GOOGLETRANSLATE(J48, ""de"", ""en"")"),"It determines the type of game.")</f>
        <v>It determines the type of game.</v>
      </c>
      <c r="E48" s="7" t="str">
        <f>IFERROR(__xludf.DUMMYFUNCTION("GOOGLETRANSLATE(K48, ""de"", ""en"")"),"“Bidding” is the bidding phase in which the type of game (color, Grand, Null) and who the declarer is are decided.")</f>
        <v>“Bidding” is the bidding phase in which the type of game (color, Grand, Null) and who the declarer is are decided.</v>
      </c>
      <c r="G48" s="8">
        <v>47.0</v>
      </c>
      <c r="H48" s="7" t="s">
        <v>572</v>
      </c>
      <c r="I48" s="9" t="s">
        <v>573</v>
      </c>
      <c r="J48" s="7" t="s">
        <v>574</v>
      </c>
      <c r="K48" s="7" t="s">
        <v>575</v>
      </c>
    </row>
    <row r="49" ht="22.5" customHeight="1">
      <c r="A49" s="7" t="str">
        <f>IFERROR(__xludf.DUMMYFUNCTION("GOOGLETRANSLATE(G49, ""de"", ""en"")"),"48")</f>
        <v>48</v>
      </c>
      <c r="B49" s="7" t="str">
        <f>IFERROR(__xludf.DUMMYFUNCTION("GOOGLETRANSLATE(H49, ""de"", ""en"")"),"What does a ""Null Ouvert"" game entail?")</f>
        <v>What does a "Null Ouvert" game entail?</v>
      </c>
      <c r="C49" s="7" t="s">
        <v>576</v>
      </c>
      <c r="D49" s="7" t="str">
        <f>IFERROR(__xludf.DUMMYFUNCTION("GOOGLETRANSLATE(J49, ""de"", ""en"")"),"The solo player plays with all cards face up.")</f>
        <v>The solo player plays with all cards face up.</v>
      </c>
      <c r="E49" s="7" t="str">
        <f>IFERROR(__xludf.DUMMYFUNCTION("GOOGLETRANSLATE(K49, ""de"", ""en"")"),"A ""Null Ouvert"" game is a variant of the Null game in which the declarer's cards are played face up, adding a strategic element.")</f>
        <v>A "Null Ouvert" game is a variant of the Null game in which the declarer's cards are played face up, adding a strategic element.</v>
      </c>
      <c r="G49" s="8">
        <v>48.0</v>
      </c>
      <c r="H49" s="7" t="s">
        <v>577</v>
      </c>
      <c r="I49" s="9" t="s">
        <v>578</v>
      </c>
      <c r="J49" s="7" t="s">
        <v>579</v>
      </c>
      <c r="K49" s="7" t="s">
        <v>580</v>
      </c>
    </row>
    <row r="50" ht="22.5" customHeight="1">
      <c r="A50" s="7" t="str">
        <f>IFERROR(__xludf.DUMMYFUNCTION("GOOGLETRANSLATE(G50, ""de"", ""en"")"),"49")</f>
        <v>49</v>
      </c>
      <c r="B50" s="7" t="str">
        <f>IFERROR(__xludf.DUMMYFUNCTION("GOOGLETRANSLATE(H50, ""de"", ""en"")"),"What is a ""Schneider"" in Skat?")</f>
        <v>What is a "Schneider" in Skat?</v>
      </c>
      <c r="C50" s="7" t="s">
        <v>581</v>
      </c>
      <c r="D50" s="7" t="str">
        <f>IFERROR(__xludf.DUMMYFUNCTION("GOOGLETRANSLATE(J50, ""de"", ""en"")"),"Losing with fewer than two stitches")</f>
        <v>Losing with fewer than two stitches</v>
      </c>
      <c r="E50" s="7" t="str">
        <f>IFERROR(__xludf.DUMMYFUNCTION("GOOGLETRANSLATE(K50, ""de"", ""en"")"),"""Schneider"" occurs when a player loses with fewer than two tricks, which results in a penalty.")</f>
        <v>"Schneider" occurs when a player loses with fewer than two tricks, which results in a penalty.</v>
      </c>
      <c r="G50" s="8">
        <v>49.0</v>
      </c>
      <c r="H50" s="7" t="s">
        <v>582</v>
      </c>
      <c r="I50" s="9" t="s">
        <v>583</v>
      </c>
      <c r="J50" s="7" t="s">
        <v>584</v>
      </c>
      <c r="K50" s="7" t="s">
        <v>585</v>
      </c>
    </row>
    <row r="51" ht="22.5" customHeight="1">
      <c r="A51" s="7" t="str">
        <f>IFERROR(__xludf.DUMMYFUNCTION("GOOGLETRANSLATE(G51, ""de"", ""en"")"),"50")</f>
        <v>50</v>
      </c>
      <c r="B51" s="7" t="str">
        <f>IFERROR(__xludf.DUMMYFUNCTION("GOOGLETRANSLATE(H51, ""de"", ""en"")"),"When is the ""Grand"" game played in Skat?")</f>
        <v>When is the "Grand" game played in Skat?</v>
      </c>
      <c r="C51" s="7" t="s">
        <v>586</v>
      </c>
      <c r="D51" s="7" t="str">
        <f>IFERROR(__xludf.DUMMYFUNCTION("GOOGLETRANSLATE(J51, ""de"", ""en"")"),"If the player only uses jacks as trumps")</f>
        <v>If the player only uses jacks as trumps</v>
      </c>
      <c r="E51" s="7" t="str">
        <f>IFERROR(__xludf.DUMMYFUNCTION("GOOGLETRANSLATE(K51, ""de"", ""en"")"),"A ""Grand"" game is played when the declarer decides to play only with jacks as trumps.")</f>
        <v>A "Grand" game is played when the declarer decides to play only with jacks as trumps.</v>
      </c>
      <c r="G51" s="8">
        <v>50.0</v>
      </c>
      <c r="H51" s="7" t="s">
        <v>587</v>
      </c>
      <c r="I51" s="9" t="s">
        <v>588</v>
      </c>
      <c r="J51" s="7" t="s">
        <v>589</v>
      </c>
      <c r="K51" s="7" t="s">
        <v>590</v>
      </c>
    </row>
    <row r="52" ht="22.5" customHeight="1">
      <c r="A52" s="7" t="str">
        <f>IFERROR(__xludf.DUMMYFUNCTION("GOOGLETRANSLATE(G52, ""de"", ""en"")"),"51")</f>
        <v>51</v>
      </c>
      <c r="B52" s="7" t="str">
        <f>IFERROR(__xludf.DUMMYFUNCTION("GOOGLETRANSLATE(H52, ""de"", ""en"")"),"What is the maximum score in a ""zero"" game of Skat?")</f>
        <v>What is the maximum score in a "zero" game of Skat?</v>
      </c>
      <c r="C52" s="7" t="s">
        <v>563</v>
      </c>
      <c r="D52" s="7" t="str">
        <f>IFERROR(__xludf.DUMMYFUNCTION("GOOGLETRANSLATE(J52, ""de"", ""en"")"),"100")</f>
        <v>100</v>
      </c>
      <c r="E52" s="7" t="str">
        <f>IFERROR(__xludf.DUMMYFUNCTION("GOOGLETRANSLATE(K52, ""de"", ""en"")"),"In a zero game, the maximum score is limited to 100 if the player manages to lose all tricks.")</f>
        <v>In a zero game, the maximum score is limited to 100 if the player manages to lose all tricks.</v>
      </c>
      <c r="G52" s="8">
        <v>51.0</v>
      </c>
      <c r="H52" s="7" t="s">
        <v>591</v>
      </c>
      <c r="I52" s="9" t="s">
        <v>563</v>
      </c>
      <c r="J52" s="8">
        <v>100.0</v>
      </c>
      <c r="K52" s="7" t="s">
        <v>592</v>
      </c>
    </row>
    <row r="53" ht="22.5" customHeight="1">
      <c r="A53" s="7" t="str">
        <f>IFERROR(__xludf.DUMMYFUNCTION("GOOGLETRANSLATE(G53, ""de"", ""en"")"),"52")</f>
        <v>52</v>
      </c>
      <c r="B53" s="7" t="str">
        <f>IFERROR(__xludf.DUMMYFUNCTION("GOOGLETRANSLATE(H53, ""de"", ""en"")"),"What happens if you win a trick in a zero game of Skat?")</f>
        <v>What happens if you win a trick in a zero game of Skat?</v>
      </c>
      <c r="C53" s="7" t="s">
        <v>593</v>
      </c>
      <c r="D53" s="7" t="str">
        <f>IFERROR(__xludf.DUMMYFUNCTION("GOOGLETRANSLATE(J53, ""de"", ""en"")"),"You lose the game")</f>
        <v>You lose the game</v>
      </c>
      <c r="E53" s="7" t="str">
        <f>IFERROR(__xludf.DUMMYFUNCTION("GOOGLETRANSLATE(K53, ""de"", ""en"")"),"In a zero game, winning a trick automatically leads to a loss.")</f>
        <v>In a zero game, winning a trick automatically leads to a loss.</v>
      </c>
      <c r="G53" s="8">
        <v>52.0</v>
      </c>
      <c r="H53" s="7" t="s">
        <v>594</v>
      </c>
      <c r="I53" s="9" t="s">
        <v>595</v>
      </c>
      <c r="J53" s="7" t="s">
        <v>374</v>
      </c>
      <c r="K53" s="7" t="s">
        <v>596</v>
      </c>
    </row>
    <row r="54" ht="22.5" customHeight="1">
      <c r="A54" s="7" t="str">
        <f>IFERROR(__xludf.DUMMYFUNCTION("GOOGLETRANSLATE(G54, ""de"", ""en"")"),"53")</f>
        <v>53</v>
      </c>
      <c r="B54" s="7" t="str">
        <f>IFERROR(__xludf.DUMMYFUNCTION("GOOGLETRANSLATE(H54, ""de"", ""en"")"),"How is the winner of a suit game determined in Skat?")</f>
        <v>How is the winner of a suit game determined in Skat?</v>
      </c>
      <c r="C54" s="7" t="s">
        <v>597</v>
      </c>
      <c r="D54" s="7" t="str">
        <f>IFERROR(__xludf.DUMMYFUNCTION("GOOGLETRANSLATE(J54, ""de"", ""en"")"),"Who wins the most tricks?")</f>
        <v>Who wins the most tricks?</v>
      </c>
      <c r="E54" s="7" t="str">
        <f>IFERROR(__xludf.DUMMYFUNCTION("GOOGLETRANSLATE(K54, ""de"", ""en"")"),"The winner of a suit game is the player who wins the most tricks, based on the highest card of each suit played.")</f>
        <v>The winner of a suit game is the player who wins the most tricks, based on the highest card of each suit played.</v>
      </c>
      <c r="G54" s="8">
        <v>53.0</v>
      </c>
      <c r="H54" s="7" t="s">
        <v>598</v>
      </c>
      <c r="I54" s="9" t="s">
        <v>599</v>
      </c>
      <c r="J54" s="7" t="s">
        <v>600</v>
      </c>
      <c r="K54" s="7" t="s">
        <v>601</v>
      </c>
    </row>
    <row r="55" ht="22.5" customHeight="1">
      <c r="A55" s="7" t="str">
        <f>IFERROR(__xludf.DUMMYFUNCTION("GOOGLETRANSLATE(G55, ""de"", ""en"")"),"54")</f>
        <v>54</v>
      </c>
      <c r="B55" s="7" t="str">
        <f>IFERROR(__xludf.DUMMYFUNCTION("GOOGLETRANSLATE(H55, ""de"", ""en"")"),"What happens when a player in Skat announces ""bidding""?")</f>
        <v>What happens when a player in Skat announces "bidding"?</v>
      </c>
      <c r="C55" s="7" t="s">
        <v>602</v>
      </c>
      <c r="D55" s="7" t="str">
        <f>IFERROR(__xludf.DUMMYFUNCTION("GOOGLETRANSLATE(J55, ""de"", ""en"")"),"You choose a game type")</f>
        <v>You choose a game type</v>
      </c>
      <c r="E55" s="7" t="str">
        <f>IFERROR(__xludf.DUMMYFUNCTION("GOOGLETRANSLATE(K55, ""de"", ""en"")"),"Declaring a ""bid"" means that a player selects the type of game they wish to play (suit, grand, or zero).")</f>
        <v>Declaring a "bid" means that a player selects the type of game they wish to play (suit, grand, or zero).</v>
      </c>
      <c r="G55" s="8">
        <v>54.0</v>
      </c>
      <c r="H55" s="7" t="s">
        <v>603</v>
      </c>
      <c r="I55" s="9" t="s">
        <v>604</v>
      </c>
      <c r="J55" s="7" t="s">
        <v>605</v>
      </c>
      <c r="K55" s="7" t="s">
        <v>606</v>
      </c>
    </row>
    <row r="56" ht="22.5" customHeight="1">
      <c r="A56" s="7" t="str">
        <f>IFERROR(__xludf.DUMMYFUNCTION("GOOGLETRANSLATE(G56, ""de"", ""en"")"),"55")</f>
        <v>55</v>
      </c>
      <c r="B56" s="7" t="str">
        <f>IFERROR(__xludf.DUMMYFUNCTION("GOOGLETRANSLATE(H56, ""de"", ""en"")"),"What role do face cards (kings, queens, jacks) play in Skat?")</f>
        <v>What role do face cards (kings, queens, jacks) play in Skat?</v>
      </c>
      <c r="C56" s="7" t="s">
        <v>607</v>
      </c>
      <c r="D56" s="7" t="str">
        <f>IFERROR(__xludf.DUMMYFUNCTION("GOOGLETRANSLATE(J56, ""de"", ""en"")"),"They are worth more points")</f>
        <v>They are worth more points</v>
      </c>
      <c r="E56" s="7" t="str">
        <f>IFERROR(__xludf.DUMMYFUNCTION("GOOGLETRANSLATE(K56, ""de"", ""en"")"),"Picture cards (kings, queens, jacks) are more valuable in the game and often win important tricks.")</f>
        <v>Picture cards (kings, queens, jacks) are more valuable in the game and often win important tricks.</v>
      </c>
      <c r="G56" s="8">
        <v>55.0</v>
      </c>
      <c r="H56" s="7" t="s">
        <v>608</v>
      </c>
      <c r="I56" s="9" t="s">
        <v>609</v>
      </c>
      <c r="J56" s="7" t="s">
        <v>610</v>
      </c>
      <c r="K56" s="7" t="s">
        <v>611</v>
      </c>
    </row>
    <row r="57" ht="22.5" customHeight="1">
      <c r="A57" s="7" t="str">
        <f>IFERROR(__xludf.DUMMYFUNCTION("GOOGLETRANSLATE(G57, ""de"", ""en"")"),"56")</f>
        <v>56</v>
      </c>
      <c r="B57" s="7" t="str">
        <f>IFERROR(__xludf.DUMMYFUNCTION("GOOGLETRANSLATE(H57, ""de"", ""en"")"),"What does it mean when a player declares a ""zero"" game and wins a trick?")</f>
        <v>What does it mean when a player declares a "zero" game and wins a trick?</v>
      </c>
      <c r="C57" s="7" t="s">
        <v>612</v>
      </c>
      <c r="D57" s="7" t="str">
        <f>IFERROR(__xludf.DUMMYFUNCTION("GOOGLETRANSLATE(J57, ""de"", ""en"")"),"They lose the game")</f>
        <v>They lose the game</v>
      </c>
      <c r="E57" s="7" t="str">
        <f>IFERROR(__xludf.DUMMYFUNCTION("GOOGLETRANSLATE(K57, ""de"", ""en"")"),"Winning even one trick in a zero game automatically results in a loss for the player.")</f>
        <v>Winning even one trick in a zero game automatically results in a loss for the player.</v>
      </c>
      <c r="G57" s="8">
        <v>56.0</v>
      </c>
      <c r="H57" s="7" t="s">
        <v>613</v>
      </c>
      <c r="I57" s="9" t="s">
        <v>614</v>
      </c>
      <c r="J57" s="7" t="s">
        <v>561</v>
      </c>
      <c r="K57" s="7" t="s">
        <v>615</v>
      </c>
    </row>
    <row r="58" ht="22.5" customHeight="1">
      <c r="A58" s="7" t="str">
        <f>IFERROR(__xludf.DUMMYFUNCTION("GOOGLETRANSLATE(G58, ""de"", ""en"")"),"57")</f>
        <v>57</v>
      </c>
      <c r="B58" s="7" t="str">
        <f>IFERROR(__xludf.DUMMYFUNCTION("GOOGLETRANSLATE(H58, ""de"", ""en"")"),"How is the Skat used to improve one's hand in Skat?")</f>
        <v>How is the Skat used to improve one's hand in Skat?</v>
      </c>
      <c r="C58" s="7" t="s">
        <v>616</v>
      </c>
      <c r="D58" s="7" t="str">
        <f>IFERROR(__xludf.DUMMYFUNCTION("GOOGLETRANSLATE(J58, ""de"", ""en"")"),"It is used to replace weak cards.")</f>
        <v>It is used to replace weak cards.</v>
      </c>
      <c r="E58" s="7" t="str">
        <f>IFERROR(__xludf.DUMMYFUNCTION("GOOGLETRANSLATE(K58, ""de"", ""en"")"),"In Skat, the player can discard two cards and draw two new ones to improve his hand.")</f>
        <v>In Skat, the player can discard two cards and draw two new ones to improve his hand.</v>
      </c>
      <c r="G58" s="8">
        <v>57.0</v>
      </c>
      <c r="H58" s="7" t="s">
        <v>617</v>
      </c>
      <c r="I58" s="9" t="s">
        <v>618</v>
      </c>
      <c r="J58" s="7" t="s">
        <v>619</v>
      </c>
      <c r="K58" s="7" t="s">
        <v>620</v>
      </c>
    </row>
    <row r="59" ht="22.5" customHeight="1">
      <c r="A59" s="7" t="str">
        <f>IFERROR(__xludf.DUMMYFUNCTION("GOOGLETRANSLATE(G59, ""de"", ""en"")"),"58")</f>
        <v>58</v>
      </c>
      <c r="B59" s="7" t="str">
        <f>IFERROR(__xludf.DUMMYFUNCTION("GOOGLETRANSLATE(H59, ""de"", ""en"")"),"What happens if you fail to win the required number of tricks in a suit game in Skat?")</f>
        <v>What happens if you fail to win the required number of tricks in a suit game in Skat?</v>
      </c>
      <c r="C59" s="7" t="s">
        <v>621</v>
      </c>
      <c r="D59" s="7" t="str">
        <f>IFERROR(__xludf.DUMMYFUNCTION("GOOGLETRANSLATE(J59, ""de"", ""en"")"),"You lose the game")</f>
        <v>You lose the game</v>
      </c>
      <c r="E59" s="7" t="str">
        <f>IFERROR(__xludf.DUMMYFUNCTION("GOOGLETRANSLATE(K59, ""de"", ""en"")"),"If it is not possible to win enough tricks in a suit game, this leads to a loss for the declarer.")</f>
        <v>If it is not possible to win enough tricks in a suit game, this leads to a loss for the declarer.</v>
      </c>
      <c r="G59" s="8">
        <v>58.0</v>
      </c>
      <c r="H59" s="7" t="s">
        <v>622</v>
      </c>
      <c r="I59" s="9" t="s">
        <v>623</v>
      </c>
      <c r="J59" s="7" t="s">
        <v>374</v>
      </c>
      <c r="K59" s="7" t="s">
        <v>624</v>
      </c>
    </row>
    <row r="60" ht="22.5" customHeight="1">
      <c r="A60" s="7" t="str">
        <f>IFERROR(__xludf.DUMMYFUNCTION("GOOGLETRANSLATE(G60, ""de"", ""en"")"),"59")</f>
        <v>59</v>
      </c>
      <c r="B60" s="7" t="str">
        <f>IFERROR(__xludf.DUMMYFUNCTION("GOOGLETRANSLATE(H60, ""de"", ""en"")"),"How does a ""Schneider"" penalty kick affect your score in Skat?")</f>
        <v>How does a "Schneider" penalty kick affect your score in Skat?</v>
      </c>
      <c r="C60" s="7" t="s">
        <v>625</v>
      </c>
      <c r="D60" s="7" t="str">
        <f>IFERROR(__xludf.DUMMYFUNCTION("GOOGLETRANSLATE(J60, ""de"", ""en"")"),"It lowers your score")</f>
        <v>It lowers your score</v>
      </c>
      <c r="E60" s="7" t="str">
        <f>IFERROR(__xludf.DUMMYFUNCTION("GOOGLETRANSLATE(K60, ""de"", ""en"")"),"A ""Schneider"" penalty occurs when a player loses with fewer than two tricks, thereby reducing their score.")</f>
        <v>A "Schneider" penalty occurs when a player loses with fewer than two tricks, thereby reducing their score.</v>
      </c>
      <c r="G60" s="8">
        <v>59.0</v>
      </c>
      <c r="H60" s="7" t="s">
        <v>626</v>
      </c>
      <c r="I60" s="9" t="s">
        <v>627</v>
      </c>
      <c r="J60" s="7" t="s">
        <v>628</v>
      </c>
      <c r="K60" s="7" t="s">
        <v>629</v>
      </c>
    </row>
    <row r="61" ht="22.5" customHeight="1">
      <c r="A61" s="7" t="str">
        <f>IFERROR(__xludf.DUMMYFUNCTION("GOOGLETRANSLATE(G61, ""de"", ""en"")"),"60")</f>
        <v>60</v>
      </c>
      <c r="B61" s="7" t="str">
        <f>IFERROR(__xludf.DUMMYFUNCTION("GOOGLETRANSLATE(H61, ""de"", ""en"")"),"What is the maximum number of points that can be scored in a ""Grand"" game?")</f>
        <v>What is the maximum number of points that can be scored in a "Grand" game?</v>
      </c>
      <c r="C61" s="7" t="s">
        <v>563</v>
      </c>
      <c r="D61" s="7" t="str">
        <f>IFERROR(__xludf.DUMMYFUNCTION("GOOGLETRANSLATE(J61, ""de"", ""en"")"),"200")</f>
        <v>200</v>
      </c>
      <c r="E61" s="7" t="str">
        <f>IFERROR(__xludf.DUMMYFUNCTION("GOOGLETRANSLATE(K61, ""de"", ""en"")"),"A ""Grand"" game can reach up to 200 points if the solo player wins all the tricks.")</f>
        <v>A "Grand" game can reach up to 200 points if the solo player wins all the tricks.</v>
      </c>
      <c r="G61" s="8">
        <v>60.0</v>
      </c>
      <c r="H61" s="7" t="s">
        <v>630</v>
      </c>
      <c r="I61" s="9" t="s">
        <v>563</v>
      </c>
      <c r="J61" s="8">
        <v>200.0</v>
      </c>
      <c r="K61" s="7" t="s">
        <v>631</v>
      </c>
    </row>
    <row r="62" ht="22.5" customHeight="1">
      <c r="A62" s="7" t="str">
        <f>IFERROR(__xludf.DUMMYFUNCTION("GOOGLETRANSLATE(G62, ""de"", ""en"")"),"61")</f>
        <v>61</v>
      </c>
      <c r="B62" s="7" t="str">
        <f>IFERROR(__xludf.DUMMYFUNCTION("GOOGLETRANSLATE(H62, ""de"", ""en"")"),"What is a ""zero"" game in Skat?")</f>
        <v>What is a "zero" game in Skat?</v>
      </c>
      <c r="C62" s="7" t="s">
        <v>632</v>
      </c>
      <c r="D62" s="7" t="str">
        <f>IFERROR(__xludf.DUMMYFUNCTION("GOOGLETRANSLATE(J62, ""de"", ""en"")"),"A game in which the player avoids winning tricks.")</f>
        <v>A game in which the player avoids winning tricks.</v>
      </c>
      <c r="E62" s="7" t="str">
        <f>IFERROR(__xludf.DUMMYFUNCTION("GOOGLETRANSLATE(K62, ""de"", ""en"")"),"In a Null game, the player's goal is to lose every trick without winning any tricks.")</f>
        <v>In a Null game, the player's goal is to lose every trick without winning any tricks.</v>
      </c>
      <c r="G62" s="8">
        <v>61.0</v>
      </c>
      <c r="H62" s="7" t="s">
        <v>633</v>
      </c>
      <c r="I62" s="9" t="s">
        <v>634</v>
      </c>
      <c r="J62" s="7" t="s">
        <v>635</v>
      </c>
      <c r="K62" s="7" t="s">
        <v>636</v>
      </c>
    </row>
    <row r="63" ht="22.5" customHeight="1">
      <c r="A63" s="7" t="str">
        <f>IFERROR(__xludf.DUMMYFUNCTION("GOOGLETRANSLATE(G63, ""de"", ""en"")"),"62")</f>
        <v>62</v>
      </c>
      <c r="B63" s="7" t="str">
        <f>IFERROR(__xludf.DUMMYFUNCTION("GOOGLETRANSLATE(H63, ""de"", ""en"")"),"When do you have to play your trump cards in Skat?")</f>
        <v>When do you have to play your trump cards in Skat?</v>
      </c>
      <c r="C63" s="7" t="s">
        <v>637</v>
      </c>
      <c r="D63" s="7" t="str">
        <f>IFERROR(__xludf.DUMMYFUNCTION("GOOGLETRANSLATE(J63, ""de"", ""en"")"),"If the opponent is leading with a higher card")</f>
        <v>If the opponent is leading with a higher card</v>
      </c>
      <c r="E63" s="7" t="str">
        <f>IFERROR(__xludf.DUMMYFUNCTION("GOOGLETRANSLATE(K63, ""de"", ""en"")"),"Trump cards should be played to win tricks when the opponent is leading with a higher card.")</f>
        <v>Trump cards should be played to win tricks when the opponent is leading with a higher card.</v>
      </c>
      <c r="G63" s="8">
        <v>62.0</v>
      </c>
      <c r="H63" s="7" t="s">
        <v>638</v>
      </c>
      <c r="I63" s="9" t="s">
        <v>639</v>
      </c>
      <c r="J63" s="7" t="s">
        <v>640</v>
      </c>
      <c r="K63" s="7" t="s">
        <v>641</v>
      </c>
    </row>
    <row r="64" ht="22.5" customHeight="1">
      <c r="A64" s="7" t="str">
        <f>IFERROR(__xludf.DUMMYFUNCTION("GOOGLETRANSLATE(G64, ""de"", ""en"")"),"63")</f>
        <v>63</v>
      </c>
      <c r="B64" s="7" t="str">
        <f>IFERROR(__xludf.DUMMYFUNCTION("GOOGLETRANSLATE(H64, ""de"", ""en"")"),"What happens if you win all 10 tricks in a ""colors"" game of Skat?")</f>
        <v>What happens if you win all 10 tricks in a "colors" game of Skat?</v>
      </c>
      <c r="C64" s="7" t="s">
        <v>642</v>
      </c>
      <c r="D64" s="7" t="str">
        <f>IFERROR(__xludf.DUMMYFUNCTION("GOOGLETRANSLATE(J64, ""de"", ""en"")"),"You will receive bonus points")</f>
        <v>You will receive bonus points</v>
      </c>
      <c r="E64" s="7" t="str">
        <f>IFERROR(__xludf.DUMMYFUNCTION("GOOGLETRANSLATE(K64, ""de"", ""en"")"),"If all 10 tricks are won in a ""suit"" game, the declarer receives bonus points for their perfect performance.")</f>
        <v>If all 10 tricks are won in a "suit" game, the declarer receives bonus points for their perfect performance.</v>
      </c>
      <c r="G64" s="8">
        <v>63.0</v>
      </c>
      <c r="H64" s="7" t="s">
        <v>643</v>
      </c>
      <c r="I64" s="9" t="s">
        <v>644</v>
      </c>
      <c r="J64" s="7" t="s">
        <v>645</v>
      </c>
      <c r="K64" s="7" t="s">
        <v>646</v>
      </c>
    </row>
    <row r="65" ht="22.5" customHeight="1">
      <c r="A65" s="7" t="str">
        <f>IFERROR(__xludf.DUMMYFUNCTION("GOOGLETRANSLATE(G65, ""de"", ""en"")"),"64")</f>
        <v>64</v>
      </c>
      <c r="B65" s="7" t="str">
        <f>IFERROR(__xludf.DUMMYFUNCTION("GOOGLETRANSLATE(H65, ""de"", ""en"")"),"How does the ""Null Ouvert"" game differ from a standard Null game?")</f>
        <v>How does the "Null Ouvert" game differ from a standard Null game?</v>
      </c>
      <c r="C65" s="7" t="s">
        <v>647</v>
      </c>
      <c r="D65" s="7" t="str">
        <f>IFERROR(__xludf.DUMMYFUNCTION("GOOGLETRANSLATE(J65, ""de"", ""en"")"),"The cards are played face up.")</f>
        <v>The cards are played face up.</v>
      </c>
      <c r="E65" s="7" t="str">
        <f>IFERROR(__xludf.DUMMYFUNCTION("GOOGLETRANSLATE(K65, ""de"", ""en"")"),"In ""Null Ouvert"", the soloist's cards are revealed, making it easier for opponents to develop strategies.")</f>
        <v>In "Null Ouvert", the soloist's cards are revealed, making it easier for opponents to develop strategies.</v>
      </c>
      <c r="G65" s="8">
        <v>64.0</v>
      </c>
      <c r="H65" s="7" t="s">
        <v>648</v>
      </c>
      <c r="I65" s="9" t="s">
        <v>649</v>
      </c>
      <c r="J65" s="7" t="s">
        <v>650</v>
      </c>
      <c r="K65" s="7" t="s">
        <v>651</v>
      </c>
    </row>
    <row r="66" ht="22.5" customHeight="1">
      <c r="A66" s="7" t="str">
        <f>IFERROR(__xludf.DUMMYFUNCTION("GOOGLETRANSLATE(G66, ""de"", ""en"")"),"65")</f>
        <v>65</v>
      </c>
      <c r="B66" s="7" t="str">
        <f>IFERROR(__xludf.DUMMYFUNCTION("GOOGLETRANSLATE(H66, ""de"", ""en"")"),"What is the significance of controlling the trump suit in Skat?")</f>
        <v>What is the significance of controlling the trump suit in Skat?</v>
      </c>
      <c r="C66" s="7" t="s">
        <v>652</v>
      </c>
      <c r="D66" s="7" t="str">
        <f>IFERROR(__xludf.DUMMYFUNCTION("GOOGLETRANSLATE(J66, ""de"", ""en"")"),"It prevents opponents from winning tricks.")</f>
        <v>It prevents opponents from winning tricks.</v>
      </c>
      <c r="E66" s="7" t="str">
        <f>IFERROR(__xludf.DUMMYFUNCTION("GOOGLETRANSLATE(K66, ""de"", ""en"")"),"By controlling the trump suit, you can win crucial tricks and control the flow of the game.")</f>
        <v>By controlling the trump suit, you can win crucial tricks and control the flow of the game.</v>
      </c>
      <c r="G66" s="8">
        <v>65.0</v>
      </c>
      <c r="H66" s="7" t="s">
        <v>653</v>
      </c>
      <c r="I66" s="9" t="s">
        <v>654</v>
      </c>
      <c r="J66" s="7" t="s">
        <v>655</v>
      </c>
      <c r="K66" s="7" t="s">
        <v>656</v>
      </c>
    </row>
    <row r="67" ht="22.5" customHeight="1">
      <c r="A67" s="7" t="str">
        <f>IFERROR(__xludf.DUMMYFUNCTION("GOOGLETRANSLATE(G67, ""de"", ""en"")"),"66")</f>
        <v>66</v>
      </c>
      <c r="B67" s="7" t="str">
        <f>IFERROR(__xludf.DUMMYFUNCTION("GOOGLETRANSLATE(H67, ""de"", ""en"")"),"When should you avoid playing a trump card in a suit game?")</f>
        <v>When should you avoid playing a trump card in a suit game?</v>
      </c>
      <c r="C67" s="7" t="s">
        <v>657</v>
      </c>
      <c r="D67" s="7" t="str">
        <f>IFERROR(__xludf.DUMMYFUNCTION("GOOGLETRANSLATE(J67, ""de"", ""en"")"),"If you have a higher card of the same suit")</f>
        <v>If you have a higher card of the same suit</v>
      </c>
      <c r="E67" s="7" t="str">
        <f>IFERROR(__xludf.DUMMYFUNCTION("GOOGLETRANSLATE(K67, ""de"", ""en"")"),"If you have a higher card of the same suit, you should avoid playing a trump card and save it for a strategic moment.")</f>
        <v>If you have a higher card of the same suit, you should avoid playing a trump card and save it for a strategic moment.</v>
      </c>
      <c r="G67" s="8">
        <v>66.0</v>
      </c>
      <c r="H67" s="7" t="s">
        <v>658</v>
      </c>
      <c r="I67" s="9" t="s">
        <v>659</v>
      </c>
      <c r="J67" s="7" t="s">
        <v>660</v>
      </c>
      <c r="K67" s="7" t="s">
        <v>661</v>
      </c>
    </row>
    <row r="68" ht="22.5" customHeight="1">
      <c r="A68" s="7" t="str">
        <f>IFERROR(__xludf.DUMMYFUNCTION("GOOGLETRANSLATE(G68, ""de"", ""en"")"),"67")</f>
        <v>67</v>
      </c>
      <c r="B68" s="7" t="str">
        <f>IFERROR(__xludf.DUMMYFUNCTION("GOOGLETRANSLATE(H68, ""de"", ""en"")"),"What does ""Schneider"" mean in relation to the execution of tricks in Skat?")</f>
        <v>What does "Schneider" mean in relation to the execution of tricks in Skat?</v>
      </c>
      <c r="C68" s="7" t="s">
        <v>662</v>
      </c>
      <c r="D68" s="7" t="str">
        <f>IFERROR(__xludf.DUMMYFUNCTION("GOOGLETRANSLATE(J68, ""de"", ""en"")"),"You lose if you win fewer than two tricks.")</f>
        <v>You lose if you win fewer than two tricks.</v>
      </c>
      <c r="E68" s="7" t="str">
        <f>IFERROR(__xludf.DUMMYFUNCTION("GOOGLETRANSLATE(K68, ""de"", ""en"")"),"""Schneider"" refers to losing a game with fewer than two tricks, which results in a penalty.")</f>
        <v>"Schneider" refers to losing a game with fewer than two tricks, which results in a penalty.</v>
      </c>
      <c r="G68" s="8">
        <v>67.0</v>
      </c>
      <c r="H68" s="7" t="s">
        <v>663</v>
      </c>
      <c r="I68" s="9" t="s">
        <v>664</v>
      </c>
      <c r="J68" s="7" t="s">
        <v>665</v>
      </c>
      <c r="K68" s="7" t="s">
        <v>666</v>
      </c>
    </row>
    <row r="69" ht="22.5" customHeight="1">
      <c r="A69" s="7" t="str">
        <f>IFERROR(__xludf.DUMMYFUNCTION("GOOGLETRANSLATE(G69, ""de"", ""en"")"),"68")</f>
        <v>68</v>
      </c>
      <c r="B69" s="7" t="str">
        <f>IFERROR(__xludf.DUMMYFUNCTION("GOOGLETRANSLATE(H69, ""de"", ""en"")"),"How does the bidding system work in Skat?")</f>
        <v>How does the bidding system work in Skat?</v>
      </c>
      <c r="C69" s="7" t="s">
        <v>667</v>
      </c>
      <c r="D69" s="7" t="str">
        <f>IFERROR(__xludf.DUMMYFUNCTION("GOOGLETRANSLATE(J69, ""de"", ""en"")"),"The players must bid according to the game type and the trump suit.")</f>
        <v>The players must bid according to the game type and the trump suit.</v>
      </c>
      <c r="E69" s="7" t="str">
        <f>IFERROR(__xludf.DUMMYFUNCTION("GOOGLETRANSLATE(K69, ""de"", ""en"")"),"The bidding phase in Skat determines the game type (color, Grand or Null) and who plays as the soloist.")</f>
        <v>The bidding phase in Skat determines the game type (color, Grand or Null) and who plays as the soloist.</v>
      </c>
      <c r="G69" s="8">
        <v>68.0</v>
      </c>
      <c r="H69" s="7" t="s">
        <v>668</v>
      </c>
      <c r="I69" s="9" t="s">
        <v>669</v>
      </c>
      <c r="J69" s="7" t="s">
        <v>670</v>
      </c>
      <c r="K69" s="7" t="s">
        <v>671</v>
      </c>
    </row>
    <row r="70" ht="22.5" customHeight="1">
      <c r="A70" s="7" t="str">
        <f>IFERROR(__xludf.DUMMYFUNCTION("GOOGLETRANSLATE(G70, ""de"", ""en"")"),"69")</f>
        <v>69</v>
      </c>
      <c r="B70" s="7" t="str">
        <f>IFERROR(__xludf.DUMMYFUNCTION("GOOGLETRANSLATE(H70, ""de"", ""en"")"),"What is the significance of the playing cards in the game?")</f>
        <v>What is the significance of the playing cards in the game?</v>
      </c>
      <c r="C70" s="7" t="s">
        <v>672</v>
      </c>
      <c r="D70" s="7" t="str">
        <f>IFERROR(__xludf.DUMMYFUNCTION("GOOGLETRANSLATE(J70, ""de"", ""en"")"),"They allow players to improve their hands")</f>
        <v>They allow players to improve their hands</v>
      </c>
      <c r="E70" s="7" t="str">
        <f>IFERROR(__xludf.DUMMYFUNCTION("GOOGLETRANSLATE(K70, ""de"", ""en"")"),"The playing cards offer the player the opportunity to discard unwanted cards and receive two new ones to improve his hand.")</f>
        <v>The playing cards offer the player the opportunity to discard unwanted cards and receive two new ones to improve his hand.</v>
      </c>
      <c r="G70" s="8">
        <v>69.0</v>
      </c>
      <c r="H70" s="7" t="s">
        <v>673</v>
      </c>
      <c r="I70" s="9" t="s">
        <v>674</v>
      </c>
      <c r="J70" s="7" t="s">
        <v>675</v>
      </c>
      <c r="K70" s="7" t="s">
        <v>676</v>
      </c>
    </row>
    <row r="71" ht="22.5" customHeight="1">
      <c r="A71" s="7" t="str">
        <f>IFERROR(__xludf.DUMMYFUNCTION("GOOGLETRANSLATE(G71, ""de"", ""en"")"),"70")</f>
        <v>70</v>
      </c>
      <c r="B71" s="7" t="str">
        <f>IFERROR(__xludf.DUMMYFUNCTION("GOOGLETRANSLATE(H71, ""de"", ""en"")"),"What determines the game type (color, major, zero) in Skat?")</f>
        <v>What determines the game type (color, major, zero) in Skat?</v>
      </c>
      <c r="C71" s="7" t="s">
        <v>677</v>
      </c>
      <c r="D71" s="7" t="str">
        <f>IFERROR(__xludf.DUMMYFUNCTION("GOOGLETRANSLATE(J71, ""de"", ""en"")"),"The bid submitted by the players")</f>
        <v>The bid submitted by the players</v>
      </c>
      <c r="E71" s="7" t="str">
        <f>IFERROR(__xludf.DUMMYFUNCTION("GOOGLETRANSLATE(K71, ""de"", ""en"")"),"The game type is determined in the ""bidding"" phase based on the players' bids.")</f>
        <v>The game type is determined in the "bidding" phase based on the players' bids.</v>
      </c>
      <c r="G71" s="8">
        <v>70.0</v>
      </c>
      <c r="H71" s="7" t="s">
        <v>678</v>
      </c>
      <c r="I71" s="9" t="s">
        <v>679</v>
      </c>
      <c r="J71" s="7" t="s">
        <v>680</v>
      </c>
      <c r="K71" s="7" t="s">
        <v>681</v>
      </c>
    </row>
    <row r="72" ht="22.5" customHeight="1">
      <c r="A72" s="7" t="str">
        <f>IFERROR(__xludf.DUMMYFUNCTION("GOOGLETRANSLATE(G72, ""de"", ""en"")"),"71")</f>
        <v>71</v>
      </c>
      <c r="B72" s="7" t="str">
        <f>IFERROR(__xludf.DUMMYFUNCTION("GOOGLETRANSLATE(H72, ""de"", ""en"")"),"What happens if you win a trick in a Null game?")</f>
        <v>What happens if you win a trick in a Null game?</v>
      </c>
      <c r="C72" s="7" t="s">
        <v>682</v>
      </c>
      <c r="D72" s="7" t="str">
        <f>IFERROR(__xludf.DUMMYFUNCTION("GOOGLETRANSLATE(J72, ""de"", ""en"")"),"You lose the game")</f>
        <v>You lose the game</v>
      </c>
      <c r="E72" s="7" t="str">
        <f>IFERROR(__xludf.DUMMYFUNCTION("GOOGLETRANSLATE(K72, ""de"", ""en"")"),"In a zero game, winning a trick automatically leads to a loss.")</f>
        <v>In a zero game, winning a trick automatically leads to a loss.</v>
      </c>
      <c r="G72" s="8">
        <v>71.0</v>
      </c>
      <c r="H72" s="7" t="s">
        <v>683</v>
      </c>
      <c r="I72" s="9" t="s">
        <v>684</v>
      </c>
      <c r="J72" s="7" t="s">
        <v>374</v>
      </c>
      <c r="K72" s="7" t="s">
        <v>596</v>
      </c>
    </row>
    <row r="73" ht="22.5" customHeight="1">
      <c r="A73" s="7" t="str">
        <f>IFERROR(__xludf.DUMMYFUNCTION("GOOGLETRANSLATE(G73, ""de"", ""en"")"),"72")</f>
        <v>72</v>
      </c>
      <c r="B73" s="7" t="str">
        <f>IFERROR(__xludf.DUMMYFUNCTION("GOOGLETRANSLATE(H73, ""de"", ""en"")"),"What is the goal of a large game of Skat?")</f>
        <v>What is the goal of a large game of Skat?</v>
      </c>
      <c r="C73" s="7" t="s">
        <v>685</v>
      </c>
      <c r="D73" s="7" t="str">
        <f>IFERROR(__xludf.DUMMYFUNCTION("GOOGLETRANSLATE(J73, ""de"", ""en"")"),"Winning with Jacks as trump cards")</f>
        <v>Winning with Jacks as trump cards</v>
      </c>
      <c r="E73" s="7" t="str">
        <f>IFERROR(__xludf.DUMMYFUNCTION("GOOGLETRANSLATE(K73, ""de"", ""en"")"),"In a large game, the soloist must win all tricks and may only use jacks as trump cards.")</f>
        <v>In a large game, the soloist must win all tricks and may only use jacks as trump cards.</v>
      </c>
      <c r="G73" s="8">
        <v>72.0</v>
      </c>
      <c r="H73" s="7" t="s">
        <v>686</v>
      </c>
      <c r="I73" s="9" t="s">
        <v>687</v>
      </c>
      <c r="J73" s="7" t="s">
        <v>688</v>
      </c>
      <c r="K73" s="7" t="s">
        <v>689</v>
      </c>
    </row>
    <row r="74" ht="22.5" customHeight="1">
      <c r="A74" s="7" t="str">
        <f>IFERROR(__xludf.DUMMYFUNCTION("GOOGLETRANSLATE(G74, ""de"", ""en"")"),"73")</f>
        <v>73</v>
      </c>
      <c r="B74" s="7" t="str">
        <f>IFERROR(__xludf.DUMMYFUNCTION("GOOGLETRANSLATE(H74, ""de"", ""en"")"),"How does a ""Null Ouvert"" game change the strategy for the solo player?")</f>
        <v>How does a "Null Ouvert" game change the strategy for the solo player?</v>
      </c>
      <c r="C74" s="7" t="s">
        <v>690</v>
      </c>
      <c r="D74" s="7" t="str">
        <f>IFERROR(__xludf.DUMMYFUNCTION("GOOGLETRANSLATE(J74, ""de"", ""en"")"),"The soloist's cards are played face up.")</f>
        <v>The soloist's cards are played face up.</v>
      </c>
      <c r="E74" s="7" t="str">
        <f>IFERROR(__xludf.DUMMYFUNCTION("GOOGLETRANSLATE(K74, ""de"", ""en"")"),"In a ""Null Ouvert"" game, the soloist's cards are visible to all players, which changes the strategy.")</f>
        <v>In a "Null Ouvert" game, the soloist's cards are visible to all players, which changes the strategy.</v>
      </c>
      <c r="G74" s="8">
        <v>73.0</v>
      </c>
      <c r="H74" s="7" t="s">
        <v>691</v>
      </c>
      <c r="I74" s="9" t="s">
        <v>692</v>
      </c>
      <c r="J74" s="7" t="s">
        <v>693</v>
      </c>
      <c r="K74" s="7" t="s">
        <v>694</v>
      </c>
    </row>
    <row r="75" ht="22.5" customHeight="1">
      <c r="A75" s="7" t="str">
        <f>IFERROR(__xludf.DUMMYFUNCTION("GOOGLETRANSLATE(G75, ""de"", ""en"")"),"74")</f>
        <v>74</v>
      </c>
      <c r="B75" s="7" t="str">
        <f>IFERROR(__xludf.DUMMYFUNCTION("GOOGLETRANSLATE(H75, ""de"", ""en"")"),"When is it strategic to play a ""zero"" game in Skat?")</f>
        <v>When is it strategic to play a "zero" game in Skat?</v>
      </c>
      <c r="C75" s="7" t="s">
        <v>695</v>
      </c>
      <c r="D75" s="7" t="str">
        <f>IFERROR(__xludf.DUMMYFUNCTION("GOOGLETRANSLATE(J75, ""de"", ""en"")"),"If you have a weak hand")</f>
        <v>If you have a weak hand</v>
      </c>
      <c r="E75" s="7" t="str">
        <f>IFERROR(__xludf.DUMMYFUNCTION("GOOGLETRANSLATE(K75, ""de"", ""en"")"),"A ""zero"" game is often chosen when a player has a weak hand and needs to avoid winning tricks.")</f>
        <v>A "zero" game is often chosen when a player has a weak hand and needs to avoid winning tricks.</v>
      </c>
      <c r="G75" s="8">
        <v>74.0</v>
      </c>
      <c r="H75" s="7" t="s">
        <v>696</v>
      </c>
      <c r="I75" s="9" t="s">
        <v>697</v>
      </c>
      <c r="J75" s="7" t="s">
        <v>698</v>
      </c>
      <c r="K75" s="7" t="s">
        <v>699</v>
      </c>
    </row>
    <row r="76" ht="22.5" customHeight="1">
      <c r="A76" s="7" t="str">
        <f>IFERROR(__xludf.DUMMYFUNCTION("GOOGLETRANSLATE(G76, ""de"", ""en"")"),"75")</f>
        <v>75</v>
      </c>
      <c r="B76" s="7" t="str">
        <f>IFERROR(__xludf.DUMMYFUNCTION("GOOGLETRANSLATE(H76, ""de"", ""en"")"),"You are playing Skat and have a hand with all the low cards. What should you probably play?")</f>
        <v>You are playing Skat and have a hand with all the low cards. What should you probably play?</v>
      </c>
      <c r="C76" s="7" t="s">
        <v>700</v>
      </c>
      <c r="D76" s="7" t="str">
        <f>IFERROR(__xludf.DUMMYFUNCTION("GOOGLETRANSLATE(J76, ""de"", ""en"")"),"Zero game")</f>
        <v>Zero game</v>
      </c>
      <c r="E76" s="7" t="str">
        <f>IFERROR(__xludf.DUMMYFUNCTION("GOOGLETRANSLATE(K76, ""de"", ""en"")"),"With a hand full of low cards, a Null game is ideal, as you want to lose all the tricks.")</f>
        <v>With a hand full of low cards, a Null game is ideal, as you want to lose all the tricks.</v>
      </c>
      <c r="G76" s="8">
        <v>75.0</v>
      </c>
      <c r="H76" s="7" t="s">
        <v>701</v>
      </c>
      <c r="I76" s="9" t="s">
        <v>702</v>
      </c>
      <c r="J76" s="7" t="s">
        <v>703</v>
      </c>
      <c r="K76" s="7" t="s">
        <v>704</v>
      </c>
    </row>
    <row r="77" ht="22.5" customHeight="1">
      <c r="A77" s="7" t="str">
        <f>IFERROR(__xludf.DUMMYFUNCTION("GOOGLETRANSLATE(G77, ""de"", ""en"")"),"76")</f>
        <v>76</v>
      </c>
      <c r="B77" s="7" t="str">
        <f>IFERROR(__xludf.DUMMYFUNCTION("GOOGLETRANSLATE(H77, ""de"", ""en"")"),"In Skat, the soloist has a hand of high-value face cards in all suits. Which game is best declared?")</f>
        <v>In Skat, the soloist has a hand of high-value face cards in all suits. Which game is best declared?</v>
      </c>
      <c r="C77" s="7" t="s">
        <v>705</v>
      </c>
      <c r="D77" s="7" t="str">
        <f>IFERROR(__xludf.DUMMYFUNCTION("GOOGLETRANSLATE(J77, ""de"", ""en"")"),"Fantastic game")</f>
        <v>Fantastic game</v>
      </c>
      <c r="E77" s="7" t="str">
        <f>IFERROR(__xludf.DUMMYFUNCTION("GOOGLETRANSLATE(K77, ""de"", ""en"")"),"A handful of high-ranking picture cards is best suited for a large game where jacks are the only trump.")</f>
        <v>A handful of high-ranking picture cards is best suited for a large game where jacks are the only trump.</v>
      </c>
      <c r="G77" s="8">
        <v>76.0</v>
      </c>
      <c r="H77" s="7" t="s">
        <v>706</v>
      </c>
      <c r="I77" s="9" t="s">
        <v>707</v>
      </c>
      <c r="J77" s="7" t="s">
        <v>708</v>
      </c>
      <c r="K77" s="7" t="s">
        <v>709</v>
      </c>
    </row>
    <row r="78" ht="22.5" customHeight="1">
      <c r="A78" s="7" t="str">
        <f>IFERROR(__xludf.DUMMYFUNCTION("GOOGLETRANSLATE(G78, ""de"", ""en"")"),"77")</f>
        <v>77</v>
      </c>
      <c r="B78" s="7" t="str">
        <f>IFERROR(__xludf.DUMMYFUNCTION("GOOGLETRANSLATE(H78, ""de"", ""en"")"),"During the ""teasing"" phase, you opt for aggressive bidding. What does that mean?")</f>
        <v>During the "teasing" phase, you opt for aggressive bidding. What does that mean?</v>
      </c>
      <c r="C78" s="7" t="s">
        <v>710</v>
      </c>
      <c r="D78" s="7" t="str">
        <f>IFERROR(__xludf.DUMMYFUNCTION("GOOGLETRANSLATE(J78, ""de"", ""en"")"),"They are aiming for a high score.")</f>
        <v>They are aiming for a high score.</v>
      </c>
      <c r="E78" s="7" t="str">
        <f>IFERROR(__xludf.DUMMYFUNCTION("GOOGLETRANSLATE(K78, ""de"", ""en"")"),"An aggressive bid during ""bidding"" indicates that you are aiming for a high score, usually with a strong hand.")</f>
        <v>An aggressive bid during "bidding" indicates that you are aiming for a high score, usually with a strong hand.</v>
      </c>
      <c r="G78" s="8">
        <v>77.0</v>
      </c>
      <c r="H78" s="7" t="s">
        <v>711</v>
      </c>
      <c r="I78" s="9" t="s">
        <v>712</v>
      </c>
      <c r="J78" s="7" t="s">
        <v>713</v>
      </c>
      <c r="K78" s="7" t="s">
        <v>714</v>
      </c>
    </row>
    <row r="79" ht="22.5" customHeight="1">
      <c r="A79" s="7" t="str">
        <f>IFERROR(__xludf.DUMMYFUNCTION("GOOGLETRANSLATE(G79, ""de"", ""en"")"),"78")</f>
        <v>78</v>
      </c>
      <c r="B79" s="7" t="str">
        <f>IFERROR(__xludf.DUMMYFUNCTION("GOOGLETRANSLATE(H79, ""de"", ""en"")"),"You have a good hand with a mix of high and low cards in several suits. Which game would you call?")</f>
        <v>You have a good hand with a mix of high and low cards in several suits. Which game would you call?</v>
      </c>
      <c r="C79" s="7" t="s">
        <v>715</v>
      </c>
      <c r="D79" s="7" t="str">
        <f>IFERROR(__xludf.DUMMYFUNCTION("GOOGLETRANSLATE(J79, ""de"", ""en"")"),"Suit game")</f>
        <v>Suit game</v>
      </c>
      <c r="E79" s="7" t="str">
        <f>IFERROR(__xludf.DUMMYFUNCTION("GOOGLETRANSLATE(K79, ""de"", ""en"")"),"A mix of high and low cards is best suited for a suit game where you can win tricks with your highest cards.")</f>
        <v>A mix of high and low cards is best suited for a suit game where you can win tricks with your highest cards.</v>
      </c>
      <c r="G79" s="8">
        <v>78.0</v>
      </c>
      <c r="H79" s="7" t="s">
        <v>716</v>
      </c>
      <c r="I79" s="9" t="s">
        <v>717</v>
      </c>
      <c r="J79" s="7" t="s">
        <v>410</v>
      </c>
      <c r="K79" s="7" t="s">
        <v>718</v>
      </c>
    </row>
    <row r="80" ht="22.5" customHeight="1">
      <c r="A80" s="7" t="str">
        <f>IFERROR(__xludf.DUMMYFUNCTION("GOOGLETRANSLATE(G80, ""de"", ""en"")"),"79")</f>
        <v>79</v>
      </c>
      <c r="B80" s="7" t="str">
        <f>IFERROR(__xludf.DUMMYFUNCTION("GOOGLETRANSLATE(H80, ""de"", ""en"")"),"They declare a zero game, but win the first trick. What happens next?")</f>
        <v>They declare a zero game, but win the first trick. What happens next?</v>
      </c>
      <c r="C80" s="7" t="s">
        <v>719</v>
      </c>
      <c r="D80" s="7" t="str">
        <f>IFERROR(__xludf.DUMMYFUNCTION("GOOGLETRANSLATE(J80, ""de"", ""en"")"),"You lose the game")</f>
        <v>You lose the game</v>
      </c>
      <c r="E80" s="7" t="str">
        <f>IFERROR(__xludf.DUMMYFUNCTION("GOOGLETRANSLATE(K80, ""de"", ""en"")"),"In a zero game, winning even one trick automatically leads to a loss.")</f>
        <v>In a zero game, winning even one trick automatically leads to a loss.</v>
      </c>
      <c r="G80" s="8">
        <v>79.0</v>
      </c>
      <c r="H80" s="7" t="s">
        <v>720</v>
      </c>
      <c r="I80" s="9" t="s">
        <v>721</v>
      </c>
      <c r="J80" s="7" t="s">
        <v>374</v>
      </c>
      <c r="K80" s="7" t="s">
        <v>722</v>
      </c>
    </row>
    <row r="81" ht="22.5" customHeight="1">
      <c r="A81" s="7" t="str">
        <f>IFERROR(__xludf.DUMMYFUNCTION("GOOGLETRANSLATE(G81, ""de"", ""en"")"),"80")</f>
        <v>80</v>
      </c>
      <c r="B81" s="7" t="str">
        <f>IFERROR(__xludf.DUMMYFUNCTION("GOOGLETRANSLATE(H81, ""de"", ""en"")"),"Your opponent is leading with a high trump card. What should you do if you have a higher trump card?")</f>
        <v>Your opponent is leading with a high trump card. What should you do if you have a higher trump card?</v>
      </c>
      <c r="C81" s="7" t="s">
        <v>723</v>
      </c>
      <c r="D81" s="7" t="str">
        <f>IFERROR(__xludf.DUMMYFUNCTION("GOOGLETRANSLATE(J81, ""de"", ""en"")"),"Play your trump card")</f>
        <v>Play your trump card</v>
      </c>
      <c r="E81" s="7" t="str">
        <f>IFERROR(__xludf.DUMMYFUNCTION("GOOGLETRANSLATE(K81, ""de"", ""en"")"),"If you have a higher trump card, you can win the trick by playing it and maintain control of the game.")</f>
        <v>If you have a higher trump card, you can win the trick by playing it and maintain control of the game.</v>
      </c>
      <c r="G81" s="8">
        <v>80.0</v>
      </c>
      <c r="H81" s="7" t="s">
        <v>724</v>
      </c>
      <c r="I81" s="9" t="s">
        <v>725</v>
      </c>
      <c r="J81" s="7" t="s">
        <v>726</v>
      </c>
      <c r="K81" s="7" t="s">
        <v>727</v>
      </c>
    </row>
    <row r="82" ht="22.5" customHeight="1">
      <c r="A82" s="7" t="str">
        <f>IFERROR(__xludf.DUMMYFUNCTION("GOOGLETRANSLATE(G82, ""de"", ""en"")"),"81")</f>
        <v>81</v>
      </c>
      <c r="B82" s="7" t="str">
        <f>IFERROR(__xludf.DUMMYFUNCTION("GOOGLETRANSLATE(H82, ""de"", ""en"")"),"You are in a suit game and your opponent leads with a card of the suit in which you have the highest card. What should you do?")</f>
        <v>You are in a suit game and your opponent leads with a card of the suit in which you have the highest card. What should you do?</v>
      </c>
      <c r="C82" s="7" t="s">
        <v>728</v>
      </c>
      <c r="D82" s="7" t="str">
        <f>IFERROR(__xludf.DUMMYFUNCTION("GOOGLETRANSLATE(J82, ""de"", ""en"")"),"Play the highest card")</f>
        <v>Play the highest card</v>
      </c>
      <c r="E82" s="7" t="str">
        <f>IFERROR(__xludf.DUMMYFUNCTION("GOOGLETRANSLATE(K82, ""de"", ""en"")"),"If you have the highest card of a suit, play it to ensure you win the trick and control the round.")</f>
        <v>If you have the highest card of a suit, play it to ensure you win the trick and control the round.</v>
      </c>
      <c r="G82" s="8">
        <v>81.0</v>
      </c>
      <c r="H82" s="7" t="s">
        <v>729</v>
      </c>
      <c r="I82" s="9" t="s">
        <v>730</v>
      </c>
      <c r="J82" s="7" t="s">
        <v>731</v>
      </c>
      <c r="K82" s="7" t="s">
        <v>732</v>
      </c>
    </row>
    <row r="83" ht="22.5" customHeight="1">
      <c r="A83" s="7" t="str">
        <f>IFERROR(__xludf.DUMMYFUNCTION("GOOGLETRANSLATE(G83, ""de"", ""en"")"),"82")</f>
        <v>82</v>
      </c>
      <c r="B83" s="7" t="str">
        <f>IFERROR(__xludf.DUMMYFUNCTION("GOOGLETRANSLATE(H83, ""de"", ""en"")"),"You're playing a big game and your opponent is leading with a queen. You have a jack of the same suit. What should you do?")</f>
        <v>You're playing a big game and your opponent is leading with a queen. You have a jack of the same suit. What should you do?</v>
      </c>
      <c r="C83" s="7" t="s">
        <v>733</v>
      </c>
      <c r="D83" s="7" t="str">
        <f>IFERROR(__xludf.DUMMYFUNCTION("GOOGLETRANSLATE(J83, ""de"", ""en"")"),"Play the Jack")</f>
        <v>Play the Jack</v>
      </c>
      <c r="E83" s="7" t="str">
        <f>IFERROR(__xludf.DUMMYFUNCTION("GOOGLETRANSLATE(K83, ""de"", ""en"")"),"In a large game, jacks are the only trump, so playing your jack wins the trick.")</f>
        <v>In a large game, jacks are the only trump, so playing your jack wins the trick.</v>
      </c>
      <c r="G83" s="8">
        <v>82.0</v>
      </c>
      <c r="H83" s="7" t="s">
        <v>734</v>
      </c>
      <c r="I83" s="9" t="s">
        <v>735</v>
      </c>
      <c r="J83" s="7" t="s">
        <v>736</v>
      </c>
      <c r="K83" s="7" t="s">
        <v>737</v>
      </c>
    </row>
    <row r="84" ht="22.5" customHeight="1">
      <c r="A84" s="7" t="str">
        <f>IFERROR(__xludf.DUMMYFUNCTION("GOOGLETRANSLATE(G84, ""de"", ""en"")"),"83")</f>
        <v>83</v>
      </c>
      <c r="B84" s="7" t="str">
        <f>IFERROR(__xludf.DUMMYFUNCTION("GOOGLETRANSLATE(H84, ""de"", ""en"")"),"You are in the bidding phase and your opponent is bidding aggressively, but you have a weak hand. What should you do?")</f>
        <v>You are in the bidding phase and your opponent is bidding aggressively, but you have a weak hand. What should you do?</v>
      </c>
      <c r="C84" s="7" t="s">
        <v>738</v>
      </c>
      <c r="D84" s="7" t="str">
        <f>IFERROR(__xludf.DUMMYFUNCTION("GOOGLETRANSLATE(J84, ""de"", ""en"")"),"Place your bid")</f>
        <v>Place your bid</v>
      </c>
      <c r="E84" s="7" t="str">
        <f>IFERROR(__xludf.DUMMYFUNCTION("GOOGLETRANSLATE(K84, ""de"", ""en"")"),"With a weak hand, passing the bet is a safe option to avoid an unfavorable game.")</f>
        <v>With a weak hand, passing the bet is a safe option to avoid an unfavorable game.</v>
      </c>
      <c r="G84" s="8">
        <v>83.0</v>
      </c>
      <c r="H84" s="7" t="s">
        <v>739</v>
      </c>
      <c r="I84" s="9" t="s">
        <v>740</v>
      </c>
      <c r="J84" s="7" t="s">
        <v>741</v>
      </c>
      <c r="K84" s="7" t="s">
        <v>742</v>
      </c>
    </row>
    <row r="85" ht="22.5" customHeight="1">
      <c r="A85" s="7" t="str">
        <f>IFERROR(__xludf.DUMMYFUNCTION("GOOGLETRANSLATE(G85, ""de"", ""en"")"),"84")</f>
        <v>84</v>
      </c>
      <c r="B85" s="7" t="str">
        <f>IFERROR(__xludf.DUMMYFUNCTION("GOOGLETRANSLATE(H85, ""de"", ""en"")"),"They only have face cards and jacks in their hand. Which hand is most likely to be successful?")</f>
        <v>They only have face cards and jacks in their hand. Which hand is most likely to be successful?</v>
      </c>
      <c r="C85" s="7" t="s">
        <v>743</v>
      </c>
      <c r="D85" s="7" t="str">
        <f>IFERROR(__xludf.DUMMYFUNCTION("GOOGLETRANSLATE(J85, ""de"", ""en"")"),"Fantastic game")</f>
        <v>Fantastic game</v>
      </c>
      <c r="E85" s="7" t="str">
        <f>IFERROR(__xludf.DUMMYFUNCTION("GOOGLETRANSLATE(K85, ""de"", ""en"")"),"A hand containing picture cards and jacks is ideal for a large game where jacks are the trump cards.")</f>
        <v>A hand containing picture cards and jacks is ideal for a large game where jacks are the trump cards.</v>
      </c>
      <c r="G85" s="8">
        <v>84.0</v>
      </c>
      <c r="H85" s="7" t="s">
        <v>744</v>
      </c>
      <c r="I85" s="9" t="s">
        <v>745</v>
      </c>
      <c r="J85" s="7" t="s">
        <v>708</v>
      </c>
      <c r="K85" s="7" t="s">
        <v>746</v>
      </c>
    </row>
    <row r="86" ht="22.5" customHeight="1">
      <c r="A86" s="7" t="str">
        <f>IFERROR(__xludf.DUMMYFUNCTION("GOOGLETRANSLATE(G86, ""de"", ""en"")"),"85")</f>
        <v>85</v>
      </c>
      <c r="B86" s="7" t="str">
        <f>IFERROR(__xludf.DUMMYFUNCTION("GOOGLETRANSLATE(H86, ""de"", ""en"")"),"Your opponent declares a zero game, but you know you have the highest cards in the deck. What should you do?")</f>
        <v>Your opponent declares a zero game, but you know you have the highest cards in the deck. What should you do?</v>
      </c>
      <c r="C86" s="7" t="s">
        <v>747</v>
      </c>
      <c r="D86" s="7" t="str">
        <f>IFERROR(__xludf.DUMMYFUNCTION("GOOGLETRANSLATE(J86, ""de"", ""en"")"),"Play aggressively")</f>
        <v>Play aggressively</v>
      </c>
      <c r="E86" s="7" t="str">
        <f>IFERROR(__xludf.DUMMYFUNCTION("GOOGLETRANSLATE(K86, ""de"", ""en"")"),"If you have high cards, you can use them strategically to prevent the zero player from winning all the tricks.")</f>
        <v>If you have high cards, you can use them strategically to prevent the zero player from winning all the tricks.</v>
      </c>
      <c r="G86" s="8">
        <v>85.0</v>
      </c>
      <c r="H86" s="7" t="s">
        <v>748</v>
      </c>
      <c r="I86" s="9" t="s">
        <v>749</v>
      </c>
      <c r="J86" s="7" t="s">
        <v>750</v>
      </c>
      <c r="K86" s="7" t="s">
        <v>751</v>
      </c>
    </row>
    <row r="87" ht="22.5" customHeight="1">
      <c r="A87" s="7" t="str">
        <f>IFERROR(__xludf.DUMMYFUNCTION("GOOGLETRANSLATE(G87, ""de"", ""en"")"),"86")</f>
        <v>86</v>
      </c>
      <c r="B87" s="7" t="str">
        <f>IFERROR(__xludf.DUMMYFUNCTION("GOOGLETRANSLATE(H87, ""de"", ""en"")"),"You're playing a zero game, but accidentally win a trick. What happens?")</f>
        <v>You're playing a zero game, but accidentally win a trick. What happens?</v>
      </c>
      <c r="C87" s="7" t="s">
        <v>752</v>
      </c>
      <c r="D87" s="7" t="str">
        <f>IFERROR(__xludf.DUMMYFUNCTION("GOOGLETRANSLATE(J87, ""de"", ""en"")"),"You lose the game")</f>
        <v>You lose the game</v>
      </c>
      <c r="E87" s="7" t="str">
        <f>IFERROR(__xludf.DUMMYFUNCTION("GOOGLETRANSLATE(K87, ""de"", ""en"")"),"Winning a trick in a zero game automatically results in a loss.")</f>
        <v>Winning a trick in a zero game automatically results in a loss.</v>
      </c>
      <c r="G87" s="8">
        <v>86.0</v>
      </c>
      <c r="H87" s="7" t="s">
        <v>753</v>
      </c>
      <c r="I87" s="9" t="s">
        <v>754</v>
      </c>
      <c r="J87" s="7" t="s">
        <v>374</v>
      </c>
      <c r="K87" s="7" t="s">
        <v>755</v>
      </c>
    </row>
    <row r="88" ht="22.5" customHeight="1">
      <c r="A88" s="7" t="str">
        <f>IFERROR(__xludf.DUMMYFUNCTION("GOOGLETRANSLATE(G88, ""de"", ""en"")"),"87")</f>
        <v>87</v>
      </c>
      <c r="B88" s="7" t="str">
        <f>IFERROR(__xludf.DUMMYFUNCTION("GOOGLETRANSLATE(H88, ""de"", ""en"")"),"They have no trump cards, but several high cards in each suit. Which game should you declare?")</f>
        <v>They have no trump cards, but several high cards in each suit. Which game should you declare?</v>
      </c>
      <c r="C88" s="7" t="s">
        <v>756</v>
      </c>
      <c r="D88" s="7" t="str">
        <f>IFERROR(__xludf.DUMMYFUNCTION("GOOGLETRANSLATE(J88, ""de"", ""en"")"),"Suit game")</f>
        <v>Suit game</v>
      </c>
      <c r="E88" s="7" t="str">
        <f>IFERROR(__xludf.DUMMYFUNCTION("GOOGLETRANSLATE(K88, ""de"", ""en"")"),"With high cards in each suit, a suit game is ideal because you can control the tricks without having to rely on trump cards.")</f>
        <v>With high cards in each suit, a suit game is ideal because you can control the tricks without having to rely on trump cards.</v>
      </c>
      <c r="G88" s="8">
        <v>87.0</v>
      </c>
      <c r="H88" s="7" t="s">
        <v>757</v>
      </c>
      <c r="I88" s="9" t="s">
        <v>758</v>
      </c>
      <c r="J88" s="7" t="s">
        <v>410</v>
      </c>
      <c r="K88" s="7" t="s">
        <v>759</v>
      </c>
    </row>
    <row r="89" ht="22.5" customHeight="1">
      <c r="A89" s="7" t="str">
        <f>IFERROR(__xludf.DUMMYFUNCTION("GOOGLETRANSLATE(G89, ""de"", ""en"")"),"88")</f>
        <v>88</v>
      </c>
      <c r="B89" s="7" t="str">
        <f>IFERROR(__xludf.DUMMYFUNCTION("GOOGLETRANSLATE(H89, ""de"", ""en"")"),"Your hand consists mainly of low cards and a jack. What should you declare?")</f>
        <v>Your hand consists mainly of low cards and a jack. What should you declare?</v>
      </c>
      <c r="C89" s="7" t="s">
        <v>760</v>
      </c>
      <c r="D89" s="7" t="str">
        <f>IFERROR(__xludf.DUMMYFUNCTION("GOOGLETRANSLATE(J89, ""de"", ""en"")"),"Zero game")</f>
        <v>Zero game</v>
      </c>
      <c r="E89" s="7" t="str">
        <f>IFERROR(__xludf.DUMMYFUNCTION("GOOGLETRANSLATE(K89, ""de"", ""en"")"),"A hand consisting mostly of low cards and a jack is best suited for a Null game, where the goal is to lose all the tricks.")</f>
        <v>A hand consisting mostly of low cards and a jack is best suited for a Null game, where the goal is to lose all the tricks.</v>
      </c>
      <c r="G89" s="8">
        <v>88.0</v>
      </c>
      <c r="H89" s="7" t="s">
        <v>761</v>
      </c>
      <c r="I89" s="9" t="s">
        <v>762</v>
      </c>
      <c r="J89" s="7" t="s">
        <v>703</v>
      </c>
      <c r="K89" s="7" t="s">
        <v>763</v>
      </c>
    </row>
    <row r="90" ht="22.5" customHeight="1">
      <c r="A90" s="7" t="str">
        <f>IFERROR(__xludf.DUMMYFUNCTION("GOOGLETRANSLATE(G90, ""de"", ""en"")"),"89")</f>
        <v>89</v>
      </c>
      <c r="B90" s="7" t="str">
        <f>IFERROR(__xludf.DUMMYFUNCTION("GOOGLETRANSLATE(H90, ""de"", ""en"")"),"During the game, your opponent tries to bluff with a high trump card. What should you do if you have a lower trump?")</f>
        <v>During the game, your opponent tries to bluff with a high trump card. What should you do if you have a lower trump?</v>
      </c>
      <c r="C90" s="7" t="s">
        <v>764</v>
      </c>
      <c r="D90" s="7" t="str">
        <f>IFERROR(__xludf.DUMMYFUNCTION("GOOGLETRANSLATE(J90, ""de"", ""en"")"),"Play a higher trump.")</f>
        <v>Play a higher trump.</v>
      </c>
      <c r="E90" s="7" t="str">
        <f>IFERROR(__xludf.DUMMYFUNCTION("GOOGLETRANSLATE(K90, ""de"", ""en"")"),"If you have a higher trump card, you can win the trick and defeat the bluff by playing it.")</f>
        <v>If you have a higher trump card, you can win the trick and defeat the bluff by playing it.</v>
      </c>
      <c r="G90" s="8">
        <v>89.0</v>
      </c>
      <c r="H90" s="7" t="s">
        <v>765</v>
      </c>
      <c r="I90" s="9" t="s">
        <v>766</v>
      </c>
      <c r="J90" s="7" t="s">
        <v>767</v>
      </c>
      <c r="K90" s="7" t="s">
        <v>768</v>
      </c>
    </row>
    <row r="91" ht="22.5" customHeight="1">
      <c r="A91" s="7" t="str">
        <f>IFERROR(__xludf.DUMMYFUNCTION("GOOGLETRANSLATE(G91, ""de"", ""en"")"),"90")</f>
        <v>90</v>
      </c>
      <c r="B91" s="7" t="str">
        <f>IFERROR(__xludf.DUMMYFUNCTION("GOOGLETRANSLATE(H91, ""de"", ""en"")"),"What should you announce in Skat if you have no face cards and only low cards in your hand?")</f>
        <v>What should you announce in Skat if you have no face cards and only low cards in your hand?</v>
      </c>
      <c r="C91" s="7" t="s">
        <v>760</v>
      </c>
      <c r="D91" s="7" t="str">
        <f>IFERROR(__xludf.DUMMYFUNCTION("GOOGLETRANSLATE(J91, ""de"", ""en"")"),"Zero game")</f>
        <v>Zero game</v>
      </c>
      <c r="E91" s="7" t="str">
        <f>IFERROR(__xludf.DUMMYFUNCTION("GOOGLETRANSLATE(K91, ""de"", ""en"")"),"A hand full of low cards without face cards is ideal for a Null game, where you aim to lose all the tricks.")</f>
        <v>A hand full of low cards without face cards is ideal for a Null game, where you aim to lose all the tricks.</v>
      </c>
      <c r="G91" s="8">
        <v>90.0</v>
      </c>
      <c r="H91" s="7" t="s">
        <v>769</v>
      </c>
      <c r="I91" s="9" t="s">
        <v>762</v>
      </c>
      <c r="J91" s="7" t="s">
        <v>703</v>
      </c>
      <c r="K91" s="7" t="s">
        <v>770</v>
      </c>
    </row>
    <row r="92" ht="22.5" customHeight="1">
      <c r="A92" s="7" t="str">
        <f>IFERROR(__xludf.DUMMYFUNCTION("GOOGLETRANSLATE(G92, ""de"", ""en"")"),"91")</f>
        <v>91</v>
      </c>
      <c r="B92" s="7" t="str">
        <f>IFERROR(__xludf.DUMMYFUNCTION("GOOGLETRANSLATE(H92, ""de"", ""en"")"),"You have a strong hand, but no trump cards. Which game should you declare?")</f>
        <v>You have a strong hand, but no trump cards. Which game should you declare?</v>
      </c>
      <c r="C92" s="7" t="s">
        <v>756</v>
      </c>
      <c r="D92" s="7" t="str">
        <f>IFERROR(__xludf.DUMMYFUNCTION("GOOGLETRANSLATE(J92, ""de"", ""en"")"),"Suit game")</f>
        <v>Suit game</v>
      </c>
      <c r="E92" s="7" t="str">
        <f>IFERROR(__xludf.DUMMYFUNCTION("GOOGLETRANSLATE(K92, ""de"", ""en"")"),"A hand with strong non-trump cards is best suited for a suit game where your high cards can win tricks.")</f>
        <v>A hand with strong non-trump cards is best suited for a suit game where your high cards can win tricks.</v>
      </c>
      <c r="G92" s="8">
        <v>91.0</v>
      </c>
      <c r="H92" s="7" t="s">
        <v>771</v>
      </c>
      <c r="I92" s="9" t="s">
        <v>758</v>
      </c>
      <c r="J92" s="7" t="s">
        <v>410</v>
      </c>
      <c r="K92" s="7" t="s">
        <v>772</v>
      </c>
    </row>
    <row r="93" ht="22.5" customHeight="1">
      <c r="A93" s="7" t="str">
        <f>IFERROR(__xludf.DUMMYFUNCTION("GOOGLETRANSLATE(G93, ""de"", ""en"")"),"92")</f>
        <v>92</v>
      </c>
      <c r="B93" s="7" t="str">
        <f>IFERROR(__xludf.DUMMYFUNCTION("GOOGLETRANSLATE(H93, ""de"", ""en"")"),"Your opponent makes a high bid during the bidding phase, but you only have a hand with low cards. What should you do?")</f>
        <v>Your opponent makes a high bid during the bidding phase, but you only have a hand with low cards. What should you do?</v>
      </c>
      <c r="C93" s="7" t="s">
        <v>773</v>
      </c>
      <c r="D93" s="7" t="str">
        <f>IFERROR(__xludf.DUMMYFUNCTION("GOOGLETRANSLATE(J93, ""de"", ""en"")"),"Place your bid")</f>
        <v>Place your bid</v>
      </c>
      <c r="E93" s="7" t="str">
        <f>IFERROR(__xludf.DUMMYFUNCTION("GOOGLETRANSLATE(K93, ""de"", ""en"")"),"If you have a hand full of low cards, folding is the best option to avoid a high-stakes game.")</f>
        <v>If you have a hand full of low cards, folding is the best option to avoid a high-stakes game.</v>
      </c>
      <c r="G93" s="8">
        <v>92.0</v>
      </c>
      <c r="H93" s="7" t="s">
        <v>774</v>
      </c>
      <c r="I93" s="9" t="s">
        <v>775</v>
      </c>
      <c r="J93" s="7" t="s">
        <v>741</v>
      </c>
      <c r="K93" s="7" t="s">
        <v>776</v>
      </c>
    </row>
    <row r="94" ht="22.5" customHeight="1">
      <c r="A94" s="7" t="str">
        <f>IFERROR(__xludf.DUMMYFUNCTION("GOOGLETRANSLATE(G94, ""de"", ""en"")"),"93")</f>
        <v>93</v>
      </c>
      <c r="B94" s="7" t="str">
        <f>IFERROR(__xludf.DUMMYFUNCTION("GOOGLETRANSLATE(H94, ""de"", ""en"")"),"You are participating in a game with zero points, but you draw a card that would win you a trick. What should you do?")</f>
        <v>You are participating in a game with zero points, but you draw a card that would win you a trick. What should you do?</v>
      </c>
      <c r="C94" s="7" t="s">
        <v>777</v>
      </c>
      <c r="D94" s="7" t="str">
        <f>IFERROR(__xludf.DUMMYFUNCTION("GOOGLETRANSLATE(J94, ""de"", ""en"")"),"Dispose of the card")</f>
        <v>Dispose of the card</v>
      </c>
      <c r="E94" s="7" t="str">
        <f>IFERROR(__xludf.DUMMYFUNCTION("GOOGLETRANSLATE(K94, ""de"", ""en"")"),"In a zero game, you must avoid winning tricks, so discarding your card is the best option.")</f>
        <v>In a zero game, you must avoid winning tricks, so discarding your card is the best option.</v>
      </c>
      <c r="G94" s="8">
        <v>93.0</v>
      </c>
      <c r="H94" s="7" t="s">
        <v>778</v>
      </c>
      <c r="I94" s="9" t="s">
        <v>779</v>
      </c>
      <c r="J94" s="7" t="s">
        <v>780</v>
      </c>
      <c r="K94" s="7" t="s">
        <v>781</v>
      </c>
    </row>
    <row r="95" ht="22.5" customHeight="1">
      <c r="A95" s="7" t="str">
        <f>IFERROR(__xludf.DUMMYFUNCTION("GOOGLETRANSLATE(G95, ""de"", ""en"")"),"94")</f>
        <v>94</v>
      </c>
      <c r="B95" s="7" t="str">
        <f>IFERROR(__xludf.DUMMYFUNCTION("GOOGLETRANSLATE(H95, ""de"", ""en"")"),"You declare a suit, but your opponent is leading with a trump card. What should you do?")</f>
        <v>You declare a suit, but your opponent is leading with a trump card. What should you do?</v>
      </c>
      <c r="C95" s="7" t="s">
        <v>782</v>
      </c>
      <c r="D95" s="7" t="str">
        <f>IFERROR(__xludf.DUMMYFUNCTION("GOOGLETRANSLATE(J95, ""de"", ""en"")"),"Play a higher trump.")</f>
        <v>Play a higher trump.</v>
      </c>
      <c r="E95" s="7" t="str">
        <f>IFERROR(__xludf.DUMMYFUNCTION("GOOGLETRANSLATE(K95, ""de"", ""en"")"),"If you have a higher trump, play it to win the trick and maintain control.")</f>
        <v>If you have a higher trump, play it to win the trick and maintain control.</v>
      </c>
      <c r="G95" s="8">
        <v>94.0</v>
      </c>
      <c r="H95" s="7" t="s">
        <v>783</v>
      </c>
      <c r="I95" s="9" t="s">
        <v>784</v>
      </c>
      <c r="J95" s="7" t="s">
        <v>384</v>
      </c>
      <c r="K95" s="7" t="s">
        <v>785</v>
      </c>
    </row>
    <row r="96" ht="22.5" customHeight="1">
      <c r="A96" s="7" t="str">
        <f>IFERROR(__xludf.DUMMYFUNCTION("GOOGLETRANSLATE(G96, ""de"", ""en"")"),"95")</f>
        <v>95</v>
      </c>
      <c r="B96" s="7" t="str">
        <f>IFERROR(__xludf.DUMMYFUNCTION("GOOGLETRANSLATE(H96, ""de"", ""en"")"),"You have the ace, king, and queen of the same suit. What should you declare?")</f>
        <v>You have the ace, king, and queen of the same suit. What should you declare?</v>
      </c>
      <c r="C96" s="7" t="s">
        <v>715</v>
      </c>
      <c r="D96" s="7" t="str">
        <f>IFERROR(__xludf.DUMMYFUNCTION("GOOGLETRANSLATE(J96, ""de"", ""en"")"),"Suit game")</f>
        <v>Suit game</v>
      </c>
      <c r="E96" s="7" t="str">
        <f>IFERROR(__xludf.DUMMYFUNCTION("GOOGLETRANSLATE(K96, ""de"", ""en"")"),"With strong picture cards of one suit, you should announce a suit play to capitalize on your high cards.")</f>
        <v>With strong picture cards of one suit, you should announce a suit play to capitalize on your high cards.</v>
      </c>
      <c r="G96" s="8">
        <v>95.0</v>
      </c>
      <c r="H96" s="7" t="s">
        <v>786</v>
      </c>
      <c r="I96" s="9" t="s">
        <v>717</v>
      </c>
      <c r="J96" s="7" t="s">
        <v>410</v>
      </c>
      <c r="K96" s="7" t="s">
        <v>787</v>
      </c>
    </row>
    <row r="97" ht="22.5" customHeight="1">
      <c r="A97" s="7" t="str">
        <f>IFERROR(__xludf.DUMMYFUNCTION("GOOGLETRANSLATE(G97, ""de"", ""en"")"),"96")</f>
        <v>96</v>
      </c>
      <c r="B97" s="7" t="str">
        <f>IFERROR(__xludf.DUMMYFUNCTION("GOOGLETRANSLATE(H97, ""de"", ""en"")"),"You're playing a big game and your opponent plays a low card. What should you do?")</f>
        <v>You're playing a big game and your opponent plays a low card. What should you do?</v>
      </c>
      <c r="C97" s="7" t="s">
        <v>788</v>
      </c>
      <c r="D97" s="7" t="str">
        <f>IFERROR(__xludf.DUMMYFUNCTION("GOOGLETRANSLATE(J97, ""de"", ""en"")"),"Play a higher card")</f>
        <v>Play a higher card</v>
      </c>
      <c r="E97" s="7" t="str">
        <f>IFERROR(__xludf.DUMMYFUNCTION("GOOGLETRANSLATE(K97, ""de"", ""en"")"),"If the card is of a non-trump suit, playing a higher card ensures that you win the trick.")</f>
        <v>If the card is of a non-trump suit, playing a higher card ensures that you win the trick.</v>
      </c>
      <c r="G97" s="8">
        <v>96.0</v>
      </c>
      <c r="H97" s="7" t="s">
        <v>789</v>
      </c>
      <c r="I97" s="9" t="s">
        <v>790</v>
      </c>
      <c r="J97" s="7" t="s">
        <v>498</v>
      </c>
      <c r="K97" s="7" t="s">
        <v>791</v>
      </c>
    </row>
    <row r="98" ht="22.5" customHeight="1">
      <c r="A98" s="7" t="str">
        <f>IFERROR(__xludf.DUMMYFUNCTION("GOOGLETRANSLATE(G98, ""de"", ""en"")"),"97")</f>
        <v>97</v>
      </c>
      <c r="B98" s="7" t="str">
        <f>IFERROR(__xludf.DUMMYFUNCTION("GOOGLETRANSLATE(H98, ""de"", ""en"")"),"Your hand consists of a single jack and low cards. Which game should you declare?")</f>
        <v>Your hand consists of a single jack and low cards. Which game should you declare?</v>
      </c>
      <c r="C98" s="7" t="s">
        <v>792</v>
      </c>
      <c r="D98" s="7" t="str">
        <f>IFERROR(__xludf.DUMMYFUNCTION("GOOGLETRANSLATE(J98, ""de"", ""en"")"),"Zero game")</f>
        <v>Zero game</v>
      </c>
      <c r="E98" s="7" t="str">
        <f>IFERROR(__xludf.DUMMYFUNCTION("GOOGLETRANSLATE(K98, ""de"", ""en"")"),"A hand with only one jack and low cards is best suited for a zero game, as you want to lose all the tricks.")</f>
        <v>A hand with only one jack and low cards is best suited for a zero game, as you want to lose all the tricks.</v>
      </c>
      <c r="G98" s="8">
        <v>97.0</v>
      </c>
      <c r="H98" s="7" t="s">
        <v>793</v>
      </c>
      <c r="I98" s="9" t="s">
        <v>794</v>
      </c>
      <c r="J98" s="7" t="s">
        <v>703</v>
      </c>
      <c r="K98" s="7" t="s">
        <v>795</v>
      </c>
    </row>
    <row r="99" ht="22.5" customHeight="1">
      <c r="A99" s="7" t="str">
        <f>IFERROR(__xludf.DUMMYFUNCTION("GOOGLETRANSLATE(G99, ""de"", ""en"")"),"98")</f>
        <v>98</v>
      </c>
      <c r="B99" s="7" t="str">
        <f>IFERROR(__xludf.DUMMYFUNCTION("GOOGLETRANSLATE(H99, ""de"", ""en"")"),"They hold a hand containing only face cards and low cards of the same suit. Which game should you declare?")</f>
        <v>They hold a hand containing only face cards and low cards of the same suit. Which game should you declare?</v>
      </c>
      <c r="C99" s="7" t="s">
        <v>796</v>
      </c>
      <c r="D99" s="7" t="str">
        <f>IFERROR(__xludf.DUMMYFUNCTION("GOOGLETRANSLATE(J99, ""de"", ""en"")"),"Suit game")</f>
        <v>Suit game</v>
      </c>
      <c r="E99" s="7" t="str">
        <f>IFERROR(__xludf.DUMMYFUNCTION("GOOGLETRANSLATE(K99, ""de"", ""en"")"),"A hand containing picture cards and low cards of a single suit is best suited for a suit game.")</f>
        <v>A hand containing picture cards and low cards of a single suit is best suited for a suit game.</v>
      </c>
      <c r="G99" s="8">
        <v>98.0</v>
      </c>
      <c r="H99" s="7" t="s">
        <v>797</v>
      </c>
      <c r="I99" s="9" t="s">
        <v>798</v>
      </c>
      <c r="J99" s="7" t="s">
        <v>410</v>
      </c>
      <c r="K99" s="7" t="s">
        <v>799</v>
      </c>
    </row>
    <row r="100" ht="22.5" customHeight="1">
      <c r="A100" s="7" t="str">
        <f>IFERROR(__xludf.DUMMYFUNCTION("GOOGLETRANSLATE(G100, ""de"", ""en"")"),"99")</f>
        <v>99</v>
      </c>
      <c r="B100" s="7" t="str">
        <f>IFERROR(__xludf.DUMMYFUNCTION("GOOGLETRANSLATE(H100, ""de"", ""en"")"),"What is the main advantage of declaring a Null game in Skat?")</f>
        <v>What is the main advantage of declaring a Null game in Skat?</v>
      </c>
      <c r="C100" s="7" t="s">
        <v>800</v>
      </c>
      <c r="D100" s="7" t="str">
        <f>IFERROR(__xludf.DUMMYFUNCTION("GOOGLETRANSLATE(J100, ""de"", ""en"")"),"It eliminates the trump suit.")</f>
        <v>It eliminates the trump suit.</v>
      </c>
      <c r="E100" s="7" t="str">
        <f>IFERROR(__xludf.DUMMYFUNCTION("GOOGLETRANSLATE(K100, ""de"", ""en"")"),"In a Null game, the trump suit is eliminated, meaning that no suit has priority and the focus is on losing all tricks.")</f>
        <v>In a Null game, the trump suit is eliminated, meaning that no suit has priority and the focus is on losing all tricks.</v>
      </c>
      <c r="G100" s="8">
        <v>99.0</v>
      </c>
      <c r="H100" s="7" t="s">
        <v>801</v>
      </c>
      <c r="I100" s="9" t="s">
        <v>802</v>
      </c>
      <c r="J100" s="7" t="s">
        <v>803</v>
      </c>
      <c r="K100" s="7" t="s">
        <v>804</v>
      </c>
    </row>
    <row r="101" ht="22.5" customHeight="1">
      <c r="A101" s="7" t="str">
        <f>IFERROR(__xludf.DUMMYFUNCTION("GOOGLETRANSLATE(G101, ""de"", ""en"")"),"100")</f>
        <v>100</v>
      </c>
      <c r="B101" s="7" t="str">
        <f>IFERROR(__xludf.DUMMYFUNCTION("GOOGLETRANSLATE(H101, ""de"", ""en"")"),"Your opponent declares a suit play with a strong hand. What should you do to defend yourself?")</f>
        <v>Your opponent declares a suit play with a strong hand. What should you do to defend yourself?</v>
      </c>
      <c r="C101" s="7" t="s">
        <v>805</v>
      </c>
      <c r="D101" s="7" t="str">
        <f>IFERROR(__xludf.DUMMYFUNCTION("GOOGLETRANSLATE(J101, ""de"", ""en"")"),"Try to block their highest cards.")</f>
        <v>Try to block their highest cards.</v>
      </c>
      <c r="E101" s="7" t="str">
        <f>IFERROR(__xludf.DUMMYFUNCTION("GOOGLETRANSLATE(K101, ""de"", ""en"")"),"Blocking high cards is key to preventing the declarer from winning tricks in a suit game.")</f>
        <v>Blocking high cards is key to preventing the declarer from winning tricks in a suit game.</v>
      </c>
      <c r="G101" s="8">
        <v>100.0</v>
      </c>
      <c r="H101" s="7" t="s">
        <v>806</v>
      </c>
      <c r="I101" s="9" t="s">
        <v>807</v>
      </c>
      <c r="J101" s="7" t="s">
        <v>808</v>
      </c>
      <c r="K101" s="7" t="s">
        <v>809</v>
      </c>
    </row>
    <row r="102" ht="22.5" customHeight="1">
      <c r="A102" s="7" t="str">
        <f>IFERROR(__xludf.DUMMYFUNCTION("GOOGLETRANSLATE(G102, ""de"", ""en"")"),"101")</f>
        <v>101</v>
      </c>
      <c r="B102" s="7" t="str">
        <f>IFERROR(__xludf.DUMMYFUNCTION("GOOGLETRANSLATE(H102, ""de"", ""en"")"),"You have a single ace and several low cards. Which game should you declare?")</f>
        <v>You have a single ace and several low cards. Which game should you declare?</v>
      </c>
      <c r="C102" s="7" t="s">
        <v>792</v>
      </c>
      <c r="D102" s="7" t="str">
        <f>IFERROR(__xludf.DUMMYFUNCTION("GOOGLETRANSLATE(J102, ""de"", ""en"")"),"Suit game")</f>
        <v>Suit game</v>
      </c>
      <c r="E102" s="7" t="str">
        <f>IFERROR(__xludf.DUMMYFUNCTION("GOOGLETRANSLATE(K102, ""de"", ""en"")"),"A hand with an ace and several low cards is best suited for a suit game, as the ace can win a trick.")</f>
        <v>A hand with an ace and several low cards is best suited for a suit game, as the ace can win a trick.</v>
      </c>
      <c r="G102" s="8">
        <v>101.0</v>
      </c>
      <c r="H102" s="7" t="s">
        <v>810</v>
      </c>
      <c r="I102" s="9" t="s">
        <v>794</v>
      </c>
      <c r="J102" s="7" t="s">
        <v>410</v>
      </c>
      <c r="K102" s="7" t="s">
        <v>811</v>
      </c>
    </row>
    <row r="103" ht="22.5" customHeight="1">
      <c r="A103" s="7" t="str">
        <f>IFERROR(__xludf.DUMMYFUNCTION("GOOGLETRANSLATE(G103, ""de"", ""en"")"),"102")</f>
        <v>102</v>
      </c>
      <c r="B103" s="7" t="str">
        <f>IFERROR(__xludf.DUMMYFUNCTION("GOOGLETRANSLATE(H103, ""de"", ""en"")"),"What happens if you accidentally win a trick during a Null game?")</f>
        <v>What happens if you accidentally win a trick during a Null game?</v>
      </c>
      <c r="C103" s="7" t="s">
        <v>812</v>
      </c>
      <c r="D103" s="7" t="str">
        <f>IFERROR(__xludf.DUMMYFUNCTION("GOOGLETRANSLATE(J103, ""de"", ""en"")"),"You lose the game")</f>
        <v>You lose the game</v>
      </c>
      <c r="E103" s="7" t="str">
        <f>IFERROR(__xludf.DUMMYFUNCTION("GOOGLETRANSLATE(K103, ""de"", ""en"")"),"Winning even a single trick in a zero game automatically results in a loss.")</f>
        <v>Winning even a single trick in a zero game automatically results in a loss.</v>
      </c>
      <c r="G103" s="8">
        <v>102.0</v>
      </c>
      <c r="H103" s="7" t="s">
        <v>813</v>
      </c>
      <c r="I103" s="9" t="s">
        <v>814</v>
      </c>
      <c r="J103" s="7" t="s">
        <v>374</v>
      </c>
      <c r="K103" s="7" t="s">
        <v>815</v>
      </c>
    </row>
    <row r="104" ht="22.5" customHeight="1">
      <c r="A104" s="7" t="str">
        <f>IFERROR(__xludf.DUMMYFUNCTION("GOOGLETRANSLATE(G104, ""de"", ""en"")"),"103")</f>
        <v>103</v>
      </c>
      <c r="B104" s="7" t="str">
        <f>IFERROR(__xludf.DUMMYFUNCTION("GOOGLETRANSLATE(H104, ""de"", ""en"")"),"You are holding a hand with several high cards of different suits. Which game would you call?")</f>
        <v>You are holding a hand with several high cards of different suits. Which game would you call?</v>
      </c>
      <c r="C104" s="7" t="s">
        <v>715</v>
      </c>
      <c r="D104" s="7" t="str">
        <f>IFERROR(__xludf.DUMMYFUNCTION("GOOGLETRANSLATE(J104, ""de"", ""en"")"),"Suit game")</f>
        <v>Suit game</v>
      </c>
      <c r="E104" s="7" t="str">
        <f>IFERROR(__xludf.DUMMYFUNCTION("GOOGLETRANSLATE(K104, ""de"", ""en"")"),"A hand with high cards of different colors is best suited for a suit game where you can control tricks in several colors.")</f>
        <v>A hand with high cards of different colors is best suited for a suit game where you can control tricks in several colors.</v>
      </c>
      <c r="G104" s="8">
        <v>103.0</v>
      </c>
      <c r="H104" s="7" t="s">
        <v>816</v>
      </c>
      <c r="I104" s="9" t="s">
        <v>717</v>
      </c>
      <c r="J104" s="7" t="s">
        <v>410</v>
      </c>
      <c r="K104" s="7" t="s">
        <v>817</v>
      </c>
    </row>
    <row r="105" ht="22.5" customHeight="1">
      <c r="A105" s="7" t="str">
        <f>IFERROR(__xludf.DUMMYFUNCTION("GOOGLETRANSLATE(G105, ""de"", ""en"")"),"104")</f>
        <v>104</v>
      </c>
      <c r="B105" s="7" t="str">
        <f>IFERROR(__xludf.DUMMYFUNCTION("GOOGLETRANSLATE(H105, ""de"", ""en"")"),"Your opponent declares a big hand and you have no jacks. What should you do?")</f>
        <v>Your opponent declares a big hand and you have no jacks. What should you do?</v>
      </c>
      <c r="C105" s="7" t="s">
        <v>818</v>
      </c>
      <c r="D105" s="7" t="str">
        <f>IFERROR(__xludf.DUMMYFUNCTION("GOOGLETRANSLATE(J105, ""de"", ""en"")"),"Explain a zero game")</f>
        <v>Explain a zero game</v>
      </c>
      <c r="E105" s="7" t="str">
        <f>IFERROR(__xludf.DUMMYFUNCTION("GOOGLETRANSLATE(K105, ""de"", ""en"")"),"Without jacks, a zero game is the best choice to avoid winning any tricks.")</f>
        <v>Without jacks, a zero game is the best choice to avoid winning any tricks.</v>
      </c>
      <c r="G105" s="8">
        <v>104.0</v>
      </c>
      <c r="H105" s="7" t="s">
        <v>819</v>
      </c>
      <c r="I105" s="9" t="s">
        <v>820</v>
      </c>
      <c r="J105" s="7" t="s">
        <v>821</v>
      </c>
      <c r="K105" s="7" t="s">
        <v>822</v>
      </c>
    </row>
    <row r="106" ht="22.5" customHeight="1">
      <c r="A106" s="7" t="str">
        <f>IFERROR(__xludf.DUMMYFUNCTION("GOOGLETRANSLATE(G106, ""de"", ""en"")"),"105")</f>
        <v>105</v>
      </c>
      <c r="B106" s="7" t="str">
        <f>IFERROR(__xludf.DUMMYFUNCTION("GOOGLETRANSLATE(H106, ""de"", ""en"")"),"You are the declarer and have a strong hand in one suit, but weak cards in others. Which game should you declare?")</f>
        <v>You are the declarer and have a strong hand in one suit, but weak cards in others. Which game should you declare?</v>
      </c>
      <c r="C106" s="7" t="s">
        <v>823</v>
      </c>
      <c r="D106" s="7" t="str">
        <f>IFERROR(__xludf.DUMMYFUNCTION("GOOGLETRANSLATE(J106, ""de"", ""en"")"),"Suit game")</f>
        <v>Suit game</v>
      </c>
      <c r="E106" s="7" t="str">
        <f>IFERROR(__xludf.DUMMYFUNCTION("GOOGLETRANSLATE(K106, ""de"", ""en"")"),"A hand with one strong color and other weak colors is suitable for a color game where the strong color can help to win tricks.")</f>
        <v>A hand with one strong color and other weak colors is suitable for a color game where the strong color can help to win tricks.</v>
      </c>
      <c r="G106" s="8">
        <v>105.0</v>
      </c>
      <c r="H106" s="7" t="s">
        <v>824</v>
      </c>
      <c r="I106" s="9" t="s">
        <v>825</v>
      </c>
      <c r="J106" s="7" t="s">
        <v>410</v>
      </c>
      <c r="K106" s="7" t="s">
        <v>826</v>
      </c>
    </row>
    <row r="107" ht="22.5" customHeight="1">
      <c r="A107" s="7" t="str">
        <f>IFERROR(__xludf.DUMMYFUNCTION("GOOGLETRANSLATE(G107, ""de"", ""en"")"),"106")</f>
        <v>106</v>
      </c>
      <c r="B107" s="7" t="str">
        <f>IFERROR(__xludf.DUMMYFUNCTION("GOOGLETRANSLATE(H107, ""de"", ""en"")"),"You declare a suit, but your opponent leads with a high trump card. What should you do?")</f>
        <v>You declare a suit, but your opponent leads with a high trump card. What should you do?</v>
      </c>
      <c r="C107" s="7" t="s">
        <v>827</v>
      </c>
      <c r="D107" s="7" t="str">
        <f>IFERROR(__xludf.DUMMYFUNCTION("GOOGLETRANSLATE(J107, ""de"", ""en"")"),"Play a higher trump.")</f>
        <v>Play a higher trump.</v>
      </c>
      <c r="E107" s="7" t="str">
        <f>IFERROR(__xludf.DUMMYFUNCTION("GOOGLETRANSLATE(K107, ""de"", ""en"")"),"Playing a higher trump card allows you to win the trick and maintain control of the game.")</f>
        <v>Playing a higher trump card allows you to win the trick and maintain control of the game.</v>
      </c>
      <c r="G107" s="8">
        <v>106.0</v>
      </c>
      <c r="H107" s="7" t="s">
        <v>828</v>
      </c>
      <c r="I107" s="9" t="s">
        <v>829</v>
      </c>
      <c r="J107" s="7" t="s">
        <v>767</v>
      </c>
      <c r="K107" s="7" t="s">
        <v>830</v>
      </c>
    </row>
    <row r="108" ht="22.5" customHeight="1">
      <c r="A108" s="7" t="str">
        <f>IFERROR(__xludf.DUMMYFUNCTION("GOOGLETRANSLATE(G108, ""de"", ""en"")"),"107")</f>
        <v>107</v>
      </c>
      <c r="B108" s="7" t="str">
        <f>IFERROR(__xludf.DUMMYFUNCTION("GOOGLETRANSLATE(H108, ""de"", ""en"")"),"During the bidding phase, you're unsure whether to bid for a Grand or a Suit. With Jacks, you have a strong hand. What should you declare?")</f>
        <v>During the bidding phase, you're unsure whether to bid for a Grand or a Suit. With Jacks, you have a strong hand. What should you declare?</v>
      </c>
      <c r="C108" s="7" t="s">
        <v>743</v>
      </c>
      <c r="D108" s="7" t="str">
        <f>IFERROR(__xludf.DUMMYFUNCTION("GOOGLETRANSLATE(J108, ""de"", ""en"")"),"Fantastic game")</f>
        <v>Fantastic game</v>
      </c>
      <c r="E108" s="7" t="str">
        <f>IFERROR(__xludf.DUMMYFUNCTION("GOOGLETRANSLATE(K108, ""de"", ""en"")"),"Playing with Jacks is ideal for a Grand game, as Jacks are the trump cards in this variant.")</f>
        <v>Playing with Jacks is ideal for a Grand game, as Jacks are the trump cards in this variant.</v>
      </c>
      <c r="G108" s="8">
        <v>107.0</v>
      </c>
      <c r="H108" s="7" t="s">
        <v>831</v>
      </c>
      <c r="I108" s="9" t="s">
        <v>745</v>
      </c>
      <c r="J108" s="7" t="s">
        <v>708</v>
      </c>
      <c r="K108" s="7" t="s">
        <v>832</v>
      </c>
    </row>
    <row r="109" ht="22.5" customHeight="1">
      <c r="A109" s="7" t="str">
        <f>IFERROR(__xludf.DUMMYFUNCTION("GOOGLETRANSLATE(G109, ""de"", ""en"")"),"108")</f>
        <v>108</v>
      </c>
      <c r="B109" s="7" t="str">
        <f>IFERROR(__xludf.DUMMYFUNCTION("GOOGLETRANSLATE(H109, ""de"", ""en"")"),"You are playing a suit game and your opponent is leading with a low card. What should you do if you have a higher card of the same suit?")</f>
        <v>You are playing a suit game and your opponent is leading with a low card. What should you do if you have a higher card of the same suit?</v>
      </c>
      <c r="C109" s="7" t="s">
        <v>833</v>
      </c>
      <c r="D109" s="7" t="str">
        <f>IFERROR(__xludf.DUMMYFUNCTION("GOOGLETRANSLATE(J109, ""de"", ""en"")"),"Play the higher card")</f>
        <v>Play the higher card</v>
      </c>
      <c r="E109" s="7" t="str">
        <f>IFERROR(__xludf.DUMMYFUNCTION("GOOGLETRANSLATE(K109, ""de"", ""en"")"),"Playing the higher card ensures that you win the trick and maintain control of a suit game.")</f>
        <v>Playing the higher card ensures that you win the trick and maintain control of a suit game.</v>
      </c>
      <c r="G109" s="8">
        <v>108.0</v>
      </c>
      <c r="H109" s="7" t="s">
        <v>834</v>
      </c>
      <c r="I109" s="9" t="s">
        <v>835</v>
      </c>
      <c r="J109" s="7" t="s">
        <v>836</v>
      </c>
      <c r="K109" s="7" t="s">
        <v>837</v>
      </c>
    </row>
    <row r="110" ht="22.5" customHeight="1">
      <c r="A110" s="7" t="str">
        <f>IFERROR(__xludf.DUMMYFUNCTION("GOOGLETRANSLATE(G110, ""de"", ""en"")"),"109")</f>
        <v>109</v>
      </c>
      <c r="B110" s="7" t="str">
        <f>IFERROR(__xludf.DUMMYFUNCTION("GOOGLETRANSLATE(H110, ""de"", ""en"")"),"You have a weak hand with no trump card. Which hand should you declare?")</f>
        <v>You have a weak hand with no trump card. Which hand should you declare?</v>
      </c>
      <c r="C110" s="7" t="s">
        <v>760</v>
      </c>
      <c r="D110" s="7" t="str">
        <f>IFERROR(__xludf.DUMMYFUNCTION("GOOGLETRANSLATE(J110, ""de"", ""en"")"),"Zero game")</f>
        <v>Zero game</v>
      </c>
      <c r="E110" s="7" t="str">
        <f>IFERROR(__xludf.DUMMYFUNCTION("GOOGLETRANSLATE(K110, ""de"", ""en"")"),"Without trump cards and with a weak hand, a Null game is ideal, as it focuses on losing all tricks.")</f>
        <v>Without trump cards and with a weak hand, a Null game is ideal, as it focuses on losing all tricks.</v>
      </c>
      <c r="G110" s="8">
        <v>109.0</v>
      </c>
      <c r="H110" s="7" t="s">
        <v>838</v>
      </c>
      <c r="I110" s="9" t="s">
        <v>762</v>
      </c>
      <c r="J110" s="7" t="s">
        <v>703</v>
      </c>
      <c r="K110" s="7" t="s">
        <v>839</v>
      </c>
    </row>
    <row r="111" ht="22.5" customHeight="1">
      <c r="A111" s="7" t="str">
        <f>IFERROR(__xludf.DUMMYFUNCTION("GOOGLETRANSLATE(G111, ""de"", ""en"")"),"110")</f>
        <v>110</v>
      </c>
      <c r="B111" s="7" t="str">
        <f>IFERROR(__xludf.DUMMYFUNCTION("GOOGLETRANSLATE(H111, ""de"", ""en"")"),"What is the purpose of the ""Skat"" (the two cards set aside) in the card game Skat?")</f>
        <v>What is the purpose of the "Skat" (the two cards set aside) in the card game Skat?</v>
      </c>
      <c r="C111" s="7" t="s">
        <v>840</v>
      </c>
      <c r="D111" s="7" t="str">
        <f>IFERROR(__xludf.DUMMYFUNCTION("GOOGLETRANSLATE(J111, ""de"", ""en"")"),"To improve your hand")</f>
        <v>To improve your hand</v>
      </c>
      <c r="E111" s="7" t="str">
        <f>IFERROR(__xludf.DUMMYFUNCTION("GOOGLETRANSLATE(K111, ""de"", ""en"")"),"In Skat, you can improve your hand by replacing two of your cards with the cards in the Skat.")</f>
        <v>In Skat, you can improve your hand by replacing two of your cards with the cards in the Skat.</v>
      </c>
      <c r="G111" s="8">
        <v>110.0</v>
      </c>
      <c r="H111" s="7" t="s">
        <v>841</v>
      </c>
      <c r="I111" s="9" t="s">
        <v>842</v>
      </c>
      <c r="J111" s="7" t="s">
        <v>843</v>
      </c>
      <c r="K111" s="7" t="s">
        <v>844</v>
      </c>
    </row>
    <row r="112" ht="22.5" customHeight="1">
      <c r="A112" s="7" t="str">
        <f>IFERROR(__xludf.DUMMYFUNCTION("GOOGLETRANSLATE(G112, ""de"", ""en"")"),"111")</f>
        <v>111</v>
      </c>
      <c r="B112" s="7" t="str">
        <f>IFERROR(__xludf.DUMMYFUNCTION("GOOGLETRANSLATE(H112, ""de"", ""en"")"),"They declare a zero game, but mistakenly win a trick. What happens?")</f>
        <v>They declare a zero game, but mistakenly win a trick. What happens?</v>
      </c>
      <c r="C112" s="7" t="s">
        <v>845</v>
      </c>
      <c r="D112" s="7" t="str">
        <f>IFERROR(__xludf.DUMMYFUNCTION("GOOGLETRANSLATE(J112, ""de"", ""en"")"),"You lose the game")</f>
        <v>You lose the game</v>
      </c>
      <c r="E112" s="7" t="str">
        <f>IFERROR(__xludf.DUMMYFUNCTION("GOOGLETRANSLATE(K112, ""de"", ""en"")"),"In a zero game, winning a trick automatically leads to a loss.")</f>
        <v>In a zero game, winning a trick automatically leads to a loss.</v>
      </c>
      <c r="G112" s="8">
        <v>111.0</v>
      </c>
      <c r="H112" s="7" t="s">
        <v>846</v>
      </c>
      <c r="I112" s="9" t="s">
        <v>847</v>
      </c>
      <c r="J112" s="7" t="s">
        <v>374</v>
      </c>
      <c r="K112" s="7" t="s">
        <v>596</v>
      </c>
    </row>
    <row r="113" ht="22.5" customHeight="1">
      <c r="A113" s="7" t="str">
        <f>IFERROR(__xludf.DUMMYFUNCTION("GOOGLETRANSLATE(G113, ""de"", ""en"")"),"112")</f>
        <v>112</v>
      </c>
      <c r="B113" s="7" t="str">
        <f>IFERROR(__xludf.DUMMYFUNCTION("GOOGLETRANSLATE(H113, ""de"", ""en"")"),"You're playing a big game and your opponent is leading with a queen. What should you do if you have a jack of the same suit?")</f>
        <v>You're playing a big game and your opponent is leading with a queen. What should you do if you have a jack of the same suit?</v>
      </c>
      <c r="C113" s="7" t="s">
        <v>848</v>
      </c>
      <c r="D113" s="7" t="str">
        <f>IFERROR(__xludf.DUMMYFUNCTION("GOOGLETRANSLATE(J113, ""de"", ""en"")"),"Play the Jack")</f>
        <v>Play the Jack</v>
      </c>
      <c r="E113" s="7" t="str">
        <f>IFERROR(__xludf.DUMMYFUNCTION("GOOGLETRANSLATE(K113, ""de"", ""en"")"),"In a big game, Jacks are trump cards, so you should play Jack to win the trick.")</f>
        <v>In a big game, Jacks are trump cards, so you should play Jack to win the trick.</v>
      </c>
      <c r="G113" s="8">
        <v>112.0</v>
      </c>
      <c r="H113" s="7" t="s">
        <v>849</v>
      </c>
      <c r="I113" s="9" t="s">
        <v>850</v>
      </c>
      <c r="J113" s="7" t="s">
        <v>736</v>
      </c>
      <c r="K113" s="7" t="s">
        <v>851</v>
      </c>
    </row>
    <row r="114" ht="22.5" customHeight="1">
      <c r="A114" s="7" t="str">
        <f>IFERROR(__xludf.DUMMYFUNCTION("GOOGLETRANSLATE(G114, ""de"", ""en"")"),"113")</f>
        <v>113</v>
      </c>
      <c r="B114" s="7" t="str">
        <f>IFERROR(__xludf.DUMMYFUNCTION("GOOGLETRANSLATE(H114, ""de"", ""en"")"),"You have several low cards in your hand and no trump cards. Which game should you explain?")</f>
        <v>You have several low cards in your hand and no trump cards. Which game should you explain?</v>
      </c>
      <c r="C114" s="7" t="s">
        <v>852</v>
      </c>
      <c r="D114" s="7" t="str">
        <f>IFERROR(__xludf.DUMMYFUNCTION("GOOGLETRANSLATE(J114, ""de"", ""en"")"),"Zero game")</f>
        <v>Zero game</v>
      </c>
      <c r="E114" s="7" t="str">
        <f>IFERROR(__xludf.DUMMYFUNCTION("GOOGLETRANSLATE(K114, ""de"", ""en"")"),"A hand full of low cards without any trump cards is ideal for a zero game where the goal is to lose all the tricks.")</f>
        <v>A hand full of low cards without any trump cards is ideal for a zero game where the goal is to lose all the tricks.</v>
      </c>
      <c r="G114" s="8">
        <v>113.0</v>
      </c>
      <c r="H114" s="7" t="s">
        <v>853</v>
      </c>
      <c r="I114" s="9" t="s">
        <v>854</v>
      </c>
      <c r="J114" s="7" t="s">
        <v>703</v>
      </c>
      <c r="K114" s="7" t="s">
        <v>855</v>
      </c>
    </row>
    <row r="115" ht="22.5" customHeight="1">
      <c r="A115" s="7" t="str">
        <f>IFERROR(__xludf.DUMMYFUNCTION("GOOGLETRANSLATE(G115, ""de"", ""en"")"),"114")</f>
        <v>114</v>
      </c>
      <c r="B115" s="7" t="str">
        <f>IFERROR(__xludf.DUMMYFUNCTION("GOOGLETRANSLATE(H115, ""de"", ""en"")"),"You're in a suit game and have a good mix of high and medium cards in your suit. What's the best strategy?")</f>
        <v>You're in a suit game and have a good mix of high and medium cards in your suit. What's the best strategy?</v>
      </c>
      <c r="C115" s="7" t="s">
        <v>856</v>
      </c>
      <c r="D115" s="7" t="str">
        <f>IFERROR(__xludf.DUMMYFUNCTION("GOOGLETRANSLATE(J115, ""de"", ""en"")"),"Lead with your strongest cards")</f>
        <v>Lead with your strongest cards</v>
      </c>
      <c r="E115" s="7" t="str">
        <f>IFERROR(__xludf.DUMMYFUNCTION("GOOGLETRANSLATE(K115, ""de"", ""en"")"),"If you are leading with your highest cards, your chances of winning the tricks in this suit increase.")</f>
        <v>If you are leading with your highest cards, your chances of winning the tricks in this suit increase.</v>
      </c>
      <c r="G115" s="8">
        <v>114.0</v>
      </c>
      <c r="H115" s="7" t="s">
        <v>857</v>
      </c>
      <c r="I115" s="9" t="s">
        <v>858</v>
      </c>
      <c r="J115" s="7" t="s">
        <v>859</v>
      </c>
      <c r="K115" s="7" t="s">
        <v>860</v>
      </c>
    </row>
    <row r="116" ht="22.5" customHeight="1">
      <c r="A116" s="7" t="str">
        <f>IFERROR(__xludf.DUMMYFUNCTION("GOOGLETRANSLATE(G116, ""de"", ""en"")"),"115")</f>
        <v>115</v>
      </c>
      <c r="B116" s="7" t="str">
        <f>IFERROR(__xludf.DUMMYFUNCTION("GOOGLETRANSLATE(H116, ""de"", ""en"")"),"Your opponent has a strong hand in one suit, but weak cards in the other suits. What should you do in defense?")</f>
        <v>Your opponent has a strong hand in one suit, but weak cards in the other suits. What should you do in defense?</v>
      </c>
      <c r="C116" s="7" t="s">
        <v>861</v>
      </c>
      <c r="D116" s="7" t="str">
        <f>IFERROR(__xludf.DUMMYFUNCTION("GOOGLETRANSLATE(J116, ""de"", ""en"")"),"Focus on blocking the strong suit.")</f>
        <v>Focus on blocking the strong suit.</v>
      </c>
      <c r="E116" s="7" t="str">
        <f>IFERROR(__xludf.DUMMYFUNCTION("GOOGLETRANSLATE(K116, ""de"", ""en"")"),"If you block the strong suit, your opponent will be prevented from winning most of the tricks.")</f>
        <v>If you block the strong suit, your opponent will be prevented from winning most of the tricks.</v>
      </c>
      <c r="G116" s="8">
        <v>115.0</v>
      </c>
      <c r="H116" s="7" t="s">
        <v>862</v>
      </c>
      <c r="I116" s="9" t="s">
        <v>863</v>
      </c>
      <c r="J116" s="7" t="s">
        <v>864</v>
      </c>
      <c r="K116" s="7" t="s">
        <v>865</v>
      </c>
    </row>
    <row r="117" ht="22.5" customHeight="1">
      <c r="A117" s="7" t="str">
        <f>IFERROR(__xludf.DUMMYFUNCTION("GOOGLETRANSLATE(G117, ""de"", ""en"")"),"116")</f>
        <v>116</v>
      </c>
      <c r="B117" s="7" t="str">
        <f>IFERROR(__xludf.DUMMYFUNCTION("GOOGLETRANSLATE(H117, ""de"", ""en"")"),"You are the declarer in a big game, and your opponent is leading with a low card. What should you do?")</f>
        <v>You are the declarer in a big game, and your opponent is leading with a low card. What should you do?</v>
      </c>
      <c r="C117" s="7" t="s">
        <v>866</v>
      </c>
      <c r="D117" s="7" t="str">
        <f>IFERROR(__xludf.DUMMYFUNCTION("GOOGLETRANSLATE(J117, ""de"", ""en"")"),"Play a higher card")</f>
        <v>Play a higher card</v>
      </c>
      <c r="E117" s="7" t="str">
        <f>IFERROR(__xludf.DUMMYFUNCTION("GOOGLETRANSLATE(K117, ""de"", ""en"")"),"Playing a higher card allows you to secure the trick and avoid losing it.")</f>
        <v>Playing a higher card allows you to secure the trick and avoid losing it.</v>
      </c>
      <c r="G117" s="8">
        <v>116.0</v>
      </c>
      <c r="H117" s="7" t="s">
        <v>867</v>
      </c>
      <c r="I117" s="9" t="s">
        <v>868</v>
      </c>
      <c r="J117" s="7" t="s">
        <v>869</v>
      </c>
      <c r="K117" s="7" t="s">
        <v>870</v>
      </c>
    </row>
    <row r="118" ht="22.5" customHeight="1">
      <c r="A118" s="7" t="str">
        <f>IFERROR(__xludf.DUMMYFUNCTION("GOOGLETRANSLATE(G118, ""de"", ""en"")"),"117")</f>
        <v>117</v>
      </c>
      <c r="B118" s="7" t="str">
        <f>IFERROR(__xludf.DUMMYFUNCTION("GOOGLETRANSLATE(H118, ""de"", ""en"")"),"You hold the Ace and King of a suit and have no other strong cards. What should you declare?")</f>
        <v>You hold the Ace and King of a suit and have no other strong cards. What should you declare?</v>
      </c>
      <c r="C118" s="7" t="s">
        <v>871</v>
      </c>
      <c r="D118" s="7" t="str">
        <f>IFERROR(__xludf.DUMMYFUNCTION("GOOGLETRANSLATE(J118, ""de"", ""en"")"),"Dress game")</f>
        <v>Dress game</v>
      </c>
      <c r="E118" s="7" t="str">
        <f>IFERROR(__xludf.DUMMYFUNCTION("GOOGLETRANSLATE(K118, ""de"", ""en"")"),"Having the ace and king of a suit gives you a good chance of winning tricks and making a suit game the best option.")</f>
        <v>Having the ace and king of a suit gives you a good chance of winning tricks and making a suit game the best option.</v>
      </c>
      <c r="G118" s="8">
        <v>117.0</v>
      </c>
      <c r="H118" s="7" t="s">
        <v>872</v>
      </c>
      <c r="I118" s="9" t="s">
        <v>873</v>
      </c>
      <c r="J118" s="7" t="s">
        <v>874</v>
      </c>
      <c r="K118" s="7" t="s">
        <v>875</v>
      </c>
    </row>
    <row r="119" ht="22.5" customHeight="1">
      <c r="A119" s="7" t="str">
        <f>IFERROR(__xludf.DUMMYFUNCTION("GOOGLETRANSLATE(G119, ""de"", ""en"")"),"118")</f>
        <v>118</v>
      </c>
      <c r="B119" s="7" t="str">
        <f>IFERROR(__xludf.DUMMYFUNCTION("GOOGLETRANSLATE(H119, ""de"", ""en"")"),"You're playing a big game and your opponent is leading with a low card. What's your best move?")</f>
        <v>You're playing a big game and your opponent is leading with a low card. What's your best move?</v>
      </c>
      <c r="C119" s="7" t="s">
        <v>876</v>
      </c>
      <c r="D119" s="7" t="str">
        <f>IFERROR(__xludf.DUMMYFUNCTION("GOOGLETRANSLATE(J119, ""de"", ""en"")"),"Play a higher card")</f>
        <v>Play a higher card</v>
      </c>
      <c r="E119" s="7" t="str">
        <f>IFERROR(__xludf.DUMMYFUNCTION("GOOGLETRANSLATE(K119, ""de"", ""en"")"),"Playing a higher card ensures that you win the trick and control the game.")</f>
        <v>Playing a higher card ensures that you win the trick and control the game.</v>
      </c>
      <c r="G119" s="8">
        <v>118.0</v>
      </c>
      <c r="H119" s="7" t="s">
        <v>877</v>
      </c>
      <c r="I119" s="9" t="s">
        <v>878</v>
      </c>
      <c r="J119" s="7" t="s">
        <v>869</v>
      </c>
      <c r="K119" s="7" t="s">
        <v>879</v>
      </c>
    </row>
    <row r="120" ht="22.5" customHeight="1">
      <c r="A120" s="7" t="str">
        <f>IFERROR(__xludf.DUMMYFUNCTION("GOOGLETRANSLATE(G120, ""de"", ""en"")"),"119")</f>
        <v>119</v>
      </c>
      <c r="B120" s="7" t="str">
        <f>IFERROR(__xludf.DUMMYFUNCTION("GOOGLETRANSLATE(H120, ""de"", ""en"")"),"They are holding a hand containing mostly face cards and jacks. Which game should you explain?")</f>
        <v>They are holding a hand containing mostly face cards and jacks. Which game should you explain?</v>
      </c>
      <c r="C120" s="7" t="s">
        <v>880</v>
      </c>
      <c r="D120" s="7" t="str">
        <f>IFERROR(__xludf.DUMMYFUNCTION("GOOGLETRANSLATE(J120, ""de"", ""en"")"),"Grand Game")</f>
        <v>Grand Game</v>
      </c>
      <c r="E120" s="7" t="str">
        <f>IFERROR(__xludf.DUMMYFUNCTION("GOOGLETRANSLATE(K120, ""de"", ""en"")"),"A hand consisting mainly of face cards and Jacks is best suited for a large game in which Jacks are the trump cards.")</f>
        <v>A hand consisting mainly of face cards and Jacks is best suited for a large game in which Jacks are the trump cards.</v>
      </c>
      <c r="G120" s="8">
        <v>119.0</v>
      </c>
      <c r="H120" s="7" t="s">
        <v>881</v>
      </c>
      <c r="I120" s="9" t="s">
        <v>882</v>
      </c>
      <c r="J120" s="7" t="s">
        <v>883</v>
      </c>
      <c r="K120" s="7" t="s">
        <v>884</v>
      </c>
    </row>
    <row r="121" ht="22.5" customHeight="1">
      <c r="A121" s="7" t="str">
        <f>IFERROR(__xludf.DUMMYFUNCTION("GOOGLETRANSLATE(G121, ""de"", ""en"")"),"120")</f>
        <v>120</v>
      </c>
      <c r="B121" s="7" t="str">
        <f>IFERROR(__xludf.DUMMYFUNCTION("GOOGLETRANSLATE(H121, ""de"", ""en"")"),"You have a strong hand, but no trump cards and a weak opponent. Which game should you explain?")</f>
        <v>You have a strong hand, but no trump cards and a weak opponent. Which game should you explain?</v>
      </c>
      <c r="C121" s="7" t="s">
        <v>885</v>
      </c>
      <c r="D121" s="7" t="str">
        <f>IFERROR(__xludf.DUMMYFUNCTION("GOOGLETRANSLATE(J121, ""de"", ""en"")"),"Dress game")</f>
        <v>Dress game</v>
      </c>
      <c r="E121" s="7" t="str">
        <f>IFERROR(__xludf.DUMMYFUNCTION("GOOGLETRANSLATE(K121, ""de"", ""en"")"),"A strong hand without trump cards is best suited for a suit game, where you can use your high cards to win tricks.")</f>
        <v>A strong hand without trump cards is best suited for a suit game, where you can use your high cards to win tricks.</v>
      </c>
      <c r="G121" s="8">
        <v>120.0</v>
      </c>
      <c r="H121" s="7" t="s">
        <v>886</v>
      </c>
      <c r="I121" s="9" t="s">
        <v>887</v>
      </c>
      <c r="J121" s="7" t="s">
        <v>874</v>
      </c>
      <c r="K121" s="7" t="s">
        <v>888</v>
      </c>
    </row>
    <row r="122" ht="22.5" customHeight="1">
      <c r="A122" s="7" t="str">
        <f>IFERROR(__xludf.DUMMYFUNCTION("GOOGLETRANSLATE(G122, ""de"", ""en"")"),"121")</f>
        <v>121</v>
      </c>
      <c r="B122" s="7" t="str">
        <f>IFERROR(__xludf.DUMMYFUNCTION("GOOGLETRANSLATE(H122, ""de"", ""en"")"),"You are the declarer in a zero game, and your opponent is leading with a high card. What should you do?")</f>
        <v>You are the declarer in a zero game, and your opponent is leading with a high card. What should you do?</v>
      </c>
      <c r="C122" s="7" t="s">
        <v>889</v>
      </c>
      <c r="D122" s="7" t="str">
        <f>IFERROR(__xludf.DUMMYFUNCTION("GOOGLETRANSLATE(J122, ""de"", ""en"")"),"Let the card win")</f>
        <v>Let the card win</v>
      </c>
      <c r="E122" s="7" t="str">
        <f>IFERROR(__xludf.DUMMYFUNCTION("GOOGLETRANSLATE(K122, ""de"", ""en"")"),"In a zero game, you want to avoid winning with tricks. Therefore, letting the cards win is the best option.")</f>
        <v>In a zero game, you want to avoid winning with tricks. Therefore, letting the cards win is the best option.</v>
      </c>
      <c r="G122" s="8">
        <v>121.0</v>
      </c>
      <c r="H122" s="7" t="s">
        <v>890</v>
      </c>
      <c r="I122" s="9" t="s">
        <v>891</v>
      </c>
      <c r="J122" s="7" t="s">
        <v>892</v>
      </c>
      <c r="K122" s="7" t="s">
        <v>893</v>
      </c>
    </row>
    <row r="123" ht="22.5" customHeight="1">
      <c r="A123" s="7" t="str">
        <f>IFERROR(__xludf.DUMMYFUNCTION("GOOGLETRANSLATE(G123, ""de"", ""en"")"),"122")</f>
        <v>122</v>
      </c>
      <c r="B123" s="7" t="str">
        <f>IFERROR(__xludf.DUMMYFUNCTION("GOOGLETRANSLATE(H123, ""de"", ""en"")"),"You're playing a big game and your opponent is leading with a non-Trump card. What should you do if you have a higher card?")</f>
        <v>You're playing a big game and your opponent is leading with a non-Trump card. What should you do if you have a higher card?</v>
      </c>
      <c r="C123" s="7" t="s">
        <v>894</v>
      </c>
      <c r="D123" s="7" t="str">
        <f>IFERROR(__xludf.DUMMYFUNCTION("GOOGLETRANSLATE(J123, ""de"", ""en"")"),"Play the higher card")</f>
        <v>Play the higher card</v>
      </c>
      <c r="E123" s="7" t="str">
        <f>IFERROR(__xludf.DUMMYFUNCTION("GOOGLETRANSLATE(K123, ""de"", ""en"")"),"Playing the higher card ensures that you win the trick and maintain control.")</f>
        <v>Playing the higher card ensures that you win the trick and maintain control.</v>
      </c>
      <c r="G123" s="8">
        <v>122.0</v>
      </c>
      <c r="H123" s="7" t="s">
        <v>895</v>
      </c>
      <c r="I123" s="9" t="s">
        <v>896</v>
      </c>
      <c r="J123" s="7" t="s">
        <v>897</v>
      </c>
      <c r="K123" s="7" t="s">
        <v>898</v>
      </c>
    </row>
    <row r="124" ht="22.5" customHeight="1">
      <c r="A124" s="7" t="str">
        <f>IFERROR(__xludf.DUMMYFUNCTION("GOOGLETRANSLATE(G124, ""de"", ""en"")"),"123")</f>
        <v>123</v>
      </c>
      <c r="B124" s="7" t="str">
        <f>IFERROR(__xludf.DUMMYFUNCTION("GOOGLETRANSLATE(H124, ""de"", ""en"")"),"You declare a zero game, but you win the first trick. What happens?")</f>
        <v>You declare a zero game, but you win the first trick. What happens?</v>
      </c>
      <c r="C124" s="7" t="s">
        <v>899</v>
      </c>
      <c r="D124" s="7" t="str">
        <f>IFERROR(__xludf.DUMMYFUNCTION("GOOGLETRANSLATE(J124, ""de"", ""en"")"),"They lose the game")</f>
        <v>They lose the game</v>
      </c>
      <c r="E124" s="7" t="str">
        <f>IFERROR(__xludf.DUMMYFUNCTION("GOOGLETRANSLATE(K124, ""de"", ""en"")"),"Even winning a single trick in a zero game results in an automatic loss.")</f>
        <v>Even winning a single trick in a zero game results in an automatic loss.</v>
      </c>
      <c r="G124" s="8">
        <v>123.0</v>
      </c>
      <c r="H124" s="7" t="s">
        <v>900</v>
      </c>
      <c r="I124" s="9" t="s">
        <v>901</v>
      </c>
      <c r="J124" s="7" t="s">
        <v>561</v>
      </c>
      <c r="K124" s="7" t="s">
        <v>902</v>
      </c>
    </row>
    <row r="125" ht="22.5" customHeight="1">
      <c r="A125" s="7" t="str">
        <f>IFERROR(__xludf.DUMMYFUNCTION("GOOGLETRANSLATE(G125, ""de"", ""en"")"),"124")</f>
        <v>124</v>
      </c>
      <c r="B125" s="7" t="str">
        <f>IFERROR(__xludf.DUMMYFUNCTION("GOOGLETRANSLATE(H125, ""de"", ""en"")"),"You are in a suit game and your opponent plays a Trump card. What should you do if you have no Trump cards?")</f>
        <v>You are in a suit game and your opponent plays a Trump card. What should you do if you have no Trump cards?</v>
      </c>
      <c r="C125" s="7" t="s">
        <v>903</v>
      </c>
      <c r="D125" s="7" t="str">
        <f>IFERROR(__xludf.DUMMYFUNCTION("GOOGLETRANSLATE(J125, ""de"", ""en"")"),"Let Trump win")</f>
        <v>Let Trump win</v>
      </c>
      <c r="E125" s="7" t="str">
        <f>IFERROR(__xludf.DUMMYFUNCTION("GOOGLETRANSLATE(K125, ""de"", ""en"")"),"If you don't have any Trump cards, the best option is to let Trump win in order not to lose to other suits.")</f>
        <v>If you don't have any Trump cards, the best option is to let Trump win in order not to lose to other suits.</v>
      </c>
      <c r="G125" s="8">
        <v>124.0</v>
      </c>
      <c r="H125" s="7" t="s">
        <v>904</v>
      </c>
      <c r="I125" s="9" t="s">
        <v>905</v>
      </c>
      <c r="J125" s="7" t="s">
        <v>906</v>
      </c>
      <c r="K125" s="7" t="s">
        <v>907</v>
      </c>
    </row>
    <row r="126" ht="22.5" customHeight="1">
      <c r="A126" s="7" t="str">
        <f>IFERROR(__xludf.DUMMYFUNCTION("GOOGLETRANSLATE(G126, ""de"", ""en"")"),"125")</f>
        <v>125</v>
      </c>
      <c r="B126" s="7" t="str">
        <f>IFERROR(__xludf.DUMMYFUNCTION("GOOGLETRANSLATE(H126, ""de"", ""en"")"),"You only have one suit in your hand and all the low cards. Which game should you explain?")</f>
        <v>You only have one suit in your hand and all the low cards. Which game should you explain?</v>
      </c>
      <c r="C126" s="7" t="s">
        <v>885</v>
      </c>
      <c r="D126" s="7" t="str">
        <f>IFERROR(__xludf.DUMMYFUNCTION("GOOGLETRANSLATE(J126, ""de"", ""en"")"),"Zero game")</f>
        <v>Zero game</v>
      </c>
      <c r="E126" s="7" t="str">
        <f>IFERROR(__xludf.DUMMYFUNCTION("GOOGLETRANSLATE(K126, ""de"", ""en"")"),"With only low cards and a suit, a zero game is best, as you want to lose all the tricks.")</f>
        <v>With only low cards and a suit, a zero game is best, as you want to lose all the tricks.</v>
      </c>
      <c r="G126" s="8">
        <v>125.0</v>
      </c>
      <c r="H126" s="7" t="s">
        <v>908</v>
      </c>
      <c r="I126" s="9" t="s">
        <v>887</v>
      </c>
      <c r="J126" s="7" t="s">
        <v>703</v>
      </c>
      <c r="K126" s="7" t="s">
        <v>909</v>
      </c>
    </row>
    <row r="127" ht="22.5" customHeight="1">
      <c r="A127" s="7" t="str">
        <f>IFERROR(__xludf.DUMMYFUNCTION("GOOGLETRANSLATE(G127, ""de"", ""en"")"),"126")</f>
        <v>126</v>
      </c>
      <c r="B127" s="7" t="str">
        <f>IFERROR(__xludf.DUMMYFUNCTION("GOOGLETRANSLATE(H127, ""de"", ""en"")"),"Your opponent is bidding aggressively in the ""bidding"" phase, and you have a hand with high cards in several suits. What should you declare?")</f>
        <v>Your opponent is bidding aggressively in the "bidding" phase, and you have a hand with high cards in several suits. What should you declare?</v>
      </c>
      <c r="C127" s="7" t="s">
        <v>880</v>
      </c>
      <c r="D127" s="7" t="str">
        <f>IFERROR(__xludf.DUMMYFUNCTION("GOOGLETRANSLATE(J127, ""de"", ""en"")"),"Grand Game")</f>
        <v>Grand Game</v>
      </c>
      <c r="E127" s="7" t="str">
        <f>IFERROR(__xludf.DUMMYFUNCTION("GOOGLETRANSLATE(K127, ""de"", ""en"")"),"High cards in multiple suits are best suited for a big game where you use Jacks as trump cards to win all the tricks.")</f>
        <v>High cards in multiple suits are best suited for a big game where you use Jacks as trump cards to win all the tricks.</v>
      </c>
      <c r="G127" s="8">
        <v>126.0</v>
      </c>
      <c r="H127" s="7" t="s">
        <v>910</v>
      </c>
      <c r="I127" s="9" t="s">
        <v>882</v>
      </c>
      <c r="J127" s="7" t="s">
        <v>883</v>
      </c>
      <c r="K127" s="7" t="s">
        <v>911</v>
      </c>
    </row>
    <row r="128" ht="22.5" customHeight="1">
      <c r="A128" s="7" t="str">
        <f>IFERROR(__xludf.DUMMYFUNCTION("GOOGLETRANSLATE(G128, ""de"", ""en"")"),"127")</f>
        <v>127</v>
      </c>
      <c r="B128" s="7" t="str">
        <f>IFERROR(__xludf.DUMMYFUNCTION("GOOGLETRANSLATE(H128, ""de"", ""en"")"),"You're playing a zero game and drawing a card that could win a trick. What should you do?")</f>
        <v>You're playing a zero game and drawing a card that could win a trick. What should you do?</v>
      </c>
      <c r="C128" s="7" t="s">
        <v>912</v>
      </c>
      <c r="D128" s="7" t="str">
        <f>IFERROR(__xludf.DUMMYFUNCTION("GOOGLETRANSLATE(J128, ""de"", ""en"")"),"Throw away the card")</f>
        <v>Throw away the card</v>
      </c>
      <c r="E128" s="7" t="str">
        <f>IFERROR(__xludf.DUMMYFUNCTION("GOOGLETRANSLATE(K128, ""de"", ""en"")"),"In a zero game, you should avoid winning tricks, therefore discarding the card is necessary.")</f>
        <v>In a zero game, you should avoid winning tricks, therefore discarding the card is necessary.</v>
      </c>
      <c r="G128" s="8">
        <v>127.0</v>
      </c>
      <c r="H128" s="7" t="s">
        <v>913</v>
      </c>
      <c r="I128" s="9" t="s">
        <v>914</v>
      </c>
      <c r="J128" s="7" t="s">
        <v>915</v>
      </c>
      <c r="K128" s="7" t="s">
        <v>916</v>
      </c>
    </row>
    <row r="129" ht="22.5" customHeight="1">
      <c r="A129" s="7" t="str">
        <f>IFERROR(__xludf.DUMMYFUNCTION("GOOGLETRANSLATE(G129, ""de"", ""en"")"),"128")</f>
        <v>128</v>
      </c>
      <c r="B129" s="7" t="str">
        <f>IFERROR(__xludf.DUMMYFUNCTION("GOOGLETRANSLATE(H129, ""de"", ""en"")"),"You declare a big hand and your opponent leads with a high card. What should you do if you have a Jack in the same suit?")</f>
        <v>You declare a big hand and your opponent leads with a high card. What should you do if you have a Jack in the same suit?</v>
      </c>
      <c r="C129" s="7" t="s">
        <v>917</v>
      </c>
      <c r="D129" s="7" t="str">
        <f>IFERROR(__xludf.DUMMYFUNCTION("GOOGLETRANSLATE(J129, ""de"", ""en"")"),"Play Jack")</f>
        <v>Play Jack</v>
      </c>
      <c r="E129" s="7" t="str">
        <f>IFERROR(__xludf.DUMMYFUNCTION("GOOGLETRANSLATE(K129, ""de"", ""en"")"),"If you play Jack as a trump card, you will win the trick in a big game.")</f>
        <v>If you play Jack as a trump card, you will win the trick in a big game.</v>
      </c>
      <c r="G129" s="8">
        <v>128.0</v>
      </c>
      <c r="H129" s="7" t="s">
        <v>918</v>
      </c>
      <c r="I129" s="9" t="s">
        <v>919</v>
      </c>
      <c r="J129" s="7" t="s">
        <v>920</v>
      </c>
      <c r="K129" s="7" t="s">
        <v>921</v>
      </c>
    </row>
    <row r="130" ht="22.5" customHeight="1">
      <c r="A130" s="7" t="str">
        <f>IFERROR(__xludf.DUMMYFUNCTION("GOOGLETRANSLATE(G130, ""de"", ""en"")"),"129")</f>
        <v>129</v>
      </c>
      <c r="B130" s="7" t="str">
        <f>IFERROR(__xludf.DUMMYFUNCTION("GOOGLETRANSLATE(H130, ""de"", ""en"")"),"You are the declarer in a zero game, and your opponent plays a trump card. What should you do?")</f>
        <v>You are the declarer in a zero game, and your opponent plays a trump card. What should you do?</v>
      </c>
      <c r="C130" s="7" t="s">
        <v>922</v>
      </c>
      <c r="D130" s="7" t="str">
        <f>IFERROR(__xludf.DUMMYFUNCTION("GOOGLETRANSLATE(J130, ""de"", ""en"")"),"Let Trump win")</f>
        <v>Let Trump win</v>
      </c>
      <c r="E130" s="7" t="str">
        <f>IFERROR(__xludf.DUMMYFUNCTION("GOOGLETRANSLATE(K130, ""de"", ""en"")"),"In a zero game, it is important to avoid tricks, as winning by tricks is the best option for Trump.")</f>
        <v>In a zero game, it is important to avoid tricks, as winning by tricks is the best option for Trump.</v>
      </c>
      <c r="G130" s="8">
        <v>129.0</v>
      </c>
      <c r="H130" s="7" t="s">
        <v>923</v>
      </c>
      <c r="I130" s="9" t="s">
        <v>924</v>
      </c>
      <c r="J130" s="7" t="s">
        <v>906</v>
      </c>
      <c r="K130" s="7" t="s">
        <v>925</v>
      </c>
    </row>
    <row r="131" ht="22.5" customHeight="1">
      <c r="A131" s="7" t="str">
        <f>IFERROR(__xludf.DUMMYFUNCTION("GOOGLETRANSLATE(G131, ""de"", ""en"")"),"130")</f>
        <v>130</v>
      </c>
      <c r="B131" s="7" t="str">
        <f>IFERROR(__xludf.DUMMYFUNCTION("GOOGLETRANSLATE(H131, ""de"", ""en"")"),"You have a hand with high face cards and several low cards. Which game should you explain?")</f>
        <v>You have a hand with high face cards and several low cards. Which game should you explain?</v>
      </c>
      <c r="C131" s="7" t="s">
        <v>871</v>
      </c>
      <c r="D131" s="7" t="str">
        <f>IFERROR(__xludf.DUMMYFUNCTION("GOOGLETRANSLATE(J131, ""de"", ""en"")"),"Dress game")</f>
        <v>Dress game</v>
      </c>
      <c r="E131" s="7" t="str">
        <f>IFERROR(__xludf.DUMMYFUNCTION("GOOGLETRANSLATE(K131, ""de"", ""en"")"),"With high face cards and several low cards, you are best suited for a suit game where your high cards can win most of the tricks.")</f>
        <v>With high face cards and several low cards, you are best suited for a suit game where your high cards can win most of the tricks.</v>
      </c>
      <c r="G131" s="8">
        <v>130.0</v>
      </c>
      <c r="H131" s="7" t="s">
        <v>926</v>
      </c>
      <c r="I131" s="9" t="s">
        <v>873</v>
      </c>
      <c r="J131" s="7" t="s">
        <v>874</v>
      </c>
      <c r="K131" s="7" t="s">
        <v>927</v>
      </c>
    </row>
    <row r="132" ht="22.5" customHeight="1">
      <c r="A132" s="7" t="str">
        <f>IFERROR(__xludf.DUMMYFUNCTION("GOOGLETRANSLATE(G132, ""de"", ""en"")"),"131")</f>
        <v>131</v>
      </c>
      <c r="B132" s="7" t="str">
        <f>IFERROR(__xludf.DUMMYFUNCTION("GOOGLETRANSLATE(H132, ""de"", ""en"")"),"You're playing a suit game and your opponent plays a low card from a suit in which you're strong. What should you do?")</f>
        <v>You're playing a suit game and your opponent plays a low card from a suit in which you're strong. What should you do?</v>
      </c>
      <c r="C132" s="7" t="s">
        <v>928</v>
      </c>
      <c r="D132" s="7" t="str">
        <f>IFERROR(__xludf.DUMMYFUNCTION("GOOGLETRANSLATE(J132, ""de"", ""en"")"),"Play your higher card")</f>
        <v>Play your higher card</v>
      </c>
      <c r="E132" s="7" t="str">
        <f>IFERROR(__xludf.DUMMYFUNCTION("GOOGLETRANSLATE(K132, ""de"", ""en"")"),"If you play your higher card, you will get the trick and maintain control of the game.")</f>
        <v>If you play your higher card, you will get the trick and maintain control of the game.</v>
      </c>
      <c r="G132" s="8">
        <v>131.0</v>
      </c>
      <c r="H132" s="7" t="s">
        <v>929</v>
      </c>
      <c r="I132" s="9" t="s">
        <v>930</v>
      </c>
      <c r="J132" s="7" t="s">
        <v>440</v>
      </c>
      <c r="K132" s="7" t="s">
        <v>931</v>
      </c>
    </row>
    <row r="133" ht="22.5" customHeight="1">
      <c r="A133" s="7" t="str">
        <f>IFERROR(__xludf.DUMMYFUNCTION("GOOGLETRANSLATE(G133, ""de"", ""en"")"),"132")</f>
        <v>132</v>
      </c>
      <c r="B133" s="7" t="str">
        <f>IFERROR(__xludf.DUMMYFUNCTION("GOOGLETRANSLATE(H133, ""de"", ""en"")"),"You have a hand consisting mainly of low cards and no jacks. Which game should you explain?")</f>
        <v>You have a hand consisting mainly of low cards and no jacks. Which game should you explain?</v>
      </c>
      <c r="C133" s="7" t="s">
        <v>852</v>
      </c>
      <c r="D133" s="7" t="str">
        <f>IFERROR(__xludf.DUMMYFUNCTION("GOOGLETRANSLATE(J133, ""de"", ""en"")"),"Zero game")</f>
        <v>Zero game</v>
      </c>
      <c r="E133" s="7" t="str">
        <f>IFERROR(__xludf.DUMMYFUNCTION("GOOGLETRANSLATE(K133, ""de"", ""en"")"),"A hand with low cards and no jacks is suitable for a zero game, as the goal is to lose all the tricks.")</f>
        <v>A hand with low cards and no jacks is suitable for a zero game, as the goal is to lose all the tricks.</v>
      </c>
      <c r="G133" s="8">
        <v>132.0</v>
      </c>
      <c r="H133" s="7" t="s">
        <v>932</v>
      </c>
      <c r="I133" s="9" t="s">
        <v>854</v>
      </c>
      <c r="J133" s="7" t="s">
        <v>703</v>
      </c>
      <c r="K133" s="7" t="s">
        <v>933</v>
      </c>
    </row>
    <row r="134" ht="22.5" customHeight="1">
      <c r="A134" s="7" t="str">
        <f>IFERROR(__xludf.DUMMYFUNCTION("GOOGLETRANSLATE(G134, ""de"", ""en"")"),"133")</f>
        <v>133</v>
      </c>
      <c r="B134" s="7" t="str">
        <f>IFERROR(__xludf.DUMMYFUNCTION("GOOGLETRANSLATE(H134, ""de"", ""en"")"),"You're playing a big hand and your opponent plays a jack. What should you do?")</f>
        <v>You're playing a big hand and your opponent plays a jack. What should you do?</v>
      </c>
      <c r="C134" s="7" t="s">
        <v>934</v>
      </c>
      <c r="D134" s="7" t="str">
        <f>IFERROR(__xludf.DUMMYFUNCTION("GOOGLETRANSLATE(J134, ""de"", ""en"")"),"Play a higher card")</f>
        <v>Play a higher card</v>
      </c>
      <c r="E134" s="7" t="str">
        <f>IFERROR(__xludf.DUMMYFUNCTION("GOOGLETRANSLATE(K134, ""de"", ""en"")"),"Playing a higher card, such as a queen or a king, ensures that you win the trick in a big game.")</f>
        <v>Playing a higher card, such as a queen or a king, ensures that you win the trick in a big game.</v>
      </c>
      <c r="G134" s="8">
        <v>133.0</v>
      </c>
      <c r="H134" s="7" t="s">
        <v>935</v>
      </c>
      <c r="I134" s="9" t="s">
        <v>936</v>
      </c>
      <c r="J134" s="7" t="s">
        <v>869</v>
      </c>
      <c r="K134" s="7" t="s">
        <v>937</v>
      </c>
    </row>
    <row r="135" ht="22.5" customHeight="1">
      <c r="A135" s="7" t="str">
        <f>IFERROR(__xludf.DUMMYFUNCTION("GOOGLETRANSLATE(G135, ""de"", ""en"")"),"134")</f>
        <v>134</v>
      </c>
      <c r="B135" s="7" t="str">
        <f>IFERROR(__xludf.DUMMYFUNCTION("GOOGLETRANSLATE(H135, ""de"", ""en"")"),"You are the declarer in a suit game and have two high cards in one suit. What is your strategy?")</f>
        <v>You are the declarer in a suit game and have two high cards in one suit. What is your strategy?</v>
      </c>
      <c r="C135" s="7" t="s">
        <v>938</v>
      </c>
      <c r="D135" s="7" t="str">
        <f>IFERROR(__xludf.DUMMYFUNCTION("GOOGLETRANSLATE(J135, ""de"", ""en"")"),"Leading with the highest card")</f>
        <v>Leading with the highest card</v>
      </c>
      <c r="E135" s="7" t="str">
        <f>IFERROR(__xludf.DUMMYFUNCTION("GOOGLETRANSLATE(K135, ""de"", ""en"")"),"If you get the first trick with your highest card, you can secure the first trick and control the flow of the game.")</f>
        <v>If you get the first trick with your highest card, you can secure the first trick and control the flow of the game.</v>
      </c>
      <c r="G135" s="8">
        <v>134.0</v>
      </c>
      <c r="H135" s="7" t="s">
        <v>939</v>
      </c>
      <c r="I135" s="9" t="s">
        <v>940</v>
      </c>
      <c r="J135" s="7" t="s">
        <v>941</v>
      </c>
      <c r="K135" s="7" t="s">
        <v>942</v>
      </c>
    </row>
    <row r="136" ht="22.5" customHeight="1">
      <c r="A136" s="7" t="str">
        <f>IFERROR(__xludf.DUMMYFUNCTION("GOOGLETRANSLATE(G136, ""de"", ""en"")"),"135")</f>
        <v>135</v>
      </c>
      <c r="B136" s="7" t="str">
        <f>IFERROR(__xludf.DUMMYFUNCTION("GOOGLETRANSLATE(H136, ""de"", ""en"")"),"Your opponent is bidding aggressively for a suit, but you're mainly holding jacks. What should you declare?")</f>
        <v>Your opponent is bidding aggressively for a suit, but you're mainly holding jacks. What should you declare?</v>
      </c>
      <c r="C136" s="7" t="s">
        <v>943</v>
      </c>
      <c r="D136" s="7" t="str">
        <f>IFERROR(__xludf.DUMMYFUNCTION("GOOGLETRANSLATE(J136, ""de"", ""en"")"),"Grand Game")</f>
        <v>Grand Game</v>
      </c>
      <c r="E136" s="7" t="str">
        <f>IFERROR(__xludf.DUMMYFUNCTION("GOOGLETRANSLATE(K136, ""de"", ""en"")"),"When Jacks are in hand, a large game is ideal, as Jacks are trump cards.")</f>
        <v>When Jacks are in hand, a large game is ideal, as Jacks are trump cards.</v>
      </c>
      <c r="G136" s="8">
        <v>135.0</v>
      </c>
      <c r="H136" s="7" t="s">
        <v>944</v>
      </c>
      <c r="I136" s="9" t="s">
        <v>945</v>
      </c>
      <c r="J136" s="7" t="s">
        <v>883</v>
      </c>
      <c r="K136" s="7" t="s">
        <v>946</v>
      </c>
    </row>
    <row r="137" ht="22.5" customHeight="1">
      <c r="A137" s="7" t="str">
        <f>IFERROR(__xludf.DUMMYFUNCTION("GOOGLETRANSLATE(G137, ""de"", ""en"")"),"136")</f>
        <v>136</v>
      </c>
      <c r="B137" s="7" t="str">
        <f>IFERROR(__xludf.DUMMYFUNCTION("GOOGLETRANSLATE(H137, ""de"", ""en"")"),"You're playing a zero game and your opponent is leading with a high trump card. What should you do?")</f>
        <v>You're playing a zero game and your opponent is leading with a high trump card. What should you do?</v>
      </c>
      <c r="C137" s="7" t="s">
        <v>947</v>
      </c>
      <c r="D137" s="7" t="str">
        <f>IFERROR(__xludf.DUMMYFUNCTION("GOOGLETRANSLATE(J137, ""de"", ""en"")"),"Let Trump win")</f>
        <v>Let Trump win</v>
      </c>
      <c r="E137" s="7" t="str">
        <f>IFERROR(__xludf.DUMMYFUNCTION("GOOGLETRANSLATE(K137, ""de"", ""en"")"),"In a zero game, you must avoid winning with tricks. Therefore, winning with the Trump card is the best option.")</f>
        <v>In a zero game, you must avoid winning with tricks. Therefore, winning with the Trump card is the best option.</v>
      </c>
      <c r="G137" s="8">
        <v>136.0</v>
      </c>
      <c r="H137" s="7" t="s">
        <v>948</v>
      </c>
      <c r="I137" s="9" t="s">
        <v>949</v>
      </c>
      <c r="J137" s="7" t="s">
        <v>906</v>
      </c>
      <c r="K137" s="7" t="s">
        <v>950</v>
      </c>
    </row>
    <row r="138" ht="22.5" customHeight="1">
      <c r="A138" s="7" t="str">
        <f>IFERROR(__xludf.DUMMYFUNCTION("GOOGLETRANSLATE(G138, ""de"", ""en"")"),"137")</f>
        <v>137</v>
      </c>
      <c r="B138" s="7" t="str">
        <f>IFERROR(__xludf.DUMMYFUNCTION("GOOGLETRANSLATE(H138, ""de"", ""en"")"),"You are the declarer in a suit game, with a strong hand in a suit. What should you do?")</f>
        <v>You are the declarer in a suit game, with a strong hand in a suit. What should you do?</v>
      </c>
      <c r="C138" s="7" t="s">
        <v>951</v>
      </c>
      <c r="D138" s="7" t="str">
        <f>IFERROR(__xludf.DUMMYFUNCTION("GOOGLETRANSLATE(J138, ""de"", ""en"")"),"Leading with the strong suit")</f>
        <v>Leading with the strong suit</v>
      </c>
      <c r="E138" s="7" t="str">
        <f>IFERROR(__xludf.DUMMYFUNCTION("GOOGLETRANSLATE(K138, ""de"", ""en"")"),"If you have the chance of winning tricks in this suit with the strong suit, this increases.")</f>
        <v>If you have the chance of winning tricks in this suit with the strong suit, this increases.</v>
      </c>
      <c r="G138" s="8">
        <v>137.0</v>
      </c>
      <c r="H138" s="7" t="s">
        <v>952</v>
      </c>
      <c r="I138" s="9" t="s">
        <v>953</v>
      </c>
      <c r="J138" s="7" t="s">
        <v>954</v>
      </c>
      <c r="K138" s="7" t="s">
        <v>955</v>
      </c>
    </row>
    <row r="139" ht="22.5" customHeight="1">
      <c r="A139" s="7" t="str">
        <f>IFERROR(__xludf.DUMMYFUNCTION("GOOGLETRANSLATE(G139, ""de"", ""en"")"),"138")</f>
        <v>138</v>
      </c>
      <c r="B139" s="7" t="str">
        <f>IFERROR(__xludf.DUMMYFUNCTION("GOOGLETRANSLATE(H139, ""de"", ""en"")"),"You're playing a big game and your opponent is leading with a low card. What should you do?")</f>
        <v>You're playing a big game and your opponent is leading with a low card. What should you do?</v>
      </c>
      <c r="C139" s="7" t="s">
        <v>917</v>
      </c>
      <c r="D139" s="7" t="str">
        <f>IFERROR(__xludf.DUMMYFUNCTION("GOOGLETRANSLATE(J139, ""de"", ""en"")"),"Play Jack")</f>
        <v>Play Jack</v>
      </c>
      <c r="E139" s="7" t="str">
        <f>IFERROR(__xludf.DUMMYFUNCTION("GOOGLETRANSLATE(K139, ""de"", ""en"")"),"Playing the Jack, the Trump card, will ensure you have a good chance in a big game.")</f>
        <v>Playing the Jack, the Trump card, will ensure you have a good chance in a big game.</v>
      </c>
      <c r="G139" s="8">
        <v>138.0</v>
      </c>
      <c r="H139" s="7" t="s">
        <v>956</v>
      </c>
      <c r="I139" s="9" t="s">
        <v>919</v>
      </c>
      <c r="J139" s="7" t="s">
        <v>920</v>
      </c>
      <c r="K139" s="7" t="s">
        <v>957</v>
      </c>
    </row>
    <row r="140" ht="22.5" customHeight="1">
      <c r="A140" s="7" t="str">
        <f>IFERROR(__xludf.DUMMYFUNCTION("GOOGLETRANSLATE(G140, ""de"", ""en"")"),"139")</f>
        <v>139</v>
      </c>
      <c r="B140" s="7" t="str">
        <f>IFERROR(__xludf.DUMMYFUNCTION("GOOGLETRANSLATE(H140, ""de"", ""en"")"),"You are playing a suit game and you have two weak suits in your hand. What is your strategy?")</f>
        <v>You are playing a suit game and you have two weak suits in your hand. What is your strategy?</v>
      </c>
      <c r="C140" s="7" t="s">
        <v>958</v>
      </c>
      <c r="D140" s="7" t="str">
        <f>IFERROR(__xludf.DUMMYFUNCTION("GOOGLETRANSLATE(J140, ""de"", ""en"")"),"Focus on the strong suit")</f>
        <v>Focus on the strong suit</v>
      </c>
      <c r="E140" s="7" t="str">
        <f>IFERROR(__xludf.DUMMYFUNCTION("GOOGLETRANSLATE(K140, ""de"", ""en"")"),"Focusing on the strong suit increases your chances of winning most of the tricks.")</f>
        <v>Focusing on the strong suit increases your chances of winning most of the tricks.</v>
      </c>
      <c r="G140" s="8">
        <v>139.0</v>
      </c>
      <c r="H140" s="7" t="s">
        <v>959</v>
      </c>
      <c r="I140" s="9" t="s">
        <v>960</v>
      </c>
      <c r="J140" s="7" t="s">
        <v>961</v>
      </c>
      <c r="K140" s="7" t="s">
        <v>962</v>
      </c>
    </row>
    <row r="141" ht="22.5" customHeight="1">
      <c r="A141" s="7" t="str">
        <f>IFERROR(__xludf.DUMMYFUNCTION("GOOGLETRANSLATE(G141, ""de"", ""en"")"),"140")</f>
        <v>140</v>
      </c>
      <c r="B141" s="7" t="str">
        <f>IFERROR(__xludf.DUMMYFUNCTION("GOOGLETRANSLATE(H141, ""de"", ""en"")"),"You are the declarer in a big hand and your opponent plays a queen. What should you do if you have a jack?")</f>
        <v>You are the declarer in a big hand and your opponent plays a queen. What should you do if you have a jack?</v>
      </c>
      <c r="C141" s="7" t="s">
        <v>963</v>
      </c>
      <c r="D141" s="7" t="str">
        <f>IFERROR(__xludf.DUMMYFUNCTION("GOOGLETRANSLATE(J141, ""de"", ""en"")"),"Play Jack")</f>
        <v>Play Jack</v>
      </c>
      <c r="E141" s="7" t="str">
        <f>IFERROR(__xludf.DUMMYFUNCTION("GOOGLETRANSLATE(K141, ""de"", ""en"")"),"Playing Jack wins the trick because it is a trump card in a big game.")</f>
        <v>Playing Jack wins the trick because it is a trump card in a big game.</v>
      </c>
      <c r="G141" s="8">
        <v>140.0</v>
      </c>
      <c r="H141" s="7" t="s">
        <v>964</v>
      </c>
      <c r="I141" s="9" t="s">
        <v>965</v>
      </c>
      <c r="J141" s="7" t="s">
        <v>920</v>
      </c>
      <c r="K141" s="7" t="s">
        <v>966</v>
      </c>
    </row>
    <row r="142" ht="22.5" customHeight="1">
      <c r="A142" s="7" t="str">
        <f>IFERROR(__xludf.DUMMYFUNCTION("GOOGLETRANSLATE(G142, ""de"", ""en"")"),"141")</f>
        <v>141</v>
      </c>
      <c r="B142" s="7" t="str">
        <f>IFERROR(__xludf.DUMMYFUNCTION("GOOGLETRANSLATE(H142, ""de"", ""en"")"),"Your opponent declares a suit hand and you mostly have low cards. What should you do?")</f>
        <v>Your opponent declares a suit hand and you mostly have low cards. What should you do?</v>
      </c>
      <c r="C142" s="7" t="s">
        <v>967</v>
      </c>
      <c r="D142" s="7" t="str">
        <f>IFERROR(__xludf.DUMMYFUNCTION("GOOGLETRANSLATE(J142, ""de"", ""en"")"),"Let the opponent win")</f>
        <v>Let the opponent win</v>
      </c>
      <c r="E142" s="7" t="str">
        <f>IFERROR(__xludf.DUMMYFUNCTION("GOOGLETRANSLATE(K142, ""de"", ""en"")"),"If you mostly have low cards, it's best to let your opponent win and control the game.")</f>
        <v>If you mostly have low cards, it's best to let your opponent win and control the game.</v>
      </c>
      <c r="G142" s="8">
        <v>141.0</v>
      </c>
      <c r="H142" s="7" t="s">
        <v>968</v>
      </c>
      <c r="I142" s="9" t="s">
        <v>969</v>
      </c>
      <c r="J142" s="7" t="s">
        <v>970</v>
      </c>
      <c r="K142" s="7" t="s">
        <v>971</v>
      </c>
    </row>
    <row r="143" ht="22.5" customHeight="1">
      <c r="A143" s="7" t="str">
        <f>IFERROR(__xludf.DUMMYFUNCTION("GOOGLETRANSLATE(G143, ""de"", ""en"")"),"142")</f>
        <v>142</v>
      </c>
      <c r="B143" s="7" t="str">
        <f>IFERROR(__xludf.DUMMYFUNCTION("GOOGLETRANSLATE(H143, ""de"", ""en"")"),"They are holding a hand with no jacks and weak cards in several suits. Which game should you explain?")</f>
        <v>They are holding a hand with no jacks and weak cards in several suits. Which game should you explain?</v>
      </c>
      <c r="C143" s="7" t="s">
        <v>852</v>
      </c>
      <c r="D143" s="7" t="str">
        <f>IFERROR(__xludf.DUMMYFUNCTION("GOOGLETRANSLATE(J143, ""de"", ""en"")"),"Zero game")</f>
        <v>Zero game</v>
      </c>
      <c r="E143" s="7" t="str">
        <f>IFERROR(__xludf.DUMMYFUNCTION("GOOGLETRANSLATE(K143, ""de"", ""en"")"),"A hand without jacks and weak cards is best for a zero game where you want to lose all the tricks.")</f>
        <v>A hand without jacks and weak cards is best for a zero game where you want to lose all the tricks.</v>
      </c>
      <c r="G143" s="8">
        <v>142.0</v>
      </c>
      <c r="H143" s="7" t="s">
        <v>972</v>
      </c>
      <c r="I143" s="9" t="s">
        <v>854</v>
      </c>
      <c r="J143" s="7" t="s">
        <v>703</v>
      </c>
      <c r="K143" s="7" t="s">
        <v>973</v>
      </c>
    </row>
    <row r="144" ht="22.5" customHeight="1">
      <c r="A144" s="7" t="str">
        <f>IFERROR(__xludf.DUMMYFUNCTION("GOOGLETRANSLATE(G144, ""de"", ""en"")"),"143")</f>
        <v>143</v>
      </c>
      <c r="B144" s="7" t="str">
        <f>IFERROR(__xludf.DUMMYFUNCTION("GOOGLETRANSLATE(H144, ""de"", ""en"")"),"They have two high cards in one suit and a mix of low cards in others. Which game should you explain?")</f>
        <v>They have two high cards in one suit and a mix of low cards in others. Which game should you explain?</v>
      </c>
      <c r="C144" s="7" t="s">
        <v>885</v>
      </c>
      <c r="D144" s="7" t="str">
        <f>IFERROR(__xludf.DUMMYFUNCTION("GOOGLETRANSLATE(J144, ""de"", ""en"")"),"Dress game")</f>
        <v>Dress game</v>
      </c>
      <c r="E144" s="7" t="str">
        <f>IFERROR(__xludf.DUMMYFUNCTION("GOOGLETRANSLATE(K144, ""de"", ""en"")"),"The high cards in a suit make it ideal to declare a suit game where you can control that suit.")</f>
        <v>The high cards in a suit make it ideal to declare a suit game where you can control that suit.</v>
      </c>
      <c r="G144" s="8">
        <v>143.0</v>
      </c>
      <c r="H144" s="7" t="s">
        <v>974</v>
      </c>
      <c r="I144" s="9" t="s">
        <v>887</v>
      </c>
      <c r="J144" s="7" t="s">
        <v>874</v>
      </c>
      <c r="K144" s="7" t="s">
        <v>975</v>
      </c>
    </row>
    <row r="145" ht="22.5" customHeight="1">
      <c r="A145" s="7" t="str">
        <f>IFERROR(__xludf.DUMMYFUNCTION("GOOGLETRANSLATE(G145, ""de"", ""en"")"),"144")</f>
        <v>144</v>
      </c>
      <c r="B145" s="7" t="str">
        <f>IFERROR(__xludf.DUMMYFUNCTION("GOOGLETRANSLATE(H145, ""de"", ""en"")"),"Your opponent has a big hand, and you have a weak hand. What should you declare?")</f>
        <v>Your opponent has a big hand, and you have a weak hand. What should you declare?</v>
      </c>
      <c r="C145" s="7" t="s">
        <v>976</v>
      </c>
      <c r="D145" s="7" t="str">
        <f>IFERROR(__xludf.DUMMYFUNCTION("GOOGLETRANSLATE(J145, ""de"", ""en"")"),"Zero game")</f>
        <v>Zero game</v>
      </c>
      <c r="E145" s="7" t="str">
        <f>IFERROR(__xludf.DUMMYFUNCTION("GOOGLETRANSLATE(K145, ""de"", ""en"")"),"A zero game is ideal for a weak hand, as it is designed to lose all tricks, unlike a big game.")</f>
        <v>A zero game is ideal for a weak hand, as it is designed to lose all tricks, unlike a big game.</v>
      </c>
      <c r="G145" s="8">
        <v>144.0</v>
      </c>
      <c r="H145" s="7" t="s">
        <v>977</v>
      </c>
      <c r="I145" s="9" t="s">
        <v>978</v>
      </c>
      <c r="J145" s="7" t="s">
        <v>703</v>
      </c>
      <c r="K145" s="7" t="s">
        <v>979</v>
      </c>
    </row>
    <row r="146" ht="22.5" customHeight="1">
      <c r="A146" s="7" t="str">
        <f>IFERROR(__xludf.DUMMYFUNCTION("GOOGLETRANSLATE(G146, ""de"", ""en"")"),"145")</f>
        <v>145</v>
      </c>
      <c r="B146" s="7" t="str">
        <f>IFERROR(__xludf.DUMMYFUNCTION("GOOGLETRANSLATE(H146, ""de"", ""en"")"),"You're playing a suit game and your opponent is leading with a non-Trump card. What should you do?")</f>
        <v>You're playing a suit game and your opponent is leading with a non-Trump card. What should you do?</v>
      </c>
      <c r="C146" s="7" t="s">
        <v>980</v>
      </c>
      <c r="D146" s="7" t="str">
        <f>IFERROR(__xludf.DUMMYFUNCTION("GOOGLETRANSLATE(J146, ""de"", ""en"")"),"Play your higher card")</f>
        <v>Play your higher card</v>
      </c>
      <c r="E146" s="7" t="str">
        <f>IFERROR(__xludf.DUMMYFUNCTION("GOOGLETRANSLATE(K146, ""de"", ""en"")"),"If you play your higher card, you can win the trick and take control of the game.")</f>
        <v>If you play your higher card, you can win the trick and take control of the game.</v>
      </c>
      <c r="G146" s="8">
        <v>145.0</v>
      </c>
      <c r="H146" s="7" t="s">
        <v>981</v>
      </c>
      <c r="I146" s="9" t="s">
        <v>982</v>
      </c>
      <c r="J146" s="7" t="s">
        <v>440</v>
      </c>
      <c r="K146" s="7" t="s">
        <v>983</v>
      </c>
    </row>
    <row r="147" ht="22.5" customHeight="1">
      <c r="A147" s="7" t="str">
        <f>IFERROR(__xludf.DUMMYFUNCTION("GOOGLETRANSLATE(G147, ""de"", ""en"")"),"146")</f>
        <v>146</v>
      </c>
      <c r="B147" s="7" t="str">
        <f>IFERROR(__xludf.DUMMYFUNCTION("GOOGLETRANSLATE(H147, ""de"", ""en"")"),"Your opponent is leading with a high card in a great game, and you have a Jack. What should you do?")</f>
        <v>Your opponent is leading with a high card in a great game, and you have a Jack. What should you do?</v>
      </c>
      <c r="C147" s="7" t="s">
        <v>917</v>
      </c>
      <c r="D147" s="7" t="str">
        <f>IFERROR(__xludf.DUMMYFUNCTION("GOOGLETRANSLATE(J147, ""de"", ""en"")"),"Play Jack")</f>
        <v>Play Jack</v>
      </c>
      <c r="E147" s="7" t="str">
        <f>IFERROR(__xludf.DUMMYFUNCTION("GOOGLETRANSLATE(K147, ""de"", ""en"")"),"Playing Jack ensures you win the trick, as it is the trump card in a big game.")</f>
        <v>Playing Jack ensures you win the trick, as it is the trump card in a big game.</v>
      </c>
      <c r="G147" s="8">
        <v>146.0</v>
      </c>
      <c r="H147" s="7" t="s">
        <v>984</v>
      </c>
      <c r="I147" s="9" t="s">
        <v>919</v>
      </c>
      <c r="J147" s="7" t="s">
        <v>920</v>
      </c>
      <c r="K147" s="7" t="s">
        <v>985</v>
      </c>
    </row>
    <row r="148" ht="22.5" customHeight="1">
      <c r="A148" s="7" t="str">
        <f>IFERROR(__xludf.DUMMYFUNCTION("GOOGLETRANSLATE(G148, ""de"", ""en"")"),"147")</f>
        <v>147</v>
      </c>
      <c r="B148" s="7" t="str">
        <f>IFERROR(__xludf.DUMMYFUNCTION("GOOGLETRANSLATE(H148, ""de"", ""en"")"),"You are the declarer in a zero game, and your opponent plays a high non-Trump card. What should you do?")</f>
        <v>You are the declarer in a zero game, and your opponent plays a high non-Trump card. What should you do?</v>
      </c>
      <c r="C148" s="7" t="s">
        <v>986</v>
      </c>
      <c r="D148" s="7" t="str">
        <f>IFERROR(__xludf.DUMMYFUNCTION("GOOGLETRANSLATE(J148, ""de"", ""en"")"),"Let the card win")</f>
        <v>Let the card win</v>
      </c>
      <c r="E148" s="7" t="str">
        <f>IFERROR(__xludf.DUMMYFUNCTION("GOOGLETRANSLATE(K148, ""de"", ""en"")"),"In a zero game, you must let your opponent win the tricks in order not to win tricks yourself.")</f>
        <v>In a zero game, you must let your opponent win the tricks in order not to win tricks yourself.</v>
      </c>
      <c r="G148" s="8">
        <v>147.0</v>
      </c>
      <c r="H148" s="7" t="s">
        <v>987</v>
      </c>
      <c r="I148" s="9" t="s">
        <v>988</v>
      </c>
      <c r="J148" s="7" t="s">
        <v>892</v>
      </c>
      <c r="K148" s="7" t="s">
        <v>989</v>
      </c>
    </row>
    <row r="149" ht="22.5" customHeight="1">
      <c r="A149" s="7" t="str">
        <f>IFERROR(__xludf.DUMMYFUNCTION("GOOGLETRANSLATE(G149, ""de"", ""en"")"),"148")</f>
        <v>148</v>
      </c>
      <c r="B149" s="7" t="str">
        <f>IFERROR(__xludf.DUMMYFUNCTION("GOOGLETRANSLATE(H149, ""de"", ""en"")"),"You are playing a suit game and your opponent is leading with a low card from a suit in which you are weak. What should you do?")</f>
        <v>You are playing a suit game and your opponent is leading with a low card from a suit in which you are weak. What should you do?</v>
      </c>
      <c r="C149" s="7" t="s">
        <v>990</v>
      </c>
      <c r="D149" s="7" t="str">
        <f>IFERROR(__xludf.DUMMYFUNCTION("GOOGLETRANSLATE(J149, ""de"", ""en"")"),"Let the card win")</f>
        <v>Let the card win</v>
      </c>
      <c r="E149" s="7" t="str">
        <f>IFERROR(__xludf.DUMMYFUNCTION("GOOGLETRANSLATE(K149, ""de"", ""en"")"),"If you win the cards, you avoid playing a card that you might need to save later for a stronger trick.")</f>
        <v>If you win the cards, you avoid playing a card that you might need to save later for a stronger trick.</v>
      </c>
      <c r="G149" s="8">
        <v>148.0</v>
      </c>
      <c r="H149" s="7" t="s">
        <v>991</v>
      </c>
      <c r="I149" s="9" t="s">
        <v>992</v>
      </c>
      <c r="J149" s="7" t="s">
        <v>892</v>
      </c>
      <c r="K149" s="7" t="s">
        <v>993</v>
      </c>
    </row>
    <row r="150" ht="22.5" customHeight="1">
      <c r="A150" s="7" t="str">
        <f>IFERROR(__xludf.DUMMYFUNCTION("GOOGLETRANSLATE(G150, ""de"", ""en"")"),"149")</f>
        <v>149</v>
      </c>
      <c r="B150" s="7" t="str">
        <f>IFERROR(__xludf.DUMMYFUNCTION("GOOGLETRANSLATE(H150, ""de"", ""en"")"),"Your hand is full of low cards with no trump cards. Which game should you explain?")</f>
        <v>Your hand is full of low cards with no trump cards. Which game should you explain?</v>
      </c>
      <c r="C150" s="7" t="s">
        <v>852</v>
      </c>
      <c r="D150" s="7" t="str">
        <f>IFERROR(__xludf.DUMMYFUNCTION("GOOGLETRANSLATE(J150, ""de"", ""en"")"),"Zero game")</f>
        <v>Zero game</v>
      </c>
      <c r="E150" s="7" t="str">
        <f>IFERROR(__xludf.DUMMYFUNCTION("GOOGLETRANSLATE(K150, ""de"", ""en"")"),"A hand with low cards and no trump cards is suitable for a zero game, where the goal is to lose all tricks.")</f>
        <v>A hand with low cards and no trump cards is suitable for a zero game, where the goal is to lose all tricks.</v>
      </c>
      <c r="G150" s="8">
        <v>149.0</v>
      </c>
      <c r="H150" s="7" t="s">
        <v>994</v>
      </c>
      <c r="I150" s="9" t="s">
        <v>854</v>
      </c>
      <c r="J150" s="7" t="s">
        <v>703</v>
      </c>
      <c r="K150" s="7" t="s">
        <v>995</v>
      </c>
    </row>
    <row r="151" ht="22.5" customHeight="1">
      <c r="A151" s="7" t="str">
        <f>IFERROR(__xludf.DUMMYFUNCTION("GOOGLETRANSLATE(G151, ""de"", ""en"")"),"150")</f>
        <v>150</v>
      </c>
      <c r="B151" s="7" t="str">
        <f>IFERROR(__xludf.DUMMYFUNCTION("GOOGLETRANSLATE(H151, ""de"", ""en"")"),"You're the declarer in a big hand and your opponent plays a Jack. What should you do if you have no Trump cards?")</f>
        <v>You're the declarer in a big hand and your opponent plays a Jack. What should you do if you have no Trump cards?</v>
      </c>
      <c r="C151" s="7" t="s">
        <v>996</v>
      </c>
      <c r="D151" s="7" t="str">
        <f>IFERROR(__xludf.DUMMYFUNCTION("GOOGLETRANSLATE(J151, ""de"", ""en"")"),"Let Jack win")</f>
        <v>Let Jack win</v>
      </c>
      <c r="E151" s="7" t="str">
        <f>IFERROR(__xludf.DUMMYFUNCTION("GOOGLETRANSLATE(K151, ""de"", ""en"")"),"Let Jack win without Trump cards, as it is a Trump card in a big game.")</f>
        <v>Let Jack win without Trump cards, as it is a Trump card in a big game.</v>
      </c>
      <c r="G151" s="8">
        <v>150.0</v>
      </c>
      <c r="H151" s="7" t="s">
        <v>997</v>
      </c>
      <c r="I151" s="9" t="s">
        <v>998</v>
      </c>
      <c r="J151" s="7" t="s">
        <v>999</v>
      </c>
      <c r="K151" s="7" t="s">
        <v>1000</v>
      </c>
    </row>
    <row r="152" ht="22.5" customHeight="1">
      <c r="A152" s="7" t="str">
        <f>IFERROR(__xludf.DUMMYFUNCTION("GOOGLETRANSLATE(G152, ""de"", ""en"")"),"151")</f>
        <v>151</v>
      </c>
      <c r="B152" s="7" t="str">
        <f>IFERROR(__xludf.DUMMYFUNCTION("GOOGLETRANSLATE(H152, ""de"", ""en"")"),"You are playing a suit game and your opponent plays a low card. What should you do if you have a higher card in the same suit?")</f>
        <v>You are playing a suit game and your opponent plays a low card. What should you do if you have a higher card in the same suit?</v>
      </c>
      <c r="C152" s="7" t="s">
        <v>1001</v>
      </c>
      <c r="D152" s="7" t="str">
        <f>IFERROR(__xludf.DUMMYFUNCTION("GOOGLETRANSLATE(J152, ""de"", ""en"")"),"Play the higher card")</f>
        <v>Play the higher card</v>
      </c>
      <c r="E152" s="7" t="str">
        <f>IFERROR(__xludf.DUMMYFUNCTION("GOOGLETRANSLATE(K152, ""de"", ""en"")"),"Playing the higher card wins the trick and maintains control of the suit you are focusing on.")</f>
        <v>Playing the higher card wins the trick and maintains control of the suit you are focusing on.</v>
      </c>
      <c r="G152" s="8">
        <v>151.0</v>
      </c>
      <c r="H152" s="7" t="s">
        <v>1002</v>
      </c>
      <c r="I152" s="9" t="s">
        <v>1003</v>
      </c>
      <c r="J152" s="7" t="s">
        <v>897</v>
      </c>
      <c r="K152" s="7" t="s">
        <v>1004</v>
      </c>
    </row>
    <row r="153" ht="22.5" customHeight="1">
      <c r="A153" s="7" t="str">
        <f>IFERROR(__xludf.DUMMYFUNCTION("GOOGLETRANSLATE(G153, ""de"", ""en"")"),"152")</f>
        <v>152</v>
      </c>
      <c r="B153" s="7" t="str">
        <f>IFERROR(__xludf.DUMMYFUNCTION("GOOGLETRANSLATE(H153, ""de"", ""en"")"),"You are the declarer in a suit game and have several weak suits. What is your best move?")</f>
        <v>You are the declarer in a suit game and have several weak suits. What is your best move?</v>
      </c>
      <c r="C153" s="7" t="s">
        <v>1005</v>
      </c>
      <c r="D153" s="7" t="str">
        <f>IFERROR(__xludf.DUMMYFUNCTION("GOOGLETRANSLATE(J153, ""de"", ""en"")"),"Focus on the strongest suit")</f>
        <v>Focus on the strongest suit</v>
      </c>
      <c r="E153" s="7" t="str">
        <f>IFERROR(__xludf.DUMMYFUNCTION("GOOGLETRANSLATE(K153, ""de"", ""en"")"),"If you focus on the strongest suit, you will have a higher chance of winning tricks in that suit.")</f>
        <v>If you focus on the strongest suit, you will have a higher chance of winning tricks in that suit.</v>
      </c>
      <c r="G153" s="8">
        <v>152.0</v>
      </c>
      <c r="H153" s="7" t="s">
        <v>1006</v>
      </c>
      <c r="I153" s="9" t="s">
        <v>1007</v>
      </c>
      <c r="J153" s="7" t="s">
        <v>1008</v>
      </c>
      <c r="K153" s="7" t="s">
        <v>1009</v>
      </c>
    </row>
    <row r="154" ht="22.5" customHeight="1">
      <c r="A154" s="7" t="str">
        <f>IFERROR(__xludf.DUMMYFUNCTION("GOOGLETRANSLATE(G154, ""de"", ""en"")"),"153")</f>
        <v>153</v>
      </c>
      <c r="B154" s="7" t="str">
        <f>IFERROR(__xludf.DUMMYFUNCTION("GOOGLETRANSLATE(H154, ""de"", ""en"")"),"Your opponent is declaring a great hand and you have two jacks. What is your best strategy?")</f>
        <v>Your opponent is declaring a great hand and you have two jacks. What is your best strategy?</v>
      </c>
      <c r="C154" s="7" t="s">
        <v>1010</v>
      </c>
      <c r="D154" s="7" t="str">
        <f>IFERROR(__xludf.DUMMYFUNCTION("GOOGLETRANSLATE(J154, ""de"", ""en"")"),"Playing aggressively with the jacks")</f>
        <v>Playing aggressively with the jacks</v>
      </c>
      <c r="E154" s="7" t="str">
        <f>IFERROR(__xludf.DUMMYFUNCTION("GOOGLETRANSLATE(K154, ""de"", ""en"")"),"In a big game, Jacks are trump cards, so playing aggressively increases your chances of winning.")</f>
        <v>In a big game, Jacks are trump cards, so playing aggressively increases your chances of winning.</v>
      </c>
      <c r="G154" s="8">
        <v>153.0</v>
      </c>
      <c r="H154" s="7" t="s">
        <v>1011</v>
      </c>
      <c r="I154" s="9" t="s">
        <v>1012</v>
      </c>
      <c r="J154" s="7" t="s">
        <v>1013</v>
      </c>
      <c r="K154" s="7" t="s">
        <v>1014</v>
      </c>
    </row>
    <row r="155" ht="22.5" customHeight="1">
      <c r="A155" s="7" t="str">
        <f>IFERROR(__xludf.DUMMYFUNCTION("GOOGLETRANSLATE(G155, ""de"", ""en"")"),"154")</f>
        <v>154</v>
      </c>
      <c r="B155" s="7" t="str">
        <f>IFERROR(__xludf.DUMMYFUNCTION("GOOGLETRANSLATE(H155, ""de"", ""en"")"),"You have a weak hand with no jacks and only low cards. Which game should you explain?")</f>
        <v>You have a weak hand with no jacks and only low cards. Which game should you explain?</v>
      </c>
      <c r="C155" s="7" t="s">
        <v>852</v>
      </c>
      <c r="D155" s="7" t="str">
        <f>IFERROR(__xludf.DUMMYFUNCTION("GOOGLETRANSLATE(J155, ""de"", ""en"")"),"Zero game")</f>
        <v>Zero game</v>
      </c>
      <c r="E155" s="7" t="str">
        <f>IFERROR(__xludf.DUMMYFUNCTION("GOOGLETRANSLATE(K155, ""de"", ""en"")"),"A weak hand with low cards and no jacks is suitable for a zero game, where the goal is to lose tricks.")</f>
        <v>A weak hand with low cards and no jacks is suitable for a zero game, where the goal is to lose tricks.</v>
      </c>
      <c r="G155" s="8">
        <v>154.0</v>
      </c>
      <c r="H155" s="7" t="s">
        <v>1015</v>
      </c>
      <c r="I155" s="9" t="s">
        <v>854</v>
      </c>
      <c r="J155" s="7" t="s">
        <v>703</v>
      </c>
      <c r="K155" s="7" t="s">
        <v>1016</v>
      </c>
    </row>
    <row r="156" ht="22.5" customHeight="1">
      <c r="A156" s="7" t="str">
        <f>IFERROR(__xludf.DUMMYFUNCTION("GOOGLETRANSLATE(G156, ""de"", ""en"")"),"155")</f>
        <v>155</v>
      </c>
      <c r="B156" s="7" t="str">
        <f>IFERROR(__xludf.DUMMYFUNCTION("GOOGLETRANSLATE(H156, ""de"", ""en"")"),"You are the declarer in a suit game, and your opponent is leading with a high card. What should you do?")</f>
        <v>You are the declarer in a suit game, and your opponent is leading with a high card. What should you do?</v>
      </c>
      <c r="C156" s="7" t="s">
        <v>1017</v>
      </c>
      <c r="D156" s="7" t="str">
        <f>IFERROR(__xludf.DUMMYFUNCTION("GOOGLETRANSLATE(J156, ""de"", ""en"")"),"Play a higher card")</f>
        <v>Play a higher card</v>
      </c>
      <c r="E156" s="7" t="str">
        <f>IFERROR(__xludf.DUMMYFUNCTION("GOOGLETRANSLATE(K156, ""de"", ""en"")"),"Playing a higher card wins the trick and allows you to control the flow of the game.")</f>
        <v>Playing a higher card wins the trick and allows you to control the flow of the game.</v>
      </c>
      <c r="G156" s="8">
        <v>155.0</v>
      </c>
      <c r="H156" s="7" t="s">
        <v>1018</v>
      </c>
      <c r="I156" s="9" t="s">
        <v>1019</v>
      </c>
      <c r="J156" s="7" t="s">
        <v>869</v>
      </c>
      <c r="K156" s="7" t="s">
        <v>1020</v>
      </c>
    </row>
    <row r="157" ht="22.5" customHeight="1">
      <c r="A157" s="7" t="str">
        <f>IFERROR(__xludf.DUMMYFUNCTION("GOOGLETRANSLATE(G157, ""de"", ""en"")"),"156")</f>
        <v>156</v>
      </c>
      <c r="B157" s="7" t="str">
        <f>IFERROR(__xludf.DUMMYFUNCTION("GOOGLETRANSLATE(H157, ""de"", ""en"")"),"You're playing a big game and your opponent is leading with a low card. What should you do if you have a high card in the same suit?")</f>
        <v>You're playing a big game and your opponent is leading with a low card. What should you do if you have a high card in the same suit?</v>
      </c>
      <c r="C157" s="7" t="s">
        <v>1021</v>
      </c>
      <c r="D157" s="7" t="str">
        <f>IFERROR(__xludf.DUMMYFUNCTION("GOOGLETRANSLATE(J157, ""de"", ""en"")"),"Play the high card")</f>
        <v>Play the high card</v>
      </c>
      <c r="E157" s="7" t="str">
        <f>IFERROR(__xludf.DUMMYFUNCTION("GOOGLETRANSLATE(K157, ""de"", ""en"")"),"Playing the high card ensures that you win the trick and control the game.")</f>
        <v>Playing the high card ensures that you win the trick and control the game.</v>
      </c>
      <c r="G157" s="8">
        <v>156.0</v>
      </c>
      <c r="H157" s="7" t="s">
        <v>1022</v>
      </c>
      <c r="I157" s="9" t="s">
        <v>1023</v>
      </c>
      <c r="J157" s="7" t="s">
        <v>1024</v>
      </c>
      <c r="K157" s="7" t="s">
        <v>1025</v>
      </c>
    </row>
    <row r="158" ht="22.5" customHeight="1">
      <c r="A158" s="7" t="str">
        <f>IFERROR(__xludf.DUMMYFUNCTION("GOOGLETRANSLATE(G158, ""de"", ""en"")"),"157")</f>
        <v>157</v>
      </c>
      <c r="B158" s="7" t="str">
        <f>IFERROR(__xludf.DUMMYFUNCTION("GOOGLETRANSLATE(H158, ""de"", ""en"")"),"You are holding one hand with only one suit, and all cards are low. What should you declare?")</f>
        <v>You are holding one hand with only one suit, and all cards are low. What should you declare?</v>
      </c>
      <c r="C158" s="7" t="s">
        <v>852</v>
      </c>
      <c r="D158" s="7" t="str">
        <f>IFERROR(__xludf.DUMMYFUNCTION("GOOGLETRANSLATE(J158, ""de"", ""en"")"),"Zero game")</f>
        <v>Zero game</v>
      </c>
      <c r="E158" s="7" t="str">
        <f>IFERROR(__xludf.DUMMYFUNCTION("GOOGLETRANSLATE(K158, ""de"", ""en"")"),"With only one suit and low cards, a zero game is ideal, as you want to lose all the tricks.")</f>
        <v>With only one suit and low cards, a zero game is ideal, as you want to lose all the tricks.</v>
      </c>
      <c r="G158" s="8">
        <v>157.0</v>
      </c>
      <c r="H158" s="7" t="s">
        <v>1026</v>
      </c>
      <c r="I158" s="9" t="s">
        <v>854</v>
      </c>
      <c r="J158" s="7" t="s">
        <v>703</v>
      </c>
      <c r="K158" s="7" t="s">
        <v>1027</v>
      </c>
    </row>
    <row r="159" ht="22.5" customHeight="1">
      <c r="A159" s="7" t="str">
        <f>IFERROR(__xludf.DUMMYFUNCTION("GOOGLETRANSLATE(G159, ""de"", ""en"")"),"158")</f>
        <v>158</v>
      </c>
      <c r="B159" s="7" t="str">
        <f>IFERROR(__xludf.DUMMYFUNCTION("GOOGLETRANSLATE(H159, ""de"", ""en"")"),"Your opponent declares a big hand, and you have no Jacks. What should you do?")</f>
        <v>Your opponent declares a big hand, and you have no Jacks. What should you do?</v>
      </c>
      <c r="C159" s="7" t="s">
        <v>1028</v>
      </c>
      <c r="D159" s="7" t="str">
        <f>IFERROR(__xludf.DUMMYFUNCTION("GOOGLETRANSLATE(J159, ""de"", ""en"")"),"Zero game")</f>
        <v>Zero game</v>
      </c>
      <c r="E159" s="7" t="str">
        <f>IFERROR(__xludf.DUMMYFUNCTION("GOOGLETRANSLATE(K159, ""de"", ""en"")"),"Without Jacks, a zero game is the best choice to avoid winning from tricks.")</f>
        <v>Without Jacks, a zero game is the best choice to avoid winning from tricks.</v>
      </c>
      <c r="G159" s="8">
        <v>158.0</v>
      </c>
      <c r="H159" s="7" t="s">
        <v>1029</v>
      </c>
      <c r="I159" s="9" t="s">
        <v>1030</v>
      </c>
      <c r="J159" s="7" t="s">
        <v>703</v>
      </c>
      <c r="K159" s="7" t="s">
        <v>1031</v>
      </c>
    </row>
    <row r="160" ht="22.5" customHeight="1">
      <c r="A160" s="7" t="str">
        <f>IFERROR(__xludf.DUMMYFUNCTION("GOOGLETRANSLATE(G160, ""de"", ""en"")"),"159")</f>
        <v>159</v>
      </c>
      <c r="B160" s="7" t="str">
        <f>IFERROR(__xludf.DUMMYFUNCTION("GOOGLETRANSLATE(H160, ""de"", ""en"")"),"You are the declarer in a suit game, and your opponent leads with a non-Trump card. What is your best move?")</f>
        <v>You are the declarer in a suit game, and your opponent leads with a non-Trump card. What is your best move?</v>
      </c>
      <c r="C160" s="7" t="s">
        <v>1032</v>
      </c>
      <c r="D160" s="7" t="str">
        <f>IFERROR(__xludf.DUMMYFUNCTION("GOOGLETRANSLATE(J160, ""de"", ""en"")"),"Play a higher card")</f>
        <v>Play a higher card</v>
      </c>
      <c r="E160" s="7" t="str">
        <f>IFERROR(__xludf.DUMMYFUNCTION("GOOGLETRANSLATE(K160, ""de"", ""en"")"),"If you play a higher card, you can win the trick and control the suit.")</f>
        <v>If you play a higher card, you can win the trick and control the suit.</v>
      </c>
      <c r="G160" s="8">
        <v>159.0</v>
      </c>
      <c r="H160" s="7" t="s">
        <v>1033</v>
      </c>
      <c r="I160" s="9" t="s">
        <v>1034</v>
      </c>
      <c r="J160" s="7" t="s">
        <v>869</v>
      </c>
      <c r="K160" s="7" t="s">
        <v>1035</v>
      </c>
    </row>
    <row r="161" ht="22.5" customHeight="1">
      <c r="A161" s="7" t="str">
        <f>IFERROR(__xludf.DUMMYFUNCTION("GOOGLETRANSLATE(G161, ""de"", ""en"")"),"160")</f>
        <v>160</v>
      </c>
      <c r="B161" s="7" t="str">
        <f>IFERROR(__xludf.DUMMYFUNCTION("GOOGLETRANSLATE(H161, ""de"", ""en"")"),"They have a mix of high and low cards and no trump cards. Which game should you explain?")</f>
        <v>They have a mix of high and low cards and no trump cards. Which game should you explain?</v>
      </c>
      <c r="C161" s="7" t="s">
        <v>852</v>
      </c>
      <c r="D161" s="7" t="str">
        <f>IFERROR(__xludf.DUMMYFUNCTION("GOOGLETRANSLATE(J161, ""de"", ""en"")"),"Dress game")</f>
        <v>Dress game</v>
      </c>
      <c r="E161" s="7" t="str">
        <f>IFERROR(__xludf.DUMMYFUNCTION("GOOGLETRANSLATE(K161, ""de"", ""en"")"),"A mix of high and low cards in different suits is best suited for a suit game where you can control one or more suits.")</f>
        <v>A mix of high and low cards in different suits is best suited for a suit game where you can control one or more suits.</v>
      </c>
      <c r="G161" s="8">
        <v>160.0</v>
      </c>
      <c r="H161" s="7" t="s">
        <v>1036</v>
      </c>
      <c r="I161" s="9" t="s">
        <v>854</v>
      </c>
      <c r="J161" s="7" t="s">
        <v>874</v>
      </c>
      <c r="K161" s="7" t="s">
        <v>1037</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37.63"/>
    <col customWidth="1" min="4" max="5" width="37.63"/>
    <col customWidth="1" min="6" max="6" width="18.25"/>
    <col customWidth="1" min="7" max="7" width="37.63"/>
    <col customWidth="1" min="8" max="8" width="19.63"/>
    <col customWidth="1" min="9" max="9" width="37.63"/>
    <col customWidth="1" min="10" max="10" width="25.25"/>
  </cols>
  <sheetData>
    <row r="1" ht="22.5" customHeight="1">
      <c r="A1" s="10" t="s">
        <v>0</v>
      </c>
      <c r="B1" s="10" t="s">
        <v>1</v>
      </c>
      <c r="C1" s="10" t="s">
        <v>2</v>
      </c>
      <c r="D1" s="10" t="s">
        <v>3</v>
      </c>
      <c r="E1" s="10" t="s">
        <v>4</v>
      </c>
      <c r="G1" s="3" t="s">
        <v>5</v>
      </c>
      <c r="H1" s="4" t="s">
        <v>6</v>
      </c>
      <c r="I1" s="5" t="s">
        <v>9</v>
      </c>
      <c r="J1" s="4" t="s">
        <v>7</v>
      </c>
      <c r="K1" s="4" t="s">
        <v>8</v>
      </c>
    </row>
    <row r="2" ht="22.5" customHeight="1">
      <c r="A2" s="7" t="str">
        <f>IFERROR(__xludf.DUMMYFUNCTION("GOOGLETRANSLATE(G2, ""de"", ""en"")"),"1")</f>
        <v>1</v>
      </c>
      <c r="B2" s="7" t="str">
        <f>IFERROR(__xludf.DUMMYFUNCTION("GOOGLETRANSLATE(H2, ""de"", ""en"")"),"Your team is leading in a bocce ball game, but it's the final round. The wind is picking up. What should your strategy be?")</f>
        <v>Your team is leading in a bocce ball game, but it's the final round. The wind is picking up. What should your strategy be?</v>
      </c>
      <c r="C2" s="7" t="s">
        <v>1038</v>
      </c>
      <c r="D2" s="7" t="str">
        <f>IFERROR(__xludf.DUMMYFUNCTION("GOOGLETRANSLATE(J2, ""de"", ""en"")"),"Focus on accuracy")</f>
        <v>Focus on accuracy</v>
      </c>
      <c r="E2" s="7" t="str">
        <f>IFERROR(__xludf.DUMMYFUNCTION("GOOGLETRANSLATE(K2, ""de"", ""en"")"),"In windy conditions, accuracy is crucial to maintaining control of the ball.")</f>
        <v>In windy conditions, accuracy is crucial to maintaining control of the ball.</v>
      </c>
      <c r="G2" s="8">
        <v>1.0</v>
      </c>
      <c r="H2" s="7" t="s">
        <v>1039</v>
      </c>
      <c r="I2" s="9" t="s">
        <v>1040</v>
      </c>
      <c r="J2" s="7" t="s">
        <v>1041</v>
      </c>
      <c r="K2" s="7" t="s">
        <v>1042</v>
      </c>
    </row>
    <row r="3" ht="22.5" customHeight="1">
      <c r="A3" s="7" t="str">
        <f>IFERROR(__xludf.DUMMYFUNCTION("GOOGLETRANSLATE(G3, ""de"", ""en"")"),"2")</f>
        <v>2</v>
      </c>
      <c r="B3" s="7" t="str">
        <f>IFERROR(__xludf.DUMMYFUNCTION("GOOGLETRANSLATE(H3, ""de"", ""en"")"),"The opposing team is gaining ground and you have the ball. The track slopes slightly downhill. How do you set up your throw?")</f>
        <v>The opposing team is gaining ground and you have the ball. The track slopes slightly downhill. How do you set up your throw?</v>
      </c>
      <c r="C3" s="7" t="s">
        <v>1043</v>
      </c>
      <c r="D3" s="7" t="str">
        <f>IFERROR(__xludf.DUMMYFUNCTION("GOOGLETRANSLATE(J3, ""de"", ""en"")"),"Throw with less force")</f>
        <v>Throw with less force</v>
      </c>
      <c r="E3" s="7" t="str">
        <f>IFERROR(__xludf.DUMMYFUNCTION("GOOGLETRANSLATE(K3, ""de"", ""en"")"),"On a downhill slope, a lighter throw is more effective to prevent overshooting the ball.")</f>
        <v>On a downhill slope, a lighter throw is more effective to prevent overshooting the ball.</v>
      </c>
      <c r="G3" s="8">
        <v>2.0</v>
      </c>
      <c r="H3" s="7" t="s">
        <v>1044</v>
      </c>
      <c r="I3" s="9" t="s">
        <v>1045</v>
      </c>
      <c r="J3" s="7" t="s">
        <v>1046</v>
      </c>
      <c r="K3" s="7" t="s">
        <v>1047</v>
      </c>
    </row>
    <row r="4" ht="22.5" customHeight="1">
      <c r="A4" s="7" t="str">
        <f>IFERROR(__xludf.DUMMYFUNCTION("GOOGLETRANSLATE(G4, ""de"", ""en"")"),"3")</f>
        <v>3</v>
      </c>
      <c r="B4" s="7" t="str">
        <f>IFERROR(__xludf.DUMMYFUNCTION("GOOGLETRANSLATE(H4, ""de"", ""en"")"),"It's your turn and the ball is about to hit a stone on the track. How do you handle the situation?")</f>
        <v>It's your turn and the ball is about to hit a stone on the track. How do you handle the situation?</v>
      </c>
      <c r="C4" s="7" t="s">
        <v>1048</v>
      </c>
      <c r="D4" s="7" t="str">
        <f>IFERROR(__xludf.DUMMYFUNCTION("GOOGLETRANSLATE(J4, ""de"", ""en"")"),"Use a curved throw to get around it.")</f>
        <v>Use a curved throw to get around it.</v>
      </c>
      <c r="E4" s="7" t="str">
        <f>IFERROR(__xludf.DUMMYFUNCTION("GOOGLETRANSLATE(K4, ""de"", ""en"")"),"A curved throw avoids obstacles like stones and keeps the ball on track.")</f>
        <v>A curved throw avoids obstacles like stones and keeps the ball on track.</v>
      </c>
      <c r="G4" s="8">
        <v>3.0</v>
      </c>
      <c r="H4" s="7" t="s">
        <v>1049</v>
      </c>
      <c r="I4" s="9" t="s">
        <v>1050</v>
      </c>
      <c r="J4" s="7" t="s">
        <v>1051</v>
      </c>
      <c r="K4" s="7" t="s">
        <v>1052</v>
      </c>
    </row>
    <row r="5" ht="22.5" customHeight="1">
      <c r="A5" s="7" t="str">
        <f>IFERROR(__xludf.DUMMYFUNCTION("GOOGLETRANSLATE(G5, ""de"", ""en"")"),"4")</f>
        <v>4</v>
      </c>
      <c r="B5" s="7" t="str">
        <f>IFERROR(__xludf.DUMMYFUNCTION("GOOGLETRANSLATE(H5, ""de"", ""en"")"),"The ball is near the edge of the pitch and your team is trailing. What should you do to prevent the opponent from gaining an advantage?")</f>
        <v>The ball is near the edge of the pitch and your team is trailing. What should you do to prevent the opponent from gaining an advantage?</v>
      </c>
      <c r="C5" s="7" t="s">
        <v>1053</v>
      </c>
      <c r="D5" s="7" t="str">
        <f>IFERROR(__xludf.DUMMYFUNCTION("GOOGLETRANSLATE(J5, ""de"", ""en"")"),"Aim for the center of the field.")</f>
        <v>Aim for the center of the field.</v>
      </c>
      <c r="E5" s="7" t="str">
        <f>IFERROR(__xludf.DUMMYFUNCTION("GOOGLETRANSLATE(K5, ""de"", ""en"")"),"Aiming for the center maximizes your chances of keeping the ball in play and scoring points.")</f>
        <v>Aiming for the center maximizes your chances of keeping the ball in play and scoring points.</v>
      </c>
      <c r="G5" s="8">
        <v>4.0</v>
      </c>
      <c r="H5" s="7" t="s">
        <v>1054</v>
      </c>
      <c r="I5" s="9" t="s">
        <v>1055</v>
      </c>
      <c r="J5" s="7" t="s">
        <v>1056</v>
      </c>
      <c r="K5" s="7" t="s">
        <v>1057</v>
      </c>
    </row>
    <row r="6" ht="22.5" customHeight="1">
      <c r="A6" s="7" t="str">
        <f>IFERROR(__xludf.DUMMYFUNCTION("GOOGLETRANSLATE(G6, ""de"", ""en"")"),"5")</f>
        <v>5</v>
      </c>
      <c r="B6" s="7" t="str">
        <f>IFERROR(__xludf.DUMMYFUNCTION("GOOGLETRANSLATE(H6, ""de"", ""en"")"),"The weather is very rainy, which makes the track slippery. How do you adjust your throwing technique?")</f>
        <v>The weather is very rainy, which makes the track slippery. How do you adjust your throwing technique?</v>
      </c>
      <c r="C6" s="7" t="s">
        <v>1058</v>
      </c>
      <c r="D6" s="7" t="str">
        <f>IFERROR(__xludf.DUMMYFUNCTION("GOOGLETRANSLATE(J6, ""de"", ""en"")"),"throw with controlled force")</f>
        <v>throw with controlled force</v>
      </c>
      <c r="E6" s="7" t="str">
        <f>IFERROR(__xludf.DUMMYFUNCTION("GOOGLETRANSLATE(K6, ""de"", ""en"")"),"A controlled throw prevents slipping and ensures greater precision on slippery surfaces.")</f>
        <v>A controlled throw prevents slipping and ensures greater precision on slippery surfaces.</v>
      </c>
      <c r="G6" s="8">
        <v>5.0</v>
      </c>
      <c r="H6" s="7" t="s">
        <v>1059</v>
      </c>
      <c r="I6" s="9" t="s">
        <v>1060</v>
      </c>
      <c r="J6" s="7" t="s">
        <v>1061</v>
      </c>
      <c r="K6" s="7" t="s">
        <v>1062</v>
      </c>
    </row>
    <row r="7" ht="22.5" customHeight="1">
      <c r="A7" s="7" t="str">
        <f>IFERROR(__xludf.DUMMYFUNCTION("GOOGLETRANSLATE(G7, ""de"", ""en"")"),"6")</f>
        <v>6</v>
      </c>
      <c r="B7" s="7" t="str">
        <f>IFERROR(__xludf.DUMMYFUNCTION("GOOGLETRANSLATE(H7, ""de"", ""en"")"),"Your team is in the lead, but you have a long way to go. What strategy should you use?")</f>
        <v>Your team is in the lead, but you have a long way to go. What strategy should you use?</v>
      </c>
      <c r="C7" s="7" t="s">
        <v>1063</v>
      </c>
      <c r="D7" s="7" t="str">
        <f>IFERROR(__xludf.DUMMYFUNCTION("GOOGLETRANSLATE(J7, ""de"", ""en"")"),"Aim for a straight throw.")</f>
        <v>Aim for a straight throw.</v>
      </c>
      <c r="E7" s="7" t="str">
        <f>IFERROR(__xludf.DUMMYFUNCTION("GOOGLETRANSLATE(K7, ""de"", ""en"")"),"A straight throw is more effective for accurately covering long distances.")</f>
        <v>A straight throw is more effective for accurately covering long distances.</v>
      </c>
      <c r="G7" s="8">
        <v>6.0</v>
      </c>
      <c r="H7" s="7" t="s">
        <v>1064</v>
      </c>
      <c r="I7" s="9" t="s">
        <v>1065</v>
      </c>
      <c r="J7" s="7" t="s">
        <v>1066</v>
      </c>
      <c r="K7" s="7" t="s">
        <v>1067</v>
      </c>
    </row>
    <row r="8" ht="22.5" customHeight="1">
      <c r="A8" s="7" t="str">
        <f>IFERROR(__xludf.DUMMYFUNCTION("GOOGLETRANSLATE(G8, ""de"", ""en"")"),"7")</f>
        <v>7</v>
      </c>
      <c r="B8" s="7" t="str">
        <f>IFERROR(__xludf.DUMMYFUNCTION("GOOGLETRANSLATE(H8, ""de"", ""en"")"),"The opposing team is in a good position and you need to counter their move. What is the best strategy?")</f>
        <v>The opposing team is in a good position and you need to counter their move. What is the best strategy?</v>
      </c>
      <c r="C8" s="7" t="s">
        <v>1068</v>
      </c>
      <c r="D8" s="7" t="str">
        <f>IFERROR(__xludf.DUMMYFUNCTION("GOOGLETRANSLATE(J8, ""de"", ""en"")"),"Aim for a tactical curve")</f>
        <v>Aim for a tactical curve</v>
      </c>
      <c r="E8" s="7" t="str">
        <f>IFERROR(__xludf.DUMMYFUNCTION("GOOGLETRANSLATE(K8, ""de"", ""en"")"),"A tactical curve can help you avoid obstacles and strategically place the ball.")</f>
        <v>A tactical curve can help you avoid obstacles and strategically place the ball.</v>
      </c>
      <c r="G8" s="8">
        <v>7.0</v>
      </c>
      <c r="H8" s="7" t="s">
        <v>1069</v>
      </c>
      <c r="I8" s="9" t="s">
        <v>1070</v>
      </c>
      <c r="J8" s="7" t="s">
        <v>1071</v>
      </c>
      <c r="K8" s="7" t="s">
        <v>1072</v>
      </c>
    </row>
    <row r="9" ht="22.5" customHeight="1">
      <c r="A9" s="7" t="str">
        <f>IFERROR(__xludf.DUMMYFUNCTION("GOOGLETRANSLATE(G9, ""de"", ""en"")"),"8")</f>
        <v>8</v>
      </c>
      <c r="B9" s="7" t="str">
        <f>IFERROR(__xludf.DUMMYFUNCTION("GOOGLETRANSLATE(H9, ""de"", ""en"")"),"You're playing on a windy day and your ball is drifting off course. What's the best way to adapt?")</f>
        <v>You're playing on a windy day and your ball is drifting off course. What's the best way to adapt?</v>
      </c>
      <c r="C9" s="7" t="s">
        <v>1073</v>
      </c>
      <c r="D9" s="7" t="str">
        <f>IFERROR(__xludf.DUMMYFUNCTION("GOOGLETRANSLATE(J9, ""de"", ""en"")"),"Adjust the throwing angle")</f>
        <v>Adjust the throwing angle</v>
      </c>
      <c r="E9" s="7" t="str">
        <f>IFERROR(__xludf.DUMMYFUNCTION("GOOGLETRANSLATE(K9, ""de"", ""en"")"),"Wind can knock the ball off course; adjusting the angle allows for better control.")</f>
        <v>Wind can knock the ball off course; adjusting the angle allows for better control.</v>
      </c>
      <c r="G9" s="8">
        <v>8.0</v>
      </c>
      <c r="H9" s="7" t="s">
        <v>1074</v>
      </c>
      <c r="I9" s="9" t="s">
        <v>1075</v>
      </c>
      <c r="J9" s="7" t="s">
        <v>1076</v>
      </c>
      <c r="K9" s="7" t="s">
        <v>1077</v>
      </c>
    </row>
    <row r="10" ht="22.5" customHeight="1">
      <c r="A10" s="7" t="str">
        <f>IFERROR(__xludf.DUMMYFUNCTION("GOOGLETRANSLATE(G10, ""de"", ""en"")"),"9")</f>
        <v>9</v>
      </c>
      <c r="B10" s="7" t="str">
        <f>IFERROR(__xludf.DUMMYFUNCTION("GOOGLETRANSLATE(H10, ""de"", ""en"")"),"Your ball is near a water hazard on the course. How do you ensure it doesn't roll into the water?")</f>
        <v>Your ball is near a water hazard on the course. How do you ensure it doesn't roll into the water?</v>
      </c>
      <c r="C10" s="7" t="s">
        <v>1078</v>
      </c>
      <c r="D10" s="7" t="str">
        <f>IFERROR(__xludf.DUMMYFUNCTION("GOOGLETRANSLATE(J10, ""de"", ""en"")"),"throw gently and with control")</f>
        <v>throw gently and with control</v>
      </c>
      <c r="E10" s="7" t="str">
        <f>IFERROR(__xludf.DUMMYFUNCTION("GOOGLETRANSLATE(K10, ""de"", ""en"")"),"A gentle, controlled throw prevents overshooting the obstacle and keeps the ball in play.")</f>
        <v>A gentle, controlled throw prevents overshooting the obstacle and keeps the ball in play.</v>
      </c>
      <c r="G10" s="8">
        <v>9.0</v>
      </c>
      <c r="H10" s="7" t="s">
        <v>1079</v>
      </c>
      <c r="I10" s="9" t="s">
        <v>1080</v>
      </c>
      <c r="J10" s="7" t="s">
        <v>1081</v>
      </c>
      <c r="K10" s="7" t="s">
        <v>1082</v>
      </c>
    </row>
    <row r="11" ht="22.5" customHeight="1">
      <c r="A11" s="7" t="str">
        <f>IFERROR(__xludf.DUMMYFUNCTION("GOOGLETRANSLATE(G11, ""de"", ""en"")"),"10")</f>
        <v>10</v>
      </c>
      <c r="B11" s="7" t="str">
        <f>IFERROR(__xludf.DUMMYFUNCTION("GOOGLETRANSLATE(H11, ""de"", ""en"")"),"The surface is uneven and your ball could bounce unpredictably. How do you minimize the risk?")</f>
        <v>The surface is uneven and your ball could bounce unpredictably. How do you minimize the risk?</v>
      </c>
      <c r="C11" s="7" t="s">
        <v>1083</v>
      </c>
      <c r="D11" s="7" t="str">
        <f>IFERROR(__xludf.DUMMYFUNCTION("GOOGLETRANSLATE(J11, ""de"", ""en"")"),"Use a slower, more controlled throw.")</f>
        <v>Use a slower, more controlled throw.</v>
      </c>
      <c r="E11" s="7" t="str">
        <f>IFERROR(__xludf.DUMMYFUNCTION("GOOGLETRANSLATE(K11, ""de"", ""en"")"),"A slower, more controlled throw helps to minimize the effects of uneven surfaces and keep the ball on track.")</f>
        <v>A slower, more controlled throw helps to minimize the effects of uneven surfaces and keep the ball on track.</v>
      </c>
      <c r="G11" s="8">
        <v>10.0</v>
      </c>
      <c r="H11" s="7" t="s">
        <v>1084</v>
      </c>
      <c r="I11" s="9" t="s">
        <v>1085</v>
      </c>
      <c r="J11" s="7" t="s">
        <v>1086</v>
      </c>
      <c r="K11" s="7" t="s">
        <v>1087</v>
      </c>
    </row>
    <row r="12" ht="22.5" customHeight="1">
      <c r="A12" s="7" t="str">
        <f>IFERROR(__xludf.DUMMYFUNCTION("GOOGLETRANSLATE(G12, ""de"", ""en"")"),"11")</f>
        <v>11</v>
      </c>
      <c r="B12" s="7" t="str">
        <f>IFERROR(__xludf.DUMMYFUNCTION("GOOGLETRANSLATE(H12, ""de"", ""en"")"),"It's the final round and the ball is approaching a sharp curve. What's the best strategy to deal with it?")</f>
        <v>It's the final round and the ball is approaching a sharp curve. What's the best strategy to deal with it?</v>
      </c>
      <c r="C12" s="7" t="s">
        <v>1088</v>
      </c>
      <c r="D12" s="7" t="str">
        <f>IFERROR(__xludf.DUMMYFUNCTION("GOOGLETRANSLATE(J12, ""de"", ""en"")"),"Aim for the middle of the curve")</f>
        <v>Aim for the middle of the curve</v>
      </c>
      <c r="E12" s="7" t="str">
        <f>IFERROR(__xludf.DUMMYFUNCTION("GOOGLETRANSLATE(K12, ""de"", ""en"")"),"Aiming for the center of the curve gives the ball the best chance of staying on course.")</f>
        <v>Aiming for the center of the curve gives the ball the best chance of staying on course.</v>
      </c>
      <c r="G12" s="8">
        <v>11.0</v>
      </c>
      <c r="H12" s="7" t="s">
        <v>1089</v>
      </c>
      <c r="I12" s="9" t="s">
        <v>1090</v>
      </c>
      <c r="J12" s="7" t="s">
        <v>1091</v>
      </c>
      <c r="K12" s="7" t="s">
        <v>1092</v>
      </c>
    </row>
    <row r="13" ht="22.5" customHeight="1">
      <c r="A13" s="7" t="str">
        <f>IFERROR(__xludf.DUMMYFUNCTION("GOOGLETRANSLATE(G13, ""de"", ""en"")"),"12")</f>
        <v>12</v>
      </c>
      <c r="B13" s="7" t="str">
        <f>IFERROR(__xludf.DUMMYFUNCTION("GOOGLETRANSLATE(H13, ""de"", ""en"")"),"The game is tied and your team needs a strong finish. What is the key factor to consider for the final shot?")</f>
        <v>The game is tied and your team needs a strong finish. What is the key factor to consider for the final shot?</v>
      </c>
      <c r="C13" s="7" t="s">
        <v>1093</v>
      </c>
      <c r="D13" s="7" t="str">
        <f>IFERROR(__xludf.DUMMYFUNCTION("GOOGLETRANSLATE(J13, ""de"", ""en"")"),"Focus on accuracy and control")</f>
        <v>Focus on accuracy and control</v>
      </c>
      <c r="E13" s="7" t="str">
        <f>IFERROR(__xludf.DUMMYFUNCTION("GOOGLETRANSLATE(K13, ""de"", ""en"")"),"Accuracy and control are crucial in the final throws to secure victory.")</f>
        <v>Accuracy and control are crucial in the final throws to secure victory.</v>
      </c>
      <c r="G13" s="8">
        <v>12.0</v>
      </c>
      <c r="H13" s="7" t="s">
        <v>1094</v>
      </c>
      <c r="I13" s="9" t="s">
        <v>1095</v>
      </c>
      <c r="J13" s="7" t="s">
        <v>1096</v>
      </c>
      <c r="K13" s="7" t="s">
        <v>1097</v>
      </c>
    </row>
    <row r="14" ht="22.5" customHeight="1">
      <c r="A14" s="7" t="str">
        <f>IFERROR(__xludf.DUMMYFUNCTION("GOOGLETRANSLATE(G14, ""de"", ""en"")"),"13")</f>
        <v>13</v>
      </c>
      <c r="B14" s="7" t="str">
        <f>IFERROR(__xludf.DUMMYFUNCTION("GOOGLETRANSLATE(H14, ""de"", ""en"")"),"The ball has landed on an uneven spot on the field. What is your best move?")</f>
        <v>The ball has landed on an uneven spot on the field. What is your best move?</v>
      </c>
      <c r="C14" s="7" t="s">
        <v>1098</v>
      </c>
      <c r="D14" s="7" t="str">
        <f>IFERROR(__xludf.DUMMYFUNCTION("GOOGLETRANSLATE(J14, ""de"", ""en"")"),"Adapt your throw to the terrain.")</f>
        <v>Adapt your throw to the terrain.</v>
      </c>
      <c r="E14" s="7" t="str">
        <f>IFERROR(__xludf.DUMMYFUNCTION("GOOGLETRANSLATE(K14, ""de"", ""en"")"),"Adapting your technique to the terrain ensures better control and accuracy.")</f>
        <v>Adapting your technique to the terrain ensures better control and accuracy.</v>
      </c>
      <c r="G14" s="8">
        <v>13.0</v>
      </c>
      <c r="H14" s="7" t="s">
        <v>1099</v>
      </c>
      <c r="I14" s="9" t="s">
        <v>1100</v>
      </c>
      <c r="J14" s="7" t="s">
        <v>1101</v>
      </c>
      <c r="K14" s="7" t="s">
        <v>1102</v>
      </c>
    </row>
    <row r="15" ht="22.5" customHeight="1">
      <c r="A15" s="7" t="str">
        <f>IFERROR(__xludf.DUMMYFUNCTION("GOOGLETRANSLATE(G15, ""de"", ""en"")"),"14")</f>
        <v>14</v>
      </c>
      <c r="B15" s="7" t="str">
        <f>IFERROR(__xludf.DUMMYFUNCTION("GOOGLETRANSLATE(H15, ""de"", ""en"")"),"The wind is blowing particularly strongly from one direction. How should one throw to counteract this?")</f>
        <v>The wind is blowing particularly strongly from one direction. How should one throw to counteract this?</v>
      </c>
      <c r="C15" s="7" t="s">
        <v>1103</v>
      </c>
      <c r="D15" s="7" t="str">
        <f>IFERROR(__xludf.DUMMYFUNCTION("GOOGLETRANSLATE(J15, ""de"", ""en"")"),"Throw at a shallower angle")</f>
        <v>Throw at a shallower angle</v>
      </c>
      <c r="E15" s="7" t="str">
        <f>IFERROR(__xludf.DUMMYFUNCTION("GOOGLETRANSLATE(K15, ""de"", ""en"")"),"A flatter throw minimizes the influence of the wind and gives you better control.")</f>
        <v>A flatter throw minimizes the influence of the wind and gives you better control.</v>
      </c>
      <c r="G15" s="8">
        <v>14.0</v>
      </c>
      <c r="H15" s="7" t="s">
        <v>1104</v>
      </c>
      <c r="I15" s="9" t="s">
        <v>1105</v>
      </c>
      <c r="J15" s="7" t="s">
        <v>1106</v>
      </c>
      <c r="K15" s="7" t="s">
        <v>1107</v>
      </c>
    </row>
    <row r="16" ht="22.5" customHeight="1">
      <c r="A16" s="7" t="str">
        <f>IFERROR(__xludf.DUMMYFUNCTION("GOOGLETRANSLATE(G16, ""de"", ""en"")"),"15")</f>
        <v>15</v>
      </c>
      <c r="B16" s="7" t="str">
        <f>IFERROR(__xludf.DUMMYFUNCTION("GOOGLETRANSLATE(H16, ""de"", ""en"")"),"Your opponent is far ahead and the track has many curves. What strategy can you use to catch up?")</f>
        <v>Your opponent is far ahead and the track has many curves. What strategy can you use to catch up?</v>
      </c>
      <c r="C16" s="7" t="s">
        <v>1108</v>
      </c>
      <c r="D16" s="7" t="str">
        <f>IFERROR(__xludf.DUMMYFUNCTION("GOOGLETRANSLATE(J16, ""de"", ""en"")"),"Use a curve to cut corners")</f>
        <v>Use a curve to cut corners</v>
      </c>
      <c r="E16" s="7" t="str">
        <f>IFERROR(__xludf.DUMMYFUNCTION("GOOGLETRANSLATE(K16, ""de"", ""en"")"),"Cornering can save time, reduce the distance, and help you catch up.")</f>
        <v>Cornering can save time, reduce the distance, and help you catch up.</v>
      </c>
      <c r="G16" s="8">
        <v>15.0</v>
      </c>
      <c r="H16" s="7" t="s">
        <v>1109</v>
      </c>
      <c r="I16" s="9" t="s">
        <v>1110</v>
      </c>
      <c r="J16" s="7" t="s">
        <v>1111</v>
      </c>
      <c r="K16" s="7" t="s">
        <v>1112</v>
      </c>
    </row>
    <row r="17" ht="22.5" customHeight="1">
      <c r="A17" s="7" t="str">
        <f>IFERROR(__xludf.DUMMYFUNCTION("GOOGLETRANSLATE(G17, ""de"", ""en"")"),"16")</f>
        <v>16</v>
      </c>
      <c r="B17" s="7" t="str">
        <f>IFERROR(__xludf.DUMMYFUNCTION("GOOGLETRANSLATE(H17, ""de"", ""en"")"),"The lane is wide, and you need to pay attention to precision when throwing. What should you focus on?")</f>
        <v>The lane is wide, and you need to pay attention to precision when throwing. What should you focus on?</v>
      </c>
      <c r="C17" s="7" t="s">
        <v>1113</v>
      </c>
      <c r="D17" s="7" t="str">
        <f>IFERROR(__xludf.DUMMYFUNCTION("GOOGLETRANSLATE(J17, ""de"", ""en"")"),"Maintain a consistent throw")</f>
        <v>Maintain a consistent throw</v>
      </c>
      <c r="E17" s="7" t="str">
        <f>IFERROR(__xludf.DUMMYFUNCTION("GOOGLETRANSLATE(K17, ""de"", ""en"")"),"A consistent, controlled throw improves your accuracy over a wide distance.")</f>
        <v>A consistent, controlled throw improves your accuracy over a wide distance.</v>
      </c>
      <c r="G17" s="8">
        <v>16.0</v>
      </c>
      <c r="H17" s="7" t="s">
        <v>1114</v>
      </c>
      <c r="I17" s="9" t="s">
        <v>1115</v>
      </c>
      <c r="J17" s="7" t="s">
        <v>1116</v>
      </c>
      <c r="K17" s="7" t="s">
        <v>1117</v>
      </c>
    </row>
    <row r="18" ht="22.5" customHeight="1">
      <c r="A18" s="7" t="str">
        <f>IFERROR(__xludf.DUMMYFUNCTION("GOOGLETRANSLATE(G18, ""de"", ""en"")"),"17")</f>
        <v>17</v>
      </c>
      <c r="B18" s="7" t="str">
        <f>IFERROR(__xludf.DUMMYFUNCTION("GOOGLETRANSLATE(H18, ""de"", ""en"")"),"Your team has the ball and you're about to cross the halfway mark. What should you focus on?")</f>
        <v>Your team has the ball and you're about to cross the halfway mark. What should you focus on?</v>
      </c>
      <c r="C18" s="7" t="s">
        <v>1118</v>
      </c>
      <c r="D18" s="7" t="str">
        <f>IFERROR(__xludf.DUMMYFUNCTION("GOOGLETRANSLATE(J18, ""de"", ""en"")"),"Focus on precision and control")</f>
        <v>Focus on precision and control</v>
      </c>
      <c r="E18" s="7" t="str">
        <f>IFERROR(__xludf.DUMMYFUNCTION("GOOGLETRANSLATE(K18, ""de"", ""en"")"),"Precision and control are more important halfway through to ensure steady progress.")</f>
        <v>Precision and control are more important halfway through to ensure steady progress.</v>
      </c>
      <c r="G18" s="8">
        <v>17.0</v>
      </c>
      <c r="H18" s="7" t="s">
        <v>1119</v>
      </c>
      <c r="I18" s="9" t="s">
        <v>1120</v>
      </c>
      <c r="J18" s="7" t="s">
        <v>1121</v>
      </c>
      <c r="K18" s="7" t="s">
        <v>1122</v>
      </c>
    </row>
    <row r="19" ht="22.5" customHeight="1">
      <c r="A19" s="7" t="str">
        <f>IFERROR(__xludf.DUMMYFUNCTION("GOOGLETRANSLATE(G19, ""de"", ""en"")"),"18")</f>
        <v>18</v>
      </c>
      <c r="B19" s="7" t="str">
        <f>IFERROR(__xludf.DUMMYFUNCTION("GOOGLETRANSLATE(H19, ""de"", ""en"")"),"Your team is in a difficult situation and you have to take a risk. What should you focus on right now?")</f>
        <v>Your team is in a difficult situation and you have to take a risk. What should you focus on right now?</v>
      </c>
      <c r="C19" s="7" t="s">
        <v>1123</v>
      </c>
      <c r="D19" s="7" t="str">
        <f>IFERROR(__xludf.DUMMYFUNCTION("GOOGLETRANSLATE(J19, ""de"", ""en"")"),"Focus on precision and placement")</f>
        <v>Focus on precision and placement</v>
      </c>
      <c r="E19" s="7" t="str">
        <f>IFERROR(__xludf.DUMMYFUNCTION("GOOGLETRANSLATE(K19, ""de"", ""en"")"),"When taking calculated risks in difficult situations, precision and placement are crucial.")</f>
        <v>When taking calculated risks in difficult situations, precision and placement are crucial.</v>
      </c>
      <c r="G19" s="8">
        <v>18.0</v>
      </c>
      <c r="H19" s="7" t="s">
        <v>1124</v>
      </c>
      <c r="I19" s="9" t="s">
        <v>1125</v>
      </c>
      <c r="J19" s="7" t="s">
        <v>1126</v>
      </c>
      <c r="K19" s="7" t="s">
        <v>1127</v>
      </c>
    </row>
    <row r="20" ht="22.5" customHeight="1">
      <c r="A20" s="7" t="str">
        <f>IFERROR(__xludf.DUMMYFUNCTION("GOOGLETRANSLATE(G20, ""de"", ""en"")"),"19")</f>
        <v>19</v>
      </c>
      <c r="B20" s="7" t="str">
        <f>IFERROR(__xludf.DUMMYFUNCTION("GOOGLETRANSLATE(H20, ""de"", ""en"")"),"You notice that your opponent is overconfident, and you have the opportunity to make a strategic move. What do you do?")</f>
        <v>You notice that your opponent is overconfident, and you have the opportunity to make a strategic move. What do you do?</v>
      </c>
      <c r="C20" s="7" t="s">
        <v>1128</v>
      </c>
      <c r="D20" s="7" t="str">
        <f>IFERROR(__xludf.DUMMYFUNCTION("GOOGLETRANSLATE(J20, ""de"", ""en"")"),"Use a fast, tactical curve")</f>
        <v>Use a fast, tactical curve</v>
      </c>
      <c r="E20" s="7" t="str">
        <f>IFERROR(__xludf.DUMMYFUNCTION("GOOGLETRANSLATE(K20, ""de"", ""en"")"),"A quick, tactical turn can surprise your opponent and improve your position.")</f>
        <v>A quick, tactical turn can surprise your opponent and improve your position.</v>
      </c>
      <c r="G20" s="8">
        <v>19.0</v>
      </c>
      <c r="H20" s="7" t="s">
        <v>1129</v>
      </c>
      <c r="I20" s="9" t="s">
        <v>1130</v>
      </c>
      <c r="J20" s="7" t="s">
        <v>1131</v>
      </c>
      <c r="K20" s="7" t="s">
        <v>1132</v>
      </c>
    </row>
    <row r="21" ht="22.5" customHeight="1">
      <c r="A21" s="7" t="str">
        <f>IFERROR(__xludf.DUMMYFUNCTION("GOOGLETRANSLATE(G21, ""de"", ""en"")"),"20")</f>
        <v>20</v>
      </c>
      <c r="B21" s="7" t="str">
        <f>IFERROR(__xludf.DUMMYFUNCTION("GOOGLETRANSLATE(H21, ""de"", ""en"")"),"The track has a narrow section and you need to avoid a small obstacle. What strategy should you use?")</f>
        <v>The track has a narrow section and you need to avoid a small obstacle. What strategy should you use?</v>
      </c>
      <c r="C21" s="7" t="s">
        <v>1133</v>
      </c>
      <c r="D21" s="7" t="str">
        <f>IFERROR(__xludf.DUMMYFUNCTION("GOOGLETRANSLATE(J21, ""de"", ""en"")"),"Use a precise, sweeping throw.")</f>
        <v>Use a precise, sweeping throw.</v>
      </c>
      <c r="E21" s="7" t="str">
        <f>IFERROR(__xludf.DUMMYFUNCTION("GOOGLETRANSLATE(K21, ""de"", ""en"")"),"A precise, curved throw allows you to bypass obstacles in narrow sections of the course.")</f>
        <v>A precise, curved throw allows you to bypass obstacles in narrow sections of the course.</v>
      </c>
      <c r="G21" s="8">
        <v>20.0</v>
      </c>
      <c r="H21" s="7" t="s">
        <v>1134</v>
      </c>
      <c r="I21" s="9" t="s">
        <v>1135</v>
      </c>
      <c r="J21" s="7" t="s">
        <v>1136</v>
      </c>
      <c r="K21" s="7" t="s">
        <v>1137</v>
      </c>
    </row>
    <row r="22" ht="22.5" customHeight="1">
      <c r="A22" s="7" t="str">
        <f>IFERROR(__xludf.DUMMYFUNCTION("GOOGLETRANSLATE(G22, ""de"", ""en"")"),"21")</f>
        <v>21</v>
      </c>
      <c r="B22" s="7" t="str">
        <f>IFERROR(__xludf.DUMMYFUNCTION("GOOGLETRANSLATE(H22, ""de"", ""en"")"),"Your team is trailing and you have the ball. The track has several bumps. What should you do?")</f>
        <v>Your team is trailing and you have the ball. The track has several bumps. What should you do?</v>
      </c>
      <c r="C22" s="7" t="s">
        <v>1138</v>
      </c>
      <c r="D22" s="7" t="str">
        <f>IFERROR(__xludf.DUMMYFUNCTION("GOOGLETRANSLATE(J22, ""de"", ""en"")"),"Use a controlled, gentle throw.")</f>
        <v>Use a controlled, gentle throw.</v>
      </c>
      <c r="E22" s="7" t="str">
        <f>IFERROR(__xludf.DUMMYFUNCTION("GOOGLETRANSLATE(K22, ""de"", ""en"")"),"A gentle, controlled throw helps to avoid loss of control on a bumpy surface.")</f>
        <v>A gentle, controlled throw helps to avoid loss of control on a bumpy surface.</v>
      </c>
      <c r="G22" s="8">
        <v>21.0</v>
      </c>
      <c r="H22" s="7" t="s">
        <v>1139</v>
      </c>
      <c r="I22" s="9" t="s">
        <v>1140</v>
      </c>
      <c r="J22" s="7" t="s">
        <v>1141</v>
      </c>
      <c r="K22" s="7" t="s">
        <v>1142</v>
      </c>
    </row>
    <row r="23" ht="22.5" customHeight="1">
      <c r="A23" s="7" t="str">
        <f>IFERROR(__xludf.DUMMYFUNCTION("GOOGLETRANSLATE(G23, ""de"", ""en"")"),"22")</f>
        <v>22</v>
      </c>
      <c r="B23" s="7" t="str">
        <f>IFERROR(__xludf.DUMMYFUNCTION("GOOGLETRANSLATE(H23, ""de"", ""en"")"),"The ball rolls off course due to the wind. How should you adjust your throwing technique?")</f>
        <v>The ball rolls off course due to the wind. How should you adjust your throwing technique?</v>
      </c>
      <c r="C23" s="7" t="s">
        <v>1143</v>
      </c>
      <c r="D23" s="7" t="str">
        <f>IFERROR(__xludf.DUMMYFUNCTION("GOOGLETRANSLATE(J23, ""de"", ""en"")"),"Aim for a lower angle")</f>
        <v>Aim for a lower angle</v>
      </c>
      <c r="E23" s="7" t="str">
        <f>IFERROR(__xludf.DUMMYFUNCTION("GOOGLETRANSLATE(K23, ""de"", ""en"")"),"A lower angle reduces the influence of the wind and keeps the ball on course.")</f>
        <v>A lower angle reduces the influence of the wind and keeps the ball on course.</v>
      </c>
      <c r="G23" s="8">
        <v>22.0</v>
      </c>
      <c r="H23" s="7" t="s">
        <v>1144</v>
      </c>
      <c r="I23" s="9" t="s">
        <v>1145</v>
      </c>
      <c r="J23" s="7" t="s">
        <v>1146</v>
      </c>
      <c r="K23" s="7" t="s">
        <v>1147</v>
      </c>
    </row>
    <row r="24" ht="22.5" customHeight="1">
      <c r="A24" s="7" t="str">
        <f>IFERROR(__xludf.DUMMYFUNCTION("GOOGLETRANSLATE(G24, ""de"", ""en"")"),"23")</f>
        <v>23</v>
      </c>
      <c r="B24" s="7" t="str">
        <f>IFERROR(__xludf.DUMMYFUNCTION("GOOGLETRANSLATE(H24, ""de"", ""en"")"),"Your opponent has achieved a high score and you need to catch up. What is your key strategy?")</f>
        <v>Your opponent has achieved a high score and you need to catch up. What is your key strategy?</v>
      </c>
      <c r="C24" s="7" t="s">
        <v>1148</v>
      </c>
      <c r="D24" s="7" t="str">
        <f>IFERROR(__xludf.DUMMYFUNCTION("GOOGLETRANSLATE(J24, ""de"", ""en"")"),"Pay attention to accuracy and placement.")</f>
        <v>Pay attention to accuracy and placement.</v>
      </c>
      <c r="E24" s="7" t="str">
        <f>IFERROR(__xludf.DUMMYFUNCTION("GOOGLETRANSLATE(K24, ""de"", ""en"")"),"Accuracy and placement help you reduce errors and get closer to your opponent's score.")</f>
        <v>Accuracy and placement help you reduce errors and get closer to your opponent's score.</v>
      </c>
      <c r="G24" s="8">
        <v>23.0</v>
      </c>
      <c r="H24" s="7" t="s">
        <v>1149</v>
      </c>
      <c r="I24" s="9" t="s">
        <v>1150</v>
      </c>
      <c r="J24" s="7" t="s">
        <v>1151</v>
      </c>
      <c r="K24" s="7" t="s">
        <v>1152</v>
      </c>
    </row>
    <row r="25" ht="22.5" customHeight="1">
      <c r="A25" s="7" t="str">
        <f>IFERROR(__xludf.DUMMYFUNCTION("GOOGLETRANSLATE(G25, ""de"", ""en"")"),"24")</f>
        <v>24</v>
      </c>
      <c r="B25" s="7" t="str">
        <f>IFERROR(__xludf.DUMMYFUNCTION("GOOGLETRANSLATE(H25, ""de"", ""en"")"),"The ball is near a fence and you must prevent it from hitting it. What should you do?")</f>
        <v>The ball is near a fence and you must prevent it from hitting it. What should you do?</v>
      </c>
      <c r="C25" s="7" t="s">
        <v>1153</v>
      </c>
      <c r="D25" s="7" t="str">
        <f>IFERROR(__xludf.DUMMYFUNCTION("GOOGLETRANSLATE(J25, ""de"", ""en"")"),"Use a soft throw")</f>
        <v>Use a soft throw</v>
      </c>
      <c r="E25" s="7" t="str">
        <f>IFERROR(__xludf.DUMMYFUNCTION("GOOGLETRANSLATE(K25, ""de"", ""en"")"),"A soft throw helps to control the ball and prevent it from touching the fence.")</f>
        <v>A soft throw helps to control the ball and prevent it from touching the fence.</v>
      </c>
      <c r="G25" s="8">
        <v>24.0</v>
      </c>
      <c r="H25" s="7" t="s">
        <v>1154</v>
      </c>
      <c r="I25" s="9" t="s">
        <v>1155</v>
      </c>
      <c r="J25" s="7" t="s">
        <v>1156</v>
      </c>
      <c r="K25" s="7" t="s">
        <v>1157</v>
      </c>
    </row>
    <row r="26" ht="22.5" customHeight="1">
      <c r="A26" s="7" t="str">
        <f>IFERROR(__xludf.DUMMYFUNCTION("GOOGLETRANSLATE(G26, ""de"", ""en"")"),"25")</f>
        <v>25</v>
      </c>
      <c r="B26" s="7" t="str">
        <f>IFERROR(__xludf.DUMMYFUNCTION("GOOGLETRANSLATE(H26, ""de"", ""en"")"),"The weather is extremely cold and your hands are numb. How do you ensure a good throw?")</f>
        <v>The weather is extremely cold and your hands are numb. How do you ensure a good throw?</v>
      </c>
      <c r="C26" s="7" t="s">
        <v>1158</v>
      </c>
      <c r="D26" s="7" t="str">
        <f>IFERROR(__xludf.DUMMYFUNCTION("GOOGLETRANSLATE(J26, ""de"", ""en"")"),"Warm up before throwing")</f>
        <v>Warm up before throwing</v>
      </c>
      <c r="E26" s="7" t="str">
        <f>IFERROR(__xludf.DUMMYFUNCTION("GOOGLETRANSLATE(K26, ""de"", ""en"")"),"Warming up helps you regain control and precision in cold conditions.")</f>
        <v>Warming up helps you regain control and precision in cold conditions.</v>
      </c>
      <c r="G26" s="8">
        <v>25.0</v>
      </c>
      <c r="H26" s="7" t="s">
        <v>1159</v>
      </c>
      <c r="I26" s="9" t="s">
        <v>1160</v>
      </c>
      <c r="J26" s="7" t="s">
        <v>1161</v>
      </c>
      <c r="K26" s="7" t="s">
        <v>1162</v>
      </c>
    </row>
    <row r="27" ht="22.5" customHeight="1">
      <c r="A27" s="7" t="str">
        <f>IFERROR(__xludf.DUMMYFUNCTION("GOOGLETRANSLATE(G27, ""de"", ""en"")"),"26")</f>
        <v>26</v>
      </c>
      <c r="B27" s="7" t="str">
        <f>IFERROR(__xludf.DUMMYFUNCTION("GOOGLETRANSLATE(H27, ""de"", ""en"")"),"You're trailing in a game and need to stage a comeback. What should you focus on?")</f>
        <v>You're trailing in a game and need to stage a comeback. What should you focus on?</v>
      </c>
      <c r="C27" s="7" t="s">
        <v>1163</v>
      </c>
      <c r="D27" s="7" t="str">
        <f>IFERROR(__xludf.DUMMYFUNCTION("GOOGLETRANSLATE(J27, ""de"", ""en"")"),"Precision and consistency")</f>
        <v>Precision and consistency</v>
      </c>
      <c r="E27" s="7" t="str">
        <f>IFERROR(__xludf.DUMMYFUNCTION("GOOGLETRANSLATE(K27, ""de"", ""en"")"),"Precision and consistency help you build momentum without making mistakes.")</f>
        <v>Precision and consistency help you build momentum without making mistakes.</v>
      </c>
      <c r="G27" s="8">
        <v>26.0</v>
      </c>
      <c r="H27" s="7" t="s">
        <v>1164</v>
      </c>
      <c r="I27" s="9" t="s">
        <v>1165</v>
      </c>
      <c r="J27" s="7" t="s">
        <v>1166</v>
      </c>
      <c r="K27" s="7" t="s">
        <v>1167</v>
      </c>
    </row>
    <row r="28" ht="22.5" customHeight="1">
      <c r="A28" s="7" t="str">
        <f>IFERROR(__xludf.DUMMYFUNCTION("GOOGLETRANSLATE(G28, ""de"", ""en"")"),"27")</f>
        <v>27</v>
      </c>
      <c r="B28" s="7" t="str">
        <f>IFERROR(__xludf.DUMMYFUNCTION("GOOGLETRANSLATE(H28, ""de"", ""en"")"),"You have a chance to throw, but your team is behind. The course has many obstacles. What do you do?")</f>
        <v>You have a chance to throw, but your team is behind. The course has many obstacles. What do you do?</v>
      </c>
      <c r="C28" s="7" t="s">
        <v>1168</v>
      </c>
      <c r="D28" s="7" t="str">
        <f>IFERROR(__xludf.DUMMYFUNCTION("GOOGLETRANSLATE(J28, ""de"", ""en"")"),"Use a curved throw to avoid obstacles.")</f>
        <v>Use a curved throw to avoid obstacles.</v>
      </c>
      <c r="E28" s="7" t="str">
        <f>IFERROR(__xludf.DUMMYFUNCTION("GOOGLETRANSLATE(K28, ""de"", ""en"")"),"By curving the ball, you can avoid obstacles while maintaining accuracy.")</f>
        <v>By curving the ball, you can avoid obstacles while maintaining accuracy.</v>
      </c>
      <c r="G28" s="8">
        <v>27.0</v>
      </c>
      <c r="H28" s="7" t="s">
        <v>1169</v>
      </c>
      <c r="I28" s="9" t="s">
        <v>1170</v>
      </c>
      <c r="J28" s="7" t="s">
        <v>1171</v>
      </c>
      <c r="K28" s="7" t="s">
        <v>1172</v>
      </c>
    </row>
    <row r="29" ht="22.5" customHeight="1">
      <c r="A29" s="7" t="str">
        <f>IFERROR(__xludf.DUMMYFUNCTION("GOOGLETRANSLATE(G29, ""de"", ""en"")"),"28")</f>
        <v>28</v>
      </c>
      <c r="B29" s="7" t="str">
        <f>IFERROR(__xludf.DUMMYFUNCTION("GOOGLETRANSLATE(H29, ""de"", ""en"")"),"The track slopes upwards and your ball is heading towards a sharp curve. What should you do?")</f>
        <v>The track slopes upwards and your ball is heading towards a sharp curve. What should you do?</v>
      </c>
      <c r="C29" s="7" t="s">
        <v>1173</v>
      </c>
      <c r="D29" s="7" t="str">
        <f>IFERROR(__xludf.DUMMYFUNCTION("GOOGLETRANSLATE(J29, ""de"", ""en"")"),"Aim for the inside of the curve")</f>
        <v>Aim for the inside of the curve</v>
      </c>
      <c r="E29" s="7" t="str">
        <f>IFERROR(__xludf.DUMMYFUNCTION("GOOGLETRANSLATE(K29, ""de"", ""en"")"),"Aiming for the inside of the curve reduces the likelihood of overshooting it.")</f>
        <v>Aiming for the inside of the curve reduces the likelihood of overshooting it.</v>
      </c>
      <c r="G29" s="8">
        <v>28.0</v>
      </c>
      <c r="H29" s="7" t="s">
        <v>1174</v>
      </c>
      <c r="I29" s="9" t="s">
        <v>1175</v>
      </c>
      <c r="J29" s="7" t="s">
        <v>1176</v>
      </c>
      <c r="K29" s="7" t="s">
        <v>1177</v>
      </c>
    </row>
    <row r="30" ht="22.5" customHeight="1">
      <c r="A30" s="7" t="str">
        <f>IFERROR(__xludf.DUMMYFUNCTION("GOOGLETRANSLATE(G30, ""de"", ""en"")"),"29")</f>
        <v>29</v>
      </c>
      <c r="B30" s="7" t="str">
        <f>IFERROR(__xludf.DUMMYFUNCTION("GOOGLETRANSLATE(H30, ""de"", ""en"")"),"Your team is behind and facing strong headwinds. How do you overcome these headwinds?")</f>
        <v>Your team is behind and facing strong headwinds. How do you overcome these headwinds?</v>
      </c>
      <c r="C30" s="7" t="s">
        <v>1178</v>
      </c>
      <c r="D30" s="7" t="str">
        <f>IFERROR(__xludf.DUMMYFUNCTION("GOOGLETRANSLATE(J30, ""de"", ""en"")"),"Aim low and throw carefully.")</f>
        <v>Aim low and throw carefully.</v>
      </c>
      <c r="E30" s="7" t="str">
        <f>IFERROR(__xludf.DUMMYFUNCTION("GOOGLETRANSLATE(K30, ""de"", ""en"")"),"A soft, low throw minimizes the influence of the wind and keeps the ball in play.")</f>
        <v>A soft, low throw minimizes the influence of the wind and keeps the ball in play.</v>
      </c>
      <c r="G30" s="8">
        <v>29.0</v>
      </c>
      <c r="H30" s="7" t="s">
        <v>1179</v>
      </c>
      <c r="I30" s="9" t="s">
        <v>1180</v>
      </c>
      <c r="J30" s="7" t="s">
        <v>1181</v>
      </c>
      <c r="K30" s="7" t="s">
        <v>1182</v>
      </c>
    </row>
    <row r="31" ht="22.5" customHeight="1">
      <c r="A31" s="7" t="str">
        <f>IFERROR(__xludf.DUMMYFUNCTION("GOOGLETRANSLATE(G31, ""de"", ""en"")"),"30")</f>
        <v>30</v>
      </c>
      <c r="B31" s="7" t="str">
        <f>IFERROR(__xludf.DUMMYFUNCTION("GOOGLETRANSLATE(H31, ""de"", ""en"")"),"You are about to throw and notice an obstacle in your path. What is the best way to avoid this?")</f>
        <v>You are about to throw and notice an obstacle in your path. What is the best way to avoid this?</v>
      </c>
      <c r="C31" s="7" t="s">
        <v>1183</v>
      </c>
      <c r="D31" s="7" t="str">
        <f>IFERROR(__xludf.DUMMYFUNCTION("GOOGLETRANSLATE(J31, ""de"", ""en"")"),"Use a curved throw to get around it.")</f>
        <v>Use a curved throw to get around it.</v>
      </c>
      <c r="E31" s="7" t="str">
        <f>IFERROR(__xludf.DUMMYFUNCTION("GOOGLETRANSLATE(K31, ""de"", ""en"")"),"A curved throw helps to safely avoid obstacles.")</f>
        <v>A curved throw helps to safely avoid obstacles.</v>
      </c>
      <c r="G31" s="8">
        <v>30.0</v>
      </c>
      <c r="H31" s="7" t="s">
        <v>1184</v>
      </c>
      <c r="I31" s="9" t="s">
        <v>1185</v>
      </c>
      <c r="J31" s="7" t="s">
        <v>1051</v>
      </c>
      <c r="K31" s="7" t="s">
        <v>1186</v>
      </c>
    </row>
    <row r="32" ht="22.5" customHeight="1">
      <c r="A32" s="7" t="str">
        <f>IFERROR(__xludf.DUMMYFUNCTION("GOOGLETRANSLATE(G32, ""de"", ""en"")"),"31")</f>
        <v>31</v>
      </c>
      <c r="B32" s="7" t="str">
        <f>IFERROR(__xludf.DUMMYFUNCTION("GOOGLETRANSLATE(H32, ""de"", ""en"")"),"The track is extremely dry and dusty, causing the ball to bounce easily. How do you set up your throw?")</f>
        <v>The track is extremely dry and dusty, causing the ball to bounce easily. How do you set up your throw?</v>
      </c>
      <c r="C32" s="7" t="s">
        <v>1187</v>
      </c>
      <c r="D32" s="7" t="str">
        <f>IFERROR(__xludf.DUMMYFUNCTION("GOOGLETRANSLATE(J32, ""de"", ""en"")"),"Use a controlled and gentle throw.")</f>
        <v>Use a controlled and gentle throw.</v>
      </c>
      <c r="E32" s="7" t="str">
        <f>IFERROR(__xludf.DUMMYFUNCTION("GOOGLETRANSLATE(K32, ""de"", ""en"")"),"A gentle throw reduces the impact and helps maintain control on a dusty track.")</f>
        <v>A gentle throw reduces the impact and helps maintain control on a dusty track.</v>
      </c>
      <c r="G32" s="8">
        <v>31.0</v>
      </c>
      <c r="H32" s="7" t="s">
        <v>1188</v>
      </c>
      <c r="I32" s="9" t="s">
        <v>1189</v>
      </c>
      <c r="J32" s="7" t="s">
        <v>1190</v>
      </c>
      <c r="K32" s="7" t="s">
        <v>1191</v>
      </c>
    </row>
    <row r="33" ht="22.5" customHeight="1">
      <c r="A33" s="7" t="str">
        <f>IFERROR(__xludf.DUMMYFUNCTION("GOOGLETRANSLATE(G33, ""de"", ""en"")"),"32")</f>
        <v>32</v>
      </c>
      <c r="B33" s="7" t="str">
        <f>IFERROR(__xludf.DUMMYFUNCTION("GOOGLETRANSLATE(H33, ""de"", ""en"")"),"There's a puddle of water in front of the track. What's your best strategy?")</f>
        <v>There's a puddle of water in front of the track. What's your best strategy?</v>
      </c>
      <c r="C33" s="7" t="s">
        <v>1192</v>
      </c>
      <c r="D33" s="7" t="str">
        <f>IFERROR(__xludf.DUMMYFUNCTION("GOOGLETRANSLATE(J33, ""de"", ""en"")"),"Use a high arc to remove it.")</f>
        <v>Use a high arc to remove it.</v>
      </c>
      <c r="E33" s="7" t="str">
        <f>IFERROR(__xludf.DUMMYFUNCTION("GOOGLETRANSLATE(K33, ""de"", ""en"")"),"A high arc helps the ball to overcome the puddle without losing momentum.")</f>
        <v>A high arc helps the ball to overcome the puddle without losing momentum.</v>
      </c>
      <c r="G33" s="8">
        <v>32.0</v>
      </c>
      <c r="H33" s="7" t="s">
        <v>1193</v>
      </c>
      <c r="I33" s="9" t="s">
        <v>1194</v>
      </c>
      <c r="J33" s="7" t="s">
        <v>1195</v>
      </c>
      <c r="K33" s="7" t="s">
        <v>1196</v>
      </c>
    </row>
    <row r="34" ht="22.5" customHeight="1">
      <c r="A34" s="7" t="str">
        <f>IFERROR(__xludf.DUMMYFUNCTION("GOOGLETRANSLATE(G34, ""de"", ""en"")"),"33")</f>
        <v>33</v>
      </c>
      <c r="B34" s="7" t="str">
        <f>IFERROR(__xludf.DUMMYFUNCTION("GOOGLETRANSLATE(H34, ""de"", ""en"")"),"You're in the final round and the wind is unpredictable. What's the safest strategy for your throw?")</f>
        <v>You're in the final round and the wind is unpredictable. What's the safest strategy for your throw?</v>
      </c>
      <c r="C34" s="7" t="s">
        <v>1197</v>
      </c>
      <c r="D34" s="7" t="str">
        <f>IFERROR(__xludf.DUMMYFUNCTION("GOOGLETRANSLATE(J34, ""de"", ""en"")"),"Throw with precision and control")</f>
        <v>Throw with precision and control</v>
      </c>
      <c r="E34" s="7" t="str">
        <f>IFERROR(__xludf.DUMMYFUNCTION("GOOGLETRANSLATE(K34, ""de"", ""en"")"),"In unpredictable winds, precision and control are crucial to avoid losing control of the ball.")</f>
        <v>In unpredictable winds, precision and control are crucial to avoid losing control of the ball.</v>
      </c>
      <c r="G34" s="8">
        <v>33.0</v>
      </c>
      <c r="H34" s="7" t="s">
        <v>1198</v>
      </c>
      <c r="I34" s="9" t="s">
        <v>1199</v>
      </c>
      <c r="J34" s="7" t="s">
        <v>1200</v>
      </c>
      <c r="K34" s="7" t="s">
        <v>1201</v>
      </c>
    </row>
    <row r="35" ht="22.5" customHeight="1">
      <c r="A35" s="7" t="str">
        <f>IFERROR(__xludf.DUMMYFUNCTION("GOOGLETRANSLATE(G35, ""de"", ""en"")"),"34")</f>
        <v>34</v>
      </c>
      <c r="B35" s="7" t="str">
        <f>IFERROR(__xludf.DUMMYFUNCTION("GOOGLETRANSLATE(H35, ""de"", ""en"")"),"You're lagging behind and the wind is at your back. What should you do to maximize your throw?")</f>
        <v>You're lagging behind and the wind is at your back. What should you do to maximize your throw?</v>
      </c>
      <c r="C35" s="7" t="s">
        <v>1202</v>
      </c>
      <c r="D35" s="7" t="str">
        <f>IFERROR(__xludf.DUMMYFUNCTION("GOOGLETRANSLATE(J35, ""de"", ""en"")"),"Aim for a high arc to gain more distance.")</f>
        <v>Aim for a high arc to gain more distance.</v>
      </c>
      <c r="E35" s="7" t="str">
        <f>IFERROR(__xludf.DUMMYFUNCTION("GOOGLETRANSLATE(K35, ""de"", ""en"")"),"The wind behind you can help a throw with a higher arc travel greater distance.")</f>
        <v>The wind behind you can help a throw with a higher arc travel greater distance.</v>
      </c>
      <c r="G35" s="8">
        <v>34.0</v>
      </c>
      <c r="H35" s="7" t="s">
        <v>1203</v>
      </c>
      <c r="I35" s="9" t="s">
        <v>1204</v>
      </c>
      <c r="J35" s="7" t="s">
        <v>1205</v>
      </c>
      <c r="K35" s="7" t="s">
        <v>1206</v>
      </c>
    </row>
    <row r="36" ht="22.5" customHeight="1">
      <c r="A36" s="7" t="str">
        <f>IFERROR(__xludf.DUMMYFUNCTION("GOOGLETRANSLATE(G36, ""de"", ""en"")"),"35")</f>
        <v>35</v>
      </c>
      <c r="B36" s="7" t="str">
        <f>IFERROR(__xludf.DUMMYFUNCTION("GOOGLETRANSLATE(H36, ""de"", ""en"")"),"Your ball hits a stone on the track. What should you do?")</f>
        <v>Your ball hits a stone on the track. What should you do?</v>
      </c>
      <c r="C36" s="7" t="s">
        <v>1207</v>
      </c>
      <c r="D36" s="7" t="str">
        <f>IFERROR(__xludf.DUMMYFUNCTION("GOOGLETRANSLATE(J36, ""de"", ""en"")"),"Try to avoid the rock.")</f>
        <v>Try to avoid the rock.</v>
      </c>
      <c r="E36" s="7" t="str">
        <f>IFERROR(__xludf.DUMMYFUNCTION("GOOGLETRANSLATE(K36, ""de"", ""en"")"),"Avoiding obstacles ensures that the ball stays on track and does not bounce off unintentionally.")</f>
        <v>Avoiding obstacles ensures that the ball stays on track and does not bounce off unintentionally.</v>
      </c>
      <c r="G36" s="8">
        <v>35.0</v>
      </c>
      <c r="H36" s="7" t="s">
        <v>1208</v>
      </c>
      <c r="I36" s="9" t="s">
        <v>1209</v>
      </c>
      <c r="J36" s="7" t="s">
        <v>1210</v>
      </c>
      <c r="K36" s="7" t="s">
        <v>1211</v>
      </c>
    </row>
    <row r="37" ht="22.5" customHeight="1">
      <c r="A37" s="7" t="str">
        <f>IFERROR(__xludf.DUMMYFUNCTION("GOOGLETRANSLATE(G37, ""de"", ""en"")"),"36")</f>
        <v>36</v>
      </c>
      <c r="B37" s="7" t="str">
        <f>IFERROR(__xludf.DUMMYFUNCTION("GOOGLETRANSLATE(H37, ""de"", ""en"")"),"You're in the lead, but you need to maintain it. What's the best move for your next throw?")</f>
        <v>You're in the lead, but you need to maintain it. What's the best move for your next throw?</v>
      </c>
      <c r="C37" s="7" t="s">
        <v>1212</v>
      </c>
      <c r="D37" s="7" t="str">
        <f>IFERROR(__xludf.DUMMYFUNCTION("GOOGLETRANSLATE(J37, ""de"", ""en"")"),"Conservatives throw")</f>
        <v>Conservatives throw</v>
      </c>
      <c r="E37" s="7" t="str">
        <f>IFERROR(__xludf.DUMMYFUNCTION("GOOGLETRANSLATE(K37, ""de"", ""en"")"),"A conservative throw reduces the risk of errors and secures your lead.")</f>
        <v>A conservative throw reduces the risk of errors and secures your lead.</v>
      </c>
      <c r="G37" s="8">
        <v>36.0</v>
      </c>
      <c r="H37" s="7" t="s">
        <v>1213</v>
      </c>
      <c r="I37" s="9" t="s">
        <v>1214</v>
      </c>
      <c r="J37" s="7" t="s">
        <v>1215</v>
      </c>
      <c r="K37" s="7" t="s">
        <v>1216</v>
      </c>
    </row>
    <row r="38" ht="22.5" customHeight="1">
      <c r="A38" s="7" t="str">
        <f>IFERROR(__xludf.DUMMYFUNCTION("GOOGLETRANSLATE(G38, ""de"", ""en"")"),"37")</f>
        <v>37</v>
      </c>
      <c r="B38" s="7" t="str">
        <f>IFERROR(__xludf.DUMMYFUNCTION("GOOGLETRANSLATE(H38, ""de"", ""en"")"),"The ball is approaching the end of the track but is veering off course. What should you do?")</f>
        <v>The ball is approaching the end of the track but is veering off course. What should you do?</v>
      </c>
      <c r="C38" s="7" t="s">
        <v>1217</v>
      </c>
      <c r="D38" s="7" t="str">
        <f>IFERROR(__xludf.DUMMYFUNCTION("GOOGLETRANSLATE(J38, ""de"", ""en"")"),"Adjust the angle of your throw")</f>
        <v>Adjust the angle of your throw</v>
      </c>
      <c r="E38" s="7" t="str">
        <f>IFERROR(__xludf.DUMMYFUNCTION("GOOGLETRANSLATE(K38, ""de"", ""en"")"),"Adjusting the throwing angle helps to get the ball back on course.")</f>
        <v>Adjusting the throwing angle helps to get the ball back on course.</v>
      </c>
      <c r="G38" s="8">
        <v>37.0</v>
      </c>
      <c r="H38" s="7" t="s">
        <v>1218</v>
      </c>
      <c r="I38" s="9" t="s">
        <v>1219</v>
      </c>
      <c r="J38" s="7" t="s">
        <v>1220</v>
      </c>
      <c r="K38" s="7" t="s">
        <v>1221</v>
      </c>
    </row>
    <row r="39" ht="22.5" customHeight="1">
      <c r="A39" s="7" t="str">
        <f>IFERROR(__xludf.DUMMYFUNCTION("GOOGLETRANSLATE(G39, ""de"", ""en"")"),"38")</f>
        <v>38</v>
      </c>
      <c r="B39" s="7" t="str">
        <f>IFERROR(__xludf.DUMMYFUNCTION("GOOGLETRANSLATE(H39, ""de"", ""en"")"),"A sharp curve lies ahead, and your ball is flying too fast. What is your best move?")</f>
        <v>A sharp curve lies ahead, and your ball is flying too fast. What is your best move?</v>
      </c>
      <c r="C39" s="7" t="s">
        <v>1222</v>
      </c>
      <c r="D39" s="7" t="str">
        <f>IFERROR(__xludf.DUMMYFUNCTION("GOOGLETRANSLATE(J39, ""de"", ""en"")"),"Slow down the throw a little.")</f>
        <v>Slow down the throw a little.</v>
      </c>
      <c r="E39" s="7" t="str">
        <f>IFERROR(__xludf.DUMMYFUNCTION("GOOGLETRANSLATE(K39, ""de"", ""en"")"),"Slowing down the throw prevents the ball from overshooting the curve.")</f>
        <v>Slowing down the throw prevents the ball from overshooting the curve.</v>
      </c>
      <c r="G39" s="8">
        <v>38.0</v>
      </c>
      <c r="H39" s="7" t="s">
        <v>1223</v>
      </c>
      <c r="I39" s="9" t="s">
        <v>1224</v>
      </c>
      <c r="J39" s="7" t="s">
        <v>1225</v>
      </c>
      <c r="K39" s="7" t="s">
        <v>1226</v>
      </c>
    </row>
    <row r="40" ht="22.5" customHeight="1">
      <c r="A40" s="7" t="str">
        <f>IFERROR(__xludf.DUMMYFUNCTION("GOOGLETRANSLATE(G40, ""de"", ""en"")"),"39")</f>
        <v>39</v>
      </c>
      <c r="B40" s="7" t="str">
        <f>IFERROR(__xludf.DUMMYFUNCTION("GOOGLETRANSLATE(H40, ""de"", ""en"")"),"The weather is hot and the track is very slippery. What should be considered when throwing?")</f>
        <v>The weather is hot and the track is very slippery. What should be considered when throwing?</v>
      </c>
      <c r="C40" s="7" t="s">
        <v>1227</v>
      </c>
      <c r="D40" s="7" t="str">
        <f>IFERROR(__xludf.DUMMYFUNCTION("GOOGLETRANSLATE(J40, ""de"", ""en"")"),"Use a controlled, slow throw.")</f>
        <v>Use a controlled, slow throw.</v>
      </c>
      <c r="E40" s="7" t="str">
        <f>IFERROR(__xludf.DUMMYFUNCTION("GOOGLETRANSLATE(K40, ""de"", ""en"")"),"A slow, controlled throw helps to maintain grip and avoid slipping on a slippery surface.")</f>
        <v>A slow, controlled throw helps to maintain grip and avoid slipping on a slippery surface.</v>
      </c>
      <c r="G40" s="8">
        <v>39.0</v>
      </c>
      <c r="H40" s="7" t="s">
        <v>1228</v>
      </c>
      <c r="I40" s="9" t="s">
        <v>1229</v>
      </c>
      <c r="J40" s="7" t="s">
        <v>1230</v>
      </c>
      <c r="K40" s="7" t="s">
        <v>1231</v>
      </c>
    </row>
    <row r="41" ht="22.5" customHeight="1">
      <c r="A41" s="7" t="str">
        <f>IFERROR(__xludf.DUMMYFUNCTION("GOOGLETRANSLATE(G41, ""de"", ""en"")"),"40")</f>
        <v>40</v>
      </c>
      <c r="B41" s="7" t="str">
        <f>IFERROR(__xludf.DUMMYFUNCTION("GOOGLETRANSLATE(H41, ""de"", ""en"")"),"They are about to throw, and there is a slight slope on the track. What is the best strategy?")</f>
        <v>They are about to throw, and there is a slight slope on the track. What is the best strategy?</v>
      </c>
      <c r="C41" s="7" t="s">
        <v>1232</v>
      </c>
      <c r="D41" s="7" t="str">
        <f>IFERROR(__xludf.DUMMYFUNCTION("GOOGLETRANSLATE(J41, ""de"", ""en"")"),"Use extra strength to overcome the incline.")</f>
        <v>Use extra strength to overcome the incline.</v>
      </c>
      <c r="E41" s="7" t="str">
        <f>IFERROR(__xludf.DUMMYFUNCTION("GOOGLETRANSLATE(K41, ""de"", ""en"")"),"The additional force helps the ball maintain its speed uphill.")</f>
        <v>The additional force helps the ball maintain its speed uphill.</v>
      </c>
      <c r="G41" s="8">
        <v>40.0</v>
      </c>
      <c r="H41" s="7" t="s">
        <v>1233</v>
      </c>
      <c r="I41" s="9" t="s">
        <v>1234</v>
      </c>
      <c r="J41" s="7" t="s">
        <v>1235</v>
      </c>
      <c r="K41" s="7" t="s">
        <v>1236</v>
      </c>
    </row>
    <row r="42" ht="22.5" customHeight="1">
      <c r="A42" s="7" t="str">
        <f>IFERROR(__xludf.DUMMYFUNCTION("GOOGLETRANSLATE(G42, ""de"", ""en"")"),"41")</f>
        <v>41</v>
      </c>
      <c r="B42" s="7" t="str">
        <f>IFERROR(__xludf.DUMMYFUNCTION("GOOGLETRANSLATE(H42, ""de"", ""en"")"),"The ball is rolling into a sandpit. What is your best course of action?")</f>
        <v>The ball is rolling into a sandpit. What is your best course of action?</v>
      </c>
      <c r="C42" s="7" t="s">
        <v>1237</v>
      </c>
      <c r="D42" s="7" t="str">
        <f>IFERROR(__xludf.DUMMYFUNCTION("GOOGLETRANSLATE(J42, ""de"", ""en"")"),"Throw it in such a way that it is avoided.")</f>
        <v>Throw it in such a way that it is avoided.</v>
      </c>
      <c r="E42" s="7" t="str">
        <f>IFERROR(__xludf.DUMMYFUNCTION("GOOGLETRANSLATE(K42, ""de"", ""en"")"),"If you avoid the sandbox, your ball will stay in play and won't lose speed.")</f>
        <v>If you avoid the sandbox, your ball will stay in play and won't lose speed.</v>
      </c>
      <c r="G42" s="8">
        <v>41.0</v>
      </c>
      <c r="H42" s="7" t="s">
        <v>1238</v>
      </c>
      <c r="I42" s="9" t="s">
        <v>1239</v>
      </c>
      <c r="J42" s="7" t="s">
        <v>1240</v>
      </c>
      <c r="K42" s="7" t="s">
        <v>1241</v>
      </c>
    </row>
    <row r="43" ht="22.5" customHeight="1">
      <c r="A43" s="7" t="str">
        <f>IFERROR(__xludf.DUMMYFUNCTION("GOOGLETRANSLATE(G43, ""de"", ""en"")"),"42")</f>
        <v>42</v>
      </c>
      <c r="B43" s="7" t="str">
        <f>IFERROR(__xludf.DUMMYFUNCTION("GOOGLETRANSLATE(H43, ""de"", ""en"")"),"You realize the opposing team is waiting for you to make a mistake. How should you proceed with your next move?")</f>
        <v>You realize the opposing team is waiting for you to make a mistake. How should you proceed with your next move?</v>
      </c>
      <c r="C43" s="7" t="s">
        <v>1242</v>
      </c>
      <c r="D43" s="7" t="str">
        <f>IFERROR(__xludf.DUMMYFUNCTION("GOOGLETRANSLATE(J43, ""de"", ""en"")"),"Play conservatively and precisely")</f>
        <v>Play conservatively and precisely</v>
      </c>
      <c r="E43" s="7" t="str">
        <f>IFERROR(__xludf.DUMMYFUNCTION("GOOGLETRANSLATE(K43, ""de"", ""en"")"),"Conservative play minimizes mistakes and helps maintain control.")</f>
        <v>Conservative play minimizes mistakes and helps maintain control.</v>
      </c>
      <c r="G43" s="8">
        <v>42.0</v>
      </c>
      <c r="H43" s="7" t="s">
        <v>1243</v>
      </c>
      <c r="I43" s="9" t="s">
        <v>1244</v>
      </c>
      <c r="J43" s="7" t="s">
        <v>1245</v>
      </c>
      <c r="K43" s="7" t="s">
        <v>1246</v>
      </c>
    </row>
    <row r="44" ht="22.5" customHeight="1">
      <c r="A44" s="7" t="str">
        <f>IFERROR(__xludf.DUMMYFUNCTION("GOOGLETRANSLATE(G44, ""de"", ""en"")"),"43")</f>
        <v>43</v>
      </c>
      <c r="B44" s="7" t="str">
        <f>IFERROR(__xludf.DUMMYFUNCTION("GOOGLETRANSLATE(H44, ""de"", ""en"")"),"It's a very narrow stretch with some sharp bends. What's the best throwing technique?")</f>
        <v>It's a very narrow stretch with some sharp bends. What's the best throwing technique?</v>
      </c>
      <c r="C44" s="7" t="s">
        <v>1247</v>
      </c>
      <c r="D44" s="7" t="str">
        <f>IFERROR(__xludf.DUMMYFUNCTION("GOOGLETRANSLATE(J44, ""de"", ""en"")"),"For precision, use a curved throw.")</f>
        <v>For precision, use a curved throw.</v>
      </c>
      <c r="E44" s="7" t="str">
        <f>IFERROR(__xludf.DUMMYFUNCTION("GOOGLETRANSLATE(K44, ""de"", ""en"")"),"Curved throws help with navigation on narrow stretches with tight curves.")</f>
        <v>Curved throws help with navigation on narrow stretches with tight curves.</v>
      </c>
      <c r="G44" s="8">
        <v>43.0</v>
      </c>
      <c r="H44" s="7" t="s">
        <v>1248</v>
      </c>
      <c r="I44" s="9" t="s">
        <v>1249</v>
      </c>
      <c r="J44" s="7" t="s">
        <v>1250</v>
      </c>
      <c r="K44" s="7" t="s">
        <v>1251</v>
      </c>
    </row>
    <row r="45" ht="22.5" customHeight="1">
      <c r="A45" s="7" t="str">
        <f>IFERROR(__xludf.DUMMYFUNCTION("GOOGLETRANSLATE(G45, ""de"", ""en"")"),"44")</f>
        <v>44</v>
      </c>
      <c r="B45" s="7" t="str">
        <f>IFERROR(__xludf.DUMMYFUNCTION("GOOGLETRANSLATE(H45, ""de"", ""en"")"),"Your ball is rolling towards a steep hill. How do you prepare?")</f>
        <v>Your ball is rolling towards a steep hill. How do you prepare?</v>
      </c>
      <c r="C45" s="7" t="s">
        <v>1252</v>
      </c>
      <c r="D45" s="7" t="str">
        <f>IFERROR(__xludf.DUMMYFUNCTION("GOOGLETRANSLATE(J45, ""de"", ""en"")"),"Throw a low, controlled shot.")</f>
        <v>Throw a low, controlled shot.</v>
      </c>
      <c r="E45" s="7" t="str">
        <f>IFERROR(__xludf.DUMMYFUNCTION("GOOGLETRANSLATE(K45, ""de"", ""en"")"),"A low, controlled throw ensures that the ball rolls smoothly without gaining too much speed on the slope.")</f>
        <v>A low, controlled throw ensures that the ball rolls smoothly without gaining too much speed on the slope.</v>
      </c>
      <c r="G45" s="8">
        <v>44.0</v>
      </c>
      <c r="H45" s="7" t="s">
        <v>1253</v>
      </c>
      <c r="I45" s="9" t="s">
        <v>1254</v>
      </c>
      <c r="J45" s="7" t="s">
        <v>1255</v>
      </c>
      <c r="K45" s="7" t="s">
        <v>1256</v>
      </c>
    </row>
    <row r="46" ht="22.5" customHeight="1">
      <c r="A46" s="7" t="str">
        <f>IFERROR(__xludf.DUMMYFUNCTION("GOOGLETRANSLATE(G46, ""de"", ""en"")"),"45")</f>
        <v>45</v>
      </c>
      <c r="B46" s="7" t="str">
        <f>IFERROR(__xludf.DUMMYFUNCTION("GOOGLETRANSLATE(H46, ""de"", ""en"")"),"You're almost there, but there's an obstacle in front of you. What do you do?")</f>
        <v>You're almost there, but there's an obstacle in front of you. What do you do?</v>
      </c>
      <c r="C46" s="7" t="s">
        <v>1257</v>
      </c>
      <c r="D46" s="7" t="str">
        <f>IFERROR(__xludf.DUMMYFUNCTION("GOOGLETRANSLATE(J46, ""de"", ""en"")"),"Aim for a side shot to avoid it.")</f>
        <v>Aim for a side shot to avoid it.</v>
      </c>
      <c r="E46" s="7" t="str">
        <f>IFERROR(__xludf.DUMMYFUNCTION("GOOGLETRANSLATE(K46, ""de"", ""en"")"),"A side shot can help to avoid obstacles and keep the ball on course.")</f>
        <v>A side shot can help to avoid obstacles and keep the ball on course.</v>
      </c>
      <c r="G46" s="8">
        <v>45.0</v>
      </c>
      <c r="H46" s="7" t="s">
        <v>1258</v>
      </c>
      <c r="I46" s="9" t="s">
        <v>1259</v>
      </c>
      <c r="J46" s="7" t="s">
        <v>1260</v>
      </c>
      <c r="K46" s="7" t="s">
        <v>1261</v>
      </c>
    </row>
    <row r="47" ht="22.5" customHeight="1">
      <c r="A47" s="7" t="str">
        <f>IFERROR(__xludf.DUMMYFUNCTION("GOOGLETRANSLATE(G47, ""de"", ""en"")"),"46")</f>
        <v>46</v>
      </c>
      <c r="B47" s="7" t="str">
        <f>IFERROR(__xludf.DUMMYFUNCTION("GOOGLETRANSLATE(H47, ""de"", ""en"")"),"The wind unexpectedly changes direction. What should you focus on for your next throw?")</f>
        <v>The wind unexpectedly changes direction. What should you focus on for your next throw?</v>
      </c>
      <c r="C47" s="7" t="s">
        <v>1262</v>
      </c>
      <c r="D47" s="7" t="str">
        <f>IFERROR(__xludf.DUMMYFUNCTION("GOOGLETRANSLATE(J47, ""de"", ""en"")"),"Adjust your angle to counteract the wind.")</f>
        <v>Adjust your angle to counteract the wind.</v>
      </c>
      <c r="E47" s="7" t="str">
        <f>IFERROR(__xludf.DUMMYFUNCTION("GOOGLETRANSLATE(K47, ""de"", ""en"")"),"Adjusting your angle helps to counteract the influence of the wind and keep the ball on course.")</f>
        <v>Adjusting your angle helps to counteract the influence of the wind and keep the ball on course.</v>
      </c>
      <c r="G47" s="8">
        <v>46.0</v>
      </c>
      <c r="H47" s="7" t="s">
        <v>1263</v>
      </c>
      <c r="I47" s="9" t="s">
        <v>1264</v>
      </c>
      <c r="J47" s="7" t="s">
        <v>1265</v>
      </c>
      <c r="K47" s="7" t="s">
        <v>1266</v>
      </c>
    </row>
    <row r="48" ht="22.5" customHeight="1">
      <c r="A48" s="7" t="str">
        <f>IFERROR(__xludf.DUMMYFUNCTION("GOOGLETRANSLATE(G48, ""de"", ""en"")"),"47")</f>
        <v>47</v>
      </c>
      <c r="B48" s="7" t="str">
        <f>IFERROR(__xludf.DUMMYFUNCTION("GOOGLETRANSLATE(H48, ""de"", ""en"")"),"Your ball has rolled from the main lane into the grass. What is the best approach?")</f>
        <v>Your ball has rolled from the main lane into the grass. What is the best approach?</v>
      </c>
      <c r="C48" s="7" t="s">
        <v>1267</v>
      </c>
      <c r="D48" s="7" t="str">
        <f>IFERROR(__xludf.DUMMYFUNCTION("GOOGLETRANSLATE(J48, ""de"", ""en"")"),"Adapt your technique to the terrain.")</f>
        <v>Adapt your technique to the terrain.</v>
      </c>
      <c r="E48" s="7" t="str">
        <f>IFERROR(__xludf.DUMMYFUNCTION("GOOGLETRANSLATE(K48, ""de"", ""en"")"),"By adapting to the terrain, you can win the ball back without losing control.")</f>
        <v>By adapting to the terrain, you can win the ball back without losing control.</v>
      </c>
      <c r="G48" s="8">
        <v>47.0</v>
      </c>
      <c r="H48" s="7" t="s">
        <v>1268</v>
      </c>
      <c r="I48" s="9" t="s">
        <v>1269</v>
      </c>
      <c r="J48" s="7" t="s">
        <v>1270</v>
      </c>
      <c r="K48" s="7" t="s">
        <v>1271</v>
      </c>
    </row>
    <row r="49" ht="22.5" customHeight="1">
      <c r="A49" s="7" t="str">
        <f>IFERROR(__xludf.DUMMYFUNCTION("GOOGLETRANSLATE(G49, ""de"", ""en"")"),"48")</f>
        <v>48</v>
      </c>
      <c r="B49" s="7" t="str">
        <f>IFERROR(__xludf.DUMMYFUNCTION("GOOGLETRANSLATE(H49, ""de"", ""en"")"),"Your team is behind and the finish line is near. How do you ensure a successful outcome?")</f>
        <v>Your team is behind and the finish line is near. How do you ensure a successful outcome?</v>
      </c>
      <c r="C49" s="7" t="s">
        <v>1272</v>
      </c>
      <c r="D49" s="7" t="str">
        <f>IFERROR(__xludf.DUMMYFUNCTION("GOOGLETRANSLATE(J49, ""de"", ""en"")"),"Focus on accuracy and placement")</f>
        <v>Focus on accuracy and placement</v>
      </c>
      <c r="E49" s="7" t="str">
        <f>IFERROR(__xludf.DUMMYFUNCTION("GOOGLETRANSLATE(K49, ""de"", ""en"")"),"Accuracy and placement are key to ensuring your ball effectively reaches its target.")</f>
        <v>Accuracy and placement are key to ensuring your ball effectively reaches its target.</v>
      </c>
      <c r="G49" s="8">
        <v>48.0</v>
      </c>
      <c r="H49" s="7" t="s">
        <v>1273</v>
      </c>
      <c r="I49" s="9" t="s">
        <v>1274</v>
      </c>
      <c r="J49" s="7" t="s">
        <v>1275</v>
      </c>
      <c r="K49" s="7" t="s">
        <v>1276</v>
      </c>
    </row>
    <row r="50" ht="22.5" customHeight="1">
      <c r="A50" s="7" t="str">
        <f>IFERROR(__xludf.DUMMYFUNCTION("GOOGLETRANSLATE(G50, ""de"", ""en"")"),"49")</f>
        <v>49</v>
      </c>
      <c r="B50" s="7" t="str">
        <f>IFERROR(__xludf.DUMMYFUNCTION("GOOGLETRANSLATE(H50, ""de"", ""en"")"),"Your ball is approaching a steep slope. What is your best strategy?")</f>
        <v>Your ball is approaching a steep slope. What is your best strategy?</v>
      </c>
      <c r="C50" s="7" t="s">
        <v>1277</v>
      </c>
      <c r="D50" s="7" t="str">
        <f>IFERROR(__xludf.DUMMYFUNCTION("GOOGLETRANSLATE(J50, ""de"", ""en"")"),"Use a curved throw to control the speed.")</f>
        <v>Use a curved throw to control the speed.</v>
      </c>
      <c r="E50" s="7" t="str">
        <f>IFERROR(__xludf.DUMMYFUNCTION("GOOGLETRANSLATE(K50, ""de"", ""en"")"),"A curved throw reduces the risk of overshooting on downhill slopes.")</f>
        <v>A curved throw reduces the risk of overshooting on downhill slopes.</v>
      </c>
      <c r="G50" s="8">
        <v>49.0</v>
      </c>
      <c r="H50" s="7" t="s">
        <v>1278</v>
      </c>
      <c r="I50" s="9" t="s">
        <v>1279</v>
      </c>
      <c r="J50" s="7" t="s">
        <v>1280</v>
      </c>
      <c r="K50" s="7" t="s">
        <v>1281</v>
      </c>
    </row>
    <row r="51" ht="22.5" customHeight="1">
      <c r="A51" s="7" t="str">
        <f>IFERROR(__xludf.DUMMYFUNCTION("GOOGLETRANSLATE(G51, ""de"", ""en"")"),"50")</f>
        <v>50</v>
      </c>
      <c r="B51" s="7" t="str">
        <f>IFERROR(__xludf.DUMMYFUNCTION("GOOGLETRANSLATE(H51, ""de"", ""en"")"),"You have taken the lead, but obstacles lie ahead. How will you deal with the situation?")</f>
        <v>You have taken the lead, but obstacles lie ahead. How will you deal with the situation?</v>
      </c>
      <c r="C51" s="7" t="s">
        <v>1282</v>
      </c>
      <c r="D51" s="7" t="str">
        <f>IFERROR(__xludf.DUMMYFUNCTION("GOOGLETRANSLATE(J51, ""de"", ""en"")"),"Focus on precise and safe throws.")</f>
        <v>Focus on precise and safe throws.</v>
      </c>
      <c r="E51" s="7" t="str">
        <f>IFERROR(__xludf.DUMMYFUNCTION("GOOGLETRANSLATE(K51, ""de"", ""en"")"),"Safe, precise throws reduce the risk of errors and maintain control.")</f>
        <v>Safe, precise throws reduce the risk of errors and maintain control.</v>
      </c>
      <c r="G51" s="8">
        <v>50.0</v>
      </c>
      <c r="H51" s="7" t="s">
        <v>1283</v>
      </c>
      <c r="I51" s="9" t="s">
        <v>1284</v>
      </c>
      <c r="J51" s="7" t="s">
        <v>1285</v>
      </c>
      <c r="K51" s="7" t="s">
        <v>1286</v>
      </c>
    </row>
    <row r="52" ht="22.5" customHeight="1">
      <c r="A52" s="7" t="str">
        <f>IFERROR(__xludf.DUMMYFUNCTION("GOOGLETRANSLATE(G52, ""de"", ""en"")"),"51")</f>
        <v>51</v>
      </c>
      <c r="B52" s="7" t="str">
        <f>IFERROR(__xludf.DUMMYFUNCTION("GOOGLETRANSLATE(H52, ""de"", ""en"")"),"A sharp bend lies ahead, and you need to make up the lost distance. What should you focus on?")</f>
        <v>A sharp bend lies ahead, and you need to make up the lost distance. What should you focus on?</v>
      </c>
      <c r="C52" s="7" t="s">
        <v>1287</v>
      </c>
      <c r="D52" s="7" t="str">
        <f>IFERROR(__xludf.DUMMYFUNCTION("GOOGLETRANSLATE(J52, ""de"", ""en"")"),"The goal is the inside of the curve.")</f>
        <v>The goal is the inside of the curve.</v>
      </c>
      <c r="E52" s="7" t="str">
        <f>IFERROR(__xludf.DUMMYFUNCTION("GOOGLETRANSLATE(K52, ""de"", ""en"")"),"By aiming inwards, you can make up for lost distance and effectively handle sharp turns.")</f>
        <v>By aiming inwards, you can make up for lost distance and effectively handle sharp turns.</v>
      </c>
      <c r="G52" s="8">
        <v>51.0</v>
      </c>
      <c r="H52" s="7" t="s">
        <v>1288</v>
      </c>
      <c r="I52" s="9" t="s">
        <v>1289</v>
      </c>
      <c r="J52" s="7" t="s">
        <v>1290</v>
      </c>
      <c r="K52" s="7" t="s">
        <v>1291</v>
      </c>
    </row>
    <row r="53" ht="22.5" customHeight="1">
      <c r="A53" s="7" t="str">
        <f>IFERROR(__xludf.DUMMYFUNCTION("GOOGLETRANSLATE(G53, ""de"", ""en"")"),"52")</f>
        <v>52</v>
      </c>
      <c r="B53" s="7" t="str">
        <f>IFERROR(__xludf.DUMMYFUNCTION("GOOGLETRANSLATE(H53, ""de"", ""en"")"),"Your opponent throws with great force, but the ball goes off course. What should you learn from this?")</f>
        <v>Your opponent throws with great force, but the ball goes off course. What should you learn from this?</v>
      </c>
      <c r="C53" s="7" t="s">
        <v>1292</v>
      </c>
      <c r="D53" s="7" t="str">
        <f>IFERROR(__xludf.DUMMYFUNCTION("GOOGLETRANSLATE(J53, ""de"", ""en"")"),"Focus on accurate throwing.")</f>
        <v>Focus on accurate throwing.</v>
      </c>
      <c r="E53" s="7" t="str">
        <f>IFERROR(__xludf.DUMMYFUNCTION("GOOGLETRANSLATE(K53, ""de"", ""en"")"),"Precision helps to avoid the risk of going off course and losing control of the ball.")</f>
        <v>Precision helps to avoid the risk of going off course and losing control of the ball.</v>
      </c>
      <c r="G53" s="8">
        <v>52.0</v>
      </c>
      <c r="H53" s="7" t="s">
        <v>1293</v>
      </c>
      <c r="I53" s="9" t="s">
        <v>1294</v>
      </c>
      <c r="J53" s="7" t="s">
        <v>1295</v>
      </c>
      <c r="K53" s="7" t="s">
        <v>1296</v>
      </c>
    </row>
    <row r="54" ht="22.5" customHeight="1">
      <c r="A54" s="7" t="str">
        <f>IFERROR(__xludf.DUMMYFUNCTION("GOOGLETRANSLATE(G54, ""de"", ""en"")"),"53")</f>
        <v>53</v>
      </c>
      <c r="B54" s="7" t="str">
        <f>IFERROR(__xludf.DUMMYFUNCTION("GOOGLETRANSLATE(H54, ""de"", ""en"")"),"You are at a crucial moment in the game and approaching a tricky section of the track. What should you do?")</f>
        <v>You are at a crucial moment in the game and approaching a tricky section of the track. What should you do?</v>
      </c>
      <c r="C54" s="7" t="s">
        <v>1297</v>
      </c>
      <c r="D54" s="7" t="str">
        <f>IFERROR(__xludf.DUMMYFUNCTION("GOOGLETRANSLATE(J54, ""de"", ""en"")"),"Use a calculated, controlled throw.")</f>
        <v>Use a calculated, controlled throw.</v>
      </c>
      <c r="E54" s="7" t="str">
        <f>IFERROR(__xludf.DUMMYFUNCTION("GOOGLETRANSLATE(K54, ""de"", ""en"")"),"A controlled throw ensures accuracy and keeps you on the right track in difficult sections.")</f>
        <v>A controlled throw ensures accuracy and keeps you on the right track in difficult sections.</v>
      </c>
      <c r="G54" s="8">
        <v>53.0</v>
      </c>
      <c r="H54" s="7" t="s">
        <v>1298</v>
      </c>
      <c r="I54" s="9" t="s">
        <v>1299</v>
      </c>
      <c r="J54" s="7" t="s">
        <v>1300</v>
      </c>
      <c r="K54" s="7" t="s">
        <v>1301</v>
      </c>
    </row>
    <row r="55" ht="22.5" customHeight="1">
      <c r="A55" s="7" t="str">
        <f>IFERROR(__xludf.DUMMYFUNCTION("GOOGLETRANSLATE(G55, ""de"", ""en"")"),"54")</f>
        <v>54</v>
      </c>
      <c r="B55" s="7" t="str">
        <f>IFERROR(__xludf.DUMMYFUNCTION("GOOGLETRANSLATE(H55, ""de"", ""en"")"),"Your ball is approaching a sharp bend and you need to slow down. How do you handle the situation?")</f>
        <v>Your ball is approaching a sharp bend and you need to slow down. How do you handle the situation?</v>
      </c>
      <c r="C55" s="7" t="s">
        <v>1302</v>
      </c>
      <c r="D55" s="7" t="str">
        <f>IFERROR(__xludf.DUMMYFUNCTION("GOOGLETRANSLATE(J55, ""de"", ""en"")"),"Aim for the inside of the curve")</f>
        <v>Aim for the inside of the curve</v>
      </c>
      <c r="E55" s="7" t="str">
        <f>IFERROR(__xludf.DUMMYFUNCTION("GOOGLETRANSLATE(K55, ""de"", ""en"")"),"Aiming inwards reduces the likelihood of overshooting the curve.")</f>
        <v>Aiming inwards reduces the likelihood of overshooting the curve.</v>
      </c>
      <c r="G55" s="8">
        <v>54.0</v>
      </c>
      <c r="H55" s="7" t="s">
        <v>1303</v>
      </c>
      <c r="I55" s="9" t="s">
        <v>1304</v>
      </c>
      <c r="J55" s="7" t="s">
        <v>1176</v>
      </c>
      <c r="K55" s="7" t="s">
        <v>1305</v>
      </c>
    </row>
    <row r="56" ht="22.5" customHeight="1">
      <c r="A56" s="7" t="str">
        <f>IFERROR(__xludf.DUMMYFUNCTION("GOOGLETRANSLATE(G56, ""de"", ""en"")"),"55")</f>
        <v>55</v>
      </c>
      <c r="B56" s="7" t="str">
        <f>IFERROR(__xludf.DUMMYFUNCTION("GOOGLETRANSLATE(H56, ""de"", ""en"")"),"The track is winding and has several bends. What's your best strategy to maintain control?")</f>
        <v>The track is winding and has several bends. What's your best strategy to maintain control?</v>
      </c>
      <c r="C56" s="7" t="s">
        <v>1306</v>
      </c>
      <c r="D56" s="7" t="str">
        <f>IFERROR(__xludf.DUMMYFUNCTION("GOOGLETRANSLATE(J56, ""de"", ""en"")"),"Use curved throws for each bend.")</f>
        <v>Use curved throws for each bend.</v>
      </c>
      <c r="E56" s="7" t="str">
        <f>IFERROR(__xludf.DUMMYFUNCTION("GOOGLETRANSLATE(K56, ""de"", ""en"")"),"Curved throws help to maintain control on winding tracks.")</f>
        <v>Curved throws help to maintain control on winding tracks.</v>
      </c>
      <c r="G56" s="8">
        <v>55.0</v>
      </c>
      <c r="H56" s="7" t="s">
        <v>1307</v>
      </c>
      <c r="I56" s="9" t="s">
        <v>1308</v>
      </c>
      <c r="J56" s="7" t="s">
        <v>1309</v>
      </c>
      <c r="K56" s="7" t="s">
        <v>1310</v>
      </c>
    </row>
    <row r="57" ht="22.5" customHeight="1">
      <c r="A57" s="7" t="str">
        <f>IFERROR(__xludf.DUMMYFUNCTION("GOOGLETRANSLATE(G57, ""de"", ""en"")"),"56")</f>
        <v>56</v>
      </c>
      <c r="B57" s="7" t="str">
        <f>IFERROR(__xludf.DUMMYFUNCTION("GOOGLETRANSLATE(H57, ""de"", ""en"")"),"The wind is blowing against you, slowing your ball down. What should you do?")</f>
        <v>The wind is blowing against you, slowing your ball down. What should you do?</v>
      </c>
      <c r="C57" s="7" t="s">
        <v>1311</v>
      </c>
      <c r="D57" s="7" t="str">
        <f>IFERROR(__xludf.DUMMYFUNCTION("GOOGLETRANSLATE(J57, ""de"", ""en"")"),"Use a more controlled, angled throw.")</f>
        <v>Use a more controlled, angled throw.</v>
      </c>
      <c r="E57" s="7" t="str">
        <f>IFERROR(__xludf.DUMMYFUNCTION("GOOGLETRANSLATE(K57, ""de"", ""en"")"),"A controlled, angled throw helps to counteract the resistance of the wind.")</f>
        <v>A controlled, angled throw helps to counteract the resistance of the wind.</v>
      </c>
      <c r="G57" s="8">
        <v>56.0</v>
      </c>
      <c r="H57" s="7" t="s">
        <v>1312</v>
      </c>
      <c r="I57" s="9" t="s">
        <v>1313</v>
      </c>
      <c r="J57" s="7" t="s">
        <v>1314</v>
      </c>
      <c r="K57" s="7" t="s">
        <v>1315</v>
      </c>
    </row>
    <row r="58" ht="22.5" customHeight="1">
      <c r="A58" s="7" t="str">
        <f>IFERROR(__xludf.DUMMYFUNCTION("GOOGLETRANSLATE(G58, ""de"", ""en"")"),"57")</f>
        <v>57</v>
      </c>
      <c r="B58" s="7" t="str">
        <f>IFERROR(__xludf.DUMMYFUNCTION("GOOGLETRANSLATE(H58, ""de"", ""en"")"),"Your ball is flying towards an obstacle on the course. What is the best way to avoid this?")</f>
        <v>Your ball is flying towards an obstacle on the course. What is the best way to avoid this?</v>
      </c>
      <c r="C58" s="7" t="s">
        <v>1316</v>
      </c>
      <c r="D58" s="7" t="str">
        <f>IFERROR(__xludf.DUMMYFUNCTION("GOOGLETRANSLATE(J58, ""de"", ""en"")"),"Use a curved throw to get around it.")</f>
        <v>Use a curved throw to get around it.</v>
      </c>
      <c r="E58" s="7" t="str">
        <f>IFERROR(__xludf.DUMMYFUNCTION("GOOGLETRANSLATE(K58, ""de"", ""en"")"),"A curved throw allows you to effectively avoid obstacles.")</f>
        <v>A curved throw allows you to effectively avoid obstacles.</v>
      </c>
      <c r="G58" s="8">
        <v>57.0</v>
      </c>
      <c r="H58" s="7" t="s">
        <v>1317</v>
      </c>
      <c r="I58" s="9" t="s">
        <v>1318</v>
      </c>
      <c r="J58" s="7" t="s">
        <v>1319</v>
      </c>
      <c r="K58" s="7" t="s">
        <v>1320</v>
      </c>
    </row>
    <row r="59" ht="22.5" customHeight="1">
      <c r="A59" s="7" t="str">
        <f>IFERROR(__xludf.DUMMYFUNCTION("GOOGLETRANSLATE(G59, ""de"", ""en"")"),"58")</f>
        <v>58</v>
      </c>
      <c r="B59" s="7" t="str">
        <f>IFERROR(__xludf.DUMMYFUNCTION("GOOGLETRANSLATE(H59, ""de"", ""en"")"),"You're behind in the race and have a long, straight road ahead. How do you maximize your chances?")</f>
        <v>You're behind in the race and have a long, straight road ahead. How do you maximize your chances?</v>
      </c>
      <c r="C59" s="7" t="s">
        <v>1321</v>
      </c>
      <c r="D59" s="7" t="str">
        <f>IFERROR(__xludf.DUMMYFUNCTION("GOOGLETRANSLATE(J59, ""de"", ""en"")"),"Use a low, controlled throw.")</f>
        <v>Use a low, controlled throw.</v>
      </c>
      <c r="E59" s="7" t="str">
        <f>IFERROR(__xludf.DUMMYFUNCTION("GOOGLETRANSLATE(K59, ""de"", ""en"")"),"A low, controlled throw minimizes errors and maintains speed.")</f>
        <v>A low, controlled throw minimizes errors and maintains speed.</v>
      </c>
      <c r="G59" s="8">
        <v>58.0</v>
      </c>
      <c r="H59" s="7" t="s">
        <v>1322</v>
      </c>
      <c r="I59" s="9" t="s">
        <v>1323</v>
      </c>
      <c r="J59" s="7" t="s">
        <v>1324</v>
      </c>
      <c r="K59" s="7" t="s">
        <v>1325</v>
      </c>
    </row>
    <row r="60" ht="22.5" customHeight="1">
      <c r="A60" s="7" t="str">
        <f>IFERROR(__xludf.DUMMYFUNCTION("GOOGLETRANSLATE(G60, ""de"", ""en"")"),"59")</f>
        <v>59</v>
      </c>
      <c r="B60" s="7" t="str">
        <f>IFERROR(__xludf.DUMMYFUNCTION("GOOGLETRANSLATE(H60, ""de"", ""en"")"),"The track is uneven and has small bumps. How do you set up your throw?")</f>
        <v>The track is uneven and has small bumps. How do you set up your throw?</v>
      </c>
      <c r="C60" s="7" t="s">
        <v>1326</v>
      </c>
      <c r="D60" s="7" t="str">
        <f>IFERROR(__xludf.DUMMYFUNCTION("GOOGLETRANSLATE(J60, ""de"", ""en"")"),"Use a gentle and controlled throw.")</f>
        <v>Use a gentle and controlled throw.</v>
      </c>
      <c r="E60" s="7" t="str">
        <f>IFERROR(__xludf.DUMMYFUNCTION("GOOGLETRANSLATE(K60, ""de"", ""en"")"),"A smooth, controlled throw helps to maintain the stability of the ball on uneven surfaces.")</f>
        <v>A smooth, controlled throw helps to maintain the stability of the ball on uneven surfaces.</v>
      </c>
      <c r="G60" s="8">
        <v>59.0</v>
      </c>
      <c r="H60" s="7" t="s">
        <v>1327</v>
      </c>
      <c r="I60" s="9" t="s">
        <v>1328</v>
      </c>
      <c r="J60" s="7" t="s">
        <v>1329</v>
      </c>
      <c r="K60" s="7" t="s">
        <v>1330</v>
      </c>
    </row>
    <row r="61" ht="22.5" customHeight="1">
      <c r="A61" s="7" t="str">
        <f>IFERROR(__xludf.DUMMYFUNCTION("GOOGLETRANSLATE(G61, ""de"", ""en"")"),"60")</f>
        <v>60</v>
      </c>
      <c r="B61" s="7" t="str">
        <f>IFERROR(__xludf.DUMMYFUNCTION("GOOGLETRANSLATE(H61, ""de"", ""en"")"),"The track slopes downhill and your ball is picking up speed too quickly. What's the best approach?")</f>
        <v>The track slopes downhill and your ball is picking up speed too quickly. What's the best approach?</v>
      </c>
      <c r="C61" s="7" t="s">
        <v>1331</v>
      </c>
      <c r="D61" s="7" t="str">
        <f>IFERROR(__xludf.DUMMYFUNCTION("GOOGLETRANSLATE(J61, ""de"", ""en"")"),"Slow down your throw and aim carefully.")</f>
        <v>Slow down your throw and aim carefully.</v>
      </c>
      <c r="E61" s="7" t="str">
        <f>IFERROR(__xludf.DUMMYFUNCTION("GOOGLETRANSLATE(K61, ""de"", ""en"")"),"The slowdown provides better control when the ball gains speed going downhill.")</f>
        <v>The slowdown provides better control when the ball gains speed going downhill.</v>
      </c>
      <c r="G61" s="8">
        <v>60.0</v>
      </c>
      <c r="H61" s="7" t="s">
        <v>1332</v>
      </c>
      <c r="I61" s="9" t="s">
        <v>1333</v>
      </c>
      <c r="J61" s="7" t="s">
        <v>1334</v>
      </c>
      <c r="K61" s="7" t="s">
        <v>1335</v>
      </c>
    </row>
    <row r="62" ht="22.5" customHeight="1">
      <c r="A62" s="7" t="str">
        <f>IFERROR(__xludf.DUMMYFUNCTION("GOOGLETRANSLATE(G62, ""de"", ""en"")"),"61")</f>
        <v>61</v>
      </c>
      <c r="B62" s="7" t="str">
        <f>IFERROR(__xludf.DUMMYFUNCTION("GOOGLETRANSLATE(H62, ""de"", ""en"")"),"You are approaching a curve with very little distance between you and the boundary. How should you throw?")</f>
        <v>You are approaching a curve with very little distance between you and the boundary. How should you throw?</v>
      </c>
      <c r="C62" s="7" t="s">
        <v>1336</v>
      </c>
      <c r="D62" s="7" t="str">
        <f>IFERROR(__xludf.DUMMYFUNCTION("GOOGLETRANSLATE(J62, ""de"", ""en"")"),"Use a gentle, curved throw.")</f>
        <v>Use a gentle, curved throw.</v>
      </c>
      <c r="E62" s="7" t="str">
        <f>IFERROR(__xludf.DUMMYFUNCTION("GOOGLETRANSLATE(K62, ""de"", ""en"")"),"A curved throw reduces the risk of hitting the boundary.")</f>
        <v>A curved throw reduces the risk of hitting the boundary.</v>
      </c>
      <c r="G62" s="8">
        <v>61.0</v>
      </c>
      <c r="H62" s="7" t="s">
        <v>1337</v>
      </c>
      <c r="I62" s="9" t="s">
        <v>1338</v>
      </c>
      <c r="J62" s="7" t="s">
        <v>1339</v>
      </c>
      <c r="K62" s="7" t="s">
        <v>1340</v>
      </c>
    </row>
    <row r="63" ht="22.5" customHeight="1">
      <c r="A63" s="7" t="str">
        <f>IFERROR(__xludf.DUMMYFUNCTION("GOOGLETRANSLATE(G63, ""de"", ""en"")"),"62")</f>
        <v>62</v>
      </c>
      <c r="B63" s="7" t="str">
        <f>IFERROR(__xludf.DUMMYFUNCTION("GOOGLETRANSLATE(H63, ""de"", ""en"")"),"The track is wet after the rain and your ball is losing speed. What do you do?")</f>
        <v>The track is wet after the rain and your ball is losing speed. What do you do?</v>
      </c>
      <c r="C63" s="7" t="s">
        <v>1341</v>
      </c>
      <c r="D63" s="7" t="str">
        <f>IFERROR(__xludf.DUMMYFUNCTION("GOOGLETRANSLATE(J63, ""de"", ""en"")"),"Use a slower, more controlled throw.")</f>
        <v>Use a slower, more controlled throw.</v>
      </c>
      <c r="E63" s="7" t="str">
        <f>IFERROR(__xludf.DUMMYFUNCTION("GOOGLETRANSLATE(K63, ""de"", ""en"")"),"A slower throw helps to maintain control on wet surfaces.")</f>
        <v>A slower throw helps to maintain control on wet surfaces.</v>
      </c>
      <c r="G63" s="8">
        <v>62.0</v>
      </c>
      <c r="H63" s="7" t="s">
        <v>1342</v>
      </c>
      <c r="I63" s="9" t="s">
        <v>1343</v>
      </c>
      <c r="J63" s="7" t="s">
        <v>1086</v>
      </c>
      <c r="K63" s="7" t="s">
        <v>1344</v>
      </c>
    </row>
    <row r="64" ht="22.5" customHeight="1">
      <c r="A64" s="7" t="str">
        <f>IFERROR(__xludf.DUMMYFUNCTION("GOOGLETRANSLATE(G64, ""de"", ""en"")"),"63")</f>
        <v>63</v>
      </c>
      <c r="B64" s="7" t="str">
        <f>IFERROR(__xludf.DUMMYFUNCTION("GOOGLETRANSLATE(H64, ""de"", ""en"")"),"Your opponent is ahead and you need to catch up. What's the best strategy?")</f>
        <v>Your opponent is ahead and you need to catch up. What's the best strategy?</v>
      </c>
      <c r="C64" s="7" t="s">
        <v>1345</v>
      </c>
      <c r="D64" s="7" t="str">
        <f>IFERROR(__xludf.DUMMYFUNCTION("GOOGLETRANSLATE(J64, ""de"", ""en"")"),"Focus on accuracy and precision.")</f>
        <v>Focus on accuracy and precision.</v>
      </c>
      <c r="E64" s="7" t="str">
        <f>IFERROR(__xludf.DUMMYFUNCTION("GOOGLETRANSLATE(K64, ""de"", ""en"")"),"Accuracy is key to controlling and avoiding errors.")</f>
        <v>Accuracy is key to controlling and avoiding errors.</v>
      </c>
      <c r="G64" s="8">
        <v>63.0</v>
      </c>
      <c r="H64" s="7" t="s">
        <v>1346</v>
      </c>
      <c r="I64" s="9" t="s">
        <v>1347</v>
      </c>
      <c r="J64" s="7" t="s">
        <v>1348</v>
      </c>
      <c r="K64" s="7" t="s">
        <v>1349</v>
      </c>
    </row>
    <row r="65" ht="22.5" customHeight="1">
      <c r="A65" s="7" t="str">
        <f>IFERROR(__xludf.DUMMYFUNCTION("GOOGLETRANSLATE(G65, ""de"", ""en"")"),"64")</f>
        <v>64</v>
      </c>
      <c r="B65" s="7" t="str">
        <f>IFERROR(__xludf.DUMMYFUNCTION("GOOGLETRANSLATE(H65, ""de"", ""en"")"),"The wind is gusting from the side, and your throw is veering off course. What should you do?")</f>
        <v>The wind is gusting from the side, and your throw is veering off course. What should you do?</v>
      </c>
      <c r="C65" s="7" t="s">
        <v>1350</v>
      </c>
      <c r="D65" s="7" t="str">
        <f>IFERROR(__xludf.DUMMYFUNCTION("GOOGLETRANSLATE(J65, ""de"", ""en"")"),"Adjust your target to compensate for the wind.")</f>
        <v>Adjust your target to compensate for the wind.</v>
      </c>
      <c r="E65" s="7" t="str">
        <f>IFERROR(__xludf.DUMMYFUNCTION("GOOGLETRANSLATE(K65, ""de"", ""en"")"),"By adjusting your target, you can counteract the influence of the wind.")</f>
        <v>By adjusting your target, you can counteract the influence of the wind.</v>
      </c>
      <c r="G65" s="8">
        <v>64.0</v>
      </c>
      <c r="H65" s="7" t="s">
        <v>1351</v>
      </c>
      <c r="I65" s="9" t="s">
        <v>1352</v>
      </c>
      <c r="J65" s="7" t="s">
        <v>1353</v>
      </c>
      <c r="K65" s="7" t="s">
        <v>1354</v>
      </c>
    </row>
    <row r="66" ht="22.5" customHeight="1">
      <c r="A66" s="7" t="str">
        <f>IFERROR(__xludf.DUMMYFUNCTION("GOOGLETRANSLATE(G66, ""de"", ""en"")"),"65")</f>
        <v>65</v>
      </c>
      <c r="B66" s="7" t="str">
        <f>IFERROR(__xludf.DUMMYFUNCTION("GOOGLETRANSLATE(H66, ""de"", ""en"")"),"The ball is rolling towards a soft surface. What is the best course of action?")</f>
        <v>The ball is rolling towards a soft surface. What is the best course of action?</v>
      </c>
      <c r="C66" s="7" t="s">
        <v>1355</v>
      </c>
      <c r="D66" s="7" t="str">
        <f>IFERROR(__xludf.DUMMYFUNCTION("GOOGLETRANSLATE(J66, ""de"", ""en"")"),"Use a gentle throw to control its trajectory.")</f>
        <v>Use a gentle throw to control its trajectory.</v>
      </c>
      <c r="E66" s="7" t="str">
        <f>IFERROR(__xludf.DUMMYFUNCTION("GOOGLETRANSLATE(K66, ""de"", ""en"")"),"A gentle throw helps you maintain control on soft ground.")</f>
        <v>A gentle throw helps you maintain control on soft ground.</v>
      </c>
      <c r="G66" s="8">
        <v>65.0</v>
      </c>
      <c r="H66" s="7" t="s">
        <v>1356</v>
      </c>
      <c r="I66" s="9" t="s">
        <v>1357</v>
      </c>
      <c r="J66" s="7" t="s">
        <v>1358</v>
      </c>
      <c r="K66" s="7" t="s">
        <v>1359</v>
      </c>
    </row>
    <row r="67" ht="22.5" customHeight="1">
      <c r="A67" s="7" t="str">
        <f>IFERROR(__xludf.DUMMYFUNCTION("GOOGLETRANSLATE(G67, ""de"", ""en"")"),"66")</f>
        <v>66</v>
      </c>
      <c r="B67" s="7" t="str">
        <f>IFERROR(__xludf.DUMMYFUNCTION("GOOGLETRANSLATE(H67, ""de"", ""en"")"),"You're approaching the final stretch and your ball is going off course. How do you react?")</f>
        <v>You're approaching the final stretch and your ball is going off course. How do you react?</v>
      </c>
      <c r="C67" s="7" t="s">
        <v>1360</v>
      </c>
      <c r="D67" s="7" t="str">
        <f>IFERROR(__xludf.DUMMYFUNCTION("GOOGLETRANSLATE(J67, ""de"", ""en"")"),"Use a sweeping throw to get it back on course.")</f>
        <v>Use a sweeping throw to get it back on course.</v>
      </c>
      <c r="E67" s="7" t="str">
        <f>IFERROR(__xludf.DUMMYFUNCTION("GOOGLETRANSLATE(K67, ""de"", ""en"")"),"A curved throw helps to correct the ball's trajectory and keep it on course.")</f>
        <v>A curved throw helps to correct the ball's trajectory and keep it on course.</v>
      </c>
      <c r="G67" s="8">
        <v>66.0</v>
      </c>
      <c r="H67" s="7" t="s">
        <v>1361</v>
      </c>
      <c r="I67" s="9" t="s">
        <v>1362</v>
      </c>
      <c r="J67" s="7" t="s">
        <v>1363</v>
      </c>
      <c r="K67" s="7" t="s">
        <v>1364</v>
      </c>
    </row>
    <row r="68" ht="22.5" customHeight="1">
      <c r="A68" s="7" t="str">
        <f>IFERROR(__xludf.DUMMYFUNCTION("GOOGLETRANSLATE(G68, ""de"", ""en"")"),"67")</f>
        <v>67</v>
      </c>
      <c r="B68" s="7" t="str">
        <f>IFERROR(__xludf.DUMMYFUNCTION("GOOGLETRANSLATE(H68, ""de"", ""en"")"),"The track has a series of sharp corners ahead. What's your strategy?")</f>
        <v>The track has a series of sharp corners ahead. What's your strategy?</v>
      </c>
      <c r="C68" s="7" t="s">
        <v>1365</v>
      </c>
      <c r="D68" s="7" t="str">
        <f>IFERROR(__xludf.DUMMYFUNCTION("GOOGLETRANSLATE(J68, ""de"", ""en"")"),"Throw carefully and follow the curves.")</f>
        <v>Throw carefully and follow the curves.</v>
      </c>
      <c r="E68" s="7" t="str">
        <f>IFERROR(__xludf.DUMMYFUNCTION("GOOGLETRANSLATE(K68, ""de"", ""en"")"),"By following the curves smoothly, you maintain control and minimize the risk.")</f>
        <v>By following the curves smoothly, you maintain control and minimize the risk.</v>
      </c>
      <c r="G68" s="8">
        <v>67.0</v>
      </c>
      <c r="H68" s="7" t="s">
        <v>1366</v>
      </c>
      <c r="I68" s="9" t="s">
        <v>1367</v>
      </c>
      <c r="J68" s="7" t="s">
        <v>1368</v>
      </c>
      <c r="K68" s="7" t="s">
        <v>1369</v>
      </c>
    </row>
    <row r="69" ht="22.5" customHeight="1">
      <c r="A69" s="7" t="str">
        <f>IFERROR(__xludf.DUMMYFUNCTION("GOOGLETRANSLATE(G69, ""de"", ""en"")"),"68")</f>
        <v>68</v>
      </c>
      <c r="B69" s="7" t="str">
        <f>IFERROR(__xludf.DUMMYFUNCTION("GOOGLETRANSLATE(H69, ""de"", ""en"")"),"The game is close and you're in the final round. How do you approach your last throw?")</f>
        <v>The game is close and you're in the final round. How do you approach your last throw?</v>
      </c>
      <c r="C69" s="7" t="s">
        <v>1370</v>
      </c>
      <c r="D69" s="7" t="str">
        <f>IFERROR(__xludf.DUMMYFUNCTION("GOOGLETRANSLATE(J69, ""de"", ""en"")"),"Focus on consistency and accuracy.")</f>
        <v>Focus on consistency and accuracy.</v>
      </c>
      <c r="E69" s="7" t="str">
        <f>IFERROR(__xludf.DUMMYFUNCTION("GOOGLETRANSLATE(K69, ""de"", ""en"")"),"Consistency and accuracy are key to a good result.")</f>
        <v>Consistency and accuracy are key to a good result.</v>
      </c>
      <c r="G69" s="8">
        <v>68.0</v>
      </c>
      <c r="H69" s="7" t="s">
        <v>1371</v>
      </c>
      <c r="I69" s="9" t="s">
        <v>1372</v>
      </c>
      <c r="J69" s="7" t="s">
        <v>1373</v>
      </c>
      <c r="K69" s="7" t="s">
        <v>1374</v>
      </c>
    </row>
    <row r="70" ht="22.5" customHeight="1">
      <c r="A70" s="7" t="str">
        <f>IFERROR(__xludf.DUMMYFUNCTION("GOOGLETRANSLATE(G70, ""de"", ""en"")"),"69")</f>
        <v>69</v>
      </c>
      <c r="B70" s="7" t="str">
        <f>IFERROR(__xludf.DUMMYFUNCTION("GOOGLETRANSLATE(H70, ""de"", ""en"")"),"You're ahead in the game, but you're facing a tricky obstacle. What's your best move?")</f>
        <v>You're ahead in the game, but you're facing a tricky obstacle. What's your best move?</v>
      </c>
      <c r="C70" s="7" t="s">
        <v>1375</v>
      </c>
      <c r="D70" s="7" t="str">
        <f>IFERROR(__xludf.DUMMYFUNCTION("GOOGLETRANSLATE(J70, ""de"", ""en"")"),"Use a calculated, slow throw.")</f>
        <v>Use a calculated, slow throw.</v>
      </c>
      <c r="E70" s="7" t="str">
        <f>IFERROR(__xludf.DUMMYFUNCTION("GOOGLETRANSLATE(K70, ""de"", ""en"")"),"A calculated, slow throw allows you to maintain control while avoiding obstacles.")</f>
        <v>A calculated, slow throw allows you to maintain control while avoiding obstacles.</v>
      </c>
      <c r="G70" s="8">
        <v>69.0</v>
      </c>
      <c r="H70" s="7" t="s">
        <v>1376</v>
      </c>
      <c r="I70" s="9" t="s">
        <v>1377</v>
      </c>
      <c r="J70" s="7" t="s">
        <v>1378</v>
      </c>
      <c r="K70" s="7" t="s">
        <v>1379</v>
      </c>
    </row>
    <row r="71" ht="22.5" customHeight="1">
      <c r="A71" s="7" t="str">
        <f>IFERROR(__xludf.DUMMYFUNCTION("GOOGLETRANSLATE(G71, ""de"", ""en"")"),"70")</f>
        <v>70</v>
      </c>
      <c r="B71" s="7" t="str">
        <f>IFERROR(__xludf.DUMMYFUNCTION("GOOGLETRANSLATE(H71, ""de"", ""en"")"),"The ball is approaching a stone on the track and flying directly towards it. What should you do?")</f>
        <v>The ball is approaching a stone on the track and flying directly towards it. What should you do?</v>
      </c>
      <c r="C71" s="7" t="s">
        <v>1380</v>
      </c>
      <c r="D71" s="7" t="str">
        <f>IFERROR(__xludf.DUMMYFUNCTION("GOOGLETRANSLATE(J71, ""de"", ""en"")"),"Aim for a side shot to avoid the rock.")</f>
        <v>Aim for a side shot to avoid the rock.</v>
      </c>
      <c r="E71" s="7" t="str">
        <f>IFERROR(__xludf.DUMMYFUNCTION("GOOGLETRANSLATE(K71, ""de"", ""en"")"),"A side shot can help the ball avoid the stone without losing speed.")</f>
        <v>A side shot can help the ball avoid the stone without losing speed.</v>
      </c>
      <c r="G71" s="8">
        <v>70.0</v>
      </c>
      <c r="H71" s="7" t="s">
        <v>1381</v>
      </c>
      <c r="I71" s="9" t="s">
        <v>1382</v>
      </c>
      <c r="J71" s="7" t="s">
        <v>1383</v>
      </c>
      <c r="K71" s="7" t="s">
        <v>1384</v>
      </c>
    </row>
    <row r="72" ht="22.5" customHeight="1">
      <c r="A72" s="7" t="str">
        <f>IFERROR(__xludf.DUMMYFUNCTION("GOOGLETRANSLATE(G72, ""de"", ""en"")"),"71")</f>
        <v>71</v>
      </c>
      <c r="B72" s="7" t="str">
        <f>IFERROR(__xludf.DUMMYFUNCTION("GOOGLETRANSLATE(H72, ""de"", ""en"")"),"You need to navigate a wide curve, but your ball is rolling off course. What should you do?")</f>
        <v>You need to navigate a wide curve, but your ball is rolling off course. What should you do?</v>
      </c>
      <c r="C72" s="7" t="s">
        <v>1385</v>
      </c>
      <c r="D72" s="7" t="str">
        <f>IFERROR(__xludf.DUMMYFUNCTION("GOOGLETRANSLATE(J72, ""de"", ""en"")"),"Use a gentle, angled throw to correct the course.")</f>
        <v>Use a gentle, angled throw to correct the course.</v>
      </c>
      <c r="E72" s="7" t="str">
        <f>IFERROR(__xludf.DUMMYFUNCTION("GOOGLETRANSLATE(K72, ""de"", ""en"")"),"A gentle, angled throw corrects the ball's trajectory without overcompensating for it.")</f>
        <v>A gentle, angled throw corrects the ball's trajectory without overcompensating for it.</v>
      </c>
      <c r="G72" s="8">
        <v>71.0</v>
      </c>
      <c r="H72" s="7" t="s">
        <v>1386</v>
      </c>
      <c r="I72" s="9" t="s">
        <v>1387</v>
      </c>
      <c r="J72" s="7" t="s">
        <v>1388</v>
      </c>
      <c r="K72" s="7" t="s">
        <v>1389</v>
      </c>
    </row>
    <row r="73" ht="22.5" customHeight="1">
      <c r="A73" s="7" t="str">
        <f>IFERROR(__xludf.DUMMYFUNCTION("GOOGLETRANSLATE(G73, ""de"", ""en"")"),"72")</f>
        <v>72</v>
      </c>
      <c r="B73" s="7" t="str">
        <f>IFERROR(__xludf.DUMMYFUNCTION("GOOGLETRANSLATE(H73, ""de"", ""en"")"),"The ball is flying towards a puddle and you have to make a quick decision. What do you do?")</f>
        <v>The ball is flying towards a puddle and you have to make a quick decision. What do you do?</v>
      </c>
      <c r="C73" s="7" t="s">
        <v>1390</v>
      </c>
      <c r="D73" s="7" t="str">
        <f>IFERROR(__xludf.DUMMYFUNCTION("GOOGLETRANSLATE(J73, ""de"", ""en"")"),"Use a curved throw to get around it.")</f>
        <v>Use a curved throw to get around it.</v>
      </c>
      <c r="E73" s="7" t="str">
        <f>IFERROR(__xludf.DUMMYFUNCTION("GOOGLETRANSLATE(K73, ""de"", ""en"")"),"A curved throw helps you to effectively avoid obstacles such as puddles.")</f>
        <v>A curved throw helps you to effectively avoid obstacles such as puddles.</v>
      </c>
      <c r="G73" s="8">
        <v>72.0</v>
      </c>
      <c r="H73" s="7" t="s">
        <v>1391</v>
      </c>
      <c r="I73" s="9" t="s">
        <v>1392</v>
      </c>
      <c r="J73" s="7" t="s">
        <v>1051</v>
      </c>
      <c r="K73" s="7" t="s">
        <v>1393</v>
      </c>
    </row>
    <row r="74" ht="22.5" customHeight="1">
      <c r="A74" s="7" t="str">
        <f>IFERROR(__xludf.DUMMYFUNCTION("GOOGLETRANSLATE(G74, ""de"", ""en"")"),"73")</f>
        <v>73</v>
      </c>
      <c r="B74" s="7" t="str">
        <f>IFERROR(__xludf.DUMMYFUNCTION("GOOGLETRANSLATE(H74, ""de"", ""en"")"),"The wind is blowing towards the finish line and your ball is slowing down. What is the best strategy?")</f>
        <v>The wind is blowing towards the finish line and your ball is slowing down. What is the best strategy?</v>
      </c>
      <c r="C74" s="7" t="s">
        <v>1394</v>
      </c>
      <c r="D74" s="7" t="str">
        <f>IFERROR(__xludf.DUMMYFUNCTION("GOOGLETRANSLATE(J74, ""de"", ""en"")"),"Focus on precision and control")</f>
        <v>Focus on precision and control</v>
      </c>
      <c r="E74" s="7" t="str">
        <f>IFERROR(__xludf.DUMMYFUNCTION("GOOGLETRANSLATE(K74, ""de"", ""en"")"),"Precision helps you maintain control over wind resistance.")</f>
        <v>Precision helps you maintain control over wind resistance.</v>
      </c>
      <c r="G74" s="8">
        <v>73.0</v>
      </c>
      <c r="H74" s="7" t="s">
        <v>1395</v>
      </c>
      <c r="I74" s="9" t="s">
        <v>1396</v>
      </c>
      <c r="J74" s="7" t="s">
        <v>1121</v>
      </c>
      <c r="K74" s="7" t="s">
        <v>1397</v>
      </c>
    </row>
    <row r="75" ht="22.5" customHeight="1">
      <c r="A75" s="7" t="str">
        <f>IFERROR(__xludf.DUMMYFUNCTION("GOOGLETRANSLATE(G75, ""de"", ""en"")"),"74")</f>
        <v>74</v>
      </c>
      <c r="B75" s="7" t="str">
        <f>IFERROR(__xludf.DUMMYFUNCTION("GOOGLETRANSLATE(H75, ""de"", ""en"")"),"You're almost there, but your ball is flying towards a steep hill. What should you do?")</f>
        <v>You're almost there, but your ball is flying towards a steep hill. What should you do?</v>
      </c>
      <c r="C75" s="7" t="s">
        <v>1398</v>
      </c>
      <c r="D75" s="7" t="str">
        <f>IFERROR(__xludf.DUMMYFUNCTION("GOOGLETRANSLATE(J75, ""de"", ""en"")"),"Use a gentler and more controlled throw.")</f>
        <v>Use a gentler and more controlled throw.</v>
      </c>
      <c r="E75" s="7" t="str">
        <f>IFERROR(__xludf.DUMMYFUNCTION("GOOGLETRANSLATE(K75, ""de"", ""en"")"),"A controlled throw prevents the ball from rolling downhill too quickly.")</f>
        <v>A controlled throw prevents the ball from rolling downhill too quickly.</v>
      </c>
      <c r="G75" s="8">
        <v>74.0</v>
      </c>
      <c r="H75" s="7" t="s">
        <v>1399</v>
      </c>
      <c r="I75" s="9" t="s">
        <v>1400</v>
      </c>
      <c r="J75" s="7" t="s">
        <v>1401</v>
      </c>
      <c r="K75" s="7" t="s">
        <v>1402</v>
      </c>
    </row>
    <row r="76" ht="22.5" customHeight="1">
      <c r="A76" s="7" t="str">
        <f>IFERROR(__xludf.DUMMYFUNCTION("GOOGLETRANSLATE(G76, ""de"", ""en"")"),"75")</f>
        <v>75</v>
      </c>
      <c r="B76" s="7" t="str">
        <f>IFERROR(__xludf.DUMMYFUNCTION("GOOGLETRANSLATE(H76, ""de"", ""en"")"),"Your ball is approaching a sandpit. What is the safest strategy?")</f>
        <v>Your ball is approaching a sandpit. What is the safest strategy?</v>
      </c>
      <c r="C76" s="7" t="s">
        <v>1403</v>
      </c>
      <c r="D76" s="7" t="str">
        <f>IFERROR(__xludf.DUMMYFUNCTION("GOOGLETRANSLATE(J76, ""de"", ""en"")"),"Use a side throw to avoid this.")</f>
        <v>Use a side throw to avoid this.</v>
      </c>
      <c r="E76" s="7" t="str">
        <f>IFERROR(__xludf.DUMMYFUNCTION("GOOGLETRANSLATE(K76, ""de"", ""en"")"),"A side throw helps you avoid the sandpit while maintaining control.")</f>
        <v>A side throw helps you avoid the sandpit while maintaining control.</v>
      </c>
      <c r="G76" s="8">
        <v>75.0</v>
      </c>
      <c r="H76" s="7" t="s">
        <v>1404</v>
      </c>
      <c r="I76" s="9" t="s">
        <v>1405</v>
      </c>
      <c r="J76" s="7" t="s">
        <v>1406</v>
      </c>
      <c r="K76" s="7" t="s">
        <v>1407</v>
      </c>
    </row>
    <row r="77" ht="22.5" customHeight="1">
      <c r="A77" s="7" t="str">
        <f>IFERROR(__xludf.DUMMYFUNCTION("GOOGLETRANSLATE(G77, ""de"", ""en"")"),"76")</f>
        <v>76</v>
      </c>
      <c r="B77" s="7" t="str">
        <f>IFERROR(__xludf.DUMMYFUNCTION("GOOGLETRANSLATE(H77, ""de"", ""en"")"),"You are trailing in the game and face an obstacle. What do you do?")</f>
        <v>You are trailing in the game and face an obstacle. What do you do?</v>
      </c>
      <c r="C77" s="7" t="s">
        <v>1408</v>
      </c>
      <c r="D77" s="7" t="str">
        <f>IFERROR(__xludf.DUMMYFUNCTION("GOOGLETRANSLATE(J77, ""de"", ""en"")"),"Use a calculated, controlled throw.")</f>
        <v>Use a calculated, controlled throw.</v>
      </c>
      <c r="E77" s="7" t="str">
        <f>IFERROR(__xludf.DUMMYFUNCTION("GOOGLETRANSLATE(K77, ""de"", ""en"")"),"A controlled throw reduces the risk of errors and helps you overcome obstacles.")</f>
        <v>A controlled throw reduces the risk of errors and helps you overcome obstacles.</v>
      </c>
      <c r="G77" s="8">
        <v>76.0</v>
      </c>
      <c r="H77" s="7" t="s">
        <v>1409</v>
      </c>
      <c r="I77" s="9" t="s">
        <v>1410</v>
      </c>
      <c r="J77" s="7" t="s">
        <v>1300</v>
      </c>
      <c r="K77" s="7" t="s">
        <v>1411</v>
      </c>
    </row>
    <row r="78" ht="22.5" customHeight="1">
      <c r="A78" s="7" t="str">
        <f>IFERROR(__xludf.DUMMYFUNCTION("GOOGLETRANSLATE(G78, ""de"", ""en"")"),"77")</f>
        <v>77</v>
      </c>
      <c r="B78" s="7" t="str">
        <f>IFERROR(__xludf.DUMMYFUNCTION("GOOGLETRANSLATE(H78, ""de"", ""en"")"),"You are facing a sharp bend with limited space. What is the best strategy?")</f>
        <v>You are facing a sharp bend with limited space. What is the best strategy?</v>
      </c>
      <c r="C78" s="7" t="s">
        <v>1412</v>
      </c>
      <c r="D78" s="7" t="str">
        <f>IFERROR(__xludf.DUMMYFUNCTION("GOOGLETRANSLATE(J78, ""de"", ""en"")"),"Aim for the inside of the curve")</f>
        <v>Aim for the inside of the curve</v>
      </c>
      <c r="E78" s="7" t="str">
        <f>IFERROR(__xludf.DUMMYFUNCTION("GOOGLETRANSLATE(K78, ""de"", ""en"")"),"Aiming inwards will help you avoid overshooting the curve.")</f>
        <v>Aiming inwards will help you avoid overshooting the curve.</v>
      </c>
      <c r="G78" s="8">
        <v>77.0</v>
      </c>
      <c r="H78" s="7" t="s">
        <v>1413</v>
      </c>
      <c r="I78" s="9" t="s">
        <v>1414</v>
      </c>
      <c r="J78" s="7" t="s">
        <v>1176</v>
      </c>
      <c r="K78" s="7" t="s">
        <v>1415</v>
      </c>
    </row>
    <row r="79" ht="22.5" customHeight="1">
      <c r="A79" s="7" t="str">
        <f>IFERROR(__xludf.DUMMYFUNCTION("GOOGLETRANSLATE(G79, ""de"", ""en"")"),"78")</f>
        <v>78</v>
      </c>
      <c r="B79" s="7" t="str">
        <f>IFERROR(__xludf.DUMMYFUNCTION("GOOGLETRANSLATE(H79, ""de"", ""en"")"),"The weather is hot and dry, and the track is rough. What is your best course of action?")</f>
        <v>The weather is hot and dry, and the track is rough. What is your best course of action?</v>
      </c>
      <c r="C79" s="7" t="s">
        <v>1416</v>
      </c>
      <c r="D79" s="7" t="str">
        <f>IFERROR(__xludf.DUMMYFUNCTION("GOOGLETRANSLATE(J79, ""de"", ""en"")"),"Use a gentle, controlled throw.")</f>
        <v>Use a gentle, controlled throw.</v>
      </c>
      <c r="E79" s="7" t="str">
        <f>IFERROR(__xludf.DUMMYFUNCTION("GOOGLETRANSLATE(K79, ""de"", ""en"")"),"A smooth, controlled throw ensures better control on uneven terrain.")</f>
        <v>A smooth, controlled throw ensures better control on uneven terrain.</v>
      </c>
      <c r="G79" s="8">
        <v>78.0</v>
      </c>
      <c r="H79" s="7" t="s">
        <v>1417</v>
      </c>
      <c r="I79" s="9" t="s">
        <v>1418</v>
      </c>
      <c r="J79" s="7" t="s">
        <v>1419</v>
      </c>
      <c r="K79" s="7" t="s">
        <v>1420</v>
      </c>
    </row>
    <row r="80" ht="22.5" customHeight="1">
      <c r="A80" s="7" t="str">
        <f>IFERROR(__xludf.DUMMYFUNCTION("GOOGLETRANSLATE(G80, ""de"", ""en"")"),"79")</f>
        <v>79</v>
      </c>
      <c r="B80" s="7" t="str">
        <f>IFERROR(__xludf.DUMMYFUNCTION("GOOGLETRANSLATE(H80, ""de"", ""en"")"),"The ball is rolling towards a tree and you need to dodge it. What should you do?")</f>
        <v>The ball is rolling towards a tree and you need to dodge it. What should you do?</v>
      </c>
      <c r="C80" s="7" t="s">
        <v>1421</v>
      </c>
      <c r="D80" s="7" t="str">
        <f>IFERROR(__xludf.DUMMYFUNCTION("GOOGLETRANSLATE(J80, ""de"", ""en"")"),"Use a curved throw to get around it.")</f>
        <v>Use a curved throw to get around it.</v>
      </c>
      <c r="E80" s="7" t="str">
        <f>IFERROR(__xludf.DUMMYFUNCTION("GOOGLETRANSLATE(K80, ""de"", ""en"")"),"A curved throw helps you avoid obstacles like trees.")</f>
        <v>A curved throw helps you avoid obstacles like trees.</v>
      </c>
      <c r="G80" s="8">
        <v>79.0</v>
      </c>
      <c r="H80" s="7" t="s">
        <v>1422</v>
      </c>
      <c r="I80" s="9" t="s">
        <v>1423</v>
      </c>
      <c r="J80" s="7" t="s">
        <v>1051</v>
      </c>
      <c r="K80" s="7" t="s">
        <v>1424</v>
      </c>
    </row>
    <row r="81" ht="22.5" customHeight="1">
      <c r="A81" s="7" t="str">
        <f>IFERROR(__xludf.DUMMYFUNCTION("GOOGLETRANSLATE(G81, ""de"", ""en"")"),"80")</f>
        <v>80</v>
      </c>
      <c r="B81" s="7" t="str">
        <f>IFERROR(__xludf.DUMMYFUNCTION("GOOGLETRANSLATE(H81, ""de"", ""en"")"),"Your ball drifts off course due to a gust of wind. How do you correct it?")</f>
        <v>Your ball drifts off course due to a gust of wind. How do you correct it?</v>
      </c>
      <c r="C81" s="7" t="s">
        <v>1425</v>
      </c>
      <c r="D81" s="7" t="str">
        <f>IFERROR(__xludf.DUMMYFUNCTION("GOOGLETRANSLATE(J81, ""de"", ""en"")"),"Adjust your goal to compensate for this.")</f>
        <v>Adjust your goal to compensate for this.</v>
      </c>
      <c r="E81" s="7" t="str">
        <f>IFERROR(__xludf.DUMMYFUNCTION("GOOGLETRANSLATE(K81, ""de"", ""en"")"),"By adjusting your aim, you counteract the wind and keep your throw on course.")</f>
        <v>By adjusting your aim, you counteract the wind and keep your throw on course.</v>
      </c>
      <c r="G81" s="8">
        <v>80.0</v>
      </c>
      <c r="H81" s="7" t="s">
        <v>1426</v>
      </c>
      <c r="I81" s="9" t="s">
        <v>1427</v>
      </c>
      <c r="J81" s="7" t="s">
        <v>1428</v>
      </c>
      <c r="K81" s="7" t="s">
        <v>1429</v>
      </c>
    </row>
    <row r="82" ht="22.5" customHeight="1">
      <c r="A82" s="7" t="str">
        <f>IFERROR(__xludf.DUMMYFUNCTION("GOOGLETRANSLATE(G82, ""de"", ""en"")"),"81")</f>
        <v>81</v>
      </c>
      <c r="B82" s="7" t="str">
        <f>IFERROR(__xludf.DUMMYFUNCTION("GOOGLETRANSLATE(H82, ""de"", ""en"")"),"You're almost at the finish line and the road is very narrow. What do you do?")</f>
        <v>You're almost at the finish line and the road is very narrow. What do you do?</v>
      </c>
      <c r="C82" s="7" t="s">
        <v>1430</v>
      </c>
      <c r="D82" s="7" t="str">
        <f>IFERROR(__xludf.DUMMYFUNCTION("GOOGLETRANSLATE(J82, ""de"", ""en"")"),"Use a curved throw to avoid mistakes.")</f>
        <v>Use a curved throw to avoid mistakes.</v>
      </c>
      <c r="E82" s="7" t="str">
        <f>IFERROR(__xludf.DUMMYFUNCTION("GOOGLETRANSLATE(K82, ""de"", ""en"")"),"A curved throw helps to travel on narrow tracks without errors.")</f>
        <v>A curved throw helps to travel on narrow tracks without errors.</v>
      </c>
      <c r="G82" s="8">
        <v>81.0</v>
      </c>
      <c r="H82" s="7" t="s">
        <v>1431</v>
      </c>
      <c r="I82" s="9" t="s">
        <v>1432</v>
      </c>
      <c r="J82" s="7" t="s">
        <v>1433</v>
      </c>
      <c r="K82" s="7" t="s">
        <v>1434</v>
      </c>
    </row>
    <row r="83" ht="22.5" customHeight="1">
      <c r="A83" s="7" t="str">
        <f>IFERROR(__xludf.DUMMYFUNCTION("GOOGLETRANSLATE(G83, ""de"", ""en"")"),"82")</f>
        <v>82</v>
      </c>
      <c r="B83" s="7" t="str">
        <f>IFERROR(__xludf.DUMMYFUNCTION("GOOGLETRANSLATE(H83, ""de"", ""en"")"),"Your opponent has a good lead and you need to make up time. How should you throw?")</f>
        <v>Your opponent has a good lead and you need to make up time. How should you throw?</v>
      </c>
      <c r="C83" s="7" t="s">
        <v>1435</v>
      </c>
      <c r="D83" s="7" t="str">
        <f>IFERROR(__xludf.DUMMYFUNCTION("GOOGLETRANSLATE(J83, ""de"", ""en"")"),"Use a controlled, precise throw.")</f>
        <v>Use a controlled, precise throw.</v>
      </c>
      <c r="E83" s="7" t="str">
        <f>IFERROR(__xludf.DUMMYFUNCTION("GOOGLETRANSLATE(K83, ""de"", ""en"")"),"Precision and control help to make up for lost time without errors.")</f>
        <v>Precision and control help to make up for lost time without errors.</v>
      </c>
      <c r="G83" s="8">
        <v>82.0</v>
      </c>
      <c r="H83" s="7" t="s">
        <v>1436</v>
      </c>
      <c r="I83" s="9" t="s">
        <v>1437</v>
      </c>
      <c r="J83" s="7" t="s">
        <v>1438</v>
      </c>
      <c r="K83" s="7" t="s">
        <v>1439</v>
      </c>
    </row>
    <row r="84" ht="22.5" customHeight="1">
      <c r="A84" s="7" t="str">
        <f>IFERROR(__xludf.DUMMYFUNCTION("GOOGLETRANSLATE(G84, ""de"", ""en"")"),"83")</f>
        <v>83</v>
      </c>
      <c r="B84" s="7" t="str">
        <f>IFERROR(__xludf.DUMMYFUNCTION("GOOGLETRANSLATE(H84, ""de"", ""en"")"),"The last stretch is uphill and your ball slows down. How do you adjust your throw?")</f>
        <v>The last stretch is uphill and your ball slows down. How do you adjust your throw?</v>
      </c>
      <c r="C84" s="7" t="s">
        <v>1440</v>
      </c>
      <c r="D84" s="7" t="str">
        <f>IFERROR(__xludf.DUMMYFUNCTION("GOOGLETRANSLATE(J84, ""de"", ""en"")"),"Use a gentle, controlled throw.")</f>
        <v>Use a gentle, controlled throw.</v>
      </c>
      <c r="E84" s="7" t="str">
        <f>IFERROR(__xludf.DUMMYFUNCTION("GOOGLETRANSLATE(K84, ""de"", ""en"")"),"A controlled throw will allow you to overcome the incline without losing too much speed.")</f>
        <v>A controlled throw will allow you to overcome the incline without losing too much speed.</v>
      </c>
      <c r="G84" s="8">
        <v>83.0</v>
      </c>
      <c r="H84" s="7" t="s">
        <v>1441</v>
      </c>
      <c r="I84" s="9" t="s">
        <v>1442</v>
      </c>
      <c r="J84" s="7" t="s">
        <v>1419</v>
      </c>
      <c r="K84" s="7" t="s">
        <v>1443</v>
      </c>
    </row>
    <row r="85" ht="22.5" customHeight="1">
      <c r="A85" s="7" t="str">
        <f>IFERROR(__xludf.DUMMYFUNCTION("GOOGLETRANSLATE(G85, ""de"", ""en"")"),"84")</f>
        <v>84</v>
      </c>
      <c r="B85" s="7" t="str">
        <f>IFERROR(__xludf.DUMMYFUNCTION("GOOGLETRANSLATE(H85, ""de"", ""en"")"),"You're approaching a downhill section and your ball is accelerating rapidly. How do you control it?")</f>
        <v>You're approaching a downhill section and your ball is accelerating rapidly. How do you control it?</v>
      </c>
      <c r="C85" s="7" t="s">
        <v>1444</v>
      </c>
      <c r="D85" s="7" t="str">
        <f>IFERROR(__xludf.DUMMYFUNCTION("GOOGLETRANSLATE(J85, ""de"", ""en"")"),"Slow down your throw and aim carefully.")</f>
        <v>Slow down your throw and aim carefully.</v>
      </c>
      <c r="E85" s="7" t="str">
        <f>IFERROR(__xludf.DUMMYFUNCTION("GOOGLETRANSLATE(K85, ""de"", ""en"")"),"Slowing down the throw ensures control when the ball gains speed going downhill.")</f>
        <v>Slowing down the throw ensures control when the ball gains speed going downhill.</v>
      </c>
      <c r="G85" s="8">
        <v>84.0</v>
      </c>
      <c r="H85" s="7" t="s">
        <v>1445</v>
      </c>
      <c r="I85" s="9" t="s">
        <v>1446</v>
      </c>
      <c r="J85" s="7" t="s">
        <v>1334</v>
      </c>
      <c r="K85" s="7" t="s">
        <v>1447</v>
      </c>
    </row>
    <row r="86" ht="22.5" customHeight="1">
      <c r="A86" s="7" t="str">
        <f>IFERROR(__xludf.DUMMYFUNCTION("GOOGLETRANSLATE(G86, ""de"", ""en"")"),"85")</f>
        <v>85</v>
      </c>
      <c r="B86" s="7" t="str">
        <f>IFERROR(__xludf.DUMMYFUNCTION("GOOGLETRANSLATE(H86, ""de"", ""en"")"),"Your ball flies directly towards a large stone in the middle of the lane. What should you do?")</f>
        <v>Your ball flies directly towards a large stone in the middle of the lane. What should you do?</v>
      </c>
      <c r="C86" s="7" t="s">
        <v>1448</v>
      </c>
      <c r="D86" s="7" t="str">
        <f>IFERROR(__xludf.DUMMYFUNCTION("GOOGLETRANSLATE(J86, ""de"", ""en"")"),"Aim for a side shot to avoid it.")</f>
        <v>Aim for a side shot to avoid it.</v>
      </c>
      <c r="E86" s="7" t="str">
        <f>IFERROR(__xludf.DUMMYFUNCTION("GOOGLETRANSLATE(K86, ""de"", ""en"")"),"A side shot helps to avoid obstacles and keep the ball in play.")</f>
        <v>A side shot helps to avoid obstacles and keep the ball in play.</v>
      </c>
      <c r="G86" s="8">
        <v>85.0</v>
      </c>
      <c r="H86" s="7" t="s">
        <v>1449</v>
      </c>
      <c r="I86" s="9" t="s">
        <v>1450</v>
      </c>
      <c r="J86" s="7" t="s">
        <v>1451</v>
      </c>
      <c r="K86" s="7" t="s">
        <v>1452</v>
      </c>
    </row>
    <row r="87" ht="22.5" customHeight="1">
      <c r="A87" s="7" t="str">
        <f>IFERROR(__xludf.DUMMYFUNCTION("GOOGLETRANSLATE(G87, ""de"", ""en"")"),"86")</f>
        <v>86</v>
      </c>
      <c r="B87" s="7" t="str">
        <f>IFERROR(__xludf.DUMMYFUNCTION("GOOGLETRANSLATE(H87, ""de"", ""en"")"),"The track runs straight ahead, but the ground is uneven and has bumps. What is the best strategy?")</f>
        <v>The track runs straight ahead, but the ground is uneven and has bumps. What is the best strategy?</v>
      </c>
      <c r="C87" s="7" t="s">
        <v>1453</v>
      </c>
      <c r="D87" s="7" t="str">
        <f>IFERROR(__xludf.DUMMYFUNCTION("GOOGLETRANSLATE(J87, ""de"", ""en"")"),"Use a gentle, controlled throw.")</f>
        <v>Use a gentle, controlled throw.</v>
      </c>
      <c r="E87" s="7" t="str">
        <f>IFERROR(__xludf.DUMMYFUNCTION("GOOGLETRANSLATE(K87, ""de"", ""en"")"),"A gentle, controlled throw ensures that the ball remains stable even on uneven terrain.")</f>
        <v>A gentle, controlled throw ensures that the ball remains stable even on uneven terrain.</v>
      </c>
      <c r="G87" s="8">
        <v>86.0</v>
      </c>
      <c r="H87" s="7" t="s">
        <v>1454</v>
      </c>
      <c r="I87" s="9" t="s">
        <v>1455</v>
      </c>
      <c r="J87" s="7" t="s">
        <v>1419</v>
      </c>
      <c r="K87" s="7" t="s">
        <v>1456</v>
      </c>
    </row>
    <row r="88" ht="22.5" customHeight="1">
      <c r="A88" s="7" t="str">
        <f>IFERROR(__xludf.DUMMYFUNCTION("GOOGLETRANSLATE(G88, ""de"", ""en"")"),"87")</f>
        <v>87</v>
      </c>
      <c r="B88" s="7" t="str">
        <f>IFERROR(__xludf.DUMMYFUNCTION("GOOGLETRANSLATE(H88, ""de"", ""en"")"),"The ball is flying towards a puddle. How can you avoid it?")</f>
        <v>The ball is flying towards a puddle. How can you avoid it?</v>
      </c>
      <c r="C88" s="7" t="s">
        <v>1457</v>
      </c>
      <c r="D88" s="7" t="str">
        <f>IFERROR(__xludf.DUMMYFUNCTION("GOOGLETRANSLATE(J88, ""de"", ""en"")"),"Aim for a curved shot to avoid it.")</f>
        <v>Aim for a curved shot to avoid it.</v>
      </c>
      <c r="E88" s="7" t="str">
        <f>IFERROR(__xludf.DUMMYFUNCTION("GOOGLETRANSLATE(K88, ""de"", ""en"")"),"A curved shot helps to navigate through puddles without losing speed.")</f>
        <v>A curved shot helps to navigate through puddles without losing speed.</v>
      </c>
      <c r="G88" s="8">
        <v>87.0</v>
      </c>
      <c r="H88" s="7" t="s">
        <v>1458</v>
      </c>
      <c r="I88" s="9" t="s">
        <v>1459</v>
      </c>
      <c r="J88" s="7" t="s">
        <v>1460</v>
      </c>
      <c r="K88" s="7" t="s">
        <v>1461</v>
      </c>
    </row>
    <row r="89" ht="22.5" customHeight="1">
      <c r="A89" s="7" t="str">
        <f>IFERROR(__xludf.DUMMYFUNCTION("GOOGLETRANSLATE(G89, ""de"", ""en"")"),"88")</f>
        <v>88</v>
      </c>
      <c r="B89" s="7" t="str">
        <f>IFERROR(__xludf.DUMMYFUNCTION("GOOGLETRANSLATE(H89, ""de"", ""en"")"),"You must avoid a steep incline ahead. How do you set up your throw?")</f>
        <v>You must avoid a steep incline ahead. How do you set up your throw?</v>
      </c>
      <c r="C89" s="7" t="s">
        <v>1462</v>
      </c>
      <c r="D89" s="7" t="str">
        <f>IFERROR(__xludf.DUMMYFUNCTION("GOOGLETRANSLATE(J89, ""de"", ""en"")"),"throw gently and precisely")</f>
        <v>throw gently and precisely</v>
      </c>
      <c r="E89" s="7" t="str">
        <f>IFERROR(__xludf.DUMMYFUNCTION("GOOGLETRANSLATE(K89, ""de"", ""en"")"),"A controlled throw helps to avoid loss of control when approaching inclines.")</f>
        <v>A controlled throw helps to avoid loss of control when approaching inclines.</v>
      </c>
      <c r="G89" s="8">
        <v>88.0</v>
      </c>
      <c r="H89" s="7" t="s">
        <v>1463</v>
      </c>
      <c r="I89" s="9" t="s">
        <v>1464</v>
      </c>
      <c r="J89" s="7" t="s">
        <v>1465</v>
      </c>
      <c r="K89" s="7" t="s">
        <v>1466</v>
      </c>
    </row>
    <row r="90" ht="22.5" customHeight="1">
      <c r="A90" s="7" t="str">
        <f>IFERROR(__xludf.DUMMYFUNCTION("GOOGLETRANSLATE(G90, ""de"", ""en"")"),"89")</f>
        <v>89</v>
      </c>
      <c r="B90" s="7" t="str">
        <f>IFERROR(__xludf.DUMMYFUNCTION("GOOGLETRANSLATE(H90, ""de"", ""en"")"),"The ball slows down on a flat surface due to friction. How do you overcome this?")</f>
        <v>The ball slows down on a flat surface due to friction. How do you overcome this?</v>
      </c>
      <c r="C90" s="7" t="s">
        <v>1467</v>
      </c>
      <c r="D90" s="7" t="str">
        <f>IFERROR(__xludf.DUMMYFUNCTION("GOOGLETRANSLATE(J90, ""de"", ""en"")"),"Throw harder to overcome friction.")</f>
        <v>Throw harder to overcome friction.</v>
      </c>
      <c r="E90" s="7" t="str">
        <f>IFERROR(__xludf.DUMMYFUNCTION("GOOGLETRANSLATE(K90, ""de"", ""en"")"),"Throwing harder helps to increase speed and overcome friction.")</f>
        <v>Throwing harder helps to increase speed and overcome friction.</v>
      </c>
      <c r="G90" s="8">
        <v>89.0</v>
      </c>
      <c r="H90" s="7" t="s">
        <v>1468</v>
      </c>
      <c r="I90" s="9" t="s">
        <v>1469</v>
      </c>
      <c r="J90" s="7" t="s">
        <v>1470</v>
      </c>
      <c r="K90" s="7" t="s">
        <v>1471</v>
      </c>
    </row>
    <row r="91" ht="22.5" customHeight="1">
      <c r="A91" s="7" t="str">
        <f>IFERROR(__xludf.DUMMYFUNCTION("GOOGLETRANSLATE(G91, ""de"", ""en"")"),"90")</f>
        <v>90</v>
      </c>
      <c r="B91" s="7" t="str">
        <f>IFERROR(__xludf.DUMMYFUNCTION("GOOGLETRANSLATE(H91, ""de"", ""en"")"),"Your opponent is in the lead and the finish line is near. What's your best chance to catch up?")</f>
        <v>Your opponent is in the lead and the finish line is near. What's your best chance to catch up?</v>
      </c>
      <c r="C91" s="7" t="s">
        <v>1472</v>
      </c>
      <c r="D91" s="7" t="str">
        <f>IFERROR(__xludf.DUMMYFUNCTION("GOOGLETRANSLATE(J91, ""de"", ""en"")"),"Use a precise, controlled throw.")</f>
        <v>Use a precise, controlled throw.</v>
      </c>
      <c r="E91" s="7" t="str">
        <f>IFERROR(__xludf.DUMMYFUNCTION("GOOGLETRANSLATE(K91, ""de"", ""en"")"),"A controlled throw ensures consistency and helps to close the gap flawlessly.")</f>
        <v>A controlled throw ensures consistency and helps to close the gap flawlessly.</v>
      </c>
      <c r="G91" s="8">
        <v>90.0</v>
      </c>
      <c r="H91" s="7" t="s">
        <v>1473</v>
      </c>
      <c r="I91" s="9" t="s">
        <v>1474</v>
      </c>
      <c r="J91" s="7" t="s">
        <v>1475</v>
      </c>
      <c r="K91" s="7" t="s">
        <v>1476</v>
      </c>
    </row>
    <row r="92" ht="22.5" customHeight="1">
      <c r="A92" s="7" t="str">
        <f>IFERROR(__xludf.DUMMYFUNCTION("GOOGLETRANSLATE(G92, ""de"", ""en"")"),"91")</f>
        <v>91</v>
      </c>
      <c r="B92" s="7" t="str">
        <f>IFERROR(__xludf.DUMMYFUNCTION("GOOGLETRANSLATE(H92, ""de"", ""en"")"),"They want to make a long throw, but the wind is blowing strongly. How do you explain that?")</f>
        <v>They want to make a long throw, but the wind is blowing strongly. How do you explain that?</v>
      </c>
      <c r="C92" s="7" t="s">
        <v>1477</v>
      </c>
      <c r="D92" s="7" t="str">
        <f>IFERROR(__xludf.DUMMYFUNCTION("GOOGLETRANSLATE(J92, ""de"", ""en"")"),"Adjust your target to compensate for the wind.")</f>
        <v>Adjust your target to compensate for the wind.</v>
      </c>
      <c r="E92" s="7" t="str">
        <f>IFERROR(__xludf.DUMMYFUNCTION("GOOGLETRANSLATE(K92, ""de"", ""en"")"),"By adjusting your target, you can counteract the effects of the wind.")</f>
        <v>By adjusting your target, you can counteract the effects of the wind.</v>
      </c>
      <c r="G92" s="8">
        <v>91.0</v>
      </c>
      <c r="H92" s="7" t="s">
        <v>1478</v>
      </c>
      <c r="I92" s="9" t="s">
        <v>1479</v>
      </c>
      <c r="J92" s="7" t="s">
        <v>1353</v>
      </c>
      <c r="K92" s="7" t="s">
        <v>1480</v>
      </c>
    </row>
    <row r="93" ht="22.5" customHeight="1">
      <c r="A93" s="7" t="str">
        <f>IFERROR(__xludf.DUMMYFUNCTION("GOOGLETRANSLATE(G93, ""de"", ""en"")"),"92")</f>
        <v>92</v>
      </c>
      <c r="B93" s="7" t="str">
        <f>IFERROR(__xludf.DUMMYFUNCTION("GOOGLETRANSLATE(H93, ""de"", ""en"")"),"The ball is approaching a sharp curve, but you've lost control. What's your best move?")</f>
        <v>The ball is approaching a sharp curve, but you've lost control. What's your best move?</v>
      </c>
      <c r="C93" s="7" t="s">
        <v>1481</v>
      </c>
      <c r="D93" s="7" t="str">
        <f>IFERROR(__xludf.DUMMYFUNCTION("GOOGLETRANSLATE(J93, ""de"", ""en"")"),"Slow down your throw and adjust your aim.")</f>
        <v>Slow down your throw and adjust your aim.</v>
      </c>
      <c r="E93" s="7" t="str">
        <f>IFERROR(__xludf.DUMMYFUNCTION("GOOGLETRANSLATE(K93, ""de"", ""en"")"),"By slowing down, you can regain control and navigate the curve safely.")</f>
        <v>By slowing down, you can regain control and navigate the curve safely.</v>
      </c>
      <c r="G93" s="8">
        <v>92.0</v>
      </c>
      <c r="H93" s="7" t="s">
        <v>1482</v>
      </c>
      <c r="I93" s="9" t="s">
        <v>1483</v>
      </c>
      <c r="J93" s="7" t="s">
        <v>1484</v>
      </c>
      <c r="K93" s="7" t="s">
        <v>1485</v>
      </c>
    </row>
    <row r="94" ht="22.5" customHeight="1">
      <c r="A94" s="7" t="str">
        <f>IFERROR(__xludf.DUMMYFUNCTION("GOOGLETRANSLATE(G94, ""de"", ""en"")"),"93")</f>
        <v>93</v>
      </c>
      <c r="B94" s="7" t="str">
        <f>IFERROR(__xludf.DUMMYFUNCTION("GOOGLETRANSLATE(H94, ""de"", ""en"")"),"You are in a race and are about to cover a long distance without any obstacles. What is your strategy?")</f>
        <v>You are in a race and are about to cover a long distance without any obstacles. What is your strategy?</v>
      </c>
      <c r="C94" s="7" t="s">
        <v>1486</v>
      </c>
      <c r="D94" s="7" t="str">
        <f>IFERROR(__xludf.DUMMYFUNCTION("GOOGLETRANSLATE(J94, ""de"", ""en"")"),"Controlled throw for constant speed")</f>
        <v>Controlled throw for constant speed</v>
      </c>
      <c r="E94" s="7" t="str">
        <f>IFERROR(__xludf.DUMMYFUNCTION("GOOGLETRANSLATE(K94, ""de"", ""en"")"),"Controlled throws help to maintain a constant pace over long distances.")</f>
        <v>Controlled throws help to maintain a constant pace over long distances.</v>
      </c>
      <c r="G94" s="8">
        <v>93.0</v>
      </c>
      <c r="H94" s="7" t="s">
        <v>1487</v>
      </c>
      <c r="I94" s="9" t="s">
        <v>1488</v>
      </c>
      <c r="J94" s="7" t="s">
        <v>1489</v>
      </c>
      <c r="K94" s="7" t="s">
        <v>1490</v>
      </c>
    </row>
    <row r="95" ht="22.5" customHeight="1">
      <c r="A95" s="7" t="str">
        <f>IFERROR(__xludf.DUMMYFUNCTION("GOOGLETRANSLATE(G95, ""de"", ""en"")"),"94")</f>
        <v>94</v>
      </c>
      <c r="B95" s="7" t="str">
        <f>IFERROR(__xludf.DUMMYFUNCTION("GOOGLETRANSLATE(H95, ""de"", ""en"")"),"Your ball is approaching the edge of the lane. How do you prevent it from going out of bounds?")</f>
        <v>Your ball is approaching the edge of the lane. How do you prevent it from going out of bounds?</v>
      </c>
      <c r="C95" s="7" t="s">
        <v>1491</v>
      </c>
      <c r="D95" s="7" t="str">
        <f>IFERROR(__xludf.DUMMYFUNCTION("GOOGLETRANSLATE(J95, ""de"", ""en"")"),"Use a side throw to keep it under control.")</f>
        <v>Use a side throw to keep it under control.</v>
      </c>
      <c r="E95" s="7" t="str">
        <f>IFERROR(__xludf.DUMMYFUNCTION("GOOGLETRANSLATE(K95, ""de"", ""en"")"),"A side throw ensures that the ball stays within the lane boundaries.")</f>
        <v>A side throw ensures that the ball stays within the lane boundaries.</v>
      </c>
      <c r="G95" s="8">
        <v>94.0</v>
      </c>
      <c r="H95" s="7" t="s">
        <v>1492</v>
      </c>
      <c r="I95" s="9" t="s">
        <v>1493</v>
      </c>
      <c r="J95" s="7" t="s">
        <v>1494</v>
      </c>
      <c r="K95" s="7" t="s">
        <v>1495</v>
      </c>
    </row>
    <row r="96" ht="22.5" customHeight="1">
      <c r="A96" s="7" t="str">
        <f>IFERROR(__xludf.DUMMYFUNCTION("GOOGLETRANSLATE(G96, ""de"", ""en"")"),"95")</f>
        <v>95</v>
      </c>
      <c r="B96" s="7" t="str">
        <f>IFERROR(__xludf.DUMMYFUNCTION("GOOGLETRANSLATE(H96, ""de"", ""en"")"),"The path ahead is narrow and full of obstacles. What is the best strategy?")</f>
        <v>The path ahead is narrow and full of obstacles. What is the best strategy?</v>
      </c>
      <c r="C96" s="7" t="s">
        <v>1496</v>
      </c>
      <c r="D96" s="7" t="str">
        <f>IFERROR(__xludf.DUMMYFUNCTION("GOOGLETRANSLATE(J96, ""de"", ""en"")"),"Throw with precision to avoid obstacles.")</f>
        <v>Throw with precision to avoid obstacles.</v>
      </c>
      <c r="E96" s="7" t="str">
        <f>IFERROR(__xludf.DUMMYFUNCTION("GOOGLETRANSLATE(K96, ""de"", ""en"")"),"Precision helps to avoid obstacles while maintaining control.")</f>
        <v>Precision helps to avoid obstacles while maintaining control.</v>
      </c>
      <c r="G96" s="8">
        <v>95.0</v>
      </c>
      <c r="H96" s="7" t="s">
        <v>1497</v>
      </c>
      <c r="I96" s="9" t="s">
        <v>1498</v>
      </c>
      <c r="J96" s="7" t="s">
        <v>1499</v>
      </c>
      <c r="K96" s="7" t="s">
        <v>1500</v>
      </c>
    </row>
    <row r="97" ht="22.5" customHeight="1">
      <c r="A97" s="7" t="str">
        <f>IFERROR(__xludf.DUMMYFUNCTION("GOOGLETRANSLATE(G97, ""de"", ""en"")"),"96")</f>
        <v>96</v>
      </c>
      <c r="B97" s="7" t="str">
        <f>IFERROR(__xludf.DUMMYFUNCTION("GOOGLETRANSLATE(H97, ""de"", ""en"")"),"You need to factor in windy conditions. What's the best approach?")</f>
        <v>You need to factor in windy conditions. What's the best approach?</v>
      </c>
      <c r="C97" s="7" t="s">
        <v>1501</v>
      </c>
      <c r="D97" s="7" t="str">
        <f>IFERROR(__xludf.DUMMYFUNCTION("GOOGLETRANSLATE(J97, ""de"", ""en"")"),"Cast in a controlled manner and adjust to the wind.")</f>
        <v>Cast in a controlled manner and adjust to the wind.</v>
      </c>
      <c r="E97" s="7" t="str">
        <f>IFERROR(__xludf.DUMMYFUNCTION("GOOGLETRANSLATE(K97, ""de"", ""en"")"),"Adapting to the wind helps keep the ball on course and reduces drift.")</f>
        <v>Adapting to the wind helps keep the ball on course and reduces drift.</v>
      </c>
      <c r="G97" s="8">
        <v>96.0</v>
      </c>
      <c r="H97" s="7" t="s">
        <v>1502</v>
      </c>
      <c r="I97" s="9" t="s">
        <v>1503</v>
      </c>
      <c r="J97" s="7" t="s">
        <v>1504</v>
      </c>
      <c r="K97" s="7" t="s">
        <v>1505</v>
      </c>
    </row>
    <row r="98" ht="22.5" customHeight="1">
      <c r="A98" s="7" t="str">
        <f>IFERROR(__xludf.DUMMYFUNCTION("GOOGLETRANSLATE(G98, ""de"", ""en"")"),"97")</f>
        <v>97</v>
      </c>
      <c r="B98" s="7" t="str">
        <f>IFERROR(__xludf.DUMMYFUNCTION("GOOGLETRANSLATE(H98, ""de"", ""en"")"),"You are approaching a curve with a small gap to the boundary. How do you handle this situation?")</f>
        <v>You are approaching a curve with a small gap to the boundary. How do you handle this situation?</v>
      </c>
      <c r="C98" s="7" t="s">
        <v>1506</v>
      </c>
      <c r="D98" s="7" t="str">
        <f>IFERROR(__xludf.DUMMYFUNCTION("GOOGLETRANSLATE(J98, ""de"", ""en"")"),"Navigate through the gap with a curved throw.")</f>
        <v>Navigate through the gap with a curved throw.</v>
      </c>
      <c r="E98" s="7" t="str">
        <f>IFERROR(__xludf.DUMMYFUNCTION("GOOGLETRANSLATE(K98, ""de"", ""en"")"),"A curved throw helps you navigate safely through tight spaces near the border.")</f>
        <v>A curved throw helps you navigate safely through tight spaces near the border.</v>
      </c>
      <c r="G98" s="8">
        <v>97.0</v>
      </c>
      <c r="H98" s="7" t="s">
        <v>1507</v>
      </c>
      <c r="I98" s="9" t="s">
        <v>1508</v>
      </c>
      <c r="J98" s="7" t="s">
        <v>1509</v>
      </c>
      <c r="K98" s="7" t="s">
        <v>1510</v>
      </c>
    </row>
    <row r="99" ht="22.5" customHeight="1">
      <c r="A99" s="7" t="str">
        <f>IFERROR(__xludf.DUMMYFUNCTION("GOOGLETRANSLATE(G99, ""de"", ""en"")"),"98")</f>
        <v>98</v>
      </c>
      <c r="B99" s="7" t="str">
        <f>IFERROR(__xludf.DUMMYFUNCTION("GOOGLETRANSLATE(H99, ""de"", ""en"")"),"Your ball is slowly rolling towards a wet patch of ground. How do you prepare?")</f>
        <v>Your ball is slowly rolling towards a wet patch of ground. How do you prepare?</v>
      </c>
      <c r="C99" s="7" t="s">
        <v>1511</v>
      </c>
      <c r="D99" s="7" t="str">
        <f>IFERROR(__xludf.DUMMYFUNCTION("GOOGLETRANSLATE(J99, ""de"", ""en"")"),"Use a controlled throw to control the speed.")</f>
        <v>Use a controlled throw to control the speed.</v>
      </c>
      <c r="E99" s="7" t="str">
        <f>IFERROR(__xludf.DUMMYFUNCTION("GOOGLETRANSLATE(K99, ""de"", ""en"")"),"A controlled throw helps to maintain ball speed without losing control on wet ground.")</f>
        <v>A controlled throw helps to maintain ball speed without losing control on wet ground.</v>
      </c>
      <c r="G99" s="8">
        <v>98.0</v>
      </c>
      <c r="H99" s="7" t="s">
        <v>1512</v>
      </c>
      <c r="I99" s="9" t="s">
        <v>1513</v>
      </c>
      <c r="J99" s="7" t="s">
        <v>1514</v>
      </c>
      <c r="K99" s="7" t="s">
        <v>1515</v>
      </c>
    </row>
    <row r="100" ht="22.5" customHeight="1">
      <c r="A100" s="7" t="str">
        <f>IFERROR(__xludf.DUMMYFUNCTION("GOOGLETRANSLATE(G100, ""de"", ""en"")"),"99")</f>
        <v>99</v>
      </c>
      <c r="B100" s="7" t="str">
        <f>IFERROR(__xludf.DUMMYFUNCTION("GOOGLETRANSLATE(H100, ""de"", ""en"")"),"You've reached the final stage of the game. How will you approach your last throw?")</f>
        <v>You've reached the final stage of the game. How will you approach your last throw?</v>
      </c>
      <c r="C100" s="7" t="s">
        <v>1516</v>
      </c>
      <c r="D100" s="7" t="str">
        <f>IFERROR(__xludf.DUMMYFUNCTION("GOOGLETRANSLATE(J100, ""de"", ""en"")"),"Focus on accuracy and consistency")</f>
        <v>Focus on accuracy and consistency</v>
      </c>
      <c r="E100" s="7" t="str">
        <f>IFERROR(__xludf.DUMMYFUNCTION("GOOGLETRANSLATE(K100, ""de"", ""en"")"),"Accuracy ensures that you finish the race smoothly and without errors.")</f>
        <v>Accuracy ensures that you finish the race smoothly and without errors.</v>
      </c>
      <c r="G100" s="8">
        <v>99.0</v>
      </c>
      <c r="H100" s="7" t="s">
        <v>1517</v>
      </c>
      <c r="I100" s="9" t="s">
        <v>1518</v>
      </c>
      <c r="J100" s="7" t="s">
        <v>1519</v>
      </c>
      <c r="K100" s="7" t="s">
        <v>1520</v>
      </c>
    </row>
    <row r="101" ht="22.5" customHeight="1">
      <c r="A101" s="7" t="str">
        <f>IFERROR(__xludf.DUMMYFUNCTION("GOOGLETRANSLATE(G101, ""de"", ""en"")"),"100")</f>
        <v>100</v>
      </c>
      <c r="B101" s="7" t="str">
        <f>IFERROR(__xludf.DUMMYFUNCTION("GOOGLETRANSLATE(H101, ""de"", ""en"")"),"The track has a slope. How do you modify your throw to adapt to it?")</f>
        <v>The track has a slope. How do you modify your throw to adapt to it?</v>
      </c>
      <c r="C101" s="7" t="s">
        <v>1521</v>
      </c>
      <c r="D101" s="7" t="str">
        <f>IFERROR(__xludf.DUMMYFUNCTION("GOOGLETRANSLATE(J101, ""de"", ""en"")"),"Use a slower, more controlled throw.")</f>
        <v>Use a slower, more controlled throw.</v>
      </c>
      <c r="E101" s="7" t="str">
        <f>IFERROR(__xludf.DUMMYFUNCTION("GOOGLETRANSLATE(K101, ""de"", ""en"")"),"Slowing down your throw helps you maintain control when the ball goes uphill.")</f>
        <v>Slowing down your throw helps you maintain control when the ball goes uphill.</v>
      </c>
      <c r="G101" s="8">
        <v>100.0</v>
      </c>
      <c r="H101" s="7" t="s">
        <v>1522</v>
      </c>
      <c r="I101" s="9" t="s">
        <v>1523</v>
      </c>
      <c r="J101" s="7" t="s">
        <v>1524</v>
      </c>
      <c r="K101" s="7" t="s">
        <v>1525</v>
      </c>
    </row>
    <row r="102" ht="22.5" customHeight="1">
      <c r="A102" s="7" t="str">
        <f>IFERROR(__xludf.DUMMYFUNCTION("GOOGLETRANSLATE(G102, ""de"", ""en"")"),"101")</f>
        <v>101</v>
      </c>
      <c r="B102" s="7" t="str">
        <f>IFERROR(__xludf.DUMMYFUNCTION("GOOGLETRANSLATE(H102, ""de"", ""en"")"),"Your ball is approaching a sharp stone on the track. What is the best strategy?")</f>
        <v>Your ball is approaching a sharp stone on the track. What is the best strategy?</v>
      </c>
      <c r="C102" s="7" t="s">
        <v>1526</v>
      </c>
      <c r="D102" s="7" t="str">
        <f>IFERROR(__xludf.DUMMYFUNCTION("GOOGLETRANSLATE(J102, ""de"", ""en"")"),"Use a side throw to avoid the stone.")</f>
        <v>Use a side throw to avoid the stone.</v>
      </c>
      <c r="E102" s="7" t="str">
        <f>IFERROR(__xludf.DUMMYFUNCTION("GOOGLETRANSLATE(K102, ""de"", ""en"")"),"A side throw prevents the ball from hitting the rock and losing speed.")</f>
        <v>A side throw prevents the ball from hitting the rock and losing speed.</v>
      </c>
      <c r="G102" s="8">
        <v>101.0</v>
      </c>
      <c r="H102" s="7" t="s">
        <v>1527</v>
      </c>
      <c r="I102" s="9" t="s">
        <v>1528</v>
      </c>
      <c r="J102" s="7" t="s">
        <v>1529</v>
      </c>
      <c r="K102" s="7" t="s">
        <v>1530</v>
      </c>
    </row>
    <row r="103" ht="22.5" customHeight="1">
      <c r="A103" s="7" t="str">
        <f>IFERROR(__xludf.DUMMYFUNCTION("GOOGLETRANSLATE(G103, ""de"", ""en"")"),"102")</f>
        <v>102</v>
      </c>
      <c r="B103" s="7" t="str">
        <f>IFERROR(__xludf.DUMMYFUNCTION("GOOGLETRANSLATE(H103, ""de"", ""en"")"),"The ball goes into a shallow dip in the ground. How do you adjust your throw?")</f>
        <v>The ball goes into a shallow dip in the ground. How do you adjust your throw?</v>
      </c>
      <c r="C103" s="7" t="s">
        <v>1531</v>
      </c>
      <c r="D103" s="7" t="str">
        <f>IFERROR(__xludf.DUMMYFUNCTION("GOOGLETRANSLATE(J103, ""de"", ""en"")"),"Use a gentle, controlled throw.")</f>
        <v>Use a gentle, controlled throw.</v>
      </c>
      <c r="E103" s="7" t="str">
        <f>IFERROR(__xludf.DUMMYFUNCTION("GOOGLETRANSLATE(K103, ""de"", ""en"")"),"A gentle throw helps you maintain control when crossing uneven ground.")</f>
        <v>A gentle throw helps you maintain control when crossing uneven ground.</v>
      </c>
      <c r="G103" s="8">
        <v>102.0</v>
      </c>
      <c r="H103" s="7" t="s">
        <v>1532</v>
      </c>
      <c r="I103" s="9" t="s">
        <v>1533</v>
      </c>
      <c r="J103" s="7" t="s">
        <v>1419</v>
      </c>
      <c r="K103" s="7" t="s">
        <v>1534</v>
      </c>
    </row>
    <row r="104" ht="22.5" customHeight="1">
      <c r="A104" s="7" t="str">
        <f>IFERROR(__xludf.DUMMYFUNCTION("GOOGLETRANSLATE(G104, ""de"", ""en"")"),"103")</f>
        <v>103</v>
      </c>
      <c r="B104" s="7" t="str">
        <f>IFERROR(__xludf.DUMMYFUNCTION("GOOGLETRANSLATE(H104, ""de"", ""en"")"),"The wind is blowing against your throw. How do you prevent it from interfering with your shot?")</f>
        <v>The wind is blowing against your throw. How do you prevent it from interfering with your shot?</v>
      </c>
      <c r="C104" s="7" t="s">
        <v>1535</v>
      </c>
      <c r="D104" s="7" t="str">
        <f>IFERROR(__xludf.DUMMYFUNCTION("GOOGLETRANSLATE(J104, ""de"", ""en"")"),"Adjust your target to compensate for the wind.")</f>
        <v>Adjust your target to compensate for the wind.</v>
      </c>
      <c r="E104" s="7" t="str">
        <f>IFERROR(__xludf.DUMMYFUNCTION("GOOGLETRANSLATE(K104, ""de"", ""en"")"),"Adjusting your target ensures that the ball stays on course despite gusts of wind.")</f>
        <v>Adjusting your target ensures that the ball stays on course despite gusts of wind.</v>
      </c>
      <c r="G104" s="8">
        <v>103.0</v>
      </c>
      <c r="H104" s="7" t="s">
        <v>1536</v>
      </c>
      <c r="I104" s="9" t="s">
        <v>1537</v>
      </c>
      <c r="J104" s="7" t="s">
        <v>1538</v>
      </c>
      <c r="K104" s="7" t="s">
        <v>1539</v>
      </c>
    </row>
    <row r="105" ht="22.5" customHeight="1">
      <c r="A105" s="7" t="str">
        <f>IFERROR(__xludf.DUMMYFUNCTION("GOOGLETRANSLATE(G105, ""de"", ""en"")"),"104")</f>
        <v>104</v>
      </c>
      <c r="B105" s="7" t="str">
        <f>IFERROR(__xludf.DUMMYFUNCTION("GOOGLETRANSLATE(H105, ""de"", ""en"")"),"The last stretch is a straight path, but your ball rolls off course. What do you do?")</f>
        <v>The last stretch is a straight path, but your ball rolls off course. What do you do?</v>
      </c>
      <c r="C105" s="7" t="s">
        <v>1540</v>
      </c>
      <c r="D105" s="7" t="str">
        <f>IFERROR(__xludf.DUMMYFUNCTION("GOOGLETRANSLATE(J105, ""de"", ""en"")"),"Aim for the middle of the track to steer it back.")</f>
        <v>Aim for the middle of the track to steer it back.</v>
      </c>
      <c r="E105" s="7" t="str">
        <f>IFERROR(__xludf.DUMMYFUNCTION("GOOGLETRANSLATE(K105, ""de"", ""en"")"),"The center's target helps the ball get back on course.")</f>
        <v>The center's target helps the ball get back on course.</v>
      </c>
      <c r="G105" s="8">
        <v>104.0</v>
      </c>
      <c r="H105" s="7" t="s">
        <v>1541</v>
      </c>
      <c r="I105" s="9" t="s">
        <v>1542</v>
      </c>
      <c r="J105" s="7" t="s">
        <v>1543</v>
      </c>
      <c r="K105" s="7" t="s">
        <v>1544</v>
      </c>
    </row>
    <row r="106" ht="22.5" customHeight="1">
      <c r="A106" s="7" t="str">
        <f>IFERROR(__xludf.DUMMYFUNCTION("GOOGLETRANSLATE(G106, ""de"", ""en"")"),"105")</f>
        <v>105</v>
      </c>
      <c r="B106" s="7" t="str">
        <f>IFERROR(__xludf.DUMMYFUNCTION("GOOGLETRANSLATE(H106, ""de"", ""en"")"),"The course is muddy after the rain and your ball is losing momentum. How do you adjust your throw?")</f>
        <v>The course is muddy after the rain and your ball is losing momentum. How do you adjust your throw?</v>
      </c>
      <c r="C106" s="7" t="s">
        <v>1545</v>
      </c>
      <c r="D106" s="7" t="str">
        <f>IFERROR(__xludf.DUMMYFUNCTION("GOOGLETRANSLATE(J106, ""de"", ""en"")"),"Use a controlled, precise throw.")</f>
        <v>Use a controlled, precise throw.</v>
      </c>
      <c r="E106" s="7" t="str">
        <f>IFERROR(__xludf.DUMMYFUNCTION("GOOGLETRANSLATE(K106, ""de"", ""en"")"),"A controlled throw prevents the ball from losing too much speed in muddy conditions.")</f>
        <v>A controlled throw prevents the ball from losing too much speed in muddy conditions.</v>
      </c>
      <c r="G106" s="8">
        <v>105.0</v>
      </c>
      <c r="H106" s="7" t="s">
        <v>1546</v>
      </c>
      <c r="I106" s="9" t="s">
        <v>1547</v>
      </c>
      <c r="J106" s="7" t="s">
        <v>1438</v>
      </c>
      <c r="K106" s="7" t="s">
        <v>1548</v>
      </c>
    </row>
    <row r="107" ht="22.5" customHeight="1">
      <c r="A107" s="7" t="str">
        <f>IFERROR(__xludf.DUMMYFUNCTION("GOOGLETRANSLATE(G107, ""de"", ""en"")"),"106")</f>
        <v>106</v>
      </c>
      <c r="B107" s="7" t="str">
        <f>IFERROR(__xludf.DUMMYFUNCTION("GOOGLETRANSLATE(H107, ""de"", ""en"")"),"They are in the lead, but are approaching a difficult turning point. What is your strategy?")</f>
        <v>They are in the lead, but are approaching a difficult turning point. What is your strategy?</v>
      </c>
      <c r="C107" s="7" t="s">
        <v>1549</v>
      </c>
      <c r="D107" s="7" t="str">
        <f>IFERROR(__xludf.DUMMYFUNCTION("GOOGLETRANSLATE(J107, ""de"", ""en"")"),"Slow down and take the curve carefully.")</f>
        <v>Slow down and take the curve carefully.</v>
      </c>
      <c r="E107" s="7" t="str">
        <f>IFERROR(__xludf.DUMMYFUNCTION("GOOGLETRANSLATE(K107, ""de"", ""en"")"),"Slowing down ensures that you can manage the curve without losing control.")</f>
        <v>Slowing down ensures that you can manage the curve without losing control.</v>
      </c>
      <c r="G107" s="8">
        <v>106.0</v>
      </c>
      <c r="H107" s="7" t="s">
        <v>1550</v>
      </c>
      <c r="I107" s="9" t="s">
        <v>1551</v>
      </c>
      <c r="J107" s="7" t="s">
        <v>1552</v>
      </c>
      <c r="K107" s="7" t="s">
        <v>1553</v>
      </c>
    </row>
    <row r="108" ht="22.5" customHeight="1">
      <c r="A108" s="7" t="str">
        <f>IFERROR(__xludf.DUMMYFUNCTION("GOOGLETRANSLATE(G108, ""de"", ""en"")"),"107")</f>
        <v>107</v>
      </c>
      <c r="B108" s="7" t="str">
        <f>IFERROR(__xludf.DUMMYFUNCTION("GOOGLETRANSLATE(H108, ""de"", ""en"")"),"Your ball is approaching a sharp curve and you need to make a quick decision. What do you do?")</f>
        <v>Your ball is approaching a sharp curve and you need to make a quick decision. What do you do?</v>
      </c>
      <c r="C108" s="7" t="s">
        <v>1554</v>
      </c>
      <c r="D108" s="7" t="str">
        <f>IFERROR(__xludf.DUMMYFUNCTION("GOOGLETRANSLATE(J108, ""de"", ""en"")"),"Use a curved throw to navigate it.")</f>
        <v>Use a curved throw to navigate it.</v>
      </c>
      <c r="E108" s="7" t="str">
        <f>IFERROR(__xludf.DUMMYFUNCTION("GOOGLETRANSLATE(K108, ""de"", ""en"")"),"A curved throw helps to navigate sharp turns without losing control.")</f>
        <v>A curved throw helps to navigate sharp turns without losing control.</v>
      </c>
      <c r="G108" s="8">
        <v>107.0</v>
      </c>
      <c r="H108" s="7" t="s">
        <v>1555</v>
      </c>
      <c r="I108" s="9" t="s">
        <v>1556</v>
      </c>
      <c r="J108" s="7" t="s">
        <v>1557</v>
      </c>
      <c r="K108" s="7" t="s">
        <v>1558</v>
      </c>
    </row>
    <row r="109" ht="22.5" customHeight="1">
      <c r="A109" s="7" t="str">
        <f>IFERROR(__xludf.DUMMYFUNCTION("GOOGLETRANSLATE(G109, ""de"", ""en"")"),"108")</f>
        <v>108</v>
      </c>
      <c r="B109" s="7" t="str">
        <f>IFERROR(__xludf.DUMMYFUNCTION("GOOGLETRANSLATE(H109, ""de"", ""en"")"),"The wind is blowing from the side, causing your ball to drift. What is your best strategy?")</f>
        <v>The wind is blowing from the side, causing your ball to drift. What is your best strategy?</v>
      </c>
      <c r="C109" s="7" t="s">
        <v>1559</v>
      </c>
      <c r="D109" s="7" t="str">
        <f>IFERROR(__xludf.DUMMYFUNCTION("GOOGLETRANSLATE(J109, ""de"", ""en"")"),"Adjust your target to take the wind into account.")</f>
        <v>Adjust your target to take the wind into account.</v>
      </c>
      <c r="E109" s="7" t="str">
        <f>IFERROR(__xludf.DUMMYFUNCTION("GOOGLETRANSLATE(K109, ""de"", ""en"")"),"By adjusting your target, you can counteract the effects of the wind and keep the ball on track.")</f>
        <v>By adjusting your target, you can counteract the effects of the wind and keep the ball on track.</v>
      </c>
      <c r="G109" s="8">
        <v>108.0</v>
      </c>
      <c r="H109" s="7" t="s">
        <v>1560</v>
      </c>
      <c r="I109" s="9" t="s">
        <v>1561</v>
      </c>
      <c r="J109" s="7" t="s">
        <v>1562</v>
      </c>
      <c r="K109" s="7" t="s">
        <v>1563</v>
      </c>
    </row>
    <row r="110" ht="22.5" customHeight="1">
      <c r="A110" s="7" t="str">
        <f>IFERROR(__xludf.DUMMYFUNCTION("GOOGLETRANSLATE(G110, ""de"", ""en"")"),"109")</f>
        <v>109</v>
      </c>
      <c r="B110" s="7" t="str">
        <f>IFERROR(__xludf.DUMMYFUNCTION("GOOGLETRANSLATE(H110, ""de"", ""en"")"),"The finish line is in sight, but the course is narrow. What is your best course of action?")</f>
        <v>The finish line is in sight, but the course is narrow. What is your best course of action?</v>
      </c>
      <c r="C110" s="7" t="s">
        <v>1564</v>
      </c>
      <c r="D110" s="7" t="str">
        <f>IFERROR(__xludf.DUMMYFUNCTION("GOOGLETRANSLATE(J110, ""de"", ""en"")"),"Use a curved throw to stay on track.")</f>
        <v>Use a curved throw to stay on track.</v>
      </c>
      <c r="E110" s="7" t="str">
        <f>IFERROR(__xludf.DUMMYFUNCTION("GOOGLETRANSLATE(K110, ""de"", ""en"")"),"A curved throw helps you stay in the narrow lane and avoid penalties.")</f>
        <v>A curved throw helps you stay in the narrow lane and avoid penalties.</v>
      </c>
      <c r="G110" s="8">
        <v>109.0</v>
      </c>
      <c r="H110" s="7" t="s">
        <v>1565</v>
      </c>
      <c r="I110" s="9" t="s">
        <v>1566</v>
      </c>
      <c r="J110" s="7" t="s">
        <v>1567</v>
      </c>
      <c r="K110" s="7" t="s">
        <v>1568</v>
      </c>
    </row>
    <row r="111" ht="22.5" customHeight="1">
      <c r="A111" s="7" t="str">
        <f>IFERROR(__xludf.DUMMYFUNCTION("GOOGLETRANSLATE(G111, ""de"", ""en"")"),"110")</f>
        <v>110</v>
      </c>
      <c r="B111" s="7" t="str">
        <f>IFERROR(__xludf.DUMMYFUNCTION("GOOGLETRANSLATE(H111, ""de"", ""en"")"),"Your ball is approaching a narrow section of the track with obstacles ahead. What should you do?")</f>
        <v>Your ball is approaching a narrow section of the track with obstacles ahead. What should you do?</v>
      </c>
      <c r="C111" s="7" t="s">
        <v>1569</v>
      </c>
      <c r="D111" s="7" t="str">
        <f>IFERROR(__xludf.DUMMYFUNCTION("GOOGLETRANSLATE(J111, ""de"", ""en"")"),"Use a controlled, precise throw.")</f>
        <v>Use a controlled, precise throw.</v>
      </c>
      <c r="E111" s="7" t="str">
        <f>IFERROR(__xludf.DUMMYFUNCTION("GOOGLETRANSLATE(K111, ""de"", ""en"")"),"A controlled, precise throw avoids obstacles and keeps the ball on course.")</f>
        <v>A controlled, precise throw avoids obstacles and keeps the ball on course.</v>
      </c>
      <c r="G111" s="8">
        <v>110.0</v>
      </c>
      <c r="H111" s="7" t="s">
        <v>1570</v>
      </c>
      <c r="I111" s="9" t="s">
        <v>1571</v>
      </c>
      <c r="J111" s="7" t="s">
        <v>1438</v>
      </c>
      <c r="K111" s="7" t="s">
        <v>1572</v>
      </c>
    </row>
    <row r="112" ht="22.5" customHeight="1">
      <c r="A112" s="7" t="str">
        <f>IFERROR(__xludf.DUMMYFUNCTION("GOOGLETRANSLATE(G112, ""de"", ""en"")"),"111")</f>
        <v>111</v>
      </c>
      <c r="B112" s="7" t="str">
        <f>IFERROR(__xludf.DUMMYFUNCTION("GOOGLETRANSLATE(H112, ""de"", ""en"")"),"You're near the end and your ball is rolling too slowly. How do you fix that?")</f>
        <v>You're near the end and your ball is rolling too slowly. How do you fix that?</v>
      </c>
      <c r="C112" s="7" t="s">
        <v>1573</v>
      </c>
      <c r="D112" s="7" t="str">
        <f>IFERROR(__xludf.DUMMYFUNCTION("GOOGLETRANSLATE(J112, ""de"", ""en"")"),"Throw harder to regain speed.")</f>
        <v>Throw harder to regain speed.</v>
      </c>
      <c r="E112" s="7" t="str">
        <f>IFERROR(__xludf.DUMMYFUNCTION("GOOGLETRANSLATE(K112, ""de"", ""en"")"),"Throwing harder helps to build the necessary momentum to become strong.")</f>
        <v>Throwing harder helps to build the necessary momentum to become strong.</v>
      </c>
      <c r="G112" s="8">
        <v>111.0</v>
      </c>
      <c r="H112" s="7" t="s">
        <v>1574</v>
      </c>
      <c r="I112" s="9" t="s">
        <v>1575</v>
      </c>
      <c r="J112" s="7" t="s">
        <v>1576</v>
      </c>
      <c r="K112" s="7" t="s">
        <v>1577</v>
      </c>
    </row>
    <row r="113" ht="22.5" customHeight="1">
      <c r="A113" s="7" t="str">
        <f>IFERROR(__xludf.DUMMYFUNCTION("GOOGLETRANSLATE(G113, ""de"", ""en"")"),"112")</f>
        <v>112</v>
      </c>
      <c r="B113" s="7" t="str">
        <f>IFERROR(__xludf.DUMMYFUNCTION("GOOGLETRANSLATE(H113, ""de"", ""en"")"),"Your ball slows down on a long stretch of flat terrain. What do you do?")</f>
        <v>Your ball slows down on a long stretch of flat terrain. What do you do?</v>
      </c>
      <c r="C113" s="7" t="s">
        <v>1578</v>
      </c>
      <c r="D113" s="7" t="str">
        <f>IFERROR(__xludf.DUMMYFUNCTION("GOOGLETRANSLATE(J113, ""de"", ""en"")"),"Throw harder to regain speed.")</f>
        <v>Throw harder to regain speed.</v>
      </c>
      <c r="E113" s="7" t="str">
        <f>IFERROR(__xludf.DUMMYFUNCTION("GOOGLETRANSLATE(K113, ""de"", ""en"")"),"Throwing harder helps to push the ball forward and overcome friction.")</f>
        <v>Throwing harder helps to push the ball forward and overcome friction.</v>
      </c>
      <c r="G113" s="8">
        <v>112.0</v>
      </c>
      <c r="H113" s="7" t="s">
        <v>1579</v>
      </c>
      <c r="I113" s="9" t="s">
        <v>1580</v>
      </c>
      <c r="J113" s="7" t="s">
        <v>1576</v>
      </c>
      <c r="K113" s="7" t="s">
        <v>1581</v>
      </c>
    </row>
    <row r="114" ht="22.5" customHeight="1">
      <c r="A114" s="7" t="str">
        <f>IFERROR(__xludf.DUMMYFUNCTION("GOOGLETRANSLATE(G114, ""de"", ""en"")"),"113")</f>
        <v>113</v>
      </c>
      <c r="B114" s="7" t="str">
        <f>IFERROR(__xludf.DUMMYFUNCTION("GOOGLETRANSLATE(H114, ""de"", ""en"")"),"You are approaching a sharp bend, but there is a large rock in the way. How do you avoid it?")</f>
        <v>You are approaching a sharp bend, but there is a large rock in the way. How do you avoid it?</v>
      </c>
      <c r="C114" s="7" t="s">
        <v>1582</v>
      </c>
      <c r="D114" s="7" t="str">
        <f>IFERROR(__xludf.DUMMYFUNCTION("GOOGLETRANSLATE(J114, ""de"", ""en"")"),"Use a side shot to clear the stone.")</f>
        <v>Use a side shot to clear the stone.</v>
      </c>
      <c r="E114" s="7" t="str">
        <f>IFERROR(__xludf.DUMMYFUNCTION("GOOGLETRANSLATE(K114, ""de"", ""en"")"),"A side view helps with navigating around obstacles and avoids interference.")</f>
        <v>A side view helps with navigating around obstacles and avoids interference.</v>
      </c>
      <c r="G114" s="8">
        <v>113.0</v>
      </c>
      <c r="H114" s="7" t="s">
        <v>1583</v>
      </c>
      <c r="I114" s="9" t="s">
        <v>1584</v>
      </c>
      <c r="J114" s="7" t="s">
        <v>1585</v>
      </c>
      <c r="K114" s="7" t="s">
        <v>1586</v>
      </c>
    </row>
    <row r="115" ht="22.5" customHeight="1">
      <c r="A115" s="7" t="str">
        <f>IFERROR(__xludf.DUMMYFUNCTION("GOOGLETRANSLATE(G115, ""de"", ""en"")"),"114")</f>
        <v>114</v>
      </c>
      <c r="B115" s="7" t="str">
        <f>IFERROR(__xludf.DUMMYFUNCTION("GOOGLETRANSLATE(H115, ""de"", ""en"")"),"Your opponent has thrown their ball forward, but there's a strong headwind. How do you deal with that?")</f>
        <v>Your opponent has thrown their ball forward, but there's a strong headwind. How do you deal with that?</v>
      </c>
      <c r="C115" s="7" t="s">
        <v>1587</v>
      </c>
      <c r="D115" s="7" t="str">
        <f>IFERROR(__xludf.DUMMYFUNCTION("GOOGLETRANSLATE(J115, ""de"", ""en"")"),"Throw with a higher arc to combat the wind.")</f>
        <v>Throw with a higher arc to combat the wind.</v>
      </c>
      <c r="E115" s="7" t="str">
        <f>IFERROR(__xludf.DUMMYFUNCTION("GOOGLETRANSLATE(K115, ""de"", ""en"")"),"A higher arc minimizes the influence of headwinds by reducing the ball's contact with the wind.")</f>
        <v>A higher arc minimizes the influence of headwinds by reducing the ball's contact with the wind.</v>
      </c>
      <c r="G115" s="8">
        <v>114.0</v>
      </c>
      <c r="H115" s="7" t="s">
        <v>1588</v>
      </c>
      <c r="I115" s="9" t="s">
        <v>1589</v>
      </c>
      <c r="J115" s="7" t="s">
        <v>1590</v>
      </c>
      <c r="K115" s="7" t="s">
        <v>1591</v>
      </c>
    </row>
    <row r="116" ht="22.5" customHeight="1">
      <c r="A116" s="7" t="str">
        <f>IFERROR(__xludf.DUMMYFUNCTION("GOOGLETRANSLATE(G116, ""de"", ""en"")"),"115")</f>
        <v>115</v>
      </c>
      <c r="B116" s="7" t="str">
        <f>IFERROR(__xludf.DUMMYFUNCTION("GOOGLETRANSLATE(H116, ""de"", ""en"")"),"The track is clear, but the surface is icy. What's your throwing strategy?")</f>
        <v>The track is clear, but the surface is icy. What's your throwing strategy?</v>
      </c>
      <c r="C116" s="7" t="s">
        <v>1592</v>
      </c>
      <c r="D116" s="7" t="str">
        <f>IFERROR(__xludf.DUMMYFUNCTION("GOOGLETRANSLATE(J116, ""de"", ""en"")"),"Use a controlled, gentle throw.")</f>
        <v>Use a controlled, gentle throw.</v>
      </c>
      <c r="E116" s="7" t="str">
        <f>IFERROR(__xludf.DUMMYFUNCTION("GOOGLETRANSLATE(K116, ""de"", ""en"")"),"A gentle throw helps to maintain control over the slippery surface.")</f>
        <v>A gentle throw helps to maintain control over the slippery surface.</v>
      </c>
      <c r="G116" s="8">
        <v>115.0</v>
      </c>
      <c r="H116" s="7" t="s">
        <v>1593</v>
      </c>
      <c r="I116" s="9" t="s">
        <v>1594</v>
      </c>
      <c r="J116" s="7" t="s">
        <v>1141</v>
      </c>
      <c r="K116" s="7" t="s">
        <v>1595</v>
      </c>
    </row>
    <row r="117" ht="22.5" customHeight="1">
      <c r="A117" s="7" t="str">
        <f>IFERROR(__xludf.DUMMYFUNCTION("GOOGLETRANSLATE(G117, ""de"", ""en"")"),"116")</f>
        <v>116</v>
      </c>
      <c r="B117" s="7" t="str">
        <f>IFERROR(__xludf.DUMMYFUNCTION("GOOGLETRANSLATE(H117, ""de"", ""en"")"),"The ball is approaching a small bump in the track. What's the best way to deal with it?")</f>
        <v>The ball is approaching a small bump in the track. What's the best way to deal with it?</v>
      </c>
      <c r="C117" s="7" t="s">
        <v>1596</v>
      </c>
      <c r="D117" s="7" t="str">
        <f>IFERROR(__xludf.DUMMYFUNCTION("GOOGLETRANSLATE(J117, ""de"", ""en"")"),"Slow down your throw and aim carefully.")</f>
        <v>Slow down your throw and aim carefully.</v>
      </c>
      <c r="E117" s="7" t="str">
        <f>IFERROR(__xludf.DUMMYFUNCTION("GOOGLETRANSLATE(K117, ""de"", ""en"")"),"Slowing down helps maintain control and reduces the likelihood of losing balance over uneven terrain.")</f>
        <v>Slowing down helps maintain control and reduces the likelihood of losing balance over uneven terrain.</v>
      </c>
      <c r="G117" s="8">
        <v>116.0</v>
      </c>
      <c r="H117" s="7" t="s">
        <v>1597</v>
      </c>
      <c r="I117" s="9" t="s">
        <v>1598</v>
      </c>
      <c r="J117" s="7" t="s">
        <v>1599</v>
      </c>
      <c r="K117" s="7" t="s">
        <v>1600</v>
      </c>
    </row>
    <row r="118" ht="22.5" customHeight="1">
      <c r="A118" s="7" t="str">
        <f>IFERROR(__xludf.DUMMYFUNCTION("GOOGLETRANSLATE(G118, ""de"", ""en"")"),"117")</f>
        <v>117</v>
      </c>
      <c r="B118" s="7" t="str">
        <f>IFERROR(__xludf.DUMMYFUNCTION("GOOGLETRANSLATE(H118, ""de"", ""en"")"),"Your ball is about to hit a large puddle, but you don't have much time. What do you do?")</f>
        <v>Your ball is about to hit a large puddle, but you don't have much time. What do you do?</v>
      </c>
      <c r="C118" s="7" t="s">
        <v>1601</v>
      </c>
      <c r="D118" s="7" t="str">
        <f>IFERROR(__xludf.DUMMYFUNCTION("GOOGLETRANSLATE(J118, ""de"", ""en"")"),"Take a side-entry shot to avoid this.")</f>
        <v>Take a side-entry shot to avoid this.</v>
      </c>
      <c r="E118" s="7" t="str">
        <f>IFERROR(__xludf.DUMMYFUNCTION("GOOGLETRANSLATE(K118, ""de"", ""en"")"),"A side kick keeps the ball from hitting the puddle, preventing a loss of speed.")</f>
        <v>A side kick keeps the ball from hitting the puddle, preventing a loss of speed.</v>
      </c>
      <c r="G118" s="8">
        <v>117.0</v>
      </c>
      <c r="H118" s="7" t="s">
        <v>1602</v>
      </c>
      <c r="I118" s="9" t="s">
        <v>1603</v>
      </c>
      <c r="J118" s="7" t="s">
        <v>1604</v>
      </c>
      <c r="K118" s="7" t="s">
        <v>1605</v>
      </c>
    </row>
    <row r="119" ht="22.5" customHeight="1">
      <c r="A119" s="7" t="str">
        <f>IFERROR(__xludf.DUMMYFUNCTION("GOOGLETRANSLATE(G119, ""de"", ""en"")"),"118")</f>
        <v>118</v>
      </c>
      <c r="B119" s="7" t="str">
        <f>IFERROR(__xludf.DUMMYFUNCTION("GOOGLETRANSLATE(H119, ""de"", ""en"")"),"You're in the middle of a game and there's a sudden gust of wind. How do you adapt?")</f>
        <v>You're in the middle of a game and there's a sudden gust of wind. How do you adapt?</v>
      </c>
      <c r="C119" s="7" t="s">
        <v>1606</v>
      </c>
      <c r="D119" s="7" t="str">
        <f>IFERROR(__xludf.DUMMYFUNCTION("GOOGLETRANSLATE(J119, ""de"", ""en"")"),"Adjust your throw to aim for the side")</f>
        <v>Adjust your throw to aim for the side</v>
      </c>
      <c r="E119" s="7" t="str">
        <f>IFERROR(__xludf.DUMMYFUNCTION("GOOGLETRANSLATE(K119, ""de"", ""en"")"),"The side's design counteracts the wind's effect on your ball.")</f>
        <v>The side's design counteracts the wind's effect on your ball.</v>
      </c>
      <c r="G119" s="8">
        <v>118.0</v>
      </c>
      <c r="H119" s="7" t="s">
        <v>1607</v>
      </c>
      <c r="I119" s="9" t="s">
        <v>1608</v>
      </c>
      <c r="J119" s="7" t="s">
        <v>1609</v>
      </c>
      <c r="K119" s="7" t="s">
        <v>1610</v>
      </c>
    </row>
    <row r="120" ht="22.5" customHeight="1">
      <c r="A120" s="7" t="str">
        <f>IFERROR(__xludf.DUMMYFUNCTION("GOOGLETRANSLATE(G120, ""de"", ""en"")"),"119")</f>
        <v>119</v>
      </c>
      <c r="B120" s="7" t="str">
        <f>IFERROR(__xludf.DUMMYFUNCTION("GOOGLETRANSLATE(H120, ""de"", ""en"")"),"You are facing a difficult obstacle at the front. What is your best course of action?")</f>
        <v>You are facing a difficult obstacle at the front. What is your best course of action?</v>
      </c>
      <c r="C120" s="7" t="s">
        <v>1611</v>
      </c>
      <c r="D120" s="7" t="str">
        <f>IFERROR(__xludf.DUMMYFUNCTION("GOOGLETRANSLATE(J120, ""de"", ""en"")"),"Use a side throw to bypass it.")</f>
        <v>Use a side throw to bypass it.</v>
      </c>
      <c r="E120" s="7" t="str">
        <f>IFERROR(__xludf.DUMMYFUNCTION("GOOGLETRANSLATE(K120, ""de"", ""en"")"),"A side throw helps to avoid obstacles and maintain a steady roll.")</f>
        <v>A side throw helps to avoid obstacles and maintain a steady roll.</v>
      </c>
      <c r="G120" s="8">
        <v>119.0</v>
      </c>
      <c r="H120" s="7" t="s">
        <v>1612</v>
      </c>
      <c r="I120" s="9" t="s">
        <v>1613</v>
      </c>
      <c r="J120" s="7" t="s">
        <v>1614</v>
      </c>
      <c r="K120" s="7" t="s">
        <v>1615</v>
      </c>
    </row>
    <row r="121" ht="22.5" customHeight="1">
      <c r="A121" s="7" t="str">
        <f>IFERROR(__xludf.DUMMYFUNCTION("GOOGLETRANSLATE(G121, ""de"", ""en"")"),"120")</f>
        <v>120</v>
      </c>
      <c r="B121" s="7" t="str">
        <f>IFERROR(__xludf.DUMMYFUNCTION("GOOGLETRANSLATE(H121, ""de"", ""en"")"),"The terrain in front of us is uneven with several small hills. How do you adjust your throw?")</f>
        <v>The terrain in front of us is uneven with several small hills. How do you adjust your throw?</v>
      </c>
      <c r="C121" s="7" t="s">
        <v>1616</v>
      </c>
      <c r="D121" s="7" t="str">
        <f>IFERROR(__xludf.DUMMYFUNCTION("GOOGLETRANSLATE(J121, ""de"", ""en"")"),"Use a high arc throw to clear them.")</f>
        <v>Use a high arc throw to clear them.</v>
      </c>
      <c r="E121" s="7" t="str">
        <f>IFERROR(__xludf.DUMMYFUNCTION("GOOGLETRANSLATE(K121, ""de"", ""en"")"),"A high arc helps the ball clear small hills and uneven terrain.")</f>
        <v>A high arc helps the ball clear small hills and uneven terrain.</v>
      </c>
      <c r="G121" s="8">
        <v>120.0</v>
      </c>
      <c r="H121" s="7" t="s">
        <v>1617</v>
      </c>
      <c r="I121" s="9" t="s">
        <v>1618</v>
      </c>
      <c r="J121" s="7" t="s">
        <v>1619</v>
      </c>
      <c r="K121" s="7" t="s">
        <v>1620</v>
      </c>
    </row>
    <row r="122" ht="22.5" customHeight="1">
      <c r="A122" s="7" t="str">
        <f>IFERROR(__xludf.DUMMYFUNCTION("GOOGLETRANSLATE(G122, ""de"", ""en"")"),"121")</f>
        <v>121</v>
      </c>
      <c r="B122" s="7" t="str">
        <f>IFERROR(__xludf.DUMMYFUNCTION("GOOGLETRANSLATE(H122, ""de"", ""en"")"),"You're racing towards the finish line, but the last stretch is downhill. How do you deal with that?")</f>
        <v>You're racing towards the finish line, but the last stretch is downhill. How do you deal with that?</v>
      </c>
      <c r="C122" s="7" t="s">
        <v>1621</v>
      </c>
      <c r="D122" s="7" t="str">
        <f>IFERROR(__xludf.DUMMYFUNCTION("GOOGLETRANSLATE(J122, ""de"", ""en"")"),"Slow your throw to control the ball.")</f>
        <v>Slow your throw to control the ball.</v>
      </c>
      <c r="E122" s="7" t="str">
        <f>IFERROR(__xludf.DUMMYFUNCTION("GOOGLETRANSLATE(K122, ""de"", ""en"")"),"Slowing down ensures that you can control the ball as it increases speed downhill.")</f>
        <v>Slowing down ensures that you can control the ball as it increases speed downhill.</v>
      </c>
      <c r="G122" s="8">
        <v>121.0</v>
      </c>
      <c r="H122" s="7" t="s">
        <v>1622</v>
      </c>
      <c r="I122" s="9" t="s">
        <v>1623</v>
      </c>
      <c r="J122" s="7" t="s">
        <v>1624</v>
      </c>
      <c r="K122" s="7" t="s">
        <v>1625</v>
      </c>
    </row>
    <row r="123" ht="22.5" customHeight="1">
      <c r="A123" s="7" t="str">
        <f>IFERROR(__xludf.DUMMYFUNCTION("GOOGLETRANSLATE(G123, ""de"", ""en"")"),"122")</f>
        <v>122</v>
      </c>
      <c r="B123" s="7" t="str">
        <f>IFERROR(__xludf.DUMMYFUNCTION("GOOGLETRANSLATE(H123, ""de"", ""en"")"),"The track is straight, but your ball is spinning sideways. What do you do?")</f>
        <v>The track is straight, but your ball is spinning sideways. What do you do?</v>
      </c>
      <c r="C123" s="7" t="s">
        <v>1626</v>
      </c>
      <c r="D123" s="7" t="str">
        <f>IFERROR(__xludf.DUMMYFUNCTION("GOOGLETRANSLATE(J123, ""de"", ""en"")"),"Use a side throw to correct its path.")</f>
        <v>Use a side throw to correct its path.</v>
      </c>
      <c r="E123" s="7" t="str">
        <f>IFERROR(__xludf.DUMMYFUNCTION("GOOGLETRANSLATE(K123, ""de"", ""en"")"),"A side throw adjusts the direction of the ball and gets it back on track.")</f>
        <v>A side throw adjusts the direction of the ball and gets it back on track.</v>
      </c>
      <c r="G123" s="8">
        <v>122.0</v>
      </c>
      <c r="H123" s="7" t="s">
        <v>1627</v>
      </c>
      <c r="I123" s="9" t="s">
        <v>1628</v>
      </c>
      <c r="J123" s="7" t="s">
        <v>1629</v>
      </c>
      <c r="K123" s="7" t="s">
        <v>1630</v>
      </c>
    </row>
    <row r="124" ht="22.5" customHeight="1">
      <c r="A124" s="7" t="str">
        <f>IFERROR(__xludf.DUMMYFUNCTION("GOOGLETRANSLATE(G124, ""de"", ""en"")"),"123")</f>
        <v>123</v>
      </c>
      <c r="B124" s="7" t="str">
        <f>IFERROR(__xludf.DUMMYFUNCTION("GOOGLETRANSLATE(H124, ""de"", ""en"")"),"You notice that the track ahead has a sharp bend. What's the best way to approach it?")</f>
        <v>You notice that the track ahead has a sharp bend. What's the best way to approach it?</v>
      </c>
      <c r="C124" s="7" t="s">
        <v>1631</v>
      </c>
      <c r="D124" s="7" t="str">
        <f>IFERROR(__xludf.DUMMYFUNCTION("GOOGLETRANSLATE(J124, ""de"", ""en"")"),"Use a side throw to navigate through the curve.")</f>
        <v>Use a side throw to navigate through the curve.</v>
      </c>
      <c r="E124" s="7" t="str">
        <f>IFERROR(__xludf.DUMMYFUNCTION("GOOGLETRANSLATE(K124, ""de"", ""en"")"),"A side throw helps to navigate sharp turns safely without losing control.")</f>
        <v>A side throw helps to navigate sharp turns safely without losing control.</v>
      </c>
      <c r="G124" s="8">
        <v>123.0</v>
      </c>
      <c r="H124" s="7" t="s">
        <v>1632</v>
      </c>
      <c r="I124" s="9" t="s">
        <v>1633</v>
      </c>
      <c r="J124" s="7" t="s">
        <v>1634</v>
      </c>
      <c r="K124" s="7" t="s">
        <v>1635</v>
      </c>
    </row>
    <row r="125" ht="22.5" customHeight="1">
      <c r="A125" s="7" t="str">
        <f>IFERROR(__xludf.DUMMYFUNCTION("GOOGLETRANSLATE(G125, ""de"", ""en"")"),"124")</f>
        <v>124</v>
      </c>
      <c r="B125" s="7" t="str">
        <f>IFERROR(__xludf.DUMMYFUNCTION("GOOGLETRANSLATE(H125, ""de"", ""en"")"),"The ball is approaching a large rock. How do you avoid hitting it?")</f>
        <v>The ball is approaching a large rock. How do you avoid hitting it?</v>
      </c>
      <c r="C125" s="7" t="s">
        <v>1636</v>
      </c>
      <c r="D125" s="7" t="str">
        <f>IFERROR(__xludf.DUMMYFUNCTION("GOOGLETRANSLATE(J125, ""de"", ""en"")"),"Use a side shot to steer around him.")</f>
        <v>Use a side shot to steer around him.</v>
      </c>
      <c r="E125" s="7" t="str">
        <f>IFERROR(__xludf.DUMMYFUNCTION("GOOGLETRANSLATE(K125, ""de"", ""en"")"),"A side shot helps to avoid stones and maintain momentum without obstruction.")</f>
        <v>A side shot helps to avoid stones and maintain momentum without obstruction.</v>
      </c>
      <c r="G125" s="8">
        <v>124.0</v>
      </c>
      <c r="H125" s="7" t="s">
        <v>1637</v>
      </c>
      <c r="I125" s="9" t="s">
        <v>1638</v>
      </c>
      <c r="J125" s="7" t="s">
        <v>1639</v>
      </c>
      <c r="K125" s="7" t="s">
        <v>1640</v>
      </c>
    </row>
    <row r="126" ht="22.5" customHeight="1">
      <c r="A126" s="7" t="str">
        <f>IFERROR(__xludf.DUMMYFUNCTION("GOOGLETRANSLATE(G126, ""de"", ""en"")"),"125")</f>
        <v>125</v>
      </c>
      <c r="B126" s="7" t="str">
        <f>IFERROR(__xludf.DUMMYFUNCTION("GOOGLETRANSLATE(H126, ""de"", ""en"")"),"The route is a long, straight stretch, but the ground is rough. How do you adjust your throw?")</f>
        <v>The route is a long, straight stretch, but the ground is rough. How do you adjust your throw?</v>
      </c>
      <c r="C126" s="7" t="s">
        <v>1641</v>
      </c>
      <c r="D126" s="7" t="str">
        <f>IFERROR(__xludf.DUMMYFUNCTION("GOOGLETRANSLATE(J126, ""de"", ""en"")"),"Throw with precision to maintain control.")</f>
        <v>Throw with precision to maintain control.</v>
      </c>
      <c r="E126" s="7" t="str">
        <f>IFERROR(__xludf.DUMMYFUNCTION("GOOGLETRANSLATE(K126, ""de"", ""en"")"),"Precision is key to avoiding losing control over rough terrain.")</f>
        <v>Precision is key to avoiding losing control over rough terrain.</v>
      </c>
      <c r="G126" s="8">
        <v>125.0</v>
      </c>
      <c r="H126" s="7" t="s">
        <v>1642</v>
      </c>
      <c r="I126" s="9" t="s">
        <v>1643</v>
      </c>
      <c r="J126" s="7" t="s">
        <v>1644</v>
      </c>
      <c r="K126" s="7" t="s">
        <v>1645</v>
      </c>
    </row>
    <row r="127" ht="22.5" customHeight="1">
      <c r="A127" s="7" t="str">
        <f>IFERROR(__xludf.DUMMYFUNCTION("GOOGLETRANSLATE(G127, ""de"", ""en"")"),"126")</f>
        <v>126</v>
      </c>
      <c r="B127" s="7" t="str">
        <f>IFERROR(__xludf.DUMMYFUNCTION("GOOGLETRANSLATE(H127, ""de"", ""en"")"),"You're approaching a hill, but your ball is rolling too fast. How do you slow it down?")</f>
        <v>You're approaching a hill, but your ball is rolling too fast. How do you slow it down?</v>
      </c>
      <c r="C127" s="7" t="s">
        <v>1646</v>
      </c>
      <c r="D127" s="7" t="str">
        <f>IFERROR(__xludf.DUMMYFUNCTION("GOOGLETRANSLATE(J127, ""de"", ""en"")"),"Throw more gently to reduce the speed.")</f>
        <v>Throw more gently to reduce the speed.</v>
      </c>
      <c r="E127" s="7" t="str">
        <f>IFERROR(__xludf.DUMMYFUNCTION("GOOGLETRANSLATE(K127, ""de"", ""en"")"),"A softer throw reduces the dynamics and allows you to approach the hill safely.")</f>
        <v>A softer throw reduces the dynamics and allows you to approach the hill safely.</v>
      </c>
      <c r="G127" s="8">
        <v>126.0</v>
      </c>
      <c r="H127" s="7" t="s">
        <v>1647</v>
      </c>
      <c r="I127" s="9" t="s">
        <v>1648</v>
      </c>
      <c r="J127" s="7" t="s">
        <v>1649</v>
      </c>
      <c r="K127" s="7" t="s">
        <v>1650</v>
      </c>
    </row>
    <row r="128" ht="22.5" customHeight="1">
      <c r="A128" s="7" t="str">
        <f>IFERROR(__xludf.DUMMYFUNCTION("GOOGLETRANSLATE(G128, ""de"", ""en"")"),"127")</f>
        <v>127</v>
      </c>
      <c r="B128" s="7" t="str">
        <f>IFERROR(__xludf.DUMMYFUNCTION("GOOGLETRANSLATE(H128, ""de"", ""en"")"),"The finish line is ahead, but your opponent is close behind. How do you secure your victory?")</f>
        <v>The finish line is ahead, but your opponent is close behind. How do you secure your victory?</v>
      </c>
      <c r="C128" s="7" t="s">
        <v>1651</v>
      </c>
      <c r="D128" s="7" t="str">
        <f>IFERROR(__xludf.DUMMYFUNCTION("GOOGLETRANSLATE(J128, ""de"", ""en"")"),"Use a controlled, accurate throw.")</f>
        <v>Use a controlled, accurate throw.</v>
      </c>
      <c r="E128" s="7" t="str">
        <f>IFERROR(__xludf.DUMMYFUNCTION("GOOGLETRANSLATE(K128, ""de"", ""en"")"),"Accuracy helps ensure that you finish smoothly while maintaining your lead.")</f>
        <v>Accuracy helps ensure that you finish smoothly while maintaining your lead.</v>
      </c>
      <c r="G128" s="8">
        <v>127.0</v>
      </c>
      <c r="H128" s="7" t="s">
        <v>1652</v>
      </c>
      <c r="I128" s="9" t="s">
        <v>1653</v>
      </c>
      <c r="J128" s="7" t="s">
        <v>1654</v>
      </c>
      <c r="K128" s="7" t="s">
        <v>1655</v>
      </c>
    </row>
    <row r="129" ht="22.5" customHeight="1">
      <c r="A129" s="7" t="str">
        <f>IFERROR(__xludf.DUMMYFUNCTION("GOOGLETRANSLATE(G129, ""de"", ""en"")"),"128")</f>
        <v>128</v>
      </c>
      <c r="B129" s="7" t="str">
        <f>IFERROR(__xludf.DUMMYFUNCTION("GOOGLETRANSLATE(H129, ""de"", ""en"")"),"The ball is approaching a narrow gap between two obstacles. How do you navigate it?")</f>
        <v>The ball is approaching a narrow gap between two obstacles. How do you navigate it?</v>
      </c>
      <c r="C129" s="7" t="s">
        <v>1656</v>
      </c>
      <c r="D129" s="7" t="str">
        <f>IFERROR(__xludf.DUMMYFUNCTION("GOOGLETRANSLATE(J129, ""de"", ""en"")"),"Use a side throw to fit through.")</f>
        <v>Use a side throw to fit through.</v>
      </c>
      <c r="E129" s="7" t="str">
        <f>IFERROR(__xludf.DUMMYFUNCTION("GOOGLETRANSLATE(K129, ""de"", ""en"")"),"A side throw helps to navigate narrow gaps and avoid obstacles.")</f>
        <v>A side throw helps to navigate narrow gaps and avoid obstacles.</v>
      </c>
      <c r="G129" s="8">
        <v>128.0</v>
      </c>
      <c r="H129" s="7" t="s">
        <v>1657</v>
      </c>
      <c r="I129" s="9" t="s">
        <v>1658</v>
      </c>
      <c r="J129" s="7" t="s">
        <v>1659</v>
      </c>
      <c r="K129" s="7" t="s">
        <v>1660</v>
      </c>
    </row>
    <row r="130" ht="22.5" customHeight="1">
      <c r="A130" s="7" t="str">
        <f>IFERROR(__xludf.DUMMYFUNCTION("GOOGLETRANSLATE(G130, ""de"", ""en"")"),"129")</f>
        <v>129</v>
      </c>
      <c r="B130" s="7" t="str">
        <f>IFERROR(__xludf.DUMMYFUNCTION("GOOGLETRANSLATE(H130, ""de"", ""en"")"),"The terrain is muddy and your ball is losing speed. What is your best option?")</f>
        <v>The terrain is muddy and your ball is losing speed. What is your best option?</v>
      </c>
      <c r="C130" s="7" t="s">
        <v>1661</v>
      </c>
      <c r="D130" s="7" t="str">
        <f>IFERROR(__xludf.DUMMYFUNCTION("GOOGLETRANSLATE(J130, ""de"", ""en"")"),"Use a softer, more controlled throw.")</f>
        <v>Use a softer, more controlled throw.</v>
      </c>
      <c r="E130" s="7" t="str">
        <f>IFERROR(__xludf.DUMMYFUNCTION("GOOGLETRANSLATE(K130, ""de"", ""en"")"),"A controlled throw keeps the ball steady and prevents it from getting stuck.")</f>
        <v>A controlled throw keeps the ball steady and prevents it from getting stuck.</v>
      </c>
      <c r="G130" s="8">
        <v>129.0</v>
      </c>
      <c r="H130" s="7" t="s">
        <v>1662</v>
      </c>
      <c r="I130" s="9" t="s">
        <v>1663</v>
      </c>
      <c r="J130" s="7" t="s">
        <v>1664</v>
      </c>
      <c r="K130" s="7" t="s">
        <v>1665</v>
      </c>
    </row>
    <row r="131" ht="22.5" customHeight="1">
      <c r="A131" s="7" t="str">
        <f>IFERROR(__xludf.DUMMYFUNCTION("GOOGLETRANSLATE(G131, ""de"", ""en"")"),"130")</f>
        <v>130</v>
      </c>
      <c r="B131" s="7" t="str">
        <f>IFERROR(__xludf.DUMMYFUNCTION("GOOGLETRANSLATE(H131, ""de"", ""en"")"),"You've reached a tight spot, and there's a risk of reaching a limit. How do you avoid it?")</f>
        <v>You've reached a tight spot, and there's a risk of reaching a limit. How do you avoid it?</v>
      </c>
      <c r="C131" s="7" t="s">
        <v>1666</v>
      </c>
      <c r="D131" s="7" t="str">
        <f>IFERROR(__xludf.DUMMYFUNCTION("GOOGLETRANSLATE(J131, ""de"", ""en"")"),"Use a curved throw to avoid the boundary.")</f>
        <v>Use a curved throw to avoid the boundary.</v>
      </c>
      <c r="E131" s="7" t="str">
        <f>IFERROR(__xludf.DUMMYFUNCTION("GOOGLETRANSLATE(K131, ""de"", ""en"")"),"A curved throw helps the ball go around corners and around boundaries.")</f>
        <v>A curved throw helps the ball go around corners and around boundaries.</v>
      </c>
      <c r="G131" s="8">
        <v>130.0</v>
      </c>
      <c r="H131" s="7" t="s">
        <v>1667</v>
      </c>
      <c r="I131" s="9" t="s">
        <v>1668</v>
      </c>
      <c r="J131" s="7" t="s">
        <v>1669</v>
      </c>
      <c r="K131" s="7" t="s">
        <v>1670</v>
      </c>
    </row>
    <row r="132" ht="22.5" customHeight="1">
      <c r="A132" s="7" t="str">
        <f>IFERROR(__xludf.DUMMYFUNCTION("GOOGLETRANSLATE(G132, ""de"", ""en"")"),"131")</f>
        <v>131</v>
      </c>
      <c r="B132" s="7" t="str">
        <f>IFERROR(__xludf.DUMMYFUNCTION("GOOGLETRANSLATE(H132, ""de"", ""en"")"),"The front surface is extremely dry and dusty. How do you adjust your throw to maintain control?")</f>
        <v>The front surface is extremely dry and dusty. How do you adjust your throw to maintain control?</v>
      </c>
      <c r="C132" s="7" t="s">
        <v>1671</v>
      </c>
      <c r="D132" s="7" t="str">
        <f>IFERROR(__xludf.DUMMYFUNCTION("GOOGLETRANSLATE(J132, ""de"", ""en"")"),"Use a controlled, lower throw.")</f>
        <v>Use a controlled, lower throw.</v>
      </c>
      <c r="E132" s="7" t="str">
        <f>IFERROR(__xludf.DUMMYFUNCTION("GOOGLETRANSLATE(K132, ""de"", ""en"")"),"A lower throw helps to maintain control over dusty surfaces and prevent loss of traction.")</f>
        <v>A lower throw helps to maintain control over dusty surfaces and prevent loss of traction.</v>
      </c>
      <c r="G132" s="8">
        <v>131.0</v>
      </c>
      <c r="H132" s="7" t="s">
        <v>1672</v>
      </c>
      <c r="I132" s="9" t="s">
        <v>1673</v>
      </c>
      <c r="J132" s="7" t="s">
        <v>1674</v>
      </c>
      <c r="K132" s="7" t="s">
        <v>1675</v>
      </c>
    </row>
    <row r="133" ht="22.5" customHeight="1">
      <c r="A133" s="7" t="str">
        <f>IFERROR(__xludf.DUMMYFUNCTION("GOOGLETRANSLATE(G133, ""de"", ""en"")"),"132")</f>
        <v>132</v>
      </c>
      <c r="B133" s="7" t="str">
        <f>IFERROR(__xludf.DUMMYFUNCTION("GOOGLETRANSLATE(H133, ""de"", ""en"")"),"You're coming to a section with several sharp bends. How do you navigate that?")</f>
        <v>You're coming to a section with several sharp bends. How do you navigate that?</v>
      </c>
      <c r="C133" s="7" t="s">
        <v>1676</v>
      </c>
      <c r="D133" s="7" t="str">
        <f>IFERROR(__xludf.DUMMYFUNCTION("GOOGLETRANSLATE(J133, ""de"", ""en"")"),"Slow down and navigate carefully in each round.")</f>
        <v>Slow down and navigate carefully in each round.</v>
      </c>
      <c r="E133" s="7" t="str">
        <f>IFERROR(__xludf.DUMMYFUNCTION("GOOGLETRANSLATE(K133, ""de"", ""en"")"),"Slowing down allows you to maintain control and navigate safely.")</f>
        <v>Slowing down allows you to maintain control and navigate safely.</v>
      </c>
      <c r="G133" s="8">
        <v>132.0</v>
      </c>
      <c r="H133" s="7" t="s">
        <v>1677</v>
      </c>
      <c r="I133" s="9" t="s">
        <v>1678</v>
      </c>
      <c r="J133" s="7" t="s">
        <v>1679</v>
      </c>
      <c r="K133" s="7" t="s">
        <v>1680</v>
      </c>
    </row>
    <row r="134" ht="22.5" customHeight="1">
      <c r="A134" s="7" t="str">
        <f>IFERROR(__xludf.DUMMYFUNCTION("GOOGLETRANSLATE(G134, ""de"", ""en"")"),"133")</f>
        <v>133</v>
      </c>
      <c r="B134" s="7" t="str">
        <f>IFERROR(__xludf.DUMMYFUNCTION("GOOGLETRANSLATE(H134, ""de"", ""en"")"),"The wind picks up and your ball drifts off course. What do you do?")</f>
        <v>The wind picks up and your ball drifts off course. What do you do?</v>
      </c>
      <c r="C134" s="7" t="s">
        <v>1681</v>
      </c>
      <c r="D134" s="7" t="str">
        <f>IFERROR(__xludf.DUMMYFUNCTION("GOOGLETRANSLATE(J134, ""de"", ""en"")"),"Adjust your target to compensate for the wind.")</f>
        <v>Adjust your target to compensate for the wind.</v>
      </c>
      <c r="E134" s="7" t="str">
        <f>IFERROR(__xludf.DUMMYFUNCTION("GOOGLETRANSLATE(K134, ""de"", ""en"")"),"Adjusting your target ensures that the ball stays on course despite the wind.")</f>
        <v>Adjusting your target ensures that the ball stays on course despite the wind.</v>
      </c>
      <c r="G134" s="8">
        <v>133.0</v>
      </c>
      <c r="H134" s="7" t="s">
        <v>1682</v>
      </c>
      <c r="I134" s="9" t="s">
        <v>1683</v>
      </c>
      <c r="J134" s="7" t="s">
        <v>1538</v>
      </c>
      <c r="K134" s="7" t="s">
        <v>1684</v>
      </c>
    </row>
    <row r="135" ht="22.5" customHeight="1">
      <c r="A135" s="7" t="str">
        <f>IFERROR(__xludf.DUMMYFUNCTION("GOOGLETRANSLATE(G135, ""de"", ""en"")"),"134")</f>
        <v>134</v>
      </c>
      <c r="B135" s="7" t="str">
        <f>IFERROR(__xludf.DUMMYFUNCTION("GOOGLETRANSLATE(H135, ""de"", ""en"")"),"The finish line is near, but there's a sharp turn. What do you do?")</f>
        <v>The finish line is near, but there's a sharp turn. What do you do?</v>
      </c>
      <c r="C135" s="7" t="s">
        <v>1685</v>
      </c>
      <c r="D135" s="7" t="str">
        <f>IFERROR(__xludf.DUMMYFUNCTION("GOOGLETRANSLATE(J135, ""de"", ""en"")"),"Use a side throw to navigate through the curve.")</f>
        <v>Use a side throw to navigate through the curve.</v>
      </c>
      <c r="E135" s="7" t="str">
        <f>IFERROR(__xludf.DUMMYFUNCTION("GOOGLETRANSLATE(K135, ""de"", ""en"")"),"A side throw helps you avoid drifting and make the sharp turn successful.")</f>
        <v>A side throw helps you avoid drifting and make the sharp turn successful.</v>
      </c>
      <c r="G135" s="8">
        <v>134.0</v>
      </c>
      <c r="H135" s="7" t="s">
        <v>1686</v>
      </c>
      <c r="I135" s="9" t="s">
        <v>1687</v>
      </c>
      <c r="J135" s="7" t="s">
        <v>1634</v>
      </c>
      <c r="K135" s="7" t="s">
        <v>1688</v>
      </c>
    </row>
    <row r="136" ht="22.5" customHeight="1">
      <c r="A136" s="7" t="str">
        <f>IFERROR(__xludf.DUMMYFUNCTION("GOOGLETRANSLATE(G136, ""de"", ""en"")"),"135")</f>
        <v>135</v>
      </c>
      <c r="B136" s="7" t="str">
        <f>IFERROR(__xludf.DUMMYFUNCTION("GOOGLETRANSLATE(H136, ""de"", ""en"")"),"The path is clear, but your ball is veering left. What do you do?")</f>
        <v>The path is clear, but your ball is veering left. What do you do?</v>
      </c>
      <c r="C136" s="7" t="s">
        <v>1689</v>
      </c>
      <c r="D136" s="7" t="str">
        <f>IFERROR(__xludf.DUMMYFUNCTION("GOOGLETRANSLATE(J136, ""de"", ""en"")"),"Use a side view to steer it back on course.")</f>
        <v>Use a side view to steer it back on course.</v>
      </c>
      <c r="E136" s="7" t="str">
        <f>IFERROR(__xludf.DUMMYFUNCTION("GOOGLETRANSLATE(K136, ""de"", ""en"")"),"A side shot helps you regain control and keep the ball on track.")</f>
        <v>A side shot helps you regain control and keep the ball on track.</v>
      </c>
      <c r="G136" s="8">
        <v>135.0</v>
      </c>
      <c r="H136" s="7" t="s">
        <v>1690</v>
      </c>
      <c r="I136" s="9" t="s">
        <v>1691</v>
      </c>
      <c r="J136" s="7" t="s">
        <v>1692</v>
      </c>
      <c r="K136" s="7" t="s">
        <v>1693</v>
      </c>
    </row>
    <row r="137" ht="22.5" customHeight="1">
      <c r="A137" s="7" t="str">
        <f>IFERROR(__xludf.DUMMYFUNCTION("GOOGLETRANSLATE(G137, ""de"", ""en"")"),"136")</f>
        <v>136</v>
      </c>
      <c r="B137" s="7" t="str">
        <f>IFERROR(__xludf.DUMMYFUNCTION("GOOGLETRANSLATE(H137, ""de"", ""en"")"),"You are approaching the final stretch, but the path is narrow and full of obstacles. How will you deal with it?")</f>
        <v>You are approaching the final stretch, but the path is narrow and full of obstacles. How will you deal with it?</v>
      </c>
      <c r="C137" s="7" t="s">
        <v>1694</v>
      </c>
      <c r="D137" s="7" t="str">
        <f>IFERROR(__xludf.DUMMYFUNCTION("GOOGLETRANSLATE(J137, ""de"", ""en"")"),"Throw with precision to navigate the obstacles.")</f>
        <v>Throw with precision to navigate the obstacles.</v>
      </c>
      <c r="E137" s="7" t="str">
        <f>IFERROR(__xludf.DUMMYFUNCTION("GOOGLETRANSLATE(K137, ""de"", ""en"")"),"Precision helps to avoid obstacles and maintain a steady progress.")</f>
        <v>Precision helps to avoid obstacles and maintain a steady progress.</v>
      </c>
      <c r="G137" s="8">
        <v>136.0</v>
      </c>
      <c r="H137" s="7" t="s">
        <v>1695</v>
      </c>
      <c r="I137" s="9" t="s">
        <v>1696</v>
      </c>
      <c r="J137" s="7" t="s">
        <v>1697</v>
      </c>
      <c r="K137" s="7" t="s">
        <v>1698</v>
      </c>
    </row>
    <row r="138" ht="22.5" customHeight="1">
      <c r="A138" s="7" t="str">
        <f>IFERROR(__xludf.DUMMYFUNCTION("GOOGLETRANSLATE(G138, ""de"", ""en"")"),"137")</f>
        <v>137</v>
      </c>
      <c r="B138" s="7" t="str">
        <f>IFERROR(__xludf.DUMMYFUNCTION("GOOGLETRANSLATE(H138, ""de"", ""en"")"),"The track is rough and the ball isn't rolling straight. What's your strategy?")</f>
        <v>The track is rough and the ball isn't rolling straight. What's your strategy?</v>
      </c>
      <c r="C138" s="7" t="s">
        <v>1699</v>
      </c>
      <c r="D138" s="7" t="str">
        <f>IFERROR(__xludf.DUMMYFUNCTION("GOOGLETRANSLATE(J138, ""de"", ""en"")"),"Use a page margin to correct the path.")</f>
        <v>Use a page margin to correct the path.</v>
      </c>
      <c r="E138" s="7" t="str">
        <f>IFERROR(__xludf.DUMMYFUNCTION("GOOGLETRANSLATE(K138, ""de"", ""en"")"),"A side view helps to bring the ball back into a straight line.")</f>
        <v>A side view helps to bring the ball back into a straight line.</v>
      </c>
      <c r="G138" s="8">
        <v>137.0</v>
      </c>
      <c r="H138" s="7" t="s">
        <v>1700</v>
      </c>
      <c r="I138" s="9" t="s">
        <v>1701</v>
      </c>
      <c r="J138" s="7" t="s">
        <v>1702</v>
      </c>
      <c r="K138" s="7" t="s">
        <v>1703</v>
      </c>
    </row>
    <row r="139" ht="22.5" customHeight="1">
      <c r="A139" s="7" t="str">
        <f>IFERROR(__xludf.DUMMYFUNCTION("GOOGLETRANSLATE(G139, ""de"", ""en"")"),"138")</f>
        <v>138</v>
      </c>
      <c r="B139" s="7" t="str">
        <f>IFERROR(__xludf.DUMMYFUNCTION("GOOGLETRANSLATE(H139, ""de"", ""en"")"),"The ball is heading towards a muddy patch. What should you do?")</f>
        <v>The ball is heading towards a muddy patch. What should you do?</v>
      </c>
      <c r="C139" s="7" t="s">
        <v>1704</v>
      </c>
      <c r="D139" s="7" t="str">
        <f>IFERROR(__xludf.DUMMYFUNCTION("GOOGLETRANSLATE(J139, ""de"", ""en"")"),"Use a controlled, soft throw to maintain speed.")</f>
        <v>Use a controlled, soft throw to maintain speed.</v>
      </c>
      <c r="E139" s="7" t="str">
        <f>IFERROR(__xludf.DUMMYFUNCTION("GOOGLETRANSLATE(K139, ""de"", ""en"")"),"A soft throw helps to maintain control and prevent the ball from getting stuck in the mud.")</f>
        <v>A soft throw helps to maintain control and prevent the ball from getting stuck in the mud.</v>
      </c>
      <c r="G139" s="8">
        <v>138.0</v>
      </c>
      <c r="H139" s="7" t="s">
        <v>1705</v>
      </c>
      <c r="I139" s="9" t="s">
        <v>1706</v>
      </c>
      <c r="J139" s="7" t="s">
        <v>1707</v>
      </c>
      <c r="K139" s="7" t="s">
        <v>1708</v>
      </c>
    </row>
    <row r="140" ht="22.5" customHeight="1">
      <c r="A140" s="7" t="str">
        <f>IFERROR(__xludf.DUMMYFUNCTION("GOOGLETRANSLATE(G140, ""de"", ""en"")"),"139")</f>
        <v>139</v>
      </c>
      <c r="B140" s="7" t="str">
        <f>IFERROR(__xludf.DUMMYFUNCTION("GOOGLETRANSLATE(H140, ""de"", ""en"")"),"Your opponent is catching up. What's the best way to maintain your lead?")</f>
        <v>Your opponent is catching up. What's the best way to maintain your lead?</v>
      </c>
      <c r="C140" s="7" t="s">
        <v>1709</v>
      </c>
      <c r="D140" s="7" t="str">
        <f>IFERROR(__xludf.DUMMYFUNCTION("GOOGLETRANSLATE(J140, ""de"", ""en"")"),"Use a side throw to maintain control.")</f>
        <v>Use a side throw to maintain control.</v>
      </c>
      <c r="E140" s="7" t="str">
        <f>IFERROR(__xludf.DUMMYFUNCTION("GOOGLETRANSLATE(K140, ""de"", ""en"")"),"A side throw helps you maintain your lead by ensuring the ball stays on the right track.")</f>
        <v>A side throw helps you maintain your lead by ensuring the ball stays on the right track.</v>
      </c>
      <c r="G140" s="8">
        <v>139.0</v>
      </c>
      <c r="H140" s="7" t="s">
        <v>1710</v>
      </c>
      <c r="I140" s="9" t="s">
        <v>1711</v>
      </c>
      <c r="J140" s="7" t="s">
        <v>1712</v>
      </c>
      <c r="K140" s="7" t="s">
        <v>1713</v>
      </c>
    </row>
    <row r="141" ht="22.5" customHeight="1">
      <c r="A141" s="7" t="str">
        <f>IFERROR(__xludf.DUMMYFUNCTION("GOOGLETRANSLATE(G141, ""de"", ""en"")"),"140")</f>
        <v>140</v>
      </c>
      <c r="B141" s="7" t="str">
        <f>IFERROR(__xludf.DUMMYFUNCTION("GOOGLETRANSLATE(H141, ""de"", ""en"")"),"The terrain is hilly and your ball is rolling downhill quickly. How do you control it?")</f>
        <v>The terrain is hilly and your ball is rolling downhill quickly. How do you control it?</v>
      </c>
      <c r="C141" s="7" t="s">
        <v>1714</v>
      </c>
      <c r="D141" s="7" t="str">
        <f>IFERROR(__xludf.DUMMYFUNCTION("GOOGLETRANSLATE(J141, ""de"", ""en"")"),"Throw it more gently to slow it down.")</f>
        <v>Throw it more gently to slow it down.</v>
      </c>
      <c r="E141" s="7" t="str">
        <f>IFERROR(__xludf.DUMMYFUNCTION("GOOGLETRANSLATE(K141, ""de"", ""en"")"),"A softer throw helps to regain control of the terrain and prevents the ball from deflecting off the track.")</f>
        <v>A softer throw helps to regain control of the terrain and prevents the ball from deflecting off the track.</v>
      </c>
      <c r="G141" s="8">
        <v>140.0</v>
      </c>
      <c r="H141" s="7" t="s">
        <v>1715</v>
      </c>
      <c r="I141" s="9" t="s">
        <v>1716</v>
      </c>
      <c r="J141" s="7" t="s">
        <v>1717</v>
      </c>
      <c r="K141" s="7" t="s">
        <v>1718</v>
      </c>
    </row>
    <row r="142" ht="22.5" customHeight="1">
      <c r="A142" s="7" t="str">
        <f>IFERROR(__xludf.DUMMYFUNCTION("GOOGLETRANSLATE(G142, ""de"", ""en"")"),"141")</f>
        <v>141</v>
      </c>
      <c r="B142" s="7" t="str">
        <f>IFERROR(__xludf.DUMMYFUNCTION("GOOGLETRANSLATE(H142, ""de"", ""en"")"),"You come to a narrow section of the track with little space on either side. What do you do?")</f>
        <v>You come to a narrow section of the track with little space on either side. What do you do?</v>
      </c>
      <c r="C142" s="7" t="s">
        <v>1719</v>
      </c>
      <c r="D142" s="7" t="str">
        <f>IFERROR(__xludf.DUMMYFUNCTION("GOOGLETRANSLATE(J142, ""de"", ""en"")"),"Throw with precision to avoid obstacles.")</f>
        <v>Throw with precision to avoid obstacles.</v>
      </c>
      <c r="E142" s="7" t="str">
        <f>IFERROR(__xludf.DUMMYFUNCTION("GOOGLETRANSLATE(K142, ""de"", ""en"")"),"Precision helps to navigate narrow sections and avoid interference from surrounding objects.")</f>
        <v>Precision helps to navigate narrow sections and avoid interference from surrounding objects.</v>
      </c>
      <c r="G142" s="8">
        <v>141.0</v>
      </c>
      <c r="H142" s="7" t="s">
        <v>1720</v>
      </c>
      <c r="I142" s="9" t="s">
        <v>1721</v>
      </c>
      <c r="J142" s="7" t="s">
        <v>1722</v>
      </c>
      <c r="K142" s="7" t="s">
        <v>1723</v>
      </c>
    </row>
    <row r="143" ht="22.5" customHeight="1">
      <c r="A143" s="7" t="str">
        <f>IFERROR(__xludf.DUMMYFUNCTION("GOOGLETRANSLATE(G143, ""de"", ""en"")"),"142")</f>
        <v>142</v>
      </c>
      <c r="B143" s="7" t="str">
        <f>IFERROR(__xludf.DUMMYFUNCTION("GOOGLETRANSLATE(H143, ""de"", ""en"")"),"The ground is wet and slippery after the rain. How do you adjust your throw?")</f>
        <v>The ground is wet and slippery after the rain. How do you adjust your throw?</v>
      </c>
      <c r="C143" s="7" t="s">
        <v>1724</v>
      </c>
      <c r="D143" s="7" t="str">
        <f>IFERROR(__xludf.DUMMYFUNCTION("GOOGLETRANSLATE(J143, ""de"", ""en"")"),"Throw gently to avoid slipping.")</f>
        <v>Throw gently to avoid slipping.</v>
      </c>
      <c r="E143" s="7" t="str">
        <f>IFERROR(__xludf.DUMMYFUNCTION("GOOGLETRANSLATE(K143, ""de"", ""en"")"),"A softer throw ensures that the ball does not slip uncontrollably in wet conditions.")</f>
        <v>A softer throw ensures that the ball does not slip uncontrollably in wet conditions.</v>
      </c>
      <c r="G143" s="8">
        <v>142.0</v>
      </c>
      <c r="H143" s="7" t="s">
        <v>1725</v>
      </c>
      <c r="I143" s="9" t="s">
        <v>1726</v>
      </c>
      <c r="J143" s="7" t="s">
        <v>1727</v>
      </c>
      <c r="K143" s="7" t="s">
        <v>1728</v>
      </c>
    </row>
    <row r="144" ht="22.5" customHeight="1">
      <c r="A144" s="7" t="str">
        <f>IFERROR(__xludf.DUMMYFUNCTION("GOOGLETRANSLATE(G144, ""de"", ""en"")"),"143")</f>
        <v>143</v>
      </c>
      <c r="B144" s="7" t="str">
        <f>IFERROR(__xludf.DUMMYFUNCTION("GOOGLETRANSLATE(H144, ""de"", ""en"")"),"You're approaching a steep hill and your ball is going too fast. How do you slow it down?")</f>
        <v>You're approaching a steep hill and your ball is going too fast. How do you slow it down?</v>
      </c>
      <c r="C144" s="7" t="s">
        <v>1729</v>
      </c>
      <c r="D144" s="7" t="str">
        <f>IFERROR(__xludf.DUMMYFUNCTION("GOOGLETRANSLATE(J144, ""de"", ""en"")"),"Throw more slowly to control it.")</f>
        <v>Throw more slowly to control it.</v>
      </c>
      <c r="E144" s="7" t="str">
        <f>IFERROR(__xludf.DUMMYFUNCTION("GOOGLETRANSLATE(K144, ""de"", ""en"")"),"A slower throw helps to maintain control and prevents the ball from rolling downhill too quickly.")</f>
        <v>A slower throw helps to maintain control and prevents the ball from rolling downhill too quickly.</v>
      </c>
      <c r="G144" s="8">
        <v>143.0</v>
      </c>
      <c r="H144" s="7" t="s">
        <v>1730</v>
      </c>
      <c r="I144" s="9" t="s">
        <v>1731</v>
      </c>
      <c r="J144" s="7" t="s">
        <v>1732</v>
      </c>
      <c r="K144" s="7" t="s">
        <v>1733</v>
      </c>
    </row>
    <row r="145" ht="22.5" customHeight="1">
      <c r="A145" s="7" t="str">
        <f>IFERROR(__xludf.DUMMYFUNCTION("GOOGLETRANSLATE(G145, ""de"", ""en"")"),"144")</f>
        <v>144</v>
      </c>
      <c r="B145" s="7" t="str">
        <f>IFERROR(__xludf.DUMMYFUNCTION("GOOGLETRANSLATE(H145, ""de"", ""en"")"),"You are on a narrow stretch of road and there is a sharp bend ahead. What do you do?")</f>
        <v>You are on a narrow stretch of road and there is a sharp bend ahead. What do you do?</v>
      </c>
      <c r="C145" s="7" t="s">
        <v>1734</v>
      </c>
      <c r="D145" s="7" t="str">
        <f>IFERROR(__xludf.DUMMYFUNCTION("GOOGLETRANSLATE(J145, ""de"", ""en"")"),"Use a side throw to navigate through it.")</f>
        <v>Use a side throw to navigate through it.</v>
      </c>
      <c r="E145" s="7" t="str">
        <f>IFERROR(__xludf.DUMMYFUNCTION("GOOGLETRANSLATE(K145, ""de"", ""en"")"),"A side throw avoids sharp corners and keeps the ball on track.")</f>
        <v>A side throw avoids sharp corners and keeps the ball on track.</v>
      </c>
      <c r="G145" s="8">
        <v>144.0</v>
      </c>
      <c r="H145" s="7" t="s">
        <v>1735</v>
      </c>
      <c r="I145" s="9" t="s">
        <v>1736</v>
      </c>
      <c r="J145" s="7" t="s">
        <v>1737</v>
      </c>
      <c r="K145" s="7" t="s">
        <v>1738</v>
      </c>
    </row>
    <row r="146" ht="22.5" customHeight="1">
      <c r="A146" s="7" t="str">
        <f>IFERROR(__xludf.DUMMYFUNCTION("GOOGLETRANSLATE(G146, ""de"", ""en"")"),"145")</f>
        <v>145</v>
      </c>
      <c r="B146" s="7" t="str">
        <f>IFERROR(__xludf.DUMMYFUNCTION("GOOGLETRANSLATE(H146, ""de"", ""en"")"),"The track is covered with gravel, and your ball is losing momentum. What do you do?")</f>
        <v>The track is covered with gravel, and your ball is losing momentum. What do you do?</v>
      </c>
      <c r="C146" s="7" t="s">
        <v>1739</v>
      </c>
      <c r="D146" s="7" t="str">
        <f>IFERROR(__xludf.DUMMYFUNCTION("GOOGLETRANSLATE(J146, ""de"", ""en"")"),"Slow your throw to maintain control.")</f>
        <v>Slow your throw to maintain control.</v>
      </c>
      <c r="E146" s="7" t="str">
        <f>IFERROR(__xludf.DUMMYFUNCTION("GOOGLETRANSLATE(K146, ""de"", ""en"")"),"Slowing down helps you avoid losing control on rough, gravelly surfaces.")</f>
        <v>Slowing down helps you avoid losing control on rough, gravelly surfaces.</v>
      </c>
      <c r="G146" s="8">
        <v>145.0</v>
      </c>
      <c r="H146" s="7" t="s">
        <v>1740</v>
      </c>
      <c r="I146" s="9" t="s">
        <v>1741</v>
      </c>
      <c r="J146" s="7" t="s">
        <v>1742</v>
      </c>
      <c r="K146" s="7" t="s">
        <v>1743</v>
      </c>
    </row>
    <row r="147" ht="22.5" customHeight="1">
      <c r="A147" s="7" t="str">
        <f>IFERROR(__xludf.DUMMYFUNCTION("GOOGLETRANSLATE(G147, ""de"", ""en"")"),"146")</f>
        <v>146</v>
      </c>
      <c r="B147" s="7" t="str">
        <f>IFERROR(__xludf.DUMMYFUNCTION("GOOGLETRANSLATE(H147, ""de"", ""en"")"),"You're about to hit a large rock on the track. What's your best move?")</f>
        <v>You're about to hit a large rock on the track. What's your best move?</v>
      </c>
      <c r="C147" s="7" t="s">
        <v>1744</v>
      </c>
      <c r="D147" s="7" t="str">
        <f>IFERROR(__xludf.DUMMYFUNCTION("GOOGLETRANSLATE(J147, ""de"", ""en"")"),"Use a side shot to steer around him.")</f>
        <v>Use a side shot to steer around him.</v>
      </c>
      <c r="E147" s="7" t="str">
        <f>IFERROR(__xludf.DUMMYFUNCTION("GOOGLETRANSLATE(K147, ""de"", ""en"")"),"A side view helps you avoid obstacles and maintain a smoother path.")</f>
        <v>A side view helps you avoid obstacles and maintain a smoother path.</v>
      </c>
      <c r="G147" s="8">
        <v>146.0</v>
      </c>
      <c r="H147" s="7" t="s">
        <v>1745</v>
      </c>
      <c r="I147" s="9" t="s">
        <v>1746</v>
      </c>
      <c r="J147" s="7" t="s">
        <v>1639</v>
      </c>
      <c r="K147" s="7" t="s">
        <v>1747</v>
      </c>
    </row>
    <row r="148" ht="22.5" customHeight="1">
      <c r="A148" s="7" t="str">
        <f>IFERROR(__xludf.DUMMYFUNCTION("GOOGLETRANSLATE(G148, ""de"", ""en"")"),"147")</f>
        <v>147</v>
      </c>
      <c r="B148" s="7" t="str">
        <f>IFERROR(__xludf.DUMMYFUNCTION("GOOGLETRANSLATE(H148, ""de"", ""en"")"),"The ball is approaching a small bump in the track. What do you do to maintain control?")</f>
        <v>The ball is approaching a small bump in the track. What do you do to maintain control?</v>
      </c>
      <c r="C148" s="7" t="s">
        <v>1748</v>
      </c>
      <c r="D148" s="7" t="str">
        <f>IFERROR(__xludf.DUMMYFUNCTION("GOOGLETRANSLATE(J148, ""de"", ""en"")"),"Throw with precision to avoid misalignment.")</f>
        <v>Throw with precision to avoid misalignment.</v>
      </c>
      <c r="E148" s="7" t="str">
        <f>IFERROR(__xludf.DUMMYFUNCTION("GOOGLETRANSLATE(K148, ""de"", ""en"")"),"With precision, you can overcome small bumps without disrupting the path of your ball.")</f>
        <v>With precision, you can overcome small bumps without disrupting the path of your ball.</v>
      </c>
      <c r="G148" s="8">
        <v>147.0</v>
      </c>
      <c r="H148" s="7" t="s">
        <v>1749</v>
      </c>
      <c r="I148" s="9" t="s">
        <v>1750</v>
      </c>
      <c r="J148" s="7" t="s">
        <v>1751</v>
      </c>
      <c r="K148" s="7" t="s">
        <v>1752</v>
      </c>
    </row>
    <row r="149" ht="22.5" customHeight="1">
      <c r="A149" s="7" t="str">
        <f>IFERROR(__xludf.DUMMYFUNCTION("GOOGLETRANSLATE(G149, ""de"", ""en"")"),"148")</f>
        <v>148</v>
      </c>
      <c r="B149" s="7" t="str">
        <f>IFERROR(__xludf.DUMMYFUNCTION("GOOGLETRANSLATE(H149, ""de"", ""en"")"),"A curve is approaching, and your ball is spinning too much to the side. How do you adjust?")</f>
        <v>A curve is approaching, and your ball is spinning too much to the side. How do you adjust?</v>
      </c>
      <c r="C149" s="7" t="s">
        <v>1753</v>
      </c>
      <c r="D149" s="7" t="str">
        <f>IFERROR(__xludf.DUMMYFUNCTION("GOOGLETRANSLATE(J149, ""de"", ""en"")"),"Use a side throw to straighten it.")</f>
        <v>Use a side throw to straighten it.</v>
      </c>
      <c r="E149" s="7" t="str">
        <f>IFERROR(__xludf.DUMMYFUNCTION("GOOGLETRANSLATE(K149, ""de"", ""en"")"),"A side throw helps to correct the direction of the ball and keep it moving.")</f>
        <v>A side throw helps to correct the direction of the ball and keep it moving.</v>
      </c>
      <c r="G149" s="8">
        <v>148.0</v>
      </c>
      <c r="H149" s="7" t="s">
        <v>1754</v>
      </c>
      <c r="I149" s="9" t="s">
        <v>1755</v>
      </c>
      <c r="J149" s="7" t="s">
        <v>1756</v>
      </c>
      <c r="K149" s="7" t="s">
        <v>1757</v>
      </c>
    </row>
    <row r="150" ht="22.5" customHeight="1">
      <c r="A150" s="7" t="str">
        <f>IFERROR(__xludf.DUMMYFUNCTION("GOOGLETRANSLATE(G150, ""de"", ""en"")"),"149")</f>
        <v>149</v>
      </c>
      <c r="B150" s="7" t="str">
        <f>IFERROR(__xludf.DUMMYFUNCTION("GOOGLETRANSLATE(H150, ""de"", ""en"")"),"The terrain is smooth, but your ball is drifting off course. What's your strategy to regain control?")</f>
        <v>The terrain is smooth, but your ball is drifting off course. What's your strategy to regain control?</v>
      </c>
      <c r="C150" s="7" t="s">
        <v>1758</v>
      </c>
      <c r="D150" s="7" t="str">
        <f>IFERROR(__xludf.DUMMYFUNCTION("GOOGLETRANSLATE(J150, ""de"", ""en"")"),"Use a side turn to adjust its path.")</f>
        <v>Use a side turn to adjust its path.</v>
      </c>
      <c r="E150" s="7" t="str">
        <f>IFERROR(__xludf.DUMMYFUNCTION("GOOGLETRANSLATE(K150, ""de"", ""en"")"),"A side view helps to regain control and steer the ball back in its intended direction.")</f>
        <v>A side view helps to regain control and steer the ball back in its intended direction.</v>
      </c>
      <c r="G150" s="8">
        <v>149.0</v>
      </c>
      <c r="H150" s="7" t="s">
        <v>1759</v>
      </c>
      <c r="I150" s="9" t="s">
        <v>1760</v>
      </c>
      <c r="J150" s="7" t="s">
        <v>1761</v>
      </c>
      <c r="K150" s="7" t="s">
        <v>1762</v>
      </c>
    </row>
    <row r="151" ht="22.5" customHeight="1">
      <c r="A151" s="7" t="str">
        <f>IFERROR(__xludf.DUMMYFUNCTION("GOOGLETRANSLATE(G151, ""de"", ""en"")"),"150")</f>
        <v>150</v>
      </c>
      <c r="B151" s="7" t="str">
        <f>IFERROR(__xludf.DUMMYFUNCTION("GOOGLETRANSLATE(H151, ""de"", ""en"")"),"You are approaching a large puddle on the road. How do you navigate through it?")</f>
        <v>You are approaching a large puddle on the road. How do you navigate through it?</v>
      </c>
      <c r="C151" s="7" t="s">
        <v>1763</v>
      </c>
      <c r="D151" s="7" t="str">
        <f>IFERROR(__xludf.DUMMYFUNCTION("GOOGLETRANSLATE(J151, ""de"", ""en"")"),"Slow down your throw and aim carefully.")</f>
        <v>Slow down your throw and aim carefully.</v>
      </c>
      <c r="E151" s="7" t="str">
        <f>IFERROR(__xludf.DUMMYFUNCTION("GOOGLETRANSLATE(K151, ""de"", ""en"")"),"Slowing down helps prevent the ball from splashing or losing momentum in the puddle.")</f>
        <v>Slowing down helps prevent the ball from splashing or losing momentum in the puddle.</v>
      </c>
      <c r="G151" s="8">
        <v>150.0</v>
      </c>
      <c r="H151" s="7" t="s">
        <v>1764</v>
      </c>
      <c r="I151" s="9" t="s">
        <v>1765</v>
      </c>
      <c r="J151" s="7" t="s">
        <v>1766</v>
      </c>
      <c r="K151" s="7" t="s">
        <v>1767</v>
      </c>
    </row>
    <row r="152" ht="22.5" customHeight="1">
      <c r="A152" s="7" t="str">
        <f>IFERROR(__xludf.DUMMYFUNCTION("GOOGLETRANSLATE(G152, ""de"", ""en"")"),"151")</f>
        <v>151</v>
      </c>
      <c r="B152" s="7" t="str">
        <f>IFERROR(__xludf.DUMMYFUNCTION("GOOGLETRANSLATE(H152, ""de"", ""en"")"),"Your ball is approaching a sharp corner with limited visibility. How do you prepare?")</f>
        <v>Your ball is approaching a sharp corner with limited visibility. How do you prepare?</v>
      </c>
      <c r="C152" s="7" t="s">
        <v>1768</v>
      </c>
      <c r="D152" s="7" t="str">
        <f>IFERROR(__xludf.DUMMYFUNCTION("GOOGLETRANSLATE(J152, ""de"", ""en"")"),"Use a side throw to clear the corner.")</f>
        <v>Use a side throw to clear the corner.</v>
      </c>
      <c r="E152" s="7" t="str">
        <f>IFERROR(__xludf.DUMMYFUNCTION("GOOGLETRANSLATE(K152, ""de"", ""en"")"),"A side throw helps to navigate sharp turns more smoothly and safely.")</f>
        <v>A side throw helps to navigate sharp turns more smoothly and safely.</v>
      </c>
      <c r="G152" s="8">
        <v>151.0</v>
      </c>
      <c r="H152" s="7" t="s">
        <v>1769</v>
      </c>
      <c r="I152" s="9" t="s">
        <v>1770</v>
      </c>
      <c r="J152" s="7" t="s">
        <v>1771</v>
      </c>
      <c r="K152" s="7" t="s">
        <v>1772</v>
      </c>
    </row>
    <row r="153" ht="22.5" customHeight="1">
      <c r="A153" s="7" t="str">
        <f>IFERROR(__xludf.DUMMYFUNCTION("GOOGLETRANSLATE(G153, ""de"", ""en"")"),"152")</f>
        <v>152</v>
      </c>
      <c r="B153" s="7" t="str">
        <f>IFERROR(__xludf.DUMMYFUNCTION("GOOGLETRANSLATE(H153, ""de"", ""en"")"),"You are approaching a steep incline, and your ball is losing speed. What do you do to maintain momentum?")</f>
        <v>You are approaching a steep incline, and your ball is losing speed. What do you do to maintain momentum?</v>
      </c>
      <c r="C153" s="7" t="s">
        <v>1773</v>
      </c>
      <c r="D153" s="7" t="str">
        <f>IFERROR(__xludf.DUMMYFUNCTION("GOOGLETRANSLATE(J153, ""de"", ""en"")"),"Increase the incline to overcome the slope.")</f>
        <v>Increase the incline to overcome the slope.</v>
      </c>
      <c r="E153" s="7" t="str">
        <f>IFERROR(__xludf.DUMMYFUNCTION("GOOGLETRANSLATE(K153, ""de"", ""en"")"),"The additional power ensures that your ball climbs the slope without losing momentum.")</f>
        <v>The additional power ensures that your ball climbs the slope without losing momentum.</v>
      </c>
      <c r="G153" s="8">
        <v>152.0</v>
      </c>
      <c r="H153" s="7" t="s">
        <v>1774</v>
      </c>
      <c r="I153" s="9" t="s">
        <v>1775</v>
      </c>
      <c r="J153" s="7" t="s">
        <v>1776</v>
      </c>
      <c r="K153" s="7" t="s">
        <v>1777</v>
      </c>
    </row>
    <row r="154" ht="22.5" customHeight="1">
      <c r="A154" s="7" t="str">
        <f>IFERROR(__xludf.DUMMYFUNCTION("GOOGLETRANSLATE(G154, ""de"", ""en"")"),"153")</f>
        <v>153</v>
      </c>
      <c r="B154" s="7" t="str">
        <f>IFERROR(__xludf.DUMMYFUNCTION("GOOGLETRANSLATE(H154, ""de"", ""en"")"),"Your opponent's ball is close to you and could interfere. What should you do?")</f>
        <v>Your opponent's ball is close to you and could interfere. What should you do?</v>
      </c>
      <c r="C154" s="7" t="s">
        <v>1778</v>
      </c>
      <c r="D154" s="7" t="str">
        <f>IFERROR(__xludf.DUMMYFUNCTION("GOOGLETRANSLATE(J154, ""de"", ""en"")"),"Use a side view to avoid interference.")</f>
        <v>Use a side view to avoid interference.</v>
      </c>
      <c r="E154" s="7" t="str">
        <f>IFERROR(__xludf.DUMMYFUNCTION("GOOGLETRANSLATE(K154, ""de"", ""en"")"),"A side view allows you to navigate obstacles while keeping your ball on the track.")</f>
        <v>A side view allows you to navigate obstacles while keeping your ball on the track.</v>
      </c>
      <c r="G154" s="8">
        <v>153.0</v>
      </c>
      <c r="H154" s="7" t="s">
        <v>1779</v>
      </c>
      <c r="I154" s="9" t="s">
        <v>1780</v>
      </c>
      <c r="J154" s="7" t="s">
        <v>1781</v>
      </c>
      <c r="K154" s="7" t="s">
        <v>1782</v>
      </c>
    </row>
    <row r="155" ht="22.5" customHeight="1">
      <c r="A155" s="7" t="str">
        <f>IFERROR(__xludf.DUMMYFUNCTION("GOOGLETRANSLATE(G155, ""de"", ""en"")"),"154")</f>
        <v>154</v>
      </c>
      <c r="B155" s="7" t="str">
        <f>IFERROR(__xludf.DUMMYFUNCTION("GOOGLETRANSLATE(H155, ""de"", ""en"")"),"They're running towards the finish line, but there's a sharp turn. What do you do?")</f>
        <v>They're running towards the finish line, but there's a sharp turn. What do you do?</v>
      </c>
      <c r="C155" s="7" t="s">
        <v>1783</v>
      </c>
      <c r="D155" s="7" t="str">
        <f>IFERROR(__xludf.DUMMYFUNCTION("GOOGLETRANSLATE(J155, ""de"", ""en"")"),"Use a side view to avoid losing control.")</f>
        <v>Use a side view to avoid losing control.</v>
      </c>
      <c r="E155" s="7" t="str">
        <f>IFERROR(__xludf.DUMMYFUNCTION("GOOGLETRANSLATE(K155, ""de"", ""en"")"),"A side view ensures a smoother and more controlled curve without overshooting.")</f>
        <v>A side view ensures a smoother and more controlled curve without overshooting.</v>
      </c>
      <c r="G155" s="8">
        <v>154.0</v>
      </c>
      <c r="H155" s="7" t="s">
        <v>1784</v>
      </c>
      <c r="I155" s="9" t="s">
        <v>1785</v>
      </c>
      <c r="J155" s="7" t="s">
        <v>1786</v>
      </c>
      <c r="K155" s="7" t="s">
        <v>1787</v>
      </c>
    </row>
    <row r="156" ht="22.5" customHeight="1">
      <c r="A156" s="7" t="str">
        <f>IFERROR(__xludf.DUMMYFUNCTION("GOOGLETRANSLATE(G156, ""de"", ""en"")"),"155")</f>
        <v>155</v>
      </c>
      <c r="B156" s="7" t="str">
        <f>IFERROR(__xludf.DUMMYFUNCTION("GOOGLETRANSLATE(H156, ""de"", ""en"")"),"The track is narrow and winding. How do you execute your throw to avoid drifting off course?")</f>
        <v>The track is narrow and winding. How do you execute your throw to avoid drifting off course?</v>
      </c>
      <c r="C156" s="7" t="s">
        <v>1788</v>
      </c>
      <c r="D156" s="7" t="str">
        <f>IFERROR(__xludf.DUMMYFUNCTION("GOOGLETRANSLATE(J156, ""de"", ""en"")"),"Throw with precision to avoid straying.")</f>
        <v>Throw with precision to avoid straying.</v>
      </c>
      <c r="E156" s="7" t="str">
        <f>IFERROR(__xludf.DUMMYFUNCTION("GOOGLETRANSLATE(K156, ""de"", ""en"")"),"Precision helps you stay on course without losing control on narrow, winding tracks.")</f>
        <v>Precision helps you stay on course without losing control on narrow, winding tracks.</v>
      </c>
      <c r="G156" s="8">
        <v>155.0</v>
      </c>
      <c r="H156" s="7" t="s">
        <v>1789</v>
      </c>
      <c r="I156" s="9" t="s">
        <v>1790</v>
      </c>
      <c r="J156" s="7" t="s">
        <v>1791</v>
      </c>
      <c r="K156" s="7" t="s">
        <v>1792</v>
      </c>
    </row>
    <row r="157" ht="22.5" customHeight="1">
      <c r="A157" s="7" t="str">
        <f>IFERROR(__xludf.DUMMYFUNCTION("GOOGLETRANSLATE(G157, ""de"", ""en"")"),"156")</f>
        <v>156</v>
      </c>
      <c r="B157" s="7" t="str">
        <f>IFERROR(__xludf.DUMMYFUNCTION("GOOGLETRANSLATE(H157, ""de"", ""en"")"),"The surface is sandy and your ball is losing momentum. What do you do to maintain speed?")</f>
        <v>The surface is sandy and your ball is losing momentum. What do you do to maintain speed?</v>
      </c>
      <c r="C157" s="7" t="s">
        <v>1793</v>
      </c>
      <c r="D157" s="7" t="str">
        <f>IFERROR(__xludf.DUMMYFUNCTION("GOOGLETRANSLATE(J157, ""de"", ""en"")"),"Throw with more force to fight the sand.")</f>
        <v>Throw with more force to fight the sand.</v>
      </c>
      <c r="E157" s="7" t="str">
        <f>IFERROR(__xludf.DUMMYFUNCTION("GOOGLETRANSLATE(K157, ""de"", ""en"")"),"More power ensures that the ball can cut through sandy surfaces without getting stuck.")</f>
        <v>More power ensures that the ball can cut through sandy surfaces without getting stuck.</v>
      </c>
      <c r="G157" s="8">
        <v>156.0</v>
      </c>
      <c r="H157" s="7" t="s">
        <v>1794</v>
      </c>
      <c r="I157" s="9" t="s">
        <v>1795</v>
      </c>
      <c r="J157" s="7" t="s">
        <v>1796</v>
      </c>
      <c r="K157" s="7" t="s">
        <v>1797</v>
      </c>
    </row>
    <row r="158" ht="22.5" customHeight="1">
      <c r="A158" s="7" t="str">
        <f>IFERROR(__xludf.DUMMYFUNCTION("GOOGLETRANSLATE(G158, ""de"", ""en"")"),"157")</f>
        <v>157</v>
      </c>
      <c r="B158" s="7" t="str">
        <f>IFERROR(__xludf.DUMMYFUNCTION("GOOGLETRANSLATE(H158, ""de"", ""en"")"),"You're nearing the end of a long stretch and your ball is slowing down. What do you do?")</f>
        <v>You're nearing the end of a long stretch and your ball is slowing down. What do you do?</v>
      </c>
      <c r="C158" s="7" t="s">
        <v>1798</v>
      </c>
      <c r="D158" s="7" t="str">
        <f>IFERROR(__xludf.DUMMYFUNCTION("GOOGLETRANSLATE(J158, ""de"", ""en"")"),"Throw harder to finish strong.")</f>
        <v>Throw harder to finish strong.</v>
      </c>
      <c r="E158" s="7" t="str">
        <f>IFERROR(__xludf.DUMMYFUNCTION("GOOGLETRANSLATE(K158, ""de"", ""en"")"),"A stronger throw will help you finish the distance with speed and power.")</f>
        <v>A stronger throw will help you finish the distance with speed and power.</v>
      </c>
      <c r="G158" s="8">
        <v>157.0</v>
      </c>
      <c r="H158" s="7" t="s">
        <v>1799</v>
      </c>
      <c r="I158" s="9" t="s">
        <v>1800</v>
      </c>
      <c r="J158" s="7" t="s">
        <v>1801</v>
      </c>
      <c r="K158" s="7" t="s">
        <v>1802</v>
      </c>
    </row>
    <row r="159" ht="22.5" customHeight="1">
      <c r="A159" s="7" t="str">
        <f>IFERROR(__xludf.DUMMYFUNCTION("GOOGLETRANSLATE(G159, ""de"", ""en"")"),"158")</f>
        <v>158</v>
      </c>
      <c r="B159" s="7" t="str">
        <f>IFERROR(__xludf.DUMMYFUNCTION("GOOGLETRANSLATE(H159, ""de"", ""en"")"),"There's a small ditch in front of you, and your ball will land in the first position. What's your best strategy?")</f>
        <v>There's a small ditch in front of you, and your ball will land in the first position. What's your best strategy?</v>
      </c>
      <c r="C159" s="7" t="s">
        <v>1803</v>
      </c>
      <c r="D159" s="7" t="str">
        <f>IFERROR(__xludf.DUMMYFUNCTION("GOOGLETRANSLATE(J159, ""de"", ""en"")"),"Pull the side to avoid it.")</f>
        <v>Pull the side to avoid it.</v>
      </c>
      <c r="E159" s="7" t="str">
        <f>IFERROR(__xludf.DUMMYFUNCTION("GOOGLETRANSLATE(K159, ""de"", ""en"")"),"A side throw helps you fall into ditches and keep the ball on track.")</f>
        <v>A side throw helps you fall into ditches and keep the ball on track.</v>
      </c>
      <c r="G159" s="8">
        <v>158.0</v>
      </c>
      <c r="H159" s="7" t="s">
        <v>1804</v>
      </c>
      <c r="I159" s="9" t="s">
        <v>1805</v>
      </c>
      <c r="J159" s="7" t="s">
        <v>1806</v>
      </c>
      <c r="K159" s="7" t="s">
        <v>1807</v>
      </c>
    </row>
    <row r="160" ht="22.5" customHeight="1">
      <c r="A160" s="7" t="str">
        <f>IFERROR(__xludf.DUMMYFUNCTION("GOOGLETRANSLATE(G160, ""de"", ""en"")"),"159")</f>
        <v>159</v>
      </c>
      <c r="B160" s="7" t="str">
        <f>IFERROR(__xludf.DUMMYFUNCTION("GOOGLETRANSLATE(H160, ""de"", ""en"")"),"Your ball is about to hit a tree. How do you avoid interference?")</f>
        <v>Your ball is about to hit a tree. How do you avoid interference?</v>
      </c>
      <c r="C160" s="7" t="s">
        <v>1808</v>
      </c>
      <c r="D160" s="7" t="str">
        <f>IFERROR(__xludf.DUMMYFUNCTION("GOOGLETRANSLATE(J160, ""de"", ""en"")"),"Use a side shot to steer around him.")</f>
        <v>Use a side shot to steer around him.</v>
      </c>
      <c r="E160" s="7" t="str">
        <f>IFERROR(__xludf.DUMMYFUNCTION("GOOGLETRANSLATE(K160, ""de"", ""en"")"),"A side view helps to avoid obstacles like trees and clear your path.")</f>
        <v>A side view helps to avoid obstacles like trees and clear your path.</v>
      </c>
      <c r="G160" s="8">
        <v>159.0</v>
      </c>
      <c r="H160" s="7" t="s">
        <v>1809</v>
      </c>
      <c r="I160" s="9" t="s">
        <v>1810</v>
      </c>
      <c r="J160" s="7" t="s">
        <v>1639</v>
      </c>
      <c r="K160" s="7" t="s">
        <v>1811</v>
      </c>
    </row>
    <row r="161" ht="22.5" customHeight="1">
      <c r="A161" s="7" t="str">
        <f>IFERROR(__xludf.DUMMYFUNCTION("GOOGLETRANSLATE(G161, ""de"", ""en"")"),"160")</f>
        <v>160</v>
      </c>
      <c r="B161" s="7" t="str">
        <f>IFERROR(__xludf.DUMMYFUNCTION("GOOGLETRANSLATE(H161, ""de"", ""en"")"),"They are approaching on a wide open stretch of road, but the wind is picking up. How do you adapt?")</f>
        <v>They are approaching on a wide open stretch of road, but the wind is picking up. How do you adapt?</v>
      </c>
      <c r="C161" s="7" t="s">
        <v>1812</v>
      </c>
      <c r="D161" s="7" t="str">
        <f>IFERROR(__xludf.DUMMYFUNCTION("GOOGLETRANSLATE(J161, ""de"", ""en"")"),"Adjust your target to compensate for the wind.")</f>
        <v>Adjust your target to compensate for the wind.</v>
      </c>
      <c r="E161" s="7" t="str">
        <f>IFERROR(__xludf.DUMMYFUNCTION("GOOGLETRANSLATE(K161, ""de"", ""en"")"),"By adjusting your aim, you can counteract the influence of the wind and keep the ball on track.")</f>
        <v>By adjusting your aim, you can counteract the influence of the wind and keep the ball on track.</v>
      </c>
      <c r="G161" s="8">
        <v>160.0</v>
      </c>
      <c r="H161" s="7" t="s">
        <v>1813</v>
      </c>
      <c r="I161" s="9" t="s">
        <v>1814</v>
      </c>
      <c r="J161" s="7" t="s">
        <v>1538</v>
      </c>
      <c r="K161" s="7" t="s">
        <v>1815</v>
      </c>
    </row>
    <row r="162" ht="22.5" customHeight="1">
      <c r="A162" s="7" t="str">
        <f>IFERROR(__xludf.DUMMYFUNCTION("GOOGLETRANSLATE(G162, ""de"", ""en"")"),"161")</f>
        <v>161</v>
      </c>
      <c r="B162" s="7" t="str">
        <f>IFERROR(__xludf.DUMMYFUNCTION("GOOGLETRANSLATE(H162, ""de"", ""en"")"),"The ground is rocky and your ball bounces unpredictably. How do you control it?")</f>
        <v>The ground is rocky and your ball bounces unpredictably. How do you control it?</v>
      </c>
      <c r="C162" s="7" t="s">
        <v>1816</v>
      </c>
      <c r="D162" s="7" t="str">
        <f>IFERROR(__xludf.DUMMYFUNCTION("GOOGLETRANSLATE(J162, ""de"", ""en"")"),"Use a side view to stabilize it.")</f>
        <v>Use a side view to stabilize it.</v>
      </c>
      <c r="E162" s="7" t="str">
        <f>IFERROR(__xludf.DUMMYFUNCTION("GOOGLETRANSLATE(K162, ""de"", ""en"")"),"A side-mounted camera helps to reduce unpredictable coils on rocky terrain.")</f>
        <v>A side-mounted camera helps to reduce unpredictable coils on rocky terrain.</v>
      </c>
      <c r="G162" s="8">
        <v>161.0</v>
      </c>
      <c r="H162" s="7" t="s">
        <v>1817</v>
      </c>
      <c r="I162" s="9" t="s">
        <v>1818</v>
      </c>
      <c r="J162" s="7" t="s">
        <v>1819</v>
      </c>
      <c r="K162" s="7" t="s">
        <v>1820</v>
      </c>
    </row>
    <row r="163" ht="22.5" customHeight="1">
      <c r="A163" s="7" t="str">
        <f>IFERROR(__xludf.DUMMYFUNCTION("GOOGLETRANSLATE(G163, ""de"", ""en"")"),"162")</f>
        <v>162</v>
      </c>
      <c r="B163" s="7" t="str">
        <f>IFERROR(__xludf.DUMMYFUNCTION("GOOGLETRANSLATE(H163, ""de"", ""en"")"),"You're approaching the finish line, but there's a slight incline ahead. How do you deal with that?")</f>
        <v>You're approaching the finish line, but there's a slight incline ahead. How do you deal with that?</v>
      </c>
      <c r="C163" s="7" t="s">
        <v>1821</v>
      </c>
      <c r="D163" s="7" t="str">
        <f>IFERROR(__xludf.DUMMYFUNCTION("GOOGLETRANSLATE(J163, ""de"", ""en"")"),"Slow down to adjust to the incline.")</f>
        <v>Slow down to adjust to the incline.</v>
      </c>
      <c r="E163" s="7" t="str">
        <f>IFERROR(__xludf.DUMMYFUNCTION("GOOGLETRANSLATE(K163, ""de"", ""en"")"),"By slowing down, you can approach the incline smoothly and maintain control.")</f>
        <v>By slowing down, you can approach the incline smoothly and maintain control.</v>
      </c>
      <c r="G163" s="8">
        <v>162.0</v>
      </c>
      <c r="H163" s="7" t="s">
        <v>1822</v>
      </c>
      <c r="I163" s="9" t="s">
        <v>1823</v>
      </c>
      <c r="J163" s="7" t="s">
        <v>1824</v>
      </c>
      <c r="K163" s="7" t="s">
        <v>1825</v>
      </c>
    </row>
    <row r="164" ht="22.5" customHeight="1">
      <c r="A164" s="7" t="str">
        <f>IFERROR(__xludf.DUMMYFUNCTION("GOOGLETRANSLATE(G164, ""de"", ""en"")"),"163")</f>
        <v>163</v>
      </c>
      <c r="B164" s="7" t="str">
        <f>IFERROR(__xludf.DUMMYFUNCTION("GOOGLETRANSLATE(H164, ""de"", ""en"")"),"Your ball is approaching a steep section. What is your best option to prevent losing control?")</f>
        <v>Your ball is approaching a steep section. What is your best option to prevent losing control?</v>
      </c>
      <c r="C164" s="7" t="s">
        <v>1826</v>
      </c>
      <c r="D164" s="7" t="str">
        <f>IFERROR(__xludf.DUMMYFUNCTION("GOOGLETRANSLATE(J164, ""de"", ""en"")"),"Throw more slowly to maintain control.")</f>
        <v>Throw more slowly to maintain control.</v>
      </c>
      <c r="E164" s="7" t="str">
        <f>IFERROR(__xludf.DUMMYFUNCTION("GOOGLETRANSLATE(K164, ""de"", ""en"")"),"Slowing down ensures that you maintain control while going downhill.")</f>
        <v>Slowing down ensures that you maintain control while going downhill.</v>
      </c>
      <c r="G164" s="8">
        <v>163.0</v>
      </c>
      <c r="H164" s="7" t="s">
        <v>1827</v>
      </c>
      <c r="I164" s="9" t="s">
        <v>1828</v>
      </c>
      <c r="J164" s="7" t="s">
        <v>1829</v>
      </c>
      <c r="K164" s="7" t="s">
        <v>1830</v>
      </c>
    </row>
    <row r="165" ht="22.5" customHeight="1">
      <c r="A165" s="7" t="str">
        <f>IFERROR(__xludf.DUMMYFUNCTION("GOOGLETRANSLATE(G165, ""de"", ""en"")"),"164")</f>
        <v>164</v>
      </c>
      <c r="B165" s="7" t="str">
        <f>IFERROR(__xludf.DUMMYFUNCTION("GOOGLETRANSLATE(H165, ""de"", ""en"")"),"You're on a smooth surface, but your ball is spinning sideways. How do you correct it?")</f>
        <v>You're on a smooth surface, but your ball is spinning sideways. How do you correct it?</v>
      </c>
      <c r="C165" s="7" t="s">
        <v>1831</v>
      </c>
      <c r="D165" s="7" t="str">
        <f>IFERROR(__xludf.DUMMYFUNCTION("GOOGLETRANSLATE(J165, ""de"", ""en"")"),"Use a side shot to steer it back.")</f>
        <v>Use a side shot to steer it back.</v>
      </c>
      <c r="E165" s="7" t="str">
        <f>IFERROR(__xludf.DUMMYFUNCTION("GOOGLETRANSLATE(K165, ""de"", ""en"")"),"A side shot is the best option to get the ball back on course.")</f>
        <v>A side shot is the best option to get the ball back on course.</v>
      </c>
      <c r="G165" s="8">
        <v>164.0</v>
      </c>
      <c r="H165" s="7" t="s">
        <v>1832</v>
      </c>
      <c r="I165" s="9" t="s">
        <v>1833</v>
      </c>
      <c r="J165" s="7" t="s">
        <v>1834</v>
      </c>
      <c r="K165" s="7" t="s">
        <v>1835</v>
      </c>
    </row>
    <row r="166" ht="22.5" customHeight="1">
      <c r="A166" s="7" t="str">
        <f>IFERROR(__xludf.DUMMYFUNCTION("GOOGLETRANSLATE(G166, ""de"", ""en"")"),"165")</f>
        <v>165</v>
      </c>
      <c r="B166" s="7" t="str">
        <f>IFERROR(__xludf.DUMMYFUNCTION("GOOGLETRANSLATE(H166, ""de"", ""en"")"),"The surface is soft and spongy, and your ball is losing speed. What do you do to maintain your momentum?")</f>
        <v>The surface is soft and spongy, and your ball is losing speed. What do you do to maintain your momentum?</v>
      </c>
      <c r="C166" s="7" t="s">
        <v>1836</v>
      </c>
      <c r="D166" s="7" t="str">
        <f>IFERROR(__xludf.DUMMYFUNCTION("GOOGLETRANSLATE(J166, ""de"", ""en"")"),"Throw harder to get your way")</f>
        <v>Throw harder to get your way</v>
      </c>
      <c r="E166" s="7" t="str">
        <f>IFERROR(__xludf.DUMMYFUNCTION("GOOGLETRANSLATE(K166, ""de"", ""en"")"),"A harder throw helps the ball push through soft surfaces and maintain speed.")</f>
        <v>A harder throw helps the ball push through soft surfaces and maintain speed.</v>
      </c>
      <c r="G166" s="8">
        <v>165.0</v>
      </c>
      <c r="H166" s="7" t="s">
        <v>1837</v>
      </c>
      <c r="I166" s="9" t="s">
        <v>1838</v>
      </c>
      <c r="J166" s="7" t="s">
        <v>1839</v>
      </c>
      <c r="K166" s="7" t="s">
        <v>1840</v>
      </c>
    </row>
    <row r="167" ht="22.5" customHeight="1">
      <c r="A167" s="7" t="str">
        <f>IFERROR(__xludf.DUMMYFUNCTION("GOOGLETRANSLATE(G167, ""de"", ""en"")"),"166")</f>
        <v>166</v>
      </c>
      <c r="B167" s="7" t="str">
        <f>IFERROR(__xludf.DUMMYFUNCTION("GOOGLETRANSLATE(H167, ""de"", ""en"")"),"Your opponent's ball is right outside the door and the space is narrow. How do you avoid interference?")</f>
        <v>Your opponent's ball is right outside the door and the space is narrow. How do you avoid interference?</v>
      </c>
      <c r="C167" s="7" t="s">
        <v>1841</v>
      </c>
      <c r="D167" s="7" t="str">
        <f>IFERROR(__xludf.DUMMYFUNCTION("GOOGLETRANSLATE(J167, ""de"", ""en"")"),"Use a side throw to move around.")</f>
        <v>Use a side throw to move around.</v>
      </c>
      <c r="E167" s="7" t="str">
        <f>IFERROR(__xludf.DUMMYFUNCTION("GOOGLETRANSLATE(K167, ""de"", ""en"")"),"A side throw ensures that you avoid interfering with your opponent's ball.")</f>
        <v>A side throw ensures that you avoid interfering with your opponent's ball.</v>
      </c>
      <c r="G167" s="8">
        <v>166.0</v>
      </c>
      <c r="H167" s="7" t="s">
        <v>1842</v>
      </c>
      <c r="I167" s="9" t="s">
        <v>1843</v>
      </c>
      <c r="J167" s="7" t="s">
        <v>1844</v>
      </c>
      <c r="K167" s="7" t="s">
        <v>1845</v>
      </c>
    </row>
    <row r="168" ht="22.5" customHeight="1">
      <c r="A168" s="7" t="str">
        <f>IFERROR(__xludf.DUMMYFUNCTION("GOOGLETRANSLATE(G168, ""de"", ""en"")"),"167")</f>
        <v>167</v>
      </c>
      <c r="B168" s="7" t="str">
        <f>IFERROR(__xludf.DUMMYFUNCTION("GOOGLETRANSLATE(H168, ""de"", ""en"")"),"There's a narrow gap in front of you, and your ball is spinning too much to the side. How do you adjust?")</f>
        <v>There's a narrow gap in front of you, and your ball is spinning too much to the side. How do you adjust?</v>
      </c>
      <c r="C168" s="7" t="s">
        <v>1846</v>
      </c>
      <c r="D168" s="7" t="str">
        <f>IFERROR(__xludf.DUMMYFUNCTION("GOOGLETRANSLATE(J168, ""de"", ""en"")"),"Use a page margin to correct the path.")</f>
        <v>Use a page margin to correct the path.</v>
      </c>
      <c r="E168" s="7" t="str">
        <f>IFERROR(__xludf.DUMMYFUNCTION("GOOGLETRANSLATE(K168, ""de"", ""en"")"),"A side shot helps you to precisely control your ball through narrow gaps.")</f>
        <v>A side shot helps you to precisely control your ball through narrow gaps.</v>
      </c>
      <c r="G168" s="8">
        <v>167.0</v>
      </c>
      <c r="H168" s="7" t="s">
        <v>1847</v>
      </c>
      <c r="I168" s="9" t="s">
        <v>1848</v>
      </c>
      <c r="J168" s="7" t="s">
        <v>1702</v>
      </c>
      <c r="K168" s="7" t="s">
        <v>1849</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37.63"/>
    <col customWidth="1" min="3" max="4" width="32.63"/>
    <col customWidth="1" min="5" max="5" width="37.63"/>
    <col customWidth="1" min="7" max="7" width="18.25"/>
    <col customWidth="1" min="9" max="10" width="17.38"/>
    <col customWidth="1" min="11" max="11" width="14.13"/>
  </cols>
  <sheetData>
    <row r="1" ht="22.5" customHeight="1">
      <c r="A1" s="11" t="s">
        <v>0</v>
      </c>
      <c r="B1" s="11" t="s">
        <v>1</v>
      </c>
      <c r="C1" s="11" t="s">
        <v>2</v>
      </c>
      <c r="D1" s="11" t="s">
        <v>1850</v>
      </c>
      <c r="E1" s="11" t="s">
        <v>1851</v>
      </c>
      <c r="G1" s="4" t="s">
        <v>5</v>
      </c>
      <c r="H1" s="4" t="s">
        <v>6</v>
      </c>
      <c r="I1" s="4" t="s">
        <v>9</v>
      </c>
      <c r="J1" s="4" t="s">
        <v>7</v>
      </c>
      <c r="K1" s="4" t="s">
        <v>1852</v>
      </c>
    </row>
    <row r="2" ht="22.5" customHeight="1">
      <c r="A2" s="12" t="str">
        <f>IFERROR(__xludf.DUMMYFUNCTION("GOOGLETRANSLATE(G2, ""de"", ""en"")"),"1")</f>
        <v>1</v>
      </c>
      <c r="B2" s="12" t="str">
        <f>IFERROR(__xludf.DUMMYFUNCTION("GOOGLETRANSLATE(H2, ""de"", ""en"")"),"A player attempts a shot, but the ball hits the post and rebounds back into play. What happens next?")</f>
        <v>A player attempts a shot, but the ball hits the post and rebounds back into play. What happens next?</v>
      </c>
      <c r="C2" s="12" t="s">
        <v>1853</v>
      </c>
      <c r="D2" s="12" t="str">
        <f>IFERROR(__xludf.DUMMYFUNCTION("GOOGLETRANSLATE(J2, ""de"", ""en"")"),"The game continues")</f>
        <v>The game continues</v>
      </c>
      <c r="E2" s="12" t="str">
        <f>IFERROR(__xludf.DUMMYFUNCTION("GOOGLETRANSLATE(K2, ""de"", ""en"")"),"If you hit the post and get back into the game, the game continues.")</f>
        <v>If you hit the post and get back into the game, the game continues.</v>
      </c>
      <c r="G2" s="8">
        <v>1.0</v>
      </c>
      <c r="H2" s="7" t="s">
        <v>1854</v>
      </c>
      <c r="I2" s="7" t="s">
        <v>1855</v>
      </c>
      <c r="J2" s="7" t="s">
        <v>1856</v>
      </c>
      <c r="K2" s="7" t="s">
        <v>1857</v>
      </c>
    </row>
    <row r="3" ht="22.5" customHeight="1">
      <c r="A3" s="12" t="str">
        <f>IFERROR(__xludf.DUMMYFUNCTION("GOOGLETRANSLATE(G3, ""de"", ""en"")"),"2")</f>
        <v>2</v>
      </c>
      <c r="B3" s="12" t="str">
        <f>IFERROR(__xludf.DUMMYFUNCTION("GOOGLETRANSLATE(H3, ""de"", ""en"")"),"The goalkeeper catches the ball with both hands. What is the correct decision?")</f>
        <v>The goalkeeper catches the ball with both hands. What is the correct decision?</v>
      </c>
      <c r="C3" s="12" t="s">
        <v>1858</v>
      </c>
      <c r="D3" s="12" t="str">
        <f>IFERROR(__xludf.DUMMYFUNCTION("GOOGLETRANSLATE(J3, ""de"", ""en"")"),"Foul against the goalkeeper")</f>
        <v>Foul against the goalkeeper</v>
      </c>
      <c r="E3" s="12" t="str">
        <f>IFERROR(__xludf.DUMMYFUNCTION("GOOGLETRANSLATE(K3, ""de"", ""en"")"),"In cycle ball, goalkeepers are not allowed to use their hands.")</f>
        <v>In cycle ball, goalkeepers are not allowed to use their hands.</v>
      </c>
      <c r="G3" s="8">
        <v>2.0</v>
      </c>
      <c r="H3" s="7" t="s">
        <v>1859</v>
      </c>
      <c r="I3" s="7" t="s">
        <v>1860</v>
      </c>
      <c r="J3" s="7" t="s">
        <v>1861</v>
      </c>
      <c r="K3" s="7" t="s">
        <v>1862</v>
      </c>
    </row>
    <row r="4" ht="22.5" customHeight="1">
      <c r="A4" s="12" t="str">
        <f>IFERROR(__xludf.DUMMYFUNCTION("GOOGLETRANSLATE(G4, ""de"", ""en"")"),"3")</f>
        <v>3</v>
      </c>
      <c r="B4" s="12" t="str">
        <f>IFERROR(__xludf.DUMMYFUNCTION("GOOGLETRANSLATE(H4, ""de"", ""en"")"),"A player accidentally hits the ball out of bounds with his front wheel. What happens next?")</f>
        <v>A player accidentally hits the ball out of bounds with his front wheel. What happens next?</v>
      </c>
      <c r="C4" s="12" t="s">
        <v>1863</v>
      </c>
      <c r="D4" s="12" t="str">
        <f>IFERROR(__xludf.DUMMYFUNCTION("GOOGLETRANSLATE(J4, ""de"", ""en"")"),"Throw-in for the opponent")</f>
        <v>Throw-in for the opponent</v>
      </c>
      <c r="E4" s="12" t="str">
        <f>IFERROR(__xludf.DUMMYFUNCTION("GOOGLETRANSLATE(K4, ""de"", ""en"")"),"Hitting the ball out of bounds results in a throw-in for the opposing team.")</f>
        <v>Hitting the ball out of bounds results in a throw-in for the opposing team.</v>
      </c>
      <c r="G4" s="8">
        <v>3.0</v>
      </c>
      <c r="H4" s="7" t="s">
        <v>1864</v>
      </c>
      <c r="I4" s="7" t="s">
        <v>1865</v>
      </c>
      <c r="J4" s="7" t="s">
        <v>1866</v>
      </c>
      <c r="K4" s="7" t="s">
        <v>1867</v>
      </c>
    </row>
    <row r="5" ht="22.5" customHeight="1">
      <c r="A5" s="12" t="str">
        <f>IFERROR(__xludf.DUMMYFUNCTION("GOOGLETRANSLATE(G5, ""de"", ""en"")"),"4")</f>
        <v>4</v>
      </c>
      <c r="B5" s="12" t="str">
        <f>IFERROR(__xludf.DUMMYFUNCTION("GOOGLETRANSLATE(H5, ""de"", ""en"")"),"A defender blocks a shot by lifting his front wheel. Is that allowed?")</f>
        <v>A defender blocks a shot by lifting his front wheel. Is that allowed?</v>
      </c>
      <c r="C5" s="12" t="s">
        <v>1868</v>
      </c>
      <c r="D5" s="12" t="str">
        <f>IFERROR(__xludf.DUMMYFUNCTION("GOOGLETRANSLATE(J5, ""de"", ""en"")"),"NO")</f>
        <v>NO</v>
      </c>
      <c r="E5" s="12" t="str">
        <f>IFERROR(__xludf.DUMMYFUNCTION("GOOGLETRANSLATE(K5, ""de"", ""en"")"),"Lifting the front wheel to block a shot is not allowed in cycle ball.")</f>
        <v>Lifting the front wheel to block a shot is not allowed in cycle ball.</v>
      </c>
      <c r="G5" s="8">
        <v>4.0</v>
      </c>
      <c r="H5" s="7" t="s">
        <v>1869</v>
      </c>
      <c r="I5" s="7" t="s">
        <v>1870</v>
      </c>
      <c r="J5" s="7" t="s">
        <v>1871</v>
      </c>
      <c r="K5" s="7" t="s">
        <v>1872</v>
      </c>
    </row>
    <row r="6" ht="22.5" customHeight="1">
      <c r="A6" s="12" t="str">
        <f>IFERROR(__xludf.DUMMYFUNCTION("GOOGLETRANSLATE(G6, ""de"", ""en"")"),"5")</f>
        <v>5</v>
      </c>
      <c r="B6" s="12" t="str">
        <f>IFERROR(__xludf.DUMMYFUNCTION("GOOGLETRANSLATE(H6, ""de"", ""en"")"),"A player scores a goal, but his foot touches the ground when he takes the shot. What happens?")</f>
        <v>A player scores a goal, but his foot touches the ground when he takes the shot. What happens?</v>
      </c>
      <c r="C6" s="12" t="s">
        <v>1873</v>
      </c>
      <c r="D6" s="12" t="str">
        <f>IFERROR(__xludf.DUMMYFUNCTION("GOOGLETRANSLATE(J6, ""de"", ""en"")"),"Goal not recognized")</f>
        <v>Goal not recognized</v>
      </c>
      <c r="E6" s="12" t="str">
        <f>IFERROR(__xludf.DUMMYFUNCTION("GOOGLETRANSLATE(K6, ""de"", ""en"")"),"A goal will not be recognized if a player's foot touches the ground during the shot.")</f>
        <v>A goal will not be recognized if a player's foot touches the ground during the shot.</v>
      </c>
      <c r="G6" s="8">
        <v>5.0</v>
      </c>
      <c r="H6" s="7" t="s">
        <v>1874</v>
      </c>
      <c r="I6" s="7" t="s">
        <v>1875</v>
      </c>
      <c r="J6" s="7" t="s">
        <v>1876</v>
      </c>
      <c r="K6" s="7" t="s">
        <v>1877</v>
      </c>
    </row>
    <row r="7" ht="22.5" customHeight="1">
      <c r="A7" s="12" t="str">
        <f>IFERROR(__xludf.DUMMYFUNCTION("GOOGLETRANSLATE(G7, ""de"", ""en"")"),"6")</f>
        <v>6</v>
      </c>
      <c r="B7" s="12" t="str">
        <f>IFERROR(__xludf.DUMMYFUNCTION("GOOGLETRANSLATE(H7, ""de"", ""en"")"),"The ball is stationary and both players are circling around it. What's supposed to happen?")</f>
        <v>The ball is stationary and both players are circling around it. What's supposed to happen?</v>
      </c>
      <c r="C7" s="12" t="s">
        <v>1878</v>
      </c>
      <c r="D7" s="12" t="str">
        <f>IFERROR(__xludf.DUMMYFUNCTION("GOOGLETRANSLATE(J7, ""de"", ""en"")"),"The referee awards a drop ball.")</f>
        <v>The referee awards a drop ball.</v>
      </c>
      <c r="E7" s="12" t="str">
        <f>IFERROR(__xludf.DUMMYFUNCTION("GOOGLETRANSLATE(K7, ""de"", ""en"")"),"A drop ball is used to resume play when the ball has been stationary for too long.")</f>
        <v>A drop ball is used to resume play when the ball has been stationary for too long.</v>
      </c>
      <c r="G7" s="8">
        <v>6.0</v>
      </c>
      <c r="H7" s="7" t="s">
        <v>1879</v>
      </c>
      <c r="I7" s="7" t="s">
        <v>1880</v>
      </c>
      <c r="J7" s="7" t="s">
        <v>1881</v>
      </c>
      <c r="K7" s="7" t="s">
        <v>1882</v>
      </c>
    </row>
    <row r="8" ht="22.5" customHeight="1">
      <c r="A8" s="12" t="str">
        <f>IFERROR(__xludf.DUMMYFUNCTION("GOOGLETRANSLATE(G8, ""de"", ""en"")"),"7")</f>
        <v>7</v>
      </c>
      <c r="B8" s="12" t="str">
        <f>IFERROR(__xludf.DUMMYFUNCTION("GOOGLETRANSLATE(H8, ""de"", ""en"")"),"A player deliberately collides with his opponent to prevent a goal. What is the ruling?")</f>
        <v>A player deliberately collides with his opponent to prevent a goal. What is the ruling?</v>
      </c>
      <c r="C8" s="12" t="s">
        <v>1883</v>
      </c>
      <c r="D8" s="12" t="str">
        <f>IFERROR(__xludf.DUMMYFUNCTION("GOOGLETRANSLATE(J8, ""de"", ""en"")"),"Penalty for the opponent")</f>
        <v>Penalty for the opponent</v>
      </c>
      <c r="E8" s="12" t="str">
        <f>IFERROR(__xludf.DUMMYFUNCTION("GOOGLETRANSLATE(K8, ""de"", ""en"")"),"A deliberate collision with an opponent results in a penalty for the opposing team.")</f>
        <v>A deliberate collision with an opponent results in a penalty for the opposing team.</v>
      </c>
      <c r="G8" s="8">
        <v>7.0</v>
      </c>
      <c r="H8" s="7" t="s">
        <v>1884</v>
      </c>
      <c r="I8" s="7" t="s">
        <v>1885</v>
      </c>
      <c r="J8" s="7" t="s">
        <v>1886</v>
      </c>
      <c r="K8" s="7" t="s">
        <v>1887</v>
      </c>
    </row>
    <row r="9" ht="22.5" customHeight="1">
      <c r="A9" s="12" t="str">
        <f>IFERROR(__xludf.DUMMYFUNCTION("GOOGLETRANSLATE(G9, ""de"", ""en"")"),"8")</f>
        <v>8</v>
      </c>
      <c r="B9" s="12" t="str">
        <f>IFERROR(__xludf.DUMMYFUNCTION("GOOGLETRANSLATE(H9, ""de"", ""en"")"),"A player scores directly from the kickoff. Is that allowed?")</f>
        <v>A player scores directly from the kickoff. Is that allowed?</v>
      </c>
      <c r="C9" s="12" t="s">
        <v>1888</v>
      </c>
      <c r="D9" s="12" t="str">
        <f>IFERROR(__xludf.DUMMYFUNCTION("GOOGLETRANSLATE(J9, ""de"", ""en"")"),"Yes")</f>
        <v>Yes</v>
      </c>
      <c r="E9" s="12" t="str">
        <f>IFERROR(__xludf.DUMMYFUNCTION("GOOGLETRANSLATE(K9, ""de"", ""en"")"),"In cycle ball, it is permitted to score directly from the kick-off.")</f>
        <v>In cycle ball, it is permitted to score directly from the kick-off.</v>
      </c>
      <c r="G9" s="8">
        <v>8.0</v>
      </c>
      <c r="H9" s="7" t="s">
        <v>1889</v>
      </c>
      <c r="I9" s="7" t="s">
        <v>1890</v>
      </c>
      <c r="J9" s="7" t="s">
        <v>1891</v>
      </c>
      <c r="K9" s="7" t="s">
        <v>1892</v>
      </c>
    </row>
    <row r="10" ht="22.5" customHeight="1">
      <c r="A10" s="12" t="str">
        <f>IFERROR(__xludf.DUMMYFUNCTION("GOOGLETRANSLATE(G10, ""de"", ""en"")"),"9")</f>
        <v>9</v>
      </c>
      <c r="B10" s="12" t="str">
        <f>IFERROR(__xludf.DUMMYFUNCTION("GOOGLETRANSLATE(H10, ""de"", ""en"")"),"The ball is deflected into the goal by a player's bicycle. What is the result?")</f>
        <v>The ball is deflected into the goal by a player's bicycle. What is the result?</v>
      </c>
      <c r="C10" s="12" t="s">
        <v>1893</v>
      </c>
      <c r="D10" s="12" t="str">
        <f>IFERROR(__xludf.DUMMYFUNCTION("GOOGLETRANSLATE(J10, ""de"", ""en"")"),"Goal missed")</f>
        <v>Goal missed</v>
      </c>
      <c r="E10" s="12" t="str">
        <f>IFERROR(__xludf.DUMMYFUNCTION("GOOGLETRANSLATE(K10, ""de"", ""en"")"),"Goals scored by a cyclist who is deflected off the bicycle are valid in cycle ball.")</f>
        <v>Goals scored by a cyclist who is deflected off the bicycle are valid in cycle ball.</v>
      </c>
      <c r="G10" s="8">
        <v>9.0</v>
      </c>
      <c r="H10" s="7" t="s">
        <v>1894</v>
      </c>
      <c r="I10" s="7" t="s">
        <v>1895</v>
      </c>
      <c r="J10" s="7" t="s">
        <v>1896</v>
      </c>
      <c r="K10" s="7" t="s">
        <v>1897</v>
      </c>
    </row>
    <row r="11" ht="22.5" customHeight="1">
      <c r="A11" s="12" t="str">
        <f>IFERROR(__xludf.DUMMYFUNCTION("GOOGLETRANSLATE(G11, ""de"", ""en"")"),"10")</f>
        <v>10</v>
      </c>
      <c r="B11" s="12" t="str">
        <f>IFERROR(__xludf.DUMMYFUNCTION("GOOGLETRANSLATE(H11, ""de"", ""en"")"),"The goalkeeper accidentally puts the ball into his own net. What is the verdict?")</f>
        <v>The goalkeeper accidentally puts the ball into his own net. What is the verdict?</v>
      </c>
      <c r="C11" s="12" t="s">
        <v>1898</v>
      </c>
      <c r="D11" s="12" t="str">
        <f>IFERROR(__xludf.DUMMYFUNCTION("GOOGLETRANSLATE(J11, ""de"", ""en"")"),"Goal for the opposing team")</f>
        <v>Goal for the opposing team</v>
      </c>
      <c r="E11" s="12" t="str">
        <f>IFERROR(__xludf.DUMMYFUNCTION("GOOGLETRANSLATE(K11, ""de"", ""en"")"),"An own goal counts as a goal by the opposing team.")</f>
        <v>An own goal counts as a goal by the opposing team.</v>
      </c>
      <c r="G11" s="8">
        <v>10.0</v>
      </c>
      <c r="H11" s="7" t="s">
        <v>1899</v>
      </c>
      <c r="I11" s="7" t="s">
        <v>1900</v>
      </c>
      <c r="J11" s="7" t="s">
        <v>1901</v>
      </c>
      <c r="K11" s="7" t="s">
        <v>1902</v>
      </c>
    </row>
    <row r="12" ht="22.5" customHeight="1">
      <c r="A12" s="12" t="str">
        <f>IFERROR(__xludf.DUMMYFUNCTION("GOOGLETRANSLATE(G12, ""de"", ""en"")"),"11")</f>
        <v>11</v>
      </c>
      <c r="B12" s="12" t="str">
        <f>IFERROR(__xludf.DUMMYFUNCTION("GOOGLETRANSLATE(H12, ""de"", ""en"")"),"A player performs a bicycle trick to pass the ball to his teammate. Is that allowed?")</f>
        <v>A player performs a bicycle trick to pass the ball to his teammate. Is that allowed?</v>
      </c>
      <c r="C12" s="12" t="s">
        <v>1903</v>
      </c>
      <c r="D12" s="12" t="str">
        <f>IFERROR(__xludf.DUMMYFUNCTION("GOOGLETRANSLATE(J12, ""de"", ""en"")"),"Yes")</f>
        <v>Yes</v>
      </c>
      <c r="E12" s="12" t="str">
        <f>IFERROR(__xludf.DUMMYFUNCTION("GOOGLETRANSLATE(K12, ""de"", ""en"")"),"Bicycle tricks are allowed as long as they do not involve dangerous play.")</f>
        <v>Bicycle tricks are allowed as long as they do not involve dangerous play.</v>
      </c>
      <c r="G12" s="8">
        <v>11.0</v>
      </c>
      <c r="H12" s="7" t="s">
        <v>1904</v>
      </c>
      <c r="I12" s="7" t="s">
        <v>1905</v>
      </c>
      <c r="J12" s="7" t="s">
        <v>1891</v>
      </c>
      <c r="K12" s="7" t="s">
        <v>1906</v>
      </c>
    </row>
    <row r="13" ht="22.5" customHeight="1">
      <c r="A13" s="12" t="str">
        <f>IFERROR(__xludf.DUMMYFUNCTION("GOOGLETRANSLATE(G13, ""de"", ""en"")"),"12")</f>
        <v>12</v>
      </c>
      <c r="B13" s="12" t="str">
        <f>IFERROR(__xludf.DUMMYFUNCTION("GOOGLETRANSLATE(H13, ""de"", ""en"")"),"A player's foot touches the ground while defending in the penalty area. What happens?")</f>
        <v>A player's foot touches the ground while defending in the penalty area. What happens?</v>
      </c>
      <c r="C13" s="12" t="s">
        <v>1907</v>
      </c>
      <c r="D13" s="12" t="str">
        <f>IFERROR(__xludf.DUMMYFUNCTION("GOOGLETRANSLATE(J13, ""de"", ""en"")"),"Penalty for the opponent")</f>
        <v>Penalty for the opponent</v>
      </c>
      <c r="E13" s="12" t="str">
        <f>IFERROR(__xludf.DUMMYFUNCTION("GOOGLETRANSLATE(K13, ""de"", ""en"")"),"Touching the ground in the penalty area while defending will result in a penalty.")</f>
        <v>Touching the ground in the penalty area while defending will result in a penalty.</v>
      </c>
      <c r="G13" s="8">
        <v>12.0</v>
      </c>
      <c r="H13" s="7" t="s">
        <v>1908</v>
      </c>
      <c r="I13" s="7" t="s">
        <v>1909</v>
      </c>
      <c r="J13" s="7" t="s">
        <v>1886</v>
      </c>
      <c r="K13" s="7" t="s">
        <v>1910</v>
      </c>
    </row>
    <row r="14" ht="22.5" customHeight="1">
      <c r="A14" s="12" t="str">
        <f>IFERROR(__xludf.DUMMYFUNCTION("GOOGLETRANSLATE(G14, ""de"", ""en"")"),"13")</f>
        <v>13</v>
      </c>
      <c r="B14" s="12" t="str">
        <f>IFERROR(__xludf.DUMMYFUNCTION("GOOGLETRANSLATE(H14, ""de"", ""en"")"),"A player deliberately kicks the ball instead of using the bicycle. What is the verdict?")</f>
        <v>A player deliberately kicks the ball instead of using the bicycle. What is the verdict?</v>
      </c>
      <c r="C14" s="12" t="s">
        <v>1911</v>
      </c>
      <c r="D14" s="12" t="str">
        <f>IFERROR(__xludf.DUMMYFUNCTION("GOOGLETRANSLATE(J14, ""de"", ""en"")"),"Foul against the player")</f>
        <v>Foul against the player</v>
      </c>
      <c r="E14" s="12" t="str">
        <f>IFERROR(__xludf.DUMMYFUNCTION("GOOGLETRANSLATE(K14, ""de"", ""en"")"),"Players must use their bicycles to control the ball. Kicking is not allowed.")</f>
        <v>Players must use their bicycles to control the ball. Kicking is not allowed.</v>
      </c>
      <c r="G14" s="8">
        <v>13.0</v>
      </c>
      <c r="H14" s="7" t="s">
        <v>1912</v>
      </c>
      <c r="I14" s="7" t="s">
        <v>1913</v>
      </c>
      <c r="J14" s="7" t="s">
        <v>1914</v>
      </c>
      <c r="K14" s="7" t="s">
        <v>1915</v>
      </c>
    </row>
    <row r="15" ht="22.5" customHeight="1">
      <c r="A15" s="12" t="str">
        <f>IFERROR(__xludf.DUMMYFUNCTION("GOOGLETRANSLATE(G15, ""de"", ""en"")"),"14")</f>
        <v>14</v>
      </c>
      <c r="B15" s="12" t="str">
        <f>IFERROR(__xludf.DUMMYFUNCTION("GOOGLETRANSLATE(H15, ""de"", ""en"")"),"The ball is played high and lands on top of the goal frame. What's supposed to happen?")</f>
        <v>The ball is played high and lands on top of the goal frame. What's supposed to happen?</v>
      </c>
      <c r="C15" s="12" t="s">
        <v>1916</v>
      </c>
      <c r="D15" s="12" t="str">
        <f>IFERROR(__xludf.DUMMYFUNCTION("GOOGLETRANSLATE(J15, ""de"", ""en"")"),"The referee stops the game")</f>
        <v>The referee stops the game</v>
      </c>
      <c r="E15" s="12" t="str">
        <f>IFERROR(__xludf.DUMMYFUNCTION("GOOGLETRANSLATE(K15, ""de"", ""en"")"),"The game is stopped when the ball lands on top of the goal frame.")</f>
        <v>The game is stopped when the ball lands on top of the goal frame.</v>
      </c>
      <c r="G15" s="8">
        <v>14.0</v>
      </c>
      <c r="H15" s="7" t="s">
        <v>1917</v>
      </c>
      <c r="I15" s="7" t="s">
        <v>1918</v>
      </c>
      <c r="J15" s="7" t="s">
        <v>1919</v>
      </c>
      <c r="K15" s="7" t="s">
        <v>1920</v>
      </c>
    </row>
    <row r="16" ht="22.5" customHeight="1">
      <c r="A16" s="12" t="str">
        <f>IFERROR(__xludf.DUMMYFUNCTION("GOOGLETRANSLATE(G16, ""de"", ""en"")"),"15")</f>
        <v>15</v>
      </c>
      <c r="B16" s="12" t="str">
        <f>IFERROR(__xludf.DUMMYFUNCTION("GOOGLETRANSLATE(H16, ""de"", ""en"")"),"A player scores, but the referee notices that he was only holding the handlebars with one hand. What is the ruling?")</f>
        <v>A player scores, but the referee notices that he was only holding the handlebars with one hand. What is the ruling?</v>
      </c>
      <c r="C16" s="12" t="s">
        <v>1921</v>
      </c>
      <c r="D16" s="12" t="str">
        <f>IFERROR(__xludf.DUMMYFUNCTION("GOOGLETRANSLATE(J16, ""de"", ""en"")"),"Goal not recognized")</f>
        <v>Goal not recognized</v>
      </c>
      <c r="E16" s="12" t="str">
        <f>IFERROR(__xludf.DUMMYFUNCTION("GOOGLETRANSLATE(K16, ""de"", ""en"")"),"To score points, players must maintain control of their bicycles with both hands.")</f>
        <v>To score points, players must maintain control of their bicycles with both hands.</v>
      </c>
      <c r="G16" s="8">
        <v>15.0</v>
      </c>
      <c r="H16" s="7" t="s">
        <v>1922</v>
      </c>
      <c r="I16" s="7" t="s">
        <v>1923</v>
      </c>
      <c r="J16" s="7" t="s">
        <v>1876</v>
      </c>
      <c r="K16" s="7" t="s">
        <v>1924</v>
      </c>
    </row>
    <row r="17" ht="22.5" customHeight="1">
      <c r="A17" s="12" t="str">
        <f>IFERROR(__xludf.DUMMYFUNCTION("GOOGLETRANSLATE(G17, ""de"", ""en"")"),"16")</f>
        <v>16</v>
      </c>
      <c r="B17" s="12" t="str">
        <f>IFERROR(__xludf.DUMMYFUNCTION("GOOGLETRANSLATE(H17, ""de"", ""en"")"),"A player deliberately delays the taking of a free kick. What action does the referee take?")</f>
        <v>A player deliberately delays the taking of a free kick. What action does the referee take?</v>
      </c>
      <c r="C17" s="12" t="s">
        <v>1925</v>
      </c>
      <c r="D17" s="12" t="str">
        <f>IFERROR(__xludf.DUMMYFUNCTION("GOOGLETRANSLATE(J17, ""de"", ""en"")"),"Issues a warning")</f>
        <v>Issues a warning</v>
      </c>
      <c r="E17" s="12" t="str">
        <f>IFERROR(__xludf.DUMMYFUNCTION("GOOGLETRANSLATE(K17, ""de"", ""en"")"),"Referees issue warnings for delaying the game.")</f>
        <v>Referees issue warnings for delaying the game.</v>
      </c>
      <c r="G17" s="8">
        <v>16.0</v>
      </c>
      <c r="H17" s="7" t="s">
        <v>1926</v>
      </c>
      <c r="I17" s="7" t="s">
        <v>1927</v>
      </c>
      <c r="J17" s="7" t="s">
        <v>1928</v>
      </c>
      <c r="K17" s="7" t="s">
        <v>1929</v>
      </c>
    </row>
    <row r="18" ht="22.5" customHeight="1">
      <c r="A18" s="12" t="str">
        <f>IFERROR(__xludf.DUMMYFUNCTION("GOOGLETRANSLATE(G18, ""de"", ""en"")"),"17")</f>
        <v>17</v>
      </c>
      <c r="B18" s="12" t="str">
        <f>IFERROR(__xludf.DUMMYFUNCTION("GOOGLETRANSLATE(H18, ""de"", ""en"")"),"Two players collide while fighting for the ball and both fall. What happens next?")</f>
        <v>Two players collide while fighting for the ball and both fall. What happens next?</v>
      </c>
      <c r="C18" s="12" t="s">
        <v>1930</v>
      </c>
      <c r="D18" s="12" t="str">
        <f>IFERROR(__xludf.DUMMYFUNCTION("GOOGLETRANSLATE(J18, ""de"", ""en"")"),"Drop the ball")</f>
        <v>Drop the ball</v>
      </c>
      <c r="E18" s="12" t="str">
        <f>IFERROR(__xludf.DUMMYFUNCTION("GOOGLETRANSLATE(K18, ""de"", ""en"")"),"A drop ball is awarded when both players fall simultaneously without a foul.")</f>
        <v>A drop ball is awarded when both players fall simultaneously without a foul.</v>
      </c>
      <c r="G18" s="8">
        <v>17.0</v>
      </c>
      <c r="H18" s="7" t="s">
        <v>1931</v>
      </c>
      <c r="I18" s="7" t="s">
        <v>1932</v>
      </c>
      <c r="J18" s="7" t="s">
        <v>1933</v>
      </c>
      <c r="K18" s="7" t="s">
        <v>1934</v>
      </c>
    </row>
    <row r="19" ht="22.5" customHeight="1">
      <c r="A19" s="12" t="str">
        <f>IFERROR(__xludf.DUMMYFUNCTION("GOOGLETRANSLATE(G19, ""de"", ""en"")"),"18")</f>
        <v>18</v>
      </c>
      <c r="B19" s="12" t="str">
        <f>IFERROR(__xludf.DUMMYFUNCTION("GOOGLETRANSLATE(H19, ""de"", ""en"")"),"A player attempts a backflip, but it goes over the goal. What is the score?")</f>
        <v>A player attempts a backflip, but it goes over the goal. What is the score?</v>
      </c>
      <c r="C19" s="12" t="s">
        <v>1935</v>
      </c>
      <c r="D19" s="12" t="str">
        <f>IFERROR(__xludf.DUMMYFUNCTION("GOOGLETRANSLATE(J19, ""de"", ""en"")"),"Goal kick for the opposing team")</f>
        <v>Goal kick for the opposing team</v>
      </c>
      <c r="E19" s="12" t="str">
        <f>IFERROR(__xludf.DUMMYFUNCTION("GOOGLETRANSLATE(K19, ""de"", ""en"")"),"Shots that go over the goal result in a goal kick for the opposing team.")</f>
        <v>Shots that go over the goal result in a goal kick for the opposing team.</v>
      </c>
      <c r="G19" s="8">
        <v>18.0</v>
      </c>
      <c r="H19" s="7" t="s">
        <v>1936</v>
      </c>
      <c r="I19" s="7" t="s">
        <v>1937</v>
      </c>
      <c r="J19" s="7" t="s">
        <v>1938</v>
      </c>
      <c r="K19" s="7" t="s">
        <v>1939</v>
      </c>
    </row>
    <row r="20" ht="22.5" customHeight="1">
      <c r="A20" s="12" t="str">
        <f>IFERROR(__xludf.DUMMYFUNCTION("GOOGLETRANSLATE(G20, ""de"", ""en"")"),"19")</f>
        <v>19</v>
      </c>
      <c r="B20" s="12" t="str">
        <f>IFERROR(__xludf.DUMMYFUNCTION("GOOGLETRANSLATE(H20, ""de"", ""en"")"),"The ball is deflected by the referee and goes into the goal. What is the verdict?")</f>
        <v>The ball is deflected by the referee and goes into the goal. What is the verdict?</v>
      </c>
      <c r="C20" s="12" t="s">
        <v>1940</v>
      </c>
      <c r="D20" s="12" t="str">
        <f>IFERROR(__xludf.DUMMYFUNCTION("GOOGLETRANSLATE(J20, ""de"", ""en"")"),"Drop the ball")</f>
        <v>Drop the ball</v>
      </c>
      <c r="E20" s="12" t="str">
        <f>IFERROR(__xludf.DUMMYFUNCTION("GOOGLETRANSLATE(K20, ""de"", ""en"")"),"If the ball is deflected by the referee, the game continues with a drop ball.")</f>
        <v>If the ball is deflected by the referee, the game continues with a drop ball.</v>
      </c>
      <c r="G20" s="8">
        <v>19.0</v>
      </c>
      <c r="H20" s="7" t="s">
        <v>1941</v>
      </c>
      <c r="I20" s="7" t="s">
        <v>1942</v>
      </c>
      <c r="J20" s="7" t="s">
        <v>1933</v>
      </c>
      <c r="K20" s="7" t="s">
        <v>1943</v>
      </c>
    </row>
    <row r="21" ht="22.5" customHeight="1">
      <c r="A21" s="12" t="str">
        <f>IFERROR(__xludf.DUMMYFUNCTION("GOOGLETRANSLATE(G21, ""de"", ""en"")"),"20")</f>
        <v>20</v>
      </c>
      <c r="B21" s="12" t="str">
        <f>IFERROR(__xludf.DUMMYFUNCTION("GOOGLETRANSLATE(H21, ""de"", ""en"")"),"A player blocks a shot by placing his bicycle over the goal line. What happens?")</f>
        <v>A player blocks a shot by placing his bicycle over the goal line. What happens?</v>
      </c>
      <c r="C21" s="12" t="s">
        <v>1944</v>
      </c>
      <c r="D21" s="12" t="str">
        <f>IFERROR(__xludf.DUMMYFUNCTION("GOOGLETRANSLATE(J21, ""de"", ""en"")"),"Penalty for the opponent")</f>
        <v>Penalty for the opponent</v>
      </c>
      <c r="E21" s="12" t="str">
        <f>IFERROR(__xludf.DUMMYFUNCTION("GOOGLETRANSLATE(K21, ""de"", ""en"")"),"Intentionally blocking the goal line by placing the bicycle over the goal line will result in a penalty.")</f>
        <v>Intentionally blocking the goal line by placing the bicycle over the goal line will result in a penalty.</v>
      </c>
      <c r="G21" s="8">
        <v>20.0</v>
      </c>
      <c r="H21" s="7" t="s">
        <v>1945</v>
      </c>
      <c r="I21" s="7" t="s">
        <v>1946</v>
      </c>
      <c r="J21" s="7" t="s">
        <v>1886</v>
      </c>
      <c r="K21" s="7" t="s">
        <v>1947</v>
      </c>
    </row>
    <row r="22" ht="22.5" customHeight="1">
      <c r="A22" s="12" t="str">
        <f>IFERROR(__xludf.DUMMYFUNCTION("GOOGLETRANSLATE(G22, ""de"", ""en"")"),"21")</f>
        <v>21</v>
      </c>
      <c r="B22" s="12" t="str">
        <f>IFERROR(__xludf.DUMMYFUNCTION("GOOGLETRANSLATE(H22, ""de"", ""en"")"),"A defender directs the ball into his own penalty area. What is the referee's decision?")</f>
        <v>A defender directs the ball into his own penalty area. What is the referee's decision?</v>
      </c>
      <c r="C22" s="12" t="s">
        <v>1948</v>
      </c>
      <c r="D22" s="12" t="str">
        <f>IFERROR(__xludf.DUMMYFUNCTION("GOOGLETRANSLATE(J22, ""de"", ""en"")"),"The game continues")</f>
        <v>The game continues</v>
      </c>
      <c r="E22" s="12" t="str">
        <f>IFERROR(__xludf.DUMMYFUNCTION("GOOGLETRANSLATE(K22, ""de"", ""en"")"),"Deflecting the ball into one's own penalty area does not result in a penalty.")</f>
        <v>Deflecting the ball into one's own penalty area does not result in a penalty.</v>
      </c>
      <c r="G22" s="8">
        <v>21.0</v>
      </c>
      <c r="H22" s="7" t="s">
        <v>1949</v>
      </c>
      <c r="I22" s="7" t="s">
        <v>1950</v>
      </c>
      <c r="J22" s="7" t="s">
        <v>1856</v>
      </c>
      <c r="K22" s="7" t="s">
        <v>1951</v>
      </c>
    </row>
    <row r="23" ht="22.5" customHeight="1">
      <c r="A23" s="12" t="str">
        <f>IFERROR(__xludf.DUMMYFUNCTION("GOOGLETRANSLATE(G23, ""de"", ""en"")"),"22")</f>
        <v>22</v>
      </c>
      <c r="B23" s="12" t="str">
        <f>IFERROR(__xludf.DUMMYFUNCTION("GOOGLETRANSLATE(H23, ""de"", ""en"")"),"The ball is in play when a player's handlebar breaks. What happens next?")</f>
        <v>The ball is in play when a player's handlebar breaks. What happens next?</v>
      </c>
      <c r="C23" s="12" t="s">
        <v>1952</v>
      </c>
      <c r="D23" s="12" t="str">
        <f>IFERROR(__xludf.DUMMYFUNCTION("GOOGLETRANSLATE(J23, ""de"", ""en"")"),"The referee stops the game")</f>
        <v>The referee stops the game</v>
      </c>
      <c r="E23" s="12" t="str">
        <f>IFERROR(__xludf.DUMMYFUNCTION("GOOGLETRANSLATE(K23, ""de"", ""en"")"),"The game is interrupted due to equipment malfunctions.")</f>
        <v>The game is interrupted due to equipment malfunctions.</v>
      </c>
      <c r="G23" s="8">
        <v>22.0</v>
      </c>
      <c r="H23" s="7" t="s">
        <v>1953</v>
      </c>
      <c r="I23" s="7" t="s">
        <v>1954</v>
      </c>
      <c r="J23" s="7" t="s">
        <v>1919</v>
      </c>
      <c r="K23" s="7" t="s">
        <v>1955</v>
      </c>
    </row>
    <row r="24" ht="22.5" customHeight="1">
      <c r="A24" s="12" t="str">
        <f>IFERROR(__xludf.DUMMYFUNCTION("GOOGLETRANSLATE(G24, ""de"", ""en"")"),"23")</f>
        <v>23</v>
      </c>
      <c r="B24" s="12" t="str">
        <f>IFERROR(__xludf.DUMMYFUNCTION("GOOGLETRANSLATE(H24, ""de"", ""en"")"),"A player loses control of his bicycle, but the ball goes into the goal. Is it a valid goal?")</f>
        <v>A player loses control of his bicycle, but the ball goes into the goal. Is it a valid goal?</v>
      </c>
      <c r="C24" s="12" t="s">
        <v>1956</v>
      </c>
      <c r="D24" s="12" t="str">
        <f>IFERROR(__xludf.DUMMYFUNCTION("GOOGLETRANSLATE(J24, ""de"", ""en"")"),"NO")</f>
        <v>NO</v>
      </c>
      <c r="E24" s="12" t="str">
        <f>IFERROR(__xludf.DUMMYFUNCTION("GOOGLETRANSLATE(K24, ""de"", ""en"")"),"A goal is invalid if the player loses control of his bicycle.")</f>
        <v>A goal is invalid if the player loses control of his bicycle.</v>
      </c>
      <c r="G24" s="8">
        <v>23.0</v>
      </c>
      <c r="H24" s="7" t="s">
        <v>1957</v>
      </c>
      <c r="I24" s="7" t="s">
        <v>1958</v>
      </c>
      <c r="J24" s="7" t="s">
        <v>1871</v>
      </c>
      <c r="K24" s="7" t="s">
        <v>1959</v>
      </c>
    </row>
    <row r="25" ht="22.5" customHeight="1">
      <c r="A25" s="12" t="str">
        <f>IFERROR(__xludf.DUMMYFUNCTION("GOOGLETRANSLATE(G25, ""de"", ""en"")"),"24")</f>
        <v>24</v>
      </c>
      <c r="B25" s="12" t="str">
        <f>IFERROR(__xludf.DUMMYFUNCTION("GOOGLETRANSLATE(H25, ""de"", ""en"")"),"During a penalty kick, the ball is deflected by the goalkeeper and goes out of bounds. What happens next?")</f>
        <v>During a penalty kick, the ball is deflected by the goalkeeper and goes out of bounds. What happens next?</v>
      </c>
      <c r="C25" s="12" t="s">
        <v>1960</v>
      </c>
      <c r="D25" s="12" t="str">
        <f>IFERROR(__xludf.DUMMYFUNCTION("GOOGLETRANSLATE(J25, ""de"", ""en"")"),"Goal kick for the goalkeeper")</f>
        <v>Goal kick for the goalkeeper</v>
      </c>
      <c r="E25" s="12" t="str">
        <f>IFERROR(__xludf.DUMMYFUNCTION("GOOGLETRANSLATE(K25, ""de"", ""en"")"),"If the ball goes out of bounds, the goalkeeper's team gets a goal kick.")</f>
        <v>If the ball goes out of bounds, the goalkeeper's team gets a goal kick.</v>
      </c>
      <c r="G25" s="8">
        <v>24.0</v>
      </c>
      <c r="H25" s="7" t="s">
        <v>1961</v>
      </c>
      <c r="I25" s="7" t="s">
        <v>1962</v>
      </c>
      <c r="J25" s="7" t="s">
        <v>1963</v>
      </c>
      <c r="K25" s="7" t="s">
        <v>1964</v>
      </c>
    </row>
    <row r="26" ht="22.5" customHeight="1">
      <c r="A26" s="12" t="str">
        <f>IFERROR(__xludf.DUMMYFUNCTION("GOOGLETRANSLATE(G26, ""de"", ""en"")"),"25")</f>
        <v>25</v>
      </c>
      <c r="B26" s="12" t="str">
        <f>IFERROR(__xludf.DUMMYFUNCTION("GOOGLETRANSLATE(H26, ""de"", ""en"")"),"A player deliberately moves his bicycle to block an opponent without playing the ball. What happens?")</f>
        <v>A player deliberately moves his bicycle to block an opponent without playing the ball. What happens?</v>
      </c>
      <c r="C26" s="12" t="s">
        <v>1965</v>
      </c>
      <c r="D26" s="12" t="str">
        <f>IFERROR(__xludf.DUMMYFUNCTION("GOOGLETRANSLATE(J26, ""de"", ""en"")"),"Free kick for the opponent")</f>
        <v>Free kick for the opponent</v>
      </c>
      <c r="E26" s="12" t="str">
        <f>IFERROR(__xludf.DUMMYFUNCTION("GOOGLETRANSLATE(K26, ""de"", ""en"")"),"Blocking an opponent without playing the ball results in a free kick.")</f>
        <v>Blocking an opponent without playing the ball results in a free kick.</v>
      </c>
      <c r="G26" s="8">
        <v>25.0</v>
      </c>
      <c r="H26" s="7" t="s">
        <v>1966</v>
      </c>
      <c r="I26" s="7" t="s">
        <v>1967</v>
      </c>
      <c r="J26" s="7" t="s">
        <v>1968</v>
      </c>
      <c r="K26" s="7" t="s">
        <v>1969</v>
      </c>
    </row>
    <row r="27" ht="22.5" customHeight="1">
      <c r="A27" s="12" t="str">
        <f>IFERROR(__xludf.DUMMYFUNCTION("GOOGLETRANSLATE(G27, ""de"", ""en"")"),"26")</f>
        <v>26</v>
      </c>
      <c r="B27" s="12" t="str">
        <f>IFERROR(__xludf.DUMMYFUNCTION("GOOGLETRANSLATE(H27, ""de"", ""en"")"),"The referee signals the start of the game, but one team is not ready. What should the referee do?")</f>
        <v>The referee signals the start of the game, but one team is not ready. What should the referee do?</v>
      </c>
      <c r="C27" s="12" t="s">
        <v>1970</v>
      </c>
      <c r="D27" s="12" t="str">
        <f>IFERROR(__xludf.DUMMYFUNCTION("GOOGLETRANSLATE(J27, ""de"", ""en"")"),"Wait for the emergency service to begin.")</f>
        <v>Wait for the emergency service to begin.</v>
      </c>
      <c r="E27" s="12" t="str">
        <f>IFERROR(__xludf.DUMMYFUNCTION("GOOGLETRANSLATE(K27, ""de"", ""en"")"),"The referee waits until both teams are ready before starting the game.")</f>
        <v>The referee waits until both teams are ready before starting the game.</v>
      </c>
      <c r="G27" s="8">
        <v>26.0</v>
      </c>
      <c r="H27" s="7" t="s">
        <v>1971</v>
      </c>
      <c r="I27" s="7" t="s">
        <v>1972</v>
      </c>
      <c r="J27" s="7" t="s">
        <v>1973</v>
      </c>
      <c r="K27" s="7" t="s">
        <v>1974</v>
      </c>
    </row>
    <row r="28" ht="22.5" customHeight="1">
      <c r="A28" s="12" t="str">
        <f>IFERROR(__xludf.DUMMYFUNCTION("GOOGLETRANSLATE(G28, ""de"", ""en"")"),"27")</f>
        <v>27</v>
      </c>
      <c r="B28" s="12" t="str">
        <f>IFERROR(__xludf.DUMMYFUNCTION("GOOGLETRANSLATE(H28, ""de"", ""en"")"),"A player scores by deflecting the ball off his rear wheel. Is it a valid point?")</f>
        <v>A player scores by deflecting the ball off his rear wheel. Is it a valid point?</v>
      </c>
      <c r="C28" s="12" t="s">
        <v>1975</v>
      </c>
      <c r="D28" s="12" t="str">
        <f>IFERROR(__xludf.DUMMYFUNCTION("GOOGLETRANSLATE(J28, ""de"", ""en"")"),"Yes")</f>
        <v>Yes</v>
      </c>
      <c r="E28" s="12" t="str">
        <f>IFERROR(__xludf.DUMMYFUNCTION("GOOGLETRANSLATE(K28, ""de"", ""en"")"),"Goals scored with any part of the bicycle are valid.")</f>
        <v>Goals scored with any part of the bicycle are valid.</v>
      </c>
      <c r="G28" s="8">
        <v>27.0</v>
      </c>
      <c r="H28" s="7" t="s">
        <v>1976</v>
      </c>
      <c r="I28" s="7" t="s">
        <v>1977</v>
      </c>
      <c r="J28" s="7" t="s">
        <v>1891</v>
      </c>
      <c r="K28" s="7" t="s">
        <v>1978</v>
      </c>
    </row>
    <row r="29" ht="22.5" customHeight="1">
      <c r="A29" s="12" t="str">
        <f>IFERROR(__xludf.DUMMYFUNCTION("GOOGLETRANSLATE(G29, ""de"", ""en"")"),"28")</f>
        <v>28</v>
      </c>
      <c r="B29" s="12" t="str">
        <f>IFERROR(__xludf.DUMMYFUNCTION("GOOGLETRANSLATE(H29, ""de"", ""en"")"),"The ball is punctured during the game. What is the verdict?")</f>
        <v>The ball is punctured during the game. What is the verdict?</v>
      </c>
      <c r="C29" s="12" t="s">
        <v>1979</v>
      </c>
      <c r="D29" s="12" t="str">
        <f>IFERROR(__xludf.DUMMYFUNCTION("GOOGLETRANSLATE(J29, ""de"", ""en"")"),"The referee puts the ball back.")</f>
        <v>The referee puts the ball back.</v>
      </c>
      <c r="E29" s="12" t="str">
        <f>IFERROR(__xludf.DUMMYFUNCTION("GOOGLETRANSLATE(K29, ""de"", ""en"")"),"If the ball is damaged, it must be replaced.")</f>
        <v>If the ball is damaged, it must be replaced.</v>
      </c>
      <c r="G29" s="8">
        <v>28.0</v>
      </c>
      <c r="H29" s="7" t="s">
        <v>1980</v>
      </c>
      <c r="I29" s="7" t="s">
        <v>1981</v>
      </c>
      <c r="J29" s="7" t="s">
        <v>1982</v>
      </c>
      <c r="K29" s="7" t="s">
        <v>1983</v>
      </c>
    </row>
    <row r="30" ht="22.5" customHeight="1">
      <c r="A30" s="12" t="str">
        <f>IFERROR(__xludf.DUMMYFUNCTION("GOOGLETRANSLATE(G30, ""de"", ""en"")"),"29")</f>
        <v>29</v>
      </c>
      <c r="B30" s="12" t="str">
        <f>IFERROR(__xludf.DUMMYFUNCTION("GOOGLETRANSLATE(H30, ""de"", ""en"")"),"A defender hits the ball into the goalpost and it rebounds directly back into his penalty area.")</f>
        <v>A defender hits the ball into the goalpost and it rebounds directly back into his penalty area.</v>
      </c>
      <c r="C30" s="12" t="s">
        <v>1984</v>
      </c>
      <c r="D30" s="12" t="str">
        <f>IFERROR(__xludf.DUMMYFUNCTION("GOOGLETRANSLATE(J30, ""de"", ""en"")"),"The game continues")</f>
        <v>The game continues</v>
      </c>
      <c r="E30" s="12" t="str">
        <f>IFERROR(__xludf.DUMMYFUNCTION("GOOGLETRANSLATE(K30, ""de"", ""en"")"),"The ball bouncing off the post is a normal occurrence, so the game continues.")</f>
        <v>The ball bouncing off the post is a normal occurrence, so the game continues.</v>
      </c>
      <c r="G30" s="8">
        <v>29.0</v>
      </c>
      <c r="H30" s="7" t="s">
        <v>1985</v>
      </c>
      <c r="I30" s="7" t="s">
        <v>1986</v>
      </c>
      <c r="J30" s="7" t="s">
        <v>1856</v>
      </c>
      <c r="K30" s="7" t="s">
        <v>1987</v>
      </c>
    </row>
    <row r="31" ht="22.5" customHeight="1">
      <c r="A31" s="12" t="str">
        <f>IFERROR(__xludf.DUMMYFUNCTION("GOOGLETRANSLATE(G31, ""de"", ""en"")"),"30")</f>
        <v>30</v>
      </c>
      <c r="B31" s="12" t="str">
        <f>IFERROR(__xludf.DUMMYFUNCTION("GOOGLETRANSLATE(H31, ""de"", ""en"")"),"The goalkeeper moves out of his area to save a shot. What happens?")</f>
        <v>The goalkeeper moves out of his area to save a shot. What happens?</v>
      </c>
      <c r="C31" s="12" t="s">
        <v>1988</v>
      </c>
      <c r="D31" s="12" t="str">
        <f>IFERROR(__xludf.DUMMYFUNCTION("GOOGLETRANSLATE(J31, ""de"", ""en"")"),"The game continues")</f>
        <v>The game continues</v>
      </c>
      <c r="E31" s="12" t="str">
        <f>IFERROR(__xludf.DUMMYFUNCTION("GOOGLETRANSLATE(K31, ""de"", ""en"")"),"Goalkeepers are allowed to leave their area, so the game continues.")</f>
        <v>Goalkeepers are allowed to leave their area, so the game continues.</v>
      </c>
      <c r="G31" s="8">
        <v>30.0</v>
      </c>
      <c r="H31" s="7" t="s">
        <v>1989</v>
      </c>
      <c r="I31" s="7" t="s">
        <v>1990</v>
      </c>
      <c r="J31" s="7" t="s">
        <v>1856</v>
      </c>
      <c r="K31" s="7" t="s">
        <v>1991</v>
      </c>
    </row>
    <row r="32" ht="22.5" customHeight="1">
      <c r="A32" s="12" t="str">
        <f>IFERROR(__xludf.DUMMYFUNCTION("GOOGLETRANSLATE(G32, ""de"", ""en"")"),"31")</f>
        <v>31</v>
      </c>
      <c r="B32" s="12" t="str">
        <f>IFERROR(__xludf.DUMMYFUNCTION("GOOGLETRANSLATE(H32, ""de"", ""en"")"),"During a drop ball, one team deliberately avoids attacking. What is the referee's decision?")</f>
        <v>During a drop ball, one team deliberately avoids attacking. What is the referee's decision?</v>
      </c>
      <c r="C32" s="12" t="s">
        <v>1992</v>
      </c>
      <c r="D32" s="12" t="str">
        <f>IFERROR(__xludf.DUMMYFUNCTION("GOOGLETRANSLATE(J32, ""de"", ""en"")"),"Let the game continue.")</f>
        <v>Let the game continue.</v>
      </c>
      <c r="E32" s="12" t="str">
        <f>IFERROR(__xludf.DUMMYFUNCTION("GOOGLETRANSLATE(K32, ""de"", ""en"")"),"Teams are not obliged to play a dropball.")</f>
        <v>Teams are not obliged to play a dropball.</v>
      </c>
      <c r="G32" s="8">
        <v>31.0</v>
      </c>
      <c r="H32" s="7" t="s">
        <v>1993</v>
      </c>
      <c r="I32" s="7" t="s">
        <v>1994</v>
      </c>
      <c r="J32" s="7" t="s">
        <v>1995</v>
      </c>
      <c r="K32" s="7" t="s">
        <v>1996</v>
      </c>
    </row>
    <row r="33" ht="22.5" customHeight="1">
      <c r="A33" s="12" t="str">
        <f>IFERROR(__xludf.DUMMYFUNCTION("GOOGLETRANSLATE(G33, ""de"", ""en"")"),"32")</f>
        <v>32</v>
      </c>
      <c r="B33" s="12" t="str">
        <f>IFERROR(__xludf.DUMMYFUNCTION("GOOGLETRANSLATE(H33, ""de"", ""en"")"),"The ball rolls slowly towards the opponent's goal and no one challenges it. What happens?")</f>
        <v>The ball rolls slowly towards the opponent's goal and no one challenges it. What happens?</v>
      </c>
      <c r="C33" s="12" t="s">
        <v>1997</v>
      </c>
      <c r="D33" s="12" t="str">
        <f>IFERROR(__xludf.DUMMYFUNCTION("GOOGLETRANSLATE(J33, ""de"", ""en"")"),"The game continues until it stops.")</f>
        <v>The game continues until it stops.</v>
      </c>
      <c r="E33" s="12" t="str">
        <f>IFERROR(__xludf.DUMMYFUNCTION("GOOGLETRANSLATE(K33, ""de"", ""en"")"),"The ball remains in play until it comes to a complete stop or crosses a boundary.")</f>
        <v>The ball remains in play until it comes to a complete stop or crosses a boundary.</v>
      </c>
      <c r="G33" s="8">
        <v>32.0</v>
      </c>
      <c r="H33" s="7" t="s">
        <v>1998</v>
      </c>
      <c r="I33" s="7" t="s">
        <v>1999</v>
      </c>
      <c r="J33" s="7" t="s">
        <v>2000</v>
      </c>
      <c r="K33" s="7" t="s">
        <v>2001</v>
      </c>
    </row>
    <row r="34" ht="22.5" customHeight="1">
      <c r="A34" s="12" t="str">
        <f>IFERROR(__xludf.DUMMYFUNCTION("GOOGLETRANSLATE(G34, ""de"", ""en"")"),"33")</f>
        <v>33</v>
      </c>
      <c r="B34" s="12" t="str">
        <f>IFERROR(__xludf.DUMMYFUNCTION("GOOGLETRANSLATE(H34, ""de"", ""en"")"),"A player plays the ball backwards into his own penalty area. Is that allowed?")</f>
        <v>A player plays the ball backwards into his own penalty area. Is that allowed?</v>
      </c>
      <c r="C34" s="12" t="s">
        <v>2002</v>
      </c>
      <c r="D34" s="12" t="str">
        <f>IFERROR(__xludf.DUMMYFUNCTION("GOOGLETRANSLATE(J34, ""de"", ""en"")"),"Yes")</f>
        <v>Yes</v>
      </c>
      <c r="E34" s="12" t="str">
        <f>IFERROR(__xludf.DUMMYFUNCTION("GOOGLETRANSLATE(K34, ""de"", ""en"")"),"Back passes into the penalty area are allowed.")</f>
        <v>Back passes into the penalty area are allowed.</v>
      </c>
      <c r="G34" s="8">
        <v>33.0</v>
      </c>
      <c r="H34" s="7" t="s">
        <v>2003</v>
      </c>
      <c r="I34" s="7" t="s">
        <v>2004</v>
      </c>
      <c r="J34" s="7" t="s">
        <v>1891</v>
      </c>
      <c r="K34" s="7" t="s">
        <v>2005</v>
      </c>
    </row>
    <row r="35" ht="22.5" customHeight="1">
      <c r="A35" s="12" t="str">
        <f>IFERROR(__xludf.DUMMYFUNCTION("GOOGLETRANSLATE(G35, ""de"", ""en"")"),"34")</f>
        <v>34</v>
      </c>
      <c r="B35" s="12" t="str">
        <f>IFERROR(__xludf.DUMMYFUNCTION("GOOGLETRANSLATE(H35, ""de"", ""en"")"),"A player attempts a shot, but his front wheel crosses the center line. What happens?")</f>
        <v>A player attempts a shot, but his front wheel crosses the center line. What happens?</v>
      </c>
      <c r="C35" s="12" t="s">
        <v>2006</v>
      </c>
      <c r="D35" s="12" t="str">
        <f>IFERROR(__xludf.DUMMYFUNCTION("GOOGLETRANSLATE(J35, ""de"", ""en"")"),"Free kick for the opponent")</f>
        <v>Free kick for the opponent</v>
      </c>
      <c r="E35" s="12" t="str">
        <f>IFERROR(__xludf.DUMMYFUNCTION("GOOGLETRANSLATE(K35, ""de"", ""en"")"),"Crossing the halfway line while shooting results in a free kick for the opponent.")</f>
        <v>Crossing the halfway line while shooting results in a free kick for the opponent.</v>
      </c>
      <c r="G35" s="8">
        <v>34.0</v>
      </c>
      <c r="H35" s="7" t="s">
        <v>2007</v>
      </c>
      <c r="I35" s="7" t="s">
        <v>2008</v>
      </c>
      <c r="J35" s="7" t="s">
        <v>1968</v>
      </c>
      <c r="K35" s="7" t="s">
        <v>2009</v>
      </c>
    </row>
    <row r="36" ht="22.5" customHeight="1">
      <c r="A36" s="12" t="str">
        <f>IFERROR(__xludf.DUMMYFUNCTION("GOOGLETRANSLATE(G36, ""de"", ""en"")"),"35")</f>
        <v>35</v>
      </c>
      <c r="B36" s="12" t="str">
        <f>IFERROR(__xludf.DUMMYFUNCTION("GOOGLETRANSLATE(H36, ""de"", ""en"")"),"The referee stops the game due to an injury. How should the game be restarted?")</f>
        <v>The referee stops the game due to an injury. How should the game be restarted?</v>
      </c>
      <c r="C36" s="12" t="s">
        <v>2010</v>
      </c>
      <c r="D36" s="12" t="str">
        <f>IFERROR(__xludf.DUMMYFUNCTION("GOOGLETRANSLATE(J36, ""de"", ""en"")"),"Drop the ball")</f>
        <v>Drop the ball</v>
      </c>
      <c r="E36" s="12" t="str">
        <f>IFERROR(__xludf.DUMMYFUNCTION("GOOGLETRANSLATE(K36, ""de"", ""en"")"),"After an injury interruption, the game is resumed with a drop ball.")</f>
        <v>After an injury interruption, the game is resumed with a drop ball.</v>
      </c>
      <c r="G36" s="8">
        <v>35.0</v>
      </c>
      <c r="H36" s="7" t="s">
        <v>2011</v>
      </c>
      <c r="I36" s="7" t="s">
        <v>2012</v>
      </c>
      <c r="J36" s="7" t="s">
        <v>1933</v>
      </c>
      <c r="K36" s="7" t="s">
        <v>2013</v>
      </c>
    </row>
    <row r="37" ht="22.5" customHeight="1">
      <c r="A37" s="12" t="str">
        <f>IFERROR(__xludf.DUMMYFUNCTION("GOOGLETRANSLATE(G37, ""de"", ""en"")"),"36")</f>
        <v>36</v>
      </c>
      <c r="B37" s="12" t="str">
        <f>IFERROR(__xludf.DUMMYFUNCTION("GOOGLETRANSLATE(H37, ""de"", ""en"")"),"A defender shields the ball near the goalpost but doesn't play it. What happens?")</f>
        <v>A defender shields the ball near the goalpost but doesn't play it. What happens?</v>
      </c>
      <c r="C37" s="12" t="s">
        <v>2014</v>
      </c>
      <c r="D37" s="12" t="str">
        <f>IFERROR(__xludf.DUMMYFUNCTION("GOOGLETRANSLATE(J37, ""de"", ""en"")"),"Warning against wasting time")</f>
        <v>Warning against wasting time</v>
      </c>
      <c r="E37" s="12" t="str">
        <f>IFERROR(__xludf.DUMMYFUNCTION("GOOGLETRANSLATE(K37, ""de"", ""en"")"),"Shielding the ball without playing it can result in a warning for wasting time.")</f>
        <v>Shielding the ball without playing it can result in a warning for wasting time.</v>
      </c>
      <c r="G37" s="8">
        <v>36.0</v>
      </c>
      <c r="H37" s="7" t="s">
        <v>2015</v>
      </c>
      <c r="I37" s="7" t="s">
        <v>2016</v>
      </c>
      <c r="J37" s="7" t="s">
        <v>2017</v>
      </c>
      <c r="K37" s="7" t="s">
        <v>2018</v>
      </c>
    </row>
    <row r="38" ht="22.5" customHeight="1">
      <c r="A38" s="12" t="str">
        <f>IFERROR(__xludf.DUMMYFUNCTION("GOOGLETRANSLATE(G38, ""de"", ""en"")"),"37")</f>
        <v>37</v>
      </c>
      <c r="B38" s="12" t="str">
        <f>IFERROR(__xludf.DUMMYFUNCTION("GOOGLETRANSLATE(H38, ""de"", ""en"")"),"The ball is kicked and gets stuck in the net. What is the verdict?")</f>
        <v>The ball is kicked and gets stuck in the net. What is the verdict?</v>
      </c>
      <c r="C38" s="12" t="s">
        <v>2019</v>
      </c>
      <c r="D38" s="12" t="str">
        <f>IFERROR(__xludf.DUMMYFUNCTION("GOOGLETRANSLATE(J38, ""de"", ""en"")"),"Goal missed")</f>
        <v>Goal missed</v>
      </c>
      <c r="E38" s="12" t="str">
        <f>IFERROR(__xludf.DUMMYFUNCTION("GOOGLETRANSLATE(K38, ""de"", ""en"")"),"If the ball gets stuck in the net, it counts as a goal.")</f>
        <v>If the ball gets stuck in the net, it counts as a goal.</v>
      </c>
      <c r="G38" s="8">
        <v>37.0</v>
      </c>
      <c r="H38" s="7" t="s">
        <v>2020</v>
      </c>
      <c r="I38" s="7" t="s">
        <v>2021</v>
      </c>
      <c r="J38" s="7" t="s">
        <v>1896</v>
      </c>
      <c r="K38" s="7" t="s">
        <v>2022</v>
      </c>
    </row>
    <row r="39" ht="22.5" customHeight="1">
      <c r="A39" s="12" t="str">
        <f>IFERROR(__xludf.DUMMYFUNCTION("GOOGLETRANSLATE(G39, ""de"", ""en"")"),"38")</f>
        <v>38</v>
      </c>
      <c r="B39" s="12" t="str">
        <f>IFERROR(__xludf.DUMMYFUNCTION("GOOGLETRANSLATE(H39, ""de"", ""en"")"),"A player rides dangerously close to their opponent's bicycle during a challenge. What happens?")</f>
        <v>A player rides dangerously close to their opponent's bicycle during a challenge. What happens?</v>
      </c>
      <c r="C39" s="12" t="s">
        <v>2023</v>
      </c>
      <c r="D39" s="12" t="str">
        <f>IFERROR(__xludf.DUMMYFUNCTION("GOOGLETRANSLATE(J39, ""de"", ""en"")"),"Yellow card for dangerous play")</f>
        <v>Yellow card for dangerous play</v>
      </c>
      <c r="E39" s="12" t="str">
        <f>IFERROR(__xludf.DUMMYFUNCTION("GOOGLETRANSLATE(K39, ""de"", ""en"")"),"Dangerous driving results in a yellow card.")</f>
        <v>Dangerous driving results in a yellow card.</v>
      </c>
      <c r="G39" s="8">
        <v>38.0</v>
      </c>
      <c r="H39" s="7" t="s">
        <v>2024</v>
      </c>
      <c r="I39" s="7" t="s">
        <v>2025</v>
      </c>
      <c r="J39" s="7" t="s">
        <v>2026</v>
      </c>
      <c r="K39" s="7" t="s">
        <v>2027</v>
      </c>
    </row>
    <row r="40" ht="22.5" customHeight="1">
      <c r="A40" s="12" t="str">
        <f>IFERROR(__xludf.DUMMYFUNCTION("GOOGLETRANSLATE(G40, ""de"", ""en"")"),"39")</f>
        <v>39</v>
      </c>
      <c r="B40" s="12" t="str">
        <f>IFERROR(__xludf.DUMMYFUNCTION("GOOGLETRANSLATE(H40, ""de"", ""en"")"),"The referee calls a foul, but the offending team continues playing. What happens next?")</f>
        <v>The referee calls a foul, but the offending team continues playing. What happens next?</v>
      </c>
      <c r="C40" s="12" t="s">
        <v>2028</v>
      </c>
      <c r="D40" s="12" t="str">
        <f>IFERROR(__xludf.DUMMYFUNCTION("GOOGLETRANSLATE(J40, ""de"", ""en"")"),"Warning for the errant team")</f>
        <v>Warning for the errant team</v>
      </c>
      <c r="E40" s="12" t="str">
        <f>IFERROR(__xludf.DUMMYFUNCTION("GOOGLETRANSLATE(K40, ""de"", ""en"")"),"Ignoring the referee's call can result in a warning.")</f>
        <v>Ignoring the referee's call can result in a warning.</v>
      </c>
      <c r="G40" s="8">
        <v>39.0</v>
      </c>
      <c r="H40" s="7" t="s">
        <v>2029</v>
      </c>
      <c r="I40" s="7" t="s">
        <v>2030</v>
      </c>
      <c r="J40" s="7" t="s">
        <v>2031</v>
      </c>
      <c r="K40" s="7" t="s">
        <v>2032</v>
      </c>
    </row>
    <row r="41" ht="22.5" customHeight="1">
      <c r="A41" s="12" t="str">
        <f>IFERROR(__xludf.DUMMYFUNCTION("GOOGLETRANSLATE(G41, ""de"", ""en"")"),"40")</f>
        <v>40</v>
      </c>
      <c r="B41" s="12" t="str">
        <f>IFERROR(__xludf.DUMMYFUNCTION("GOOGLETRANSLATE(H41, ""de"", ""en"")"),"The ball accidentally hits the referee and remains in play. What's going to happen?")</f>
        <v>The ball accidentally hits the referee and remains in play. What's going to happen?</v>
      </c>
      <c r="C41" s="12" t="s">
        <v>2033</v>
      </c>
      <c r="D41" s="12" t="str">
        <f>IFERROR(__xludf.DUMMYFUNCTION("GOOGLETRANSLATE(J41, ""de"", ""en"")"),"The game continues")</f>
        <v>The game continues</v>
      </c>
      <c r="E41" s="12" t="str">
        <f>IFERROR(__xludf.DUMMYFUNCTION("GOOGLETRANSLATE(K41, ""de"", ""en"")"),"If the ball hits the referee and remains in play, the game continues.")</f>
        <v>If the ball hits the referee and remains in play, the game continues.</v>
      </c>
      <c r="G41" s="8">
        <v>40.0</v>
      </c>
      <c r="H41" s="7" t="s">
        <v>2034</v>
      </c>
      <c r="I41" s="7" t="s">
        <v>2035</v>
      </c>
      <c r="J41" s="7" t="s">
        <v>1856</v>
      </c>
      <c r="K41" s="7" t="s">
        <v>2036</v>
      </c>
    </row>
    <row r="42" ht="22.5" customHeight="1">
      <c r="A42" s="12" t="str">
        <f>IFERROR(__xludf.DUMMYFUNCTION("GOOGLETRANSLATE(G42, ""de"", ""en"")"),"41")</f>
        <v>41</v>
      </c>
      <c r="B42" s="12" t="str">
        <f>IFERROR(__xludf.DUMMYFUNCTION("GOOGLETRANSLATE(H42, ""de"", ""en"")"),"A player scores an own goal while attempting to clear the ball. What is the result?")</f>
        <v>A player scores an own goal while attempting to clear the ball. What is the result?</v>
      </c>
      <c r="C42" s="12" t="s">
        <v>2037</v>
      </c>
      <c r="D42" s="12" t="str">
        <f>IFERROR(__xludf.DUMMYFUNCTION("GOOGLETRANSLATE(J42, ""de"", ""en"")"),"Goal for the opposing team")</f>
        <v>Goal for the opposing team</v>
      </c>
      <c r="E42" s="12" t="str">
        <f>IFERROR(__xludf.DUMMYFUNCTION("GOOGLETRANSLATE(K42, ""de"", ""en"")"),"Own goals are valid and are credited to the opposing team.")</f>
        <v>Own goals are valid and are credited to the opposing team.</v>
      </c>
      <c r="G42" s="8">
        <v>41.0</v>
      </c>
      <c r="H42" s="7" t="s">
        <v>2038</v>
      </c>
      <c r="I42" s="7" t="s">
        <v>2039</v>
      </c>
      <c r="J42" s="7" t="s">
        <v>1901</v>
      </c>
      <c r="K42" s="7" t="s">
        <v>2040</v>
      </c>
    </row>
    <row r="43" ht="22.5" customHeight="1">
      <c r="A43" s="12" t="str">
        <f>IFERROR(__xludf.DUMMYFUNCTION("GOOGLETRANSLATE(G43, ""de"", ""en"")"),"42")</f>
        <v>42</v>
      </c>
      <c r="B43" s="12" t="str">
        <f>IFERROR(__xludf.DUMMYFUNCTION("GOOGLETRANSLATE(H43, ""de"", ""en"")"),"A player jumps off his bicycle during the game to celebrate a goal. What happens?")</f>
        <v>A player jumps off his bicycle during the game to celebrate a goal. What happens?</v>
      </c>
      <c r="C43" s="12" t="s">
        <v>2041</v>
      </c>
      <c r="D43" s="12" t="str">
        <f>IFERROR(__xludf.DUMMYFUNCTION("GOOGLETRANSLATE(J43, ""de"", ""en"")"),"Yellow card for the player")</f>
        <v>Yellow card for the player</v>
      </c>
      <c r="E43" s="12" t="str">
        <f>IFERROR(__xludf.DUMMYFUNCTION("GOOGLETRANSLATE(K43, ""de"", ""en"")"),"Jumping off your bike during the game is unsportsmanlike and will result in a yellow card.")</f>
        <v>Jumping off your bike during the game is unsportsmanlike and will result in a yellow card.</v>
      </c>
      <c r="G43" s="8">
        <v>42.0</v>
      </c>
      <c r="H43" s="7" t="s">
        <v>2042</v>
      </c>
      <c r="I43" s="7" t="s">
        <v>2043</v>
      </c>
      <c r="J43" s="7" t="s">
        <v>2044</v>
      </c>
      <c r="K43" s="7" t="s">
        <v>2045</v>
      </c>
    </row>
    <row r="44" ht="22.5" customHeight="1">
      <c r="A44" s="12" t="str">
        <f>IFERROR(__xludf.DUMMYFUNCTION("GOOGLETRANSLATE(G44, ""de"", ""en"")"),"43")</f>
        <v>43</v>
      </c>
      <c r="B44" s="12" t="str">
        <f>IFERROR(__xludf.DUMMYFUNCTION("GOOGLETRANSLATE(H44, ""de"", ""en"")"),"A team deliberately delays their substitution to waste time. What measures will be taken?")</f>
        <v>A team deliberately delays their substitution to waste time. What measures will be taken?</v>
      </c>
      <c r="C44" s="12" t="s">
        <v>2046</v>
      </c>
      <c r="D44" s="12" t="str">
        <f>IFERROR(__xludf.DUMMYFUNCTION("GOOGLETRANSLATE(J44, ""de"", ""en"")"),"Warning for the team")</f>
        <v>Warning for the team</v>
      </c>
      <c r="E44" s="12" t="str">
        <f>IFERROR(__xludf.DUMMYFUNCTION("GOOGLETRANSLATE(K44, ""de"", ""en"")"),"Delaying substitutions can result in a warning for the team.")</f>
        <v>Delaying substitutions can result in a warning for the team.</v>
      </c>
      <c r="G44" s="8">
        <v>43.0</v>
      </c>
      <c r="H44" s="7" t="s">
        <v>2047</v>
      </c>
      <c r="I44" s="7" t="s">
        <v>2048</v>
      </c>
      <c r="J44" s="7" t="s">
        <v>2049</v>
      </c>
      <c r="K44" s="7" t="s">
        <v>2050</v>
      </c>
    </row>
    <row r="45" ht="22.5" customHeight="1">
      <c r="A45" s="12" t="str">
        <f>IFERROR(__xludf.DUMMYFUNCTION("GOOGLETRANSLATE(G45, ""de"", ""en"")"),"44")</f>
        <v>44</v>
      </c>
      <c r="B45" s="12" t="str">
        <f>IFERROR(__xludf.DUMMYFUNCTION("GOOGLETRANSLATE(H45, ""de"", ""en"")"),"A player loses his balance during a defensive move and falls off his bicycle. What happens next?")</f>
        <v>A player loses his balance during a defensive move and falls off his bicycle. What happens next?</v>
      </c>
      <c r="C45" s="12" t="s">
        <v>2051</v>
      </c>
      <c r="D45" s="12" t="str">
        <f>IFERROR(__xludf.DUMMYFUNCTION("GOOGLETRANSLATE(J45, ""de"", ""en"")"),"The game continues")</f>
        <v>The game continues</v>
      </c>
      <c r="E45" s="12" t="str">
        <f>IFERROR(__xludf.DUMMYFUNCTION("GOOGLETRANSLATE(K45, ""de"", ""en"")"),"Falling off a bicycle is not a foul unless it endangers others.")</f>
        <v>Falling off a bicycle is not a foul unless it endangers others.</v>
      </c>
      <c r="G45" s="8">
        <v>44.0</v>
      </c>
      <c r="H45" s="7" t="s">
        <v>2052</v>
      </c>
      <c r="I45" s="7" t="s">
        <v>2053</v>
      </c>
      <c r="J45" s="7" t="s">
        <v>1856</v>
      </c>
      <c r="K45" s="7" t="s">
        <v>2054</v>
      </c>
    </row>
    <row r="46" ht="22.5" customHeight="1">
      <c r="A46" s="12" t="str">
        <f>IFERROR(__xludf.DUMMYFUNCTION("GOOGLETRANSLATE(G46, ""de"", ""en"")"),"45")</f>
        <v>45</v>
      </c>
      <c r="B46" s="12" t="str">
        <f>IFERROR(__xludf.DUMMYFUNCTION("GOOGLETRANSLATE(H46, ""de"", ""en"")"),"A team's goalkeeper stops a shot with his hands. What is the verdict?")</f>
        <v>A team's goalkeeper stops a shot with his hands. What is the verdict?</v>
      </c>
      <c r="C46" s="12" t="s">
        <v>2055</v>
      </c>
      <c r="D46" s="12" t="str">
        <f>IFERROR(__xludf.DUMMYFUNCTION("GOOGLETRANSLATE(J46, ""de"", ""en"")"),"Penalty for the opponent")</f>
        <v>Penalty for the opponent</v>
      </c>
      <c r="E46" s="12" t="str">
        <f>IFERROR(__xludf.DUMMYFUNCTION("GOOGLETRANSLATE(K46, ""de"", ""en"")"),"Goalkeepers are not allowed to use their hands in cycle ball.")</f>
        <v>Goalkeepers are not allowed to use their hands in cycle ball.</v>
      </c>
      <c r="G46" s="8">
        <v>45.0</v>
      </c>
      <c r="H46" s="7" t="s">
        <v>2056</v>
      </c>
      <c r="I46" s="7" t="s">
        <v>2057</v>
      </c>
      <c r="J46" s="7" t="s">
        <v>1886</v>
      </c>
      <c r="K46" s="7" t="s">
        <v>2058</v>
      </c>
    </row>
    <row r="47" ht="22.5" customHeight="1">
      <c r="A47" s="12" t="str">
        <f>IFERROR(__xludf.DUMMYFUNCTION("GOOGLETRANSLATE(G47, ""de"", ""en"")"),"46")</f>
        <v>46</v>
      </c>
      <c r="B47" s="12" t="str">
        <f>IFERROR(__xludf.DUMMYFUNCTION("GOOGLETRANSLATE(H47, ""de"", ""en"")"),"The ball bounces off a spectator and returns to the field of play. What should the referee do?")</f>
        <v>The ball bounces off a spectator and returns to the field of play. What should the referee do?</v>
      </c>
      <c r="C47" s="12" t="s">
        <v>2059</v>
      </c>
      <c r="D47" s="12" t="str">
        <f>IFERROR(__xludf.DUMMYFUNCTION("GOOGLETRANSLATE(J47, ""de"", ""en"")"),"Drop the ball")</f>
        <v>Drop the ball</v>
      </c>
      <c r="E47" s="12" t="str">
        <f>IFERROR(__xludf.DUMMYFUNCTION("GOOGLETRANSLATE(K47, ""de"", ""en"")"),"If an external disruption occurs, the game continues with a drop ball.")</f>
        <v>If an external disruption occurs, the game continues with a drop ball.</v>
      </c>
      <c r="G47" s="8">
        <v>46.0</v>
      </c>
      <c r="H47" s="7" t="s">
        <v>2060</v>
      </c>
      <c r="I47" s="7" t="s">
        <v>2061</v>
      </c>
      <c r="J47" s="7" t="s">
        <v>1933</v>
      </c>
      <c r="K47" s="7" t="s">
        <v>2062</v>
      </c>
    </row>
    <row r="48" ht="22.5" customHeight="1">
      <c r="A48" s="12" t="str">
        <f>IFERROR(__xludf.DUMMYFUNCTION("GOOGLETRANSLATE(G48, ""de"", ""en"")"),"47")</f>
        <v>47</v>
      </c>
      <c r="B48" s="12" t="str">
        <f>IFERROR(__xludf.DUMMYFUNCTION("GOOGLETRANSLATE(H48, ""de"", ""en"")"),"A defender moves his bicycle into the penalty area without playing the ball. What happens?")</f>
        <v>A defender moves his bicycle into the penalty area without playing the ball. What happens?</v>
      </c>
      <c r="C48" s="12" t="s">
        <v>2063</v>
      </c>
      <c r="D48" s="12" t="str">
        <f>IFERROR(__xludf.DUMMYFUNCTION("GOOGLETRANSLATE(J48, ""de"", ""en"")"),"Free kick for the opponent")</f>
        <v>Free kick for the opponent</v>
      </c>
      <c r="E48" s="12" t="str">
        <f>IFERROR(__xludf.DUMMYFUNCTION("GOOGLETRANSLATE(K48, ""de"", ""en"")"),"Entering the goal area without playing the ball can result in a free kick.")</f>
        <v>Entering the goal area without playing the ball can result in a free kick.</v>
      </c>
      <c r="G48" s="8">
        <v>47.0</v>
      </c>
      <c r="H48" s="7" t="s">
        <v>2064</v>
      </c>
      <c r="I48" s="7" t="s">
        <v>2065</v>
      </c>
      <c r="J48" s="7" t="s">
        <v>1968</v>
      </c>
      <c r="K48" s="7" t="s">
        <v>2066</v>
      </c>
    </row>
    <row r="49" ht="22.5" customHeight="1">
      <c r="A49" s="12" t="str">
        <f>IFERROR(__xludf.DUMMYFUNCTION("GOOGLETRANSLATE(G49, ""de"", ""en"")"),"48")</f>
        <v>48</v>
      </c>
      <c r="B49" s="12" t="str">
        <f>IFERROR(__xludf.DUMMYFUNCTION("GOOGLETRANSLATE(H49, ""de"", ""en"")"),"A team scores a goal, but the referee notices they were offside during the build-up play. What is the ruling?")</f>
        <v>A team scores a goal, but the referee notices they were offside during the build-up play. What is the ruling?</v>
      </c>
      <c r="C49" s="12" t="s">
        <v>2067</v>
      </c>
      <c r="D49" s="12" t="str">
        <f>IFERROR(__xludf.DUMMYFUNCTION("GOOGLETRANSLATE(J49, ""de"", ""en"")"),"The gate is invalid")</f>
        <v>The gate is invalid</v>
      </c>
      <c r="E49" s="12" t="str">
        <f>IFERROR(__xludf.DUMMYFUNCTION("GOOGLETRANSLATE(K49, ""de"", ""en"")"),"An offside call invalidates a goal.")</f>
        <v>An offside call invalidates a goal.</v>
      </c>
      <c r="G49" s="8">
        <v>48.0</v>
      </c>
      <c r="H49" s="7" t="s">
        <v>2068</v>
      </c>
      <c r="I49" s="7" t="s">
        <v>2069</v>
      </c>
      <c r="J49" s="7" t="s">
        <v>2070</v>
      </c>
      <c r="K49" s="7" t="s">
        <v>2071</v>
      </c>
    </row>
    <row r="50" ht="22.5" customHeight="1">
      <c r="A50" s="12" t="str">
        <f>IFERROR(__xludf.DUMMYFUNCTION("GOOGLETRANSLATE(G50, ""de"", ""en"")"),"49")</f>
        <v>49</v>
      </c>
      <c r="B50" s="12" t="str">
        <f>IFERROR(__xludf.DUMMYFUNCTION("GOOGLETRANSLATE(H50, ""de"", ""en"")"),"A substitute player enters the game before the referee signals. What should happen?")</f>
        <v>A substitute player enters the game before the referee signals. What should happen?</v>
      </c>
      <c r="C50" s="12" t="s">
        <v>2072</v>
      </c>
      <c r="D50" s="12" t="str">
        <f>IFERROR(__xludf.DUMMYFUNCTION("GOOGLETRANSLATE(J50, ""de"", ""en"")"),"Warning for the substitute")</f>
        <v>Warning for the substitute</v>
      </c>
      <c r="E50" s="12" t="str">
        <f>IFERROR(__xludf.DUMMYFUNCTION("GOOGLETRANSLATE(K50, ""de"", ""en"")"),"Substitute players must wait for the referee's signal to enter the game.")</f>
        <v>Substitute players must wait for the referee's signal to enter the game.</v>
      </c>
      <c r="G50" s="8">
        <v>49.0</v>
      </c>
      <c r="H50" s="7" t="s">
        <v>2073</v>
      </c>
      <c r="I50" s="7" t="s">
        <v>2074</v>
      </c>
      <c r="J50" s="7" t="s">
        <v>2075</v>
      </c>
      <c r="K50" s="7" t="s">
        <v>2076</v>
      </c>
    </row>
    <row r="51" ht="22.5" customHeight="1">
      <c r="A51" s="12" t="str">
        <f>IFERROR(__xludf.DUMMYFUNCTION("GOOGLETRANSLATE(G51, ""de"", ""en"")"),"50")</f>
        <v>50</v>
      </c>
      <c r="B51" s="12" t="str">
        <f>IFERROR(__xludf.DUMMYFUNCTION("GOOGLETRANSLATE(H51, ""de"", ""en"")"),"The ball hits the referee and goes directly into the goal. What is the referee's decision?")</f>
        <v>The ball hits the referee and goes directly into the goal. What is the referee's decision?</v>
      </c>
      <c r="C51" s="12" t="s">
        <v>2077</v>
      </c>
      <c r="D51" s="12" t="str">
        <f>IFERROR(__xludf.DUMMYFUNCTION("GOOGLETRANSLATE(J51, ""de"", ""en"")"),"Drop the ball")</f>
        <v>Drop the ball</v>
      </c>
      <c r="E51" s="12" t="str">
        <f>IFERROR(__xludf.DUMMYFUNCTION("GOOGLETRANSLATE(K51, ""de"", ""en"")"),"Goals scored after a goal by the referee are invalid.")</f>
        <v>Goals scored after a goal by the referee are invalid.</v>
      </c>
      <c r="G51" s="8">
        <v>50.0</v>
      </c>
      <c r="H51" s="7" t="s">
        <v>2078</v>
      </c>
      <c r="I51" s="7" t="s">
        <v>2079</v>
      </c>
      <c r="J51" s="7" t="s">
        <v>1933</v>
      </c>
      <c r="K51" s="7" t="s">
        <v>2080</v>
      </c>
    </row>
    <row r="52" ht="22.5" customHeight="1">
      <c r="A52" s="12" t="str">
        <f>IFERROR(__xludf.DUMMYFUNCTION("GOOGLETRANSLATE(G52, ""de"", ""en"")"),"51")</f>
        <v>51</v>
      </c>
      <c r="B52" s="12" t="str">
        <f>IFERROR(__xludf.DUMMYFUNCTION("GOOGLETRANSLATE(H52, ""de"", ""en"")"),"A team delays the restart of the game after conceding a free kick. What happens next?")</f>
        <v>A team delays the restart of the game after conceding a free kick. What happens next?</v>
      </c>
      <c r="C52" s="12" t="s">
        <v>2081</v>
      </c>
      <c r="D52" s="12" t="str">
        <f>IFERROR(__xludf.DUMMYFUNCTION("GOOGLETRANSLATE(J52, ""de"", ""en"")"),"Warning against wasting time")</f>
        <v>Warning against wasting time</v>
      </c>
      <c r="E52" s="12" t="str">
        <f>IFERROR(__xludf.DUMMYFUNCTION("GOOGLETRANSLATE(K52, ""de"", ""en"")"),"A game delay results in a time-consuming warning.")</f>
        <v>A game delay results in a time-consuming warning.</v>
      </c>
      <c r="G52" s="8">
        <v>51.0</v>
      </c>
      <c r="H52" s="7" t="s">
        <v>2082</v>
      </c>
      <c r="I52" s="7" t="s">
        <v>2083</v>
      </c>
      <c r="J52" s="7" t="s">
        <v>2017</v>
      </c>
      <c r="K52" s="7" t="s">
        <v>2084</v>
      </c>
    </row>
    <row r="53" ht="22.5" customHeight="1">
      <c r="A53" s="12" t="str">
        <f>IFERROR(__xludf.DUMMYFUNCTION("GOOGLETRANSLATE(G53, ""de"", ""en"")"),"52")</f>
        <v>52</v>
      </c>
      <c r="B53" s="12" t="str">
        <f>IFERROR(__xludf.DUMMYFUNCTION("GOOGLETRANSLATE(H53, ""de"", ""en"")"),"A player's bicycle malfunctions during the game and he leaves the field. What is the referee's decision?")</f>
        <v>A player's bicycle malfunctions during the game and he leaves the field. What is the referee's decision?</v>
      </c>
      <c r="C53" s="12" t="s">
        <v>2085</v>
      </c>
      <c r="D53" s="12" t="str">
        <f>IFERROR(__xludf.DUMMYFUNCTION("GOOGLETRANSLATE(J53, ""de"", ""en"")"),"Allow representation")</f>
        <v>Allow representation</v>
      </c>
      <c r="E53" s="12" t="str">
        <f>IFERROR(__xludf.DUMMYFUNCTION("GOOGLETRANSLATE(K53, ""de"", ""en"")"),"Defective bicycles can be replaced; replacement bicycles are allowed.")</f>
        <v>Defective bicycles can be replaced; replacement bicycles are allowed.</v>
      </c>
      <c r="G53" s="8">
        <v>52.0</v>
      </c>
      <c r="H53" s="7" t="s">
        <v>2086</v>
      </c>
      <c r="I53" s="7" t="s">
        <v>2087</v>
      </c>
      <c r="J53" s="7" t="s">
        <v>2088</v>
      </c>
      <c r="K53" s="7" t="s">
        <v>2089</v>
      </c>
    </row>
    <row r="54" ht="22.5" customHeight="1">
      <c r="A54" s="12" t="str">
        <f>IFERROR(__xludf.DUMMYFUNCTION("GOOGLETRANSLATE(G54, ""de"", ""en"")"),"53")</f>
        <v>53</v>
      </c>
      <c r="B54" s="12" t="str">
        <f>IFERROR(__xludf.DUMMYFUNCTION("GOOGLETRANSLATE(H54, ""de"", ""en"")"),"During a free kick, the defending team forms a line too close to the ball. What happens?")</f>
        <v>During a free kick, the defending team forms a line too close to the ball. What happens?</v>
      </c>
      <c r="C54" s="12" t="s">
        <v>2090</v>
      </c>
      <c r="D54" s="12" t="str">
        <f>IFERROR(__xludf.DUMMYFUNCTION("GOOGLETRANSLATE(J54, ""de"", ""en"")"),"Free kick repeated")</f>
        <v>Free kick repeated</v>
      </c>
      <c r="E54" s="12" t="str">
        <f>IFERROR(__xludf.DUMMYFUNCTION("GOOGLETRANSLATE(K54, ""de"", ""en"")"),"The defenders must maintain the required distance and the free kick will be repeated.")</f>
        <v>The defenders must maintain the required distance and the free kick will be repeated.</v>
      </c>
      <c r="G54" s="8">
        <v>53.0</v>
      </c>
      <c r="H54" s="7" t="s">
        <v>2091</v>
      </c>
      <c r="I54" s="7" t="s">
        <v>2092</v>
      </c>
      <c r="J54" s="7" t="s">
        <v>2093</v>
      </c>
      <c r="K54" s="7" t="s">
        <v>2094</v>
      </c>
    </row>
    <row r="55" ht="22.5" customHeight="1">
      <c r="A55" s="12" t="str">
        <f>IFERROR(__xludf.DUMMYFUNCTION("GOOGLETRANSLATE(G55, ""de"", ""en"")"),"54")</f>
        <v>54</v>
      </c>
      <c r="B55" s="12" t="str">
        <f>IFERROR(__xludf.DUMMYFUNCTION("GOOGLETRANSLATE(H55, ""de"", ""en"")"),"A shot is deflected by the defender's bicycle and goes out of bounds. What is the verdict?")</f>
        <v>A shot is deflected by the defender's bicycle and goes out of bounds. What is the verdict?</v>
      </c>
      <c r="C55" s="12" t="s">
        <v>2095</v>
      </c>
      <c r="D55" s="12" t="str">
        <f>IFERROR(__xludf.DUMMYFUNCTION("GOOGLETRANSLATE(J55, ""de"", ""en"")"),"Corner for the attacker")</f>
        <v>Corner for the attacker</v>
      </c>
      <c r="E55" s="12" t="str">
        <f>IFERROR(__xludf.DUMMYFUNCTION("GOOGLETRANSLATE(K55, ""de"", ""en"")"),"Distractions by defenders who go out of bounds result in a corner for the attacking team.")</f>
        <v>Distractions by defenders who go out of bounds result in a corner for the attacking team.</v>
      </c>
      <c r="G55" s="8">
        <v>54.0</v>
      </c>
      <c r="H55" s="7" t="s">
        <v>2096</v>
      </c>
      <c r="I55" s="7" t="s">
        <v>2097</v>
      </c>
      <c r="J55" s="7" t="s">
        <v>2098</v>
      </c>
      <c r="K55" s="7" t="s">
        <v>2099</v>
      </c>
    </row>
    <row r="56" ht="22.5" customHeight="1">
      <c r="A56" s="12" t="str">
        <f>IFERROR(__xludf.DUMMYFUNCTION("GOOGLETRANSLATE(G56, ""de"", ""en"")"),"55")</f>
        <v>55</v>
      </c>
      <c r="B56" s="12" t="str">
        <f>IFERROR(__xludf.DUMMYFUNCTION("GOOGLETRANSLATE(H56, ""de"", ""en"")"),"A player scores, but had touched the ground with his foot before shooting. Is the goal valid?")</f>
        <v>A player scores, but had touched the ground with his foot before shooting. Is the goal valid?</v>
      </c>
      <c r="C56" s="12" t="s">
        <v>2100</v>
      </c>
      <c r="D56" s="12" t="str">
        <f>IFERROR(__xludf.DUMMYFUNCTION("GOOGLETRANSLATE(J56, ""de"", ""en"")"),"NO")</f>
        <v>NO</v>
      </c>
      <c r="E56" s="12" t="str">
        <f>IFERROR(__xludf.DUMMYFUNCTION("GOOGLETRANSLATE(K56, ""de"", ""en"")"),"For the goal to be valid, the players must remain on their bicycles during the game.")</f>
        <v>For the goal to be valid, the players must remain on their bicycles during the game.</v>
      </c>
      <c r="G56" s="8">
        <v>55.0</v>
      </c>
      <c r="H56" s="7" t="s">
        <v>2101</v>
      </c>
      <c r="I56" s="7" t="s">
        <v>2102</v>
      </c>
      <c r="J56" s="7" t="s">
        <v>1871</v>
      </c>
      <c r="K56" s="7" t="s">
        <v>2103</v>
      </c>
    </row>
    <row r="57" ht="22.5" customHeight="1">
      <c r="A57" s="12" t="str">
        <f>IFERROR(__xludf.DUMMYFUNCTION("GOOGLETRANSLATE(G57, ""de"", ""en"")"),"56")</f>
        <v>56</v>
      </c>
      <c r="B57" s="12" t="str">
        <f>IFERROR(__xludf.DUMMYFUNCTION("GOOGLETRANSLATE(H57, ""de"", ""en"")"),"A player presses an opponent to gain possession of the ball. What happens?")</f>
        <v>A player presses an opponent to gain possession of the ball. What happens?</v>
      </c>
      <c r="C57" s="12" t="s">
        <v>2104</v>
      </c>
      <c r="D57" s="12" t="str">
        <f>IFERROR(__xludf.DUMMYFUNCTION("GOOGLETRANSLATE(J57, ""de"", ""en"")"),"Free kick for the opponent")</f>
        <v>Free kick for the opponent</v>
      </c>
      <c r="E57" s="12" t="str">
        <f>IFERROR(__xludf.DUMMYFUNCTION("GOOGLETRANSLATE(K57, ""de"", ""en"")"),"Physical contact results in a free kick for the opponent.")</f>
        <v>Physical contact results in a free kick for the opponent.</v>
      </c>
      <c r="G57" s="8">
        <v>56.0</v>
      </c>
      <c r="H57" s="7" t="s">
        <v>2105</v>
      </c>
      <c r="I57" s="7" t="s">
        <v>2106</v>
      </c>
      <c r="J57" s="7" t="s">
        <v>1968</v>
      </c>
      <c r="K57" s="7" t="s">
        <v>2107</v>
      </c>
    </row>
    <row r="58" ht="22.5" customHeight="1">
      <c r="A58" s="12" t="str">
        <f>IFERROR(__xludf.DUMMYFUNCTION("GOOGLETRANSLATE(G58, ""de"", ""en"")"),"57")</f>
        <v>57</v>
      </c>
      <c r="B58" s="12" t="str">
        <f>IFERROR(__xludf.DUMMYFUNCTION("GOOGLETRANSLATE(H58, ""de"", ""en"")"),"A team is leading by 5 goals and starts to falter. How should the referee handle this?")</f>
        <v>A team is leading by 5 goals and starts to falter. How should the referee handle this?</v>
      </c>
      <c r="C58" s="12" t="s">
        <v>2108</v>
      </c>
      <c r="D58" s="12" t="str">
        <f>IFERROR(__xludf.DUMMYFUNCTION("GOOGLETRANSLATE(J58, ""de"", ""en"")"),"Warn the leading team")</f>
        <v>Warn the leading team</v>
      </c>
      <c r="E58" s="12" t="str">
        <f>IFERROR(__xludf.DUMMYFUNCTION("GOOGLETRANSLATE(K58, ""de"", ""en"")"),"Delaying tactics can lead to a warning for unsportsmanlike conduct.")</f>
        <v>Delaying tactics can lead to a warning for unsportsmanlike conduct.</v>
      </c>
      <c r="G58" s="8">
        <v>57.0</v>
      </c>
      <c r="H58" s="7" t="s">
        <v>2109</v>
      </c>
      <c r="I58" s="7" t="s">
        <v>2110</v>
      </c>
      <c r="J58" s="7" t="s">
        <v>2111</v>
      </c>
      <c r="K58" s="7" t="s">
        <v>2112</v>
      </c>
    </row>
    <row r="59" ht="22.5" customHeight="1">
      <c r="A59" s="12" t="str">
        <f>IFERROR(__xludf.DUMMYFUNCTION("GOOGLETRANSLATE(G59, ""de"", ""en"")"),"58")</f>
        <v>58</v>
      </c>
      <c r="B59" s="12" t="str">
        <f>IFERROR(__xludf.DUMMYFUNCTION("GOOGLETRANSLATE(H59, ""de"", ""en"")"),"The referee stops the game due to a bicycle malfunction. What happens next?")</f>
        <v>The referee stops the game due to a bicycle malfunction. What happens next?</v>
      </c>
      <c r="C59" s="12" t="s">
        <v>2113</v>
      </c>
      <c r="D59" s="12" t="str">
        <f>IFERROR(__xludf.DUMMYFUNCTION("GOOGLETRANSLATE(J59, ""de"", ""en"")"),"Drop the ball")</f>
        <v>Drop the ball</v>
      </c>
      <c r="E59" s="12" t="str">
        <f>IFERROR(__xludf.DUMMYFUNCTION("GOOGLETRANSLATE(K59, ""de"", ""en"")"),"After interruptions, the game is continued with a drop ball.")</f>
        <v>After interruptions, the game is continued with a drop ball.</v>
      </c>
      <c r="G59" s="8">
        <v>58.0</v>
      </c>
      <c r="H59" s="7" t="s">
        <v>2114</v>
      </c>
      <c r="I59" s="7" t="s">
        <v>2115</v>
      </c>
      <c r="J59" s="7" t="s">
        <v>1933</v>
      </c>
      <c r="K59" s="7" t="s">
        <v>2116</v>
      </c>
    </row>
    <row r="60" ht="22.5" customHeight="1">
      <c r="A60" s="12" t="str">
        <f>IFERROR(__xludf.DUMMYFUNCTION("GOOGLETRANSLATE(G60, ""de"", ""en"")"),"59")</f>
        <v>59</v>
      </c>
      <c r="B60" s="12" t="str">
        <f>IFERROR(__xludf.DUMMYFUNCTION("GOOGLETRANSLATE(H60, ""de"", ""en"")"),"A player attempts a shot, but the ball is deflected into their own goal by a teammate. What is the verdict?")</f>
        <v>A player attempts a shot, but the ball is deflected into their own goal by a teammate. What is the verdict?</v>
      </c>
      <c r="C60" s="12" t="s">
        <v>2117</v>
      </c>
      <c r="D60" s="12" t="str">
        <f>IFERROR(__xludf.DUMMYFUNCTION("GOOGLETRANSLATE(J60, ""de"", ""en"")"),"Goal for the opposing team")</f>
        <v>Goal for the opposing team</v>
      </c>
      <c r="E60" s="12" t="str">
        <f>IFERROR(__xludf.DUMMYFUNCTION("GOOGLETRANSLATE(K60, ""de"", ""en"")"),"Own goals are awarded to the opposing team.")</f>
        <v>Own goals are awarded to the opposing team.</v>
      </c>
      <c r="G60" s="8">
        <v>59.0</v>
      </c>
      <c r="H60" s="7" t="s">
        <v>2118</v>
      </c>
      <c r="I60" s="7" t="s">
        <v>2119</v>
      </c>
      <c r="J60" s="7" t="s">
        <v>1901</v>
      </c>
      <c r="K60" s="7" t="s">
        <v>2120</v>
      </c>
    </row>
    <row r="61" ht="22.5" customHeight="1">
      <c r="A61" s="12" t="str">
        <f>IFERROR(__xludf.DUMMYFUNCTION("GOOGLETRANSLATE(G61, ""de"", ""en"")"),"60")</f>
        <v>60</v>
      </c>
      <c r="B61" s="12" t="str">
        <f>IFERROR(__xludf.DUMMYFUNCTION("GOOGLETRANSLATE(H61, ""de"", ""en"")"),"A defender accidentally uses his hand to stop the ball in the penalty area. What happens?")</f>
        <v>A defender accidentally uses his hand to stop the ball in the penalty area. What happens?</v>
      </c>
      <c r="C61" s="12" t="s">
        <v>2121</v>
      </c>
      <c r="D61" s="12" t="str">
        <f>IFERROR(__xludf.DUMMYFUNCTION("GOOGLETRANSLATE(J61, ""de"", ""en"")"),"Punishment for the attacker")</f>
        <v>Punishment for the attacker</v>
      </c>
      <c r="E61" s="12" t="str">
        <f>IFERROR(__xludf.DUMMYFUNCTION("GOOGLETRANSLATE(K61, ""de"", ""en"")"),"Handballs in the penalty area result in a penalty.")</f>
        <v>Handballs in the penalty area result in a penalty.</v>
      </c>
      <c r="G61" s="8">
        <v>60.0</v>
      </c>
      <c r="H61" s="7" t="s">
        <v>2122</v>
      </c>
      <c r="I61" s="7" t="s">
        <v>2123</v>
      </c>
      <c r="J61" s="7" t="s">
        <v>2124</v>
      </c>
      <c r="K61" s="7" t="s">
        <v>2125</v>
      </c>
    </row>
    <row r="62" ht="22.5" customHeight="1">
      <c r="A62" s="12" t="str">
        <f>IFERROR(__xludf.DUMMYFUNCTION("GOOGLETRANSLATE(G62, ""de"", ""en"")"),"61")</f>
        <v>61</v>
      </c>
      <c r="B62" s="12" t="str">
        <f>IFERROR(__xludf.DUMMYFUNCTION("GOOGLETRANSLATE(H62, ""de"", ""en"")"),"A team changes its goalkeeper mid-game. Is that allowed?")</f>
        <v>A team changes its goalkeeper mid-game. Is that allowed?</v>
      </c>
      <c r="C62" s="12" t="s">
        <v>2126</v>
      </c>
      <c r="D62" s="12" t="str">
        <f>IFERROR(__xludf.DUMMYFUNCTION("GOOGLETRANSLATE(J62, ""de"", ""en"")"),"Yes, with the approval of a referee.")</f>
        <v>Yes, with the approval of a referee.</v>
      </c>
      <c r="E62" s="12" t="str">
        <f>IFERROR(__xludf.DUMMYFUNCTION("GOOGLETRANSLATE(K62, ""de"", ""en"")"),"Goalkeeper substitutions are permitted with the referee's approval.")</f>
        <v>Goalkeeper substitutions are permitted with the referee's approval.</v>
      </c>
      <c r="G62" s="8">
        <v>61.0</v>
      </c>
      <c r="H62" s="7" t="s">
        <v>2127</v>
      </c>
      <c r="I62" s="7" t="s">
        <v>2128</v>
      </c>
      <c r="J62" s="7" t="s">
        <v>2129</v>
      </c>
      <c r="K62" s="7" t="s">
        <v>2130</v>
      </c>
    </row>
    <row r="63" ht="22.5" customHeight="1">
      <c r="A63" s="12" t="str">
        <f>IFERROR(__xludf.DUMMYFUNCTION("GOOGLETRANSLATE(G63, ""de"", ""en"")"),"62")</f>
        <v>62</v>
      </c>
      <c r="B63" s="12" t="str">
        <f>IFERROR(__xludf.DUMMYFUNCTION("GOOGLETRANSLATE(H63, ""de"", ""en"")"),"A substitute player delays entering the field after his teammate has left. What happens?")</f>
        <v>A substitute player delays entering the field after his teammate has left. What happens?</v>
      </c>
      <c r="C63" s="12" t="s">
        <v>2131</v>
      </c>
      <c r="D63" s="12" t="str">
        <f>IFERROR(__xludf.DUMMYFUNCTION("GOOGLETRANSLATE(J63, ""de"", ""en"")"),"The game continues")</f>
        <v>The game continues</v>
      </c>
      <c r="E63" s="12" t="str">
        <f>IFERROR(__xludf.DUMMYFUNCTION("GOOGLETRANSLATE(K63, ""de"", ""en"")"),"Substitute players must be ready, but delays do not interrupt the game.")</f>
        <v>Substitute players must be ready, but delays do not interrupt the game.</v>
      </c>
      <c r="G63" s="8">
        <v>62.0</v>
      </c>
      <c r="H63" s="7" t="s">
        <v>2132</v>
      </c>
      <c r="I63" s="7" t="s">
        <v>2133</v>
      </c>
      <c r="J63" s="7" t="s">
        <v>1856</v>
      </c>
      <c r="K63" s="7" t="s">
        <v>2134</v>
      </c>
    </row>
    <row r="64" ht="22.5" customHeight="1">
      <c r="A64" s="12" t="str">
        <f>IFERROR(__xludf.DUMMYFUNCTION("GOOGLETRANSLATE(G64, ""de"", ""en"")"),"63")</f>
        <v>63</v>
      </c>
      <c r="B64" s="12" t="str">
        <f>IFERROR(__xludf.DUMMYFUNCTION("GOOGLETRANSLATE(H64, ""de"", ""en"")"),"A team captain disputes a referee's decision during a match. What should the referee do?")</f>
        <v>A team captain disputes a referee's decision during a match. What should the referee do?</v>
      </c>
      <c r="C64" s="12" t="s">
        <v>2135</v>
      </c>
      <c r="D64" s="12" t="str">
        <f>IFERROR(__xludf.DUMMYFUNCTION("GOOGLETRANSLATE(J64, ""de"", ""en"")"),"Yellow card for disagreement")</f>
        <v>Yellow card for disagreement</v>
      </c>
      <c r="E64" s="12" t="str">
        <f>IFERROR(__xludf.DUMMYFUNCTION("GOOGLETRANSLATE(K64, ""de"", ""en"")"),"Challenging referee decisions can lead to a yellow card for dissent.")</f>
        <v>Challenging referee decisions can lead to a yellow card for dissent.</v>
      </c>
      <c r="G64" s="8">
        <v>63.0</v>
      </c>
      <c r="H64" s="7" t="s">
        <v>2136</v>
      </c>
      <c r="I64" s="7" t="s">
        <v>2137</v>
      </c>
      <c r="J64" s="7" t="s">
        <v>2138</v>
      </c>
      <c r="K64" s="7" t="s">
        <v>2139</v>
      </c>
    </row>
    <row r="65" ht="22.5" customHeight="1">
      <c r="A65" s="12" t="str">
        <f>IFERROR(__xludf.DUMMYFUNCTION("GOOGLETRANSLATE(G65, ""de"", ""en"")"),"64")</f>
        <v>64</v>
      </c>
      <c r="B65" s="12" t="str">
        <f>IFERROR(__xludf.DUMMYFUNCTION("GOOGLETRANSLATE(H65, ""de"", ""en"")"),"A player deliberately runs into an opponent to block their movement. What is the ruling?")</f>
        <v>A player deliberately runs into an opponent to block their movement. What is the ruling?</v>
      </c>
      <c r="C65" s="12" t="s">
        <v>2140</v>
      </c>
      <c r="D65" s="12" t="str">
        <f>IFERROR(__xludf.DUMMYFUNCTION("GOOGLETRANSLATE(J65, ""de"", ""en"")"),"Free kick for the opponent")</f>
        <v>Free kick for the opponent</v>
      </c>
      <c r="E65" s="12" t="str">
        <f>IFERROR(__xludf.DUMMYFUNCTION("GOOGLETRANSLATE(K65, ""de"", ""en"")"),"Unfairly blocking opponents results in a free kick.")</f>
        <v>Unfairly blocking opponents results in a free kick.</v>
      </c>
      <c r="G65" s="8">
        <v>64.0</v>
      </c>
      <c r="H65" s="7" t="s">
        <v>2141</v>
      </c>
      <c r="I65" s="7" t="s">
        <v>2142</v>
      </c>
      <c r="J65" s="7" t="s">
        <v>1968</v>
      </c>
      <c r="K65" s="7" t="s">
        <v>2143</v>
      </c>
    </row>
    <row r="66" ht="22.5" customHeight="1">
      <c r="A66" s="12" t="str">
        <f>IFERROR(__xludf.DUMMYFUNCTION("GOOGLETRANSLATE(G66, ""de"", ""en"")"),"65")</f>
        <v>65</v>
      </c>
      <c r="B66" s="12" t="str">
        <f>IFERROR(__xludf.DUMMYFUNCTION("GOOGLETRANSLATE(H66, ""de"", ""en"")"),"The ball lands on the bicycle frame and is unintentionally dragged along for several seconds. What happens?")</f>
        <v>The ball lands on the bicycle frame and is unintentionally dragged along for several seconds. What happens?</v>
      </c>
      <c r="C66" s="12" t="s">
        <v>2144</v>
      </c>
      <c r="D66" s="12" t="str">
        <f>IFERROR(__xludf.DUMMYFUNCTION("GOOGLETRANSLATE(J66, ""de"", ""en"")"),"The game continues")</f>
        <v>The game continues</v>
      </c>
      <c r="E66" s="12" t="str">
        <f>IFERROR(__xludf.DUMMYFUNCTION("GOOGLETRANSLATE(K66, ""de"", ""en"")"),"Unintentionally carrying the ball does not constitute a violation.")</f>
        <v>Unintentionally carrying the ball does not constitute a violation.</v>
      </c>
      <c r="G66" s="8">
        <v>65.0</v>
      </c>
      <c r="H66" s="7" t="s">
        <v>2145</v>
      </c>
      <c r="I66" s="7" t="s">
        <v>2146</v>
      </c>
      <c r="J66" s="7" t="s">
        <v>1856</v>
      </c>
      <c r="K66" s="7" t="s">
        <v>2147</v>
      </c>
    </row>
    <row r="67" ht="22.5" customHeight="1">
      <c r="A67" s="12" t="str">
        <f>IFERROR(__xludf.DUMMYFUNCTION("GOOGLETRANSLATE(G67, ""de"", ""en"")"),"66")</f>
        <v>66</v>
      </c>
      <c r="B67" s="12" t="str">
        <f>IFERROR(__xludf.DUMMYFUNCTION("GOOGLETRANSLATE(H67, ""de"", ""en"")"),"A player performs a kick with his bicycle to shoot the ball, but misses. What action should the referee take?")</f>
        <v>A player performs a kick with his bicycle to shoot the ball, but misses. What action should the referee take?</v>
      </c>
      <c r="C67" s="12" t="s">
        <v>2148</v>
      </c>
      <c r="D67" s="12" t="str">
        <f>IFERROR(__xludf.DUMMYFUNCTION("GOOGLETRANSLATE(J67, ""de"", ""en"")"),"Warning about dangerous game")</f>
        <v>Warning about dangerous game</v>
      </c>
      <c r="E67" s="12" t="str">
        <f>IFERROR(__xludf.DUMMYFUNCTION("GOOGLETRANSLATE(K67, ""de"", ""en"")"),"Bicycle kicks are only allowed if they do not endanger others.")</f>
        <v>Bicycle kicks are only allowed if they do not endanger others.</v>
      </c>
      <c r="G67" s="8">
        <v>66.0</v>
      </c>
      <c r="H67" s="7" t="s">
        <v>2149</v>
      </c>
      <c r="I67" s="7" t="s">
        <v>2150</v>
      </c>
      <c r="J67" s="7" t="s">
        <v>2151</v>
      </c>
      <c r="K67" s="7" t="s">
        <v>2152</v>
      </c>
    </row>
    <row r="68" ht="22.5" customHeight="1">
      <c r="A68" s="12" t="str">
        <f>IFERROR(__xludf.DUMMYFUNCTION("GOOGLETRANSLATE(G68, ""de"", ""en"")"),"67")</f>
        <v>67</v>
      </c>
      <c r="B68" s="12" t="str">
        <f>IFERROR(__xludf.DUMMYFUNCTION("GOOGLETRANSLATE(H68, ""de"", ""en"")"),"During a corner kick, the attacking player hits the ball directly into the goal. Is the goal valid?")</f>
        <v>During a corner kick, the attacking player hits the ball directly into the goal. Is the goal valid?</v>
      </c>
      <c r="C68" s="12" t="s">
        <v>2153</v>
      </c>
      <c r="D68" s="12" t="str">
        <f>IFERROR(__xludf.DUMMYFUNCTION("GOOGLETRANSLATE(J68, ""de"", ""en"")"),"Yes")</f>
        <v>Yes</v>
      </c>
      <c r="E68" s="12" t="str">
        <f>IFERROR(__xludf.DUMMYFUNCTION("GOOGLETRANSLATE(K68, ""de"", ""en"")"),"Corner kicks can lead to direct goals.")</f>
        <v>Corner kicks can lead to direct goals.</v>
      </c>
      <c r="G68" s="8">
        <v>67.0</v>
      </c>
      <c r="H68" s="7" t="s">
        <v>2154</v>
      </c>
      <c r="I68" s="7" t="s">
        <v>2155</v>
      </c>
      <c r="J68" s="7" t="s">
        <v>1891</v>
      </c>
      <c r="K68" s="7" t="s">
        <v>2156</v>
      </c>
    </row>
    <row r="69" ht="22.5" customHeight="1">
      <c r="A69" s="12" t="str">
        <f>IFERROR(__xludf.DUMMYFUNCTION("GOOGLETRANSLATE(G69, ""de"", ""en"")"),"68")</f>
        <v>68</v>
      </c>
      <c r="B69" s="12" t="str">
        <f>IFERROR(__xludf.DUMMYFUNCTION("GOOGLETRANSLATE(H69, ""de"", ""en"")"),"A defender crosses into the attacking half before his goalkeeper leaves his defensive zone. What happens?")</f>
        <v>A defender crosses into the attacking half before his goalkeeper leaves his defensive zone. What happens?</v>
      </c>
      <c r="C69" s="12" t="s">
        <v>2157</v>
      </c>
      <c r="D69" s="12" t="str">
        <f>IFERROR(__xludf.DUMMYFUNCTION("GOOGLETRANSLATE(J69, ""de"", ""en"")"),"Offside is called.")</f>
        <v>Offside is called.</v>
      </c>
      <c r="E69" s="12" t="str">
        <f>IFERROR(__xludf.DUMMYFUNCTION("GOOGLETRANSLATE(K69, ""de"", ""en"")"),"Players must respect the offside rule to avoid unfair advantages.")</f>
        <v>Players must respect the offside rule to avoid unfair advantages.</v>
      </c>
      <c r="G69" s="8">
        <v>68.0</v>
      </c>
      <c r="H69" s="7" t="s">
        <v>2158</v>
      </c>
      <c r="I69" s="7" t="s">
        <v>2159</v>
      </c>
      <c r="J69" s="7" t="s">
        <v>2160</v>
      </c>
      <c r="K69" s="7" t="s">
        <v>2161</v>
      </c>
    </row>
    <row r="70" ht="22.5" customHeight="1">
      <c r="A70" s="12" t="str">
        <f>IFERROR(__xludf.DUMMYFUNCTION("GOOGLETRANSLATE(G70, ""de"", ""en"")"),"69")</f>
        <v>69</v>
      </c>
      <c r="B70" s="12" t="str">
        <f>IFERROR(__xludf.DUMMYFUNCTION("GOOGLETRANSLATE(H70, ""de"", ""en"")"),"A referee incorrectly awards a goal before the ball has fully crossed the line. What is the next action?")</f>
        <v>A referee incorrectly awards a goal before the ball has fully crossed the line. What is the next action?</v>
      </c>
      <c r="C70" s="12" t="s">
        <v>2162</v>
      </c>
      <c r="D70" s="12" t="str">
        <f>IFERROR(__xludf.DUMMYFUNCTION("GOOGLETRANSLATE(J70, ""de"", ""en"")"),"The gate is invalid")</f>
        <v>The gate is invalid</v>
      </c>
      <c r="E70" s="12" t="str">
        <f>IFERROR(__xludf.DUMMYFUNCTION("GOOGLETRANSLATE(K70, ""de"", ""en"")"),"For a goal to be valid, the ball must completely cross the goal line.")</f>
        <v>For a goal to be valid, the ball must completely cross the goal line.</v>
      </c>
      <c r="G70" s="8">
        <v>69.0</v>
      </c>
      <c r="H70" s="7" t="s">
        <v>2163</v>
      </c>
      <c r="I70" s="7" t="s">
        <v>2164</v>
      </c>
      <c r="J70" s="7" t="s">
        <v>2070</v>
      </c>
      <c r="K70" s="7" t="s">
        <v>2165</v>
      </c>
    </row>
    <row r="71" ht="22.5" customHeight="1">
      <c r="A71" s="12" t="str">
        <f>IFERROR(__xludf.DUMMYFUNCTION("GOOGLETRANSLATE(G71, ""de"", ""en"")"),"70")</f>
        <v>70</v>
      </c>
      <c r="B71" s="12" t="str">
        <f>IFERROR(__xludf.DUMMYFUNCTION("GOOGLETRANSLATE(H71, ""de"", ""en"")"),"A team takes too long to take a free kick after one has been missed. What happens next?")</f>
        <v>A team takes too long to take a free kick after one has been missed. What happens next?</v>
      </c>
      <c r="C71" s="12" t="s">
        <v>2166</v>
      </c>
      <c r="D71" s="12" t="str">
        <f>IFERROR(__xludf.DUMMYFUNCTION("GOOGLETRANSLATE(J71, ""de"", ""en"")"),"Warning due to delay")</f>
        <v>Warning due to delay</v>
      </c>
      <c r="E71" s="12" t="str">
        <f>IFERROR(__xludf.DUMMYFUNCTION("GOOGLETRANSLATE(K71, ""de"", ""en"")"),"Delays in resuming the game may result in warnings.")</f>
        <v>Delays in resuming the game may result in warnings.</v>
      </c>
      <c r="G71" s="8">
        <v>70.0</v>
      </c>
      <c r="H71" s="7" t="s">
        <v>2167</v>
      </c>
      <c r="I71" s="7" t="s">
        <v>2168</v>
      </c>
      <c r="J71" s="7" t="s">
        <v>2169</v>
      </c>
      <c r="K71" s="7" t="s">
        <v>2170</v>
      </c>
    </row>
    <row r="72" ht="22.5" customHeight="1">
      <c r="A72" s="12" t="str">
        <f>IFERROR(__xludf.DUMMYFUNCTION("GOOGLETRANSLATE(G72, ""de"", ""en"")"),"71")</f>
        <v>71</v>
      </c>
      <c r="B72" s="12" t="str">
        <f>IFERROR(__xludf.DUMMYFUNCTION("GOOGLETRANSLATE(H72, ""de"", ""en"")"),"A substitute player enters the field without the referee's signal, but does not affect the game. What is the result?")</f>
        <v>A substitute player enters the field without the referee's signal, but does not affect the game. What is the result?</v>
      </c>
      <c r="C72" s="12" t="s">
        <v>2171</v>
      </c>
      <c r="D72" s="12" t="str">
        <f>IFERROR(__xludf.DUMMYFUNCTION("GOOGLETRANSLATE(J72, ""de"", ""en"")"),"Warning for the substitute")</f>
        <v>Warning for the substitute</v>
      </c>
      <c r="E72" s="12" t="str">
        <f>IFERROR(__xludf.DUMMYFUNCTION("GOOGLETRANSLATE(K72, ""de"", ""en"")"),"Unauthorized access will result in a warning, even without direct intervention.")</f>
        <v>Unauthorized access will result in a warning, even without direct intervention.</v>
      </c>
      <c r="G72" s="8">
        <v>71.0</v>
      </c>
      <c r="H72" s="7" t="s">
        <v>2172</v>
      </c>
      <c r="I72" s="7" t="s">
        <v>2173</v>
      </c>
      <c r="J72" s="7" t="s">
        <v>2075</v>
      </c>
      <c r="K72" s="7" t="s">
        <v>2174</v>
      </c>
    </row>
    <row r="73" ht="22.5" customHeight="1">
      <c r="A73" s="12" t="str">
        <f>IFERROR(__xludf.DUMMYFUNCTION("GOOGLETRANSLATE(G73, ""de"", ""en"")"),"72")</f>
        <v>72</v>
      </c>
      <c r="B73" s="12" t="str">
        <f>IFERROR(__xludf.DUMMYFUNCTION("GOOGLETRANSLATE(H73, ""de"", ""en"")"),"The ball hits the goalpost and is deflected back into the penalty area. A defender deliberately moves the post. What happens?")</f>
        <v>The ball hits the goalpost and is deflected back into the penalty area. A defender deliberately moves the post. What happens?</v>
      </c>
      <c r="C73" s="12" t="s">
        <v>2175</v>
      </c>
      <c r="D73" s="12" t="str">
        <f>IFERROR(__xludf.DUMMYFUNCTION("GOOGLETRANSLATE(J73, ""de"", ""en"")"),"Punishment for the attacker")</f>
        <v>Punishment for the attacker</v>
      </c>
      <c r="E73" s="12" t="str">
        <f>IFERROR(__xludf.DUMMYFUNCTION("GOOGLETRANSLATE(K73, ""de"", ""en"")"),"Intentionally moving the goalpost will be penalized with a penalty kick.")</f>
        <v>Intentionally moving the goalpost will be penalized with a penalty kick.</v>
      </c>
      <c r="G73" s="8">
        <v>72.0</v>
      </c>
      <c r="H73" s="7" t="s">
        <v>2176</v>
      </c>
      <c r="I73" s="7" t="s">
        <v>2177</v>
      </c>
      <c r="J73" s="7" t="s">
        <v>2124</v>
      </c>
      <c r="K73" s="7" t="s">
        <v>2178</v>
      </c>
    </row>
    <row r="74" ht="22.5" customHeight="1">
      <c r="A74" s="12" t="str">
        <f>IFERROR(__xludf.DUMMYFUNCTION("GOOGLETRANSLATE(G74, ""de"", ""en"")"),"73")</f>
        <v>73</v>
      </c>
      <c r="B74" s="12" t="str">
        <f>IFERROR(__xludf.DUMMYFUNCTION("GOOGLETRANSLATE(H74, ""de"", ""en"")"),"An attacking player enters the goal area and blocks the goalkeeper's movement. What does the referee do?")</f>
        <v>An attacking player enters the goal area and blocks the goalkeeper's movement. What does the referee do?</v>
      </c>
      <c r="C74" s="12" t="s">
        <v>2179</v>
      </c>
      <c r="D74" s="12" t="str">
        <f>IFERROR(__xludf.DUMMYFUNCTION("GOOGLETRANSLATE(J74, ""de"", ""en"")"),"Free kick for the opponent")</f>
        <v>Free kick for the opponent</v>
      </c>
      <c r="E74" s="12" t="str">
        <f>IFERROR(__xludf.DUMMYFUNCTION("GOOGLETRANSLATE(K74, ""de"", ""en"")"),"Any interference with the goalkeeper will be punished with a free kick.")</f>
        <v>Any interference with the goalkeeper will be punished with a free kick.</v>
      </c>
      <c r="G74" s="8">
        <v>73.0</v>
      </c>
      <c r="H74" s="7" t="s">
        <v>2180</v>
      </c>
      <c r="I74" s="7" t="s">
        <v>2181</v>
      </c>
      <c r="J74" s="7" t="s">
        <v>1968</v>
      </c>
      <c r="K74" s="7" t="s">
        <v>2182</v>
      </c>
    </row>
    <row r="75" ht="22.5" customHeight="1">
      <c r="A75" s="12" t="str">
        <f>IFERROR(__xludf.DUMMYFUNCTION("GOOGLETRANSLATE(G75, ""de"", ""en"")"),"74")</f>
        <v>74</v>
      </c>
      <c r="B75" s="12" t="str">
        <f>IFERROR(__xludf.DUMMYFUNCTION("GOOGLETRANSLATE(H75, ""de"", ""en"")"),"A goal is scored while a defender is lying on the ground due to a fall. What is the referee's decision?")</f>
        <v>A goal is scored while a defender is lying on the ground due to a fall. What is the referee's decision?</v>
      </c>
      <c r="C75" s="12" t="s">
        <v>2183</v>
      </c>
      <c r="D75" s="12" t="str">
        <f>IFERROR(__xludf.DUMMYFUNCTION("GOOGLETRANSLATE(J75, ""de"", ""en"")"),"Goal scores")</f>
        <v>Goal scores</v>
      </c>
      <c r="E75" s="12" t="str">
        <f>IFERROR(__xludf.DUMMYFUNCTION("GOOGLETRANSLATE(K75, ""de"", ""en"")"),"The game will continue unless there is a serious injury or external disruption.")</f>
        <v>The game will continue unless there is a serious injury or external disruption.</v>
      </c>
      <c r="G75" s="8">
        <v>74.0</v>
      </c>
      <c r="H75" s="7" t="s">
        <v>2184</v>
      </c>
      <c r="I75" s="7" t="s">
        <v>2185</v>
      </c>
      <c r="J75" s="7" t="s">
        <v>2186</v>
      </c>
      <c r="K75" s="7" t="s">
        <v>2187</v>
      </c>
    </row>
    <row r="76" ht="22.5" customHeight="1">
      <c r="A76" s="12" t="str">
        <f>IFERROR(__xludf.DUMMYFUNCTION("GOOGLETRANSLATE(G76, ""de"", ""en"")"),"75")</f>
        <v>75</v>
      </c>
      <c r="B76" s="12" t="str">
        <f>IFERROR(__xludf.DUMMYFUNCTION("GOOGLETRANSLATE(H76, ""de"", ""en"")"),"The ball goes out of bounds, but immediately returns due to the wind. What is the verdict?")</f>
        <v>The ball goes out of bounds, but immediately returns due to the wind. What is the verdict?</v>
      </c>
      <c r="C76" s="12" t="s">
        <v>2188</v>
      </c>
      <c r="D76" s="12" t="str">
        <f>IFERROR(__xludf.DUMMYFUNCTION("GOOGLETRANSLATE(J76, ""de"", ""en"")"),"Throw-in for the team in question")</f>
        <v>Throw-in for the team in question</v>
      </c>
      <c r="E76" s="12" t="str">
        <f>IFERROR(__xludf.DUMMYFUNCTION("GOOGLETRANSLATE(K76, ""de"", ""en"")"),"The game ends as soon as the ball is completely out of bounds.")</f>
        <v>The game ends as soon as the ball is completely out of bounds.</v>
      </c>
      <c r="G76" s="8">
        <v>75.0</v>
      </c>
      <c r="H76" s="7" t="s">
        <v>2189</v>
      </c>
      <c r="I76" s="7" t="s">
        <v>2190</v>
      </c>
      <c r="J76" s="7" t="s">
        <v>2191</v>
      </c>
      <c r="K76" s="7" t="s">
        <v>2192</v>
      </c>
    </row>
    <row r="77" ht="22.5" customHeight="1">
      <c r="A77" s="12" t="str">
        <f>IFERROR(__xludf.DUMMYFUNCTION("GOOGLETRANSLATE(G77, ""de"", ""en"")"),"76")</f>
        <v>76</v>
      </c>
      <c r="B77" s="12" t="str">
        <f>IFERROR(__xludf.DUMMYFUNCTION("GOOGLETRANSLATE(H77, ""de"", ""en"")"),"A defender blocks a high ball above shoulder height with his bicycle wheel. What does the referee decide?")</f>
        <v>A defender blocks a high ball above shoulder height with his bicycle wheel. What does the referee decide?</v>
      </c>
      <c r="C77" s="12" t="s">
        <v>2193</v>
      </c>
      <c r="D77" s="12" t="str">
        <f>IFERROR(__xludf.DUMMYFUNCTION("GOOGLETRANSLATE(J77, ""de"", ""en"")"),"Free kick for the attacker")</f>
        <v>Free kick for the attacker</v>
      </c>
      <c r="E77" s="12" t="str">
        <f>IFERROR(__xludf.DUMMYFUNCTION("GOOGLETRANSLATE(K77, ""de"", ""en"")"),"High-ball blocks above shoulder height are not allowed in defense.")</f>
        <v>High-ball blocks above shoulder height are not allowed in defense.</v>
      </c>
      <c r="G77" s="8">
        <v>76.0</v>
      </c>
      <c r="H77" s="7" t="s">
        <v>2194</v>
      </c>
      <c r="I77" s="7" t="s">
        <v>2195</v>
      </c>
      <c r="J77" s="7" t="s">
        <v>2196</v>
      </c>
      <c r="K77" s="7" t="s">
        <v>2197</v>
      </c>
    </row>
    <row r="78" ht="22.5" customHeight="1">
      <c r="A78" s="12" t="str">
        <f>IFERROR(__xludf.DUMMYFUNCTION("GOOGLETRANSLATE(G78, ""de"", ""en"")"),"77")</f>
        <v>77</v>
      </c>
      <c r="B78" s="12" t="str">
        <f>IFERROR(__xludf.DUMMYFUNCTION("GOOGLETRANSLATE(H78, ""de"", ""en"")"),"The referee stops the game due to an injury. When play restarts, the ball is handed to the attacking team. Which method is used?")</f>
        <v>The referee stops the game due to an injury. When play restarts, the ball is handed to the attacking team. Which method is used?</v>
      </c>
      <c r="C78" s="12" t="s">
        <v>2198</v>
      </c>
      <c r="D78" s="12" t="str">
        <f>IFERROR(__xludf.DUMMYFUNCTION("GOOGLETRANSLATE(J78, ""de"", ""en"")"),"Drop the ball")</f>
        <v>Drop the ball</v>
      </c>
      <c r="E78" s="12" t="str">
        <f>IFERROR(__xludf.DUMMYFUNCTION("GOOGLETRANSLATE(K78, ""de"", ""en"")"),"After interruptions, the game is continued with a drop ball.")</f>
        <v>After interruptions, the game is continued with a drop ball.</v>
      </c>
      <c r="G78" s="8">
        <v>77.0</v>
      </c>
      <c r="H78" s="7" t="s">
        <v>2199</v>
      </c>
      <c r="I78" s="7" t="s">
        <v>2200</v>
      </c>
      <c r="J78" s="7" t="s">
        <v>1933</v>
      </c>
      <c r="K78" s="7" t="s">
        <v>2116</v>
      </c>
    </row>
    <row r="79" ht="22.5" customHeight="1">
      <c r="A79" s="12" t="str">
        <f>IFERROR(__xludf.DUMMYFUNCTION("GOOGLETRANSLATE(G79, ""de"", ""en"")"),"78")</f>
        <v>78</v>
      </c>
      <c r="B79" s="12" t="str">
        <f>IFERROR(__xludf.DUMMYFUNCTION("GOOGLETRANSLATE(H79, ""de"", ""en"")"),"A goalkeeper leaves the penalty area to intercept a long pass. What happens if they don't touch the ball?")</f>
        <v>A goalkeeper leaves the penalty area to intercept a long pass. What happens if they don't touch the ball?</v>
      </c>
      <c r="C79" s="12" t="s">
        <v>2201</v>
      </c>
      <c r="D79" s="12" t="str">
        <f>IFERROR(__xludf.DUMMYFUNCTION("GOOGLETRANSLATE(J79, ""de"", ""en"")"),"The game continues")</f>
        <v>The game continues</v>
      </c>
      <c r="E79" s="12" t="str">
        <f>IFERROR(__xludf.DUMMYFUNCTION("GOOGLETRANSLATE(K79, ""de"", ""en"")"),"Goalkeepers are allowed to leave the area unless they engage in unfair play.")</f>
        <v>Goalkeepers are allowed to leave the area unless they engage in unfair play.</v>
      </c>
      <c r="G79" s="8">
        <v>78.0</v>
      </c>
      <c r="H79" s="7" t="s">
        <v>2202</v>
      </c>
      <c r="I79" s="7" t="s">
        <v>2203</v>
      </c>
      <c r="J79" s="7" t="s">
        <v>1856</v>
      </c>
      <c r="K79" s="7" t="s">
        <v>2204</v>
      </c>
    </row>
    <row r="80" ht="22.5" customHeight="1">
      <c r="A80" s="12" t="str">
        <f>IFERROR(__xludf.DUMMYFUNCTION("GOOGLETRANSLATE(G80, ""de"", ""en"")"),"79")</f>
        <v>79</v>
      </c>
      <c r="B80" s="12" t="str">
        <f>IFERROR(__xludf.DUMMYFUNCTION("GOOGLETRANSLATE(H80, ""de"", ""en"")"),"A player deliberately delays the game to adjust the position of his bicycle. What happens?")</f>
        <v>A player deliberately delays the game to adjust the position of his bicycle. What happens?</v>
      </c>
      <c r="C80" s="12" t="s">
        <v>2205</v>
      </c>
      <c r="D80" s="12" t="str">
        <f>IFERROR(__xludf.DUMMYFUNCTION("GOOGLETRANSLATE(J80, ""de"", ""en"")"),"Warning due to delay")</f>
        <v>Warning due to delay</v>
      </c>
      <c r="E80" s="12" t="str">
        <f>IFERROR(__xludf.DUMMYFUNCTION("GOOGLETRANSLATE(K80, ""de"", ""en"")"),"Deliberate delays can lead to warnings.")</f>
        <v>Deliberate delays can lead to warnings.</v>
      </c>
      <c r="G80" s="8">
        <v>79.0</v>
      </c>
      <c r="H80" s="7" t="s">
        <v>2206</v>
      </c>
      <c r="I80" s="7" t="s">
        <v>2207</v>
      </c>
      <c r="J80" s="7" t="s">
        <v>2169</v>
      </c>
      <c r="K80" s="7" t="s">
        <v>2208</v>
      </c>
    </row>
    <row r="81" ht="22.5" customHeight="1">
      <c r="A81" s="12" t="str">
        <f>IFERROR(__xludf.DUMMYFUNCTION("GOOGLETRANSLATE(G81, ""de"", ""en"")"),"80")</f>
        <v>80</v>
      </c>
      <c r="B81" s="12" t="str">
        <f>IFERROR(__xludf.DUMMYFUNCTION("GOOGLETRANSLATE(H81, ""de"", ""en"")"),"An attacking player shoots while his teammate distracts the defender by shouting loudly. What happens?")</f>
        <v>An attacking player shoots while his teammate distracts the defender by shouting loudly. What happens?</v>
      </c>
      <c r="C81" s="12" t="s">
        <v>2209</v>
      </c>
      <c r="D81" s="12" t="str">
        <f>IFERROR(__xludf.DUMMYFUNCTION("GOOGLETRANSLATE(J81, ""de"", ""en"")"),"Free kick for the opponent")</f>
        <v>Free kick for the opponent</v>
      </c>
      <c r="E81" s="12" t="str">
        <f>IFERROR(__xludf.DUMMYFUNCTION("GOOGLETRANSLATE(K81, ""de"", ""en"")"),"Distracting the opponent is considered unsportsmanlike conduct.")</f>
        <v>Distracting the opponent is considered unsportsmanlike conduct.</v>
      </c>
      <c r="G81" s="8">
        <v>80.0</v>
      </c>
      <c r="H81" s="7" t="s">
        <v>2210</v>
      </c>
      <c r="I81" s="7" t="s">
        <v>2211</v>
      </c>
      <c r="J81" s="7" t="s">
        <v>1968</v>
      </c>
      <c r="K81" s="7" t="s">
        <v>2212</v>
      </c>
    </row>
    <row r="82" ht="22.5" customHeight="1">
      <c r="A82" s="12" t="str">
        <f>IFERROR(__xludf.DUMMYFUNCTION("GOOGLETRANSLATE(G82, ""de"", ""en"")"),"81")</f>
        <v>81</v>
      </c>
      <c r="B82" s="12" t="str">
        <f>IFERROR(__xludf.DUMMYFUNCTION("GOOGLETRANSLATE(H82, ""de"", ""en"")"),"The ball shatters in mid-air after being struck hard. What does the referee do?")</f>
        <v>The ball shatters in mid-air after being struck hard. What does the referee do?</v>
      </c>
      <c r="C82" s="12" t="s">
        <v>2213</v>
      </c>
      <c r="D82" s="12" t="str">
        <f>IFERROR(__xludf.DUMMYFUNCTION("GOOGLETRANSLATE(J82, ""de"", ""en"")"),"Replace the ball and repeat the game.")</f>
        <v>Replace the ball and repeat the game.</v>
      </c>
      <c r="E82" s="12" t="str">
        <f>IFERROR(__xludf.DUMMYFUNCTION("GOOGLETRANSLATE(K82, ""de"", ""en"")"),"A new ball is introduced and the game continues.")</f>
        <v>A new ball is introduced and the game continues.</v>
      </c>
      <c r="G82" s="8">
        <v>81.0</v>
      </c>
      <c r="H82" s="7" t="s">
        <v>2214</v>
      </c>
      <c r="I82" s="7" t="s">
        <v>2215</v>
      </c>
      <c r="J82" s="7" t="s">
        <v>2216</v>
      </c>
      <c r="K82" s="7" t="s">
        <v>2217</v>
      </c>
    </row>
    <row r="83" ht="22.5" customHeight="1">
      <c r="A83" s="12" t="str">
        <f>IFERROR(__xludf.DUMMYFUNCTION("GOOGLETRANSLATE(G83, ""de"", ""en"")"),"82")</f>
        <v>82</v>
      </c>
      <c r="B83" s="12" t="str">
        <f>IFERROR(__xludf.DUMMYFUNCTION("GOOGLETRANSLATE(H83, ""de"", ""en"")"),"A team plays with only one player for several minutes due to an injury. What happens?")</f>
        <v>A team plays with only one player for several minutes due to an injury. What happens?</v>
      </c>
      <c r="C83" s="12" t="s">
        <v>2218</v>
      </c>
      <c r="D83" s="12" t="str">
        <f>IFERROR(__xludf.DUMMYFUNCTION("GOOGLETRANSLATE(J83, ""de"", ""en"")"),"The game continues")</f>
        <v>The game continues</v>
      </c>
      <c r="E83" s="12" t="str">
        <f>IFERROR(__xludf.DUMMYFUNCTION("GOOGLETRANSLATE(K83, ""de"", ""en"")"),"Teams can continue playing as long as a player is on the field.")</f>
        <v>Teams can continue playing as long as a player is on the field.</v>
      </c>
      <c r="G83" s="8">
        <v>82.0</v>
      </c>
      <c r="H83" s="7" t="s">
        <v>2219</v>
      </c>
      <c r="I83" s="7" t="s">
        <v>2220</v>
      </c>
      <c r="J83" s="7" t="s">
        <v>1856</v>
      </c>
      <c r="K83" s="7" t="s">
        <v>2221</v>
      </c>
    </row>
    <row r="84" ht="22.5" customHeight="1">
      <c r="A84" s="12" t="str">
        <f>IFERROR(__xludf.DUMMYFUNCTION("GOOGLETRANSLATE(G84, ""de"", ""en"")"),"83")</f>
        <v>83</v>
      </c>
      <c r="B84" s="12" t="str">
        <f>IFERROR(__xludf.DUMMYFUNCTION("GOOGLETRANSLATE(H84, ""de"", ""en"")"),"A defender rides backwards while defending against an attacker. What rule does the referee issue?")</f>
        <v>A defender rides backwards while defending against an attacker. What rule does the referee issue?</v>
      </c>
      <c r="C84" s="12" t="s">
        <v>2222</v>
      </c>
      <c r="D84" s="12" t="str">
        <f>IFERROR(__xludf.DUMMYFUNCTION("GOOGLETRANSLATE(J84, ""de"", ""en"")"),"The game continues")</f>
        <v>The game continues</v>
      </c>
      <c r="E84" s="12" t="str">
        <f>IFERROR(__xludf.DUMMYFUNCTION("GOOGLETRANSLATE(K84, ""de"", ""en"")"),"Reversing is permitted unless it creates a dangerous situation.")</f>
        <v>Reversing is permitted unless it creates a dangerous situation.</v>
      </c>
      <c r="G84" s="8">
        <v>83.0</v>
      </c>
      <c r="H84" s="7" t="s">
        <v>2223</v>
      </c>
      <c r="I84" s="7" t="s">
        <v>2224</v>
      </c>
      <c r="J84" s="7" t="s">
        <v>1856</v>
      </c>
      <c r="K84" s="7" t="s">
        <v>2225</v>
      </c>
    </row>
    <row r="85" ht="22.5" customHeight="1">
      <c r="A85" s="12" t="str">
        <f>IFERROR(__xludf.DUMMYFUNCTION("GOOGLETRANSLATE(G85, ""de"", ""en"")"),"84")</f>
        <v>84</v>
      </c>
      <c r="B85" s="12" t="str">
        <f>IFERROR(__xludf.DUMMYFUNCTION("GOOGLETRANSLATE(H85, ""de"", ""en"")"),"A player uses the rear wheel to pass the ball to a teammate. What is the referee's decision?")</f>
        <v>A player uses the rear wheel to pass the ball to a teammate. What is the referee's decision?</v>
      </c>
      <c r="C85" s="12" t="s">
        <v>2226</v>
      </c>
      <c r="D85" s="12" t="str">
        <f>IFERROR(__xludf.DUMMYFUNCTION("GOOGLETRANSLATE(J85, ""de"", ""en"")"),"The game continues")</f>
        <v>The game continues</v>
      </c>
      <c r="E85" s="12" t="str">
        <f>IFERROR(__xludf.DUMMYFUNCTION("GOOGLETRANSLATE(K85, ""de"", ""en"")"),"In cycle ball, it is permitted to use the rear wheel for passing.")</f>
        <v>In cycle ball, it is permitted to use the rear wheel for passing.</v>
      </c>
      <c r="G85" s="8">
        <v>84.0</v>
      </c>
      <c r="H85" s="7" t="s">
        <v>2227</v>
      </c>
      <c r="I85" s="7" t="s">
        <v>2228</v>
      </c>
      <c r="J85" s="7" t="s">
        <v>1856</v>
      </c>
      <c r="K85" s="7" t="s">
        <v>2229</v>
      </c>
    </row>
    <row r="86" ht="22.5" customHeight="1">
      <c r="A86" s="12" t="str">
        <f>IFERROR(__xludf.DUMMYFUNCTION("GOOGLETRANSLATE(G86, ""de"", ""en"")"),"85")</f>
        <v>85</v>
      </c>
      <c r="B86" s="12" t="str">
        <f>IFERROR(__xludf.DUMMYFUNCTION("GOOGLETRANSLATE(H86, ""de"", ""en"")"),"A goalkeeper rides outside his defensive area and blocks the ball. What happens?")</f>
        <v>A goalkeeper rides outside his defensive area and blocks the ball. What happens?</v>
      </c>
      <c r="C86" s="12" t="s">
        <v>2230</v>
      </c>
      <c r="D86" s="12" t="str">
        <f>IFERROR(__xludf.DUMMYFUNCTION("GOOGLETRANSLATE(J86, ""de"", ""en"")"),"The game continues")</f>
        <v>The game continues</v>
      </c>
      <c r="E86" s="12" t="str">
        <f>IFERROR(__xludf.DUMMYFUNCTION("GOOGLETRANSLATE(K86, ""de"", ""en"")"),"Goalkeepers may leave their area as long as they do not interfere unfairly.")</f>
        <v>Goalkeepers may leave their area as long as they do not interfere unfairly.</v>
      </c>
      <c r="G86" s="8">
        <v>85.0</v>
      </c>
      <c r="H86" s="7" t="s">
        <v>2231</v>
      </c>
      <c r="I86" s="7" t="s">
        <v>2232</v>
      </c>
      <c r="J86" s="7" t="s">
        <v>1856</v>
      </c>
      <c r="K86" s="7" t="s">
        <v>2233</v>
      </c>
    </row>
    <row r="87" ht="22.5" customHeight="1">
      <c r="A87" s="12" t="str">
        <f>IFERROR(__xludf.DUMMYFUNCTION("GOOGLETRANSLATE(G87, ""de"", ""en"")"),"86")</f>
        <v>86</v>
      </c>
      <c r="B87" s="12" t="str">
        <f>IFERROR(__xludf.DUMMYFUNCTION("GOOGLETRANSLATE(H87, ""de"", ""en"")"),"The ball accidentally hits a referee and changes direction. What happens next?")</f>
        <v>The ball accidentally hits a referee and changes direction. What happens next?</v>
      </c>
      <c r="C87" s="12" t="s">
        <v>2234</v>
      </c>
      <c r="D87" s="12" t="str">
        <f>IFERROR(__xludf.DUMMYFUNCTION("GOOGLETRANSLATE(J87, ""de"", ""en"")"),"Drop the ball")</f>
        <v>Drop the ball</v>
      </c>
      <c r="E87" s="12" t="str">
        <f>IFERROR(__xludf.DUMMYFUNCTION("GOOGLETRANSLATE(K87, ""de"", ""en"")"),"If the ball hits the referee and disrupts the game, the game will be restarted with a drop ball.")</f>
        <v>If the ball hits the referee and disrupts the game, the game will be restarted with a drop ball.</v>
      </c>
      <c r="G87" s="8">
        <v>86.0</v>
      </c>
      <c r="H87" s="7" t="s">
        <v>2235</v>
      </c>
      <c r="I87" s="7" t="s">
        <v>2236</v>
      </c>
      <c r="J87" s="7" t="s">
        <v>1933</v>
      </c>
      <c r="K87" s="7" t="s">
        <v>2237</v>
      </c>
    </row>
    <row r="88" ht="22.5" customHeight="1">
      <c r="A88" s="12" t="str">
        <f>IFERROR(__xludf.DUMMYFUNCTION("GOOGLETRANSLATE(G88, ""de"", ""en"")"),"87")</f>
        <v>87</v>
      </c>
      <c r="B88" s="12" t="str">
        <f>IFERROR(__xludf.DUMMYFUNCTION("GOOGLETRANSLATE(H88, ""de"", ""en"")"),"An attacking player stops the ball with his bicycle frame and shoots. Is the goal valid?")</f>
        <v>An attacking player stops the ball with his bicycle frame and shoots. Is the goal valid?</v>
      </c>
      <c r="C88" s="12" t="s">
        <v>2238</v>
      </c>
      <c r="D88" s="12" t="str">
        <f>IFERROR(__xludf.DUMMYFUNCTION("GOOGLETRANSLATE(J88, ""de"", ""en"")"),"Yes, if it's a coincidence.")</f>
        <v>Yes, if it's a coincidence.</v>
      </c>
      <c r="E88" s="12" t="str">
        <f>IFERROR(__xludf.DUMMYFUNCTION("GOOGLETRANSLATE(K88, ""de"", ""en"")"),"The unintentional use of the bicycle frame does not constitute an offense.")</f>
        <v>The unintentional use of the bicycle frame does not constitute an offense.</v>
      </c>
      <c r="G88" s="8">
        <v>87.0</v>
      </c>
      <c r="H88" s="7" t="s">
        <v>2239</v>
      </c>
      <c r="I88" s="7" t="s">
        <v>2240</v>
      </c>
      <c r="J88" s="7" t="s">
        <v>2241</v>
      </c>
      <c r="K88" s="7" t="s">
        <v>2242</v>
      </c>
    </row>
    <row r="89" ht="22.5" customHeight="1">
      <c r="A89" s="12" t="str">
        <f>IFERROR(__xludf.DUMMYFUNCTION("GOOGLETRANSLATE(G89, ""de"", ""en"")"),"88")</f>
        <v>88</v>
      </c>
      <c r="B89" s="12" t="str">
        <f>IFERROR(__xludf.DUMMYFUNCTION("GOOGLETRANSLATE(H89, ""de"", ""en"")"),"A defender deliberately rides into the penalty area to block a shot. What does the referee decide?")</f>
        <v>A defender deliberately rides into the penalty area to block a shot. What does the referee decide?</v>
      </c>
      <c r="C89" s="12" t="s">
        <v>2243</v>
      </c>
      <c r="D89" s="12" t="str">
        <f>IFERROR(__xludf.DUMMYFUNCTION("GOOGLETRANSLATE(J89, ""de"", ""en"")"),"Free kick for the attacker")</f>
        <v>Free kick for the attacker</v>
      </c>
      <c r="E89" s="12" t="str">
        <f>IFERROR(__xludf.DUMMYFUNCTION("GOOGLETRANSLATE(K89, ""de"", ""en"")"),"Intentionally entering the goal area for defensive purposes will be punished.")</f>
        <v>Intentionally entering the goal area for defensive purposes will be punished.</v>
      </c>
      <c r="G89" s="8">
        <v>88.0</v>
      </c>
      <c r="H89" s="7" t="s">
        <v>2244</v>
      </c>
      <c r="I89" s="7" t="s">
        <v>2245</v>
      </c>
      <c r="J89" s="7" t="s">
        <v>2196</v>
      </c>
      <c r="K89" s="7" t="s">
        <v>2246</v>
      </c>
    </row>
    <row r="90" ht="22.5" customHeight="1">
      <c r="A90" s="12" t="str">
        <f>IFERROR(__xludf.DUMMYFUNCTION("GOOGLETRANSLATE(G90, ""de"", ""en"")"),"89")</f>
        <v>89</v>
      </c>
      <c r="B90" s="12" t="str">
        <f>IFERROR(__xludf.DUMMYFUNCTION("GOOGLETRANSLATE(H90, ""de"", ""en"")"),"During a corner kick, the ball is played too high and leaves the field of play. What happens?")</f>
        <v>During a corner kick, the ball is played too high and leaves the field of play. What happens?</v>
      </c>
      <c r="C90" s="12" t="s">
        <v>2247</v>
      </c>
      <c r="D90" s="12" t="str">
        <f>IFERROR(__xludf.DUMMYFUNCTION("GOOGLETRANSLATE(J90, ""de"", ""en"")"),"goal kick")</f>
        <v>goal kick</v>
      </c>
      <c r="E90" s="12" t="str">
        <f>IFERROR(__xludf.DUMMYFUNCTION("GOOGLETRANSLATE(K90, ""de"", ""en"")"),"High balls that cause the ball to leave the playing field result in a goal kick.")</f>
        <v>High balls that cause the ball to leave the playing field result in a goal kick.</v>
      </c>
      <c r="G90" s="8">
        <v>89.0</v>
      </c>
      <c r="H90" s="7" t="s">
        <v>2248</v>
      </c>
      <c r="I90" s="7" t="s">
        <v>2249</v>
      </c>
      <c r="J90" s="7" t="s">
        <v>2250</v>
      </c>
      <c r="K90" s="7" t="s">
        <v>2251</v>
      </c>
    </row>
    <row r="91" ht="22.5" customHeight="1">
      <c r="A91" s="12" t="str">
        <f>IFERROR(__xludf.DUMMYFUNCTION("GOOGLETRANSLATE(G91, ""de"", ""en"")"),"90")</f>
        <v>90</v>
      </c>
      <c r="B91" s="12" t="str">
        <f>IFERROR(__xludf.DUMMYFUNCTION("GOOGLETRANSLATE(H91, ""de"", ""en"")"),"A player falls off his bicycle while trying to block a shot, but the ball still goes into the goal. What happens next?")</f>
        <v>A player falls off his bicycle while trying to block a shot, but the ball still goes into the goal. What happens next?</v>
      </c>
      <c r="C91" s="12" t="s">
        <v>2252</v>
      </c>
      <c r="D91" s="12" t="str">
        <f>IFERROR(__xludf.DUMMYFUNCTION("GOOGLETRANSLATE(J91, ""de"", ""en"")"),"Goal scores")</f>
        <v>Goal scores</v>
      </c>
      <c r="E91" s="12" t="str">
        <f>IFERROR(__xludf.DUMMYFUNCTION("GOOGLETRANSLATE(K91, ""de"", ""en"")"),"Provided no obstacle is apparent, the goal remains unchanged.")</f>
        <v>Provided no obstacle is apparent, the goal remains unchanged.</v>
      </c>
      <c r="G91" s="8">
        <v>90.0</v>
      </c>
      <c r="H91" s="7" t="s">
        <v>2253</v>
      </c>
      <c r="I91" s="7" t="s">
        <v>2254</v>
      </c>
      <c r="J91" s="7" t="s">
        <v>2186</v>
      </c>
      <c r="K91" s="7" t="s">
        <v>2255</v>
      </c>
    </row>
    <row r="92" ht="22.5" customHeight="1">
      <c r="A92" s="12" t="str">
        <f>IFERROR(__xludf.DUMMYFUNCTION("GOOGLETRANSLATE(G92, ""de"", ""en"")"),"91")</f>
        <v>91</v>
      </c>
      <c r="B92" s="12" t="str">
        <f>IFERROR(__xludf.DUMMYFUNCTION("GOOGLETRANSLATE(H92, ""de"", ""en"")"),"The ball gets stuck under a player's wheel during a defensive play. What does the referee do?")</f>
        <v>The ball gets stuck under a player's wheel during a defensive play. What does the referee do?</v>
      </c>
      <c r="C92" s="12" t="s">
        <v>2256</v>
      </c>
      <c r="D92" s="12" t="str">
        <f>IFERROR(__xludf.DUMMYFUNCTION("GOOGLETRANSLATE(J92, ""de"", ""en"")"),"Drop the ball")</f>
        <v>Drop the ball</v>
      </c>
      <c r="E92" s="12" t="str">
        <f>IFERROR(__xludf.DUMMYFUNCTION("GOOGLETRANSLATE(K92, ""de"", ""en"")"),"Stuck ball situations are restarted with a drop ball.")</f>
        <v>Stuck ball situations are restarted with a drop ball.</v>
      </c>
      <c r="G92" s="8">
        <v>91.0</v>
      </c>
      <c r="H92" s="7" t="s">
        <v>2257</v>
      </c>
      <c r="I92" s="7" t="s">
        <v>2258</v>
      </c>
      <c r="J92" s="7" t="s">
        <v>1933</v>
      </c>
      <c r="K92" s="7" t="s">
        <v>2259</v>
      </c>
    </row>
    <row r="93" ht="22.5" customHeight="1">
      <c r="A93" s="12" t="str">
        <f>IFERROR(__xludf.DUMMYFUNCTION("GOOGLETRANSLATE(G93, ""de"", ""en"")"),"92")</f>
        <v>92</v>
      </c>
      <c r="B93" s="12" t="str">
        <f>IFERROR(__xludf.DUMMYFUNCTION("GOOGLETRANSLATE(H93, ""de"", ""en"")"),"A substitute player enters the field without waiting for the departing player to leave. What happens?")</f>
        <v>A substitute player enters the field without waiting for the departing player to leave. What happens?</v>
      </c>
      <c r="C93" s="12" t="s">
        <v>2260</v>
      </c>
      <c r="D93" s="12" t="str">
        <f>IFERROR(__xludf.DUMMYFUNCTION("GOOGLETRANSLATE(J93, ""de"", ""en"")"),"Warning to the substitute player")</f>
        <v>Warning to the substitute player</v>
      </c>
      <c r="E93" s="12" t="str">
        <f>IFERROR(__xludf.DUMMYFUNCTION("GOOGLETRANSLATE(K93, ""de"", ""en"")"),"Improper replacements will result in warnings.")</f>
        <v>Improper replacements will result in warnings.</v>
      </c>
      <c r="G93" s="8">
        <v>92.0</v>
      </c>
      <c r="H93" s="7" t="s">
        <v>2261</v>
      </c>
      <c r="I93" s="7" t="s">
        <v>2262</v>
      </c>
      <c r="J93" s="7" t="s">
        <v>2263</v>
      </c>
      <c r="K93" s="7" t="s">
        <v>2264</v>
      </c>
    </row>
    <row r="94" ht="22.5" customHeight="1">
      <c r="A94" s="12" t="str">
        <f>IFERROR(__xludf.DUMMYFUNCTION("GOOGLETRANSLATE(G94, ""de"", ""en"")"),"93")</f>
        <v>93</v>
      </c>
      <c r="B94" s="12" t="str">
        <f>IFERROR(__xludf.DUMMYFUNCTION("GOOGLETRANSLATE(H94, ""de"", ""en"")"),"One team repeatedly delays taking a goal kick. What does the referee decide?")</f>
        <v>One team repeatedly delays taking a goal kick. What does the referee decide?</v>
      </c>
      <c r="C94" s="12" t="s">
        <v>2265</v>
      </c>
      <c r="D94" s="12" t="str">
        <f>IFERROR(__xludf.DUMMYFUNCTION("GOOGLETRANSLATE(J94, ""de"", ""en"")"),"Warning due to delay")</f>
        <v>Warning due to delay</v>
      </c>
      <c r="E94" s="12" t="str">
        <f>IFERROR(__xludf.DUMMYFUNCTION("GOOGLETRANSLATE(K94, ""de"", ""en"")"),"Repeated delays may result in warnings about wasted time.")</f>
        <v>Repeated delays may result in warnings about wasted time.</v>
      </c>
      <c r="G94" s="8">
        <v>93.0</v>
      </c>
      <c r="H94" s="7" t="s">
        <v>2266</v>
      </c>
      <c r="I94" s="7" t="s">
        <v>2267</v>
      </c>
      <c r="J94" s="7" t="s">
        <v>2169</v>
      </c>
      <c r="K94" s="7" t="s">
        <v>2268</v>
      </c>
    </row>
    <row r="95" ht="22.5" customHeight="1">
      <c r="A95" s="12" t="str">
        <f>IFERROR(__xludf.DUMMYFUNCTION("GOOGLETRANSLATE(G95, ""de"", ""en"")"),"94")</f>
        <v>94</v>
      </c>
      <c r="B95" s="12" t="str">
        <f>IFERROR(__xludf.DUMMYFUNCTION("GOOGLETRANSLATE(H95, ""de"", ""en"")"),"The ball hits the ceiling and comes back into play. What happens next?")</f>
        <v>The ball hits the ceiling and comes back into play. What happens next?</v>
      </c>
      <c r="C95" s="12" t="s">
        <v>2269</v>
      </c>
      <c r="D95" s="12" t="str">
        <f>IFERROR(__xludf.DUMMYFUNCTION("GOOGLETRANSLATE(J95, ""de"", ""en"")"),"Drop the ball")</f>
        <v>Drop the ball</v>
      </c>
      <c r="E95" s="12" t="str">
        <f>IFERROR(__xludf.DUMMYFUNCTION("GOOGLETRANSLATE(K95, ""de"", ""en"")"),"If the ball touches the ceiling, the game continues with a drop ball.")</f>
        <v>If the ball touches the ceiling, the game continues with a drop ball.</v>
      </c>
      <c r="G95" s="8">
        <v>94.0</v>
      </c>
      <c r="H95" s="7" t="s">
        <v>2270</v>
      </c>
      <c r="I95" s="7" t="s">
        <v>2271</v>
      </c>
      <c r="J95" s="7" t="s">
        <v>1933</v>
      </c>
      <c r="K95" s="7" t="s">
        <v>2272</v>
      </c>
    </row>
    <row r="96" ht="22.5" customHeight="1">
      <c r="A96" s="12" t="str">
        <f>IFERROR(__xludf.DUMMYFUNCTION("GOOGLETRANSLATE(G96, ""de"", ""en"")"),"95")</f>
        <v>95</v>
      </c>
      <c r="B96" s="12" t="str">
        <f>IFERROR(__xludf.DUMMYFUNCTION("GOOGLETRANSLATE(H96, ""de"", ""en"")"),"An attacking player distracts the goalkeeper by shouting loudly before taking a shot. What happens?")</f>
        <v>An attacking player distracts the goalkeeper by shouting loudly before taking a shot. What happens?</v>
      </c>
      <c r="C96" s="12" t="s">
        <v>2273</v>
      </c>
      <c r="D96" s="12" t="str">
        <f>IFERROR(__xludf.DUMMYFUNCTION("GOOGLETRANSLATE(J96, ""de"", ""en"")"),"Free kick for the opponent")</f>
        <v>Free kick for the opponent</v>
      </c>
      <c r="E96" s="12" t="str">
        <f>IFERROR(__xludf.DUMMYFUNCTION("GOOGLETRANSLATE(K96, ""de"", ""en"")"),"Intentionally distracting the opponent is considered unsportsmanlike conduct.")</f>
        <v>Intentionally distracting the opponent is considered unsportsmanlike conduct.</v>
      </c>
      <c r="G96" s="8">
        <v>95.0</v>
      </c>
      <c r="H96" s="7" t="s">
        <v>2274</v>
      </c>
      <c r="I96" s="7" t="s">
        <v>2275</v>
      </c>
      <c r="J96" s="7" t="s">
        <v>1968</v>
      </c>
      <c r="K96" s="7" t="s">
        <v>2276</v>
      </c>
    </row>
    <row r="97" ht="22.5" customHeight="1">
      <c r="A97" s="12" t="str">
        <f>IFERROR(__xludf.DUMMYFUNCTION("GOOGLETRANSLATE(G97, ""de"", ""en"")"),"96")</f>
        <v>96</v>
      </c>
      <c r="B97" s="12" t="str">
        <f>IFERROR(__xludf.DUMMYFUNCTION("GOOGLETRANSLATE(H97, ""de"", ""en"")"),"The referee incorrectly signals a foul and stops the game. How is the game restarted?")</f>
        <v>The referee incorrectly signals a foul and stops the game. How is the game restarted?</v>
      </c>
      <c r="C97" s="12" t="s">
        <v>2277</v>
      </c>
      <c r="D97" s="12" t="str">
        <f>IFERROR(__xludf.DUMMYFUNCTION("GOOGLETRANSLATE(J97, ""de"", ""en"")"),"Drop the ball")</f>
        <v>Drop the ball</v>
      </c>
      <c r="E97" s="12" t="str">
        <f>IFERROR(__xludf.DUMMYFUNCTION("GOOGLETRANSLATE(K97, ""de"", ""en"")"),"If the game is accidentally interrupted, it will continue with a drop ball.")</f>
        <v>If the game is accidentally interrupted, it will continue with a drop ball.</v>
      </c>
      <c r="G97" s="8">
        <v>96.0</v>
      </c>
      <c r="H97" s="7" t="s">
        <v>2278</v>
      </c>
      <c r="I97" s="7" t="s">
        <v>2279</v>
      </c>
      <c r="J97" s="7" t="s">
        <v>1933</v>
      </c>
      <c r="K97" s="7" t="s">
        <v>2280</v>
      </c>
    </row>
    <row r="98" ht="22.5" customHeight="1">
      <c r="A98" s="12" t="str">
        <f>IFERROR(__xludf.DUMMYFUNCTION("GOOGLETRANSLATE(G98, ""de"", ""en"")"),"97")</f>
        <v>97</v>
      </c>
      <c r="B98" s="12" t="str">
        <f>IFERROR(__xludf.DUMMYFUNCTION("GOOGLETRANSLATE(H98, ""de"", ""en"")"),"A defender touches the ball with his body while attempting a block. What is the ruling?")</f>
        <v>A defender touches the ball with his body while attempting a block. What is the ruling?</v>
      </c>
      <c r="C98" s="12" t="s">
        <v>2281</v>
      </c>
      <c r="D98" s="12" t="str">
        <f>IFERROR(__xludf.DUMMYFUNCTION("GOOGLETRANSLATE(J98, ""de"", ""en"")"),"Free kick for the attacker")</f>
        <v>Free kick for the attacker</v>
      </c>
      <c r="E98" s="12" t="str">
        <f>IFERROR(__xludf.DUMMYFUNCTION("GOOGLETRANSLATE(K98, ""de"", ""en"")"),"Body contact with the ball is not allowed and will be punished.")</f>
        <v>Body contact with the ball is not allowed and will be punished.</v>
      </c>
      <c r="G98" s="8">
        <v>97.0</v>
      </c>
      <c r="H98" s="7" t="s">
        <v>2282</v>
      </c>
      <c r="I98" s="7" t="s">
        <v>2283</v>
      </c>
      <c r="J98" s="7" t="s">
        <v>2196</v>
      </c>
      <c r="K98" s="7" t="s">
        <v>2284</v>
      </c>
    </row>
    <row r="99" ht="22.5" customHeight="1">
      <c r="A99" s="12" t="str">
        <f>IFERROR(__xludf.DUMMYFUNCTION("GOOGLETRANSLATE(G99, ""de"", ""en"")"),"98")</f>
        <v>98</v>
      </c>
      <c r="B99" s="12" t="str">
        <f>IFERROR(__xludf.DUMMYFUNCTION("GOOGLETRANSLATE(H99, ""de"", ""en"")"),"The ball is pierced by a high-speed shot. What does the referee do?")</f>
        <v>The ball is pierced by a high-speed shot. What does the referee do?</v>
      </c>
      <c r="C99" s="12" t="s">
        <v>2285</v>
      </c>
      <c r="D99" s="12" t="str">
        <f>IFERROR(__xludf.DUMMYFUNCTION("GOOGLETRANSLATE(J99, ""de"", ""en"")"),"Replace the ball and restart.")</f>
        <v>Replace the ball and restart.</v>
      </c>
      <c r="E99" s="12" t="str">
        <f>IFERROR(__xludf.DUMMYFUNCTION("GOOGLETRANSLATE(K99, ""de"", ""en"")"),"A damaged ball is replaced and the game restarts accordingly.")</f>
        <v>A damaged ball is replaced and the game restarts accordingly.</v>
      </c>
      <c r="G99" s="8">
        <v>98.0</v>
      </c>
      <c r="H99" s="7" t="s">
        <v>2286</v>
      </c>
      <c r="I99" s="7" t="s">
        <v>2287</v>
      </c>
      <c r="J99" s="7" t="s">
        <v>2288</v>
      </c>
      <c r="K99" s="7" t="s">
        <v>2289</v>
      </c>
    </row>
    <row r="100" ht="22.5" customHeight="1">
      <c r="A100" s="12" t="str">
        <f>IFERROR(__xludf.DUMMYFUNCTION("GOOGLETRANSLATE(G100, ""de"", ""en"")"),"99")</f>
        <v>99</v>
      </c>
      <c r="B100" s="12" t="str">
        <f>IFERROR(__xludf.DUMMYFUNCTION("GOOGLETRANSLATE(H100, ""de"", ""en"")"),"An attacking player scores but enters the goalkeeper's area while shooting. What is the referee's instruction?")</f>
        <v>An attacking player scores but enters the goalkeeper's area while shooting. What is the referee's instruction?</v>
      </c>
      <c r="C100" s="12" t="s">
        <v>2290</v>
      </c>
      <c r="D100" s="12" t="str">
        <f>IFERROR(__xludf.DUMMYFUNCTION("GOOGLETRANSLATE(J100, ""de"", ""en"")"),"Free kick for the opponent")</f>
        <v>Free kick for the opponent</v>
      </c>
      <c r="E100" s="12" t="str">
        <f>IFERROR(__xludf.DUMMYFUNCTION("GOOGLETRANSLATE(K100, ""de"", ""en"")"),"Entering the goalkeeper's area invalidates the goal.")</f>
        <v>Entering the goalkeeper's area invalidates the goal.</v>
      </c>
      <c r="G100" s="8">
        <v>99.0</v>
      </c>
      <c r="H100" s="7" t="s">
        <v>2291</v>
      </c>
      <c r="I100" s="7" t="s">
        <v>2292</v>
      </c>
      <c r="J100" s="7" t="s">
        <v>1968</v>
      </c>
      <c r="K100" s="7" t="s">
        <v>2293</v>
      </c>
    </row>
    <row r="101" ht="22.5" customHeight="1">
      <c r="A101" s="12" t="str">
        <f>IFERROR(__xludf.DUMMYFUNCTION("GOOGLETRANSLATE(G101, ""de"", ""en"")"),"100")</f>
        <v>100</v>
      </c>
      <c r="B101" s="12" t="str">
        <f>IFERROR(__xludf.DUMMYFUNCTION("GOOGLETRANSLATE(H101, ""de"", ""en"")"),"A goalkeeper deflects the ball out of bounds. What happens next?")</f>
        <v>A goalkeeper deflects the ball out of bounds. What happens next?</v>
      </c>
      <c r="C101" s="12" t="s">
        <v>2294</v>
      </c>
      <c r="D101" s="12" t="str">
        <f>IFERROR(__xludf.DUMMYFUNCTION("GOOGLETRANSLATE(J101, ""de"", ""en"")"),"Corner kick")</f>
        <v>Corner kick</v>
      </c>
      <c r="E101" s="12" t="str">
        <f>IFERROR(__xludf.DUMMYFUNCTION("GOOGLETRANSLATE(K101, ""de"", ""en"")"),"A deflection by the goalkeeper leads to a corner kick.")</f>
        <v>A deflection by the goalkeeper leads to a corner kick.</v>
      </c>
      <c r="G101" s="8">
        <v>100.0</v>
      </c>
      <c r="H101" s="7" t="s">
        <v>2295</v>
      </c>
      <c r="I101" s="7" t="s">
        <v>2296</v>
      </c>
      <c r="J101" s="7" t="s">
        <v>2297</v>
      </c>
      <c r="K101" s="7" t="s">
        <v>2298</v>
      </c>
    </row>
    <row r="102" ht="22.5" customHeight="1">
      <c r="A102" s="12" t="str">
        <f>IFERROR(__xludf.DUMMYFUNCTION("GOOGLETRANSLATE(G102, ""de"", ""en"")"),"101")</f>
        <v>101</v>
      </c>
      <c r="B102" s="12" t="str">
        <f>IFERROR(__xludf.DUMMYFUNCTION("GOOGLETRANSLATE(H102, ""de"", ""en"")"),"A defender blocks a high ball with his chest while standing still. Is that allowed?")</f>
        <v>A defender blocks a high ball with his chest while standing still. Is that allowed?</v>
      </c>
      <c r="C102" s="12" t="s">
        <v>2299</v>
      </c>
      <c r="D102" s="12" t="str">
        <f>IFERROR(__xludf.DUMMYFUNCTION("GOOGLETRANSLATE(J102, ""de"", ""en"")"),"Yes, as long as it's inpatient")</f>
        <v>Yes, as long as it's inpatient</v>
      </c>
      <c r="E102" s="12" t="str">
        <f>IFERROR(__xludf.DUMMYFUNCTION("GOOGLETRANSLATE(K102, ""de"", ""en"")"),"In certain situations, stationary chest blocks are permitted.")</f>
        <v>In certain situations, stationary chest blocks are permitted.</v>
      </c>
      <c r="G102" s="8">
        <v>101.0</v>
      </c>
      <c r="H102" s="7" t="s">
        <v>2300</v>
      </c>
      <c r="I102" s="7" t="s">
        <v>2301</v>
      </c>
      <c r="J102" s="7" t="s">
        <v>2302</v>
      </c>
      <c r="K102" s="7" t="s">
        <v>2303</v>
      </c>
    </row>
    <row r="103" ht="22.5" customHeight="1">
      <c r="A103" s="12" t="str">
        <f>IFERROR(__xludf.DUMMYFUNCTION("GOOGLETRANSLATE(G103, ""de"", ""en"")"),"102")</f>
        <v>102</v>
      </c>
      <c r="B103" s="12" t="str">
        <f>IFERROR(__xludf.DUMMYFUNCTION("GOOGLETRANSLATE(H103, ""de"", ""en"")"),"The ball hits the referee, but it doesn't affect the game. What's the next action?")</f>
        <v>The ball hits the referee, but it doesn't affect the game. What's the next action?</v>
      </c>
      <c r="C103" s="12" t="s">
        <v>2304</v>
      </c>
      <c r="D103" s="12" t="str">
        <f>IFERROR(__xludf.DUMMYFUNCTION("GOOGLETRANSLATE(J103, ""de"", ""en"")"),"The game continues")</f>
        <v>The game continues</v>
      </c>
      <c r="E103" s="12" t="str">
        <f>IFERROR(__xludf.DUMMYFUNCTION("GOOGLETRANSLATE(K103, ""de"", ""en"")"),"If the referee does not interfere with the game, the game will continue.")</f>
        <v>If the referee does not interfere with the game, the game will continue.</v>
      </c>
      <c r="G103" s="8">
        <v>102.0</v>
      </c>
      <c r="H103" s="7" t="s">
        <v>2305</v>
      </c>
      <c r="I103" s="7" t="s">
        <v>2306</v>
      </c>
      <c r="J103" s="7" t="s">
        <v>1856</v>
      </c>
      <c r="K103" s="7" t="s">
        <v>2307</v>
      </c>
    </row>
    <row r="104" ht="22.5" customHeight="1">
      <c r="A104" s="12" t="str">
        <f>IFERROR(__xludf.DUMMYFUNCTION("GOOGLETRANSLATE(G104, ""de"", ""en"")"),"103")</f>
        <v>103</v>
      </c>
      <c r="B104" s="12" t="str">
        <f>IFERROR(__xludf.DUMMYFUNCTION("GOOGLETRANSLATE(H104, ""de"", ""en"")"),"A player scores a goal, but his teammate was in the defensive zone. What is the referee's decision?")</f>
        <v>A player scores a goal, but his teammate was in the defensive zone. What is the referee's decision?</v>
      </c>
      <c r="C104" s="12" t="s">
        <v>2308</v>
      </c>
      <c r="D104" s="12" t="str">
        <f>IFERROR(__xludf.DUMMYFUNCTION("GOOGLETRANSLATE(J104, ""de"", ""en"")"),"Offside is called.")</f>
        <v>Offside is called.</v>
      </c>
      <c r="E104" s="12" t="str">
        <f>IFERROR(__xludf.DUMMYFUNCTION("GOOGLETRANSLATE(K104, ""de"", ""en"")"),"The players must adhere to the positioning rules to ensure that the goals are valid.")</f>
        <v>The players must adhere to the positioning rules to ensure that the goals are valid.</v>
      </c>
      <c r="G104" s="8">
        <v>103.0</v>
      </c>
      <c r="H104" s="7" t="s">
        <v>2309</v>
      </c>
      <c r="I104" s="7" t="s">
        <v>2310</v>
      </c>
      <c r="J104" s="7" t="s">
        <v>2160</v>
      </c>
      <c r="K104" s="7" t="s">
        <v>2311</v>
      </c>
    </row>
    <row r="105" ht="22.5" customHeight="1">
      <c r="A105" s="12" t="str">
        <f>IFERROR(__xludf.DUMMYFUNCTION("GOOGLETRANSLATE(G105, ""de"", ""en"")"),"104")</f>
        <v>104</v>
      </c>
      <c r="B105" s="12" t="str">
        <f>IFERROR(__xludf.DUMMYFUNCTION("GOOGLETRANSLATE(H105, ""de"", ""en"")"),"A player accidentally stops the ball with his foot while defending. What is the ruling?")</f>
        <v>A player accidentally stops the ball with his foot while defending. What is the ruling?</v>
      </c>
      <c r="C105" s="12" t="s">
        <v>2312</v>
      </c>
      <c r="D105" s="12" t="str">
        <f>IFERROR(__xludf.DUMMYFUNCTION("GOOGLETRANSLATE(J105, ""de"", ""en"")"),"Free kick for the opponent")</f>
        <v>Free kick for the opponent</v>
      </c>
      <c r="E105" s="12" t="str">
        <f>IFERROR(__xludf.DUMMYFUNCTION("GOOGLETRANSLATE(K105, ""de"", ""en"")"),"Using a body part to control the ball is a violation.")</f>
        <v>Using a body part to control the ball is a violation.</v>
      </c>
      <c r="G105" s="8">
        <v>104.0</v>
      </c>
      <c r="H105" s="7" t="s">
        <v>2313</v>
      </c>
      <c r="I105" s="7" t="s">
        <v>2314</v>
      </c>
      <c r="J105" s="7" t="s">
        <v>1968</v>
      </c>
      <c r="K105" s="7" t="s">
        <v>2315</v>
      </c>
    </row>
    <row r="106" ht="22.5" customHeight="1">
      <c r="A106" s="12" t="str">
        <f>IFERROR(__xludf.DUMMYFUNCTION("GOOGLETRANSLATE(G106, ""de"", ""en"")"),"105")</f>
        <v>105</v>
      </c>
      <c r="B106" s="12" t="str">
        <f>IFERROR(__xludf.DUMMYFUNCTION("GOOGLETRANSLATE(H106, ""de"", ""en"")"),"The ball rolls over the sideline but remains in play. What happens next?")</f>
        <v>The ball rolls over the sideline but remains in play. What happens next?</v>
      </c>
      <c r="C106" s="12" t="s">
        <v>2316</v>
      </c>
      <c r="D106" s="12" t="str">
        <f>IFERROR(__xludf.DUMMYFUNCTION("GOOGLETRANSLATE(J106, ""de"", ""en"")"),"The game continues")</f>
        <v>The game continues</v>
      </c>
      <c r="E106" s="12" t="str">
        <f>IFERROR(__xludf.DUMMYFUNCTION("GOOGLETRANSLATE(K106, ""de"", ""en"")"),"If the ball does not completely cross the line, the game continues.")</f>
        <v>If the ball does not completely cross the line, the game continues.</v>
      </c>
      <c r="G106" s="8">
        <v>105.0</v>
      </c>
      <c r="H106" s="7" t="s">
        <v>2317</v>
      </c>
      <c r="I106" s="7" t="s">
        <v>2318</v>
      </c>
      <c r="J106" s="7" t="s">
        <v>1856</v>
      </c>
      <c r="K106" s="7" t="s">
        <v>2319</v>
      </c>
    </row>
    <row r="107" ht="22.5" customHeight="1">
      <c r="A107" s="12" t="str">
        <f>IFERROR(__xludf.DUMMYFUNCTION("GOOGLETRANSLATE(G107, ""de"", ""en"")"),"106")</f>
        <v>106</v>
      </c>
      <c r="B107" s="12" t="str">
        <f>IFERROR(__xludf.DUMMYFUNCTION("GOOGLETRANSLATE(H107, ""de"", ""en"")"),"During a quick counter-attack, a player loses control and collides with the goalpost. What is the referee's instruction?")</f>
        <v>During a quick counter-attack, a player loses control and collides with the goalpost. What is the referee's instruction?</v>
      </c>
      <c r="C107" s="12" t="s">
        <v>2320</v>
      </c>
      <c r="D107" s="12" t="str">
        <f>IFERROR(__xludf.DUMMYFUNCTION("GOOGLETRANSLATE(J107, ""de"", ""en"")"),"The game continues")</f>
        <v>The game continues</v>
      </c>
      <c r="E107" s="12" t="str">
        <f>IFERROR(__xludf.DUMMYFUNCTION("GOOGLETRANSLATE(K107, ""de"", ""en"")"),"Accidental accidents are not punished unless it is obvious that intentional interference has taken place.")</f>
        <v>Accidental accidents are not punished unless it is obvious that intentional interference has taken place.</v>
      </c>
      <c r="G107" s="8">
        <v>106.0</v>
      </c>
      <c r="H107" s="7" t="s">
        <v>2321</v>
      </c>
      <c r="I107" s="7" t="s">
        <v>2322</v>
      </c>
      <c r="J107" s="7" t="s">
        <v>1856</v>
      </c>
      <c r="K107" s="7" t="s">
        <v>2323</v>
      </c>
    </row>
    <row r="108" ht="22.5" customHeight="1">
      <c r="A108" s="12" t="str">
        <f>IFERROR(__xludf.DUMMYFUNCTION("GOOGLETRANSLATE(G108, ""de"", ""en"")"),"107")</f>
        <v>107</v>
      </c>
      <c r="B108" s="12" t="str">
        <f>IFERROR(__xludf.DUMMYFUNCTION("GOOGLETRANSLATE(H108, ""de"", ""en"")"),"An attacking player performs a spin move and shoots the ball into the goal. What is the verdict?")</f>
        <v>An attacking player performs a spin move and shoots the ball into the goal. What is the verdict?</v>
      </c>
      <c r="C108" s="12" t="s">
        <v>2324</v>
      </c>
      <c r="D108" s="12" t="str">
        <f>IFERROR(__xludf.DUMMYFUNCTION("GOOGLETRANSLATE(J108, ""de"", ""en"")"),"Goal scores")</f>
        <v>Goal scores</v>
      </c>
      <c r="E108" s="12" t="str">
        <f>IFERROR(__xludf.DUMMYFUNCTION("GOOGLETRANSLATE(K108, ""de"", ""en"")"),"Creative movements such as turns are allowed, provided no rules are broken.")</f>
        <v>Creative movements such as turns are allowed, provided no rules are broken.</v>
      </c>
      <c r="G108" s="8">
        <v>107.0</v>
      </c>
      <c r="H108" s="7" t="s">
        <v>2325</v>
      </c>
      <c r="I108" s="7" t="s">
        <v>2326</v>
      </c>
      <c r="J108" s="7" t="s">
        <v>2186</v>
      </c>
      <c r="K108" s="7" t="s">
        <v>2327</v>
      </c>
    </row>
    <row r="109" ht="22.5" customHeight="1">
      <c r="A109" s="12" t="str">
        <f>IFERROR(__xludf.DUMMYFUNCTION("GOOGLETRANSLATE(G109, ""de"", ""en"")"),"108")</f>
        <v>108</v>
      </c>
      <c r="B109" s="12" t="str">
        <f>IFERROR(__xludf.DUMMYFUNCTION("GOOGLETRANSLATE(H109, ""de"", ""en"")"),"A defender blocks the ball with the handlebars while stationary. Is that allowed?")</f>
        <v>A defender blocks the ball with the handlebars while stationary. Is that allowed?</v>
      </c>
      <c r="C109" s="12" t="s">
        <v>2328</v>
      </c>
      <c r="D109" s="12" t="str">
        <f>IFERROR(__xludf.DUMMYFUNCTION("GOOGLETRANSLATE(J109, ""de"", ""en"")"),"Yes, if unintentional")</f>
        <v>Yes, if unintentional</v>
      </c>
      <c r="E109" s="12" t="str">
        <f>IFERROR(__xludf.DUMMYFUNCTION("GOOGLETRANSLATE(K109, ""de"", ""en"")"),"Handlebar blockages are only permitted if the action is unintentional.")</f>
        <v>Handlebar blockages are only permitted if the action is unintentional.</v>
      </c>
      <c r="G109" s="8">
        <v>108.0</v>
      </c>
      <c r="H109" s="7" t="s">
        <v>2329</v>
      </c>
      <c r="I109" s="7" t="s">
        <v>2330</v>
      </c>
      <c r="J109" s="7" t="s">
        <v>2331</v>
      </c>
      <c r="K109" s="7" t="s">
        <v>2332</v>
      </c>
    </row>
    <row r="110" ht="22.5" customHeight="1">
      <c r="A110" s="12" t="str">
        <f>IFERROR(__xludf.DUMMYFUNCTION("GOOGLETRANSLATE(G110, ""de"", ""en"")"),"109")</f>
        <v>109</v>
      </c>
      <c r="B110" s="12" t="str">
        <f>IFERROR(__xludf.DUMMYFUNCTION("GOOGLETRANSLATE(H110, ""de"", ""en"")"),"A player delays taking a free kick beyond the time limit. What happens?")</f>
        <v>A player delays taking a free kick beyond the time limit. What happens?</v>
      </c>
      <c r="C110" s="12" t="s">
        <v>2333</v>
      </c>
      <c r="D110" s="12" t="str">
        <f>IFERROR(__xludf.DUMMYFUNCTION("GOOGLETRANSLATE(J110, ""de"", ""en"")"),"The opponent is awarded a free kick.")</f>
        <v>The opponent is awarded a free kick.</v>
      </c>
      <c r="E110" s="12" t="str">
        <f>IFERROR(__xludf.DUMMYFUNCTION("GOOGLETRANSLATE(K110, ""de"", ""en"")"),"Delaying the restart beyond the limit results in a free kick for the opposing team.")</f>
        <v>Delaying the restart beyond the limit results in a free kick for the opposing team.</v>
      </c>
      <c r="G110" s="8">
        <v>109.0</v>
      </c>
      <c r="H110" s="7" t="s">
        <v>2334</v>
      </c>
      <c r="I110" s="7" t="s">
        <v>2335</v>
      </c>
      <c r="J110" s="7" t="s">
        <v>2336</v>
      </c>
      <c r="K110" s="7" t="s">
        <v>2337</v>
      </c>
    </row>
    <row r="111" ht="22.5" customHeight="1">
      <c r="A111" s="12" t="str">
        <f>IFERROR(__xludf.DUMMYFUNCTION("GOOGLETRANSLATE(G111, ""de"", ""en"")"),"110")</f>
        <v>110</v>
      </c>
      <c r="B111" s="12" t="str">
        <f>IFERROR(__xludf.DUMMYFUNCTION("GOOGLETRANSLATE(H111, ""de"", ""en"")"),"The ball hits a spectator and returns to the field of play. What is the referee's decision?")</f>
        <v>The ball hits a spectator and returns to the field of play. What is the referee's decision?</v>
      </c>
      <c r="C111" s="12" t="s">
        <v>2338</v>
      </c>
      <c r="D111" s="12" t="str">
        <f>IFERROR(__xludf.DUMMYFUNCTION("GOOGLETRANSLATE(J111, ""de"", ""en"")"),"Drop the ball")</f>
        <v>Drop the ball</v>
      </c>
      <c r="E111" s="12" t="str">
        <f>IFERROR(__xludf.DUMMYFUNCTION("GOOGLETRANSLATE(K111, ""de"", ""en"")"),"An external disruption requires a drop ball to continue the game.")</f>
        <v>An external disruption requires a drop ball to continue the game.</v>
      </c>
      <c r="G111" s="8">
        <v>110.0</v>
      </c>
      <c r="H111" s="7" t="s">
        <v>2339</v>
      </c>
      <c r="I111" s="7" t="s">
        <v>2340</v>
      </c>
      <c r="J111" s="7" t="s">
        <v>1933</v>
      </c>
      <c r="K111" s="7" t="s">
        <v>2341</v>
      </c>
    </row>
    <row r="112" ht="22.5" customHeight="1">
      <c r="A112" s="12" t="str">
        <f>IFERROR(__xludf.DUMMYFUNCTION("GOOGLETRANSLATE(G112, ""de"", ""en"")"),"111")</f>
        <v>111</v>
      </c>
      <c r="B112" s="12" t="str">
        <f>IFERROR(__xludf.DUMMYFUNCTION("GOOGLETRANSLATE(H112, ""de"", ""en"")"),"An attacker crosses into the penalty area after a shot. What is the decision?")</f>
        <v>An attacker crosses into the penalty area after a shot. What is the decision?</v>
      </c>
      <c r="C112" s="12" t="s">
        <v>2342</v>
      </c>
      <c r="D112" s="12" t="str">
        <f>IFERROR(__xludf.DUMMYFUNCTION("GOOGLETRANSLATE(J112, ""de"", ""en"")"),"Free kick for the opponent")</f>
        <v>Free kick for the opponent</v>
      </c>
      <c r="E112" s="12" t="str">
        <f>IFERROR(__xludf.DUMMYFUNCTION("GOOGLETRANSLATE(K112, ""de"", ""en"")"),"Entering the goal area invalidates the goal.")</f>
        <v>Entering the goal area invalidates the goal.</v>
      </c>
      <c r="G112" s="8">
        <v>111.0</v>
      </c>
      <c r="H112" s="7" t="s">
        <v>2343</v>
      </c>
      <c r="I112" s="7" t="s">
        <v>2344</v>
      </c>
      <c r="J112" s="7" t="s">
        <v>1968</v>
      </c>
      <c r="K112" s="7" t="s">
        <v>2345</v>
      </c>
    </row>
    <row r="113" ht="22.5" customHeight="1">
      <c r="A113" s="12" t="str">
        <f>IFERROR(__xludf.DUMMYFUNCTION("GOOGLETRANSLATE(G113, ""de"", ""en"")"),"112")</f>
        <v>112</v>
      </c>
      <c r="B113" s="12" t="str">
        <f>IFERROR(__xludf.DUMMYFUNCTION("GOOGLETRANSLATE(H113, ""de"", ""en"")"),"During a penalty kick, the goalkeeper moves forward before the shot. What does the referee do?")</f>
        <v>During a penalty kick, the goalkeeper moves forward before the shot. What does the referee do?</v>
      </c>
      <c r="C113" s="12" t="s">
        <v>2346</v>
      </c>
      <c r="D113" s="12" t="str">
        <f>IFERROR(__xludf.DUMMYFUNCTION("GOOGLETRANSLATE(J113, ""de"", ""en"")"),"Retake the penalty kick")</f>
        <v>Retake the penalty kick</v>
      </c>
      <c r="E113" s="12" t="str">
        <f>IFERROR(__xludf.DUMMYFUNCTION("GOOGLETRANSLATE(K113, ""de"", ""en"")"),"Goalkeepers must stay on the goal line until the ball is struck.")</f>
        <v>Goalkeepers must stay on the goal line until the ball is struck.</v>
      </c>
      <c r="G113" s="8">
        <v>112.0</v>
      </c>
      <c r="H113" s="7" t="s">
        <v>2347</v>
      </c>
      <c r="I113" s="7" t="s">
        <v>2348</v>
      </c>
      <c r="J113" s="7" t="s">
        <v>2349</v>
      </c>
      <c r="K113" s="7" t="s">
        <v>2350</v>
      </c>
    </row>
    <row r="114" ht="22.5" customHeight="1">
      <c r="A114" s="12" t="str">
        <f>IFERROR(__xludf.DUMMYFUNCTION("GOOGLETRANSLATE(G114, ""de"", ""en"")"),"113")</f>
        <v>113</v>
      </c>
      <c r="B114" s="12" t="str">
        <f>IFERROR(__xludf.DUMMYFUNCTION("GOOGLETRANSLATE(H114, ""de"", ""en"")"),"A player obstructs an opponent without attempting to play the ball. What is the verdict?")</f>
        <v>A player obstructs an opponent without attempting to play the ball. What is the verdict?</v>
      </c>
      <c r="C114" s="12" t="s">
        <v>2351</v>
      </c>
      <c r="D114" s="12" t="str">
        <f>IFERROR(__xludf.DUMMYFUNCTION("GOOGLETRANSLATE(J114, ""de"", ""en"")"),"Free kick for the opponent")</f>
        <v>Free kick for the opponent</v>
      </c>
      <c r="E114" s="12" t="str">
        <f>IFERROR(__xludf.DUMMYFUNCTION("GOOGLETRANSLATE(K114, ""de"", ""en"")"),"Obstructing the ball without intent to play it will be penalized.")</f>
        <v>Obstructing the ball without intent to play it will be penalized.</v>
      </c>
      <c r="G114" s="8">
        <v>113.0</v>
      </c>
      <c r="H114" s="7" t="s">
        <v>2352</v>
      </c>
      <c r="I114" s="7" t="s">
        <v>2353</v>
      </c>
      <c r="J114" s="7" t="s">
        <v>1968</v>
      </c>
      <c r="K114" s="7" t="s">
        <v>2354</v>
      </c>
    </row>
    <row r="115" ht="22.5" customHeight="1">
      <c r="A115" s="12" t="str">
        <f>IFERROR(__xludf.DUMMYFUNCTION("GOOGLETRANSLATE(G115, ""de"", ""en"")"),"114")</f>
        <v>114</v>
      </c>
      <c r="B115" s="12" t="str">
        <f>IFERROR(__xludf.DUMMYFUNCTION("GOOGLETRANSLATE(H115, ""de"", ""en"")"),"A player deliberately lifts the ball with his wheel to gain an advantage. What does the referee decide?")</f>
        <v>A player deliberately lifts the ball with his wheel to gain an advantage. What does the referee decide?</v>
      </c>
      <c r="C115" s="12" t="s">
        <v>2355</v>
      </c>
      <c r="D115" s="12" t="str">
        <f>IFERROR(__xludf.DUMMYFUNCTION("GOOGLETRANSLATE(J115, ""de"", ""en"")"),"Free kick for the opponent")</f>
        <v>Free kick for the opponent</v>
      </c>
      <c r="E115" s="12" t="str">
        <f>IFERROR(__xludf.DUMMYFUNCTION("GOOGLETRANSLATE(K115, ""de"", ""en"")"),"Deliberately lifting the ball is not allowed.")</f>
        <v>Deliberately lifting the ball is not allowed.</v>
      </c>
      <c r="G115" s="8">
        <v>114.0</v>
      </c>
      <c r="H115" s="7" t="s">
        <v>2356</v>
      </c>
      <c r="I115" s="7" t="s">
        <v>2357</v>
      </c>
      <c r="J115" s="7" t="s">
        <v>1968</v>
      </c>
      <c r="K115" s="7" t="s">
        <v>2358</v>
      </c>
    </row>
    <row r="116" ht="22.5" customHeight="1">
      <c r="A116" s="12" t="str">
        <f>IFERROR(__xludf.DUMMYFUNCTION("GOOGLETRANSLATE(G116, ""de"", ""en"")"),"115")</f>
        <v>115</v>
      </c>
      <c r="B116" s="12" t="str">
        <f>IFERROR(__xludf.DUMMYFUNCTION("GOOGLETRANSLATE(H116, ""de"", ""en"")"),"A high-speed ball hits the back wall and bounces into the goal. What is the ruling?")</f>
        <v>A high-speed ball hits the back wall and bounces into the goal. What is the ruling?</v>
      </c>
      <c r="C116" s="12" t="s">
        <v>2359</v>
      </c>
      <c r="D116" s="12" t="str">
        <f>IFERROR(__xludf.DUMMYFUNCTION("GOOGLETRANSLATE(J116, ""de"", ""en"")"),"Goal scores")</f>
        <v>Goal scores</v>
      </c>
      <c r="E116" s="12" t="str">
        <f>IFERROR(__xludf.DUMMYFUNCTION("GOOGLETRANSLATE(K116, ""de"", ""en"")"),"Bouncing off the wall and into the goal is permitted, provided no other rules are violated.")</f>
        <v>Bouncing off the wall and into the goal is permitted, provided no other rules are violated.</v>
      </c>
      <c r="G116" s="8">
        <v>115.0</v>
      </c>
      <c r="H116" s="7" t="s">
        <v>2360</v>
      </c>
      <c r="I116" s="7" t="s">
        <v>2361</v>
      </c>
      <c r="J116" s="7" t="s">
        <v>2186</v>
      </c>
      <c r="K116" s="7" t="s">
        <v>2362</v>
      </c>
    </row>
    <row r="117" ht="22.5" customHeight="1">
      <c r="A117" s="12" t="str">
        <f>IFERROR(__xludf.DUMMYFUNCTION("GOOGLETRANSLATE(G117, ""de"", ""en"")"),"116")</f>
        <v>116</v>
      </c>
      <c r="B117" s="12" t="str">
        <f>IFERROR(__xludf.DUMMYFUNCTION("GOOGLETRANSLATE(H117, ""de"", ""en"")"),"An attacker passes the ball to his teammate, but the teammate hits the referee and changes direction. What happens next?")</f>
        <v>An attacker passes the ball to his teammate, but the teammate hits the referee and changes direction. What happens next?</v>
      </c>
      <c r="C117" s="12" t="s">
        <v>2363</v>
      </c>
      <c r="D117" s="12" t="str">
        <f>IFERROR(__xludf.DUMMYFUNCTION("GOOGLETRANSLATE(J117, ""de"", ""en"")"),"Drop the ball")</f>
        <v>Drop the ball</v>
      </c>
      <c r="E117" s="12" t="str">
        <f>IFERROR(__xludf.DUMMYFUNCTION("GOOGLETRANSLATE(K117, ""de"", ""en"")"),"If the ball hits the referee and changes direction, the game continues with a drop ball.")</f>
        <v>If the ball hits the referee and changes direction, the game continues with a drop ball.</v>
      </c>
      <c r="G117" s="8">
        <v>116.0</v>
      </c>
      <c r="H117" s="7" t="s">
        <v>2364</v>
      </c>
      <c r="I117" s="7" t="s">
        <v>2365</v>
      </c>
      <c r="J117" s="7" t="s">
        <v>1933</v>
      </c>
      <c r="K117" s="7" t="s">
        <v>2366</v>
      </c>
    </row>
    <row r="118" ht="22.5" customHeight="1">
      <c r="A118" s="12" t="str">
        <f>IFERROR(__xludf.DUMMYFUNCTION("GOOGLETRANSLATE(G118, ""de"", ""en"")"),"117")</f>
        <v>117</v>
      </c>
      <c r="B118" s="12" t="str">
        <f>IFERROR(__xludf.DUMMYFUNCTION("GOOGLETRANSLATE(H118, ""de"", ""en"")"),"The ball is deflected into the goal by a defender's wheel. What is the ruling?")</f>
        <v>The ball is deflected into the goal by a defender's wheel. What is the ruling?</v>
      </c>
      <c r="C118" s="12" t="s">
        <v>2367</v>
      </c>
      <c r="D118" s="12" t="str">
        <f>IFERROR(__xludf.DUMMYFUNCTION("GOOGLETRANSLATE(J118, ""de"", ""en"")"),"Own goal")</f>
        <v>Own goal</v>
      </c>
      <c r="E118" s="12" t="str">
        <f>IFERROR(__xludf.DUMMYFUNCTION("GOOGLETRANSLATE(K118, ""de"", ""en"")"),"Defender deflections into the goal are counted as own goals.")</f>
        <v>Defender deflections into the goal are counted as own goals.</v>
      </c>
      <c r="G118" s="8">
        <v>117.0</v>
      </c>
      <c r="H118" s="7" t="s">
        <v>2368</v>
      </c>
      <c r="I118" s="7" t="s">
        <v>2369</v>
      </c>
      <c r="J118" s="7" t="s">
        <v>2370</v>
      </c>
      <c r="K118" s="7" t="s">
        <v>2371</v>
      </c>
    </row>
    <row r="119" ht="22.5" customHeight="1">
      <c r="A119" s="12" t="str">
        <f>IFERROR(__xludf.DUMMYFUNCTION("GOOGLETRANSLATE(G119, ""de"", ""en"")"),"118")</f>
        <v>118</v>
      </c>
      <c r="B119" s="12" t="str">
        <f>IFERROR(__xludf.DUMMYFUNCTION("GOOGLETRANSLATE(H119, ""de"", ""en"")"),"A player kicks his opponent's bicycle wheel to prevent him from advancing. What is the verdict?")</f>
        <v>A player kicks his opponent's bicycle wheel to prevent him from advancing. What is the verdict?</v>
      </c>
      <c r="C119" s="12" t="s">
        <v>2351</v>
      </c>
      <c r="D119" s="12" t="str">
        <f>IFERROR(__xludf.DUMMYFUNCTION("GOOGLETRANSLATE(J119, ""de"", ""en"")"),"Free kick for the opponent")</f>
        <v>Free kick for the opponent</v>
      </c>
      <c r="E119" s="12" t="str">
        <f>IFERROR(__xludf.DUMMYFUNCTION("GOOGLETRANSLATE(K119, ""de"", ""en"")"),"Physical interventions are punished as unsportsmanlike conduct.")</f>
        <v>Physical interventions are punished as unsportsmanlike conduct.</v>
      </c>
      <c r="G119" s="8">
        <v>118.0</v>
      </c>
      <c r="H119" s="7" t="s">
        <v>2372</v>
      </c>
      <c r="I119" s="7" t="s">
        <v>2353</v>
      </c>
      <c r="J119" s="7" t="s">
        <v>1968</v>
      </c>
      <c r="K119" s="7" t="s">
        <v>2373</v>
      </c>
    </row>
    <row r="120" ht="22.5" customHeight="1">
      <c r="A120" s="12" t="str">
        <f>IFERROR(__xludf.DUMMYFUNCTION("GOOGLETRANSLATE(G120, ""de"", ""en"")"),"119")</f>
        <v>119</v>
      </c>
      <c r="B120" s="12" t="str">
        <f>IFERROR(__xludf.DUMMYFUNCTION("GOOGLETRANSLATE(H120, ""de"", ""en"")"),"A player attempts a long throw, but the ball is blocked by the wind and remains suspended in the air. What happens next?")</f>
        <v>A player attempts a long throw, but the ball is blocked by the wind and remains suspended in the air. What happens next?</v>
      </c>
      <c r="C120" s="12" t="s">
        <v>2374</v>
      </c>
      <c r="D120" s="12" t="str">
        <f>IFERROR(__xludf.DUMMYFUNCTION("GOOGLETRANSLATE(J120, ""de"", ""en"")"),"The game continues")</f>
        <v>The game continues</v>
      </c>
      <c r="E120" s="12" t="str">
        <f>IFERROR(__xludf.DUMMYFUNCTION("GOOGLETRANSLATE(K120, ""de"", ""en"")"),"Natural elements like wind are part of the game.")</f>
        <v>Natural elements like wind are part of the game.</v>
      </c>
      <c r="G120" s="8">
        <v>119.0</v>
      </c>
      <c r="H120" s="7" t="s">
        <v>2375</v>
      </c>
      <c r="I120" s="7" t="s">
        <v>2376</v>
      </c>
      <c r="J120" s="7" t="s">
        <v>1856</v>
      </c>
      <c r="K120" s="7" t="s">
        <v>2377</v>
      </c>
    </row>
    <row r="121" ht="22.5" customHeight="1">
      <c r="A121" s="12" t="str">
        <f>IFERROR(__xludf.DUMMYFUNCTION("GOOGLETRANSLATE(G121, ""de"", ""en"")"),"120")</f>
        <v>120</v>
      </c>
      <c r="B121" s="12" t="str">
        <f>IFERROR(__xludf.DUMMYFUNCTION("GOOGLETRANSLATE(H121, ""de"", ""en"")"),"A substitution takes place while the game is live. What does the referee decide?")</f>
        <v>A substitution takes place while the game is live. What does the referee decide?</v>
      </c>
      <c r="C121" s="12" t="s">
        <v>2378</v>
      </c>
      <c r="D121" s="12" t="str">
        <f>IFERROR(__xludf.DUMMYFUNCTION("GOOGLETRANSLATE(J121, ""de"", ""en"")"),"Warning for the team")</f>
        <v>Warning for the team</v>
      </c>
      <c r="E121" s="12" t="str">
        <f>IFERROR(__xludf.DUMMYFUNCTION("GOOGLETRANSLATE(K121, ""de"", ""en"")"),"Substitutions must be made during game interruptions; otherwise, warnings will be issued.")</f>
        <v>Substitutions must be made during game interruptions; otherwise, warnings will be issued.</v>
      </c>
      <c r="G121" s="8">
        <v>120.0</v>
      </c>
      <c r="H121" s="7" t="s">
        <v>2379</v>
      </c>
      <c r="I121" s="7" t="s">
        <v>2380</v>
      </c>
      <c r="J121" s="7" t="s">
        <v>2049</v>
      </c>
      <c r="K121" s="7" t="s">
        <v>2381</v>
      </c>
    </row>
    <row r="122" ht="22.5" customHeight="1">
      <c r="A122" s="12" t="str">
        <f>IFERROR(__xludf.DUMMYFUNCTION("GOOGLETRANSLATE(G122, ""de"", ""en"")"),"121")</f>
        <v>121</v>
      </c>
      <c r="B122" s="12" t="str">
        <f>IFERROR(__xludf.DUMMYFUNCTION("GOOGLETRANSLATE(H122, ""de"", ""en"")"),"The ball is hit too high and lands in the opponent's bench area. What happens next?")</f>
        <v>The ball is hit too high and lands in the opponent's bench area. What happens next?</v>
      </c>
      <c r="C122" s="12" t="s">
        <v>2382</v>
      </c>
      <c r="D122" s="12" t="str">
        <f>IFERROR(__xludf.DUMMYFUNCTION("GOOGLETRANSLATE(J122, ""de"", ""en"")"),"Throw-in for the opponent")</f>
        <v>Throw-in for the opponent</v>
      </c>
      <c r="E122" s="12" t="str">
        <f>IFERROR(__xludf.DUMMYFUNCTION("GOOGLETRANSLATE(K122, ""de"", ""en"")"),"Balls that leave the playing field are restarted with a throw-in.")</f>
        <v>Balls that leave the playing field are restarted with a throw-in.</v>
      </c>
      <c r="G122" s="8">
        <v>121.0</v>
      </c>
      <c r="H122" s="7" t="s">
        <v>2383</v>
      </c>
      <c r="I122" s="7" t="s">
        <v>2384</v>
      </c>
      <c r="J122" s="7" t="s">
        <v>1866</v>
      </c>
      <c r="K122" s="7" t="s">
        <v>2385</v>
      </c>
    </row>
    <row r="123" ht="22.5" customHeight="1">
      <c r="A123" s="12" t="str">
        <f>IFERROR(__xludf.DUMMYFUNCTION("GOOGLETRANSLATE(G123, ""de"", ""en"")"),"122")</f>
        <v>122</v>
      </c>
      <c r="B123" s="12" t="str">
        <f>IFERROR(__xludf.DUMMYFUNCTION("GOOGLETRANSLATE(H123, ""de"", ""en"")"),"A player stands in front of the goalkeeper, blocking his view while his teammate shoots. What happens?")</f>
        <v>A player stands in front of the goalkeeper, blocking his view while his teammate shoots. What happens?</v>
      </c>
      <c r="C123" s="12" t="s">
        <v>2386</v>
      </c>
      <c r="D123" s="12" t="str">
        <f>IFERROR(__xludf.DUMMYFUNCTION("GOOGLETRANSLATE(J123, ""de"", ""en"")"),"Goal not recognized")</f>
        <v>Goal not recognized</v>
      </c>
      <c r="E123" s="12" t="str">
        <f>IFERROR(__xludf.DUMMYFUNCTION("GOOGLETRANSLATE(K123, ""de"", ""en"")"),"By obstructing the goalkeeper's view, the goal is intentionally invalidated.")</f>
        <v>By obstructing the goalkeeper's view, the goal is intentionally invalidated.</v>
      </c>
      <c r="G123" s="8">
        <v>122.0</v>
      </c>
      <c r="H123" s="7" t="s">
        <v>2387</v>
      </c>
      <c r="I123" s="7" t="s">
        <v>2388</v>
      </c>
      <c r="J123" s="7" t="s">
        <v>1876</v>
      </c>
      <c r="K123" s="7" t="s">
        <v>2389</v>
      </c>
    </row>
    <row r="124" ht="22.5" customHeight="1">
      <c r="A124" s="12" t="str">
        <f>IFERROR(__xludf.DUMMYFUNCTION("GOOGLETRANSLATE(G124, ""de"", ""en"")"),"123")</f>
        <v>123</v>
      </c>
      <c r="B124" s="12" t="str">
        <f>IFERROR(__xludf.DUMMYFUNCTION("GOOGLETRANSLATE(H124, ""de"", ""en"")"),"An attacking player collides with the goalkeeper as both move towards the ball. What is the referee's instruction?")</f>
        <v>An attacking player collides with the goalkeeper as both move towards the ball. What is the referee's instruction?</v>
      </c>
      <c r="C124" s="12" t="s">
        <v>2390</v>
      </c>
      <c r="D124" s="12" t="str">
        <f>IFERROR(__xludf.DUMMYFUNCTION("GOOGLETRANSLATE(J124, ""de"", ""en"")"),"Drop the ball")</f>
        <v>Drop the ball</v>
      </c>
      <c r="E124" s="12" t="str">
        <f>IFERROR(__xludf.DUMMYFUNCTION("GOOGLETRANSLATE(K124, ""de"", ""en"")"),"Unintentional collisions are often resolved with a drop ball, unless there is a clear error.")</f>
        <v>Unintentional collisions are often resolved with a drop ball, unless there is a clear error.</v>
      </c>
      <c r="G124" s="8">
        <v>123.0</v>
      </c>
      <c r="H124" s="7" t="s">
        <v>2391</v>
      </c>
      <c r="I124" s="7" t="s">
        <v>2392</v>
      </c>
      <c r="J124" s="7" t="s">
        <v>1933</v>
      </c>
      <c r="K124" s="7" t="s">
        <v>2393</v>
      </c>
    </row>
    <row r="125" ht="22.5" customHeight="1">
      <c r="A125" s="12" t="str">
        <f>IFERROR(__xludf.DUMMYFUNCTION("GOOGLETRANSLATE(G125, ""de"", ""en"")"),"124")</f>
        <v>124</v>
      </c>
      <c r="B125" s="12" t="str">
        <f>IFERROR(__xludf.DUMMYFUNCTION("GOOGLETRANSLATE(H125, ""de"", ""en"")"),"During a penalty, the ball rolls backward due to uneven ground. What is the referee's instruction?")</f>
        <v>During a penalty, the ball rolls backward due to uneven ground. What is the referee's instruction?</v>
      </c>
      <c r="C125" s="12" t="s">
        <v>2394</v>
      </c>
      <c r="D125" s="12" t="str">
        <f>IFERROR(__xludf.DUMMYFUNCTION("GOOGLETRANSLATE(J125, ""de"", ""en"")"),"Retake the penalty kick")</f>
        <v>Retake the penalty kick</v>
      </c>
      <c r="E125" s="12" t="str">
        <f>IFERROR(__xludf.DUMMYFUNCTION("GOOGLETRANSLATE(K125, ""de"", ""en"")"),"Penalty shots must be retaken if the ball is affected by external factors such as uneven ground.")</f>
        <v>Penalty shots must be retaken if the ball is affected by external factors such as uneven ground.</v>
      </c>
      <c r="G125" s="8">
        <v>124.0</v>
      </c>
      <c r="H125" s="7" t="s">
        <v>2395</v>
      </c>
      <c r="I125" s="7" t="s">
        <v>2396</v>
      </c>
      <c r="J125" s="7" t="s">
        <v>2349</v>
      </c>
      <c r="K125" s="7" t="s">
        <v>2397</v>
      </c>
    </row>
    <row r="126" ht="22.5" customHeight="1">
      <c r="A126" s="12" t="str">
        <f>IFERROR(__xludf.DUMMYFUNCTION("GOOGLETRANSLATE(G126, ""de"", ""en"")"),"125")</f>
        <v>125</v>
      </c>
      <c r="B126" s="12" t="str">
        <f>IFERROR(__xludf.DUMMYFUNCTION("GOOGLETRANSLATE(H126, ""de"", ""en"")"),"The goalkeeper uses his handlebar to deliberately prod an opponent. What is the verdict?")</f>
        <v>The goalkeeper uses his handlebar to deliberately prod an opponent. What is the verdict?</v>
      </c>
      <c r="C126" s="12" t="s">
        <v>2398</v>
      </c>
      <c r="D126" s="12" t="str">
        <f>IFERROR(__xludf.DUMMYFUNCTION("GOOGLETRANSLATE(J126, ""de"", ""en"")"),"Free kick for the opponent")</f>
        <v>Free kick for the opponent</v>
      </c>
      <c r="E126" s="12" t="str">
        <f>IFERROR(__xludf.DUMMYFUNCTION("GOOGLETRANSLATE(K126, ""de"", ""en"")"),"Intentional physical assault is punishable.")</f>
        <v>Intentional physical assault is punishable.</v>
      </c>
      <c r="G126" s="8">
        <v>125.0</v>
      </c>
      <c r="H126" s="7" t="s">
        <v>2399</v>
      </c>
      <c r="I126" s="7" t="s">
        <v>2400</v>
      </c>
      <c r="J126" s="7" t="s">
        <v>1968</v>
      </c>
      <c r="K126" s="7" t="s">
        <v>2401</v>
      </c>
    </row>
    <row r="127" ht="22.5" customHeight="1">
      <c r="A127" s="12" t="str">
        <f>IFERROR(__xludf.DUMMYFUNCTION("GOOGLETRANSLATE(G127, ""de"", ""en"")"),"126")</f>
        <v>126</v>
      </c>
      <c r="B127" s="12" t="str">
        <f>IFERROR(__xludf.DUMMYFUNCTION("GOOGLETRANSLATE(H127, ""de"", ""en"")"),"A defender accidentally throws the ball out of bounds. How is the game restarted?")</f>
        <v>A defender accidentally throws the ball out of bounds. How is the game restarted?</v>
      </c>
      <c r="C127" s="12" t="s">
        <v>2402</v>
      </c>
      <c r="D127" s="12" t="str">
        <f>IFERROR(__xludf.DUMMYFUNCTION("GOOGLETRANSLATE(J127, ""de"", ""en"")"),"Corner kick")</f>
        <v>Corner kick</v>
      </c>
      <c r="E127" s="12" t="str">
        <f>IFERROR(__xludf.DUMMYFUNCTION("GOOGLETRANSLATE(K127, ""de"", ""en"")"),"If the defender kicks the ball over his goal line, a corner kick is awarded.")</f>
        <v>If the defender kicks the ball over his goal line, a corner kick is awarded.</v>
      </c>
      <c r="G127" s="8">
        <v>126.0</v>
      </c>
      <c r="H127" s="7" t="s">
        <v>2403</v>
      </c>
      <c r="I127" s="7" t="s">
        <v>2404</v>
      </c>
      <c r="J127" s="7" t="s">
        <v>2297</v>
      </c>
      <c r="K127" s="7" t="s">
        <v>2405</v>
      </c>
    </row>
    <row r="128" ht="22.5" customHeight="1">
      <c r="A128" s="12" t="str">
        <f>IFERROR(__xludf.DUMMYFUNCTION("GOOGLETRANSLATE(G128, ""de"", ""en"")"),"127")</f>
        <v>127</v>
      </c>
      <c r="B128" s="12" t="str">
        <f>IFERROR(__xludf.DUMMYFUNCTION("GOOGLETRANSLATE(H128, ""de"", ""en"")"),"During a counterattack, an attacking player's bicycle chain breaks. What happens?")</f>
        <v>During a counterattack, an attacking player's bicycle chain breaks. What happens?</v>
      </c>
      <c r="C128" s="12" t="s">
        <v>2406</v>
      </c>
      <c r="D128" s="12" t="str">
        <f>IFERROR(__xludf.DUMMYFUNCTION("GOOGLETRANSLATE(J128, ""de"", ""en"")"),"The game continues")</f>
        <v>The game continues</v>
      </c>
      <c r="E128" s="12" t="str">
        <f>IFERROR(__xludf.DUMMYFUNCTION("GOOGLETRANSLATE(K128, ""de"", ""en"")"),"Equipment failures are part of the game; the game doesn't stop.")</f>
        <v>Equipment failures are part of the game; the game doesn't stop.</v>
      </c>
      <c r="G128" s="8">
        <v>127.0</v>
      </c>
      <c r="H128" s="7" t="s">
        <v>2407</v>
      </c>
      <c r="I128" s="7" t="s">
        <v>2408</v>
      </c>
      <c r="J128" s="7" t="s">
        <v>1856</v>
      </c>
      <c r="K128" s="7" t="s">
        <v>2409</v>
      </c>
    </row>
    <row r="129" ht="22.5" customHeight="1">
      <c r="A129" s="12" t="str">
        <f>IFERROR(__xludf.DUMMYFUNCTION("GOOGLETRANSLATE(G129, ""de"", ""en"")"),"128")</f>
        <v>128</v>
      </c>
      <c r="B129" s="12" t="str">
        <f>IFERROR(__xludf.DUMMYFUNCTION("GOOGLETRANSLATE(H129, ""de"", ""en"")"),"The referee blows his whistle for a substitution, but the player entering the field is not ready. What happens?")</f>
        <v>The referee blows his whistle for a substitution, but the player entering the field is not ready. What happens?</v>
      </c>
      <c r="C129" s="12" t="s">
        <v>2410</v>
      </c>
      <c r="D129" s="12" t="str">
        <f>IFERROR(__xludf.DUMMYFUNCTION("GOOGLETRANSLATE(J129, ""de"", ""en"")"),"Warning for the team")</f>
        <v>Warning for the team</v>
      </c>
      <c r="E129" s="12" t="str">
        <f>IFERROR(__xludf.DUMMYFUNCTION("GOOGLETRANSLATE(K129, ""de"", ""en"")"),"Substitutions must be made promptly; delays will be punished with warnings.")</f>
        <v>Substitutions must be made promptly; delays will be punished with warnings.</v>
      </c>
      <c r="G129" s="8">
        <v>128.0</v>
      </c>
      <c r="H129" s="7" t="s">
        <v>2411</v>
      </c>
      <c r="I129" s="7" t="s">
        <v>2412</v>
      </c>
      <c r="J129" s="7" t="s">
        <v>2049</v>
      </c>
      <c r="K129" s="7" t="s">
        <v>2413</v>
      </c>
    </row>
    <row r="130" ht="22.5" customHeight="1">
      <c r="A130" s="12" t="str">
        <f>IFERROR(__xludf.DUMMYFUNCTION("GOOGLETRANSLATE(G130, ""de"", ""en"")"),"129")</f>
        <v>129</v>
      </c>
      <c r="B130" s="12" t="str">
        <f>IFERROR(__xludf.DUMMYFUNCTION("GOOGLETRANSLATE(H130, ""de"", ""en"")"),"The ball rolls to the sideline when a spectator grabs it. What does the referee do?")</f>
        <v>The ball rolls to the sideline when a spectator grabs it. What does the referee do?</v>
      </c>
      <c r="C130" s="12" t="s">
        <v>2414</v>
      </c>
      <c r="D130" s="12" t="str">
        <f>IFERROR(__xludf.DUMMYFUNCTION("GOOGLETRANSLATE(J130, ""de"", ""en"")"),"Ball fall")</f>
        <v>Ball fall</v>
      </c>
      <c r="E130" s="12" t="str">
        <f>IFERROR(__xludf.DUMMYFUNCTION("GOOGLETRANSLATE(K130, ""de"", ""en"")"),"An external disruption requires a drop ball to resume the game.")</f>
        <v>An external disruption requires a drop ball to resume the game.</v>
      </c>
      <c r="G130" s="8">
        <v>129.0</v>
      </c>
      <c r="H130" s="7" t="s">
        <v>2415</v>
      </c>
      <c r="I130" s="7" t="s">
        <v>2416</v>
      </c>
      <c r="J130" s="7" t="s">
        <v>2417</v>
      </c>
      <c r="K130" s="7" t="s">
        <v>2418</v>
      </c>
    </row>
    <row r="131" ht="22.5" customHeight="1">
      <c r="A131" s="12" t="str">
        <f>IFERROR(__xludf.DUMMYFUNCTION("GOOGLETRANSLATE(G131, ""de"", ""en"")"),"130")</f>
        <v>130</v>
      </c>
      <c r="B131" s="12" t="str">
        <f>IFERROR(__xludf.DUMMYFUNCTION("GOOGLETRANSLATE(H131, ""de"", ""en"")"),"During a defensive maneuver, a player knocks the ball out of the goal area with his helmet. What is the verdict?")</f>
        <v>During a defensive maneuver, a player knocks the ball out of the goal area with his helmet. What is the verdict?</v>
      </c>
      <c r="C131" s="12" t="s">
        <v>2419</v>
      </c>
      <c r="D131" s="12" t="str">
        <f>IFERROR(__xludf.DUMMYFUNCTION("GOOGLETRANSLATE(J131, ""de"", ""en"")"),"penalty kick")</f>
        <v>penalty kick</v>
      </c>
      <c r="E131" s="12" t="str">
        <f>IFERROR(__xludf.DUMMYFUNCTION("GOOGLETRANSLATE(K131, ""de"", ""en"")"),"Defending with a body part other than the bicycle will be punished with a penalty kick.")</f>
        <v>Defending with a body part other than the bicycle will be punished with a penalty kick.</v>
      </c>
      <c r="G131" s="8">
        <v>130.0</v>
      </c>
      <c r="H131" s="7" t="s">
        <v>2420</v>
      </c>
      <c r="I131" s="7" t="s">
        <v>2421</v>
      </c>
      <c r="J131" s="7" t="s">
        <v>2422</v>
      </c>
      <c r="K131" s="7" t="s">
        <v>2423</v>
      </c>
    </row>
    <row r="132" ht="22.5" customHeight="1">
      <c r="A132" s="12" t="str">
        <f>IFERROR(__xludf.DUMMYFUNCTION("GOOGLETRANSLATE(G132, ""de"", ""en"")"),"131")</f>
        <v>131</v>
      </c>
      <c r="B132" s="12" t="str">
        <f>IFERROR(__xludf.DUMMYFUNCTION("GOOGLETRANSLATE(H132, ""de"", ""en"")"),"A goal is scored, but the referee notices that the attacker's teammate was in the goal area. What happens?")</f>
        <v>A goal is scored, but the referee notices that the attacker's teammate was in the goal area. What happens?</v>
      </c>
      <c r="C132" s="12" t="s">
        <v>2424</v>
      </c>
      <c r="D132" s="12" t="str">
        <f>IFERROR(__xludf.DUMMYFUNCTION("GOOGLETRANSLATE(J132, ""de"", ""en"")"),"Destination not permitted")</f>
        <v>Destination not permitted</v>
      </c>
      <c r="E132" s="12" t="str">
        <f>IFERROR(__xludf.DUMMYFUNCTION("GOOGLETRANSLATE(K132, ""de"", ""en"")"),"Goals scored with teammates in the goal area are invalid.")</f>
        <v>Goals scored with teammates in the goal area are invalid.</v>
      </c>
      <c r="G132" s="8">
        <v>131.0</v>
      </c>
      <c r="H132" s="7" t="s">
        <v>2425</v>
      </c>
      <c r="I132" s="7" t="s">
        <v>2426</v>
      </c>
      <c r="J132" s="7" t="s">
        <v>2427</v>
      </c>
      <c r="K132" s="7" t="s">
        <v>2428</v>
      </c>
    </row>
    <row r="133" ht="22.5" customHeight="1">
      <c r="A133" s="12" t="str">
        <f>IFERROR(__xludf.DUMMYFUNCTION("GOOGLETRANSLATE(G133, ""de"", ""en"")"),"132")</f>
        <v>132</v>
      </c>
      <c r="B133" s="12" t="str">
        <f>IFERROR(__xludf.DUMMYFUNCTION("GOOGLETRANSLATE(H133, ""de"", ""en"")"),"The ball hits the crossbar and lands just outside the goal line. What is the decision?")</f>
        <v>The ball hits the crossbar and lands just outside the goal line. What is the decision?</v>
      </c>
      <c r="C133" s="12" t="s">
        <v>2429</v>
      </c>
      <c r="D133" s="12" t="str">
        <f>IFERROR(__xludf.DUMMYFUNCTION("GOOGLETRANSLATE(J133, ""de"", ""en"")"),"The game continues")</f>
        <v>The game continues</v>
      </c>
      <c r="E133" s="12" t="str">
        <f>IFERROR(__xludf.DUMMYFUNCTION("GOOGLETRANSLATE(K133, ""de"", ""en"")"),"The ball must completely cross the goal line for a goal to be awarded.")</f>
        <v>The ball must completely cross the goal line for a goal to be awarded.</v>
      </c>
      <c r="G133" s="8">
        <v>132.0</v>
      </c>
      <c r="H133" s="7" t="s">
        <v>2430</v>
      </c>
      <c r="I133" s="7" t="s">
        <v>2431</v>
      </c>
      <c r="J133" s="7" t="s">
        <v>1856</v>
      </c>
      <c r="K133" s="7" t="s">
        <v>2432</v>
      </c>
    </row>
    <row r="134" ht="22.5" customHeight="1">
      <c r="A134" s="12" t="str">
        <f>IFERROR(__xludf.DUMMYFUNCTION("GOOGLETRANSLATE(G134, ""de"", ""en"")"),"133")</f>
        <v>133</v>
      </c>
      <c r="B134" s="12" t="str">
        <f>IFERROR(__xludf.DUMMYFUNCTION("GOOGLETRANSLATE(H134, ""de"", ""en"")"),"A player attempts a bicycle kick to block a shot, misses, and collides with an opponent. What is the call?")</f>
        <v>A player attempts a bicycle kick to block a shot, misses, and collides with an opponent. What is the call?</v>
      </c>
      <c r="C134" s="12" t="s">
        <v>2433</v>
      </c>
      <c r="D134" s="12" t="str">
        <f>IFERROR(__xludf.DUMMYFUNCTION("GOOGLETRANSLATE(J134, ""de"", ""en"")"),"Free kick for the opponent")</f>
        <v>Free kick for the opponent</v>
      </c>
      <c r="E134" s="12" t="str">
        <f>IFERROR(__xludf.DUMMYFUNCTION("GOOGLETRANSLATE(K134, ""de"", ""en"")"),"A dangerous play that leads to contact will be punished with a free kick.")</f>
        <v>A dangerous play that leads to contact will be punished with a free kick.</v>
      </c>
      <c r="G134" s="8">
        <v>133.0</v>
      </c>
      <c r="H134" s="7" t="s">
        <v>2434</v>
      </c>
      <c r="I134" s="7" t="s">
        <v>2435</v>
      </c>
      <c r="J134" s="7" t="s">
        <v>1968</v>
      </c>
      <c r="K134" s="7" t="s">
        <v>2436</v>
      </c>
    </row>
    <row r="135" ht="22.5" customHeight="1">
      <c r="A135" s="12" t="str">
        <f>IFERROR(__xludf.DUMMYFUNCTION("GOOGLETRANSLATE(G135, ""de"", ""en"")"),"134")</f>
        <v>134</v>
      </c>
      <c r="B135" s="12" t="str">
        <f>IFERROR(__xludf.DUMMYFUNCTION("GOOGLETRANSLATE(H135, ""de"", ""en"")"),"A defender performs a backflip and deflects the ball into his own goal. What happens?")</f>
        <v>A defender performs a backflip and deflects the ball into his own goal. What happens?</v>
      </c>
      <c r="C135" s="12" t="s">
        <v>2437</v>
      </c>
      <c r="D135" s="12" t="str">
        <f>IFERROR(__xludf.DUMMYFUNCTION("GOOGLETRANSLATE(J135, ""de"", ""en"")"),"Own goal")</f>
        <v>Own goal</v>
      </c>
      <c r="E135" s="12" t="str">
        <f>IFERROR(__xludf.DUMMYFUNCTION("GOOGLETRANSLATE(K135, ""de"", ""en"")"),"Objectives that arise from the intention, or not from the actions, of the defenders are considered their own objectives.")</f>
        <v>Objectives that arise from the intention, or not from the actions, of the defenders are considered their own objectives.</v>
      </c>
      <c r="G135" s="8">
        <v>134.0</v>
      </c>
      <c r="H135" s="7" t="s">
        <v>2438</v>
      </c>
      <c r="I135" s="7" t="s">
        <v>2439</v>
      </c>
      <c r="J135" s="7" t="s">
        <v>2370</v>
      </c>
      <c r="K135" s="7" t="s">
        <v>2440</v>
      </c>
    </row>
    <row r="136" ht="22.5" customHeight="1">
      <c r="A136" s="12" t="str">
        <f>IFERROR(__xludf.DUMMYFUNCTION("GOOGLETRANSLATE(G136, ""de"", ""en"")"),"135")</f>
        <v>135</v>
      </c>
      <c r="B136" s="12" t="str">
        <f>IFERROR(__xludf.DUMMYFUNCTION("GOOGLETRANSLATE(H136, ""de"", ""en"")"),"A substitute enters the field without the referee's permission. What is the ruling?")</f>
        <v>A substitute enters the field without the referee's permission. What is the ruling?</v>
      </c>
      <c r="C136" s="12" t="s">
        <v>2441</v>
      </c>
      <c r="D136" s="12" t="str">
        <f>IFERROR(__xludf.DUMMYFUNCTION("GOOGLETRANSLATE(J136, ""de"", ""en"")"),"Free kick for the opponent")</f>
        <v>Free kick for the opponent</v>
      </c>
      <c r="E136" s="12" t="str">
        <f>IFERROR(__xludf.DUMMYFUNCTION("GOOGLETRANSLATE(K136, ""de"", ""en"")"),"Unauthorized substitutions will be punished with a free kick.")</f>
        <v>Unauthorized substitutions will be punished with a free kick.</v>
      </c>
      <c r="G136" s="8">
        <v>135.0</v>
      </c>
      <c r="H136" s="7" t="s">
        <v>2442</v>
      </c>
      <c r="I136" s="7" t="s">
        <v>2443</v>
      </c>
      <c r="J136" s="7" t="s">
        <v>1968</v>
      </c>
      <c r="K136" s="7" t="s">
        <v>2444</v>
      </c>
    </row>
    <row r="137" ht="22.5" customHeight="1">
      <c r="A137" s="12" t="str">
        <f>IFERROR(__xludf.DUMMYFUNCTION("GOOGLETRANSLATE(G137, ""de"", ""en"")"),"136")</f>
        <v>136</v>
      </c>
      <c r="B137" s="12" t="str">
        <f>IFERROR(__xludf.DUMMYFUNCTION("GOOGLETRANSLATE(H137, ""de"", ""en"")"),"The referee drops the ball to restart play, but it hits a player's bicycle before it touches the ground. What is the ruling?")</f>
        <v>The referee drops the ball to restart play, but it hits a player's bicycle before it touches the ground. What is the ruling?</v>
      </c>
      <c r="C137" s="12" t="s">
        <v>2445</v>
      </c>
      <c r="D137" s="12" t="str">
        <f>IFERROR(__xludf.DUMMYFUNCTION("GOOGLETRANSLATE(J137, ""de"", ""en"")"),"Drop Ball Recaptured")</f>
        <v>Drop Ball Recaptured</v>
      </c>
      <c r="E137" s="12" t="str">
        <f>IFERROR(__xludf.DUMMYFUNCTION("GOOGLETRANSLATE(K137, ""de"", ""en"")"),"A dropped ball must touch the ground before it is played.")</f>
        <v>A dropped ball must touch the ground before it is played.</v>
      </c>
      <c r="G137" s="8">
        <v>136.0</v>
      </c>
      <c r="H137" s="7" t="s">
        <v>2446</v>
      </c>
      <c r="I137" s="7" t="s">
        <v>2447</v>
      </c>
      <c r="J137" s="7" t="s">
        <v>2448</v>
      </c>
      <c r="K137" s="7" t="s">
        <v>2449</v>
      </c>
    </row>
    <row r="138" ht="22.5" customHeight="1">
      <c r="A138" s="12" t="str">
        <f>IFERROR(__xludf.DUMMYFUNCTION("GOOGLETRANSLATE(G138, ""de"", ""en"")"),"137")</f>
        <v>137</v>
      </c>
      <c r="B138" s="12" t="str">
        <f>IFERROR(__xludf.DUMMYFUNCTION("GOOGLETRANSLATE(H138, ""de"", ""en"")"),"A player shoots directly after halftime and the ball goes into the goal. What happens?")</f>
        <v>A player shoots directly after halftime and the ball goes into the goal. What happens?</v>
      </c>
      <c r="C138" s="12" t="s">
        <v>2450</v>
      </c>
      <c r="D138" s="12" t="str">
        <f>IFERROR(__xludf.DUMMYFUNCTION("GOOGLETRANSLATE(J138, ""de"", ""en"")"),"The goal is in sight.")</f>
        <v>The goal is in sight.</v>
      </c>
      <c r="E138" s="12" t="str">
        <f>IFERROR(__xludf.DUMMYFUNCTION("GOOGLETRANSLATE(K138, ""de"", ""en"")"),"Goals scored directly from the halfway line are valid.")</f>
        <v>Goals scored directly from the halfway line are valid.</v>
      </c>
      <c r="G138" s="8">
        <v>137.0</v>
      </c>
      <c r="H138" s="7" t="s">
        <v>2451</v>
      </c>
      <c r="I138" s="7" t="s">
        <v>2452</v>
      </c>
      <c r="J138" s="7" t="s">
        <v>2453</v>
      </c>
      <c r="K138" s="7" t="s">
        <v>2454</v>
      </c>
    </row>
    <row r="139" ht="22.5" customHeight="1">
      <c r="A139" s="12" t="str">
        <f>IFERROR(__xludf.DUMMYFUNCTION("GOOGLETRANSLATE(G139, ""de"", ""en"")"),"138")</f>
        <v>138</v>
      </c>
      <c r="B139" s="12" t="str">
        <f>IFERROR(__xludf.DUMMYFUNCTION("GOOGLETRANSLATE(H139, ""de"", ""en"")"),"The ball is completely stopped in the center circle. What does the referee do?")</f>
        <v>The ball is completely stopped in the center circle. What does the referee do?</v>
      </c>
      <c r="C139" s="12" t="s">
        <v>2455</v>
      </c>
      <c r="D139" s="12" t="str">
        <f>IFERROR(__xludf.DUMMYFUNCTION("GOOGLETRANSLATE(J139, ""de"", ""en"")"),"The game continues")</f>
        <v>The game continues</v>
      </c>
      <c r="E139" s="12" t="str">
        <f>IFERROR(__xludf.DUMMYFUNCTION("GOOGLETRANSLATE(K139, ""de"", ""en"")"),"If the ball stops moving naturally without any intervention, the game continues.")</f>
        <v>If the ball stops moving naturally without any intervention, the game continues.</v>
      </c>
      <c r="G139" s="8">
        <v>138.0</v>
      </c>
      <c r="H139" s="7" t="s">
        <v>2456</v>
      </c>
      <c r="I139" s="7" t="s">
        <v>2457</v>
      </c>
      <c r="J139" s="7" t="s">
        <v>1856</v>
      </c>
      <c r="K139" s="7" t="s">
        <v>2458</v>
      </c>
    </row>
    <row r="140" ht="22.5" customHeight="1">
      <c r="A140" s="12" t="str">
        <f>IFERROR(__xludf.DUMMYFUNCTION("GOOGLETRANSLATE(G140, ""de"", ""en"")"),"139")</f>
        <v>139</v>
      </c>
      <c r="B140" s="12" t="str">
        <f>IFERROR(__xludf.DUMMYFUNCTION("GOOGLETRANSLATE(H140, ""de"", ""en"")"),"An attacker hits the ball and it misses the referee before entering the goal. What is the call?")</f>
        <v>An attacker hits the ball and it misses the referee before entering the goal. What is the call?</v>
      </c>
      <c r="C140" s="12" t="s">
        <v>2459</v>
      </c>
      <c r="D140" s="12" t="str">
        <f>IFERROR(__xludf.DUMMYFUNCTION("GOOGLETRANSLATE(J140, ""de"", ""en"")"),"The goal is in sight.")</f>
        <v>The goal is in sight.</v>
      </c>
      <c r="E140" s="12" t="str">
        <f>IFERROR(__xludf.DUMMYFUNCTION("GOOGLETRANSLATE(K140, ""de"", ""en"")"),"A goal is scored when the ball passes the referee, unless the interference changes.")</f>
        <v>A goal is scored when the ball passes the referee, unless the interference changes.</v>
      </c>
      <c r="G140" s="8">
        <v>139.0</v>
      </c>
      <c r="H140" s="7" t="s">
        <v>2460</v>
      </c>
      <c r="I140" s="7" t="s">
        <v>2461</v>
      </c>
      <c r="J140" s="7" t="s">
        <v>2453</v>
      </c>
      <c r="K140" s="7" t="s">
        <v>2462</v>
      </c>
    </row>
    <row r="141" ht="22.5" customHeight="1">
      <c r="A141" s="12" t="str">
        <f>IFERROR(__xludf.DUMMYFUNCTION("GOOGLETRANSLATE(G141, ""de"", ""en"")"),"140")</f>
        <v>140</v>
      </c>
      <c r="B141" s="12" t="str">
        <f>IFERROR(__xludf.DUMMYFUNCTION("GOOGLETRANSLATE(H141, ""de"", ""en"")"),"A goalkeeper catches the ball between their wheels and refuses to release it. What is the decision?")</f>
        <v>A goalkeeper catches the ball between their wheels and refuses to release it. What is the decision?</v>
      </c>
      <c r="C141" s="12" t="s">
        <v>2463</v>
      </c>
      <c r="D141" s="12" t="str">
        <f>IFERROR(__xludf.DUMMYFUNCTION("GOOGLETRANSLATE(J141, ""de"", ""en"")"),"Free kick for the opponent")</f>
        <v>Free kick for the opponent</v>
      </c>
      <c r="E141" s="12" t="str">
        <f>IFERROR(__xludf.DUMMYFUNCTION("GOOGLETRANSLATE(K141, ""de"", ""en"")"),"Holding onto the ball is deliberately punished with a free kick.")</f>
        <v>Holding onto the ball is deliberately punished with a free kick.</v>
      </c>
      <c r="G141" s="8">
        <v>140.0</v>
      </c>
      <c r="H141" s="7" t="s">
        <v>2464</v>
      </c>
      <c r="I141" s="7" t="s">
        <v>2465</v>
      </c>
      <c r="J141" s="7" t="s">
        <v>1968</v>
      </c>
      <c r="K141" s="7" t="s">
        <v>2466</v>
      </c>
    </row>
    <row r="142" ht="22.5" customHeight="1">
      <c r="A142" s="12" t="str">
        <f>IFERROR(__xludf.DUMMYFUNCTION("GOOGLETRANSLATE(G142, ""de"", ""en"")"),"141")</f>
        <v>141</v>
      </c>
      <c r="B142" s="12" t="str">
        <f>IFERROR(__xludf.DUMMYFUNCTION("GOOGLETRANSLATE(H142, ""de"", ""en"")"),"A player attempts to block a pass but accidentally kicks an opponent's wheel. What is the verdict?")</f>
        <v>A player attempts to block a pass but accidentally kicks an opponent's wheel. What is the verdict?</v>
      </c>
      <c r="C142" s="12" t="s">
        <v>2312</v>
      </c>
      <c r="D142" s="12" t="str">
        <f>IFERROR(__xludf.DUMMYFUNCTION("GOOGLETRANSLATE(J142, ""de"", ""en"")"),"Free kick for the opponent")</f>
        <v>Free kick for the opponent</v>
      </c>
      <c r="E142" s="12" t="str">
        <f>IFERROR(__xludf.DUMMYFUNCTION("GOOGLETRANSLATE(K142, ""de"", ""en"")"),"Accidental physical interference will be punished with a free kick.")</f>
        <v>Accidental physical interference will be punished with a free kick.</v>
      </c>
      <c r="G142" s="8">
        <v>141.0</v>
      </c>
      <c r="H142" s="7" t="s">
        <v>2467</v>
      </c>
      <c r="I142" s="7" t="s">
        <v>2314</v>
      </c>
      <c r="J142" s="7" t="s">
        <v>1968</v>
      </c>
      <c r="K142" s="7" t="s">
        <v>2468</v>
      </c>
    </row>
    <row r="143" ht="22.5" customHeight="1">
      <c r="A143" s="12" t="str">
        <f>IFERROR(__xludf.DUMMYFUNCTION("GOOGLETRANSLATE(G143, ""de"", ""en"")"),"142")</f>
        <v>142</v>
      </c>
      <c r="B143" s="12" t="str">
        <f>IFERROR(__xludf.DUMMYFUNCTION("GOOGLETRANSLATE(H143, ""de"", ""en"")"),"The ball hits the referee and deflects towards the goal. What does the referee decide?")</f>
        <v>The ball hits the referee and deflects towards the goal. What does the referee decide?</v>
      </c>
      <c r="C143" s="12" t="s">
        <v>2469</v>
      </c>
      <c r="D143" s="12" t="str">
        <f>IFERROR(__xludf.DUMMYFUNCTION("GOOGLETRANSLATE(J143, ""de"", ""en"")"),"Destination not permitted")</f>
        <v>Destination not permitted</v>
      </c>
      <c r="E143" s="12" t="str">
        <f>IFERROR(__xludf.DUMMYFUNCTION("GOOGLETRANSLATE(K143, ""de"", ""en"")"),"A goal cannot be awarded if it is directly attributable to referee interference.")</f>
        <v>A goal cannot be awarded if it is directly attributable to referee interference.</v>
      </c>
      <c r="G143" s="8">
        <v>142.0</v>
      </c>
      <c r="H143" s="7" t="s">
        <v>2470</v>
      </c>
      <c r="I143" s="7" t="s">
        <v>2471</v>
      </c>
      <c r="J143" s="7" t="s">
        <v>2427</v>
      </c>
      <c r="K143" s="7" t="s">
        <v>2472</v>
      </c>
    </row>
    <row r="144" ht="22.5" customHeight="1">
      <c r="A144" s="12" t="str">
        <f>IFERROR(__xludf.DUMMYFUNCTION("GOOGLETRANSLATE(G144, ""de"", ""en"")"),"143")</f>
        <v>143</v>
      </c>
      <c r="B144" s="12" t="str">
        <f>IFERROR(__xludf.DUMMYFUNCTION("GOOGLETRANSLATE(H144, ""de"", ""en"")"),"A defender stands stationary in the goal area to block shots. Is that allowed?")</f>
        <v>A defender stands stationary in the goal area to block shots. Is that allowed?</v>
      </c>
      <c r="C144" s="12" t="s">
        <v>2473</v>
      </c>
      <c r="D144" s="12" t="str">
        <f>IFERROR(__xludf.DUMMYFUNCTION("GOOGLETRANSLATE(J144, ""de"", ""en"")"),"Yes, if no rules have been broken.")</f>
        <v>Yes, if no rules have been broken.</v>
      </c>
      <c r="E144" s="12" t="str">
        <f>IFERROR(__xludf.DUMMYFUNCTION("GOOGLETRANSLATE(K144, ""de"", ""en"")"),"Standing in goal without playing the ball is not a foul unless it disrupts the gameplay.")</f>
        <v>Standing in goal without playing the ball is not a foul unless it disrupts the gameplay.</v>
      </c>
      <c r="G144" s="8">
        <v>143.0</v>
      </c>
      <c r="H144" s="7" t="s">
        <v>2474</v>
      </c>
      <c r="I144" s="7" t="s">
        <v>2475</v>
      </c>
      <c r="J144" s="7" t="s">
        <v>2476</v>
      </c>
      <c r="K144" s="7" t="s">
        <v>2477</v>
      </c>
    </row>
    <row r="145" ht="22.5" customHeight="1">
      <c r="A145" s="12" t="str">
        <f>IFERROR(__xludf.DUMMYFUNCTION("GOOGLETRANSLATE(G145, ""de"", ""en"")"),"144")</f>
        <v>144</v>
      </c>
      <c r="B145" s="12" t="str">
        <f>IFERROR(__xludf.DUMMYFUNCTION("GOOGLETRANSLATE(H145, ""de"", ""en"")"),"The ball bounces off both goalposts before leaving the field. What is the restart?")</f>
        <v>The ball bounces off both goalposts before leaving the field. What is the restart?</v>
      </c>
      <c r="C145" s="12" t="s">
        <v>2478</v>
      </c>
      <c r="D145" s="12" t="str">
        <f>IFERROR(__xludf.DUMMYFUNCTION("GOOGLETRANSLATE(J145, ""de"", ""en"")"),"goal kick")</f>
        <v>goal kick</v>
      </c>
      <c r="E145" s="12" t="str">
        <f>IFERROR(__xludf.DUMMYFUNCTION("GOOGLETRANSLATE(K145, ""de"", ""en"")"),"A goal kick is awarded if the ball leaves the field without a goal being scored.")</f>
        <v>A goal kick is awarded if the ball leaves the field without a goal being scored.</v>
      </c>
      <c r="G145" s="8">
        <v>144.0</v>
      </c>
      <c r="H145" s="7" t="s">
        <v>2479</v>
      </c>
      <c r="I145" s="7" t="s">
        <v>2480</v>
      </c>
      <c r="J145" s="7" t="s">
        <v>2250</v>
      </c>
      <c r="K145" s="7" t="s">
        <v>2481</v>
      </c>
    </row>
    <row r="146" ht="22.5" customHeight="1">
      <c r="A146" s="12" t="str">
        <f>IFERROR(__xludf.DUMMYFUNCTION("GOOGLETRANSLATE(G146, ""de"", ""en"")"),"145")</f>
        <v>145</v>
      </c>
      <c r="B146" s="12" t="str">
        <f>IFERROR(__xludf.DUMMYFUNCTION("GOOGLETRANSLATE(H146, ""de"", ""en"")"),"A player dribbles the ball across the pitch using a wheel. Is that legal?")</f>
        <v>A player dribbles the ball across the pitch using a wheel. Is that legal?</v>
      </c>
      <c r="C146" s="12" t="s">
        <v>2482</v>
      </c>
      <c r="D146" s="12" t="str">
        <f>IFERROR(__xludf.DUMMYFUNCTION("GOOGLETRANSLATE(J146, ""de"", ""en"")"),"Yes, if properly controlled")</f>
        <v>Yes, if properly controlled</v>
      </c>
      <c r="E146" s="12" t="str">
        <f>IFERROR(__xludf.DUMMYFUNCTION("GOOGLETRANSLATE(K146, ""de"", ""en"")"),"Dribbling with a bicycle wheel is allowed if it is done without fouls.")</f>
        <v>Dribbling with a bicycle wheel is allowed if it is done without fouls.</v>
      </c>
      <c r="G146" s="8">
        <v>145.0</v>
      </c>
      <c r="H146" s="7" t="s">
        <v>2483</v>
      </c>
      <c r="I146" s="7" t="s">
        <v>2484</v>
      </c>
      <c r="J146" s="7" t="s">
        <v>2485</v>
      </c>
      <c r="K146" s="7" t="s">
        <v>2486</v>
      </c>
    </row>
    <row r="147" ht="22.5" customHeight="1">
      <c r="A147" s="12" t="str">
        <f>IFERROR(__xludf.DUMMYFUNCTION("GOOGLETRANSLATE(G147, ""de"", ""en"")"),"146")</f>
        <v>146</v>
      </c>
      <c r="B147" s="12" t="str">
        <f>IFERROR(__xludf.DUMMYFUNCTION("GOOGLETRANSLATE(H147, ""de"", ""en"")"),"The referee notices that a player deliberately deflates the ball. What is the referee's decision?")</f>
        <v>The referee notices that a player deliberately deflates the ball. What is the referee's decision?</v>
      </c>
      <c r="C147" s="12" t="s">
        <v>2487</v>
      </c>
      <c r="D147" s="12" t="str">
        <f>IFERROR(__xludf.DUMMYFUNCTION("GOOGLETRANSLATE(J147, ""de"", ""en"")"),"Immediate ejection")</f>
        <v>Immediate ejection</v>
      </c>
      <c r="E147" s="12" t="str">
        <f>IFERROR(__xludf.DUMMYFUNCTION("GOOGLETRANSLATE(K147, ""de"", ""en"")"),"Tampering with devices will result in immediate ejection.")</f>
        <v>Tampering with devices will result in immediate ejection.</v>
      </c>
      <c r="G147" s="8">
        <v>146.0</v>
      </c>
      <c r="H147" s="7" t="s">
        <v>2488</v>
      </c>
      <c r="I147" s="7" t="s">
        <v>2489</v>
      </c>
      <c r="J147" s="7" t="s">
        <v>2490</v>
      </c>
      <c r="K147" s="7" t="s">
        <v>2491</v>
      </c>
    </row>
    <row r="148" ht="22.5" customHeight="1">
      <c r="A148" s="12" t="str">
        <f>IFERROR(__xludf.DUMMYFUNCTION("GOOGLETRANSLATE(G148, ""de"", ""en"")"),"147")</f>
        <v>147</v>
      </c>
      <c r="B148" s="12" t="str">
        <f>IFERROR(__xludf.DUMMYFUNCTION("GOOGLETRANSLATE(H148, ""de"", ""en"")"),"An attacker takes a shot, causing the goalkeeper to react. Is that legal?")</f>
        <v>An attacker takes a shot, causing the goalkeeper to react. Is that legal?</v>
      </c>
      <c r="C148" s="12" t="s">
        <v>2492</v>
      </c>
      <c r="D148" s="12" t="str">
        <f>IFERROR(__xludf.DUMMYFUNCTION("GOOGLETRANSLATE(J148, ""de"", ""en"")"),"Yes, it is a valid strategy.")</f>
        <v>Yes, it is a valid strategy.</v>
      </c>
      <c r="E148" s="12" t="str">
        <f>IFERROR(__xludf.DUMMYFUNCTION("GOOGLETRANSLATE(K148, ""de"", ""en"")"),"FINS and incorrect movements are allowed as long as they do not violate any rules.")</f>
        <v>FINS and incorrect movements are allowed as long as they do not violate any rules.</v>
      </c>
      <c r="G148" s="8">
        <v>147.0</v>
      </c>
      <c r="H148" s="7" t="s">
        <v>2493</v>
      </c>
      <c r="I148" s="7" t="s">
        <v>2494</v>
      </c>
      <c r="J148" s="7" t="s">
        <v>2495</v>
      </c>
      <c r="K148" s="7" t="s">
        <v>2496</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5" width="37.63"/>
    <col customWidth="1" min="7" max="7" width="18.25"/>
    <col customWidth="1" min="8" max="8" width="37.63"/>
    <col customWidth="1" min="9" max="10" width="34.5"/>
    <col customWidth="1" min="11" max="11" width="37.63"/>
  </cols>
  <sheetData>
    <row r="1" ht="22.5" customHeight="1">
      <c r="A1" s="11" t="s">
        <v>0</v>
      </c>
      <c r="B1" s="11" t="s">
        <v>2497</v>
      </c>
      <c r="C1" s="11" t="s">
        <v>2</v>
      </c>
      <c r="D1" s="11" t="s">
        <v>3</v>
      </c>
      <c r="E1" s="11" t="s">
        <v>4</v>
      </c>
      <c r="G1" s="3" t="s">
        <v>5</v>
      </c>
      <c r="H1" s="4" t="s">
        <v>6</v>
      </c>
      <c r="I1" s="4" t="s">
        <v>9</v>
      </c>
      <c r="J1" s="4" t="s">
        <v>7</v>
      </c>
      <c r="K1" s="4" t="s">
        <v>8</v>
      </c>
    </row>
    <row r="2" ht="22.5" customHeight="1">
      <c r="A2" s="12" t="str">
        <f>IFERROR(__xludf.DUMMYFUNCTION("GOOGLETRANSLATE(G2, ""de"", ""en"")"),"1")</f>
        <v>1</v>
      </c>
      <c r="B2" s="12" t="str">
        <f>IFERROR(__xludf.DUMMYFUNCTION("GOOGLETRANSLATE(H2, ""de"", ""en"")"),"You are approaching a large tree and your ball is rolling towards it. What do you do to avoid hitting it?")</f>
        <v>You are approaching a large tree and your ball is rolling towards it. What do you do to avoid hitting it?</v>
      </c>
      <c r="C2" s="12" t="s">
        <v>2498</v>
      </c>
      <c r="D2" s="12" t="str">
        <f>IFERROR(__xludf.DUMMYFUNCTION("GOOGLETRANSLATE(J2, ""de"", ""en"")"),"Use a side throw to get around him.")</f>
        <v>Use a side throw to get around him.</v>
      </c>
      <c r="E2" s="12" t="str">
        <f>IFERROR(__xludf.DUMMYFUNCTION("GOOGLETRANSLATE(K2, ""de"", ""en"")"),"A sideways throw allows you to easily navigate around the tree.")</f>
        <v>A sideways throw allows you to easily navigate around the tree.</v>
      </c>
      <c r="G2" s="8">
        <v>1.0</v>
      </c>
      <c r="H2" s="7" t="s">
        <v>2499</v>
      </c>
      <c r="I2" s="7" t="s">
        <v>2500</v>
      </c>
      <c r="J2" s="7" t="s">
        <v>2501</v>
      </c>
      <c r="K2" s="7" t="s">
        <v>2502</v>
      </c>
    </row>
    <row r="3" ht="22.5" customHeight="1">
      <c r="A3" s="12" t="str">
        <f>IFERROR(__xludf.DUMMYFUNCTION("GOOGLETRANSLATE(G3, ""de"", ""en"")"),"2")</f>
        <v>2</v>
      </c>
      <c r="B3" s="12" t="str">
        <f>IFERROR(__xludf.DUMMYFUNCTION("GOOGLETRANSLATE(H3, ""de"", ""en"")"),"The terrain is uneven with many small stones. How do you prevent your ball from bouncing too much?")</f>
        <v>The terrain is uneven with many small stones. How do you prevent your ball from bouncing too much?</v>
      </c>
      <c r="C3" s="12" t="s">
        <v>2503</v>
      </c>
      <c r="D3" s="12" t="str">
        <f>IFERROR(__xludf.DUMMYFUNCTION("GOOGLETRANSLATE(J3, ""de"", ""en"")"),"Use a gentle throw to maintain control.")</f>
        <v>Use a gentle throw to maintain control.</v>
      </c>
      <c r="E3" s="12" t="str">
        <f>IFERROR(__xludf.DUMMYFUNCTION("GOOGLETRANSLATE(K3, ""de"", ""en"")"),"A gentle throw prevents the ball from bouncing too much on uneven terrain.")</f>
        <v>A gentle throw prevents the ball from bouncing too much on uneven terrain.</v>
      </c>
      <c r="G3" s="8">
        <v>2.0</v>
      </c>
      <c r="H3" s="7" t="s">
        <v>2504</v>
      </c>
      <c r="I3" s="7" t="s">
        <v>2505</v>
      </c>
      <c r="J3" s="7" t="s">
        <v>2506</v>
      </c>
      <c r="K3" s="7" t="s">
        <v>2507</v>
      </c>
    </row>
    <row r="4" ht="22.5" customHeight="1">
      <c r="A4" s="12" t="str">
        <f>IFERROR(__xludf.DUMMYFUNCTION("GOOGLETRANSLATE(G4, ""de"", ""en"")"),"3")</f>
        <v>3</v>
      </c>
      <c r="B4" s="12" t="str">
        <f>IFERROR(__xludf.DUMMYFUNCTION("GOOGLETRANSLATE(H4, ""de"", ""en"")"),"The ground is soft and muddy, and your ball is sinking. How do you adjust your approach?")</f>
        <v>The ground is soft and muddy, and your ball is sinking. How do you adjust your approach?</v>
      </c>
      <c r="C4" s="12" t="s">
        <v>2508</v>
      </c>
      <c r="D4" s="12" t="str">
        <f>IFERROR(__xludf.DUMMYFUNCTION("GOOGLETRANSLATE(J4, ""de"", ""en"")"),"Slow down to prevent sinking.")</f>
        <v>Slow down to prevent sinking.</v>
      </c>
      <c r="E4" s="12" t="str">
        <f>IFERROR(__xludf.DUMMYFUNCTION("GOOGLETRANSLATE(K4, ""de"", ""en"")"),"The slowing down prevents the ball from sinking further into soft, muddy ground.")</f>
        <v>The slowing down prevents the ball from sinking further into soft, muddy ground.</v>
      </c>
      <c r="G4" s="8">
        <v>3.0</v>
      </c>
      <c r="H4" s="7" t="s">
        <v>2509</v>
      </c>
      <c r="I4" s="7" t="s">
        <v>2510</v>
      </c>
      <c r="J4" s="7" t="s">
        <v>2511</v>
      </c>
      <c r="K4" s="7" t="s">
        <v>2512</v>
      </c>
    </row>
    <row r="5" ht="22.5" customHeight="1">
      <c r="A5" s="12" t="str">
        <f>IFERROR(__xludf.DUMMYFUNCTION("GOOGLETRANSLATE(G5, ""de"", ""en"")"),"4")</f>
        <v>4</v>
      </c>
      <c r="B5" s="12" t="str">
        <f>IFERROR(__xludf.DUMMYFUNCTION("GOOGLETRANSLATE(H5, ""de"", ""en"")"),"You're going uphill and your ball is losing speed. How do you maintain your momentum?")</f>
        <v>You're going uphill and your ball is losing speed. How do you maintain your momentum?</v>
      </c>
      <c r="C5" s="12" t="s">
        <v>2513</v>
      </c>
      <c r="D5" s="12" t="str">
        <f>IFERROR(__xludf.DUMMYFUNCTION("GOOGLETRANSLATE(J5, ""de"", ""en"")"),"Throw harder to climb it.")</f>
        <v>Throw harder to climb it.</v>
      </c>
      <c r="E5" s="12" t="str">
        <f>IFERROR(__xludf.DUMMYFUNCTION("GOOGLETRANSLATE(K5, ""de"", ""en"")"),"Throwing harder helps to maintain momentum and ensure the ball can overcome the incline.")</f>
        <v>Throwing harder helps to maintain momentum and ensure the ball can overcome the incline.</v>
      </c>
      <c r="G5" s="8">
        <v>4.0</v>
      </c>
      <c r="H5" s="7" t="s">
        <v>2514</v>
      </c>
      <c r="I5" s="7" t="s">
        <v>2515</v>
      </c>
      <c r="J5" s="7" t="s">
        <v>2516</v>
      </c>
      <c r="K5" s="7" t="s">
        <v>2517</v>
      </c>
    </row>
    <row r="6" ht="22.5" customHeight="1">
      <c r="A6" s="12" t="str">
        <f>IFERROR(__xludf.DUMMYFUNCTION("GOOGLETRANSLATE(G6, ""de"", ""en"")"),"5")</f>
        <v>5</v>
      </c>
      <c r="B6" s="12" t="str">
        <f>IFERROR(__xludf.DUMMYFUNCTION("GOOGLETRANSLATE(H6, ""de"", ""en"")"),"Your ball veers off course and heads towards a ditch. What do you do to avoid it?")</f>
        <v>Your ball veers off course and heads towards a ditch. What do you do to avoid it?</v>
      </c>
      <c r="C6" s="12" t="s">
        <v>2518</v>
      </c>
      <c r="D6" s="12" t="str">
        <f>IFERROR(__xludf.DUMMYFUNCTION("GOOGLETRANSLATE(J6, ""de"", ""en"")"),"Use a side shot to avoid the trench.")</f>
        <v>Use a side shot to avoid the trench.</v>
      </c>
      <c r="E6" s="12" t="str">
        <f>IFERROR(__xludf.DUMMYFUNCTION("GOOGLETRANSLATE(K6, ""de"", ""en"")"),"A side shot helps to get the ball away from the ditch and back on course.")</f>
        <v>A side shot helps to get the ball away from the ditch and back on course.</v>
      </c>
      <c r="G6" s="8">
        <v>5.0</v>
      </c>
      <c r="H6" s="7" t="s">
        <v>2519</v>
      </c>
      <c r="I6" s="7" t="s">
        <v>2520</v>
      </c>
      <c r="J6" s="7" t="s">
        <v>2521</v>
      </c>
      <c r="K6" s="7" t="s">
        <v>2522</v>
      </c>
    </row>
    <row r="7" ht="22.5" customHeight="1">
      <c r="A7" s="12" t="str">
        <f>IFERROR(__xludf.DUMMYFUNCTION("GOOGLETRANSLATE(G7, ""de"", ""en"")"),"6")</f>
        <v>6</v>
      </c>
      <c r="B7" s="12" t="str">
        <f>IFERROR(__xludf.DUMMYFUNCTION("GOOGLETRANSLATE(H7, ""de"", ""en"")"),"The track is narrow and precision is key. How do you adjust your throw to stay on course?")</f>
        <v>The track is narrow and precision is key. How do you adjust your throw to stay on course?</v>
      </c>
      <c r="C7" s="12" t="s">
        <v>2523</v>
      </c>
      <c r="D7" s="12" t="str">
        <f>IFERROR(__xludf.DUMMYFUNCTION("GOOGLETRANSLATE(J7, ""de"", ""en"")"),"Throw accurately and aim carefully.")</f>
        <v>Throw accurately and aim carefully.</v>
      </c>
      <c r="E7" s="12" t="str">
        <f>IFERROR(__xludf.DUMMYFUNCTION("GOOGLETRANSLATE(K7, ""de"", ""en"")"),"On narrow stretches of track, precision is crucial to avoid deviating from the course.")</f>
        <v>On narrow stretches of track, precision is crucial to avoid deviating from the course.</v>
      </c>
      <c r="G7" s="8">
        <v>6.0</v>
      </c>
      <c r="H7" s="7" t="s">
        <v>2524</v>
      </c>
      <c r="I7" s="7" t="s">
        <v>2525</v>
      </c>
      <c r="J7" s="7" t="s">
        <v>2526</v>
      </c>
      <c r="K7" s="7" t="s">
        <v>2527</v>
      </c>
    </row>
    <row r="8" ht="22.5" customHeight="1">
      <c r="A8" s="12" t="str">
        <f>IFERROR(__xludf.DUMMYFUNCTION("GOOGLETRANSLATE(G8, ""de"", ""en"")"),"7")</f>
        <v>7</v>
      </c>
      <c r="B8" s="12" t="str">
        <f>IFERROR(__xludf.DUMMYFUNCTION("GOOGLETRANSLATE(H8, ""de"", ""en"")"),"You are approaching a rocky area and your ball could hit a large rock. How do you handle that?")</f>
        <v>You are approaching a rocky area and your ball could hit a large rock. How do you handle that?</v>
      </c>
      <c r="C8" s="12" t="s">
        <v>2528</v>
      </c>
      <c r="D8" s="12" t="str">
        <f>IFERROR(__xludf.DUMMYFUNCTION("GOOGLETRANSLATE(J8, ""de"", ""en"")"),"Use a side shot to go around.")</f>
        <v>Use a side shot to go around.</v>
      </c>
      <c r="E8" s="12" t="str">
        <f>IFERROR(__xludf.DUMMYFUNCTION("GOOGLETRANSLATE(K8, ""de"", ""en"")"),"A sideways shot helps you avoid hitting large stones and move through rocky terrain.")</f>
        <v>A sideways shot helps you avoid hitting large stones and move through rocky terrain.</v>
      </c>
      <c r="G8" s="8">
        <v>7.0</v>
      </c>
      <c r="H8" s="7" t="s">
        <v>2529</v>
      </c>
      <c r="I8" s="7" t="s">
        <v>2530</v>
      </c>
      <c r="J8" s="7" t="s">
        <v>2531</v>
      </c>
      <c r="K8" s="7" t="s">
        <v>2532</v>
      </c>
    </row>
    <row r="9" ht="22.5" customHeight="1">
      <c r="A9" s="12" t="str">
        <f>IFERROR(__xludf.DUMMYFUNCTION("GOOGLETRANSLATE(G9, ""de"", ""en"")"),"8")</f>
        <v>8</v>
      </c>
      <c r="B9" s="12" t="str">
        <f>IFERROR(__xludf.DUMMYFUNCTION("GOOGLETRANSLATE(H9, ""de"", ""en"")"),"The area ahead is windy, and your ball is being affected by the wind. What do you do to control your throw?")</f>
        <v>The area ahead is windy, and your ball is being affected by the wind. What do you do to control your throw?</v>
      </c>
      <c r="C9" s="12" t="s">
        <v>2533</v>
      </c>
      <c r="D9" s="12" t="str">
        <f>IFERROR(__xludf.DUMMYFUNCTION("GOOGLETRANSLATE(J9, ""de"", ""en"")"),"Adjust your target to compensate for the wind.")</f>
        <v>Adjust your target to compensate for the wind.</v>
      </c>
      <c r="E9" s="12" t="str">
        <f>IFERROR(__xludf.DUMMYFUNCTION("GOOGLETRANSLATE(K9, ""de"", ""en"")"),"By adjusting your aim, you can counteract the influence of the wind on the ball's trajectory.")</f>
        <v>By adjusting your aim, you can counteract the influence of the wind on the ball's trajectory.</v>
      </c>
      <c r="G9" s="8">
        <v>8.0</v>
      </c>
      <c r="H9" s="7" t="s">
        <v>2534</v>
      </c>
      <c r="I9" s="7" t="s">
        <v>2535</v>
      </c>
      <c r="J9" s="7" t="s">
        <v>1353</v>
      </c>
      <c r="K9" s="7" t="s">
        <v>2536</v>
      </c>
    </row>
    <row r="10" ht="22.5" customHeight="1">
      <c r="A10" s="12" t="str">
        <f>IFERROR(__xludf.DUMMYFUNCTION("GOOGLETRANSLATE(G10, ""de"", ""en"")"),"9")</f>
        <v>9</v>
      </c>
      <c r="B10" s="12" t="str">
        <f>IFERROR(__xludf.DUMMYFUNCTION("GOOGLETRANSLATE(H10, ""de"", ""en"")"),"Your ball is rolling towards a patch of sand. What is your best approach to avoid losing speed?")</f>
        <v>Your ball is rolling towards a patch of sand. What is your best approach to avoid losing speed?</v>
      </c>
      <c r="C10" s="12" t="s">
        <v>2537</v>
      </c>
      <c r="D10" s="12" t="str">
        <f>IFERROR(__xludf.DUMMYFUNCTION("GOOGLETRANSLATE(J10, ""de"", ""en"")"),"Glide across the sand with a side shot.")</f>
        <v>Glide across the sand with a side shot.</v>
      </c>
      <c r="E10" s="12" t="str">
        <f>IFERROR(__xludf.DUMMYFUNCTION("GOOGLETRANSLATE(K10, ""de"", ""en"")"),"A side shot helps you maintain momentum and control over sandy terrain.")</f>
        <v>A side shot helps you maintain momentum and control over sandy terrain.</v>
      </c>
      <c r="G10" s="8">
        <v>9.0</v>
      </c>
      <c r="H10" s="7" t="s">
        <v>2538</v>
      </c>
      <c r="I10" s="7" t="s">
        <v>2539</v>
      </c>
      <c r="J10" s="7" t="s">
        <v>2540</v>
      </c>
      <c r="K10" s="7" t="s">
        <v>2541</v>
      </c>
    </row>
    <row r="11" ht="22.5" customHeight="1">
      <c r="A11" s="12" t="str">
        <f>IFERROR(__xludf.DUMMYFUNCTION("GOOGLETRANSLATE(G11, ""de"", ""en"")"),"10")</f>
        <v>10</v>
      </c>
      <c r="B11" s="12" t="str">
        <f>IFERROR(__xludf.DUMMYFUNCTION("GOOGLETRANSLATE(H11, ""de"", ""en"")"),"Your ball is near a steep slope and you need to stop it from rolling too far. What do you do?")</f>
        <v>Your ball is near a steep slope and you need to stop it from rolling too far. What do you do?</v>
      </c>
      <c r="C11" s="12" t="s">
        <v>2542</v>
      </c>
      <c r="D11" s="12" t="str">
        <f>IFERROR(__xludf.DUMMYFUNCTION("GOOGLETRANSLATE(J11, ""de"", ""en"")"),"Throw it more gently to slow it down.")</f>
        <v>Throw it more gently to slow it down.</v>
      </c>
      <c r="E11" s="12" t="str">
        <f>IFERROR(__xludf.DUMMYFUNCTION("GOOGLETRANSLATE(K11, ""de"", ""en"")"),"A softer throw helps to control the speed of the ball and prevent it from rolling too far down the slope.")</f>
        <v>A softer throw helps to control the speed of the ball and prevent it from rolling too far down the slope.</v>
      </c>
      <c r="G11" s="8">
        <v>10.0</v>
      </c>
      <c r="H11" s="7" t="s">
        <v>2543</v>
      </c>
      <c r="I11" s="7" t="s">
        <v>2544</v>
      </c>
      <c r="J11" s="7" t="s">
        <v>2545</v>
      </c>
      <c r="K11" s="7" t="s">
        <v>2546</v>
      </c>
    </row>
    <row r="12" ht="22.5" customHeight="1">
      <c r="A12" s="12" t="str">
        <f>IFERROR(__xludf.DUMMYFUNCTION("GOOGLETRANSLATE(G12, ""de"", ""en"")"),"11")</f>
        <v>11</v>
      </c>
      <c r="B12" s="12" t="str">
        <f>IFERROR(__xludf.DUMMYFUNCTION("GOOGLETRANSLATE(H12, ""de"", ""en"")"),"You are about to throw onto a wet surface. How do you ensure you don't slip or lose control?")</f>
        <v>You are about to throw onto a wet surface. How do you ensure you don't slip or lose control?</v>
      </c>
      <c r="C12" s="12" t="s">
        <v>2547</v>
      </c>
      <c r="D12" s="12" t="str">
        <f>IFERROR(__xludf.DUMMYFUNCTION("GOOGLETRANSLATE(J12, ""de"", ""en"")"),"Throw more slowly to prevent slipping.")</f>
        <v>Throw more slowly to prevent slipping.</v>
      </c>
      <c r="E12" s="12" t="str">
        <f>IFERROR(__xludf.DUMMYFUNCTION("GOOGLETRANSLATE(K12, ""de"", ""en"")"),"The slowing down prevents the ball from slipping on wet surfaces.")</f>
        <v>The slowing down prevents the ball from slipping on wet surfaces.</v>
      </c>
      <c r="G12" s="8">
        <v>11.0</v>
      </c>
      <c r="H12" s="7" t="s">
        <v>2548</v>
      </c>
      <c r="I12" s="7" t="s">
        <v>2549</v>
      </c>
      <c r="J12" s="7" t="s">
        <v>2550</v>
      </c>
      <c r="K12" s="7" t="s">
        <v>2551</v>
      </c>
    </row>
    <row r="13" ht="22.5" customHeight="1">
      <c r="A13" s="12" t="str">
        <f>IFERROR(__xludf.DUMMYFUNCTION("GOOGLETRANSLATE(G13, ""de"", ""en"")"),"12")</f>
        <v>12</v>
      </c>
      <c r="B13" s="12" t="str">
        <f>IFERROR(__xludf.DUMMYFUNCTION("GOOGLETRANSLATE(H13, ""de"", ""en"")"),"Your ball is heading towards a sharp curve. What is your strategy to make the turn smooth?")</f>
        <v>Your ball is heading towards a sharp curve. What is your strategy to make the turn smooth?</v>
      </c>
      <c r="C13" s="12" t="s">
        <v>2552</v>
      </c>
      <c r="D13" s="12" t="str">
        <f>IFERROR(__xludf.DUMMYFUNCTION("GOOGLETRANSLATE(J13, ""de"", ""en"")"),"Use a side shot to bypass it.")</f>
        <v>Use a side shot to bypass it.</v>
      </c>
      <c r="E13" s="12" t="str">
        <f>IFERROR(__xludf.DUMMYFUNCTION("GOOGLETRANSLATE(K13, ""de"", ""en"")"),"A sidecut helps you to steer sharp turns without losing control.")</f>
        <v>A sidecut helps you to steer sharp turns without losing control.</v>
      </c>
      <c r="G13" s="8">
        <v>12.0</v>
      </c>
      <c r="H13" s="7" t="s">
        <v>2553</v>
      </c>
      <c r="I13" s="7" t="s">
        <v>2554</v>
      </c>
      <c r="J13" s="7" t="s">
        <v>2555</v>
      </c>
      <c r="K13" s="7" t="s">
        <v>2556</v>
      </c>
    </row>
    <row r="14" ht="22.5" customHeight="1">
      <c r="A14" s="12" t="str">
        <f>IFERROR(__xludf.DUMMYFUNCTION("GOOGLETRANSLATE(G14, ""de"", ""en"")"),"13")</f>
        <v>13</v>
      </c>
      <c r="B14" s="12" t="str">
        <f>IFERROR(__xludf.DUMMYFUNCTION("GOOGLETRANSLATE(H14, ""de"", ""en"")"),"You're on a long stretch and your ball is slowing down. How do you manage to gain momentum?")</f>
        <v>You're on a long stretch and your ball is slowing down. How do you manage to gain momentum?</v>
      </c>
      <c r="C14" s="12" t="s">
        <v>2557</v>
      </c>
      <c r="D14" s="12" t="str">
        <f>IFERROR(__xludf.DUMMYFUNCTION("GOOGLETRANSLATE(J14, ""de"", ""en"")"),"Throw faster to get faster")</f>
        <v>Throw faster to get faster</v>
      </c>
      <c r="E14" s="12" t="str">
        <f>IFERROR(__xludf.DUMMYFUNCTION("GOOGLETRANSLATE(K14, ""de"", ""en"")"),"By increasing your speed, you can finish the long distance with more momentum.")</f>
        <v>By increasing your speed, you can finish the long distance with more momentum.</v>
      </c>
      <c r="G14" s="8">
        <v>13.0</v>
      </c>
      <c r="H14" s="7" t="s">
        <v>2558</v>
      </c>
      <c r="I14" s="7" t="s">
        <v>2559</v>
      </c>
      <c r="J14" s="7" t="s">
        <v>2560</v>
      </c>
      <c r="K14" s="7" t="s">
        <v>2561</v>
      </c>
    </row>
    <row r="15" ht="22.5" customHeight="1">
      <c r="A15" s="12" t="str">
        <f>IFERROR(__xludf.DUMMYFUNCTION("GOOGLETRANSLATE(G15, ""de"", ""en"")"),"14")</f>
        <v>14</v>
      </c>
      <c r="B15" s="12" t="str">
        <f>IFERROR(__xludf.DUMMYFUNCTION("GOOGLETRANSLATE(H15, ""de"", ""en"")"),"Your opponent's ball is close to you and you need to avoid obstructing them. What do you do?")</f>
        <v>Your opponent's ball is close to you and you need to avoid obstructing them. What do you do?</v>
      </c>
      <c r="C15" s="12" t="s">
        <v>2562</v>
      </c>
      <c r="D15" s="12" t="str">
        <f>IFERROR(__xludf.DUMMYFUNCTION("GOOGLETRANSLATE(J15, ""de"", ""en"")"),"Aim for a side shot to avoid interference.")</f>
        <v>Aim for a side shot to avoid interference.</v>
      </c>
      <c r="E15" s="12" t="str">
        <f>IFERROR(__xludf.DUMMYFUNCTION("GOOGLETRANSLATE(K15, ""de"", ""en"")"),"A side shot helps to avoid interfering with the opponent's ball and ensures that the ball stays on track.")</f>
        <v>A side shot helps to avoid interfering with the opponent's ball and ensures that the ball stays on track.</v>
      </c>
      <c r="G15" s="8">
        <v>14.0</v>
      </c>
      <c r="H15" s="7" t="s">
        <v>2563</v>
      </c>
      <c r="I15" s="7" t="s">
        <v>2564</v>
      </c>
      <c r="J15" s="7" t="s">
        <v>2565</v>
      </c>
      <c r="K15" s="7" t="s">
        <v>2566</v>
      </c>
    </row>
    <row r="16" ht="22.5" customHeight="1">
      <c r="A16" s="12" t="str">
        <f>IFERROR(__xludf.DUMMYFUNCTION("GOOGLETRANSLATE(G16, ""de"", ""en"")"),"15")</f>
        <v>15</v>
      </c>
      <c r="B16" s="12" t="str">
        <f>IFERROR(__xludf.DUMMYFUNCTION("GOOGLETRANSLATE(H16, ""de"", ""en"")"),"You are nearing the end of the route, and the path is rocky. How will you manage the difficult terrain?")</f>
        <v>You are nearing the end of the route, and the path is rocky. How will you manage the difficult terrain?</v>
      </c>
      <c r="C16" s="12" t="s">
        <v>2567</v>
      </c>
      <c r="D16" s="12" t="str">
        <f>IFERROR(__xludf.DUMMYFUNCTION("GOOGLETRANSLATE(J16, ""de"", ""en"")"),"Use a side shot to smooth the path.")</f>
        <v>Use a side shot to smooth the path.</v>
      </c>
      <c r="E16" s="12" t="str">
        <f>IFERROR(__xludf.DUMMYFUNCTION("GOOGLETRANSLATE(K16, ""de"", ""en"")"),"A side shot helps to navigate rocky terrain without losing control.")</f>
        <v>A side shot helps to navigate rocky terrain without losing control.</v>
      </c>
      <c r="G16" s="8">
        <v>15.0</v>
      </c>
      <c r="H16" s="7" t="s">
        <v>2568</v>
      </c>
      <c r="I16" s="7" t="s">
        <v>2569</v>
      </c>
      <c r="J16" s="7" t="s">
        <v>2570</v>
      </c>
      <c r="K16" s="7" t="s">
        <v>2571</v>
      </c>
    </row>
    <row r="17" ht="22.5" customHeight="1">
      <c r="A17" s="12" t="str">
        <f>IFERROR(__xludf.DUMMYFUNCTION("GOOGLETRANSLATE(G17, ""de"", ""en"")"),"16")</f>
        <v>16</v>
      </c>
      <c r="B17" s="12" t="str">
        <f>IFERROR(__xludf.DUMMYFUNCTION("GOOGLETRANSLATE(H17, ""de"", ""en"")"),"The ground is firm, but the track is winding. How do you prevent the ball from going off course?")</f>
        <v>The ground is firm, but the track is winding. How do you prevent the ball from going off course?</v>
      </c>
      <c r="C17" s="12" t="s">
        <v>2572</v>
      </c>
      <c r="D17" s="12" t="str">
        <f>IFERROR(__xludf.DUMMYFUNCTION("GOOGLETRANSLATE(J17, ""de"", ""en"")"),"Throw with precision to stay on the right path.")</f>
        <v>Throw with precision to stay on the right path.</v>
      </c>
      <c r="E17" s="12" t="str">
        <f>IFERROR(__xludf.DUMMYFUNCTION("GOOGLETRANSLATE(K17, ""de"", ""en"")"),"On winding roads, precision is crucial to avoid deviating from the course.")</f>
        <v>On winding roads, precision is crucial to avoid deviating from the course.</v>
      </c>
      <c r="G17" s="8">
        <v>16.0</v>
      </c>
      <c r="H17" s="7" t="s">
        <v>2573</v>
      </c>
      <c r="I17" s="7" t="s">
        <v>2574</v>
      </c>
      <c r="J17" s="7" t="s">
        <v>2575</v>
      </c>
      <c r="K17" s="7" t="s">
        <v>2576</v>
      </c>
    </row>
    <row r="18" ht="22.5" customHeight="1">
      <c r="A18" s="12" t="str">
        <f>IFERROR(__xludf.DUMMYFUNCTION("GOOGLETRANSLATE(G18, ""de"", ""en"")"),"17")</f>
        <v>17</v>
      </c>
      <c r="B18" s="12" t="str">
        <f>IFERROR(__xludf.DUMMYFUNCTION("GOOGLETRANSLATE(H18, ""de"", ""en"")"),"Your ball is about to hit an uneven surface in the path. How do you handle that?")</f>
        <v>Your ball is about to hit an uneven surface in the path. How do you handle that?</v>
      </c>
      <c r="C18" s="12" t="s">
        <v>2577</v>
      </c>
      <c r="D18" s="12" t="str">
        <f>IFERROR(__xludf.DUMMYFUNCTION("GOOGLETRANSLATE(J18, ""de"", ""en"")"),"Use a side shot to glide over it.")</f>
        <v>Use a side shot to glide over it.</v>
      </c>
      <c r="E18" s="12" t="str">
        <f>IFERROR(__xludf.DUMMYFUNCTION("GOOGLETRANSLATE(K18, ""de"", ""en"")"),"A sideways hit helps you avoid disturbances from impacts and keep the ball steady.")</f>
        <v>A sideways hit helps you avoid disturbances from impacts and keep the ball steady.</v>
      </c>
      <c r="G18" s="8">
        <v>17.0</v>
      </c>
      <c r="H18" s="7" t="s">
        <v>2578</v>
      </c>
      <c r="I18" s="7" t="s">
        <v>2579</v>
      </c>
      <c r="J18" s="7" t="s">
        <v>2580</v>
      </c>
      <c r="K18" s="7" t="s">
        <v>2581</v>
      </c>
    </row>
    <row r="19" ht="22.5" customHeight="1">
      <c r="A19" s="12" t="str">
        <f>IFERROR(__xludf.DUMMYFUNCTION("GOOGLETRANSLATE(G19, ""de"", ""en"")"),"18")</f>
        <v>18</v>
      </c>
      <c r="B19" s="12" t="str">
        <f>IFERROR(__xludf.DUMMYFUNCTION("GOOGLETRANSLATE(H19, ""de"", ""en"")"),"The terrain is uneven and your ball is losing control. How do you regain it?")</f>
        <v>The terrain is uneven and your ball is losing control. How do you regain it?</v>
      </c>
      <c r="C19" s="12" t="s">
        <v>2582</v>
      </c>
      <c r="D19" s="12" t="str">
        <f>IFERROR(__xludf.DUMMYFUNCTION("GOOGLETRANSLATE(J19, ""de"", ""en"")"),"Use a side throw to adjust the path.")</f>
        <v>Use a side throw to adjust the path.</v>
      </c>
      <c r="E19" s="12" t="str">
        <f>IFERROR(__xludf.DUMMYFUNCTION("GOOGLETRANSLATE(K19, ""de"", ""en"")"),"A side throw helps to regain control over uneven terrain.")</f>
        <v>A side throw helps to regain control over uneven terrain.</v>
      </c>
      <c r="G19" s="8">
        <v>18.0</v>
      </c>
      <c r="H19" s="7" t="s">
        <v>2583</v>
      </c>
      <c r="I19" s="7" t="s">
        <v>2584</v>
      </c>
      <c r="J19" s="7" t="s">
        <v>2585</v>
      </c>
      <c r="K19" s="7" t="s">
        <v>2586</v>
      </c>
    </row>
    <row r="20" ht="22.5" customHeight="1">
      <c r="A20" s="12" t="str">
        <f>IFERROR(__xludf.DUMMYFUNCTION("GOOGLETRANSLATE(G20, ""de"", ""en"")"),"19")</f>
        <v>19</v>
      </c>
      <c r="B20" s="12" t="str">
        <f>IFERROR(__xludf.DUMMYFUNCTION("GOOGLETRANSLATE(H20, ""de"", ""en"")"),"You're approaching a bend and the track is narrow. How do you handle the turn?")</f>
        <v>You're approaching a bend and the track is narrow. How do you handle the turn?</v>
      </c>
      <c r="C20" s="12" t="s">
        <v>2587</v>
      </c>
      <c r="D20" s="12" t="str">
        <f>IFERROR(__xludf.DUMMYFUNCTION("GOOGLETRANSLATE(J20, ""de"", ""en"")"),"Use a side view for smooth navigation.")</f>
        <v>Use a side view for smooth navigation.</v>
      </c>
      <c r="E20" s="12" t="str">
        <f>IFERROR(__xludf.DUMMYFUNCTION("GOOGLETRANSLATE(K20, ""de"", ""en"")"),"A sideways kick helps you to handle sharp turns on narrow roads.")</f>
        <v>A sideways kick helps you to handle sharp turns on narrow roads.</v>
      </c>
      <c r="G20" s="8">
        <v>19.0</v>
      </c>
      <c r="H20" s="7" t="s">
        <v>2588</v>
      </c>
      <c r="I20" s="7" t="s">
        <v>2589</v>
      </c>
      <c r="J20" s="7" t="s">
        <v>2590</v>
      </c>
      <c r="K20" s="7" t="s">
        <v>2591</v>
      </c>
    </row>
    <row r="21" ht="22.5" customHeight="1">
      <c r="A21" s="12" t="str">
        <f>IFERROR(__xludf.DUMMYFUNCTION("GOOGLETRANSLATE(G21, ""de"", ""en"")"),"20")</f>
        <v>20</v>
      </c>
      <c r="B21" s="12" t="str">
        <f>IFERROR(__xludf.DUMMYFUNCTION("GOOGLETRANSLATE(H21, ""de"", ""en"")"),"The weather is cold and your ball is rolling slower than usual. How do you compensate for that?")</f>
        <v>The weather is cold and your ball is rolling slower than usual. How do you compensate for that?</v>
      </c>
      <c r="C21" s="12" t="s">
        <v>2592</v>
      </c>
      <c r="D21" s="12" t="str">
        <f>IFERROR(__xludf.DUMMYFUNCTION("GOOGLETRANSLATE(J21, ""de"", ""en"")"),"Throw harder to maintain momentum.")</f>
        <v>Throw harder to maintain momentum.</v>
      </c>
      <c r="E21" s="12" t="str">
        <f>IFERROR(__xludf.DUMMYFUNCTION("GOOGLETRANSLATE(K21, ""de"", ""en"")"),"Increased strength helps overcome the effects of cold, slower conditions.")</f>
        <v>Increased strength helps overcome the effects of cold, slower conditions.</v>
      </c>
      <c r="G21" s="8">
        <v>20.0</v>
      </c>
      <c r="H21" s="7" t="s">
        <v>2593</v>
      </c>
      <c r="I21" s="7" t="s">
        <v>2594</v>
      </c>
      <c r="J21" s="7" t="s">
        <v>2595</v>
      </c>
      <c r="K21" s="7" t="s">
        <v>2596</v>
      </c>
    </row>
    <row r="22" ht="22.5" customHeight="1">
      <c r="A22" s="12" t="str">
        <f>IFERROR(__xludf.DUMMYFUNCTION("GOOGLETRANSLATE(G22, ""de"", ""en"")"),"21")</f>
        <v>21</v>
      </c>
      <c r="B22" s="12" t="str">
        <f>IFERROR(__xludf.DUMMYFUNCTION("GOOGLETRANSLATE(H22, ""de"", ""en"")"),"You're dealing with a bumpy track with a lot of gravel. What's your best strategy to maintain control?")</f>
        <v>You're dealing with a bumpy track with a lot of gravel. What's your best strategy to maintain control?</v>
      </c>
      <c r="C22" s="12" t="s">
        <v>2597</v>
      </c>
      <c r="D22" s="12" t="str">
        <f>IFERROR(__xludf.DUMMYFUNCTION("GOOGLETRANSLATE(J22, ""de"", ""en"")"),"Use a side shot to smooth the path.")</f>
        <v>Use a side shot to smooth the path.</v>
      </c>
      <c r="E22" s="12" t="str">
        <f>IFERROR(__xludf.DUMMYFUNCTION("GOOGLETRANSLATE(K22, ""de"", ""en"")"),"A sideways kick helps to navigate through gravel without losing control or speed.")</f>
        <v>A sideways kick helps to navigate through gravel without losing control or speed.</v>
      </c>
      <c r="G22" s="8">
        <v>21.0</v>
      </c>
      <c r="H22" s="7" t="s">
        <v>2598</v>
      </c>
      <c r="I22" s="7" t="s">
        <v>2599</v>
      </c>
      <c r="J22" s="7" t="s">
        <v>2570</v>
      </c>
      <c r="K22" s="7" t="s">
        <v>2600</v>
      </c>
    </row>
    <row r="23" ht="22.5" customHeight="1">
      <c r="A23" s="12" t="str">
        <f>IFERROR(__xludf.DUMMYFUNCTION("GOOGLETRANSLATE(G23, ""de"", ""en"")"),"22")</f>
        <v>22</v>
      </c>
      <c r="B23" s="12" t="str">
        <f>IFERROR(__xludf.DUMMYFUNCTION("GOOGLETRANSLATE(H23, ""de"", ""en"")"),"Your ball is heading towards a deep puddle. What do you do to avoid it?")</f>
        <v>Your ball is heading towards a deep puddle. What do you do to avoid it?</v>
      </c>
      <c r="C23" s="12" t="s">
        <v>2601</v>
      </c>
      <c r="D23" s="12" t="str">
        <f>IFERROR(__xludf.DUMMYFUNCTION("GOOGLETRANSLATE(J23, ""de"", ""en"")"),"Use a side throw to glide past it.")</f>
        <v>Use a side throw to glide past it.</v>
      </c>
      <c r="E23" s="12" t="str">
        <f>IFERROR(__xludf.DUMMYFUNCTION("GOOGLETRANSLATE(K23, ""de"", ""en"")"),"A side throw helps the ball to avoid obstacles such as puddles.")</f>
        <v>A side throw helps the ball to avoid obstacles such as puddles.</v>
      </c>
      <c r="G23" s="8">
        <v>22.0</v>
      </c>
      <c r="H23" s="7" t="s">
        <v>2602</v>
      </c>
      <c r="I23" s="7" t="s">
        <v>2603</v>
      </c>
      <c r="J23" s="7" t="s">
        <v>2604</v>
      </c>
      <c r="K23" s="7" t="s">
        <v>2605</v>
      </c>
    </row>
    <row r="24" ht="22.5" customHeight="1">
      <c r="A24" s="12" t="str">
        <f>IFERROR(__xludf.DUMMYFUNCTION("GOOGLETRANSLATE(G24, ""de"", ""en"")"),"23")</f>
        <v>23</v>
      </c>
      <c r="B24" s="12" t="str">
        <f>IFERROR(__xludf.DUMMYFUNCTION("GOOGLETRANSLATE(H24, ""de"", ""en"")"),"The terrain is slightly sloped and your ball is turning sideways. How do you correct it?")</f>
        <v>The terrain is slightly sloped and your ball is turning sideways. How do you correct it?</v>
      </c>
      <c r="C24" s="12" t="s">
        <v>2606</v>
      </c>
      <c r="D24" s="12" t="str">
        <f>IFERROR(__xludf.DUMMYFUNCTION("GOOGLETRANSLATE(J24, ""de"", ""en"")"),"Use a side shot to deflect it back.")</f>
        <v>Use a side shot to deflect it back.</v>
      </c>
      <c r="E24" s="12" t="str">
        <f>IFERROR(__xludf.DUMMYFUNCTION("GOOGLETRANSLATE(K24, ""de"", ""en"")"),"A side shot helps to steer the ball back in the intended direction.")</f>
        <v>A side shot helps to steer the ball back in the intended direction.</v>
      </c>
      <c r="G24" s="8">
        <v>23.0</v>
      </c>
      <c r="H24" s="7" t="s">
        <v>2607</v>
      </c>
      <c r="I24" s="7" t="s">
        <v>2608</v>
      </c>
      <c r="J24" s="7" t="s">
        <v>2609</v>
      </c>
      <c r="K24" s="7" t="s">
        <v>2610</v>
      </c>
    </row>
    <row r="25" ht="22.5" customHeight="1">
      <c r="A25" s="12" t="str">
        <f>IFERROR(__xludf.DUMMYFUNCTION("GOOGLETRANSLATE(G25, ""de"", ""en"")"),"24")</f>
        <v>24</v>
      </c>
      <c r="B25" s="12" t="str">
        <f>IFERROR(__xludf.DUMMYFUNCTION("GOOGLETRANSLATE(H25, ""de"", ""en"")"),"Your ball is approaching a slight incline. What's the best way to maintain speed while climbing?")</f>
        <v>Your ball is approaching a slight incline. What's the best way to maintain speed while climbing?</v>
      </c>
      <c r="C25" s="12" t="s">
        <v>2611</v>
      </c>
      <c r="D25" s="12" t="str">
        <f>IFERROR(__xludf.DUMMYFUNCTION("GOOGLETRANSLATE(J25, ""de"", ""en"")"),"Throw harder to maintain momentum.")</f>
        <v>Throw harder to maintain momentum.</v>
      </c>
      <c r="E25" s="12" t="str">
        <f>IFERROR(__xludf.DUMMYFUNCTION("GOOGLETRANSLATE(K25, ""de"", ""en"")"),"A stronger throw helps to maintain momentum when climbing small inclines.")</f>
        <v>A stronger throw helps to maintain momentum when climbing small inclines.</v>
      </c>
      <c r="G25" s="8">
        <v>24.0</v>
      </c>
      <c r="H25" s="7" t="s">
        <v>2612</v>
      </c>
      <c r="I25" s="7" t="s">
        <v>2613</v>
      </c>
      <c r="J25" s="7" t="s">
        <v>2595</v>
      </c>
      <c r="K25" s="7" t="s">
        <v>2614</v>
      </c>
    </row>
    <row r="26" ht="22.5" customHeight="1">
      <c r="A26" s="12" t="str">
        <f>IFERROR(__xludf.DUMMYFUNCTION("GOOGLETRANSLATE(G26, ""de"", ""en"")"),"25")</f>
        <v>25</v>
      </c>
      <c r="B26" s="12" t="str">
        <f>IFERROR(__xludf.DUMMYFUNCTION("GOOGLETRANSLATE(H26, ""de"", ""en"")"),"You're almost at the finish line, but a difficult phase lies ahead. What's your strategy?")</f>
        <v>You're almost at the finish line, but a difficult phase lies ahead. What's your strategy?</v>
      </c>
      <c r="C26" s="12" t="s">
        <v>2615</v>
      </c>
      <c r="D26" s="12" t="str">
        <f>IFERROR(__xludf.DUMMYFUNCTION("GOOGLETRANSLATE(J26, ""de"", ""en"")"),"Drive slower to navigate the rough terrain.")</f>
        <v>Drive slower to navigate the rough terrain.</v>
      </c>
      <c r="E26" s="12" t="str">
        <f>IFERROR(__xludf.DUMMYFUNCTION("GOOGLETRANSLATE(K26, ""de"", ""en"")"),"The slowing down ensures better control over uneven areas near the target.")</f>
        <v>The slowing down ensures better control over uneven areas near the target.</v>
      </c>
      <c r="G26" s="8">
        <v>25.0</v>
      </c>
      <c r="H26" s="7" t="s">
        <v>2616</v>
      </c>
      <c r="I26" s="7" t="s">
        <v>2617</v>
      </c>
      <c r="J26" s="7" t="s">
        <v>2618</v>
      </c>
      <c r="K26" s="7" t="s">
        <v>2619</v>
      </c>
    </row>
    <row r="27" ht="22.5" customHeight="1">
      <c r="A27" s="12" t="str">
        <f>IFERROR(__xludf.DUMMYFUNCTION("GOOGLETRANSLATE(G27, ""de"", ""en"")"),"26")</f>
        <v>26</v>
      </c>
      <c r="B27" s="12" t="str">
        <f>IFERROR(__xludf.DUMMYFUNCTION("GOOGLETRANSLATE(H27, ""de"", ""en"")"),"The course ahead is straight, but your ball is losing momentum. What do you do to finish strong?")</f>
        <v>The course ahead is straight, but your ball is losing momentum. What do you do to finish strong?</v>
      </c>
      <c r="C27" s="12" t="s">
        <v>2620</v>
      </c>
      <c r="D27" s="12" t="str">
        <f>IFERROR(__xludf.DUMMYFUNCTION("GOOGLETRANSLATE(J27, ""de"", ""en"")"),"Throw faster to get faster")</f>
        <v>Throw faster to get faster</v>
      </c>
      <c r="E27" s="12" t="str">
        <f>IFERROR(__xludf.DUMMYFUNCTION("GOOGLETRANSLATE(K27, ""de"", ""en"")"),"Speed ​​helps to propel the ball towards the goal with more force.")</f>
        <v>Speed ​​helps to propel the ball towards the goal with more force.</v>
      </c>
      <c r="G27" s="8">
        <v>26.0</v>
      </c>
      <c r="H27" s="7" t="s">
        <v>2621</v>
      </c>
      <c r="I27" s="7" t="s">
        <v>2622</v>
      </c>
      <c r="J27" s="7" t="s">
        <v>2560</v>
      </c>
      <c r="K27" s="7" t="s">
        <v>2623</v>
      </c>
    </row>
    <row r="28" ht="22.5" customHeight="1">
      <c r="A28" s="12" t="str">
        <f>IFERROR(__xludf.DUMMYFUNCTION("GOOGLETRANSLATE(G28, ""de"", ""en"")"),"27")</f>
        <v>27</v>
      </c>
      <c r="B28" s="12" t="str">
        <f>IFERROR(__xludf.DUMMYFUNCTION("GOOGLETRANSLATE(H28, ""de"", ""en"")"),"You're facing a sharp bend. How do you manage your throw to maintain control?")</f>
        <v>You're facing a sharp bend. How do you manage your throw to maintain control?</v>
      </c>
      <c r="C28" s="12" t="s">
        <v>2624</v>
      </c>
      <c r="D28" s="12" t="str">
        <f>IFERROR(__xludf.DUMMYFUNCTION("GOOGLETRANSLATE(J28, ""de"", ""en"")"),"Use a side shot to bypass it.")</f>
        <v>Use a side shot to bypass it.</v>
      </c>
      <c r="E28" s="12" t="str">
        <f>IFERROR(__xludf.DUMMYFUNCTION("GOOGLETRANSLATE(K28, ""de"", ""en"")"),"A sideways shot allows you to precisely navigate sharp curves.")</f>
        <v>A sideways shot allows you to precisely navigate sharp curves.</v>
      </c>
      <c r="G28" s="8">
        <v>27.0</v>
      </c>
      <c r="H28" s="7" t="s">
        <v>2625</v>
      </c>
      <c r="I28" s="7" t="s">
        <v>2626</v>
      </c>
      <c r="J28" s="7" t="s">
        <v>2555</v>
      </c>
      <c r="K28" s="7" t="s">
        <v>2627</v>
      </c>
    </row>
    <row r="29" ht="22.5" customHeight="1">
      <c r="A29" s="12" t="str">
        <f>IFERROR(__xludf.DUMMYFUNCTION("GOOGLETRANSLATE(G29, ""de"", ""en"")"),"28")</f>
        <v>28</v>
      </c>
      <c r="B29" s="12" t="str">
        <f>IFERROR(__xludf.DUMMYFUNCTION("GOOGLETRANSLATE(H29, ""de"", ""en"")"),"Your ball is rolling downhill, but you're afraid it's going too far. How do you control it?")</f>
        <v>Your ball is rolling downhill, but you're afraid it's going too far. How do you control it?</v>
      </c>
      <c r="C29" s="12" t="s">
        <v>2628</v>
      </c>
      <c r="D29" s="12" t="str">
        <f>IFERROR(__xludf.DUMMYFUNCTION("GOOGLETRANSLATE(J29, ""de"", ""en"")"),"Slow down to reduce momentum.")</f>
        <v>Slow down to reduce momentum.</v>
      </c>
      <c r="E29" s="12" t="str">
        <f>IFERROR(__xludf.DUMMYFUNCTION("GOOGLETRANSLATE(K29, ""de"", ""en"")"),"The slowing down prevents the ball from rolling too far down the hill.")</f>
        <v>The slowing down prevents the ball from rolling too far down the hill.</v>
      </c>
      <c r="G29" s="8">
        <v>28.0</v>
      </c>
      <c r="H29" s="7" t="s">
        <v>2629</v>
      </c>
      <c r="I29" s="7" t="s">
        <v>2630</v>
      </c>
      <c r="J29" s="7" t="s">
        <v>2631</v>
      </c>
      <c r="K29" s="7" t="s">
        <v>2632</v>
      </c>
    </row>
    <row r="30" ht="22.5" customHeight="1">
      <c r="A30" s="12" t="str">
        <f>IFERROR(__xludf.DUMMYFUNCTION("GOOGLETRANSLATE(G30, ""de"", ""en"")"),"29")</f>
        <v>29</v>
      </c>
      <c r="B30" s="12" t="str">
        <f>IFERROR(__xludf.DUMMYFUNCTION("GOOGLETRANSLATE(H30, ""de"", ""en"")"),"The road ahead is very narrow and has many curves. How do you deal with the limited space?")</f>
        <v>The road ahead is very narrow and has many curves. How do you deal with the limited space?</v>
      </c>
      <c r="C30" s="12" t="s">
        <v>2633</v>
      </c>
      <c r="D30" s="12" t="str">
        <f>IFERROR(__xludf.DUMMYFUNCTION("GOOGLETRANSLATE(J30, ""de"", ""en"")"),"Use a side view to navigate.")</f>
        <v>Use a side view to navigate.</v>
      </c>
      <c r="E30" s="12" t="str">
        <f>IFERROR(__xludf.DUMMYFUNCTION("GOOGLETRANSLATE(K30, ""de"", ""en"")"),"A sideways shot helps with navigation in tight spaces and sharp turns.")</f>
        <v>A sideways shot helps with navigation in tight spaces and sharp turns.</v>
      </c>
      <c r="G30" s="8">
        <v>29.0</v>
      </c>
      <c r="H30" s="7" t="s">
        <v>2634</v>
      </c>
      <c r="I30" s="7" t="s">
        <v>2635</v>
      </c>
      <c r="J30" s="7" t="s">
        <v>2636</v>
      </c>
      <c r="K30" s="7" t="s">
        <v>2637</v>
      </c>
    </row>
    <row r="31" ht="22.5" customHeight="1">
      <c r="A31" s="12" t="str">
        <f>IFERROR(__xludf.DUMMYFUNCTION("GOOGLETRANSLATE(G31, ""de"", ""en"")"),"30")</f>
        <v>30</v>
      </c>
      <c r="B31" s="12" t="str">
        <f>IFERROR(__xludf.DUMMYFUNCTION("GOOGLETRANSLATE(H31, ""de"", ""en"")"),"Your ball is flying straight towards a large tree. What is your best strategy to avoid this?")</f>
        <v>Your ball is flying straight towards a large tree. What is your best strategy to avoid this?</v>
      </c>
      <c r="C31" s="12" t="s">
        <v>2638</v>
      </c>
      <c r="D31" s="12" t="str">
        <f>IFERROR(__xludf.DUMMYFUNCTION("GOOGLETRANSLATE(J31, ""de"", ""en"")"),"Use a side throw to make a turn.")</f>
        <v>Use a side throw to make a turn.</v>
      </c>
      <c r="E31" s="12" t="str">
        <f>IFERROR(__xludf.DUMMYFUNCTION("GOOGLETRANSLATE(K31, ""de"", ""en"")"),"A side throw helps to deflect the ball around obstacles such as trees.")</f>
        <v>A side throw helps to deflect the ball around obstacles such as trees.</v>
      </c>
      <c r="G31" s="8">
        <v>30.0</v>
      </c>
      <c r="H31" s="7" t="s">
        <v>2639</v>
      </c>
      <c r="I31" s="7" t="s">
        <v>2640</v>
      </c>
      <c r="J31" s="7" t="s">
        <v>2641</v>
      </c>
      <c r="K31" s="7" t="s">
        <v>2642</v>
      </c>
    </row>
    <row r="32" ht="22.5" customHeight="1">
      <c r="A32" s="12" t="str">
        <f>IFERROR(__xludf.DUMMYFUNCTION("GOOGLETRANSLATE(G32, ""de"", ""en"")"),"31")</f>
        <v>31</v>
      </c>
      <c r="B32" s="12" t="str">
        <f>IFERROR(__xludf.DUMMYFUNCTION("GOOGLETRANSLATE(H32, ""de"", ""en"")"),"You are approaching a muddy area. What should you do to prevent your ball from sinking in?")</f>
        <v>You are approaching a muddy area. What should you do to prevent your ball from sinking in?</v>
      </c>
      <c r="C32" s="12" t="s">
        <v>2643</v>
      </c>
      <c r="D32" s="12" t="str">
        <f>IFERROR(__xludf.DUMMYFUNCTION("GOOGLETRANSLATE(J32, ""de"", ""en"")"),"Use a side throw to glide over it.")</f>
        <v>Use a side throw to glide over it.</v>
      </c>
      <c r="E32" s="12" t="str">
        <f>IFERROR(__xludf.DUMMYFUNCTION("GOOGLETRANSLATE(K32, ""de"", ""en"")"),"A side throw ensures that the ball moves evenly across muddy areas.")</f>
        <v>A side throw ensures that the ball moves evenly across muddy areas.</v>
      </c>
      <c r="G32" s="8">
        <v>31.0</v>
      </c>
      <c r="H32" s="7" t="s">
        <v>2644</v>
      </c>
      <c r="I32" s="7" t="s">
        <v>2645</v>
      </c>
      <c r="J32" s="7" t="s">
        <v>2646</v>
      </c>
      <c r="K32" s="7" t="s">
        <v>2647</v>
      </c>
    </row>
    <row r="33" ht="22.5" customHeight="1">
      <c r="A33" s="12" t="str">
        <f>IFERROR(__xludf.DUMMYFUNCTION("GOOGLETRANSLATE(G33, ""de"", ""en"")"),"32")</f>
        <v>32</v>
      </c>
      <c r="B33" s="12" t="str">
        <f>IFERROR(__xludf.DUMMYFUNCTION("GOOGLETRANSLATE(H33, ""de"", ""en"")"),"You are on a steep slope. How do you adapt to maintain control of the ball?")</f>
        <v>You are on a steep slope. How do you adapt to maintain control of the ball?</v>
      </c>
      <c r="C33" s="12" t="s">
        <v>2648</v>
      </c>
      <c r="D33" s="12" t="str">
        <f>IFERROR(__xludf.DUMMYFUNCTION("GOOGLETRANSLATE(J33, ""de"", ""en"")"),"Throw harder to overcome gravity.")</f>
        <v>Throw harder to overcome gravity.</v>
      </c>
      <c r="E33" s="12" t="str">
        <f>IFERROR(__xludf.DUMMYFUNCTION("GOOGLETRANSLATE(K33, ""de"", ""en"")"),"A stronger throw helps to maintain momentum on steep slopes.")</f>
        <v>A stronger throw helps to maintain momentum on steep slopes.</v>
      </c>
      <c r="G33" s="8">
        <v>32.0</v>
      </c>
      <c r="H33" s="7" t="s">
        <v>2649</v>
      </c>
      <c r="I33" s="7" t="s">
        <v>2650</v>
      </c>
      <c r="J33" s="7" t="s">
        <v>2651</v>
      </c>
      <c r="K33" s="7" t="s">
        <v>2652</v>
      </c>
    </row>
    <row r="34" ht="22.5" customHeight="1">
      <c r="A34" s="12" t="str">
        <f>IFERROR(__xludf.DUMMYFUNCTION("GOOGLETRANSLATE(G34, ""de"", ""en"")"),"33")</f>
        <v>33</v>
      </c>
      <c r="B34" s="12" t="str">
        <f>IFERROR(__xludf.DUMMYFUNCTION("GOOGLETRANSLATE(H34, ""de"", ""en"")"),"Your ball is about to hit an uneven surface in the path. What's the best way to handle this?")</f>
        <v>Your ball is about to hit an uneven surface in the path. What's the best way to handle this?</v>
      </c>
      <c r="C34" s="12" t="s">
        <v>2653</v>
      </c>
      <c r="D34" s="12" t="str">
        <f>IFERROR(__xludf.DUMMYFUNCTION("GOOGLETRANSLATE(J34, ""de"", ""en"")"),"Use a side view to navigate within it.")</f>
        <v>Use a side view to navigate within it.</v>
      </c>
      <c r="E34" s="12" t="str">
        <f>IFERROR(__xludf.DUMMYFUNCTION("GOOGLETRANSLATE(K34, ""de"", ""en"")"),"A side hit prevents the ball from being thrown off course by uneven surfaces.")</f>
        <v>A side hit prevents the ball from being thrown off course by uneven surfaces.</v>
      </c>
      <c r="G34" s="8">
        <v>33.0</v>
      </c>
      <c r="H34" s="7" t="s">
        <v>2654</v>
      </c>
      <c r="I34" s="7" t="s">
        <v>2655</v>
      </c>
      <c r="J34" s="7" t="s">
        <v>2656</v>
      </c>
      <c r="K34" s="7" t="s">
        <v>2657</v>
      </c>
    </row>
    <row r="35" ht="22.5" customHeight="1">
      <c r="A35" s="12" t="str">
        <f>IFERROR(__xludf.DUMMYFUNCTION("GOOGLETRANSLATE(G35, ""de"", ""en"")"),"34")</f>
        <v>34</v>
      </c>
      <c r="B35" s="12" t="str">
        <f>IFERROR(__xludf.DUMMYFUNCTION("GOOGLETRANSLATE(H35, ""de"", ""en"")"),"The road ahead is covered in snow, making the surface slippery. How do you compensate for this?")</f>
        <v>The road ahead is covered in snow, making the surface slippery. How do you compensate for this?</v>
      </c>
      <c r="C35" s="12" t="s">
        <v>2658</v>
      </c>
      <c r="D35" s="12" t="str">
        <f>IFERROR(__xludf.DUMMYFUNCTION("GOOGLETRANSLATE(J35, ""de"", ""en"")"),"Throw more slowly to maintain control.")</f>
        <v>Throw more slowly to maintain control.</v>
      </c>
      <c r="E35" s="12" t="str">
        <f>IFERROR(__xludf.DUMMYFUNCTION("GOOGLETRANSLATE(K35, ""de"", ""en"")"),"Driving slower helps you maintain better control on slippery surfaces like snow.")</f>
        <v>Driving slower helps you maintain better control on slippery surfaces like snow.</v>
      </c>
      <c r="G35" s="8">
        <v>34.0</v>
      </c>
      <c r="H35" s="7" t="s">
        <v>2659</v>
      </c>
      <c r="I35" s="7" t="s">
        <v>2660</v>
      </c>
      <c r="J35" s="7" t="s">
        <v>1829</v>
      </c>
      <c r="K35" s="7" t="s">
        <v>2661</v>
      </c>
    </row>
    <row r="36" ht="22.5" customHeight="1">
      <c r="A36" s="12" t="str">
        <f>IFERROR(__xludf.DUMMYFUNCTION("GOOGLETRANSLATE(G36, ""de"", ""en"")"),"35")</f>
        <v>35</v>
      </c>
      <c r="B36" s="12" t="str">
        <f>IFERROR(__xludf.DUMMYFUNCTION("GOOGLETRANSLATE(H36, ""de"", ""en"")"),"You're approaching a sharp curve and your ball is losing speed. What should you do to maintain control?")</f>
        <v>You're approaching a sharp curve and your ball is losing speed. What should you do to maintain control?</v>
      </c>
      <c r="C36" s="12" t="s">
        <v>2662</v>
      </c>
      <c r="D36" s="12" t="str">
        <f>IFERROR(__xludf.DUMMYFUNCTION("GOOGLETRANSLATE(J36, ""de"", ""en"")"),"Use a side throw to control it.")</f>
        <v>Use a side throw to control it.</v>
      </c>
      <c r="E36" s="12" t="str">
        <f>IFERROR(__xludf.DUMMYFUNCTION("GOOGLETRANSLATE(K36, ""de"", ""en"")"),"A side throw helps to steer the ball around sharp curves without losing control.")</f>
        <v>A side throw helps to steer the ball around sharp curves without losing control.</v>
      </c>
      <c r="G36" s="8">
        <v>35.0</v>
      </c>
      <c r="H36" s="7" t="s">
        <v>2663</v>
      </c>
      <c r="I36" s="7" t="s">
        <v>2664</v>
      </c>
      <c r="J36" s="7" t="s">
        <v>2665</v>
      </c>
      <c r="K36" s="7" t="s">
        <v>2666</v>
      </c>
    </row>
    <row r="37" ht="22.5" customHeight="1">
      <c r="A37" s="12" t="str">
        <f>IFERROR(__xludf.DUMMYFUNCTION("GOOGLETRANSLATE(G37, ""de"", ""en"")"),"36")</f>
        <v>36</v>
      </c>
      <c r="B37" s="12" t="str">
        <f>IFERROR(__xludf.DUMMYFUNCTION("GOOGLETRANSLATE(H37, ""de"", ""en"")"),"The ball is flying towards a deep puddle. What is the best way to avoid this?")</f>
        <v>The ball is flying towards a deep puddle. What is the best way to avoid this?</v>
      </c>
      <c r="C37" s="12" t="s">
        <v>2667</v>
      </c>
      <c r="D37" s="12" t="str">
        <f>IFERROR(__xludf.DUMMYFUNCTION("GOOGLETRANSLATE(J37, ""de"", ""en"")"),"Use a side throw to glide past it.")</f>
        <v>Use a side throw to glide past it.</v>
      </c>
      <c r="E37" s="12" t="str">
        <f>IFERROR(__xludf.DUMMYFUNCTION("GOOGLETRANSLATE(K37, ""de"", ""en"")"),"A side throw ensures that the ball glides smoothly around obstacles such as puddles.")</f>
        <v>A side throw ensures that the ball glides smoothly around obstacles such as puddles.</v>
      </c>
      <c r="G37" s="8">
        <v>36.0</v>
      </c>
      <c r="H37" s="7" t="s">
        <v>2668</v>
      </c>
      <c r="I37" s="7" t="s">
        <v>2669</v>
      </c>
      <c r="J37" s="7" t="s">
        <v>2604</v>
      </c>
      <c r="K37" s="7" t="s">
        <v>2670</v>
      </c>
    </row>
    <row r="38" ht="22.5" customHeight="1">
      <c r="A38" s="12" t="str">
        <f>IFERROR(__xludf.DUMMYFUNCTION("GOOGLETRANSLATE(G38, ""de"", ""en"")"),"37")</f>
        <v>37</v>
      </c>
      <c r="B38" s="12" t="str">
        <f>IFERROR(__xludf.DUMMYFUNCTION("GOOGLETRANSLATE(H38, ""de"", ""en"")"),"The terrain is rocky and your ball is bouncing unpredictably. What's your strategy to stabilize it?")</f>
        <v>The terrain is rocky and your ball is bouncing unpredictably. What's your strategy to stabilize it?</v>
      </c>
      <c r="C38" s="12" t="s">
        <v>2671</v>
      </c>
      <c r="D38" s="12" t="str">
        <f>IFERROR(__xludf.DUMMYFUNCTION("GOOGLETRANSLATE(J38, ""de"", ""en"")"),"Use a side shot to smooth the path.")</f>
        <v>Use a side shot to smooth the path.</v>
      </c>
      <c r="E38" s="12" t="str">
        <f>IFERROR(__xludf.DUMMYFUNCTION("GOOGLETRANSLATE(K38, ""de"", ""en"")"),"A side shot makes it easier to navigate rocky terrain without the ball bouncing uncontrollably.")</f>
        <v>A side shot makes it easier to navigate rocky terrain without the ball bouncing uncontrollably.</v>
      </c>
      <c r="G38" s="8">
        <v>37.0</v>
      </c>
      <c r="H38" s="7" t="s">
        <v>2672</v>
      </c>
      <c r="I38" s="7" t="s">
        <v>2673</v>
      </c>
      <c r="J38" s="7" t="s">
        <v>2570</v>
      </c>
      <c r="K38" s="7" t="s">
        <v>2674</v>
      </c>
    </row>
    <row r="39" ht="22.5" customHeight="1">
      <c r="A39" s="12" t="str">
        <f>IFERROR(__xludf.DUMMYFUNCTION("GOOGLETRANSLATE(G39, ""de"", ""en"")"),"38")</f>
        <v>38</v>
      </c>
      <c r="B39" s="12" t="str">
        <f>IFERROR(__xludf.DUMMYFUNCTION("GOOGLETRANSLATE(H39, ""de"", ""en"")"),"You are approaching a steep incline and your ball is losing speed. What do you do?")</f>
        <v>You are approaching a steep incline and your ball is losing speed. What do you do?</v>
      </c>
      <c r="C39" s="12" t="s">
        <v>2675</v>
      </c>
      <c r="D39" s="12" t="str">
        <f>IFERROR(__xludf.DUMMYFUNCTION("GOOGLETRANSLATE(J39, ""de"", ""en"")"),"Throw harder to maintain momentum.")</f>
        <v>Throw harder to maintain momentum.</v>
      </c>
      <c r="E39" s="12" t="str">
        <f>IFERROR(__xludf.DUMMYFUNCTION("GOOGLETRANSLATE(K39, ""de"", ""en"")"),"Throwing harder ensures that the ball maintains its speed and can climb the slope.")</f>
        <v>Throwing harder ensures that the ball maintains its speed and can climb the slope.</v>
      </c>
      <c r="G39" s="8">
        <v>38.0</v>
      </c>
      <c r="H39" s="7" t="s">
        <v>2676</v>
      </c>
      <c r="I39" s="7" t="s">
        <v>2677</v>
      </c>
      <c r="J39" s="7" t="s">
        <v>2595</v>
      </c>
      <c r="K39" s="7" t="s">
        <v>2678</v>
      </c>
    </row>
    <row r="40" ht="22.5" customHeight="1">
      <c r="A40" s="12" t="str">
        <f>IFERROR(__xludf.DUMMYFUNCTION("GOOGLETRANSLATE(G40, ""de"", ""en"")"),"39")</f>
        <v>39</v>
      </c>
      <c r="B40" s="12" t="str">
        <f>IFERROR(__xludf.DUMMYFUNCTION("GOOGLETRANSLATE(H40, ""de"", ""en"")"),"The course ahead is narrow and has many bends and turns. How do you stay on the right track?")</f>
        <v>The course ahead is narrow and has many bends and turns. How do you stay on the right track?</v>
      </c>
      <c r="C40" s="12" t="s">
        <v>2679</v>
      </c>
      <c r="D40" s="12" t="str">
        <f>IFERROR(__xludf.DUMMYFUNCTION("GOOGLETRANSLATE(J40, ""de"", ""en"")"),"Use a side throw to stay on the right path.")</f>
        <v>Use a side throw to stay on the right path.</v>
      </c>
      <c r="E40" s="12" t="str">
        <f>IFERROR(__xludf.DUMMYFUNCTION("GOOGLETRANSLATE(K40, ""de"", ""en"")"),"A side throw helps you navigate on narrow roads with sharp bends.")</f>
        <v>A side throw helps you navigate on narrow roads with sharp bends.</v>
      </c>
      <c r="G40" s="8">
        <v>39.0</v>
      </c>
      <c r="H40" s="7" t="s">
        <v>2680</v>
      </c>
      <c r="I40" s="7" t="s">
        <v>2681</v>
      </c>
      <c r="J40" s="7" t="s">
        <v>2682</v>
      </c>
      <c r="K40" s="7" t="s">
        <v>2683</v>
      </c>
    </row>
    <row r="41" ht="22.5" customHeight="1">
      <c r="A41" s="12" t="str">
        <f>IFERROR(__xludf.DUMMYFUNCTION("GOOGLETRANSLATE(G41, ""de"", ""en"")"),"40")</f>
        <v>40</v>
      </c>
      <c r="B41" s="12" t="str">
        <f>IFERROR(__xludf.DUMMYFUNCTION("GOOGLETRANSLATE(H41, ""de"", ""en"")"),"You're on a long, straight path, but your ball is losing momentum. How do you speed it up?")</f>
        <v>You're on a long, straight path, but your ball is losing momentum. How do you speed it up?</v>
      </c>
      <c r="C41" s="12" t="s">
        <v>2684</v>
      </c>
      <c r="D41" s="12" t="str">
        <f>IFERROR(__xludf.DUMMYFUNCTION("GOOGLETRANSLATE(J41, ""de"", ""en"")"),"Throw with more force")</f>
        <v>Throw with more force</v>
      </c>
      <c r="E41" s="12" t="str">
        <f>IFERROR(__xludf.DUMMYFUNCTION("GOOGLETRANSLATE(K41, ""de"", ""en"")"),"Increasing the force helps to increase the speed of the ball over long distances.")</f>
        <v>Increasing the force helps to increase the speed of the ball over long distances.</v>
      </c>
      <c r="G41" s="8">
        <v>40.0</v>
      </c>
      <c r="H41" s="7" t="s">
        <v>2685</v>
      </c>
      <c r="I41" s="7" t="s">
        <v>2686</v>
      </c>
      <c r="J41" s="7" t="s">
        <v>2687</v>
      </c>
      <c r="K41" s="7" t="s">
        <v>2688</v>
      </c>
    </row>
    <row r="42" ht="22.5" customHeight="1">
      <c r="A42" s="12" t="str">
        <f>IFERROR(__xludf.DUMMYFUNCTION("GOOGLETRANSLATE(G42, ""de"", ""en"")"),"41")</f>
        <v>41</v>
      </c>
      <c r="B42" s="12" t="str">
        <f>IFERROR(__xludf.DUMMYFUNCTION("GOOGLETRANSLATE(H42, ""de"", ""en"")"),"There's a large boulder in front of us. How do you avoid hitting it with your ball?")</f>
        <v>There's a large boulder in front of us. How do you avoid hitting it with your ball?</v>
      </c>
      <c r="C42" s="12" t="s">
        <v>2689</v>
      </c>
      <c r="D42" s="12" t="str">
        <f>IFERROR(__xludf.DUMMYFUNCTION("GOOGLETRANSLATE(J42, ""de"", ""en"")"),"Use a side throw to glide past.")</f>
        <v>Use a side throw to glide past.</v>
      </c>
      <c r="E42" s="12" t="str">
        <f>IFERROR(__xludf.DUMMYFUNCTION("GOOGLETRANSLATE(K42, ""de"", ""en"")"),"A side throw helps you avoid obstacles like boulders in your path.")</f>
        <v>A side throw helps you avoid obstacles like boulders in your path.</v>
      </c>
      <c r="G42" s="8">
        <v>41.0</v>
      </c>
      <c r="H42" s="7" t="s">
        <v>2690</v>
      </c>
      <c r="I42" s="7" t="s">
        <v>2691</v>
      </c>
      <c r="J42" s="7" t="s">
        <v>2692</v>
      </c>
      <c r="K42" s="7" t="s">
        <v>2693</v>
      </c>
    </row>
    <row r="43" ht="22.5" customHeight="1">
      <c r="A43" s="12" t="str">
        <f>IFERROR(__xludf.DUMMYFUNCTION("GOOGLETRANSLATE(G43, ""de"", ""en"")"),"42")</f>
        <v>42</v>
      </c>
      <c r="B43" s="12" t="str">
        <f>IFERROR(__xludf.DUMMYFUNCTION("GOOGLETRANSLATE(H43, ""de"", ""en"")"),"Your ball is flying straight towards a patch of mud. How do you prevent it from sinking in?")</f>
        <v>Your ball is flying straight towards a patch of mud. How do you prevent it from sinking in?</v>
      </c>
      <c r="C43" s="12" t="s">
        <v>2694</v>
      </c>
      <c r="D43" s="12" t="str">
        <f>IFERROR(__xludf.DUMMYFUNCTION("GOOGLETRANSLATE(J43, ""de"", ""en"")"),"Slow down to control the ball.")</f>
        <v>Slow down to control the ball.</v>
      </c>
      <c r="E43" s="12" t="str">
        <f>IFERROR(__xludf.DUMMYFUNCTION("GOOGLETRANSLATE(K43, ""de"", ""en"")"),"The slowing down prevents the ball from sinking into the mud and allows for better control.")</f>
        <v>The slowing down prevents the ball from sinking into the mud and allows for better control.</v>
      </c>
      <c r="G43" s="8">
        <v>42.0</v>
      </c>
      <c r="H43" s="7" t="s">
        <v>2695</v>
      </c>
      <c r="I43" s="7" t="s">
        <v>2696</v>
      </c>
      <c r="J43" s="7" t="s">
        <v>2697</v>
      </c>
      <c r="K43" s="7" t="s">
        <v>2698</v>
      </c>
    </row>
    <row r="44" ht="22.5" customHeight="1">
      <c r="A44" s="12" t="str">
        <f>IFERROR(__xludf.DUMMYFUNCTION("GOOGLETRANSLATE(G44, ""de"", ""en"")"),"43")</f>
        <v>43</v>
      </c>
      <c r="B44" s="12" t="str">
        <f>IFERROR(__xludf.DUMMYFUNCTION("GOOGLETRANSLATE(H44, ""de"", ""en"")"),"You're approaching the finish line, but there's a small obstacle in front of you. How do you navigate it?")</f>
        <v>You're approaching the finish line, but there's a small obstacle in front of you. How do you navigate it?</v>
      </c>
      <c r="C44" s="12" t="s">
        <v>2699</v>
      </c>
      <c r="D44" s="12" t="str">
        <f>IFERROR(__xludf.DUMMYFUNCTION("GOOGLETRANSLATE(J44, ""de"", ""en"")"),"Use a side throw to avoid this.")</f>
        <v>Use a side throw to avoid this.</v>
      </c>
      <c r="E44" s="12" t="str">
        <f>IFERROR(__xludf.DUMMYFUNCTION("GOOGLETRANSLATE(K44, ""de"", ""en"")"),"A side throw allows you to gently avoid small obstacles near the finish line.")</f>
        <v>A side throw allows you to gently avoid small obstacles near the finish line.</v>
      </c>
      <c r="G44" s="8">
        <v>43.0</v>
      </c>
      <c r="H44" s="7" t="s">
        <v>2700</v>
      </c>
      <c r="I44" s="7" t="s">
        <v>2701</v>
      </c>
      <c r="J44" s="7" t="s">
        <v>1406</v>
      </c>
      <c r="K44" s="7" t="s">
        <v>2702</v>
      </c>
    </row>
    <row r="45" ht="22.5" customHeight="1">
      <c r="A45" s="12" t="str">
        <f>IFERROR(__xludf.DUMMYFUNCTION("GOOGLETRANSLATE(G45, ""de"", ""en"")"),"44")</f>
        <v>44</v>
      </c>
      <c r="B45" s="12" t="str">
        <f>IFERROR(__xludf.DUMMYFUNCTION("GOOGLETRANSLATE(H45, ""de"", ""en"")"),"The course is very wet after a recent rain. How do you ensure your ball doesn't slip?")</f>
        <v>The course is very wet after a recent rain. How do you ensure your ball doesn't slip?</v>
      </c>
      <c r="C45" s="12" t="s">
        <v>2703</v>
      </c>
      <c r="D45" s="12" t="str">
        <f>IFERROR(__xludf.DUMMYFUNCTION("GOOGLETRANSLATE(J45, ""de"", ""en"")"),"Use a side throw to maintain control.")</f>
        <v>Use a side throw to maintain control.</v>
      </c>
      <c r="E45" s="12" t="str">
        <f>IFERROR(__xludf.DUMMYFUNCTION("GOOGLETRANSLATE(K45, ""de"", ""en"")"),"A side throw helps you maintain control over slippery surfaces.")</f>
        <v>A side throw helps you maintain control over slippery surfaces.</v>
      </c>
      <c r="G45" s="8">
        <v>44.0</v>
      </c>
      <c r="H45" s="7" t="s">
        <v>2704</v>
      </c>
      <c r="I45" s="7" t="s">
        <v>2705</v>
      </c>
      <c r="J45" s="7" t="s">
        <v>1712</v>
      </c>
      <c r="K45" s="7" t="s">
        <v>2706</v>
      </c>
    </row>
    <row r="46" ht="22.5" customHeight="1">
      <c r="A46" s="12" t="str">
        <f>IFERROR(__xludf.DUMMYFUNCTION("GOOGLETRANSLATE(G46, ""de"", ""en"")"),"45")</f>
        <v>45</v>
      </c>
      <c r="B46" s="12" t="str">
        <f>IFERROR(__xludf.DUMMYFUNCTION("GOOGLETRANSLATE(H46, ""de"", ""en"")"),"You're approaching a sharp corner and your ball is losing speed. What should you do?")</f>
        <v>You're approaching a sharp corner and your ball is losing speed. What should you do?</v>
      </c>
      <c r="C46" s="12" t="s">
        <v>2707</v>
      </c>
      <c r="D46" s="12" t="str">
        <f>IFERROR(__xludf.DUMMYFUNCTION("GOOGLETRANSLATE(J46, ""de"", ""en"")"),"Use a side throw to steer around.")</f>
        <v>Use a side throw to steer around.</v>
      </c>
      <c r="E46" s="12" t="str">
        <f>IFERROR(__xludf.DUMMYFUNCTION("GOOGLETRANSLATE(K46, ""de"", ""en"")"),"A side throw helps to guide the ball through sharp corners and thus maintain control.")</f>
        <v>A side throw helps to guide the ball through sharp corners and thus maintain control.</v>
      </c>
      <c r="G46" s="8">
        <v>45.0</v>
      </c>
      <c r="H46" s="7" t="s">
        <v>2708</v>
      </c>
      <c r="I46" s="7" t="s">
        <v>2709</v>
      </c>
      <c r="J46" s="7" t="s">
        <v>2710</v>
      </c>
      <c r="K46" s="7" t="s">
        <v>2711</v>
      </c>
    </row>
    <row r="47" ht="22.5" customHeight="1">
      <c r="A47" s="12" t="str">
        <f>IFERROR(__xludf.DUMMYFUNCTION("GOOGLETRANSLATE(G47, ""de"", ""en"")"),"46")</f>
        <v>46</v>
      </c>
      <c r="B47" s="12" t="str">
        <f>IFERROR(__xludf.DUMMYFUNCTION("GOOGLETRANSLATE(H47, ""de"", ""en"")"),"The ball is flying towards a ditch. How do you handle this situation?")</f>
        <v>The ball is flying towards a ditch. How do you handle this situation?</v>
      </c>
      <c r="C47" s="12" t="s">
        <v>2712</v>
      </c>
      <c r="D47" s="12" t="str">
        <f>IFERROR(__xludf.DUMMYFUNCTION("GOOGLETRANSLATE(J47, ""de"", ""en"")"),"Use a side throw to avoid the trench.")</f>
        <v>Use a side throw to avoid the trench.</v>
      </c>
      <c r="E47" s="12" t="str">
        <f>IFERROR(__xludf.DUMMYFUNCTION("GOOGLETRANSLATE(K47, ""de"", ""en"")"),"A side throw helps to steer the ball around a ditch or other obstacle.")</f>
        <v>A side throw helps to steer the ball around a ditch or other obstacle.</v>
      </c>
      <c r="G47" s="8">
        <v>46.0</v>
      </c>
      <c r="H47" s="7" t="s">
        <v>2713</v>
      </c>
      <c r="I47" s="7" t="s">
        <v>2714</v>
      </c>
      <c r="J47" s="7" t="s">
        <v>2715</v>
      </c>
      <c r="K47" s="7" t="s">
        <v>2716</v>
      </c>
    </row>
    <row r="48" ht="22.5" customHeight="1">
      <c r="A48" s="12" t="str">
        <f>IFERROR(__xludf.DUMMYFUNCTION("GOOGLETRANSLATE(G48, ""de"", ""en"")"),"47")</f>
        <v>47</v>
      </c>
      <c r="B48" s="12" t="str">
        <f>IFERROR(__xludf.DUMMYFUNCTION("GOOGLETRANSLATE(H48, ""de"", ""en"")"),"They are playing on a pitch with loose gravel. What is your best approach to maintaining control?")</f>
        <v>They are playing on a pitch with loose gravel. What is your best approach to maintaining control?</v>
      </c>
      <c r="C48" s="12" t="s">
        <v>2717</v>
      </c>
      <c r="D48" s="12" t="str">
        <f>IFERROR(__xludf.DUMMYFUNCTION("GOOGLETRANSLATE(J48, ""de"", ""en"")"),"Use a sideways shot to avoid interference.")</f>
        <v>Use a sideways shot to avoid interference.</v>
      </c>
      <c r="E48" s="12" t="str">
        <f>IFERROR(__xludf.DUMMYFUNCTION("GOOGLETRANSLATE(K48, ""de"", ""en"")"),"A sideways shot ensures that the ball remains stable on loose gravel without bouncing off.")</f>
        <v>A sideways shot ensures that the ball remains stable on loose gravel without bouncing off.</v>
      </c>
      <c r="G48" s="8">
        <v>47.0</v>
      </c>
      <c r="H48" s="7" t="s">
        <v>2718</v>
      </c>
      <c r="I48" s="7" t="s">
        <v>2719</v>
      </c>
      <c r="J48" s="7" t="s">
        <v>2720</v>
      </c>
      <c r="K48" s="7" t="s">
        <v>2721</v>
      </c>
    </row>
    <row r="49" ht="22.5" customHeight="1">
      <c r="A49" s="12" t="str">
        <f>IFERROR(__xludf.DUMMYFUNCTION("GOOGLETRANSLATE(G49, ""de"", ""en"")"),"48")</f>
        <v>48</v>
      </c>
      <c r="B49" s="12" t="str">
        <f>IFERROR(__xludf.DUMMYFUNCTION("GOOGLETRANSLATE(H49, ""de"", ""en"")"),"The terrain is extremely rocky and your ball is bouncing unpredictably. What do you do?")</f>
        <v>The terrain is extremely rocky and your ball is bouncing unpredictably. What do you do?</v>
      </c>
      <c r="C49" s="12" t="s">
        <v>2722</v>
      </c>
      <c r="D49" s="12" t="str">
        <f>IFERROR(__xludf.DUMMYFUNCTION("GOOGLETRANSLATE(J49, ""de"", ""en"")"),"Use a side throw to smooth the path.")</f>
        <v>Use a side throw to smooth the path.</v>
      </c>
      <c r="E49" s="12" t="str">
        <f>IFERROR(__xludf.DUMMYFUNCTION("GOOGLETRANSLATE(K49, ""de"", ""en"")"),"A sideways throw helps to navigate through rocky terrain while maintaining control.")</f>
        <v>A sideways throw helps to navigate through rocky terrain while maintaining control.</v>
      </c>
      <c r="G49" s="8">
        <v>48.0</v>
      </c>
      <c r="H49" s="7" t="s">
        <v>2723</v>
      </c>
      <c r="I49" s="7" t="s">
        <v>2724</v>
      </c>
      <c r="J49" s="7" t="s">
        <v>2725</v>
      </c>
      <c r="K49" s="7" t="s">
        <v>2726</v>
      </c>
    </row>
    <row r="50" ht="22.5" customHeight="1">
      <c r="A50" s="12" t="str">
        <f>IFERROR(__xludf.DUMMYFUNCTION("GOOGLETRANSLATE(G50, ""de"", ""en"")"),"49")</f>
        <v>49</v>
      </c>
      <c r="B50" s="12" t="str">
        <f>IFERROR(__xludf.DUMMYFUNCTION("GOOGLETRANSLATE(H50, ""de"", ""en"")"),"Your ball is about to hit a large rock. What should you do to avoid a serious collision?")</f>
        <v>Your ball is about to hit a large rock. What should you do to avoid a serious collision?</v>
      </c>
      <c r="C50" s="12" t="s">
        <v>2727</v>
      </c>
      <c r="D50" s="12" t="str">
        <f>IFERROR(__xludf.DUMMYFUNCTION("GOOGLETRANSLATE(J50, ""de"", ""en"")"),"Use a side throw to steer around.")</f>
        <v>Use a side throw to steer around.</v>
      </c>
      <c r="E50" s="12" t="str">
        <f>IFERROR(__xludf.DUMMYFUNCTION("GOOGLETRANSLATE(K50, ""de"", ""en"")"),"A side throw can help to avoid larger obstacles such as large stones on the path.")</f>
        <v>A side throw can help to avoid larger obstacles such as large stones on the path.</v>
      </c>
      <c r="G50" s="8">
        <v>49.0</v>
      </c>
      <c r="H50" s="7" t="s">
        <v>2728</v>
      </c>
      <c r="I50" s="7" t="s">
        <v>2729</v>
      </c>
      <c r="J50" s="7" t="s">
        <v>2710</v>
      </c>
      <c r="K50" s="7" t="s">
        <v>2730</v>
      </c>
    </row>
    <row r="51" ht="22.5" customHeight="1">
      <c r="A51" s="12" t="str">
        <f>IFERROR(__xludf.DUMMYFUNCTION("GOOGLETRANSLATE(G51, ""de"", ""en"")"),"50")</f>
        <v>50</v>
      </c>
      <c r="B51" s="12" t="str">
        <f>IFERROR(__xludf.DUMMYFUNCTION("GOOGLETRANSLATE(H51, ""de"", ""en"")"),"The path ahead has sharp bends and uneven surfaces. How do you tackle this difficult section?")</f>
        <v>The path ahead has sharp bends and uneven surfaces. How do you tackle this difficult section?</v>
      </c>
      <c r="C51" s="12" t="s">
        <v>2731</v>
      </c>
      <c r="D51" s="12" t="str">
        <f>IFERROR(__xludf.DUMMYFUNCTION("GOOGLETRANSLATE(J51, ""de"", ""en"")"),"Use a side throw to navigate within it.")</f>
        <v>Use a side throw to navigate within it.</v>
      </c>
      <c r="E51" s="12" t="str">
        <f>IFERROR(__xludf.DUMMYFUNCTION("GOOGLETRANSLATE(K51, ""de"", ""en"")"),"A sideways throw helps you to handle sharp turns and bumps more smoothly.")</f>
        <v>A sideways throw helps you to handle sharp turns and bumps more smoothly.</v>
      </c>
      <c r="G51" s="8">
        <v>50.0</v>
      </c>
      <c r="H51" s="7" t="s">
        <v>2732</v>
      </c>
      <c r="I51" s="7" t="s">
        <v>2733</v>
      </c>
      <c r="J51" s="7" t="s">
        <v>2734</v>
      </c>
      <c r="K51" s="7" t="s">
        <v>2735</v>
      </c>
    </row>
    <row r="52" ht="22.5" customHeight="1">
      <c r="A52" s="12" t="str">
        <f>IFERROR(__xludf.DUMMYFUNCTION("GOOGLETRANSLATE(G52, ""de"", ""en"")"),"51")</f>
        <v>51</v>
      </c>
      <c r="B52" s="12" t="str">
        <f>IFERROR(__xludf.DUMMYFUNCTION("GOOGLETRANSLATE(H52, ""de"", ""en"")"),"The course is mostly flat, but the surface is bumpy. What do you do to maintain stability?")</f>
        <v>The course is mostly flat, but the surface is bumpy. What do you do to maintain stability?</v>
      </c>
      <c r="C52" s="12" t="s">
        <v>2736</v>
      </c>
      <c r="D52" s="12" t="str">
        <f>IFERROR(__xludf.DUMMYFUNCTION("GOOGLETRANSLATE(J52, ""de"", ""en"")"),"Use a side throw to smooth the path.")</f>
        <v>Use a side throw to smooth the path.</v>
      </c>
      <c r="E52" s="12" t="str">
        <f>IFERROR(__xludf.DUMMYFUNCTION("GOOGLETRANSLATE(K52, ""de"", ""en"")"),"A side throw helps to keep the ball stable over bumpy surfaces.")</f>
        <v>A side throw helps to keep the ball stable over bumpy surfaces.</v>
      </c>
      <c r="G52" s="8">
        <v>51.0</v>
      </c>
      <c r="H52" s="7" t="s">
        <v>2737</v>
      </c>
      <c r="I52" s="7" t="s">
        <v>2738</v>
      </c>
      <c r="J52" s="7" t="s">
        <v>2725</v>
      </c>
      <c r="K52" s="7" t="s">
        <v>2739</v>
      </c>
    </row>
    <row r="53" ht="22.5" customHeight="1">
      <c r="A53" s="12" t="str">
        <f>IFERROR(__xludf.DUMMYFUNCTION("GOOGLETRANSLATE(G53, ""de"", ""en"")"),"52")</f>
        <v>52</v>
      </c>
      <c r="B53" s="12" t="str">
        <f>IFERROR(__xludf.DUMMYFUNCTION("GOOGLETRANSLATE(H53, ""de"", ""en"")"),"You need to be prepared for strong crosswinds. What is your best strategy?")</f>
        <v>You need to be prepared for strong crosswinds. What is your best strategy?</v>
      </c>
      <c r="C53" s="12" t="s">
        <v>2740</v>
      </c>
      <c r="D53" s="12" t="str">
        <f>IFERROR(__xludf.DUMMYFUNCTION("GOOGLETRANSLATE(J53, ""de"", ""en"")"),"Use a side throw to adjust the direction.")</f>
        <v>Use a side throw to adjust the direction.</v>
      </c>
      <c r="E53" s="12" t="str">
        <f>IFERROR(__xludf.DUMMYFUNCTION("GOOGLETRANSLATE(K53, ""de"", ""en"")"),"A side throw helps to counteract strong crosswinds and keep the ball on course.")</f>
        <v>A side throw helps to counteract strong crosswinds and keep the ball on course.</v>
      </c>
      <c r="G53" s="8">
        <v>52.0</v>
      </c>
      <c r="H53" s="7" t="s">
        <v>2741</v>
      </c>
      <c r="I53" s="7" t="s">
        <v>2742</v>
      </c>
      <c r="J53" s="7" t="s">
        <v>2743</v>
      </c>
      <c r="K53" s="7" t="s">
        <v>2744</v>
      </c>
    </row>
    <row r="54" ht="22.5" customHeight="1">
      <c r="A54" s="12" t="str">
        <f>IFERROR(__xludf.DUMMYFUNCTION("GOOGLETRANSLATE(G54, ""de"", ""en"")"),"53")</f>
        <v>53</v>
      </c>
      <c r="B54" s="12" t="str">
        <f>IFERROR(__xludf.DUMMYFUNCTION("GOOGLETRANSLATE(H54, ""de"", ""en"")"),"Your ball is approaching a sharp curve, but it's rolling too fast. How do you reduce the speed?")</f>
        <v>Your ball is approaching a sharp curve, but it's rolling too fast. How do you reduce the speed?</v>
      </c>
      <c r="C54" s="12" t="s">
        <v>2745</v>
      </c>
      <c r="D54" s="12" t="str">
        <f>IFERROR(__xludf.DUMMYFUNCTION("GOOGLETRANSLATE(J54, ""de"", ""en"")"),"Use a side throw to control the speed.")</f>
        <v>Use a side throw to control the speed.</v>
      </c>
      <c r="E54" s="12" t="str">
        <f>IFERROR(__xludf.DUMMYFUNCTION("GOOGLETRANSLATE(K54, ""de"", ""en"")"),"A side throw helps to reduce the speed and guide the ball through a sharp curve.")</f>
        <v>A side throw helps to reduce the speed and guide the ball through a sharp curve.</v>
      </c>
      <c r="G54" s="8">
        <v>53.0</v>
      </c>
      <c r="H54" s="7" t="s">
        <v>2746</v>
      </c>
      <c r="I54" s="7" t="s">
        <v>2747</v>
      </c>
      <c r="J54" s="7" t="s">
        <v>2748</v>
      </c>
      <c r="K54" s="7" t="s">
        <v>2749</v>
      </c>
    </row>
    <row r="55" ht="22.5" customHeight="1">
      <c r="A55" s="12" t="str">
        <f>IFERROR(__xludf.DUMMYFUNCTION("GOOGLETRANSLATE(G55, ""de"", ""en"")"),"54")</f>
        <v>54</v>
      </c>
      <c r="B55" s="12" t="str">
        <f>IFERROR(__xludf.DUMMYFUNCTION("GOOGLETRANSLATE(H55, ""de"", ""en"")"),"You are near a hill and the terrain slopes downwards. How do you maintain control of the ball?")</f>
        <v>You are near a hill and the terrain slopes downwards. How do you maintain control of the ball?</v>
      </c>
      <c r="C55" s="12" t="s">
        <v>2750</v>
      </c>
      <c r="D55" s="12" t="str">
        <f>IFERROR(__xludf.DUMMYFUNCTION("GOOGLETRANSLATE(J55, ""de"", ""en"")"),"Throw with precision to control the speed.")</f>
        <v>Throw with precision to control the speed.</v>
      </c>
      <c r="E55" s="12" t="str">
        <f>IFERROR(__xludf.DUMMYFUNCTION("GOOGLETRANSLATE(K55, ""de"", ""en"")"),"Precision helps to control the speed and prevent the ball from rolling downhill too quickly.")</f>
        <v>Precision helps to control the speed and prevent the ball from rolling downhill too quickly.</v>
      </c>
      <c r="G55" s="8">
        <v>54.0</v>
      </c>
      <c r="H55" s="7" t="s">
        <v>2751</v>
      </c>
      <c r="I55" s="7" t="s">
        <v>2752</v>
      </c>
      <c r="J55" s="7" t="s">
        <v>2753</v>
      </c>
      <c r="K55" s="7" t="s">
        <v>2754</v>
      </c>
    </row>
    <row r="56" ht="22.5" customHeight="1">
      <c r="A56" s="12" t="str">
        <f>IFERROR(__xludf.DUMMYFUNCTION("GOOGLETRANSLATE(G56, ""de"", ""en"")"),"55")</f>
        <v>55</v>
      </c>
      <c r="B56" s="12" t="str">
        <f>IFERROR(__xludf.DUMMYFUNCTION("GOOGLETRANSLATE(H56, ""de"", ""en"")"),"Your ball is moving towards a small stream in its path. What is the best way to avoid this?")</f>
        <v>Your ball is moving towards a small stream in its path. What is the best way to avoid this?</v>
      </c>
      <c r="C56" s="12" t="s">
        <v>2755</v>
      </c>
      <c r="D56" s="12" t="str">
        <f>IFERROR(__xludf.DUMMYFUNCTION("GOOGLETRANSLATE(J56, ""de"", ""en"")"),"Use a side throw to bypass it.")</f>
        <v>Use a side throw to bypass it.</v>
      </c>
      <c r="E56" s="12" t="str">
        <f>IFERROR(__xludf.DUMMYFUNCTION("GOOGLETRANSLATE(K56, ""de"", ""en"")"),"A side throw helps you to smoothly bypass obstacles such as streams.")</f>
        <v>A side throw helps you to smoothly bypass obstacles such as streams.</v>
      </c>
      <c r="G56" s="8">
        <v>55.0</v>
      </c>
      <c r="H56" s="7" t="s">
        <v>2756</v>
      </c>
      <c r="I56" s="7" t="s">
        <v>2757</v>
      </c>
      <c r="J56" s="7" t="s">
        <v>1614</v>
      </c>
      <c r="K56" s="7" t="s">
        <v>2758</v>
      </c>
    </row>
    <row r="57" ht="22.5" customHeight="1">
      <c r="A57" s="12" t="str">
        <f>IFERROR(__xludf.DUMMYFUNCTION("GOOGLETRANSLATE(G57, ""de"", ""en"")"),"56")</f>
        <v>56</v>
      </c>
      <c r="B57" s="12" t="str">
        <f>IFERROR(__xludf.DUMMYFUNCTION("GOOGLETRANSLATE(H57, ""de"", ""en"")"),"The course has many tight turns. What's your best approach to staying on track?")</f>
        <v>The course has many tight turns. What's your best approach to staying on track?</v>
      </c>
      <c r="C57" s="12" t="s">
        <v>2759</v>
      </c>
      <c r="D57" s="12" t="str">
        <f>IFERROR(__xludf.DUMMYFUNCTION("GOOGLETRANSLATE(J57, ""de"", ""en"")"),"Use a side stroke to steer through the curves.")</f>
        <v>Use a side stroke to steer through the curves.</v>
      </c>
      <c r="E57" s="12" t="str">
        <f>IFERROR(__xludf.DUMMYFUNCTION("GOOGLETRANSLATE(K57, ""de"", ""en"")"),"A sideways kick allows for better control in tight turns.")</f>
        <v>A sideways kick allows for better control in tight turns.</v>
      </c>
      <c r="G57" s="8">
        <v>56.0</v>
      </c>
      <c r="H57" s="7" t="s">
        <v>2760</v>
      </c>
      <c r="I57" s="7" t="s">
        <v>2761</v>
      </c>
      <c r="J57" s="7" t="s">
        <v>2762</v>
      </c>
      <c r="K57" s="7" t="s">
        <v>2763</v>
      </c>
    </row>
    <row r="58" ht="22.5" customHeight="1">
      <c r="A58" s="12" t="str">
        <f>IFERROR(__xludf.DUMMYFUNCTION("GOOGLETRANSLATE(G58, ""de"", ""en"")"),"57")</f>
        <v>57</v>
      </c>
      <c r="B58" s="12" t="str">
        <f>IFERROR(__xludf.DUMMYFUNCTION("GOOGLETRANSLATE(H58, ""de"", ""en"")"),"The surface in front of us is covered in mud. What should you do to keep the ball moving?")</f>
        <v>The surface in front of us is covered in mud. What should you do to keep the ball moving?</v>
      </c>
      <c r="C58" s="12" t="s">
        <v>2764</v>
      </c>
      <c r="D58" s="12" t="str">
        <f>IFERROR(__xludf.DUMMYFUNCTION("GOOGLETRANSLATE(J58, ""de"", ""en"")"),"With a side throw, you glide past the mud.")</f>
        <v>With a side throw, you glide past the mud.</v>
      </c>
      <c r="E58" s="12" t="str">
        <f>IFERROR(__xludf.DUMMYFUNCTION("GOOGLETRANSLATE(K58, ""de"", ""en"")"),"A side throw prevents the ball from getting stuck in the mud.")</f>
        <v>A side throw prevents the ball from getting stuck in the mud.</v>
      </c>
      <c r="G58" s="8">
        <v>57.0</v>
      </c>
      <c r="H58" s="7" t="s">
        <v>2765</v>
      </c>
      <c r="I58" s="7" t="s">
        <v>2766</v>
      </c>
      <c r="J58" s="7" t="s">
        <v>2767</v>
      </c>
      <c r="K58" s="7" t="s">
        <v>2768</v>
      </c>
    </row>
    <row r="59" ht="22.5" customHeight="1">
      <c r="A59" s="12" t="str">
        <f>IFERROR(__xludf.DUMMYFUNCTION("GOOGLETRANSLATE(G59, ""de"", ""en"")"),"58")</f>
        <v>58</v>
      </c>
      <c r="B59" s="12" t="str">
        <f>IFERROR(__xludf.DUMMYFUNCTION("GOOGLETRANSLATE(H59, ""de"", ""en"")"),"You are approaching a steep incline and your ball is losing speed. What do you do?")</f>
        <v>You are approaching a steep incline and your ball is losing speed. What do you do?</v>
      </c>
      <c r="C59" s="12" t="s">
        <v>2769</v>
      </c>
      <c r="D59" s="12" t="str">
        <f>IFERROR(__xludf.DUMMYFUNCTION("GOOGLETRANSLATE(J59, ""de"", ""en"")"),"Throw harder to maintain momentum.")</f>
        <v>Throw harder to maintain momentum.</v>
      </c>
      <c r="E59" s="12" t="str">
        <f>IFERROR(__xludf.DUMMYFUNCTION("GOOGLETRANSLATE(K59, ""de"", ""en"")"),"Throwing harder makes the ball move further uphill.")</f>
        <v>Throwing harder makes the ball move further uphill.</v>
      </c>
      <c r="G59" s="8">
        <v>58.0</v>
      </c>
      <c r="H59" s="7" t="s">
        <v>2676</v>
      </c>
      <c r="I59" s="7" t="s">
        <v>2770</v>
      </c>
      <c r="J59" s="7" t="s">
        <v>2595</v>
      </c>
      <c r="K59" s="7" t="s">
        <v>2771</v>
      </c>
    </row>
    <row r="60" ht="22.5" customHeight="1">
      <c r="A60" s="12" t="str">
        <f>IFERROR(__xludf.DUMMYFUNCTION("GOOGLETRANSLATE(G60, ""de"", ""en"")"),"59")</f>
        <v>59</v>
      </c>
      <c r="B60" s="12" t="str">
        <f>IFERROR(__xludf.DUMMYFUNCTION("GOOGLETRANSLATE(H60, ""de"", ""en"")"),"The terrain is rocky and your ball is bouncing unpredictably. How do you adjust it to stabilize it?")</f>
        <v>The terrain is rocky and your ball is bouncing unpredictably. How do you adjust it to stabilize it?</v>
      </c>
      <c r="C60" s="12" t="s">
        <v>2772</v>
      </c>
      <c r="D60" s="12" t="str">
        <f>IFERROR(__xludf.DUMMYFUNCTION("GOOGLETRANSLATE(J60, ""de"", ""en"")"),"Use a side shot to smooth the path.")</f>
        <v>Use a side shot to smooth the path.</v>
      </c>
      <c r="E60" s="12" t="str">
        <f>IFERROR(__xludf.DUMMYFUNCTION("GOOGLETRANSLATE(K60, ""de"", ""en"")"),"A sideways hit helps to keep the ball stable on rocky terrain and prevent it from bouncing off course.")</f>
        <v>A sideways hit helps to keep the ball stable on rocky terrain and prevent it from bouncing off course.</v>
      </c>
      <c r="G60" s="8">
        <v>59.0</v>
      </c>
      <c r="H60" s="7" t="s">
        <v>2773</v>
      </c>
      <c r="I60" s="7" t="s">
        <v>2774</v>
      </c>
      <c r="J60" s="7" t="s">
        <v>2570</v>
      </c>
      <c r="K60" s="7" t="s">
        <v>2775</v>
      </c>
    </row>
    <row r="61" ht="22.5" customHeight="1">
      <c r="A61" s="12" t="str">
        <f>IFERROR(__xludf.DUMMYFUNCTION("GOOGLETRANSLATE(G61, ""de"", ""en"")"),"60")</f>
        <v>60</v>
      </c>
      <c r="B61" s="12" t="str">
        <f>IFERROR(__xludf.DUMMYFUNCTION("GOOGLETRANSLATE(H61, ""de"", ""en"")"),"The path has many twists and turns. What strategy will help you stay in control?")</f>
        <v>The path has many twists and turns. What strategy will help you stay in control?</v>
      </c>
      <c r="C61" s="12" t="s">
        <v>2776</v>
      </c>
      <c r="D61" s="12" t="str">
        <f>IFERROR(__xludf.DUMMYFUNCTION("GOOGLETRANSLATE(J61, ""de"", ""en"")"),"Use a side throw to stay on course.")</f>
        <v>Use a side throw to stay on course.</v>
      </c>
      <c r="E61" s="12" t="str">
        <f>IFERROR(__xludf.DUMMYFUNCTION("GOOGLETRANSLATE(K61, ""de"", ""en"")"),"A side throw helps to manage turns and twists while keeping the ball on the right track.")</f>
        <v>A side throw helps to manage turns and twists while keeping the ball on the right track.</v>
      </c>
      <c r="G61" s="8">
        <v>60.0</v>
      </c>
      <c r="H61" s="7" t="s">
        <v>2777</v>
      </c>
      <c r="I61" s="7" t="s">
        <v>2778</v>
      </c>
      <c r="J61" s="7" t="s">
        <v>2779</v>
      </c>
      <c r="K61" s="7" t="s">
        <v>2780</v>
      </c>
    </row>
    <row r="62" ht="22.5" customHeight="1">
      <c r="A62" s="12" t="str">
        <f>IFERROR(__xludf.DUMMYFUNCTION("GOOGLETRANSLATE(G62, ""de"", ""en"")"),"61")</f>
        <v>61</v>
      </c>
      <c r="B62" s="12" t="str">
        <f>IFERROR(__xludf.DUMMYFUNCTION("GOOGLETRANSLATE(H62, ""de"", ""en"")"),"Your ball is flying towards a large bush. What is the best strategy to avoid this?")</f>
        <v>Your ball is flying towards a large bush. What is the best strategy to avoid this?</v>
      </c>
      <c r="C62" s="12" t="s">
        <v>2781</v>
      </c>
      <c r="D62" s="12" t="str">
        <f>IFERROR(__xludf.DUMMYFUNCTION("GOOGLETRANSLATE(J62, ""de"", ""en"")"),"Use a side throw to steer around.")</f>
        <v>Use a side throw to steer around.</v>
      </c>
      <c r="E62" s="12" t="str">
        <f>IFERROR(__xludf.DUMMYFUNCTION("GOOGLETRANSLATE(K62, ""de"", ""en"")"),"A side throw is effective for avoiding obstacles such as bushes.")</f>
        <v>A side throw is effective for avoiding obstacles such as bushes.</v>
      </c>
      <c r="G62" s="8">
        <v>61.0</v>
      </c>
      <c r="H62" s="7" t="s">
        <v>2782</v>
      </c>
      <c r="I62" s="7" t="s">
        <v>2783</v>
      </c>
      <c r="J62" s="7" t="s">
        <v>2710</v>
      </c>
      <c r="K62" s="7" t="s">
        <v>2784</v>
      </c>
    </row>
    <row r="63" ht="22.5" customHeight="1">
      <c r="A63" s="12" t="str">
        <f>IFERROR(__xludf.DUMMYFUNCTION("GOOGLETRANSLATE(G63, ""de"", ""en"")"),"62")</f>
        <v>62</v>
      </c>
      <c r="B63" s="12" t="str">
        <f>IFERROR(__xludf.DUMMYFUNCTION("GOOGLETRANSLATE(H63, ""de"", ""en"")"),"The path ahead is very windy. How do you adjust your throw to the wind?")</f>
        <v>The path ahead is very windy. How do you adjust your throw to the wind?</v>
      </c>
      <c r="C63" s="12" t="s">
        <v>2785</v>
      </c>
      <c r="D63" s="12" t="str">
        <f>IFERROR(__xludf.DUMMYFUNCTION("GOOGLETRANSLATE(J63, ""de"", ""en"")"),"Use a side throw to stabilize it.")</f>
        <v>Use a side throw to stabilize it.</v>
      </c>
      <c r="E63" s="12" t="str">
        <f>IFERROR(__xludf.DUMMYFUNCTION("GOOGLETRANSLATE(K63, ""de"", ""en"")"),"A side throw helps to compensate for crosswinds and stabilize the ball's trajectory.")</f>
        <v>A side throw helps to compensate for crosswinds and stabilize the ball's trajectory.</v>
      </c>
      <c r="G63" s="8">
        <v>62.0</v>
      </c>
      <c r="H63" s="7" t="s">
        <v>2786</v>
      </c>
      <c r="I63" s="7" t="s">
        <v>2787</v>
      </c>
      <c r="J63" s="7" t="s">
        <v>2788</v>
      </c>
      <c r="K63" s="7" t="s">
        <v>2789</v>
      </c>
    </row>
    <row r="64" ht="22.5" customHeight="1">
      <c r="A64" s="12" t="str">
        <f>IFERROR(__xludf.DUMMYFUNCTION("GOOGLETRANSLATE(G64, ""de"", ""en"")"),"63")</f>
        <v>63</v>
      </c>
      <c r="B64" s="12" t="str">
        <f>IFERROR(__xludf.DUMMYFUNCTION("GOOGLETRANSLATE(H64, ""de"", ""en"")"),"The surface is soft and your ball sinks when rolling. What is the best course of action?")</f>
        <v>The surface is soft and your ball sinks when rolling. What is the best course of action?</v>
      </c>
      <c r="C64" s="12" t="s">
        <v>2790</v>
      </c>
      <c r="D64" s="12" t="str">
        <f>IFERROR(__xludf.DUMMYFUNCTION("GOOGLETRANSLATE(J64, ""de"", ""en"")"),"Use a side shot to glide over it.")</f>
        <v>Use a side shot to glide over it.</v>
      </c>
      <c r="E64" s="12" t="str">
        <f>IFERROR(__xludf.DUMMYFUNCTION("GOOGLETRANSLATE(K64, ""de"", ""en"")"),"A sideways shot can help the ball glide over soft surfaces without sinking in.")</f>
        <v>A sideways shot can help the ball glide over soft surfaces without sinking in.</v>
      </c>
      <c r="G64" s="8">
        <v>63.0</v>
      </c>
      <c r="H64" s="7" t="s">
        <v>2791</v>
      </c>
      <c r="I64" s="7" t="s">
        <v>2792</v>
      </c>
      <c r="J64" s="7" t="s">
        <v>2580</v>
      </c>
      <c r="K64" s="7" t="s">
        <v>2793</v>
      </c>
    </row>
    <row r="65" ht="22.5" customHeight="1">
      <c r="A65" s="12" t="str">
        <f>IFERROR(__xludf.DUMMYFUNCTION("GOOGLETRANSLATE(G65, ""de"", ""en"")"),"64")</f>
        <v>64</v>
      </c>
      <c r="B65" s="12" t="str">
        <f>IFERROR(__xludf.DUMMYFUNCTION("GOOGLETRANSLATE(H65, ""de"", ""en"")"),"The path is narrow and a tree blocks it. How do you deal with this obstacle?")</f>
        <v>The path is narrow and a tree blocks it. How do you deal with this obstacle?</v>
      </c>
      <c r="C65" s="12" t="s">
        <v>2794</v>
      </c>
      <c r="D65" s="12" t="str">
        <f>IFERROR(__xludf.DUMMYFUNCTION("GOOGLETRANSLATE(J65, ""de"", ""en"")"),"Use a side throw to navigate around.")</f>
        <v>Use a side throw to navigate around.</v>
      </c>
      <c r="E65" s="12" t="str">
        <f>IFERROR(__xludf.DUMMYFUNCTION("GOOGLETRANSLATE(K65, ""de"", ""en"")"),"A side throw helps you to steer the ball around obstacles such as trees.")</f>
        <v>A side throw helps you to steer the ball around obstacles such as trees.</v>
      </c>
      <c r="G65" s="8">
        <v>64.0</v>
      </c>
      <c r="H65" s="7" t="s">
        <v>2795</v>
      </c>
      <c r="I65" s="7" t="s">
        <v>2796</v>
      </c>
      <c r="J65" s="7" t="s">
        <v>2797</v>
      </c>
      <c r="K65" s="7" t="s">
        <v>2798</v>
      </c>
    </row>
    <row r="66" ht="22.5" customHeight="1">
      <c r="A66" s="12" t="str">
        <f>IFERROR(__xludf.DUMMYFUNCTION("GOOGLETRANSLATE(G66, ""de"", ""en"")"),"65")</f>
        <v>65</v>
      </c>
      <c r="B66" s="12" t="str">
        <f>IFERROR(__xludf.DUMMYFUNCTION("GOOGLETRANSLATE(H66, ""de"", ""en"")"),"The course is heavily wooded and has many obstacles along the way. What is your best strategy?")</f>
        <v>The course is heavily wooded and has many obstacles along the way. What is your best strategy?</v>
      </c>
      <c r="C66" s="12" t="s">
        <v>2799</v>
      </c>
      <c r="D66" s="12" t="str">
        <f>IFERROR(__xludf.DUMMYFUNCTION("GOOGLETRANSLATE(J66, ""de"", ""en"")"),"Use a side throw to steer around trees.")</f>
        <v>Use a side throw to steer around trees.</v>
      </c>
      <c r="E66" s="12" t="str">
        <f>IFERROR(__xludf.DUMMYFUNCTION("GOOGLETRANSLATE(K66, ""de"", ""en"")"),"A side throw gives you more control to avoid trees and other obstacles.")</f>
        <v>A side throw gives you more control to avoid trees and other obstacles.</v>
      </c>
      <c r="G66" s="8">
        <v>65.0</v>
      </c>
      <c r="H66" s="7" t="s">
        <v>2800</v>
      </c>
      <c r="I66" s="7" t="s">
        <v>2801</v>
      </c>
      <c r="J66" s="7" t="s">
        <v>2802</v>
      </c>
      <c r="K66" s="7" t="s">
        <v>2803</v>
      </c>
    </row>
    <row r="67" ht="22.5" customHeight="1">
      <c r="A67" s="12" t="str">
        <f>IFERROR(__xludf.DUMMYFUNCTION("GOOGLETRANSLATE(G67, ""de"", ""en"")"),"66")</f>
        <v>66</v>
      </c>
      <c r="B67" s="12" t="str">
        <f>IFERROR(__xludf.DUMMYFUNCTION("GOOGLETRANSLATE(H67, ""de"", ""en"")"),"The ball is flying towards a large rock that's in your way. How do you avoid hitting it?")</f>
        <v>The ball is flying towards a large rock that's in your way. How do you avoid hitting it?</v>
      </c>
      <c r="C67" s="12" t="s">
        <v>2804</v>
      </c>
      <c r="D67" s="12" t="str">
        <f>IFERROR(__xludf.DUMMYFUNCTION("GOOGLETRANSLATE(J67, ""de"", ""en"")"),"Use a side throw to bypass it.")</f>
        <v>Use a side throw to bypass it.</v>
      </c>
      <c r="E67" s="12" t="str">
        <f>IFERROR(__xludf.DUMMYFUNCTION("GOOGLETRANSLATE(K67, ""de"", ""en"")"),"A side throw allows you to avoid large obstacles like stones.")</f>
        <v>A side throw allows you to avoid large obstacles like stones.</v>
      </c>
      <c r="G67" s="8">
        <v>66.0</v>
      </c>
      <c r="H67" s="7" t="s">
        <v>2805</v>
      </c>
      <c r="I67" s="7" t="s">
        <v>2806</v>
      </c>
      <c r="J67" s="7" t="s">
        <v>1614</v>
      </c>
      <c r="K67" s="7" t="s">
        <v>2807</v>
      </c>
    </row>
    <row r="68" ht="22.5" customHeight="1">
      <c r="A68" s="12" t="str">
        <f>IFERROR(__xludf.DUMMYFUNCTION("GOOGLETRANSLATE(G68, ""de"", ""en"")"),"67")</f>
        <v>67</v>
      </c>
      <c r="B68" s="12" t="str">
        <f>IFERROR(__xludf.DUMMYFUNCTION("GOOGLETRANSLATE(H68, ""de"", ""en"")"),"The terrain in front of us consists of a series of small bumps. How do we prevent the ball from bouncing too much?")</f>
        <v>The terrain in front of us consists of a series of small bumps. How do we prevent the ball from bouncing too much?</v>
      </c>
      <c r="C68" s="12" t="s">
        <v>2808</v>
      </c>
      <c r="D68" s="12" t="str">
        <f>IFERROR(__xludf.DUMMYFUNCTION("GOOGLETRANSLATE(J68, ""de"", ""en"")"),"Use a side throw to smooth the path.")</f>
        <v>Use a side throw to smooth the path.</v>
      </c>
      <c r="E68" s="12" t="str">
        <f>IFERROR(__xludf.DUMMYFUNCTION("GOOGLETRANSLATE(K68, ""de"", ""en"")"),"A sideways throw prevents the ball from bouncing and ensures that it remains stable even on uneven surfaces.")</f>
        <v>A sideways throw prevents the ball from bouncing and ensures that it remains stable even on uneven surfaces.</v>
      </c>
      <c r="G68" s="8">
        <v>67.0</v>
      </c>
      <c r="H68" s="7" t="s">
        <v>2809</v>
      </c>
      <c r="I68" s="7" t="s">
        <v>2810</v>
      </c>
      <c r="J68" s="7" t="s">
        <v>2725</v>
      </c>
      <c r="K68" s="7" t="s">
        <v>2811</v>
      </c>
    </row>
    <row r="69" ht="22.5" customHeight="1">
      <c r="A69" s="12" t="str">
        <f>IFERROR(__xludf.DUMMYFUNCTION("GOOGLETRANSLATE(G69, ""de"", ""en"")"),"68")</f>
        <v>68</v>
      </c>
      <c r="B69" s="12" t="str">
        <f>IFERROR(__xludf.DUMMYFUNCTION("GOOGLETRANSLATE(H69, ""de"", ""en"")"),"Your ball is flying downhill too fast. What should you do to slow it down?")</f>
        <v>Your ball is flying downhill too fast. What should you do to slow it down?</v>
      </c>
      <c r="C69" s="12" t="s">
        <v>2812</v>
      </c>
      <c r="D69" s="12" t="str">
        <f>IFERROR(__xludf.DUMMYFUNCTION("GOOGLETRANSLATE(J69, ""de"", ""en"")"),"Use a side throw to reduce speed.")</f>
        <v>Use a side throw to reduce speed.</v>
      </c>
      <c r="E69" s="12" t="str">
        <f>IFERROR(__xludf.DUMMYFUNCTION("GOOGLETRANSLATE(K69, ""de"", ""en"")"),"A side throw helps to control the speed on downhill stretches and prevents the ball from flying too fast.")</f>
        <v>A side throw helps to control the speed on downhill stretches and prevents the ball from flying too fast.</v>
      </c>
      <c r="G69" s="8">
        <v>68.0</v>
      </c>
      <c r="H69" s="7" t="s">
        <v>2813</v>
      </c>
      <c r="I69" s="7" t="s">
        <v>2814</v>
      </c>
      <c r="J69" s="7" t="s">
        <v>2815</v>
      </c>
      <c r="K69" s="7" t="s">
        <v>2816</v>
      </c>
    </row>
    <row r="70" ht="22.5" customHeight="1">
      <c r="A70" s="12" t="str">
        <f>IFERROR(__xludf.DUMMYFUNCTION("GOOGLETRANSLATE(G70, ""de"", ""en"")"),"69")</f>
        <v>69</v>
      </c>
      <c r="B70" s="12" t="str">
        <f>IFERROR(__xludf.DUMMYFUNCTION("GOOGLETRANSLATE(H70, ""de"", ""en"")"),"There's a slight curve ahead, and your ball is losing direction. How do you prepare?")</f>
        <v>There's a slight curve ahead, and your ball is losing direction. How do you prepare?</v>
      </c>
      <c r="C70" s="12" t="s">
        <v>2817</v>
      </c>
      <c r="D70" s="12" t="str">
        <f>IFERROR(__xludf.DUMMYFUNCTION("GOOGLETRANSLATE(J70, ""de"", ""en"")"),"Use a side throw to control it.")</f>
        <v>Use a side throw to control it.</v>
      </c>
      <c r="E70" s="12" t="str">
        <f>IFERROR(__xludf.DUMMYFUNCTION("GOOGLETRANSLATE(K70, ""de"", ""en"")"),"For slight curves, a side throw can help correct the ball's trajectory.")</f>
        <v>For slight curves, a side throw can help correct the ball's trajectory.</v>
      </c>
      <c r="G70" s="8">
        <v>69.0</v>
      </c>
      <c r="H70" s="7" t="s">
        <v>2818</v>
      </c>
      <c r="I70" s="7" t="s">
        <v>2819</v>
      </c>
      <c r="J70" s="7" t="s">
        <v>2665</v>
      </c>
      <c r="K70" s="7" t="s">
        <v>2820</v>
      </c>
    </row>
    <row r="71" ht="22.5" customHeight="1">
      <c r="A71" s="12" t="str">
        <f>IFERROR(__xludf.DUMMYFUNCTION("GOOGLETRANSLATE(G71, ""de"", ""en"")"),"70")</f>
        <v>70</v>
      </c>
      <c r="B71" s="12" t="str">
        <f>IFERROR(__xludf.DUMMYFUNCTION("GOOGLETRANSLATE(H71, ""de"", ""en"")"),"You come across a soft patch of grass. How do you handle the situation?")</f>
        <v>You come across a soft patch of grass. How do you handle the situation?</v>
      </c>
      <c r="C71" s="12" t="s">
        <v>2821</v>
      </c>
      <c r="D71" s="12" t="str">
        <f>IFERROR(__xludf.DUMMYFUNCTION("GOOGLETRANSLATE(J71, ""de"", ""en"")"),"Use a side throw to glide over it.")</f>
        <v>Use a side throw to glide over it.</v>
      </c>
      <c r="E71" s="12" t="str">
        <f>IFERROR(__xludf.DUMMYFUNCTION("GOOGLETRANSLATE(K71, ""de"", ""en"")"),"A side throw allows the ball to move gently over soft surfaces like grass.")</f>
        <v>A side throw allows the ball to move gently over soft surfaces like grass.</v>
      </c>
      <c r="G71" s="8">
        <v>70.0</v>
      </c>
      <c r="H71" s="7" t="s">
        <v>2822</v>
      </c>
      <c r="I71" s="7" t="s">
        <v>2823</v>
      </c>
      <c r="J71" s="7" t="s">
        <v>2824</v>
      </c>
      <c r="K71" s="7" t="s">
        <v>2825</v>
      </c>
    </row>
    <row r="72" ht="22.5" customHeight="1">
      <c r="A72" s="12" t="str">
        <f>IFERROR(__xludf.DUMMYFUNCTION("GOOGLETRANSLATE(G72, ""de"", ""en"")"),"71")</f>
        <v>71</v>
      </c>
      <c r="B72" s="12" t="str">
        <f>IFERROR(__xludf.DUMMYFUNCTION("GOOGLETRANSLATE(H72, ""de"", ""en"")"),"The court is bumpy and your ball goes off course. What do you do?")</f>
        <v>The court is bumpy and your ball goes off course. What do you do?</v>
      </c>
      <c r="C72" s="12" t="s">
        <v>2826</v>
      </c>
      <c r="D72" s="12" t="str">
        <f>IFERROR(__xludf.DUMMYFUNCTION("GOOGLETRANSLATE(J72, ""de"", ""en"")"),"Return it with a side throw")</f>
        <v>Return it with a side throw</v>
      </c>
      <c r="E72" s="12" t="str">
        <f>IFERROR(__xludf.DUMMYFUNCTION("GOOGLETRANSLATE(K72, ""de"", ""en"")"),"A side throw helps to get the ball back on track after it has bounced on uneven surfaces.")</f>
        <v>A side throw helps to get the ball back on track after it has bounced on uneven surfaces.</v>
      </c>
      <c r="G72" s="8">
        <v>71.0</v>
      </c>
      <c r="H72" s="7" t="s">
        <v>2827</v>
      </c>
      <c r="I72" s="7" t="s">
        <v>2828</v>
      </c>
      <c r="J72" s="7" t="s">
        <v>2829</v>
      </c>
      <c r="K72" s="7" t="s">
        <v>2830</v>
      </c>
    </row>
    <row r="73" ht="22.5" customHeight="1">
      <c r="A73" s="12" t="str">
        <f>IFERROR(__xludf.DUMMYFUNCTION("GOOGLETRANSLATE(G73, ""de"", ""en"")"),"72")</f>
        <v>72</v>
      </c>
      <c r="B73" s="12" t="str">
        <f>IFERROR(__xludf.DUMMYFUNCTION("GOOGLETRANSLATE(H73, ""de"", ""en"")"),"You're on a long, straight stretch of road, but your ball is losing speed. What should you do?")</f>
        <v>You're on a long, straight stretch of road, but your ball is losing speed. What should you do?</v>
      </c>
      <c r="C73" s="12" t="s">
        <v>2831</v>
      </c>
      <c r="D73" s="12" t="str">
        <f>IFERROR(__xludf.DUMMYFUNCTION("GOOGLETRANSLATE(J73, ""de"", ""en"")"),"Throw harder to maintain momentum.")</f>
        <v>Throw harder to maintain momentum.</v>
      </c>
      <c r="E73" s="12" t="str">
        <f>IFERROR(__xludf.DUMMYFUNCTION("GOOGLETRANSLATE(K73, ""de"", ""en"")"),"Throwing the ball harder keeps it moving at a consistent rate over long distances.")</f>
        <v>Throwing the ball harder keeps it moving at a consistent rate over long distances.</v>
      </c>
      <c r="G73" s="8">
        <v>72.0</v>
      </c>
      <c r="H73" s="7" t="s">
        <v>2832</v>
      </c>
      <c r="I73" s="7" t="s">
        <v>2833</v>
      </c>
      <c r="J73" s="7" t="s">
        <v>2595</v>
      </c>
      <c r="K73" s="7" t="s">
        <v>2834</v>
      </c>
    </row>
    <row r="74" ht="22.5" customHeight="1">
      <c r="A74" s="12" t="str">
        <f>IFERROR(__xludf.DUMMYFUNCTION("GOOGLETRANSLATE(G74, ""de"", ""en"")"),"73")</f>
        <v>73</v>
      </c>
      <c r="B74" s="12" t="str">
        <f>IFERROR(__xludf.DUMMYFUNCTION("GOOGLETRANSLATE(H74, ""de"", ""en"")"),"You are on a narrow path with a sharp bend ahead. How do you set up your throw?")</f>
        <v>You are on a narrow path with a sharp bend ahead. How do you set up your throw?</v>
      </c>
      <c r="C74" s="12" t="s">
        <v>2835</v>
      </c>
      <c r="D74" s="12" t="str">
        <f>IFERROR(__xludf.DUMMYFUNCTION("GOOGLETRANSLATE(J74, ""de"", ""en"")"),"Use a side throw to guide it around.")</f>
        <v>Use a side throw to guide it around.</v>
      </c>
      <c r="E74" s="12" t="str">
        <f>IFERROR(__xludf.DUMMYFUNCTION("GOOGLETRANSLATE(K74, ""de"", ""en"")"),"A side throw helps you to master sharp turns without losing control.")</f>
        <v>A side throw helps you to master sharp turns without losing control.</v>
      </c>
      <c r="G74" s="8">
        <v>73.0</v>
      </c>
      <c r="H74" s="7" t="s">
        <v>2836</v>
      </c>
      <c r="I74" s="7" t="s">
        <v>2837</v>
      </c>
      <c r="J74" s="7" t="s">
        <v>2838</v>
      </c>
      <c r="K74" s="7" t="s">
        <v>2839</v>
      </c>
    </row>
    <row r="75" ht="22.5" customHeight="1">
      <c r="A75" s="12" t="str">
        <f>IFERROR(__xludf.DUMMYFUNCTION("GOOGLETRANSLATE(G75, ""de"", ""en"")"),"74")</f>
        <v>74</v>
      </c>
      <c r="B75" s="12" t="str">
        <f>IFERROR(__xludf.DUMMYFUNCTION("GOOGLETRANSLATE(H75, ""de"", ""en"")"),"Your ball is about to hit a steep slope and is losing speed. What should you do?")</f>
        <v>Your ball is about to hit a steep slope and is losing speed. What should you do?</v>
      </c>
      <c r="C75" s="12" t="s">
        <v>2840</v>
      </c>
      <c r="D75" s="12" t="str">
        <f>IFERROR(__xludf.DUMMYFUNCTION("GOOGLETRANSLATE(J75, ""de"", ""en"")"),"Throw harder to maintain momentum.")</f>
        <v>Throw harder to maintain momentum.</v>
      </c>
      <c r="E75" s="12" t="str">
        <f>IFERROR(__xludf.DUMMYFUNCTION("GOOGLETRANSLATE(K75, ""de"", ""en"")"),"A more powerful throw helps to maintain momentum when approaching inclines.")</f>
        <v>A more powerful throw helps to maintain momentum when approaching inclines.</v>
      </c>
      <c r="G75" s="8">
        <v>74.0</v>
      </c>
      <c r="H75" s="7" t="s">
        <v>2841</v>
      </c>
      <c r="I75" s="7" t="s">
        <v>2842</v>
      </c>
      <c r="J75" s="7" t="s">
        <v>2595</v>
      </c>
      <c r="K75" s="7" t="s">
        <v>2843</v>
      </c>
    </row>
    <row r="76" ht="22.5" customHeight="1">
      <c r="A76" s="12" t="str">
        <f>IFERROR(__xludf.DUMMYFUNCTION("GOOGLETRANSLATE(G76, ""de"", ""en"")"),"75")</f>
        <v>75</v>
      </c>
      <c r="B76" s="12" t="str">
        <f>IFERROR(__xludf.DUMMYFUNCTION("GOOGLETRANSLATE(H76, ""de"", ""en"")"),"The course features many narrow sections with obstacles. What is your best strategy to avoid them?")</f>
        <v>The course features many narrow sections with obstacles. What is your best strategy to avoid them?</v>
      </c>
      <c r="C76" s="12" t="s">
        <v>2844</v>
      </c>
      <c r="D76" s="12" t="str">
        <f>IFERROR(__xludf.DUMMYFUNCTION("GOOGLETRANSLATE(J76, ""de"", ""en"")"),"Use a side throw to navigate through it.")</f>
        <v>Use a side throw to navigate through it.</v>
      </c>
      <c r="E76" s="12" t="str">
        <f>IFERROR(__xludf.DUMMYFUNCTION("GOOGLETRANSLATE(K76, ""de"", ""en"")"),"A side throw helps to maneuver through narrow passages and avoid obstacles.")</f>
        <v>A side throw helps to maneuver through narrow passages and avoid obstacles.</v>
      </c>
      <c r="G76" s="8">
        <v>75.0</v>
      </c>
      <c r="H76" s="7" t="s">
        <v>2845</v>
      </c>
      <c r="I76" s="7" t="s">
        <v>2846</v>
      </c>
      <c r="J76" s="7" t="s">
        <v>2847</v>
      </c>
      <c r="K76" s="7" t="s">
        <v>2848</v>
      </c>
    </row>
    <row r="77" ht="22.5" customHeight="1">
      <c r="A77" s="12" t="str">
        <f>IFERROR(__xludf.DUMMYFUNCTION("GOOGLETRANSLATE(G77, ""de"", ""en"")"),"76")</f>
        <v>76</v>
      </c>
      <c r="B77" s="12" t="str">
        <f>IFERROR(__xludf.DUMMYFUNCTION("GOOGLETRANSLATE(H77, ""de"", ""en"")"),"Your ball is about to collide with a large obstacle, but you don't want to hit it directly. How do you avoid that?")</f>
        <v>Your ball is about to collide with a large obstacle, but you don't want to hit it directly. How do you avoid that?</v>
      </c>
      <c r="C77" s="12" t="s">
        <v>2849</v>
      </c>
      <c r="D77" s="12" t="str">
        <f>IFERROR(__xludf.DUMMYFUNCTION("GOOGLETRANSLATE(J77, ""de"", ""en"")"),"Use a side throw to bypass it.")</f>
        <v>Use a side throw to bypass it.</v>
      </c>
      <c r="E77" s="12" t="str">
        <f>IFERROR(__xludf.DUMMYFUNCTION("GOOGLETRANSLATE(K77, ""de"", ""en"")"),"A side throw allows you to gently steer the ball around obstacles without hitting them directly.")</f>
        <v>A side throw allows you to gently steer the ball around obstacles without hitting them directly.</v>
      </c>
      <c r="G77" s="8">
        <v>76.0</v>
      </c>
      <c r="H77" s="7" t="s">
        <v>2850</v>
      </c>
      <c r="I77" s="7" t="s">
        <v>2851</v>
      </c>
      <c r="J77" s="7" t="s">
        <v>1614</v>
      </c>
      <c r="K77" s="7" t="s">
        <v>2852</v>
      </c>
    </row>
    <row r="78" ht="22.5" customHeight="1">
      <c r="A78" s="12" t="str">
        <f>IFERROR(__xludf.DUMMYFUNCTION("GOOGLETRANSLATE(G78, ""de"", ""en"")"),"77")</f>
        <v>77</v>
      </c>
      <c r="B78" s="12" t="str">
        <f>IFERROR(__xludf.DUMMYFUNCTION("GOOGLETRANSLATE(H78, ""de"", ""en"")"),"The course has many twists and turns. What's your best strategy to stay on the right track?")</f>
        <v>The course has many twists and turns. What's your best strategy to stay on the right track?</v>
      </c>
      <c r="C78" s="12" t="s">
        <v>2853</v>
      </c>
      <c r="D78" s="12" t="str">
        <f>IFERROR(__xludf.DUMMYFUNCTION("GOOGLETRANSLATE(J78, ""de"", ""en"")"),"Use a side throw to stay in line.")</f>
        <v>Use a side throw to stay in line.</v>
      </c>
      <c r="E78" s="12" t="str">
        <f>IFERROR(__xludf.DUMMYFUNCTION("GOOGLETRANSLATE(K78, ""de"", ""en"")"),"A side throw helps to keep the ball on track during curves and turns.")</f>
        <v>A side throw helps to keep the ball on track during curves and turns.</v>
      </c>
      <c r="G78" s="8">
        <v>77.0</v>
      </c>
      <c r="H78" s="7" t="s">
        <v>2854</v>
      </c>
      <c r="I78" s="7" t="s">
        <v>2855</v>
      </c>
      <c r="J78" s="7" t="s">
        <v>2856</v>
      </c>
      <c r="K78" s="7" t="s">
        <v>2857</v>
      </c>
    </row>
    <row r="79" ht="22.5" customHeight="1">
      <c r="A79" s="12" t="str">
        <f>IFERROR(__xludf.DUMMYFUNCTION("GOOGLETRANSLATE(G79, ""de"", ""en"")"),"78")</f>
        <v>78</v>
      </c>
      <c r="B79" s="12" t="str">
        <f>IFERROR(__xludf.DUMMYFUNCTION("GOOGLETRANSLATE(H79, ""de"", ""en"")"),"After a rain shower, the ground is very wet and your ball is slippery. What do you do?")</f>
        <v>After a rain shower, the ground is very wet and your ball is slippery. What do you do?</v>
      </c>
      <c r="C79" s="12" t="s">
        <v>2858</v>
      </c>
      <c r="D79" s="12" t="str">
        <f>IFERROR(__xludf.DUMMYFUNCTION("GOOGLETRANSLATE(J79, ""de"", ""en"")"),"Use a side throw to stabilize it.")</f>
        <v>Use a side throw to stabilize it.</v>
      </c>
      <c r="E79" s="12" t="str">
        <f>IFERROR(__xludf.DUMMYFUNCTION("GOOGLETRANSLATE(K79, ""de"", ""en"")"),"A side throw prevents the ball from slipping on wet surfaces.")</f>
        <v>A side throw prevents the ball from slipping on wet surfaces.</v>
      </c>
      <c r="G79" s="8">
        <v>78.0</v>
      </c>
      <c r="H79" s="7" t="s">
        <v>2859</v>
      </c>
      <c r="I79" s="7" t="s">
        <v>2860</v>
      </c>
      <c r="J79" s="7" t="s">
        <v>2788</v>
      </c>
      <c r="K79" s="7" t="s">
        <v>2861</v>
      </c>
    </row>
    <row r="80" ht="22.5" customHeight="1">
      <c r="A80" s="12" t="str">
        <f>IFERROR(__xludf.DUMMYFUNCTION("GOOGLETRANSLATE(G80, ""de"", ""en"")"),"79")</f>
        <v>79</v>
      </c>
      <c r="B80" s="12" t="str">
        <f>IFERROR(__xludf.DUMMYFUNCTION("GOOGLETRANSLATE(H80, ""de"", ""en"")"),"You're nearing the end of the course and your ball is about to hit a large rock. What should you do?")</f>
        <v>You're nearing the end of the course and your ball is about to hit a large rock. What should you do?</v>
      </c>
      <c r="C80" s="12" t="s">
        <v>2862</v>
      </c>
      <c r="D80" s="12" t="str">
        <f>IFERROR(__xludf.DUMMYFUNCTION("GOOGLETRANSLATE(J80, ""de"", ""en"")"),"Use a side throw to navigate around.")</f>
        <v>Use a side throw to navigate around.</v>
      </c>
      <c r="E80" s="12" t="str">
        <f>IFERROR(__xludf.DUMMYFUNCTION("GOOGLETRANSLATE(K80, ""de"", ""en"")"),"A side throw helps you to avoid large obstacles such as rocks.")</f>
        <v>A side throw helps you to avoid large obstacles such as rocks.</v>
      </c>
      <c r="G80" s="8">
        <v>79.0</v>
      </c>
      <c r="H80" s="7" t="s">
        <v>2863</v>
      </c>
      <c r="I80" s="7" t="s">
        <v>2864</v>
      </c>
      <c r="J80" s="7" t="s">
        <v>2797</v>
      </c>
      <c r="K80" s="7" t="s">
        <v>2865</v>
      </c>
    </row>
    <row r="81" ht="22.5" customHeight="1">
      <c r="A81" s="12" t="str">
        <f>IFERROR(__xludf.DUMMYFUNCTION("GOOGLETRANSLATE(G81, ""de"", ""en"")"),"80")</f>
        <v>80</v>
      </c>
      <c r="B81" s="12" t="str">
        <f>IFERROR(__xludf.DUMMYFUNCTION("GOOGLETRANSLATE(H81, ""de"", ""en"")"),"Your ball is about to roll into a thick patch of mud. What's the best way to avoid this?")</f>
        <v>Your ball is about to roll into a thick patch of mud. What's the best way to avoid this?</v>
      </c>
      <c r="C81" s="12" t="s">
        <v>2866</v>
      </c>
      <c r="D81" s="12" t="str">
        <f>IFERROR(__xludf.DUMMYFUNCTION("GOOGLETRANSLATE(J81, ""de"", ""en"")"),"Use a side throw to steer around.")</f>
        <v>Use a side throw to steer around.</v>
      </c>
      <c r="E81" s="12" t="str">
        <f>IFERROR(__xludf.DUMMYFUNCTION("GOOGLETRANSLATE(K81, ""de"", ""en"")"),"A side throw helps to deflect the ball around thick patches of mud without sinking into them.")</f>
        <v>A side throw helps to deflect the ball around thick patches of mud without sinking into them.</v>
      </c>
      <c r="G81" s="8">
        <v>80.0</v>
      </c>
      <c r="H81" s="7" t="s">
        <v>2867</v>
      </c>
      <c r="I81" s="7" t="s">
        <v>2868</v>
      </c>
      <c r="J81" s="7" t="s">
        <v>2710</v>
      </c>
      <c r="K81" s="7" t="s">
        <v>2869</v>
      </c>
    </row>
    <row r="82" ht="22.5" customHeight="1">
      <c r="A82" s="12" t="str">
        <f>IFERROR(__xludf.DUMMYFUNCTION("GOOGLETRANSLATE(G82, ""de"", ""en"")"),"81")</f>
        <v>81</v>
      </c>
      <c r="B82" s="12" t="str">
        <f>IFERROR(__xludf.DUMMYFUNCTION("GOOGLETRANSLATE(H82, ""de"", ""en"")"),"The surface is uneven and your ball is losing speed. What should you do to keep it moving?")</f>
        <v>The surface is uneven and your ball is losing speed. What should you do to keep it moving?</v>
      </c>
      <c r="C82" s="12" t="s">
        <v>2870</v>
      </c>
      <c r="D82" s="12" t="str">
        <f>IFERROR(__xludf.DUMMYFUNCTION("GOOGLETRANSLATE(J82, ""de"", ""en"")"),"Use a side shot to guide it over uneven ground.")</f>
        <v>Use a side shot to guide it over uneven ground.</v>
      </c>
      <c r="E82" s="12" t="str">
        <f>IFERROR(__xludf.DUMMYFUNCTION("GOOGLETRANSLATE(K82, ""de"", ""en"")"),"A side shot helps to maintain a smooth movement over uneven terrain.")</f>
        <v>A side shot helps to maintain a smooth movement over uneven terrain.</v>
      </c>
      <c r="G82" s="8">
        <v>81.0</v>
      </c>
      <c r="H82" s="7" t="s">
        <v>2871</v>
      </c>
      <c r="I82" s="7" t="s">
        <v>2872</v>
      </c>
      <c r="J82" s="7" t="s">
        <v>2873</v>
      </c>
      <c r="K82" s="7" t="s">
        <v>2874</v>
      </c>
    </row>
    <row r="83" ht="22.5" customHeight="1">
      <c r="A83" s="12" t="str">
        <f>IFERROR(__xludf.DUMMYFUNCTION("GOOGLETRANSLATE(G83, ""de"", ""en"")"),"82")</f>
        <v>82</v>
      </c>
      <c r="B83" s="12" t="str">
        <f>IFERROR(__xludf.DUMMYFUNCTION("GOOGLETRANSLATE(H83, ""de"", ""en"")"),"Your ball is moving towards a slight incline. What should you do to make it continue?")</f>
        <v>Your ball is moving towards a slight incline. What should you do to make it continue?</v>
      </c>
      <c r="C83" s="12" t="s">
        <v>2875</v>
      </c>
      <c r="D83" s="12" t="str">
        <f>IFERROR(__xludf.DUMMYFUNCTION("GOOGLETRANSLATE(J83, ""de"", ""en"")"),"Use a side shot to maintain control.")</f>
        <v>Use a side shot to maintain control.</v>
      </c>
      <c r="E83" s="12" t="str">
        <f>IFERROR(__xludf.DUMMYFUNCTION("GOOGLETRANSLATE(K83, ""de"", ""en"")"),"A side shot can help to gently guide the ball up a slight incline.")</f>
        <v>A side shot can help to gently guide the ball up a slight incline.</v>
      </c>
      <c r="G83" s="8">
        <v>82.0</v>
      </c>
      <c r="H83" s="7" t="s">
        <v>2876</v>
      </c>
      <c r="I83" s="7" t="s">
        <v>2877</v>
      </c>
      <c r="J83" s="7" t="s">
        <v>2878</v>
      </c>
      <c r="K83" s="7" t="s">
        <v>2879</v>
      </c>
    </row>
    <row r="84" ht="22.5" customHeight="1">
      <c r="A84" s="12" t="str">
        <f>IFERROR(__xludf.DUMMYFUNCTION("GOOGLETRANSLATE(G84, ""de"", ""en"")"),"83")</f>
        <v>83</v>
      </c>
      <c r="B84" s="12" t="str">
        <f>IFERROR(__xludf.DUMMYFUNCTION("GOOGLETRANSLATE(H84, ""de"", ""en"")"),"The ball is flying towards a patch of sand. How do you prevent it from getting stuck?")</f>
        <v>The ball is flying towards a patch of sand. How do you prevent it from getting stuck?</v>
      </c>
      <c r="C84" s="12" t="s">
        <v>2880</v>
      </c>
      <c r="D84" s="12" t="str">
        <f>IFERROR(__xludf.DUMMYFUNCTION("GOOGLETRANSLATE(J84, ""de"", ""en"")"),"Use a side throw to glide over it.")</f>
        <v>Use a side throw to glide over it.</v>
      </c>
      <c r="E84" s="12" t="str">
        <f>IFERROR(__xludf.DUMMYFUNCTION("GOOGLETRANSLATE(K84, ""de"", ""en"")"),"A side throw allows you to glide over sandy areas without the ball sinking in.")</f>
        <v>A side throw allows you to glide over sandy areas without the ball sinking in.</v>
      </c>
      <c r="G84" s="8">
        <v>83.0</v>
      </c>
      <c r="H84" s="7" t="s">
        <v>2881</v>
      </c>
      <c r="I84" s="7" t="s">
        <v>2882</v>
      </c>
      <c r="J84" s="7" t="s">
        <v>2824</v>
      </c>
      <c r="K84" s="7" t="s">
        <v>2883</v>
      </c>
    </row>
    <row r="85" ht="22.5" customHeight="1">
      <c r="A85" s="12" t="str">
        <f>IFERROR(__xludf.DUMMYFUNCTION("GOOGLETRANSLATE(G85, ""de"", ""en"")"),"84")</f>
        <v>84</v>
      </c>
      <c r="B85" s="12" t="str">
        <f>IFERROR(__xludf.DUMMYFUNCTION("GOOGLETRANSLATE(H85, ""de"", ""en"")"),"Your ball is rolling towards a steep hill. What's the best way to handle this situation?")</f>
        <v>Your ball is rolling towards a steep hill. What's the best way to handle this situation?</v>
      </c>
      <c r="C85" s="12" t="s">
        <v>2884</v>
      </c>
      <c r="D85" s="12" t="str">
        <f>IFERROR(__xludf.DUMMYFUNCTION("GOOGLETRANSLATE(J85, ""de"", ""en"")"),"Use a side throw to control the speed.")</f>
        <v>Use a side throw to control the speed.</v>
      </c>
      <c r="E85" s="12" t="str">
        <f>IFERROR(__xludf.DUMMYFUNCTION("GOOGLETRANSLATE(K85, ""de"", ""en"")"),"A side throw can help control speed when approaching a hill.")</f>
        <v>A side throw can help control speed when approaching a hill.</v>
      </c>
      <c r="G85" s="8">
        <v>84.0</v>
      </c>
      <c r="H85" s="7" t="s">
        <v>2885</v>
      </c>
      <c r="I85" s="7" t="s">
        <v>2886</v>
      </c>
      <c r="J85" s="7" t="s">
        <v>2748</v>
      </c>
      <c r="K85" s="7" t="s">
        <v>2887</v>
      </c>
    </row>
    <row r="86" ht="22.5" customHeight="1">
      <c r="A86" s="12" t="str">
        <f>IFERROR(__xludf.DUMMYFUNCTION("GOOGLETRANSLATE(G86, ""de"", ""en"")"),"85")</f>
        <v>85</v>
      </c>
      <c r="B86" s="12" t="str">
        <f>IFERROR(__xludf.DUMMYFUNCTION("GOOGLETRANSLATE(H86, ""de"", ""en"")"),"The ball is approaching a large rock in the path. How can you avoid hitting it?")</f>
        <v>The ball is approaching a large rock in the path. How can you avoid hitting it?</v>
      </c>
      <c r="C86" s="12" t="s">
        <v>2888</v>
      </c>
      <c r="D86" s="12" t="str">
        <f>IFERROR(__xludf.DUMMYFUNCTION("GOOGLETRANSLATE(J86, ""de"", ""en"")"),"Use a side throw to avoid this.")</f>
        <v>Use a side throw to avoid this.</v>
      </c>
      <c r="E86" s="12" t="str">
        <f>IFERROR(__xludf.DUMMYFUNCTION("GOOGLETRANSLATE(K86, ""de"", ""en"")"),"A side throw allows you to avoid large obstacles such as stones.")</f>
        <v>A side throw allows you to avoid large obstacles such as stones.</v>
      </c>
      <c r="G86" s="8">
        <v>85.0</v>
      </c>
      <c r="H86" s="7" t="s">
        <v>2889</v>
      </c>
      <c r="I86" s="7" t="s">
        <v>2890</v>
      </c>
      <c r="J86" s="7" t="s">
        <v>1406</v>
      </c>
      <c r="K86" s="7" t="s">
        <v>2891</v>
      </c>
    </row>
    <row r="87" ht="22.5" customHeight="1">
      <c r="A87" s="12" t="str">
        <f>IFERROR(__xludf.DUMMYFUNCTION("GOOGLETRANSLATE(G87, ""de"", ""en"")"),"86")</f>
        <v>86</v>
      </c>
      <c r="B87" s="12" t="str">
        <f>IFERROR(__xludf.DUMMYFUNCTION("GOOGLETRANSLATE(H87, ""de"", ""en"")"),"Your ball is about to hit a tree in the middle of the path. What is your best move?")</f>
        <v>Your ball is about to hit a tree in the middle of the path. What is your best move?</v>
      </c>
      <c r="C87" s="12" t="s">
        <v>2892</v>
      </c>
      <c r="D87" s="12" t="str">
        <f>IFERROR(__xludf.DUMMYFUNCTION("GOOGLETRANSLATE(J87, ""de"", ""en"")"),"Use a side throw to bypass it.")</f>
        <v>Use a side throw to bypass it.</v>
      </c>
      <c r="E87" s="12" t="str">
        <f>IFERROR(__xludf.DUMMYFUNCTION("GOOGLETRANSLATE(K87, ""de"", ""en"")"),"A side throw is useful for avoiding obstacles such as trees.")</f>
        <v>A side throw is useful for avoiding obstacles such as trees.</v>
      </c>
      <c r="G87" s="8">
        <v>86.0</v>
      </c>
      <c r="H87" s="7" t="s">
        <v>2893</v>
      </c>
      <c r="I87" s="7" t="s">
        <v>2894</v>
      </c>
      <c r="J87" s="7" t="s">
        <v>1614</v>
      </c>
      <c r="K87" s="7" t="s">
        <v>2895</v>
      </c>
    </row>
    <row r="88" ht="22.5" customHeight="1">
      <c r="A88" s="12" t="str">
        <f>IFERROR(__xludf.DUMMYFUNCTION("GOOGLETRANSLATE(G88, ""de"", ""en"")"),"87")</f>
        <v>87</v>
      </c>
      <c r="B88" s="12" t="str">
        <f>IFERROR(__xludf.DUMMYFUNCTION("GOOGLETRANSLATE(H88, ""de"", ""en"")"),"The terrain is rocky and your ball bounces off course. How do you regain control?")</f>
        <v>The terrain is rocky and your ball bounces off course. How do you regain control?</v>
      </c>
      <c r="C88" s="12" t="s">
        <v>2896</v>
      </c>
      <c r="D88" s="12" t="str">
        <f>IFERROR(__xludf.DUMMYFUNCTION("GOOGLETRANSLATE(J88, ""de"", ""en"")"),"Use a side throw to guide it.")</f>
        <v>Use a side throw to guide it.</v>
      </c>
      <c r="E88" s="12" t="str">
        <f>IFERROR(__xludf.DUMMYFUNCTION("GOOGLETRANSLATE(K88, ""de"", ""en"")"),"A side throw helps to stabilize the ball when it bounces off rocky terrain.")</f>
        <v>A side throw helps to stabilize the ball when it bounces off rocky terrain.</v>
      </c>
      <c r="G88" s="8">
        <v>87.0</v>
      </c>
      <c r="H88" s="7" t="s">
        <v>2897</v>
      </c>
      <c r="I88" s="7" t="s">
        <v>2898</v>
      </c>
      <c r="J88" s="7" t="s">
        <v>2899</v>
      </c>
      <c r="K88" s="7" t="s">
        <v>2900</v>
      </c>
    </row>
    <row r="89" ht="22.5" customHeight="1">
      <c r="A89" s="12" t="str">
        <f>IFERROR(__xludf.DUMMYFUNCTION("GOOGLETRANSLATE(G89, ""de"", ""en"")"),"88")</f>
        <v>88</v>
      </c>
      <c r="B89" s="12" t="str">
        <f>IFERROR(__xludf.DUMMYFUNCTION("GOOGLETRANSLATE(H89, ""de"", ""en"")"),"Your ball is flying towards a large bush. How do you avoid it?")</f>
        <v>Your ball is flying towards a large bush. How do you avoid it?</v>
      </c>
      <c r="C89" s="12" t="s">
        <v>2901</v>
      </c>
      <c r="D89" s="12" t="str">
        <f>IFERROR(__xludf.DUMMYFUNCTION("GOOGLETRANSLATE(J89, ""de"", ""en"")"),"Use a side throw to bypass it.")</f>
        <v>Use a side throw to bypass it.</v>
      </c>
      <c r="E89" s="12" t="str">
        <f>IFERROR(__xludf.DUMMYFUNCTION("GOOGLETRANSLATE(K89, ""de"", ""en"")"),"A side throw can help to deflect the ball around obstacles such as bushes.")</f>
        <v>A side throw can help to deflect the ball around obstacles such as bushes.</v>
      </c>
      <c r="G89" s="8">
        <v>88.0</v>
      </c>
      <c r="H89" s="7" t="s">
        <v>2902</v>
      </c>
      <c r="I89" s="7" t="s">
        <v>2903</v>
      </c>
      <c r="J89" s="7" t="s">
        <v>1614</v>
      </c>
      <c r="K89" s="7" t="s">
        <v>2904</v>
      </c>
    </row>
    <row r="90" ht="22.5" customHeight="1">
      <c r="A90" s="12" t="str">
        <f>IFERROR(__xludf.DUMMYFUNCTION("GOOGLETRANSLATE(G90, ""de"", ""en"")"),"89")</f>
        <v>89</v>
      </c>
      <c r="B90" s="12" t="str">
        <f>IFERROR(__xludf.DUMMYFUNCTION("GOOGLETRANSLATE(H90, ""de"", ""en"")"),"A sharp bend lies ahead. What should you do to keep your ball on course?")</f>
        <v>A sharp bend lies ahead. What should you do to keep your ball on course?</v>
      </c>
      <c r="C90" s="12" t="s">
        <v>2905</v>
      </c>
      <c r="D90" s="12" t="str">
        <f>IFERROR(__xludf.DUMMYFUNCTION("GOOGLETRANSLATE(J90, ""de"", ""en"")"),"Use a side throw to guide it.")</f>
        <v>Use a side throw to guide it.</v>
      </c>
      <c r="E90" s="12" t="str">
        <f>IFERROR(__xludf.DUMMYFUNCTION("GOOGLETRANSLATE(K90, ""de"", ""en"")"),"A side throw is ideal for guiding the ball through sharp curves.")</f>
        <v>A side throw is ideal for guiding the ball through sharp curves.</v>
      </c>
      <c r="G90" s="8">
        <v>89.0</v>
      </c>
      <c r="H90" s="7" t="s">
        <v>2906</v>
      </c>
      <c r="I90" s="7" t="s">
        <v>2907</v>
      </c>
      <c r="J90" s="7" t="s">
        <v>2899</v>
      </c>
      <c r="K90" s="7" t="s">
        <v>2908</v>
      </c>
    </row>
    <row r="91" ht="22.5" customHeight="1">
      <c r="A91" s="12" t="str">
        <f>IFERROR(__xludf.DUMMYFUNCTION("GOOGLETRANSLATE(G91, ""de"", ""en"")"),"90")</f>
        <v>90</v>
      </c>
      <c r="B91" s="12" t="str">
        <f>IFERROR(__xludf.DUMMYFUNCTION("GOOGLETRANSLATE(H91, ""de"", ""en"")"),"The ball is approaching a patch of mud. What is your strategy to avoid this?")</f>
        <v>The ball is approaching a patch of mud. What is your strategy to avoid this?</v>
      </c>
      <c r="C91" s="12" t="s">
        <v>2909</v>
      </c>
      <c r="D91" s="12" t="str">
        <f>IFERROR(__xludf.DUMMYFUNCTION("GOOGLETRANSLATE(J91, ""de"", ""en"")"),"Use a side throw to bypass it.")</f>
        <v>Use a side throw to bypass it.</v>
      </c>
      <c r="E91" s="12" t="str">
        <f>IFERROR(__xludf.DUMMYFUNCTION("GOOGLETRANSLATE(K91, ""de"", ""en"")"),"A side throw prevents the ball from getting stuck in the mud.")</f>
        <v>A side throw prevents the ball from getting stuck in the mud.</v>
      </c>
      <c r="G91" s="8">
        <v>90.0</v>
      </c>
      <c r="H91" s="7" t="s">
        <v>2910</v>
      </c>
      <c r="I91" s="7" t="s">
        <v>2911</v>
      </c>
      <c r="J91" s="7" t="s">
        <v>1614</v>
      </c>
      <c r="K91" s="7" t="s">
        <v>2768</v>
      </c>
    </row>
    <row r="92" ht="22.5" customHeight="1">
      <c r="A92" s="12" t="str">
        <f>IFERROR(__xludf.DUMMYFUNCTION("GOOGLETRANSLATE(G92, ""de"", ""en"")"),"91")</f>
        <v>91</v>
      </c>
      <c r="B92" s="12" t="str">
        <f>IFERROR(__xludf.DUMMYFUNCTION("GOOGLETRANSLATE(H92, ""de"", ""en"")"),"Your ball is rolling down a steep slope. How do you control its speed?")</f>
        <v>Your ball is rolling down a steep slope. How do you control its speed?</v>
      </c>
      <c r="C92" s="12" t="s">
        <v>2912</v>
      </c>
      <c r="D92" s="12" t="str">
        <f>IFERROR(__xludf.DUMMYFUNCTION("GOOGLETRANSLATE(J92, ""de"", ""en"")"),"Use a side throw to reduce speed.")</f>
        <v>Use a side throw to reduce speed.</v>
      </c>
      <c r="E92" s="12" t="str">
        <f>IFERROR(__xludf.DUMMYFUNCTION("GOOGLETRANSLATE(K92, ""de"", ""en"")"),"A side throw helps to control the speed of the ball as it travels down a slope.")</f>
        <v>A side throw helps to control the speed of the ball as it travels down a slope.</v>
      </c>
      <c r="G92" s="8">
        <v>91.0</v>
      </c>
      <c r="H92" s="7" t="s">
        <v>2913</v>
      </c>
      <c r="I92" s="7" t="s">
        <v>2914</v>
      </c>
      <c r="J92" s="7" t="s">
        <v>2815</v>
      </c>
      <c r="K92" s="7" t="s">
        <v>2915</v>
      </c>
    </row>
    <row r="93" ht="22.5" customHeight="1">
      <c r="A93" s="12" t="str">
        <f>IFERROR(__xludf.DUMMYFUNCTION("GOOGLETRANSLATE(G93, ""de"", ""en"")"),"92")</f>
        <v>92</v>
      </c>
      <c r="B93" s="12" t="str">
        <f>IFERROR(__xludf.DUMMYFUNCTION("GOOGLETRANSLATE(H93, ""de"", ""en"")"),"The ball is about to land in a small stream on the path. What should you do?")</f>
        <v>The ball is about to land in a small stream on the path. What should you do?</v>
      </c>
      <c r="C93" s="12" t="s">
        <v>2916</v>
      </c>
      <c r="D93" s="12" t="str">
        <f>IFERROR(__xludf.DUMMYFUNCTION("GOOGLETRANSLATE(J93, ""de"", ""en"")"),"Use a side throw to bypass it.")</f>
        <v>Use a side throw to bypass it.</v>
      </c>
      <c r="E93" s="12" t="str">
        <f>IFERROR(__xludf.DUMMYFUNCTION("GOOGLETRANSLATE(K93, ""de"", ""en"")"),"A side throw helps to deflect the ball around streams and similar obstacles.")</f>
        <v>A side throw helps to deflect the ball around streams and similar obstacles.</v>
      </c>
      <c r="G93" s="8">
        <v>92.0</v>
      </c>
      <c r="H93" s="7" t="s">
        <v>2917</v>
      </c>
      <c r="I93" s="7" t="s">
        <v>2918</v>
      </c>
      <c r="J93" s="7" t="s">
        <v>1614</v>
      </c>
      <c r="K93" s="7" t="s">
        <v>2919</v>
      </c>
    </row>
    <row r="94" ht="22.5" customHeight="1">
      <c r="A94" s="12" t="str">
        <f>IFERROR(__xludf.DUMMYFUNCTION("GOOGLETRANSLATE(G94, ""de"", ""en"")"),"93")</f>
        <v>93</v>
      </c>
      <c r="B94" s="12" t="str">
        <f>IFERROR(__xludf.DUMMYFUNCTION("GOOGLETRANSLATE(H94, ""de"", ""en"")"),"You are near a narrow section with trees on both sides. How do you ensure the ball stays on course?")</f>
        <v>You are near a narrow section with trees on both sides. How do you ensure the ball stays on course?</v>
      </c>
      <c r="C94" s="12" t="s">
        <v>2920</v>
      </c>
      <c r="D94" s="12" t="str">
        <f>IFERROR(__xludf.DUMMYFUNCTION("GOOGLETRANSLATE(J94, ""de"", ""en"")"),"Use a side throw to guide it.")</f>
        <v>Use a side throw to guide it.</v>
      </c>
      <c r="E94" s="12" t="str">
        <f>IFERROR(__xludf.DUMMYFUNCTION("GOOGLETRANSLATE(K94, ""de"", ""en"")"),"A sideways throw gives you more control when navigating through narrow passages with obstacles such as trees.")</f>
        <v>A sideways throw gives you more control when navigating through narrow passages with obstacles such as trees.</v>
      </c>
      <c r="G94" s="8">
        <v>93.0</v>
      </c>
      <c r="H94" s="7" t="s">
        <v>2921</v>
      </c>
      <c r="I94" s="7" t="s">
        <v>2922</v>
      </c>
      <c r="J94" s="7" t="s">
        <v>2899</v>
      </c>
      <c r="K94" s="7" t="s">
        <v>2923</v>
      </c>
    </row>
    <row r="95" ht="22.5" customHeight="1">
      <c r="A95" s="12" t="str">
        <f>IFERROR(__xludf.DUMMYFUNCTION("GOOGLETRANSLATE(G95, ""de"", ""en"")"),"94")</f>
        <v>94</v>
      </c>
      <c r="B95" s="12" t="str">
        <f>IFERROR(__xludf.DUMMYFUNCTION("GOOGLETRANSLATE(H95, ""de"", ""en"")"),"Your ball is nearing the end of the course and a large obstacle lies ahead. What should you do?")</f>
        <v>Your ball is nearing the end of the course and a large obstacle lies ahead. What should you do?</v>
      </c>
      <c r="C95" s="12" t="s">
        <v>2924</v>
      </c>
      <c r="D95" s="12" t="str">
        <f>IFERROR(__xludf.DUMMYFUNCTION("GOOGLETRANSLATE(J95, ""de"", ""en"")"),"Use a side throw to bypass it.")</f>
        <v>Use a side throw to bypass it.</v>
      </c>
      <c r="E95" s="12" t="str">
        <f>IFERROR(__xludf.DUMMYFUNCTION("GOOGLETRANSLATE(K95, ""de"", ""en"")"),"A side throw can guide the ball around large obstacles such as rocks or trees.")</f>
        <v>A side throw can guide the ball around large obstacles such as rocks or trees.</v>
      </c>
      <c r="G95" s="8">
        <v>94.0</v>
      </c>
      <c r="H95" s="7" t="s">
        <v>2925</v>
      </c>
      <c r="I95" s="7" t="s">
        <v>2926</v>
      </c>
      <c r="J95" s="7" t="s">
        <v>1614</v>
      </c>
      <c r="K95" s="7" t="s">
        <v>2927</v>
      </c>
    </row>
    <row r="96" ht="22.5" customHeight="1">
      <c r="A96" s="12" t="str">
        <f>IFERROR(__xludf.DUMMYFUNCTION("GOOGLETRANSLATE(G96, ""de"", ""en"")"),"95")</f>
        <v>95</v>
      </c>
      <c r="B96" s="12" t="str">
        <f>IFERROR(__xludf.DUMMYFUNCTION("GOOGLETRANSLATE(H96, ""de"", ""en"")"),"A strong wind is blowing across the track. How do you set up your throw?")</f>
        <v>A strong wind is blowing across the track. How do you set up your throw?</v>
      </c>
      <c r="C96" s="12" t="s">
        <v>2928</v>
      </c>
      <c r="D96" s="12" t="str">
        <f>IFERROR(__xludf.DUMMYFUNCTION("GOOGLETRANSLATE(J96, ""de"", ""en"")"),"Use a side throw to counteract the wind.")</f>
        <v>Use a side throw to counteract the wind.</v>
      </c>
      <c r="E96" s="12" t="str">
        <f>IFERROR(__xludf.DUMMYFUNCTION("GOOGLETRANSLATE(K96, ""de"", ""en"")"),"A side throw helps to counteract crosswinds and maintain control.")</f>
        <v>A side throw helps to counteract crosswinds and maintain control.</v>
      </c>
      <c r="G96" s="8">
        <v>95.0</v>
      </c>
      <c r="H96" s="7" t="s">
        <v>2929</v>
      </c>
      <c r="I96" s="7" t="s">
        <v>2930</v>
      </c>
      <c r="J96" s="7" t="s">
        <v>2931</v>
      </c>
      <c r="K96" s="7" t="s">
        <v>2932</v>
      </c>
    </row>
    <row r="97" ht="22.5" customHeight="1">
      <c r="A97" s="12" t="str">
        <f>IFERROR(__xludf.DUMMYFUNCTION("GOOGLETRANSLATE(G97, ""de"", ""en"")"),"96")</f>
        <v>96</v>
      </c>
      <c r="B97" s="12" t="str">
        <f>IFERROR(__xludf.DUMMYFUNCTION("GOOGLETRANSLATE(H97, ""de"", ""en"")"),"The ground is soft and your ball is sinking in. What's the best way to prevent it from sinking?")</f>
        <v>The ground is soft and your ball is sinking in. What's the best way to prevent it from sinking?</v>
      </c>
      <c r="C97" s="12" t="s">
        <v>2933</v>
      </c>
      <c r="D97" s="12" t="str">
        <f>IFERROR(__xludf.DUMMYFUNCTION("GOOGLETRANSLATE(J97, ""de"", ""en"")"),"Use a side throw to glide over it.")</f>
        <v>Use a side throw to glide over it.</v>
      </c>
      <c r="E97" s="12" t="str">
        <f>IFERROR(__xludf.DUMMYFUNCTION("GOOGLETRANSLATE(K97, ""de"", ""en"")"),"A side throw helps to glide over soft or muddy areas without the ball sinking.")</f>
        <v>A side throw helps to glide over soft or muddy areas without the ball sinking.</v>
      </c>
      <c r="G97" s="8">
        <v>96.0</v>
      </c>
      <c r="H97" s="7" t="s">
        <v>2934</v>
      </c>
      <c r="I97" s="7" t="s">
        <v>2935</v>
      </c>
      <c r="J97" s="7" t="s">
        <v>2824</v>
      </c>
      <c r="K97" s="7" t="s">
        <v>2936</v>
      </c>
    </row>
    <row r="98" ht="22.5" customHeight="1">
      <c r="A98" s="12" t="str">
        <f>IFERROR(__xludf.DUMMYFUNCTION("GOOGLETRANSLATE(G98, ""de"", ""en"")"),"97")</f>
        <v>97</v>
      </c>
      <c r="B98" s="12" t="str">
        <f>IFERROR(__xludf.DUMMYFUNCTION("GOOGLETRANSLATE(H98, ""de"", ""en"")"),"Your ball bounces unpredictably over uneven ground. What do you do?")</f>
        <v>Your ball bounces unpredictably over uneven ground. What do you do?</v>
      </c>
      <c r="C98" s="12" t="s">
        <v>2937</v>
      </c>
      <c r="D98" s="12" t="str">
        <f>IFERROR(__xludf.DUMMYFUNCTION("GOOGLETRANSLATE(J98, ""de"", ""en"")"),"Use a side throw to guide it.")</f>
        <v>Use a side throw to guide it.</v>
      </c>
      <c r="E98" s="12" t="str">
        <f>IFERROR(__xludf.DUMMYFUNCTION("GOOGLETRANSLATE(K98, ""de"", ""en"")"),"A side throw helps to stabilize the ball and make it bounce on uneven ground.")</f>
        <v>A side throw helps to stabilize the ball and make it bounce on uneven ground.</v>
      </c>
      <c r="G98" s="8">
        <v>97.0</v>
      </c>
      <c r="H98" s="7" t="s">
        <v>2938</v>
      </c>
      <c r="I98" s="7" t="s">
        <v>2939</v>
      </c>
      <c r="J98" s="7" t="s">
        <v>2899</v>
      </c>
      <c r="K98" s="7" t="s">
        <v>2940</v>
      </c>
    </row>
    <row r="99" ht="22.5" customHeight="1">
      <c r="A99" s="12" t="str">
        <f>IFERROR(__xludf.DUMMYFUNCTION("GOOGLETRANSLATE(G99, ""de"", ""en"")"),"98")</f>
        <v>98</v>
      </c>
      <c r="B99" s="12" t="str">
        <f>IFERROR(__xludf.DUMMYFUNCTION("GOOGLETRANSLATE(H99, ""de"", ""en"")"),"There's a tree directly in your path, and your ball is going straight into it. How do you deal with that?")</f>
        <v>There's a tree directly in your path, and your ball is going straight into it. How do you deal with that?</v>
      </c>
      <c r="C99" s="12" t="s">
        <v>2941</v>
      </c>
      <c r="D99" s="12" t="str">
        <f>IFERROR(__xludf.DUMMYFUNCTION("GOOGLETRANSLATE(J99, ""de"", ""en"")"),"Use a side throw to avoid it.")</f>
        <v>Use a side throw to avoid it.</v>
      </c>
      <c r="E99" s="12" t="str">
        <f>IFERROR(__xludf.DUMMYFUNCTION("GOOGLETRANSLATE(K99, ""de"", ""en"")"),"A side throw avoids obstacles like trees and rocks in your path.")</f>
        <v>A side throw avoids obstacles like trees and rocks in your path.</v>
      </c>
      <c r="G99" s="8">
        <v>98.0</v>
      </c>
      <c r="H99" s="7" t="s">
        <v>2942</v>
      </c>
      <c r="I99" s="7" t="s">
        <v>2943</v>
      </c>
      <c r="J99" s="7" t="s">
        <v>2944</v>
      </c>
      <c r="K99" s="7" t="s">
        <v>2945</v>
      </c>
    </row>
    <row r="100" ht="22.5" customHeight="1">
      <c r="A100" s="12" t="str">
        <f>IFERROR(__xludf.DUMMYFUNCTION("GOOGLETRANSLATE(G100, ""de"", ""en"")"),"99")</f>
        <v>99</v>
      </c>
      <c r="B100" s="12" t="str">
        <f>IFERROR(__xludf.DUMMYFUNCTION("GOOGLETRANSLATE(H100, ""de"", ""en"")"),"The course is wet after the rain and the ball is sliding too much. How do you adjust your throw?")</f>
        <v>The course is wet after the rain and the ball is sliding too much. How do you adjust your throw?</v>
      </c>
      <c r="C100" s="12" t="s">
        <v>2946</v>
      </c>
      <c r="D100" s="12" t="str">
        <f>IFERROR(__xludf.DUMMYFUNCTION("GOOGLETRANSLATE(J100, ""de"", ""en"")"),"Use a side throw to keep it under control.")</f>
        <v>Use a side throw to keep it under control.</v>
      </c>
      <c r="E100" s="12" t="str">
        <f>IFERROR(__xludf.DUMMYFUNCTION("GOOGLETRANSLATE(K100, ""de"", ""en"")"),"A side throw reduces gliding and maintains control over wet terrain.")</f>
        <v>A side throw reduces gliding and maintains control over wet terrain.</v>
      </c>
      <c r="G100" s="8">
        <v>99.0</v>
      </c>
      <c r="H100" s="7" t="s">
        <v>2947</v>
      </c>
      <c r="I100" s="7" t="s">
        <v>2948</v>
      </c>
      <c r="J100" s="7" t="s">
        <v>2949</v>
      </c>
      <c r="K100" s="7" t="s">
        <v>2950</v>
      </c>
    </row>
    <row r="101" ht="22.5" customHeight="1">
      <c r="A101" s="12" t="str">
        <f>IFERROR(__xludf.DUMMYFUNCTION("GOOGLETRANSLATE(G101, ""de"", ""en"")"),"100")</f>
        <v>100</v>
      </c>
      <c r="B101" s="12" t="str">
        <f>IFERROR(__xludf.DUMMYFUNCTION("GOOGLETRANSLATE(H101, ""de"", ""en"")"),"You encounter a sharp curve, and your ball veers off course. What do you do to correct it?")</f>
        <v>You encounter a sharp curve, and your ball veers off course. What do you do to correct it?</v>
      </c>
      <c r="C101" s="12" t="s">
        <v>2951</v>
      </c>
      <c r="D101" s="12" t="str">
        <f>IFERROR(__xludf.DUMMYFUNCTION("GOOGLETRANSLATE(J101, ""de"", ""en"")"),"Use a side throw to steer it back.")</f>
        <v>Use a side throw to steer it back.</v>
      </c>
      <c r="E101" s="12" t="str">
        <f>IFERROR(__xludf.DUMMYFUNCTION("GOOGLETRANSLATE(K101, ""de"", ""en"")"),"A side throw helps to steer the ball back on course after a sharp turn.")</f>
        <v>A side throw helps to steer the ball back on course after a sharp turn.</v>
      </c>
      <c r="G101" s="8">
        <v>100.0</v>
      </c>
      <c r="H101" s="7" t="s">
        <v>2952</v>
      </c>
      <c r="I101" s="7" t="s">
        <v>2953</v>
      </c>
      <c r="J101" s="7" t="s">
        <v>2954</v>
      </c>
      <c r="K101" s="7" t="s">
        <v>2955</v>
      </c>
    </row>
    <row r="102" ht="22.5" customHeight="1">
      <c r="A102" s="12" t="str">
        <f>IFERROR(__xludf.DUMMYFUNCTION("GOOGLETRANSLATE(G102, ""de"", ""en"")"),"101")</f>
        <v>101</v>
      </c>
      <c r="B102" s="12" t="str">
        <f>IFERROR(__xludf.DUMMYFUNCTION("GOOGLETRANSLATE(H102, ""de"", ""en"")"),"You are near a large boulder in the middle of the path. How do you avoid hitting it?")</f>
        <v>You are near a large boulder in the middle of the path. How do you avoid hitting it?</v>
      </c>
      <c r="C102" s="12" t="s">
        <v>2956</v>
      </c>
      <c r="D102" s="12" t="str">
        <f>IFERROR(__xludf.DUMMYFUNCTION("GOOGLETRANSLATE(J102, ""de"", ""en"")"),"Use a side throw to steer around it.")</f>
        <v>Use a side throw to steer around it.</v>
      </c>
      <c r="E102" s="12" t="str">
        <f>IFERROR(__xludf.DUMMYFUNCTION("GOOGLETRANSLATE(K102, ""de"", ""en"")"),"A side throw can help you avoid large obstacles such as boulders.")</f>
        <v>A side throw can help you avoid large obstacles such as boulders.</v>
      </c>
      <c r="G102" s="8">
        <v>101.0</v>
      </c>
      <c r="H102" s="7" t="s">
        <v>2957</v>
      </c>
      <c r="I102" s="7" t="s">
        <v>2958</v>
      </c>
      <c r="J102" s="7" t="s">
        <v>2959</v>
      </c>
      <c r="K102" s="7" t="s">
        <v>2960</v>
      </c>
    </row>
    <row r="103" ht="22.5" customHeight="1">
      <c r="A103" s="12" t="str">
        <f>IFERROR(__xludf.DUMMYFUNCTION("GOOGLETRANSLATE(G103, ""de"", ""en"")"),"102")</f>
        <v>102</v>
      </c>
      <c r="B103" s="12" t="str">
        <f>IFERROR(__xludf.DUMMYFUNCTION("GOOGLETRANSLATE(H103, ""de"", ""en"")"),"Your ball is approaching a steep hill. What should you do to maintain control?")</f>
        <v>Your ball is approaching a steep hill. What should you do to maintain control?</v>
      </c>
      <c r="C103" s="12" t="s">
        <v>2961</v>
      </c>
      <c r="D103" s="12" t="str">
        <f>IFERROR(__xludf.DUMMYFUNCTION("GOOGLETRANSLATE(J103, ""de"", ""en"")"),"Use a side throw to control it.")</f>
        <v>Use a side throw to control it.</v>
      </c>
      <c r="E103" s="12" t="str">
        <f>IFERROR(__xludf.DUMMYFUNCTION("GOOGLETRANSLATE(K103, ""de"", ""en"")"),"A side throw helps to control the ball on steep inclines.")</f>
        <v>A side throw helps to control the ball on steep inclines.</v>
      </c>
      <c r="G103" s="8">
        <v>102.0</v>
      </c>
      <c r="H103" s="7" t="s">
        <v>2962</v>
      </c>
      <c r="I103" s="7" t="s">
        <v>2963</v>
      </c>
      <c r="J103" s="7" t="s">
        <v>2964</v>
      </c>
      <c r="K103" s="7" t="s">
        <v>2965</v>
      </c>
    </row>
    <row r="104" ht="22.5" customHeight="1">
      <c r="A104" s="12" t="str">
        <f>IFERROR(__xludf.DUMMYFUNCTION("GOOGLETRANSLATE(G104, ""de"", ""en"")"),"103")</f>
        <v>103</v>
      </c>
      <c r="B104" s="12" t="str">
        <f>IFERROR(__xludf.DUMMYFUNCTION("GOOGLETRANSLATE(H104, ""de"", ""en"")"),"The path ahead is blocked by a large patch of tall grass. How do you navigate through it?")</f>
        <v>The path ahead is blocked by a large patch of tall grass. How do you navigate through it?</v>
      </c>
      <c r="C104" s="12" t="s">
        <v>2966</v>
      </c>
      <c r="D104" s="12" t="str">
        <f>IFERROR(__xludf.DUMMYFUNCTION("GOOGLETRANSLATE(J104, ""de"", ""en"")"),"Use a side throw to glide over it.")</f>
        <v>Use a side throw to glide over it.</v>
      </c>
      <c r="E104" s="12" t="str">
        <f>IFERROR(__xludf.DUMMYFUNCTION("GOOGLETRANSLATE(K104, ""de"", ""en"")"),"A side throw can help the ball glide over obstacles like tall grass.")</f>
        <v>A side throw can help the ball glide over obstacles like tall grass.</v>
      </c>
      <c r="G104" s="8">
        <v>103.0</v>
      </c>
      <c r="H104" s="7" t="s">
        <v>2967</v>
      </c>
      <c r="I104" s="7" t="s">
        <v>2968</v>
      </c>
      <c r="J104" s="7" t="s">
        <v>2646</v>
      </c>
      <c r="K104" s="7" t="s">
        <v>2969</v>
      </c>
    </row>
    <row r="105" ht="22.5" customHeight="1">
      <c r="A105" s="12" t="str">
        <f>IFERROR(__xludf.DUMMYFUNCTION("GOOGLETRANSLATE(G105, ""de"", ""en"")"),"104")</f>
        <v>104</v>
      </c>
      <c r="B105" s="12" t="str">
        <f>IFERROR(__xludf.DUMMYFUNCTION("GOOGLETRANSLATE(H105, ""de"", ""en"")"),"The ball is about to hit a small ditch in the path. How do you avoid it?")</f>
        <v>The ball is about to hit a small ditch in the path. How do you avoid it?</v>
      </c>
      <c r="C105" s="12" t="s">
        <v>2970</v>
      </c>
      <c r="D105" s="12" t="str">
        <f>IFERROR(__xludf.DUMMYFUNCTION("GOOGLETRANSLATE(J105, ""de"", ""en"")"),"Use a side throw to avoid it.")</f>
        <v>Use a side throw to avoid it.</v>
      </c>
      <c r="E105" s="12" t="str">
        <f>IFERROR(__xludf.DUMMYFUNCTION("GOOGLETRANSLATE(K105, ""de"", ""en"")"),"A side throw allows you to avoid small ditches and similar obstacles.")</f>
        <v>A side throw allows you to avoid small ditches and similar obstacles.</v>
      </c>
      <c r="G105" s="8">
        <v>104.0</v>
      </c>
      <c r="H105" s="7" t="s">
        <v>2971</v>
      </c>
      <c r="I105" s="7" t="s">
        <v>2972</v>
      </c>
      <c r="J105" s="7" t="s">
        <v>2944</v>
      </c>
      <c r="K105" s="7" t="s">
        <v>2973</v>
      </c>
    </row>
    <row r="106" ht="22.5" customHeight="1">
      <c r="A106" s="12" t="str">
        <f>IFERROR(__xludf.DUMMYFUNCTION("GOOGLETRANSLATE(G106, ""de"", ""en"")"),"105")</f>
        <v>105</v>
      </c>
      <c r="B106" s="12" t="str">
        <f>IFERROR(__xludf.DUMMYFUNCTION("GOOGLETRANSLATE(H106, ""de"", ""en"")"),"Your ball rolls towards a small hole in the path. How do you adapt?")</f>
        <v>Your ball rolls towards a small hole in the path. How do you adapt?</v>
      </c>
      <c r="C106" s="12" t="s">
        <v>2974</v>
      </c>
      <c r="D106" s="12" t="str">
        <f>IFERROR(__xludf.DUMMYFUNCTION("GOOGLETRANSLATE(J106, ""de"", ""en"")"),"Use a side throw to guide it.")</f>
        <v>Use a side throw to guide it.</v>
      </c>
      <c r="E106" s="12" t="str">
        <f>IFERROR(__xludf.DUMMYFUNCTION("GOOGLETRANSLATE(K106, ""de"", ""en"")"),"A side throw helps to avoid small holes or depressions in the path.")</f>
        <v>A side throw helps to avoid small holes or depressions in the path.</v>
      </c>
      <c r="G106" s="8">
        <v>105.0</v>
      </c>
      <c r="H106" s="7" t="s">
        <v>2975</v>
      </c>
      <c r="I106" s="7" t="s">
        <v>2976</v>
      </c>
      <c r="J106" s="7" t="s">
        <v>2977</v>
      </c>
      <c r="K106" s="7" t="s">
        <v>2978</v>
      </c>
    </row>
    <row r="107" ht="22.5" customHeight="1">
      <c r="A107" s="12" t="str">
        <f>IFERROR(__xludf.DUMMYFUNCTION("GOOGLETRANSLATE(G107, ""de"", ""en"")"),"106")</f>
        <v>106</v>
      </c>
      <c r="B107" s="12" t="str">
        <f>IFERROR(__xludf.DUMMYFUNCTION("GOOGLETRANSLATE(H107, ""de"", ""en"")"),"They are approaching a narrow bridge and the path is unstable. How do they maintain control of the ball?")</f>
        <v>They are approaching a narrow bridge and the path is unstable. How do they maintain control of the ball?</v>
      </c>
      <c r="C107" s="12" t="s">
        <v>2979</v>
      </c>
      <c r="D107" s="12" t="str">
        <f>IFERROR(__xludf.DUMMYFUNCTION("GOOGLETRANSLATE(J107, ""de"", ""en"")"),"Use a side throw to guide it.")</f>
        <v>Use a side throw to guide it.</v>
      </c>
      <c r="E107" s="12" t="str">
        <f>IFERROR(__xludf.DUMMYFUNCTION("GOOGLETRANSLATE(K107, ""de"", ""en"")"),"A side throw keeps the ball on track while crossing narrow or unstable paths.")</f>
        <v>A side throw keeps the ball on track while crossing narrow or unstable paths.</v>
      </c>
      <c r="G107" s="8">
        <v>106.0</v>
      </c>
      <c r="H107" s="7" t="s">
        <v>2980</v>
      </c>
      <c r="I107" s="7" t="s">
        <v>2981</v>
      </c>
      <c r="J107" s="7" t="s">
        <v>2977</v>
      </c>
      <c r="K107" s="7" t="s">
        <v>2982</v>
      </c>
    </row>
    <row r="108" ht="22.5" customHeight="1">
      <c r="A108" s="12" t="str">
        <f>IFERROR(__xludf.DUMMYFUNCTION("GOOGLETRANSLATE(G108, ""de"", ""en"")"),"107")</f>
        <v>107</v>
      </c>
      <c r="B108" s="12" t="str">
        <f>IFERROR(__xludf.DUMMYFUNCTION("GOOGLETRANSLATE(H108, ""de"", ""en"")"),"The terrain is uneven and your ball is about to hit a small hill. What do you do?")</f>
        <v>The terrain is uneven and your ball is about to hit a small hill. What do you do?</v>
      </c>
      <c r="C108" s="12" t="s">
        <v>2983</v>
      </c>
      <c r="D108" s="12" t="str">
        <f>IFERROR(__xludf.DUMMYFUNCTION("GOOGLETRANSLATE(J108, ""de"", ""en"")"),"Use a side throw to control it.")</f>
        <v>Use a side throw to control it.</v>
      </c>
      <c r="E108" s="12" t="str">
        <f>IFERROR(__xludf.DUMMYFUNCTION("GOOGLETRANSLATE(K108, ""de"", ""en"")"),"A side throw can help prevent the ball from bouncing on uneven terrain.")</f>
        <v>A side throw can help prevent the ball from bouncing on uneven terrain.</v>
      </c>
      <c r="G108" s="8">
        <v>107.0</v>
      </c>
      <c r="H108" s="7" t="s">
        <v>2984</v>
      </c>
      <c r="I108" s="7" t="s">
        <v>2985</v>
      </c>
      <c r="J108" s="7" t="s">
        <v>2964</v>
      </c>
      <c r="K108" s="7" t="s">
        <v>2986</v>
      </c>
    </row>
    <row r="109" ht="22.5" customHeight="1">
      <c r="A109" s="12" t="str">
        <f>IFERROR(__xludf.DUMMYFUNCTION("GOOGLETRANSLATE(G109, ""de"", ""en"")"),"108")</f>
        <v>108</v>
      </c>
      <c r="B109" s="12" t="str">
        <f>IFERROR(__xludf.DUMMYFUNCTION("GOOGLETRANSLATE(H109, ""de"", ""en"")"),"Your ball lands on a patch of rocks on the path. How do you avoid them?")</f>
        <v>Your ball lands on a patch of rocks on the path. How do you avoid them?</v>
      </c>
      <c r="C109" s="12" t="s">
        <v>2987</v>
      </c>
      <c r="D109" s="12" t="str">
        <f>IFERROR(__xludf.DUMMYFUNCTION("GOOGLETRANSLATE(J109, ""de"", ""en"")"),"Use a side throw to move around.")</f>
        <v>Use a side throw to move around.</v>
      </c>
      <c r="E109" s="12" t="str">
        <f>IFERROR(__xludf.DUMMYFUNCTION("GOOGLETRANSLATE(K109, ""de"", ""en"")"),"A side throw can help you avoid rocky patches on the path.")</f>
        <v>A side throw can help you avoid rocky patches on the path.</v>
      </c>
      <c r="G109" s="8">
        <v>108.0</v>
      </c>
      <c r="H109" s="7" t="s">
        <v>2988</v>
      </c>
      <c r="I109" s="7" t="s">
        <v>2989</v>
      </c>
      <c r="J109" s="7" t="s">
        <v>1844</v>
      </c>
      <c r="K109" s="7" t="s">
        <v>2990</v>
      </c>
    </row>
    <row r="110" ht="22.5" customHeight="1">
      <c r="A110" s="12" t="str">
        <f>IFERROR(__xludf.DUMMYFUNCTION("GOOGLETRANSLATE(G110, ""de"", ""en"")"),"109")</f>
        <v>109</v>
      </c>
      <c r="B110" s="12" t="str">
        <f>IFERROR(__xludf.DUMMYFUNCTION("GOOGLETRANSLATE(H110, ""de"", ""en"")"),"The ball is rolling into a minor depression. What should you do?")</f>
        <v>The ball is rolling into a minor depression. What should you do?</v>
      </c>
      <c r="C110" s="12" t="s">
        <v>2991</v>
      </c>
      <c r="D110" s="12" t="str">
        <f>IFERROR(__xludf.DUMMYFUNCTION("GOOGLETRANSLATE(J110, ""de"", ""en"")"),"Use a side throw to steer around it.")</f>
        <v>Use a side throw to steer around it.</v>
      </c>
      <c r="E110" s="12" t="str">
        <f>IFERROR(__xludf.DUMMYFUNCTION("GOOGLETRANSLATE(K110, ""de"", ""en"")"),"A side throw can guide the ball around small depressions in its path.")</f>
        <v>A side throw can guide the ball around small depressions in its path.</v>
      </c>
      <c r="G110" s="8">
        <v>109.0</v>
      </c>
      <c r="H110" s="7" t="s">
        <v>2992</v>
      </c>
      <c r="I110" s="7" t="s">
        <v>2993</v>
      </c>
      <c r="J110" s="7" t="s">
        <v>2959</v>
      </c>
      <c r="K110" s="7" t="s">
        <v>2994</v>
      </c>
    </row>
    <row r="111" ht="22.5" customHeight="1">
      <c r="A111" s="12" t="str">
        <f>IFERROR(__xludf.DUMMYFUNCTION("GOOGLETRANSLATE(G111, ""de"", ""en"")"),"110")</f>
        <v>110</v>
      </c>
      <c r="B111" s="12" t="str">
        <f>IFERROR(__xludf.DUMMYFUNCTION("GOOGLETRANSLATE(H111, ""de"", ""en"")"),"Your ball is heading towards a muddy patch. How do you adjust your throw to avoid getting stuck?")</f>
        <v>Your ball is heading towards a muddy patch. How do you adjust your throw to avoid getting stuck?</v>
      </c>
      <c r="C111" s="12" t="s">
        <v>2995</v>
      </c>
      <c r="D111" s="12" t="str">
        <f>IFERROR(__xludf.DUMMYFUNCTION("GOOGLETRANSLATE(J111, ""de"", ""en"")"),"Use a side throw to avoid it.")</f>
        <v>Use a side throw to avoid it.</v>
      </c>
      <c r="E111" s="12" t="str">
        <f>IFERROR(__xludf.DUMMYFUNCTION("GOOGLETRANSLATE(K111, ""de"", ""en"")"),"A side throw helps to avoid mud and soft ground and prevents the ball from getting stuck.")</f>
        <v>A side throw helps to avoid mud and soft ground and prevents the ball from getting stuck.</v>
      </c>
      <c r="G111" s="8">
        <v>110.0</v>
      </c>
      <c r="H111" s="7" t="s">
        <v>2996</v>
      </c>
      <c r="I111" s="7" t="s">
        <v>2997</v>
      </c>
      <c r="J111" s="7" t="s">
        <v>2944</v>
      </c>
      <c r="K111" s="7" t="s">
        <v>2998</v>
      </c>
    </row>
    <row r="112" ht="22.5" customHeight="1">
      <c r="A112" s="12" t="str">
        <f>IFERROR(__xludf.DUMMYFUNCTION("GOOGLETRANSLATE(G112, ""de"", ""en"")"),"111")</f>
        <v>111</v>
      </c>
      <c r="B112" s="12" t="str">
        <f>IFERROR(__xludf.DUMMYFUNCTION("GOOGLETRANSLATE(H112, ""de"", ""en"")"),"The ball is approaching a section and you're worried it might roll too far. What should you do?")</f>
        <v>The ball is approaching a section and you're worried it might roll too far. What should you do?</v>
      </c>
      <c r="C112" s="12" t="s">
        <v>2999</v>
      </c>
      <c r="D112" s="12" t="str">
        <f>IFERROR(__xludf.DUMMYFUNCTION("GOOGLETRANSLATE(J112, ""de"", ""en"")"),"Slow down your throw to control the speed.")</f>
        <v>Slow down your throw to control the speed.</v>
      </c>
      <c r="E112" s="12" t="str">
        <f>IFERROR(__xludf.DUMMYFUNCTION("GOOGLETRANSLATE(K112, ""de"", ""en"")"),"By slowing down the throw, you can control the speed of the ball on a downhill slope.")</f>
        <v>By slowing down the throw, you can control the speed of the ball on a downhill slope.</v>
      </c>
      <c r="G112" s="8">
        <v>111.0</v>
      </c>
      <c r="H112" s="7" t="s">
        <v>3000</v>
      </c>
      <c r="I112" s="7" t="s">
        <v>3001</v>
      </c>
      <c r="J112" s="7" t="s">
        <v>3002</v>
      </c>
      <c r="K112" s="7" t="s">
        <v>3003</v>
      </c>
    </row>
    <row r="113" ht="22.5" customHeight="1">
      <c r="A113" s="12" t="str">
        <f>IFERROR(__xludf.DUMMYFUNCTION("GOOGLETRANSLATE(G113, ""de"", ""en"")"),"112")</f>
        <v>112</v>
      </c>
      <c r="B113" s="12" t="str">
        <f>IFERROR(__xludf.DUMMYFUNCTION("GOOGLETRANSLATE(H113, ""de"", ""en"")"),"Your ball goes towards a patch of tall grass. How do you ensure it stays on course?")</f>
        <v>Your ball goes towards a patch of tall grass. How do you ensure it stays on course?</v>
      </c>
      <c r="C113" s="12" t="s">
        <v>3004</v>
      </c>
      <c r="D113" s="12" t="str">
        <f>IFERROR(__xludf.DUMMYFUNCTION("GOOGLETRANSLATE(J113, ""de"", ""en"")"),"Use a side throw to glide over it.")</f>
        <v>Use a side throw to glide over it.</v>
      </c>
      <c r="E113" s="12" t="str">
        <f>IFERROR(__xludf.DUMMYFUNCTION("GOOGLETRANSLATE(K113, ""de"", ""en"")"),"A side throw can help navigate through obstacles such as tall grass.")</f>
        <v>A side throw can help navigate through obstacles such as tall grass.</v>
      </c>
      <c r="G113" s="8">
        <v>112.0</v>
      </c>
      <c r="H113" s="7" t="s">
        <v>3005</v>
      </c>
      <c r="I113" s="7" t="s">
        <v>3006</v>
      </c>
      <c r="J113" s="7" t="s">
        <v>2646</v>
      </c>
      <c r="K113" s="7" t="s">
        <v>3007</v>
      </c>
    </row>
    <row r="114" ht="22.5" customHeight="1">
      <c r="A114" s="12" t="str">
        <f>IFERROR(__xludf.DUMMYFUNCTION("GOOGLETRANSLATE(G114, ""de"", ""en"")"),"113")</f>
        <v>113</v>
      </c>
      <c r="B114" s="12" t="str">
        <f>IFERROR(__xludf.DUMMYFUNCTION("GOOGLETRANSLATE(H114, ""de"", ""en"")"),"The ball is about to hit a large rock. How do you prevent it from bouncing off course?")</f>
        <v>The ball is about to hit a large rock. How do you prevent it from bouncing off course?</v>
      </c>
      <c r="C114" s="12" t="s">
        <v>3008</v>
      </c>
      <c r="D114" s="12" t="str">
        <f>IFERROR(__xludf.DUMMYFUNCTION("GOOGLETRANSLATE(J114, ""de"", ""en"")"),"Use a side throw to curl around her.")</f>
        <v>Use a side throw to curl around her.</v>
      </c>
      <c r="E114" s="12" t="str">
        <f>IFERROR(__xludf.DUMMYFUNCTION("GOOGLETRANSLATE(K114, ""de"", ""en"")"),"A side throw allows you to deflect the ball around stones and other obstacles.")</f>
        <v>A side throw allows you to deflect the ball around stones and other obstacles.</v>
      </c>
      <c r="G114" s="8">
        <v>113.0</v>
      </c>
      <c r="H114" s="7" t="s">
        <v>3009</v>
      </c>
      <c r="I114" s="7" t="s">
        <v>3010</v>
      </c>
      <c r="J114" s="7" t="s">
        <v>3011</v>
      </c>
      <c r="K114" s="7" t="s">
        <v>3012</v>
      </c>
    </row>
    <row r="115" ht="22.5" customHeight="1">
      <c r="A115" s="12" t="str">
        <f>IFERROR(__xludf.DUMMYFUNCTION("GOOGLETRANSLATE(G115, ""de"", ""en"")"),"114")</f>
        <v>114</v>
      </c>
      <c r="B115" s="12" t="str">
        <f>IFERROR(__xludf.DUMMYFUNCTION("GOOGLETRANSLATE(H115, ""de"", ""en"")"),"You encounter a sharp bend in the path. How do you adapt to keep the ball on the track?")</f>
        <v>You encounter a sharp bend in the path. How do you adapt to keep the ball on the track?</v>
      </c>
      <c r="C115" s="12" t="s">
        <v>3013</v>
      </c>
      <c r="D115" s="12" t="str">
        <f>IFERROR(__xludf.DUMMYFUNCTION("GOOGLETRANSLATE(J115, ""de"", ""en"")"),"Use a side throw to guide it.")</f>
        <v>Use a side throw to guide it.</v>
      </c>
      <c r="E115" s="12" t="str">
        <f>IFERROR(__xludf.DUMMYFUNCTION("GOOGLETRANSLATE(K115, ""de"", ""en"")"),"A side throw is effective for guiding the ball around sharp curves.")</f>
        <v>A side throw is effective for guiding the ball around sharp curves.</v>
      </c>
      <c r="G115" s="8">
        <v>114.0</v>
      </c>
      <c r="H115" s="7" t="s">
        <v>3014</v>
      </c>
      <c r="I115" s="7" t="s">
        <v>3015</v>
      </c>
      <c r="J115" s="7" t="s">
        <v>2977</v>
      </c>
      <c r="K115" s="7" t="s">
        <v>3016</v>
      </c>
    </row>
    <row r="116" ht="22.5" customHeight="1">
      <c r="A116" s="12" t="str">
        <f>IFERROR(__xludf.DUMMYFUNCTION("GOOGLETRANSLATE(G116, ""de"", ""en"")"),"115")</f>
        <v>115</v>
      </c>
      <c r="B116" s="12" t="str">
        <f>IFERROR(__xludf.DUMMYFUNCTION("GOOGLETRANSLATE(H116, ""de"", ""en"")"),"The court is wet and the ball is sliding too much. How can you regain control?")</f>
        <v>The court is wet and the ball is sliding too much. How can you regain control?</v>
      </c>
      <c r="C116" s="12" t="s">
        <v>3017</v>
      </c>
      <c r="D116" s="12" t="str">
        <f>IFERROR(__xludf.DUMMYFUNCTION("GOOGLETRANSLATE(J116, ""de"", ""en"")"),"Use a side throw to reduce gliding.")</f>
        <v>Use a side throw to reduce gliding.</v>
      </c>
      <c r="E116" s="12" t="str">
        <f>IFERROR(__xludf.DUMMYFUNCTION("GOOGLETRANSLATE(K116, ""de"", ""en"")"),"A side throw helps reduce slippage when the surface is wet.")</f>
        <v>A side throw helps reduce slippage when the surface is wet.</v>
      </c>
      <c r="G116" s="8">
        <v>115.0</v>
      </c>
      <c r="H116" s="7" t="s">
        <v>3018</v>
      </c>
      <c r="I116" s="7" t="s">
        <v>3019</v>
      </c>
      <c r="J116" s="7" t="s">
        <v>3020</v>
      </c>
      <c r="K116" s="7" t="s">
        <v>3021</v>
      </c>
    </row>
    <row r="117" ht="22.5" customHeight="1">
      <c r="A117" s="12" t="str">
        <f>IFERROR(__xludf.DUMMYFUNCTION("GOOGLETRANSLATE(G117, ""de"", ""en"")"),"116")</f>
        <v>116</v>
      </c>
      <c r="B117" s="12" t="str">
        <f>IFERROR(__xludf.DUMMYFUNCTION("GOOGLETRANSLATE(H117, ""de"", ""en"")"),"The ball rolls towards a small stream. How do you avoid falling in?")</f>
        <v>The ball rolls towards a small stream. How do you avoid falling in?</v>
      </c>
      <c r="C117" s="12" t="s">
        <v>3022</v>
      </c>
      <c r="D117" s="12" t="str">
        <f>IFERROR(__xludf.DUMMYFUNCTION("GOOGLETRANSLATE(J117, ""de"", ""en"")"),"Use a side throw to lock him away.")</f>
        <v>Use a side throw to lock him away.</v>
      </c>
      <c r="E117" s="12" t="str">
        <f>IFERROR(__xludf.DUMMYFUNCTION("GOOGLETRANSLATE(K117, ""de"", ""en"")"),"A side throw helps to get the ball around streams and other obstacles on the way.")</f>
        <v>A side throw helps to get the ball around streams and other obstacles on the way.</v>
      </c>
      <c r="G117" s="8">
        <v>116.0</v>
      </c>
      <c r="H117" s="7" t="s">
        <v>3023</v>
      </c>
      <c r="I117" s="7" t="s">
        <v>3024</v>
      </c>
      <c r="J117" s="7" t="s">
        <v>3025</v>
      </c>
      <c r="K117" s="7" t="s">
        <v>3026</v>
      </c>
    </row>
    <row r="118" ht="22.5" customHeight="1">
      <c r="A118" s="12" t="str">
        <f>IFERROR(__xludf.DUMMYFUNCTION("GOOGLETRANSLATE(G118, ""de"", ""en"")"),"117")</f>
        <v>117</v>
      </c>
      <c r="B118" s="12" t="str">
        <f>IFERROR(__xludf.DUMMYFUNCTION("GOOGLETRANSLATE(H118, ""de"", ""en"")"),"Your ball goes to a narrow space between two trees. How do you ensure it goes through?")</f>
        <v>Your ball goes to a narrow space between two trees. How do you ensure it goes through?</v>
      </c>
      <c r="C118" s="12" t="s">
        <v>3027</v>
      </c>
      <c r="D118" s="12" t="str">
        <f>IFERROR(__xludf.DUMMYFUNCTION("GOOGLETRANSLATE(J118, ""de"", ""en"")"),"Use a side throw to push through.")</f>
        <v>Use a side throw to push through.</v>
      </c>
      <c r="E118" s="12" t="str">
        <f>IFERROR(__xludf.DUMMYFUNCTION("GOOGLETRANSLATE(K118, ""de"", ""en"")"),"A side throw allows you to navigate through narrow spaces with obstacles.")</f>
        <v>A side throw allows you to navigate through narrow spaces with obstacles.</v>
      </c>
      <c r="G118" s="8">
        <v>117.0</v>
      </c>
      <c r="H118" s="7" t="s">
        <v>3028</v>
      </c>
      <c r="I118" s="7" t="s">
        <v>3029</v>
      </c>
      <c r="J118" s="7" t="s">
        <v>3030</v>
      </c>
      <c r="K118" s="7" t="s">
        <v>3031</v>
      </c>
    </row>
    <row r="119" ht="22.5" customHeight="1">
      <c r="A119" s="12" t="str">
        <f>IFERROR(__xludf.DUMMYFUNCTION("GOOGLETRANSLATE(G119, ""de"", ""en"")"),"118")</f>
        <v>118</v>
      </c>
      <c r="B119" s="12" t="str">
        <f>IFERROR(__xludf.DUMMYFUNCTION("GOOGLETRANSLATE(H119, ""de"", ""en"")"),"The ball goes up a hill. How do you make sure it doesn't roll back down?")</f>
        <v>The ball goes up a hill. How do you make sure it doesn't roll back down?</v>
      </c>
      <c r="C119" s="12" t="s">
        <v>3032</v>
      </c>
      <c r="D119" s="12" t="str">
        <f>IFERROR(__xludf.DUMMYFUNCTION("GOOGLETRANSLATE(J119, ""de"", ""en"")"),"Use a side throw to control the speed.")</f>
        <v>Use a side throw to control the speed.</v>
      </c>
      <c r="E119" s="12" t="str">
        <f>IFERROR(__xludf.DUMMYFUNCTION("GOOGLETRANSLATE(K119, ""de"", ""en"")"),"A side throw helps to maintain control when going uphill.")</f>
        <v>A side throw helps to maintain control when going uphill.</v>
      </c>
      <c r="G119" s="8">
        <v>118.0</v>
      </c>
      <c r="H119" s="7" t="s">
        <v>3033</v>
      </c>
      <c r="I119" s="7" t="s">
        <v>3034</v>
      </c>
      <c r="J119" s="7" t="s">
        <v>3035</v>
      </c>
      <c r="K119" s="7" t="s">
        <v>3036</v>
      </c>
    </row>
    <row r="120" ht="22.5" customHeight="1">
      <c r="A120" s="12" t="str">
        <f>IFERROR(__xludf.DUMMYFUNCTION("GOOGLETRANSLATE(G120, ""de"", ""en"")"),"119")</f>
        <v>119</v>
      </c>
      <c r="B120" s="12" t="str">
        <f>IFERROR(__xludf.DUMMYFUNCTION("GOOGLETRANSLATE(H120, ""de"", ""en"")"),"There's a large boulder blocking the path. How do you avoid it?")</f>
        <v>There's a large boulder blocking the path. How do you avoid it?</v>
      </c>
      <c r="C120" s="12" t="s">
        <v>3037</v>
      </c>
      <c r="D120" s="12" t="str">
        <f>IFERROR(__xludf.DUMMYFUNCTION("GOOGLETRANSLATE(J120, ""de"", ""en"")"),"Use a side throw to steer around it.")</f>
        <v>Use a side throw to steer around it.</v>
      </c>
      <c r="E120" s="12" t="str">
        <f>IFERROR(__xludf.DUMMYFUNCTION("GOOGLETRANSLATE(K120, ""de"", ""en"")"),"A side throw is ideal for navigating large obstacles such as boulders.")</f>
        <v>A side throw is ideal for navigating large obstacles such as boulders.</v>
      </c>
      <c r="G120" s="8">
        <v>119.0</v>
      </c>
      <c r="H120" s="7" t="s">
        <v>3038</v>
      </c>
      <c r="I120" s="7" t="s">
        <v>3039</v>
      </c>
      <c r="J120" s="7" t="s">
        <v>2959</v>
      </c>
      <c r="K120" s="7" t="s">
        <v>3040</v>
      </c>
    </row>
    <row r="121" ht="22.5" customHeight="1">
      <c r="A121" s="12" t="str">
        <f>IFERROR(__xludf.DUMMYFUNCTION("GOOGLETRANSLATE(G121, ""de"", ""en"")"),"120")</f>
        <v>120</v>
      </c>
      <c r="B121" s="12" t="str">
        <f>IFERROR(__xludf.DUMMYFUNCTION("GOOGLETRANSLATE(H121, ""de"", ""en"")"),"Your ball is about to hit a pile of leaves in the middle of the path. How do you adjust your throw?")</f>
        <v>Your ball is about to hit a pile of leaves in the middle of the path. How do you adjust your throw?</v>
      </c>
      <c r="C121" s="12" t="s">
        <v>3041</v>
      </c>
      <c r="D121" s="12" t="str">
        <f>IFERROR(__xludf.DUMMYFUNCTION("GOOGLETRANSLATE(J121, ""de"", ""en"")"),"Use a side throw to redirect it.")</f>
        <v>Use a side throw to redirect it.</v>
      </c>
      <c r="E121" s="12" t="str">
        <f>IFERROR(__xludf.DUMMYFUNCTION("GOOGLETRANSLATE(K121, ""de"", ""en"")"),"A side throw can help to avoid obstacles such as piles of leaves or debris.")</f>
        <v>A side throw can help to avoid obstacles such as piles of leaves or debris.</v>
      </c>
      <c r="G121" s="8">
        <v>120.0</v>
      </c>
      <c r="H121" s="7" t="s">
        <v>3042</v>
      </c>
      <c r="I121" s="7" t="s">
        <v>3043</v>
      </c>
      <c r="J121" s="7" t="s">
        <v>3044</v>
      </c>
      <c r="K121" s="7" t="s">
        <v>3045</v>
      </c>
    </row>
    <row r="122" ht="22.5" customHeight="1">
      <c r="A122" s="12" t="str">
        <f>IFERROR(__xludf.DUMMYFUNCTION("GOOGLETRANSLATE(G122, ""de"", ""en"")"),"121")</f>
        <v>121</v>
      </c>
      <c r="B122" s="12" t="str">
        <f>IFERROR(__xludf.DUMMYFUNCTION("GOOGLETRANSLATE(H122, ""de"", ""en"")"),"You're nearing the end of the course and want to control the final roll of the ball. What should you do?")</f>
        <v>You're nearing the end of the course and want to control the final roll of the ball. What should you do?</v>
      </c>
      <c r="C122" s="12" t="s">
        <v>3046</v>
      </c>
      <c r="D122" s="12" t="str">
        <f>IFERROR(__xludf.DUMMYFUNCTION("GOOGLETRANSLATE(J122, ""de"", ""en"")"),"Use a side throw to slow it down.")</f>
        <v>Use a side throw to slow it down.</v>
      </c>
      <c r="E122" s="12" t="str">
        <f>IFERROR(__xludf.DUMMYFUNCTION("GOOGLETRANSLATE(K122, ""de"", ""en"")"),"A side throw is perfect for controlling the ball in the final section of the course.")</f>
        <v>A side throw is perfect for controlling the ball in the final section of the course.</v>
      </c>
      <c r="G122" s="8">
        <v>121.0</v>
      </c>
      <c r="H122" s="7" t="s">
        <v>3047</v>
      </c>
      <c r="I122" s="7" t="s">
        <v>3048</v>
      </c>
      <c r="J122" s="7" t="s">
        <v>3049</v>
      </c>
      <c r="K122" s="7" t="s">
        <v>3050</v>
      </c>
    </row>
    <row r="123" ht="22.5" customHeight="1">
      <c r="A123" s="12" t="str">
        <f>IFERROR(__xludf.DUMMYFUNCTION("GOOGLETRANSLATE(G123, ""de"", ""en"")"),"122")</f>
        <v>122</v>
      </c>
      <c r="B123" s="12" t="str">
        <f>IFERROR(__xludf.DUMMYFUNCTION("GOOGLETRANSLATE(H123, ""de"", ""en"")"),"Your ball goes into a large puddle. How do you avoid it?")</f>
        <v>Your ball goes into a large puddle. How do you avoid it?</v>
      </c>
      <c r="C123" s="12" t="s">
        <v>3051</v>
      </c>
      <c r="D123" s="12" t="str">
        <f>IFERROR(__xludf.DUMMYFUNCTION("GOOGLETRANSLATE(J123, ""de"", ""en"")"),"Use a side throw to steer around it.")</f>
        <v>Use a side throw to steer around it.</v>
      </c>
      <c r="E123" s="12" t="str">
        <f>IFERROR(__xludf.DUMMYFUNCTION("GOOGLETRANSLATE(K123, ""de"", ""en"")"),"A side throw helps to get the ball around puddles or damp spots.")</f>
        <v>A side throw helps to get the ball around puddles or damp spots.</v>
      </c>
      <c r="G123" s="8">
        <v>122.0</v>
      </c>
      <c r="H123" s="7" t="s">
        <v>3052</v>
      </c>
      <c r="I123" s="7" t="s">
        <v>3053</v>
      </c>
      <c r="J123" s="7" t="s">
        <v>2959</v>
      </c>
      <c r="K123" s="7" t="s">
        <v>3054</v>
      </c>
    </row>
    <row r="124" ht="22.5" customHeight="1">
      <c r="A124" s="12" t="str">
        <f>IFERROR(__xludf.DUMMYFUNCTION("GOOGLETRANSLATE(G124, ""de"", ""en"")"),"123")</f>
        <v>123</v>
      </c>
      <c r="B124" s="12" t="str">
        <f>IFERROR(__xludf.DUMMYFUNCTION("GOOGLETRANSLATE(H124, ""de"", ""en"")"),"The ball is about to land on a patch of soft grass. What do you do to maintain its speed?")</f>
        <v>The ball is about to land on a patch of soft grass. What do you do to maintain its speed?</v>
      </c>
      <c r="C124" s="12" t="s">
        <v>3055</v>
      </c>
      <c r="D124" s="12" t="str">
        <f>IFERROR(__xludf.DUMMYFUNCTION("GOOGLETRANSLATE(J124, ""de"", ""en"")"),"Use a side throw to control the speed.")</f>
        <v>Use a side throw to control the speed.</v>
      </c>
      <c r="E124" s="12" t="str">
        <f>IFERROR(__xludf.DUMMYFUNCTION("GOOGLETRANSLATE(K124, ""de"", ""en"")"),"A side throw helps to maintain control over soft or uneven surfaces.")</f>
        <v>A side throw helps to maintain control over soft or uneven surfaces.</v>
      </c>
      <c r="G124" s="8">
        <v>123.0</v>
      </c>
      <c r="H124" s="7" t="s">
        <v>3056</v>
      </c>
      <c r="I124" s="7" t="s">
        <v>3057</v>
      </c>
      <c r="J124" s="7" t="s">
        <v>3035</v>
      </c>
      <c r="K124" s="7" t="s">
        <v>3058</v>
      </c>
    </row>
    <row r="125" ht="22.5" customHeight="1">
      <c r="A125" s="12" t="str">
        <f>IFERROR(__xludf.DUMMYFUNCTION("GOOGLETRANSLATE(G125, ""de"", ""en"")"),"124")</f>
        <v>124</v>
      </c>
      <c r="B125" s="12" t="str">
        <f>IFERROR(__xludf.DUMMYFUNCTION("GOOGLETRANSLATE(H125, ""de"", ""en"")"),"The road ahead is narrow and winding. How do you ensure your ball stays on course?")</f>
        <v>The road ahead is narrow and winding. How do you ensure your ball stays on course?</v>
      </c>
      <c r="C125" s="12" t="s">
        <v>3059</v>
      </c>
      <c r="D125" s="12" t="str">
        <f>IFERROR(__xludf.DUMMYFUNCTION("GOOGLETRANSLATE(J125, ""de"", ""en"")"),"Use a side throw to navigate curves.")</f>
        <v>Use a side throw to navigate curves.</v>
      </c>
      <c r="E125" s="12" t="str">
        <f>IFERROR(__xludf.DUMMYFUNCTION("GOOGLETRANSLATE(K125, ""de"", ""en"")"),"A side throw keeps the ball on course through narrow or winding paths.")</f>
        <v>A side throw keeps the ball on course through narrow or winding paths.</v>
      </c>
      <c r="G125" s="8">
        <v>124.0</v>
      </c>
      <c r="H125" s="7" t="s">
        <v>3060</v>
      </c>
      <c r="I125" s="7" t="s">
        <v>3061</v>
      </c>
      <c r="J125" s="7" t="s">
        <v>3062</v>
      </c>
      <c r="K125" s="7" t="s">
        <v>3063</v>
      </c>
    </row>
    <row r="126" ht="22.5" customHeight="1">
      <c r="A126" s="12" t="str">
        <f>IFERROR(__xludf.DUMMYFUNCTION("GOOGLETRANSLATE(G126, ""de"", ""en"")"),"125")</f>
        <v>125</v>
      </c>
      <c r="B126" s="12" t="str">
        <f>IFERROR(__xludf.DUMMYFUNCTION("GOOGLETRANSLATE(H126, ""de"", ""en"")"),"Your ball rolls into a sharp curve. How do you adjust your position to prevent the curve from overshooting?")</f>
        <v>Your ball rolls into a sharp curve. How do you adjust your position to prevent the curve from overshooting?</v>
      </c>
      <c r="C126" s="12" t="s">
        <v>3064</v>
      </c>
      <c r="D126" s="12" t="str">
        <f>IFERROR(__xludf.DUMMYFUNCTION("GOOGLETRANSLATE(J126, ""de"", ""en"")"),"Use a side throw to guide it.")</f>
        <v>Use a side throw to guide it.</v>
      </c>
      <c r="E126" s="12" t="str">
        <f>IFERROR(__xludf.DUMMYFUNCTION("GOOGLETRANSLATE(K126, ""de"", ""en"")"),"A side throw helps to guide the ball around sharp curves without overswinging.")</f>
        <v>A side throw helps to guide the ball around sharp curves without overswinging.</v>
      </c>
      <c r="G126" s="8">
        <v>125.0</v>
      </c>
      <c r="H126" s="7" t="s">
        <v>3065</v>
      </c>
      <c r="I126" s="7" t="s">
        <v>3066</v>
      </c>
      <c r="J126" s="7" t="s">
        <v>2977</v>
      </c>
      <c r="K126" s="7" t="s">
        <v>3067</v>
      </c>
    </row>
    <row r="127" ht="22.5" customHeight="1">
      <c r="A127" s="12" t="str">
        <f>IFERROR(__xludf.DUMMYFUNCTION("GOOGLETRANSLATE(G127, ""de"", ""en"")"),"126")</f>
        <v>126</v>
      </c>
      <c r="B127" s="12" t="str">
        <f>IFERROR(__xludf.DUMMYFUNCTION("GOOGLETRANSLATE(H127, ""de"", ""en"")"),"Your ball goes towards a tree stump. How do you avoid it?")</f>
        <v>Your ball goes towards a tree stump. How do you avoid it?</v>
      </c>
      <c r="C127" s="12" t="s">
        <v>3068</v>
      </c>
      <c r="D127" s="12" t="str">
        <f>IFERROR(__xludf.DUMMYFUNCTION("GOOGLETRANSLATE(J127, ""de"", ""en"")"),"Use a side throw to steer around it.")</f>
        <v>Use a side throw to steer around it.</v>
      </c>
      <c r="E127" s="12" t="str">
        <f>IFERROR(__xludf.DUMMYFUNCTION("GOOGLETRANSLATE(K127, ""de"", ""en"")"),"A side throw helps you avoid obstacles like tree stumps that are in your way.")</f>
        <v>A side throw helps you avoid obstacles like tree stumps that are in your way.</v>
      </c>
      <c r="G127" s="8">
        <v>126.0</v>
      </c>
      <c r="H127" s="7" t="s">
        <v>3069</v>
      </c>
      <c r="I127" s="7" t="s">
        <v>3070</v>
      </c>
      <c r="J127" s="7" t="s">
        <v>2959</v>
      </c>
      <c r="K127" s="7" t="s">
        <v>3071</v>
      </c>
    </row>
    <row r="128" ht="22.5" customHeight="1">
      <c r="A128" s="12" t="str">
        <f>IFERROR(__xludf.DUMMYFUNCTION("GOOGLETRANSLATE(G128, ""de"", ""en"")"),"127")</f>
        <v>127</v>
      </c>
      <c r="B128" s="12" t="str">
        <f>IFERROR(__xludf.DUMMYFUNCTION("GOOGLETRANSLATE(H128, ""de"", ""en"")"),"The ball lands on a piece of ice on the path. What should you do?")</f>
        <v>The ball lands on a piece of ice on the path. What should you do?</v>
      </c>
      <c r="C128" s="12" t="s">
        <v>3072</v>
      </c>
      <c r="D128" s="12" t="str">
        <f>IFERROR(__xludf.DUMMYFUNCTION("GOOGLETRANSLATE(J128, ""de"", ""en"")"),"Use a side throw to avoid sliding.")</f>
        <v>Use a side throw to avoid sliding.</v>
      </c>
      <c r="E128" s="12" t="str">
        <f>IFERROR(__xludf.DUMMYFUNCTION("GOOGLETRANSLATE(K128, ""de"", ""en"")"),"A side throw can prevent the ball from slipping on icy surfaces.")</f>
        <v>A side throw can prevent the ball from slipping on icy surfaces.</v>
      </c>
      <c r="G128" s="8">
        <v>127.0</v>
      </c>
      <c r="H128" s="7" t="s">
        <v>3073</v>
      </c>
      <c r="I128" s="7" t="s">
        <v>3074</v>
      </c>
      <c r="J128" s="7" t="s">
        <v>3075</v>
      </c>
      <c r="K128" s="7" t="s">
        <v>3076</v>
      </c>
    </row>
    <row r="129" ht="22.5" customHeight="1">
      <c r="A129" s="12" t="str">
        <f>IFERROR(__xludf.DUMMYFUNCTION("GOOGLETRANSLATE(G129, ""de"", ""en"")"),"128")</f>
        <v>128</v>
      </c>
      <c r="B129" s="12" t="str">
        <f>IFERROR(__xludf.DUMMYFUNCTION("GOOGLETRANSLATE(H129, ""de"", ""en"")"),"They are approaching a narrow gap between two rocks. How do you ensure the ball goes through?")</f>
        <v>They are approaching a narrow gap between two rocks. How do you ensure the ball goes through?</v>
      </c>
      <c r="C129" s="12" t="s">
        <v>3077</v>
      </c>
      <c r="D129" s="12" t="str">
        <f>IFERROR(__xludf.DUMMYFUNCTION("GOOGLETRANSLATE(J129, ""de"", ""en"")"),"Use a side throw to perform it.")</f>
        <v>Use a side throw to perform it.</v>
      </c>
      <c r="E129" s="12" t="str">
        <f>IFERROR(__xludf.DUMMYFUNCTION("GOOGLETRANSLATE(K129, ""de"", ""en"")"),"A side throw helps the ball to pass through narrow gaps or obstacles.")</f>
        <v>A side throw helps the ball to pass through narrow gaps or obstacles.</v>
      </c>
      <c r="G129" s="8">
        <v>128.0</v>
      </c>
      <c r="H129" s="7" t="s">
        <v>3078</v>
      </c>
      <c r="I129" s="7" t="s">
        <v>3079</v>
      </c>
      <c r="J129" s="7" t="s">
        <v>3080</v>
      </c>
      <c r="K129" s="7" t="s">
        <v>3081</v>
      </c>
    </row>
    <row r="130" ht="22.5" customHeight="1">
      <c r="A130" s="12" t="str">
        <f>IFERROR(__xludf.DUMMYFUNCTION("GOOGLETRANSLATE(G130, ""de"", ""en"")"),"129")</f>
        <v>129</v>
      </c>
      <c r="B130" s="12" t="str">
        <f>IFERROR(__xludf.DUMMYFUNCTION("GOOGLETRANSLATE(H130, ""de"", ""en"")"),"The ball goes up a steep slope. How do you make sure it doesn't roll back down?")</f>
        <v>The ball goes up a steep slope. How do you make sure it doesn't roll back down?</v>
      </c>
      <c r="C130" s="12" t="s">
        <v>3082</v>
      </c>
      <c r="D130" s="12" t="str">
        <f>IFERROR(__xludf.DUMMYFUNCTION("GOOGLETRANSLATE(J130, ""de"", ""en"")"),"Use a side throw to maintain control.")</f>
        <v>Use a side throw to maintain control.</v>
      </c>
      <c r="E130" s="12" t="str">
        <f>IFERROR(__xludf.DUMMYFUNCTION("GOOGLETRANSLATE(K130, ""de"", ""en"")"),"A side throw ensures that the ball stays on course when facing inclines.")</f>
        <v>A side throw ensures that the ball stays on course when facing inclines.</v>
      </c>
      <c r="G130" s="8">
        <v>129.0</v>
      </c>
      <c r="H130" s="7" t="s">
        <v>3083</v>
      </c>
      <c r="I130" s="7" t="s">
        <v>3084</v>
      </c>
      <c r="J130" s="7" t="s">
        <v>3085</v>
      </c>
      <c r="K130" s="7" t="s">
        <v>3086</v>
      </c>
    </row>
    <row r="131" ht="22.5" customHeight="1">
      <c r="A131" s="12" t="str">
        <f>IFERROR(__xludf.DUMMYFUNCTION("GOOGLETRANSLATE(G131, ""de"", ""en"")"),"130")</f>
        <v>130</v>
      </c>
      <c r="B131" s="12" t="str">
        <f>IFERROR(__xludf.DUMMYFUNCTION("GOOGLETRANSLATE(H131, ""de"", ""en"")"),"The path is rocky and your ball is bouncing off course. How can you regain control?")</f>
        <v>The path is rocky and your ball is bouncing off course. How can you regain control?</v>
      </c>
      <c r="C131" s="12" t="s">
        <v>3087</v>
      </c>
      <c r="D131" s="12" t="str">
        <f>IFERROR(__xludf.DUMMYFUNCTION("GOOGLETRANSLATE(J131, ""de"", ""en"")"),"Use a side throw to stabilize it.")</f>
        <v>Use a side throw to stabilize it.</v>
      </c>
      <c r="E131" s="12" t="str">
        <f>IFERROR(__xludf.DUMMYFUNCTION("GOOGLETRANSLATE(K131, ""de"", ""en"")"),"A side throw is ideal for regaining control over rocky or uneven surfaces.")</f>
        <v>A side throw is ideal for regaining control over rocky or uneven surfaces.</v>
      </c>
      <c r="G131" s="8">
        <v>130.0</v>
      </c>
      <c r="H131" s="7" t="s">
        <v>3088</v>
      </c>
      <c r="I131" s="7" t="s">
        <v>3089</v>
      </c>
      <c r="J131" s="7" t="s">
        <v>3090</v>
      </c>
      <c r="K131" s="7" t="s">
        <v>3091</v>
      </c>
    </row>
    <row r="132" ht="22.5" customHeight="1">
      <c r="A132" s="12" t="str">
        <f>IFERROR(__xludf.DUMMYFUNCTION("GOOGLETRANSLATE(G132, ""de"", ""en"")"),"131")</f>
        <v>131</v>
      </c>
      <c r="B132" s="12" t="str">
        <f>IFERROR(__xludf.DUMMYFUNCTION("GOOGLETRANSLATE(H132, ""de"", ""en"")"),"The upcoming course is full of obstacles. How will you navigate through them?")</f>
        <v>The upcoming course is full of obstacles. How will you navigate through them?</v>
      </c>
      <c r="C132" s="12" t="s">
        <v>3092</v>
      </c>
      <c r="D132" s="12" t="str">
        <f>IFERROR(__xludf.DUMMYFUNCTION("GOOGLETRANSLATE(J132, ""de"", ""en"")"),"Use a side throw to avoid any obstacles.")</f>
        <v>Use a side throw to avoid any obstacles.</v>
      </c>
      <c r="E132" s="12" t="str">
        <f>IFERROR(__xludf.DUMMYFUNCTION("GOOGLETRANSLATE(K132, ""de"", ""en"")"),"A side throw helps you avoid several obstacles in your path.")</f>
        <v>A side throw helps you avoid several obstacles in your path.</v>
      </c>
      <c r="G132" s="8">
        <v>131.0</v>
      </c>
      <c r="H132" s="7" t="s">
        <v>3093</v>
      </c>
      <c r="I132" s="7" t="s">
        <v>3094</v>
      </c>
      <c r="J132" s="7" t="s">
        <v>3095</v>
      </c>
      <c r="K132" s="7" t="s">
        <v>3096</v>
      </c>
    </row>
    <row r="133" ht="22.5" customHeight="1">
      <c r="A133" s="12" t="str">
        <f>IFERROR(__xludf.DUMMYFUNCTION("GOOGLETRANSLATE(G133, ""de"", ""en"")"),"132")</f>
        <v>132</v>
      </c>
      <c r="B133" s="12" t="str">
        <f>IFERROR(__xludf.DUMMYFUNCTION("GOOGLETRANSLATE(H133, ""de"", ""en"")"),"The ball is about to hit a large puddle. How do you adjust your throw?")</f>
        <v>The ball is about to hit a large puddle. How do you adjust your throw?</v>
      </c>
      <c r="C133" s="12" t="s">
        <v>3097</v>
      </c>
      <c r="D133" s="12" t="str">
        <f>IFERROR(__xludf.DUMMYFUNCTION("GOOGLETRANSLATE(J133, ""de"", ""en"")"),"Use a side throw to avoid it.")</f>
        <v>Use a side throw to avoid it.</v>
      </c>
      <c r="E133" s="12" t="str">
        <f>IFERROR(__xludf.DUMMYFUNCTION("GOOGLETRANSLATE(K133, ""de"", ""en"")"),"A side throw helps to guide the ball around puddles.")</f>
        <v>A side throw helps to guide the ball around puddles.</v>
      </c>
      <c r="G133" s="8">
        <v>132.0</v>
      </c>
      <c r="H133" s="7" t="s">
        <v>3098</v>
      </c>
      <c r="I133" s="7" t="s">
        <v>3099</v>
      </c>
      <c r="J133" s="7" t="s">
        <v>2944</v>
      </c>
      <c r="K133" s="7" t="s">
        <v>3100</v>
      </c>
    </row>
    <row r="134" ht="22.5" customHeight="1">
      <c r="A134" s="12" t="str">
        <f>IFERROR(__xludf.DUMMYFUNCTION("GOOGLETRANSLATE(G134, ""de"", ""en"")"),"133")</f>
        <v>133</v>
      </c>
      <c r="B134" s="12" t="str">
        <f>IFERROR(__xludf.DUMMYFUNCTION("GOOGLETRANSLATE(H134, ""de"", ""en"")"),"You are approaching a patch of mud. How do you adjust your throw to avoid getting stuck?")</f>
        <v>You are approaching a patch of mud. How do you adjust your throw to avoid getting stuck?</v>
      </c>
      <c r="C134" s="12" t="s">
        <v>3101</v>
      </c>
      <c r="D134" s="12" t="str">
        <f>IFERROR(__xludf.DUMMYFUNCTION("GOOGLETRANSLATE(J134, ""de"", ""en"")"),"Use a side throw to avoid it.")</f>
        <v>Use a side throw to avoid it.</v>
      </c>
      <c r="E134" s="12" t="str">
        <f>IFERROR(__xludf.DUMMYFUNCTION("GOOGLETRANSLATE(K134, ""de"", ""en"")"),"A side throw can help to navigate through mud without getting stuck.")</f>
        <v>A side throw can help to navigate through mud without getting stuck.</v>
      </c>
      <c r="G134" s="8">
        <v>133.0</v>
      </c>
      <c r="H134" s="7" t="s">
        <v>3102</v>
      </c>
      <c r="I134" s="7" t="s">
        <v>3103</v>
      </c>
      <c r="J134" s="7" t="s">
        <v>2944</v>
      </c>
      <c r="K134" s="7" t="s">
        <v>3104</v>
      </c>
    </row>
    <row r="135" ht="22.5" customHeight="1">
      <c r="A135" s="12" t="str">
        <f>IFERROR(__xludf.DUMMYFUNCTION("GOOGLETRANSLATE(G135, ""de"", ""en"")"),"134")</f>
        <v>134</v>
      </c>
      <c r="B135" s="12" t="str">
        <f>IFERROR(__xludf.DUMMYFUNCTION("GOOGLETRANSLATE(H135, ""de"", ""en"")"),"Your ball is approaching a sharp curve. How do you adjust your throw to stay on course?")</f>
        <v>Your ball is approaching a sharp curve. How do you adjust your throw to stay on course?</v>
      </c>
      <c r="C135" s="12" t="s">
        <v>3105</v>
      </c>
      <c r="D135" s="12" t="str">
        <f>IFERROR(__xludf.DUMMYFUNCTION("GOOGLETRANSLATE(J135, ""de"", ""en"")"),"Use a side throw to redirect it.")</f>
        <v>Use a side throw to redirect it.</v>
      </c>
      <c r="E135" s="12" t="str">
        <f>IFERROR(__xludf.DUMMYFUNCTION("GOOGLETRANSLATE(K135, ""de"", ""en"")"),"A side throw keeps the ball moving through sharp bends.")</f>
        <v>A side throw keeps the ball moving through sharp bends.</v>
      </c>
      <c r="G135" s="8">
        <v>134.0</v>
      </c>
      <c r="H135" s="7" t="s">
        <v>3106</v>
      </c>
      <c r="I135" s="7" t="s">
        <v>3107</v>
      </c>
      <c r="J135" s="7" t="s">
        <v>3044</v>
      </c>
      <c r="K135" s="7" t="s">
        <v>3108</v>
      </c>
    </row>
    <row r="136" ht="22.5" customHeight="1">
      <c r="A136" s="12" t="str">
        <f>IFERROR(__xludf.DUMMYFUNCTION("GOOGLETRANSLATE(G136, ""de"", ""en"")"),"135")</f>
        <v>135</v>
      </c>
      <c r="B136" s="12" t="str">
        <f>IFERROR(__xludf.DUMMYFUNCTION("GOOGLETRANSLATE(H136, ""de"", ""en"")"),"The ball is about to hit a sandbar. How do you prevent it from sinking?")</f>
        <v>The ball is about to hit a sandbar. How do you prevent it from sinking?</v>
      </c>
      <c r="C136" s="12" t="s">
        <v>3109</v>
      </c>
      <c r="D136" s="12" t="str">
        <f>IFERROR(__xludf.DUMMYFUNCTION("GOOGLETRANSLATE(J136, ""de"", ""en"")"),"Use a side throw to redirect it.")</f>
        <v>Use a side throw to redirect it.</v>
      </c>
      <c r="E136" s="12" t="str">
        <f>IFERROR(__xludf.DUMMYFUNCTION("GOOGLETRANSLATE(K136, ""de"", ""en"")"),"A side throw helps to avoid sinking in soft terrain such as sand.")</f>
        <v>A side throw helps to avoid sinking in soft terrain such as sand.</v>
      </c>
      <c r="G136" s="8">
        <v>135.0</v>
      </c>
      <c r="H136" s="7" t="s">
        <v>3110</v>
      </c>
      <c r="I136" s="7" t="s">
        <v>3111</v>
      </c>
      <c r="J136" s="7" t="s">
        <v>3044</v>
      </c>
      <c r="K136" s="7" t="s">
        <v>3112</v>
      </c>
    </row>
    <row r="137" ht="22.5" customHeight="1">
      <c r="A137" s="12" t="str">
        <f>IFERROR(__xludf.DUMMYFUNCTION("GOOGLETRANSLATE(G137, ""de"", ""en"")"),"136")</f>
        <v>136</v>
      </c>
      <c r="B137" s="12" t="str">
        <f>IFERROR(__xludf.DUMMYFUNCTION("GOOGLETRANSLATE(H137, ""de"", ""en"")"),"You are approaching a sharp bend and need to control the ball's speed. What do you do?")</f>
        <v>You are approaching a sharp bend and need to control the ball's speed. What do you do?</v>
      </c>
      <c r="C137" s="12" t="s">
        <v>3113</v>
      </c>
      <c r="D137" s="12" t="str">
        <f>IFERROR(__xludf.DUMMYFUNCTION("GOOGLETRANSLATE(J137, ""de"", ""en"")"),"Use a side throw to slow down.")</f>
        <v>Use a side throw to slow down.</v>
      </c>
      <c r="E137" s="12" t="str">
        <f>IFERROR(__xludf.DUMMYFUNCTION("GOOGLETRANSLATE(K137, ""de"", ""en"")"),"A side throw slows the ball down and maintains control over sharp curves.")</f>
        <v>A side throw slows the ball down and maintains control over sharp curves.</v>
      </c>
      <c r="G137" s="8">
        <v>136.0</v>
      </c>
      <c r="H137" s="7" t="s">
        <v>3114</v>
      </c>
      <c r="I137" s="7" t="s">
        <v>3115</v>
      </c>
      <c r="J137" s="7" t="s">
        <v>3116</v>
      </c>
      <c r="K137" s="7" t="s">
        <v>3117</v>
      </c>
    </row>
    <row r="138" ht="22.5" customHeight="1">
      <c r="A138" s="12" t="str">
        <f>IFERROR(__xludf.DUMMYFUNCTION("GOOGLETRANSLATE(G138, ""de"", ""en"")"),"137")</f>
        <v>137</v>
      </c>
      <c r="B138" s="12" t="str">
        <f>IFERROR(__xludf.DUMMYFUNCTION("GOOGLETRANSLATE(H138, ""de"", ""en"")"),"Your ball is going towards a tree. How do you avoid hitting the trunk?")</f>
        <v>Your ball is going towards a tree. How do you avoid hitting the trunk?</v>
      </c>
      <c r="C138" s="12" t="s">
        <v>3118</v>
      </c>
      <c r="D138" s="12" t="str">
        <f>IFERROR(__xludf.DUMMYFUNCTION("GOOGLETRANSLATE(J138, ""de"", ""en"")"),"Use a side throw to steer around it.")</f>
        <v>Use a side throw to steer around it.</v>
      </c>
      <c r="E138" s="12" t="str">
        <f>IFERROR(__xludf.DUMMYFUNCTION("GOOGLETRANSLATE(K138, ""de"", ""en"")"),"A side throw allows you to deflect the ball around trees and other obstacles.")</f>
        <v>A side throw allows you to deflect the ball around trees and other obstacles.</v>
      </c>
      <c r="G138" s="8">
        <v>137.0</v>
      </c>
      <c r="H138" s="7" t="s">
        <v>3119</v>
      </c>
      <c r="I138" s="7" t="s">
        <v>3120</v>
      </c>
      <c r="J138" s="7" t="s">
        <v>2959</v>
      </c>
      <c r="K138" s="7" t="s">
        <v>3121</v>
      </c>
    </row>
    <row r="139" ht="22.5" customHeight="1">
      <c r="A139" s="12" t="str">
        <f>IFERROR(__xludf.DUMMYFUNCTION("GOOGLETRANSLATE(G139, ""de"", ""en"")"),"138")</f>
        <v>138</v>
      </c>
      <c r="B139" s="12" t="str">
        <f>IFERROR(__xludf.DUMMYFUNCTION("GOOGLETRANSLATE(H139, ""de"", ""en"")"),"The ball is heading towards a steep slope. How do you adjust your throw to prevent it from rolling too far?")</f>
        <v>The ball is heading towards a steep slope. How do you adjust your throw to prevent it from rolling too far?</v>
      </c>
      <c r="C139" s="12" t="s">
        <v>3122</v>
      </c>
      <c r="D139" s="12" t="str">
        <f>IFERROR(__xludf.DUMMYFUNCTION("GOOGLETRANSLATE(J139, ""de"", ""en"")"),"Use a side throw to reduce speed.")</f>
        <v>Use a side throw to reduce speed.</v>
      </c>
      <c r="E139" s="12" t="str">
        <f>IFERROR(__xludf.DUMMYFUNCTION("GOOGLETRANSLATE(K139, ""de"", ""en"")"),"A side throw reduces the ball's momentum when going downhill.")</f>
        <v>A side throw reduces the ball's momentum when going downhill.</v>
      </c>
      <c r="G139" s="8">
        <v>138.0</v>
      </c>
      <c r="H139" s="7" t="s">
        <v>3123</v>
      </c>
      <c r="I139" s="7" t="s">
        <v>3124</v>
      </c>
      <c r="J139" s="7" t="s">
        <v>2815</v>
      </c>
      <c r="K139" s="7" t="s">
        <v>3125</v>
      </c>
    </row>
    <row r="140" ht="22.5" customHeight="1">
      <c r="A140" s="12" t="str">
        <f>IFERROR(__xludf.DUMMYFUNCTION("GOOGLETRANSLATE(G140, ""de"", ""en"")"),"139")</f>
        <v>139</v>
      </c>
      <c r="B140" s="12" t="str">
        <f>IFERROR(__xludf.DUMMYFUNCTION("GOOGLETRANSLATE(H140, ""de"", ""en"")"),"You need to make sure your ball doesn't land in a water hazard. What do you do?")</f>
        <v>You need to make sure your ball doesn't land in a water hazard. What do you do?</v>
      </c>
      <c r="C140" s="12" t="s">
        <v>3126</v>
      </c>
      <c r="D140" s="12" t="str">
        <f>IFERROR(__xludf.DUMMYFUNCTION("GOOGLETRANSLATE(J140, ""de"", ""en"")"),"Use a side throw to avoid it.")</f>
        <v>Use a side throw to avoid it.</v>
      </c>
      <c r="E140" s="12" t="str">
        <f>IFERROR(__xludf.DUMMYFUNCTION("GOOGLETRANSLATE(K140, ""de"", ""en"")"),"A side throw can help keep the ball away from water hazards.")</f>
        <v>A side throw can help keep the ball away from water hazards.</v>
      </c>
      <c r="G140" s="8">
        <v>139.0</v>
      </c>
      <c r="H140" s="7" t="s">
        <v>3127</v>
      </c>
      <c r="I140" s="7" t="s">
        <v>3128</v>
      </c>
      <c r="J140" s="7" t="s">
        <v>2944</v>
      </c>
      <c r="K140" s="7" t="s">
        <v>3129</v>
      </c>
    </row>
    <row r="141" ht="22.5" customHeight="1">
      <c r="A141" s="12" t="str">
        <f>IFERROR(__xludf.DUMMYFUNCTION("GOOGLETRANSLATE(G141, ""de"", ""en"")"),"140")</f>
        <v>140</v>
      </c>
      <c r="B141" s="12" t="str">
        <f>IFERROR(__xludf.DUMMYFUNCTION("GOOGLETRANSLATE(H141, ""de"", ""en"")"),"The ball rolls towards an uneven surface. How can you regain control?")</f>
        <v>The ball rolls towards an uneven surface. How can you regain control?</v>
      </c>
      <c r="C141" s="12" t="s">
        <v>3130</v>
      </c>
      <c r="D141" s="12" t="str">
        <f>IFERROR(__xludf.DUMMYFUNCTION("GOOGLETRANSLATE(J141, ""de"", ""en"")"),"Use a side throw to adjust.")</f>
        <v>Use a side throw to adjust.</v>
      </c>
      <c r="E141" s="12" t="str">
        <f>IFERROR(__xludf.DUMMYFUNCTION("GOOGLETRANSLATE(K141, ""de"", ""en"")"),"A side throw helps you regain control over uneven or bumpy ground.")</f>
        <v>A side throw helps you regain control over uneven or bumpy ground.</v>
      </c>
      <c r="G141" s="8">
        <v>140.0</v>
      </c>
      <c r="H141" s="7" t="s">
        <v>3131</v>
      </c>
      <c r="I141" s="7" t="s">
        <v>3132</v>
      </c>
      <c r="J141" s="7" t="s">
        <v>3133</v>
      </c>
      <c r="K141" s="7" t="s">
        <v>3134</v>
      </c>
    </row>
    <row r="142" ht="22.5" customHeight="1">
      <c r="A142" s="12" t="str">
        <f>IFERROR(__xludf.DUMMYFUNCTION("GOOGLETRANSLATE(G142, ""de"", ""en"")"),"141")</f>
        <v>141</v>
      </c>
      <c r="B142" s="12" t="str">
        <f>IFERROR(__xludf.DUMMYFUNCTION("GOOGLETRANSLATE(H142, ""de"", ""en"")"),"Your ball rolls towards a narrow passage between two rocks. What should you do to get through?")</f>
        <v>Your ball rolls towards a narrow passage between two rocks. What should you do to get through?</v>
      </c>
      <c r="C142" s="12" t="s">
        <v>3135</v>
      </c>
      <c r="D142" s="12" t="str">
        <f>IFERROR(__xludf.DUMMYFUNCTION("GOOGLETRANSLATE(J142, ""de"", ""en"")"),"Use a side throw to perform it.")</f>
        <v>Use a side throw to perform it.</v>
      </c>
      <c r="E142" s="12" t="str">
        <f>IFERROR(__xludf.DUMMYFUNCTION("GOOGLETRANSLATE(K142, ""de"", ""en"")"),"A side throw helps you guide the ball through narrow gaps.")</f>
        <v>A side throw helps you guide the ball through narrow gaps.</v>
      </c>
      <c r="G142" s="8">
        <v>141.0</v>
      </c>
      <c r="H142" s="7" t="s">
        <v>3136</v>
      </c>
      <c r="I142" s="7" t="s">
        <v>3137</v>
      </c>
      <c r="J142" s="7" t="s">
        <v>3080</v>
      </c>
      <c r="K142" s="7" t="s">
        <v>3138</v>
      </c>
    </row>
    <row r="143" ht="22.5" customHeight="1">
      <c r="A143" s="12" t="str">
        <f>IFERROR(__xludf.DUMMYFUNCTION("GOOGLETRANSLATE(G143, ""de"", ""en"")"),"142")</f>
        <v>142</v>
      </c>
      <c r="B143" s="12" t="str">
        <f>IFERROR(__xludf.DUMMYFUNCTION("GOOGLETRANSLATE(H143, ""de"", ""en"")"),"They are aiming for a distant target, but there is wind. How should you throw?")</f>
        <v>They are aiming for a distant target, but there is wind. How should you throw?</v>
      </c>
      <c r="C143" s="12" t="s">
        <v>3139</v>
      </c>
      <c r="D143" s="12" t="str">
        <f>IFERROR(__xludf.DUMMYFUNCTION("GOOGLETRANSLATE(J143, ""de"", ""en"")"),"Use a higher arc to avoid the wind.")</f>
        <v>Use a higher arc to avoid the wind.</v>
      </c>
      <c r="E143" s="12" t="str">
        <f>IFERROR(__xludf.DUMMYFUNCTION("GOOGLETRANSLATE(K143, ""de"", ""en"")"),"A higher arc helps to minimize the effect of the wind on the direction of the ball.")</f>
        <v>A higher arc helps to minimize the effect of the wind on the direction of the ball.</v>
      </c>
      <c r="G143" s="8">
        <v>142.0</v>
      </c>
      <c r="H143" s="7" t="s">
        <v>3140</v>
      </c>
      <c r="I143" s="7" t="s">
        <v>3141</v>
      </c>
      <c r="J143" s="7" t="s">
        <v>3142</v>
      </c>
      <c r="K143" s="7" t="s">
        <v>3143</v>
      </c>
    </row>
    <row r="144" ht="22.5" customHeight="1">
      <c r="A144" s="12" t="str">
        <f>IFERROR(__xludf.DUMMYFUNCTION("GOOGLETRANSLATE(G144, ""de"", ""en"")"),"143")</f>
        <v>143</v>
      </c>
      <c r="B144" s="12" t="str">
        <f>IFERROR(__xludf.DUMMYFUNCTION("GOOGLETRANSLATE(H144, ""de"", ""en"")"),"The ball goes up a steep slope. How do you make sure it doesn't roll back down?")</f>
        <v>The ball goes up a steep slope. How do you make sure it doesn't roll back down?</v>
      </c>
      <c r="C144" s="12" t="s">
        <v>3144</v>
      </c>
      <c r="D144" s="12" t="str">
        <f>IFERROR(__xludf.DUMMYFUNCTION("GOOGLETRANSLATE(J144, ""de"", ""en"")"),"Use a side throw to slow it down.")</f>
        <v>Use a side throw to slow it down.</v>
      </c>
      <c r="E144" s="12" t="str">
        <f>IFERROR(__xludf.DUMMYFUNCTION("GOOGLETRANSLATE(K144, ""de"", ""en"")"),"A side throw can reduce the momentum and prevent the ball from rolling back.")</f>
        <v>A side throw can reduce the momentum and prevent the ball from rolling back.</v>
      </c>
      <c r="G144" s="8">
        <v>143.0</v>
      </c>
      <c r="H144" s="7" t="s">
        <v>3145</v>
      </c>
      <c r="I144" s="7" t="s">
        <v>3146</v>
      </c>
      <c r="J144" s="7" t="s">
        <v>3049</v>
      </c>
      <c r="K144" s="7" t="s">
        <v>3147</v>
      </c>
    </row>
    <row r="145" ht="22.5" customHeight="1">
      <c r="A145" s="12" t="str">
        <f>IFERROR(__xludf.DUMMYFUNCTION("GOOGLETRANSLATE(G145, ""de"", ""en"")"),"144")</f>
        <v>144</v>
      </c>
      <c r="B145" s="12" t="str">
        <f>IFERROR(__xludf.DUMMYFUNCTION("GOOGLETRANSLATE(H145, ""de"", ""en"")"),"Your ball goes into a small depression in the ground. How do you avoid losing speed there?")</f>
        <v>Your ball goes into a small depression in the ground. How do you avoid losing speed there?</v>
      </c>
      <c r="C145" s="12" t="s">
        <v>3148</v>
      </c>
      <c r="D145" s="12" t="str">
        <f>IFERROR(__xludf.DUMMYFUNCTION("GOOGLETRANSLATE(J145, ""de"", ""en"")"),"Use a side throw to glide over it.")</f>
        <v>Use a side throw to glide over it.</v>
      </c>
      <c r="E145" s="12" t="str">
        <f>IFERROR(__xludf.DUMMYFUNCTION("GOOGLETRANSLATE(K145, ""de"", ""en"")"),"A side throw can help you walk over dips in the ground without losing momentum.")</f>
        <v>A side throw can help you walk over dips in the ground without losing momentum.</v>
      </c>
      <c r="G145" s="8">
        <v>144.0</v>
      </c>
      <c r="H145" s="7" t="s">
        <v>3149</v>
      </c>
      <c r="I145" s="7" t="s">
        <v>3150</v>
      </c>
      <c r="J145" s="7" t="s">
        <v>2646</v>
      </c>
      <c r="K145" s="7" t="s">
        <v>3151</v>
      </c>
    </row>
    <row r="146" ht="22.5" customHeight="1">
      <c r="A146" s="12" t="str">
        <f>IFERROR(__xludf.DUMMYFUNCTION("GOOGLETRANSLATE(G146, ""de"", ""en"")"),"145")</f>
        <v>145</v>
      </c>
      <c r="B146" s="12" t="str">
        <f>IFERROR(__xludf.DUMMYFUNCTION("GOOGLETRANSLATE(H146, ""de"", ""en"")"),"The ball rolls towards a patch of gravel. What's the best way to prevent it from getting stuck?")</f>
        <v>The ball rolls towards a patch of gravel. What's the best way to prevent it from getting stuck?</v>
      </c>
      <c r="C146" s="12" t="s">
        <v>3152</v>
      </c>
      <c r="D146" s="12" t="str">
        <f>IFERROR(__xludf.DUMMYFUNCTION("GOOGLETRANSLATE(J146, ""de"", ""en"")"),"Use a side throw to glide over it.")</f>
        <v>Use a side throw to glide over it.</v>
      </c>
      <c r="E146" s="12" t="str">
        <f>IFERROR(__xludf.DUMMYFUNCTION("GOOGLETRANSLATE(K146, ""de"", ""en"")"),"A side throw avoids obstacles like patches of gravel that can stop the ball.")</f>
        <v>A side throw avoids obstacles like patches of gravel that can stop the ball.</v>
      </c>
      <c r="G146" s="8">
        <v>145.0</v>
      </c>
      <c r="H146" s="7" t="s">
        <v>3153</v>
      </c>
      <c r="I146" s="7" t="s">
        <v>3154</v>
      </c>
      <c r="J146" s="7" t="s">
        <v>2646</v>
      </c>
      <c r="K146" s="7" t="s">
        <v>3155</v>
      </c>
    </row>
    <row r="147" ht="22.5" customHeight="1">
      <c r="A147" s="12" t="str">
        <f>IFERROR(__xludf.DUMMYFUNCTION("GOOGLETRANSLATE(G147, ""de"", ""en"")"),"146")</f>
        <v>146</v>
      </c>
      <c r="B147" s="12" t="str">
        <f>IFERROR(__xludf.DUMMYFUNCTION("GOOGLETRANSLATE(H147, ""de"", ""en"")"),"You are approaching a tree with low branches. How should you adjust your throw?")</f>
        <v>You are approaching a tree with low branches. How should you adjust your throw?</v>
      </c>
      <c r="C147" s="12" t="s">
        <v>3156</v>
      </c>
      <c r="D147" s="12" t="str">
        <f>IFERROR(__xludf.DUMMYFUNCTION("GOOGLETRANSLATE(J147, ""de"", ""en"")"),"Throw higher to clear the branches.")</f>
        <v>Throw higher to clear the branches.</v>
      </c>
      <c r="E147" s="12" t="str">
        <f>IFERROR(__xludf.DUMMYFUNCTION("GOOGLETRANSLATE(K147, ""de"", ""en"")"),"Browse for higher powers to ensure you avoid low-hanging branches.")</f>
        <v>Browse for higher powers to ensure you avoid low-hanging branches.</v>
      </c>
      <c r="G147" s="8">
        <v>146.0</v>
      </c>
      <c r="H147" s="7" t="s">
        <v>3157</v>
      </c>
      <c r="I147" s="7" t="s">
        <v>3158</v>
      </c>
      <c r="J147" s="7" t="s">
        <v>3159</v>
      </c>
      <c r="K147" s="7" t="s">
        <v>3160</v>
      </c>
    </row>
    <row r="148" ht="22.5" customHeight="1">
      <c r="A148" s="12" t="str">
        <f>IFERROR(__xludf.DUMMYFUNCTION("GOOGLETRANSLATE(G148, ""de"", ""en"")"),"147")</f>
        <v>147</v>
      </c>
      <c r="B148" s="12" t="str">
        <f>IFERROR(__xludf.DUMMYFUNCTION("GOOGLETRANSLATE(H148, ""de"", ""en"")"),"Your ball is heading towards a piece of ice. How do you make sure it doesn't slide too far?")</f>
        <v>Your ball is heading towards a piece of ice. How do you make sure it doesn't slide too far?</v>
      </c>
      <c r="C148" s="12" t="s">
        <v>3161</v>
      </c>
      <c r="D148" s="12" t="str">
        <f>IFERROR(__xludf.DUMMYFUNCTION("GOOGLETRANSLATE(J148, ""de"", ""en"")"),"Use a side throw to control the speed.")</f>
        <v>Use a side throw to control the speed.</v>
      </c>
      <c r="E148" s="12" t="str">
        <f>IFERROR(__xludf.DUMMYFUNCTION("GOOGLETRANSLATE(K148, ""de"", ""en"")"),"A side throw reduces the risk of slipping too much on icy surfaces.")</f>
        <v>A side throw reduces the risk of slipping too much on icy surfaces.</v>
      </c>
      <c r="G148" s="8">
        <v>147.0</v>
      </c>
      <c r="H148" s="7" t="s">
        <v>3162</v>
      </c>
      <c r="I148" s="7" t="s">
        <v>3163</v>
      </c>
      <c r="J148" s="7" t="s">
        <v>3035</v>
      </c>
      <c r="K148" s="7" t="s">
        <v>3164</v>
      </c>
    </row>
    <row r="149" ht="22.5" customHeight="1">
      <c r="A149" s="12" t="str">
        <f>IFERROR(__xludf.DUMMYFUNCTION("GOOGLETRANSLATE(G149, ""de"", ""en"")"),"148")</f>
        <v>148</v>
      </c>
      <c r="B149" s="12" t="str">
        <f>IFERROR(__xludf.DUMMYFUNCTION("GOOGLETRANSLATE(H149, ""de"", ""en"")"),"The ball is about to hit a pile of leaves. How do you prevent it from getting stuck?")</f>
        <v>The ball is about to hit a pile of leaves. How do you prevent it from getting stuck?</v>
      </c>
      <c r="C149" s="12" t="s">
        <v>3165</v>
      </c>
      <c r="D149" s="12" t="str">
        <f>IFERROR(__xludf.DUMMYFUNCTION("GOOGLETRANSLATE(J149, ""de"", ""en"")"),"Use a side throw to glide over it.")</f>
        <v>Use a side throw to glide over it.</v>
      </c>
      <c r="E149" s="12" t="str">
        <f>IFERROR(__xludf.DUMMYFUNCTION("GOOGLETRANSLATE(K149, ""de"", ""en"")"),"A side throw allows you to avoid debris such as leaves and keep the ball moving.")</f>
        <v>A side throw allows you to avoid debris such as leaves and keep the ball moving.</v>
      </c>
      <c r="G149" s="8">
        <v>148.0</v>
      </c>
      <c r="H149" s="7" t="s">
        <v>3166</v>
      </c>
      <c r="I149" s="7" t="s">
        <v>3167</v>
      </c>
      <c r="J149" s="7" t="s">
        <v>2646</v>
      </c>
      <c r="K149" s="7" t="s">
        <v>3168</v>
      </c>
    </row>
    <row r="150" ht="22.5" customHeight="1">
      <c r="A150" s="12" t="str">
        <f>IFERROR(__xludf.DUMMYFUNCTION("GOOGLETRANSLATE(G150, ""de"", ""en"")"),"149")</f>
        <v>149</v>
      </c>
      <c r="B150" s="12" t="str">
        <f>IFERROR(__xludf.DUMMYFUNCTION("GOOGLETRANSLATE(H150, ""de"", ""en"")"),"The upcoming course is winding, and you must control the ball's direction. What should you do?")</f>
        <v>The upcoming course is winding, and you must control the ball's direction. What should you do?</v>
      </c>
      <c r="C150" s="12" t="s">
        <v>3169</v>
      </c>
      <c r="D150" s="12" t="str">
        <f>IFERROR(__xludf.DUMMYFUNCTION("GOOGLETRANSLATE(J150, ""de"", ""en"")"),"Use a side throw to guide it around curves.")</f>
        <v>Use a side throw to guide it around curves.</v>
      </c>
      <c r="E150" s="12" t="str">
        <f>IFERROR(__xludf.DUMMYFUNCTION("GOOGLETRANSLATE(K150, ""de"", ""en"")"),"A side throw is ideal for navigating winding paths.")</f>
        <v>A side throw is ideal for navigating winding paths.</v>
      </c>
      <c r="G150" s="8">
        <v>149.0</v>
      </c>
      <c r="H150" s="7" t="s">
        <v>3170</v>
      </c>
      <c r="I150" s="7" t="s">
        <v>3171</v>
      </c>
      <c r="J150" s="7" t="s">
        <v>3172</v>
      </c>
      <c r="K150" s="7" t="s">
        <v>3173</v>
      </c>
    </row>
    <row r="151" ht="22.5" customHeight="1">
      <c r="A151" s="12" t="str">
        <f>IFERROR(__xludf.DUMMYFUNCTION("GOOGLETRANSLATE(G151, ""de"", ""en"")"),"150")</f>
        <v>150</v>
      </c>
      <c r="B151" s="12" t="str">
        <f>IFERROR(__xludf.DUMMYFUNCTION("GOOGLETRANSLATE(H151, ""de"", ""en"")"),"Your ball is heading towards a water hazard. How do you avoid falling in?")</f>
        <v>Your ball is heading towards a water hazard. How do you avoid falling in?</v>
      </c>
      <c r="C151" s="12" t="s">
        <v>3174</v>
      </c>
      <c r="D151" s="12" t="str">
        <f>IFERROR(__xludf.DUMMYFUNCTION("GOOGLETRANSLATE(J151, ""de"", ""en"")"),"Use a side throw to lock him away.")</f>
        <v>Use a side throw to lock him away.</v>
      </c>
      <c r="E151" s="12" t="str">
        <f>IFERROR(__xludf.DUMMYFUNCTION("GOOGLETRANSLATE(K151, ""de"", ""en"")"),"A side throw helps to get the ball around water hazards and other obstacles.")</f>
        <v>A side throw helps to get the ball around water hazards and other obstacles.</v>
      </c>
      <c r="G151" s="8">
        <v>150.0</v>
      </c>
      <c r="H151" s="7" t="s">
        <v>3175</v>
      </c>
      <c r="I151" s="7" t="s">
        <v>3176</v>
      </c>
      <c r="J151" s="7" t="s">
        <v>3025</v>
      </c>
      <c r="K151" s="7" t="s">
        <v>3177</v>
      </c>
    </row>
    <row r="152" ht="22.5" customHeight="1">
      <c r="A152" s="12" t="str">
        <f>IFERROR(__xludf.DUMMYFUNCTION("GOOGLETRANSLATE(G152, ""de"", ""en"")"),"151")</f>
        <v>151</v>
      </c>
      <c r="B152" s="12" t="str">
        <f>IFERROR(__xludf.DUMMYFUNCTION("GOOGLETRANSLATE(H152, ""de"", ""en"")"),"The ball is about to hit a large boulder in the middle of the path. How do you avoid it?")</f>
        <v>The ball is about to hit a large boulder in the middle of the path. How do you avoid it?</v>
      </c>
      <c r="C152" s="12" t="s">
        <v>3178</v>
      </c>
      <c r="D152" s="12" t="str">
        <f>IFERROR(__xludf.DUMMYFUNCTION("GOOGLETRANSLATE(J152, ""de"", ""en"")"),"Use a side throw to curl around her.")</f>
        <v>Use a side throw to curl around her.</v>
      </c>
      <c r="E152" s="12" t="str">
        <f>IFERROR(__xludf.DUMMYFUNCTION("GOOGLETRANSLATE(K152, ""de"", ""en"")"),"A side throw helps you avoid obstacles like boulders in your path.")</f>
        <v>A side throw helps you avoid obstacles like boulders in your path.</v>
      </c>
      <c r="G152" s="8">
        <v>151.0</v>
      </c>
      <c r="H152" s="7" t="s">
        <v>3179</v>
      </c>
      <c r="I152" s="7" t="s">
        <v>3180</v>
      </c>
      <c r="J152" s="7" t="s">
        <v>3011</v>
      </c>
      <c r="K152" s="7" t="s">
        <v>3181</v>
      </c>
    </row>
    <row r="153" ht="22.5" customHeight="1">
      <c r="A153" s="12" t="str">
        <f>IFERROR(__xludf.DUMMYFUNCTION("GOOGLETRANSLATE(G153, ""de"", ""en"")"),"152")</f>
        <v>152</v>
      </c>
      <c r="B153" s="12" t="str">
        <f>IFERROR(__xludf.DUMMYFUNCTION("GOOGLETRANSLATE(H153, ""de"", ""en"")"),"The ball takes a sharp turn. How do you control its direction?")</f>
        <v>The ball takes a sharp turn. How do you control its direction?</v>
      </c>
      <c r="C153" s="12" t="s">
        <v>3182</v>
      </c>
      <c r="D153" s="12" t="str">
        <f>IFERROR(__xludf.DUMMYFUNCTION("GOOGLETRANSLATE(J153, ""de"", ""en"")"),"Use a side throw to steer around it.")</f>
        <v>Use a side throw to steer around it.</v>
      </c>
      <c r="E153" s="12" t="str">
        <f>IFERROR(__xludf.DUMMYFUNCTION("GOOGLETRANSLATE(K153, ""de"", ""en"")"),"A side throw helps the ball around sharp bends.")</f>
        <v>A side throw helps the ball around sharp bends.</v>
      </c>
      <c r="G153" s="8">
        <v>152.0</v>
      </c>
      <c r="H153" s="7" t="s">
        <v>3183</v>
      </c>
      <c r="I153" s="7" t="s">
        <v>3184</v>
      </c>
      <c r="J153" s="7" t="s">
        <v>2959</v>
      </c>
      <c r="K153" s="7" t="s">
        <v>3185</v>
      </c>
    </row>
    <row r="154" ht="22.5" customHeight="1">
      <c r="A154" s="12" t="str">
        <f>IFERROR(__xludf.DUMMYFUNCTION("GOOGLETRANSLATE(G154, ""de"", ""en"")"),"153")</f>
        <v>153</v>
      </c>
      <c r="B154" s="12" t="str">
        <f>IFERROR(__xludf.DUMMYFUNCTION("GOOGLETRANSLATE(H154, ""de"", ""en"")"),"They are approaching a narrow gap between two trees. How do you ensure the ball goes through?")</f>
        <v>They are approaching a narrow gap between two trees. How do you ensure the ball goes through?</v>
      </c>
      <c r="C154" s="12" t="s">
        <v>3186</v>
      </c>
      <c r="D154" s="12" t="str">
        <f>IFERROR(__xludf.DUMMYFUNCTION("GOOGLETRANSLATE(J154, ""de"", ""en"")"),"Use a side throw to push through.")</f>
        <v>Use a side throw to push through.</v>
      </c>
      <c r="E154" s="12" t="str">
        <f>IFERROR(__xludf.DUMMYFUNCTION("GOOGLETRANSLATE(K154, ""de"", ""en"")"),"A side throw is perfect for moving through narrow spaces.")</f>
        <v>A side throw is perfect for moving through narrow spaces.</v>
      </c>
      <c r="G154" s="8">
        <v>153.0</v>
      </c>
      <c r="H154" s="7" t="s">
        <v>3187</v>
      </c>
      <c r="I154" s="7" t="s">
        <v>3188</v>
      </c>
      <c r="J154" s="7" t="s">
        <v>3030</v>
      </c>
      <c r="K154" s="7" t="s">
        <v>3189</v>
      </c>
    </row>
    <row r="155" ht="22.5" customHeight="1">
      <c r="A155" s="12" t="str">
        <f>IFERROR(__xludf.DUMMYFUNCTION("GOOGLETRANSLATE(G155, ""de"", ""en"")"),"154")</f>
        <v>154</v>
      </c>
      <c r="B155" s="12" t="str">
        <f>IFERROR(__xludf.DUMMYFUNCTION("GOOGLETRANSLATE(H155, ""de"", ""en"")"),"Your ball is rolling towards a steep hill. How do you prevent it from rolling back?")</f>
        <v>Your ball is rolling towards a steep hill. How do you prevent it from rolling back?</v>
      </c>
      <c r="C155" s="12" t="s">
        <v>3190</v>
      </c>
      <c r="D155" s="12" t="str">
        <f>IFERROR(__xludf.DUMMYFUNCTION("GOOGLETRANSLATE(J155, ""de"", ""en"")"),"Use a side throw to control the speed.")</f>
        <v>Use a side throw to control the speed.</v>
      </c>
      <c r="E155" s="12" t="str">
        <f>IFERROR(__xludf.DUMMYFUNCTION("GOOGLETRANSLATE(K155, ""de"", ""en"")"),"A side throw allows you to control the ball and prevent it from rolling back downhill.")</f>
        <v>A side throw allows you to control the ball and prevent it from rolling back downhill.</v>
      </c>
      <c r="G155" s="8">
        <v>154.0</v>
      </c>
      <c r="H155" s="7" t="s">
        <v>3191</v>
      </c>
      <c r="I155" s="7" t="s">
        <v>3192</v>
      </c>
      <c r="J155" s="7" t="s">
        <v>3035</v>
      </c>
      <c r="K155" s="7" t="s">
        <v>3193</v>
      </c>
    </row>
    <row r="156" ht="22.5" customHeight="1">
      <c r="A156" s="12" t="str">
        <f>IFERROR(__xludf.DUMMYFUNCTION("GOOGLETRANSLATE(G156, ""de"", ""en"")"),"155")</f>
        <v>155</v>
      </c>
      <c r="B156" s="12" t="str">
        <f>IFERROR(__xludf.DUMMYFUNCTION("GOOGLETRANSLATE(H156, ""de"", ""en"")"),"The path is full of obstacles. How do you navigate through them?")</f>
        <v>The path is full of obstacles. How do you navigate through them?</v>
      </c>
      <c r="C156" s="12" t="s">
        <v>3194</v>
      </c>
      <c r="D156" s="12" t="str">
        <f>IFERROR(__xludf.DUMMYFUNCTION("GOOGLETRANSLATE(J156, ""de"", ""en"")"),"Use a side throw to steer around them.")</f>
        <v>Use a side throw to steer around them.</v>
      </c>
      <c r="E156" s="12" t="str">
        <f>IFERROR(__xludf.DUMMYFUNCTION("GOOGLETRANSLATE(K156, ""de"", ""en"")"),"A side throw helps you navigate efficiently through multiple obstacles.")</f>
        <v>A side throw helps you navigate efficiently through multiple obstacles.</v>
      </c>
      <c r="G156" s="8">
        <v>155.0</v>
      </c>
      <c r="H156" s="7" t="s">
        <v>3195</v>
      </c>
      <c r="I156" s="7" t="s">
        <v>3196</v>
      </c>
      <c r="J156" s="7" t="s">
        <v>3197</v>
      </c>
      <c r="K156" s="7" t="s">
        <v>3198</v>
      </c>
    </row>
    <row r="157" ht="22.5" customHeight="1">
      <c r="A157" s="12" t="str">
        <f>IFERROR(__xludf.DUMMYFUNCTION("GOOGLETRANSLATE(G157, ""de"", ""en"")"),"156")</f>
        <v>156</v>
      </c>
      <c r="B157" s="12" t="str">
        <f>IFERROR(__xludf.DUMMYFUNCTION("GOOGLETRANSLATE(H157, ""de"", ""en"")"),"The ball goes uphill at a sharp angle. How do you adjust your throw?")</f>
        <v>The ball goes uphill at a sharp angle. How do you adjust your throw?</v>
      </c>
      <c r="C157" s="12" t="s">
        <v>3199</v>
      </c>
      <c r="D157" s="12" t="str">
        <f>IFERROR(__xludf.DUMMYFUNCTION("GOOGLETRANSLATE(J157, ""de"", ""en"")"),"Use a side throw to control the speed.")</f>
        <v>Use a side throw to control the speed.</v>
      </c>
      <c r="E157" s="12" t="str">
        <f>IFERROR(__xludf.DUMMYFUNCTION("GOOGLETRANSLATE(K157, ""de"", ""en"")"),"A side throw helps you manage the speed on an incline and prevents the ball from rolling back down.")</f>
        <v>A side throw helps you manage the speed on an incline and prevents the ball from rolling back down.</v>
      </c>
      <c r="G157" s="8">
        <v>156.0</v>
      </c>
      <c r="H157" s="7" t="s">
        <v>3200</v>
      </c>
      <c r="I157" s="7" t="s">
        <v>3201</v>
      </c>
      <c r="J157" s="7" t="s">
        <v>3035</v>
      </c>
      <c r="K157" s="7" t="s">
        <v>3202</v>
      </c>
    </row>
    <row r="158" ht="22.5" customHeight="1">
      <c r="A158" s="12" t="str">
        <f>IFERROR(__xludf.DUMMYFUNCTION("GOOGLETRANSLATE(G158, ""de"", ""en"")"),"157")</f>
        <v>157</v>
      </c>
      <c r="B158" s="12" t="str">
        <f>IFERROR(__xludf.DUMMYFUNCTION("GOOGLETRANSLATE(H158, ""de"", ""en"")"),"You're nearing the end of the course and need to make sure the ball slows down. What do you do?")</f>
        <v>You're nearing the end of the course and need to make sure the ball slows down. What do you do?</v>
      </c>
      <c r="C158" s="12" t="s">
        <v>3203</v>
      </c>
      <c r="D158" s="12" t="str">
        <f>IFERROR(__xludf.DUMMYFUNCTION("GOOGLETRANSLATE(J158, ""de"", ""en"")"),"Use a side throw to slow it down.")</f>
        <v>Use a side throw to slow it down.</v>
      </c>
      <c r="E158" s="12" t="str">
        <f>IFERROR(__xludf.DUMMYFUNCTION("GOOGLETRANSLATE(K158, ""de"", ""en"")"),"A side throw is useful to control the speed of the ball in the final stretch.")</f>
        <v>A side throw is useful to control the speed of the ball in the final stretch.</v>
      </c>
      <c r="G158" s="8">
        <v>157.0</v>
      </c>
      <c r="H158" s="7" t="s">
        <v>3204</v>
      </c>
      <c r="I158" s="7" t="s">
        <v>3205</v>
      </c>
      <c r="J158" s="7" t="s">
        <v>3049</v>
      </c>
      <c r="K158" s="7" t="s">
        <v>3206</v>
      </c>
    </row>
    <row r="159" ht="22.5" customHeight="1">
      <c r="A159" s="12" t="str">
        <f>IFERROR(__xludf.DUMMYFUNCTION("GOOGLETRANSLATE(G159, ""de"", ""en"")"),"158")</f>
        <v>158</v>
      </c>
      <c r="B159" s="12" t="str">
        <f>IFERROR(__xludf.DUMMYFUNCTION("GOOGLETRANSLATE(H159, ""de"", ""en"")"),"The course has a lot of wet mud. How do you prevent the ball from getting stuck?")</f>
        <v>The course has a lot of wet mud. How do you prevent the ball from getting stuck?</v>
      </c>
      <c r="C159" s="12" t="s">
        <v>3207</v>
      </c>
      <c r="D159" s="12" t="str">
        <f>IFERROR(__xludf.DUMMYFUNCTION("GOOGLETRANSLATE(J159, ""de"", ""en"")"),"Use a side throw to avoid it.")</f>
        <v>Use a side throw to avoid it.</v>
      </c>
      <c r="E159" s="12" t="str">
        <f>IFERROR(__xludf.DUMMYFUNCTION("GOOGLETRANSLATE(K159, ""de"", ""en"")"),"A side throw can help the ball avoid getting stuck in muddy patches.")</f>
        <v>A side throw can help the ball avoid getting stuck in muddy patches.</v>
      </c>
      <c r="G159" s="8">
        <v>158.0</v>
      </c>
      <c r="H159" s="7" t="s">
        <v>3208</v>
      </c>
      <c r="I159" s="7" t="s">
        <v>3209</v>
      </c>
      <c r="J159" s="7" t="s">
        <v>2944</v>
      </c>
      <c r="K159" s="7" t="s">
        <v>3210</v>
      </c>
    </row>
    <row r="160" ht="22.5" customHeight="1">
      <c r="A160" s="12" t="str">
        <f>IFERROR(__xludf.DUMMYFUNCTION("GOOGLETRANSLATE(G160, ""de"", ""en"")"),"159")</f>
        <v>159</v>
      </c>
      <c r="B160" s="12" t="str">
        <f>IFERROR(__xludf.DUMMYFUNCTION("GOOGLETRANSLATE(H160, ""de"", ""en"")"),"Your ball is about to hit a low tree stump. How do you avoid it?")</f>
        <v>Your ball is about to hit a low tree stump. How do you avoid it?</v>
      </c>
      <c r="C160" s="12" t="s">
        <v>3211</v>
      </c>
      <c r="D160" s="12" t="str">
        <f>IFERROR(__xludf.DUMMYFUNCTION("GOOGLETRANSLATE(J160, ""de"", ""en"")"),"Use a side throw to avoid it.")</f>
        <v>Use a side throw to avoid it.</v>
      </c>
      <c r="E160" s="12" t="str">
        <f>IFERROR(__xludf.DUMMYFUNCTION("GOOGLETRANSLATE(K160, ""de"", ""en"")"),"A side throw can help you navigate obstacles such as low tree stumps.")</f>
        <v>A side throw can help you navigate obstacles such as low tree stumps.</v>
      </c>
      <c r="G160" s="8">
        <v>159.0</v>
      </c>
      <c r="H160" s="7" t="s">
        <v>3212</v>
      </c>
      <c r="I160" s="7" t="s">
        <v>3213</v>
      </c>
      <c r="J160" s="7" t="s">
        <v>2944</v>
      </c>
      <c r="K160" s="7" t="s">
        <v>3214</v>
      </c>
    </row>
    <row r="161" ht="22.5" customHeight="1">
      <c r="A161" s="12" t="str">
        <f>IFERROR(__xludf.DUMMYFUNCTION("GOOGLETRANSLATE(G161, ""de"", ""en"")"),"160")</f>
        <v>160</v>
      </c>
      <c r="B161" s="12" t="str">
        <f>IFERROR(__xludf.DUMMYFUNCTION("GOOGLETRANSLATE(H161, ""de"", ""en"")"),"The ball takes a sharp turn. How do you avoid overswinging?")</f>
        <v>The ball takes a sharp turn. How do you avoid overswinging?</v>
      </c>
      <c r="C161" s="12" t="s">
        <v>3215</v>
      </c>
      <c r="D161" s="12" t="str">
        <f>IFERROR(__xludf.DUMMYFUNCTION("GOOGLETRANSLATE(J161, ""de"", ""en"")"),"Use a side throw to redirect it.")</f>
        <v>Use a side throw to redirect it.</v>
      </c>
      <c r="E161" s="12" t="str">
        <f>IFERROR(__xludf.DUMMYFUNCTION("GOOGLETRANSLATE(K161, ""de"", ""en"")"),"A side throw helps you avoid overly sharp turns.")</f>
        <v>A side throw helps you avoid overly sharp turns.</v>
      </c>
      <c r="G161" s="8">
        <v>160.0</v>
      </c>
      <c r="H161" s="7" t="s">
        <v>3216</v>
      </c>
      <c r="I161" s="7" t="s">
        <v>3217</v>
      </c>
      <c r="J161" s="7" t="s">
        <v>3044</v>
      </c>
      <c r="K161" s="7" t="s">
        <v>3218</v>
      </c>
    </row>
    <row r="162" ht="22.5" customHeight="1">
      <c r="A162" s="12" t="str">
        <f>IFERROR(__xludf.DUMMYFUNCTION("GOOGLETRANSLATE(G162, ""de"", ""en"")"),"161")</f>
        <v>161</v>
      </c>
      <c r="B162" s="12" t="str">
        <f>IFERROR(__xludf.DUMMYFUNCTION("GOOGLETRANSLATE(H162, ""de"", ""en"")"),"You are approaching a rock. How do you adjust your position to ensure the ball doesn't veer off course?")</f>
        <v>You are approaching a rock. How do you adjust your position to ensure the ball doesn't veer off course?</v>
      </c>
      <c r="C162" s="12" t="s">
        <v>3219</v>
      </c>
      <c r="D162" s="12" t="str">
        <f>IFERROR(__xludf.DUMMYFUNCTION("GOOGLETRANSLATE(J162, ""de"", ""en"")"),"Use a side throw to stabilize it.")</f>
        <v>Use a side throw to stabilize it.</v>
      </c>
      <c r="E162" s="12" t="str">
        <f>IFERROR(__xludf.DUMMYFUNCTION("GOOGLETRANSLATE(K162, ""de"", ""en"")"),"A side throw keeps the ball moving when passing through rocky areas.")</f>
        <v>A side throw keeps the ball moving when passing through rocky areas.</v>
      </c>
      <c r="G162" s="8">
        <v>161.0</v>
      </c>
      <c r="H162" s="7" t="s">
        <v>3220</v>
      </c>
      <c r="I162" s="7" t="s">
        <v>3221</v>
      </c>
      <c r="J162" s="7" t="s">
        <v>3090</v>
      </c>
      <c r="K162" s="7" t="s">
        <v>3222</v>
      </c>
    </row>
    <row r="163" ht="22.5" customHeight="1">
      <c r="A163" s="12" t="str">
        <f>IFERROR(__xludf.DUMMYFUNCTION("GOOGLETRANSLATE(G163, ""de"", ""en"")"),"162")</f>
        <v>162</v>
      </c>
      <c r="B163" s="12" t="str">
        <f>IFERROR(__xludf.DUMMYFUNCTION("GOOGLETRANSLATE(H163, ""de"", ""en"")"),"The ball goes down a narrow, winding path. How do you navigate it?")</f>
        <v>The ball goes down a narrow, winding path. How do you navigate it?</v>
      </c>
      <c r="C163" s="12" t="s">
        <v>3223</v>
      </c>
      <c r="D163" s="12" t="str">
        <f>IFERROR(__xludf.DUMMYFUNCTION("GOOGLETRANSLATE(J163, ""de"", ""en"")"),"Use a side throw to guide it through the path.")</f>
        <v>Use a side throw to guide it through the path.</v>
      </c>
      <c r="E163" s="12" t="str">
        <f>IFERROR(__xludf.DUMMYFUNCTION("GOOGLETRANSLATE(K163, ""de"", ""en"")"),"A side throw allows for better control through narrow, winding paths.")</f>
        <v>A side throw allows for better control through narrow, winding paths.</v>
      </c>
      <c r="G163" s="8">
        <v>162.0</v>
      </c>
      <c r="H163" s="7" t="s">
        <v>3224</v>
      </c>
      <c r="I163" s="7" t="s">
        <v>3225</v>
      </c>
      <c r="J163" s="7" t="s">
        <v>3226</v>
      </c>
      <c r="K163" s="7" t="s">
        <v>3227</v>
      </c>
    </row>
    <row r="164" ht="22.5" customHeight="1">
      <c r="A164" s="12" t="str">
        <f>IFERROR(__xludf.DUMMYFUNCTION("GOOGLETRANSLATE(G164, ""de"", ""en"")"),"163")</f>
        <v>163</v>
      </c>
      <c r="B164" s="12" t="str">
        <f>IFERROR(__xludf.DUMMYFUNCTION("GOOGLETRANSLATE(H164, ""de"", ""en"")"),"Your ball is heading towards a patch of sand. How do you prevent it from sinking?")</f>
        <v>Your ball is heading towards a patch of sand. How do you prevent it from sinking?</v>
      </c>
      <c r="C164" s="12" t="s">
        <v>3228</v>
      </c>
      <c r="D164" s="12" t="str">
        <f>IFERROR(__xludf.DUMMYFUNCTION("GOOGLETRANSLATE(J164, ""de"", ""en"")"),"Use a side throw to glide over it.")</f>
        <v>Use a side throw to glide over it.</v>
      </c>
      <c r="E164" s="12" t="str">
        <f>IFERROR(__xludf.DUMMYFUNCTION("GOOGLETRANSLATE(K164, ""de"", ""en"")"),"A side throw helps to avoid sinking in soft terrain such as sand.")</f>
        <v>A side throw helps to avoid sinking in soft terrain such as sand.</v>
      </c>
      <c r="G164" s="8">
        <v>163.0</v>
      </c>
      <c r="H164" s="7" t="s">
        <v>3229</v>
      </c>
      <c r="I164" s="7" t="s">
        <v>3230</v>
      </c>
      <c r="J164" s="7" t="s">
        <v>2646</v>
      </c>
      <c r="K164" s="7" t="s">
        <v>3112</v>
      </c>
    </row>
    <row r="165" ht="22.5" customHeight="1">
      <c r="A165" s="12" t="str">
        <f>IFERROR(__xludf.DUMMYFUNCTION("GOOGLETRANSLATE(G165, ""de"", ""en"")"),"164")</f>
        <v>164</v>
      </c>
      <c r="B165" s="12" t="str">
        <f>IFERROR(__xludf.DUMMYFUNCTION("GOOGLETRANSLATE(H165, ""de"", ""en"")"),"The ball is about to hit a large rock. How do you prevent it from bouncing off course?")</f>
        <v>The ball is about to hit a large rock. How do you prevent it from bouncing off course?</v>
      </c>
      <c r="C165" s="12" t="s">
        <v>3231</v>
      </c>
      <c r="D165" s="12" t="str">
        <f>IFERROR(__xludf.DUMMYFUNCTION("GOOGLETRANSLATE(J165, ""de"", ""en"")"),"Use a side throw to steer around it.")</f>
        <v>Use a side throw to steer around it.</v>
      </c>
      <c r="E165" s="12" t="str">
        <f>IFERROR(__xludf.DUMMYFUNCTION("GOOGLETRANSLATE(K165, ""de"", ""en"")"),"A side throw helps to avoid stones and other obstacles.")</f>
        <v>A side throw helps to avoid stones and other obstacles.</v>
      </c>
      <c r="G165" s="8">
        <v>164.0</v>
      </c>
      <c r="H165" s="7" t="s">
        <v>3232</v>
      </c>
      <c r="I165" s="7" t="s">
        <v>3233</v>
      </c>
      <c r="J165" s="7" t="s">
        <v>2959</v>
      </c>
      <c r="K165" s="7" t="s">
        <v>3234</v>
      </c>
    </row>
    <row r="166" ht="22.5" customHeight="1">
      <c r="A166" s="12" t="str">
        <f>IFERROR(__xludf.DUMMYFUNCTION("GOOGLETRANSLATE(G166, ""de"", ""en"")"),"165")</f>
        <v>165</v>
      </c>
      <c r="B166" s="12" t="str">
        <f>IFERROR(__xludf.DUMMYFUNCTION("GOOGLETRANSLATE(H166, ""de"", ""en"")"),"Your ball rolls towards a patch of tall grass. How do you ensure it stays on course?")</f>
        <v>Your ball rolls towards a patch of tall grass. How do you ensure it stays on course?</v>
      </c>
      <c r="C166" s="12" t="s">
        <v>3235</v>
      </c>
      <c r="D166" s="12" t="str">
        <f>IFERROR(__xludf.DUMMYFUNCTION("GOOGLETRANSLATE(J166, ""de"", ""en"")"),"Use a side throw to guide it.")</f>
        <v>Use a side throw to guide it.</v>
      </c>
      <c r="E166" s="12" t="str">
        <f>IFERROR(__xludf.DUMMYFUNCTION("GOOGLETRANSLATE(K166, ""de"", ""en"")"),"A side throw helps to control the ball when driving over tall grass.")</f>
        <v>A side throw helps to control the ball when driving over tall grass.</v>
      </c>
      <c r="G166" s="8">
        <v>165.0</v>
      </c>
      <c r="H166" s="7" t="s">
        <v>3236</v>
      </c>
      <c r="I166" s="7" t="s">
        <v>3237</v>
      </c>
      <c r="J166" s="7" t="s">
        <v>3238</v>
      </c>
      <c r="K166" s="7" t="s">
        <v>3239</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37.63"/>
    <col customWidth="1" min="3" max="3" width="25.63"/>
    <col customWidth="1" min="4" max="4" width="32.5"/>
    <col customWidth="1" min="5" max="5" width="37.63"/>
    <col customWidth="1" min="7" max="8" width="13.0"/>
    <col customWidth="1" min="10" max="10" width="13.88"/>
  </cols>
  <sheetData>
    <row r="1" ht="22.5" customHeight="1">
      <c r="A1" s="11" t="s">
        <v>3240</v>
      </c>
      <c r="B1" s="11" t="s">
        <v>2497</v>
      </c>
      <c r="C1" s="11" t="s">
        <v>2</v>
      </c>
      <c r="D1" s="11" t="s">
        <v>3</v>
      </c>
      <c r="E1" s="11" t="s">
        <v>4</v>
      </c>
      <c r="G1" s="13" t="s">
        <v>3240</v>
      </c>
      <c r="H1" s="3" t="s">
        <v>3241</v>
      </c>
      <c r="I1" s="3" t="s">
        <v>9</v>
      </c>
      <c r="J1" s="3" t="s">
        <v>7</v>
      </c>
      <c r="K1" s="3" t="s">
        <v>4</v>
      </c>
    </row>
    <row r="2" ht="22.5" customHeight="1">
      <c r="A2" s="14">
        <v>1.0</v>
      </c>
      <c r="B2" s="12" t="str">
        <f>IFERROR(__xludf.DUMMYFUNCTION("GOOGLETRANSLATE(H2, ""de"", ""en"")"),"A player throws a quoit, and it lands directly on the stake without touching the ground. What do you call that?")</f>
        <v>A player throws a quoit, and it lands directly on the stake without touching the ground. What do you call that?</v>
      </c>
      <c r="C2" s="12" t="s">
        <v>3242</v>
      </c>
      <c r="D2" s="12" t="str">
        <f>IFERROR(__xludf.DUMMYFUNCTION("GOOGLETRANSLATE(J2, ""de"", ""en"")"),"Ring toss")</f>
        <v>Ring toss</v>
      </c>
      <c r="E2" s="12" t="str">
        <f>IFERROR(__xludf.DUMMYFUNCTION("GOOGLETRANSLATE(K2, ""de"", ""en"")"),"A ring toss occurs when the quoit completely encircles the stake without touching the ground.")</f>
        <v>A ring toss occurs when the quoit completely encircles the stake without touching the ground.</v>
      </c>
      <c r="G2" s="15">
        <v>1.0</v>
      </c>
      <c r="H2" s="7" t="s">
        <v>3243</v>
      </c>
      <c r="I2" s="7" t="s">
        <v>3244</v>
      </c>
      <c r="J2" s="7" t="s">
        <v>3245</v>
      </c>
      <c r="K2" s="7" t="s">
        <v>3246</v>
      </c>
    </row>
    <row r="3" ht="22.5" customHeight="1">
      <c r="A3" s="14">
        <v>2.0</v>
      </c>
      <c r="B3" s="12" t="str">
        <f>IFERROR(__xludf.DUMMYFUNCTION("GOOGLETRANSLATE(H3, ""de"", ""en"")"),"The quoit leans against the post. How many points are awarded?")</f>
        <v>The quoit leans against the post. How many points are awarded?</v>
      </c>
      <c r="C3" s="12" t="s">
        <v>3247</v>
      </c>
      <c r="D3" s="12" t="str">
        <f>IFERROR(__xludf.DUMMYFUNCTION("GOOGLETRANSLATE(J3, ""de"", ""en"")"),"2 points")</f>
        <v>2 points</v>
      </c>
      <c r="E3" s="12" t="str">
        <f>IFERROR(__xludf.DUMMYFUNCTION("GOOGLETRANSLATE(K3, ""de"", ""en"")"),"A quoit that leans against the post scores 2 points according to the rules of the game.")</f>
        <v>A quoit that leans against the post scores 2 points according to the rules of the game.</v>
      </c>
      <c r="G3" s="16">
        <v>2.0</v>
      </c>
      <c r="H3" s="7" t="s">
        <v>3248</v>
      </c>
      <c r="I3" s="7" t="s">
        <v>3249</v>
      </c>
      <c r="J3" s="7" t="s">
        <v>3250</v>
      </c>
      <c r="K3" s="7" t="s">
        <v>3251</v>
      </c>
    </row>
    <row r="4" ht="22.5" customHeight="1">
      <c r="A4" s="14">
        <v>3.0</v>
      </c>
      <c r="B4" s="12" t="str">
        <f>IFERROR(__xludf.DUMMYFUNCTION("GOOGLETRANSLATE(H4, ""de"", ""en"")"),"Quoit lands furthest from the stake compared to all the others. How many points does he score?")</f>
        <v>Quoit lands furthest from the stake compared to all the others. How many points does he score?</v>
      </c>
      <c r="C4" s="12" t="s">
        <v>3252</v>
      </c>
      <c r="D4" s="12" t="str">
        <f>IFERROR(__xludf.DUMMYFUNCTION("GOOGLETRANSLATE(J4, ""de"", ""en"")"),"No points")</f>
        <v>No points</v>
      </c>
      <c r="E4" s="12" t="str">
        <f>IFERROR(__xludf.DUMMYFUNCTION("GOOGLETRANSLATE(K4, ""de"", ""en"")"),"A quoit that lands furthest from the stake scores no points.")</f>
        <v>A quoit that lands furthest from the stake scores no points.</v>
      </c>
      <c r="G4" s="15">
        <v>3.0</v>
      </c>
      <c r="H4" s="7" t="s">
        <v>3253</v>
      </c>
      <c r="I4" s="7" t="s">
        <v>3254</v>
      </c>
      <c r="J4" s="7" t="s">
        <v>3255</v>
      </c>
      <c r="K4" s="7" t="s">
        <v>3256</v>
      </c>
    </row>
    <row r="5" ht="22.5" customHeight="1">
      <c r="A5" s="14">
        <v>4.0</v>
      </c>
      <c r="B5" s="12" t="str">
        <f>IFERROR(__xludf.DUMMYFUNCTION("GOOGLETRANSLATE(H5, ""de"", ""en"")"),"What happens if two players place their quoits the same distance from the stake?")</f>
        <v>What happens if two players place their quoits the same distance from the stake?</v>
      </c>
      <c r="C5" s="12" t="s">
        <v>3257</v>
      </c>
      <c r="D5" s="12" t="str">
        <f>IFERROR(__xludf.DUMMYFUNCTION("GOOGLETRANSLATE(J5, ""de"", ""en"")"),"No points will be awarded.")</f>
        <v>No points will be awarded.</v>
      </c>
      <c r="E5" s="12" t="str">
        <f>IFERROR(__xludf.DUMMYFUNCTION("GOOGLETRANSLATE(K5, ""de"", ""en"")"),"No points are awarded for quotients that are equally far apart.")</f>
        <v>No points are awarded for quotients that are equally far apart.</v>
      </c>
      <c r="G5" s="16">
        <v>4.0</v>
      </c>
      <c r="H5" s="7" t="s">
        <v>3258</v>
      </c>
      <c r="I5" s="7" t="s">
        <v>3259</v>
      </c>
      <c r="J5" s="7" t="s">
        <v>3260</v>
      </c>
      <c r="K5" s="7" t="s">
        <v>3261</v>
      </c>
    </row>
    <row r="6" ht="22.5" customHeight="1">
      <c r="A6" s="14">
        <v>5.0</v>
      </c>
      <c r="B6" s="12" t="str">
        <f>IFERROR(__xludf.DUMMYFUNCTION("GOOGLETRANSLATE(H6, ""de"", ""en"")"),"A player throws all their quoits, but none land within scoring range. What is the result?")</f>
        <v>A player throws all their quoits, but none land within scoring range. What is the result?</v>
      </c>
      <c r="C6" s="12" t="s">
        <v>3262</v>
      </c>
      <c r="D6" s="12" t="str">
        <f>IFERROR(__xludf.DUMMYFUNCTION("GOOGLETRANSLATE(J6, ""de"", ""en"")"),"No points")</f>
        <v>No points</v>
      </c>
      <c r="E6" s="12" t="str">
        <f>IFERROR(__xludf.DUMMYFUNCTION("GOOGLETRANSLATE(K6, ""de"", ""en"")"),"The player receives no points if none of their quotits land within the scoring range.")</f>
        <v>The player receives no points if none of their quotits land within the scoring range.</v>
      </c>
      <c r="G6" s="15">
        <v>5.0</v>
      </c>
      <c r="H6" s="7" t="s">
        <v>3263</v>
      </c>
      <c r="I6" s="7" t="s">
        <v>3264</v>
      </c>
      <c r="J6" s="7" t="s">
        <v>3255</v>
      </c>
      <c r="K6" s="7" t="s">
        <v>3265</v>
      </c>
    </row>
    <row r="7" ht="22.5" customHeight="1">
      <c r="A7" s="14">
        <v>6.0</v>
      </c>
      <c r="B7" s="12" t="str">
        <f>IFERROR(__xludf.DUMMYFUNCTION("GOOGLETRANSLATE(H7, ""de"", ""en"")"),"What happens if a quoit bounces off the ground and lands near the pole?")</f>
        <v>What happens if a quoit bounces off the ground and lands near the pole?</v>
      </c>
      <c r="C7" s="12" t="s">
        <v>3266</v>
      </c>
      <c r="D7" s="12" t="str">
        <f>IFERROR(__xludf.DUMMYFUNCTION("GOOGLETRANSLATE(J7, ""de"", ""en"")"),"No points")</f>
        <v>No points</v>
      </c>
      <c r="E7" s="12" t="str">
        <f>IFERROR(__xludf.DUMMYFUNCTION("GOOGLETRANSLATE(K7, ""de"", ""en"")"),"Quoits that bounce off the ground do not normally count towards the scoring.")</f>
        <v>Quoits that bounce off the ground do not normally count towards the scoring.</v>
      </c>
      <c r="G7" s="16">
        <v>6.0</v>
      </c>
      <c r="H7" s="7" t="s">
        <v>3267</v>
      </c>
      <c r="I7" s="7" t="s">
        <v>3268</v>
      </c>
      <c r="J7" s="7" t="s">
        <v>3255</v>
      </c>
      <c r="K7" s="7" t="s">
        <v>3269</v>
      </c>
    </row>
    <row r="8" ht="22.5" customHeight="1">
      <c r="A8" s="14">
        <v>7.0</v>
      </c>
      <c r="B8" s="12" t="str">
        <f>IFERROR(__xludf.DUMMYFUNCTION("GOOGLETRANSLATE(H8, ""de"", ""en"")"),"How difficult is a quotient in competitive standards normally?")</f>
        <v>How difficult is a quotient in competitive standards normally?</v>
      </c>
      <c r="C8" s="12" t="s">
        <v>3270</v>
      </c>
      <c r="D8" s="12" t="str">
        <f>IFERROR(__xludf.DUMMYFUNCTION("GOOGLETRANSLATE(J8, ""de"", ""en"")"),"3 pounds")</f>
        <v>3 pounds</v>
      </c>
      <c r="E8" s="12" t="str">
        <f>IFERROR(__xludf.DUMMYFUNCTION("GOOGLETRANSLATE(K8, ""de"", ""en"")"),"Competition quoits typically weigh around 3 pounds for optimal throws.")</f>
        <v>Competition quoits typically weigh around 3 pounds for optimal throws.</v>
      </c>
      <c r="G8" s="15">
        <v>7.0</v>
      </c>
      <c r="H8" s="7" t="s">
        <v>3271</v>
      </c>
      <c r="I8" s="7" t="s">
        <v>3272</v>
      </c>
      <c r="J8" s="7" t="s">
        <v>3273</v>
      </c>
      <c r="K8" s="7" t="s">
        <v>3274</v>
      </c>
    </row>
    <row r="9" ht="22.5" customHeight="1">
      <c r="A9" s="14">
        <v>8.0</v>
      </c>
      <c r="B9" s="12" t="str">
        <f>IFERROR(__xludf.DUMMYFUNCTION("GOOGLETRANSLATE(H9, ""de"", ""en"")"),"What happens if a player accidentally pushes their opponent's quoit closer to the stake?")</f>
        <v>What happens if a player accidentally pushes their opponent's quoit closer to the stake?</v>
      </c>
      <c r="C9" s="12" t="s">
        <v>3275</v>
      </c>
      <c r="D9" s="12" t="str">
        <f>IFERROR(__xludf.DUMMYFUNCTION("GOOGLETRANSLATE(J9, ""de"", ""en"")"),"Opponent receives points")</f>
        <v>Opponent receives points</v>
      </c>
      <c r="E9" s="12" t="str">
        <f>IFERROR(__xludf.DUMMYFUNCTION("GOOGLETRANSLATE(K9, ""de"", ""en"")"),"If a quoit is pushed closer to the stake, the opponent benefits from the new position.")</f>
        <v>If a quoit is pushed closer to the stake, the opponent benefits from the new position.</v>
      </c>
      <c r="G9" s="16">
        <v>8.0</v>
      </c>
      <c r="H9" s="7" t="s">
        <v>3276</v>
      </c>
      <c r="I9" s="7" t="s">
        <v>3277</v>
      </c>
      <c r="J9" s="7" t="s">
        <v>3278</v>
      </c>
      <c r="K9" s="7" t="s">
        <v>3279</v>
      </c>
    </row>
    <row r="10" ht="22.5" customHeight="1">
      <c r="A10" s="14">
        <v>9.0</v>
      </c>
      <c r="B10" s="12" t="str">
        <f>IFERROR(__xludf.DUMMYFUNCTION("GOOGLETRANSLATE(H10, ""de"", ""en"")"),"A quotit lands within 6 inches of the stake. How many points does it score?")</f>
        <v>A quotit lands within 6 inches of the stake. How many points does it score?</v>
      </c>
      <c r="C10" s="12" t="s">
        <v>3280</v>
      </c>
      <c r="D10" s="12" t="str">
        <f>IFERROR(__xludf.DUMMYFUNCTION("GOOGLETRANSLATE(J10, ""de"", ""en"")"),"1 point")</f>
        <v>1 point</v>
      </c>
      <c r="E10" s="12" t="str">
        <f>IFERROR(__xludf.DUMMYFUNCTION("GOOGLETRANSLATE(K10, ""de"", ""en"")"),"Quoits that land within 6 inches of the stake usually score 1 point.")</f>
        <v>Quoits that land within 6 inches of the stake usually score 1 point.</v>
      </c>
      <c r="G10" s="15">
        <v>9.0</v>
      </c>
      <c r="H10" s="7" t="s">
        <v>3281</v>
      </c>
      <c r="I10" s="7" t="s">
        <v>3282</v>
      </c>
      <c r="J10" s="7" t="s">
        <v>3283</v>
      </c>
      <c r="K10" s="7" t="s">
        <v>3284</v>
      </c>
    </row>
    <row r="11" ht="22.5" customHeight="1">
      <c r="A11" s="14">
        <v>10.0</v>
      </c>
      <c r="B11" s="12" t="str">
        <f>IFERROR(__xludf.DUMMYFUNCTION("GOOGLETRANSLATE(H11, ""de"", ""en"")"),"The quoit lands perfectly flat on the ground, but close to the pole. How many points does it score?")</f>
        <v>The quoit lands perfectly flat on the ground, but close to the pole. How many points does it score?</v>
      </c>
      <c r="C11" s="12" t="s">
        <v>3252</v>
      </c>
      <c r="D11" s="12" t="str">
        <f>IFERROR(__xludf.DUMMYFUNCTION("GOOGLETRANSLATE(J11, ""de"", ""en"")"),"1 point")</f>
        <v>1 point</v>
      </c>
      <c r="E11" s="12" t="str">
        <f>IFERROR(__xludf.DUMMYFUNCTION("GOOGLETRANSLATE(K11, ""de"", ""en"")"),"A flat quoit lying close to the stake scores 1 point, depending on the distance.")</f>
        <v>A flat quoit lying close to the stake scores 1 point, depending on the distance.</v>
      </c>
      <c r="G11" s="16">
        <v>10.0</v>
      </c>
      <c r="H11" s="7" t="s">
        <v>3285</v>
      </c>
      <c r="I11" s="7" t="s">
        <v>3254</v>
      </c>
      <c r="J11" s="7" t="s">
        <v>3283</v>
      </c>
      <c r="K11" s="7" t="s">
        <v>3286</v>
      </c>
    </row>
    <row r="12" ht="22.5" customHeight="1">
      <c r="A12" s="14">
        <v>11.0</v>
      </c>
      <c r="B12" s="12" t="str">
        <f>IFERROR(__xludf.DUMMYFUNCTION("GOOGLETRANSLATE(H12, ""de"", ""en"")"),"What happens if one quoit lands directly on top of another quoit on the pole?")</f>
        <v>What happens if one quoit lands directly on top of another quoit on the pole?</v>
      </c>
      <c r="C12" s="12" t="s">
        <v>3287</v>
      </c>
      <c r="D12" s="12" t="str">
        <f>IFERROR(__xludf.DUMMYFUNCTION("GOOGLETRANSLATE(J12, ""de"", ""en"")"),"Both quotits receive points.")</f>
        <v>Both quotits receive points.</v>
      </c>
      <c r="E12" s="12" t="str">
        <f>IFERROR(__xludf.DUMMYFUNCTION("GOOGLETRANSLATE(K12, ""de"", ""en"")"),"Both quotits receive points if they are valid and meet the scoring criteria.")</f>
        <v>Both quotits receive points if they are valid and meet the scoring criteria.</v>
      </c>
      <c r="G12" s="15">
        <v>11.0</v>
      </c>
      <c r="H12" s="7" t="s">
        <v>3288</v>
      </c>
      <c r="I12" s="7" t="s">
        <v>3289</v>
      </c>
      <c r="J12" s="7" t="s">
        <v>3290</v>
      </c>
      <c r="K12" s="7" t="s">
        <v>3291</v>
      </c>
    </row>
    <row r="13" ht="22.5" customHeight="1">
      <c r="A13" s="14">
        <v>12.0</v>
      </c>
      <c r="B13" s="12" t="str">
        <f>IFERROR(__xludf.DUMMYFUNCTION("GOOGLETRANSLATE(H13, ""de"", ""en"")"),"What is the distance between the throwing line and the stake in a standard game?")</f>
        <v>What is the distance between the throwing line and the stake in a standard game?</v>
      </c>
      <c r="C13" s="12" t="s">
        <v>3292</v>
      </c>
      <c r="D13" s="12" t="str">
        <f>IFERROR(__xludf.DUMMYFUNCTION("GOOGLETRANSLATE(J13, ""de"", ""en"")"),"21 feet")</f>
        <v>21 feet</v>
      </c>
      <c r="E13" s="12" t="str">
        <f>IFERROR(__xludf.DUMMYFUNCTION("GOOGLETRANSLATE(K13, ""de"", ""en"")"),"In standard play, the distance between the throwing line and the stake is usually 21 feet.")</f>
        <v>In standard play, the distance between the throwing line and the stake is usually 21 feet.</v>
      </c>
      <c r="G13" s="16">
        <v>12.0</v>
      </c>
      <c r="H13" s="7" t="s">
        <v>3293</v>
      </c>
      <c r="I13" s="7" t="s">
        <v>3294</v>
      </c>
      <c r="J13" s="7" t="s">
        <v>3295</v>
      </c>
      <c r="K13" s="7" t="s">
        <v>3296</v>
      </c>
    </row>
    <row r="14" ht="22.5" customHeight="1">
      <c r="A14" s="14">
        <v>13.0</v>
      </c>
      <c r="B14" s="12" t="str">
        <f>IFERROR(__xludf.DUMMYFUNCTION("GOOGLETRANSLATE(H14, ""de"", ""en"")"),"What should a player do if their quoit lands partly on the stake and partly on the ground?")</f>
        <v>What should a player do if their quoit lands partly on the stake and partly on the ground?</v>
      </c>
      <c r="C14" s="12" t="s">
        <v>3297</v>
      </c>
      <c r="D14" s="12" t="str">
        <f>IFERROR(__xludf.DUMMYFUNCTION("GOOGLETRANSLATE(J14, ""de"", ""en"")"),"It counts as a tenant")</f>
        <v>It counts as a tenant</v>
      </c>
      <c r="E14" s="12" t="str">
        <f>IFERROR(__xludf.DUMMYFUNCTION("GOOGLETRANSLATE(K14, ""de"", ""en"")"),"A partially landed quotit is often counted as a loper and valued accordingly.")</f>
        <v>A partially landed quotit is often counted as a loper and valued accordingly.</v>
      </c>
      <c r="G14" s="15">
        <v>13.0</v>
      </c>
      <c r="H14" s="7" t="s">
        <v>3298</v>
      </c>
      <c r="I14" s="7" t="s">
        <v>3299</v>
      </c>
      <c r="J14" s="7" t="s">
        <v>3300</v>
      </c>
      <c r="K14" s="7" t="s">
        <v>3301</v>
      </c>
    </row>
    <row r="15" ht="22.5" customHeight="1">
      <c r="A15" s="14">
        <v>14.0</v>
      </c>
      <c r="B15" s="12" t="str">
        <f>IFERROR(__xludf.DUMMYFUNCTION("GOOGLETRANSLATE(H15, ""de"", ""en"")"),"What is the main goal of Quoits?")</f>
        <v>What is the main goal of Quoits?</v>
      </c>
      <c r="C15" s="12" t="s">
        <v>3302</v>
      </c>
      <c r="D15" s="12" t="str">
        <f>IFERROR(__xludf.DUMMYFUNCTION("GOOGLETRANSLATE(J15, ""de"", ""en"")"),"Place quoits as close to the pole as possible.")</f>
        <v>Place quoits as close to the pole as possible.</v>
      </c>
      <c r="E15" s="12" t="str">
        <f>IFERROR(__xludf.DUMMYFUNCTION("GOOGLETRANSLATE(K15, ""de"", ""en"")"),"The main objective is to place quoits as close to the pole as possible to score maximum points.")</f>
        <v>The main objective is to place quoits as close to the pole as possible to score maximum points.</v>
      </c>
      <c r="G15" s="16">
        <v>14.0</v>
      </c>
      <c r="H15" s="7" t="s">
        <v>3303</v>
      </c>
      <c r="I15" s="7" t="s">
        <v>3304</v>
      </c>
      <c r="J15" s="7" t="s">
        <v>3305</v>
      </c>
      <c r="K15" s="7" t="s">
        <v>3306</v>
      </c>
    </row>
    <row r="16" ht="22.5" customHeight="1">
      <c r="A16" s="14">
        <v>15.0</v>
      </c>
      <c r="B16" s="12" t="str">
        <f>IFERROR(__xludf.DUMMYFUNCTION("GOOGLETRANSLATE(H16, ""de"", ""en"")"),"What material is commonly used for quotits?")</f>
        <v>What material is commonly used for quotits?</v>
      </c>
      <c r="C16" s="12" t="s">
        <v>3307</v>
      </c>
      <c r="D16" s="12" t="str">
        <f>IFERROR(__xludf.DUMMYFUNCTION("GOOGLETRANSLATE(J16, ""de"", ""en"")"),"metal")</f>
        <v>metal</v>
      </c>
      <c r="E16" s="12" t="str">
        <f>IFERROR(__xludf.DUMMYFUNCTION("GOOGLETRANSLATE(K16, ""de"", ""en"")"),"Metal quoits are often used because of their durability and weight balance.")</f>
        <v>Metal quoits are often used because of their durability and weight balance.</v>
      </c>
      <c r="G16" s="15">
        <v>15.0</v>
      </c>
      <c r="H16" s="7" t="s">
        <v>3308</v>
      </c>
      <c r="I16" s="7" t="s">
        <v>3309</v>
      </c>
      <c r="J16" s="7" t="s">
        <v>3310</v>
      </c>
      <c r="K16" s="7" t="s">
        <v>3311</v>
      </c>
    </row>
    <row r="17" ht="22.5" customHeight="1">
      <c r="A17" s="14">
        <v>16.0</v>
      </c>
      <c r="B17" s="12" t="str">
        <f>IFERROR(__xludf.DUMMYFUNCTION("GOOGLETRANSLATE(H17, ""de"", ""en"")"),"A player throws a quoit that bounces off the target area and lands near the stick. What should happen?")</f>
        <v>A player throws a quoit that bounces off the target area and lands near the stick. What should happen?</v>
      </c>
      <c r="C17" s="12" t="s">
        <v>3312</v>
      </c>
      <c r="D17" s="12" t="str">
        <f>IFERROR(__xludf.DUMMYFUNCTION("GOOGLETRANSLATE(J17, ""de"", ""en"")"),"No points awarded")</f>
        <v>No points awarded</v>
      </c>
      <c r="E17" s="12" t="str">
        <f>IFERROR(__xludf.DUMMYFUNCTION("GOOGLETRANSLATE(K17, ""de"", ""en"")"),"Bouncing quotits are invalid and score no points.")</f>
        <v>Bouncing quotits are invalid and score no points.</v>
      </c>
      <c r="G17" s="16">
        <v>16.0</v>
      </c>
      <c r="H17" s="7" t="s">
        <v>3313</v>
      </c>
      <c r="I17" s="7" t="s">
        <v>3314</v>
      </c>
      <c r="J17" s="7" t="s">
        <v>3315</v>
      </c>
      <c r="K17" s="7" t="s">
        <v>3316</v>
      </c>
    </row>
    <row r="18" ht="22.5" customHeight="1">
      <c r="A18" s="14">
        <v>17.0</v>
      </c>
      <c r="B18" s="12" t="str">
        <f>IFERROR(__xludf.DUMMYFUNCTION("GOOGLETRANSLATE(H18, ""de"", ""en"")"),"Two players land their quoits equidistant from the staff. What is the rule?")</f>
        <v>Two players land their quoits equidistant from the staff. What is the rule?</v>
      </c>
      <c r="C18" s="12" t="s">
        <v>3317</v>
      </c>
      <c r="D18" s="12" t="str">
        <f>IFERROR(__xludf.DUMMYFUNCTION("GOOGLETRANSLATE(J18, ""de"", ""en"")"),"No one receives points.")</f>
        <v>No one receives points.</v>
      </c>
      <c r="E18" s="12" t="str">
        <f>IFERROR(__xludf.DUMMYFUNCTION("GOOGLETRANSLATE(K18, ""de"", ""en"")"),"No points are awarded if the quotients are equally far apart.")</f>
        <v>No points are awarded if the quotients are equally far apart.</v>
      </c>
      <c r="G18" s="15">
        <v>17.0</v>
      </c>
      <c r="H18" s="7" t="s">
        <v>3318</v>
      </c>
      <c r="I18" s="7" t="s">
        <v>3319</v>
      </c>
      <c r="J18" s="7" t="s">
        <v>3320</v>
      </c>
      <c r="K18" s="7" t="s">
        <v>3321</v>
      </c>
    </row>
    <row r="19" ht="22.5" customHeight="1">
      <c r="A19" s="14">
        <v>18.0</v>
      </c>
      <c r="B19" s="12" t="str">
        <f>IFERROR(__xludf.DUMMYFUNCTION("GOOGLETRANSLATE(H19, ""de"", ""en"")"),"A player accidentally steps over the foul line while throwing. What is the penalty?")</f>
        <v>A player accidentally steps over the foul line while throwing. What is the penalty?</v>
      </c>
      <c r="C19" s="12" t="s">
        <v>3322</v>
      </c>
      <c r="D19" s="12" t="str">
        <f>IFERROR(__xludf.DUMMYFUNCTION("GOOGLETRANSLATE(J19, ""de"", ""en"")"),"The throw is invalid.")</f>
        <v>The throw is invalid.</v>
      </c>
      <c r="E19" s="12" t="str">
        <f>IFERROR(__xludf.DUMMYFUNCTION("GOOGLETRANSLATE(K19, ""de"", ""en"")"),"Crossing the foul line invalidates the throw.")</f>
        <v>Crossing the foul line invalidates the throw.</v>
      </c>
      <c r="G19" s="16">
        <v>18.0</v>
      </c>
      <c r="H19" s="7" t="s">
        <v>3323</v>
      </c>
      <c r="I19" s="7" t="s">
        <v>3324</v>
      </c>
      <c r="J19" s="7" t="s">
        <v>3325</v>
      </c>
      <c r="K19" s="7" t="s">
        <v>3326</v>
      </c>
    </row>
    <row r="20" ht="22.5" customHeight="1">
      <c r="A20" s="14">
        <v>19.0</v>
      </c>
      <c r="B20" s="12" t="str">
        <f>IFERROR(__xludf.DUMMYFUNCTION("GOOGLETRANSLATE(H20, ""de"", ""en"")"),"The weather will become windy during the game. What should the players do?")</f>
        <v>The weather will become windy during the game. What should the players do?</v>
      </c>
      <c r="C20" s="12" t="s">
        <v>3327</v>
      </c>
      <c r="D20" s="12" t="str">
        <f>IFERROR(__xludf.DUMMYFUNCTION("GOOGLETRANSLATE(J20, ""de"", ""en"")"),"Continue playing")</f>
        <v>Continue playing</v>
      </c>
      <c r="E20" s="12" t="str">
        <f>IFERROR(__xludf.DUMMYFUNCTION("GOOGLETRANSLATE(K20, ""de"", ""en"")"),"Unless the conditions are extreme, the game will continue without adjustments.")</f>
        <v>Unless the conditions are extreme, the game will continue without adjustments.</v>
      </c>
      <c r="G20" s="15">
        <v>19.0</v>
      </c>
      <c r="H20" s="7" t="s">
        <v>3328</v>
      </c>
      <c r="I20" s="7" t="s">
        <v>3329</v>
      </c>
      <c r="J20" s="7" t="s">
        <v>3330</v>
      </c>
      <c r="K20" s="7" t="s">
        <v>3331</v>
      </c>
    </row>
    <row r="21" ht="22.5" customHeight="1">
      <c r="A21" s="14">
        <v>20.0</v>
      </c>
      <c r="B21" s="12" t="str">
        <f>IFERROR(__xludf.DUMMYFUNCTION("GOOGLETRANSLATE(H21, ""de"", ""en"")"),"A quotit lands directly on top of an opponent's quotit. What happens?")</f>
        <v>A quotit lands directly on top of an opponent's quotit. What happens?</v>
      </c>
      <c r="C21" s="12" t="s">
        <v>3332</v>
      </c>
      <c r="D21" s="12" t="str">
        <f>IFERROR(__xludf.DUMMYFUNCTION("GOOGLETRANSLATE(J21, ""de"", ""en"")"),"The higher quotient receives points.")</f>
        <v>The higher quotient receives points.</v>
      </c>
      <c r="E21" s="12" t="str">
        <f>IFERROR(__xludf.DUMMYFUNCTION("GOOGLETRANSLATE(K21, ""de"", ""en"")"),"The quote above is closer and scores depending on its position.")</f>
        <v>The quote above is closer and scores depending on its position.</v>
      </c>
      <c r="G21" s="16">
        <v>20.0</v>
      </c>
      <c r="H21" s="7" t="s">
        <v>3333</v>
      </c>
      <c r="I21" s="7" t="s">
        <v>3334</v>
      </c>
      <c r="J21" s="7" t="s">
        <v>3335</v>
      </c>
      <c r="K21" s="7" t="s">
        <v>3336</v>
      </c>
    </row>
    <row r="22" ht="22.5" customHeight="1">
      <c r="A22" s="14">
        <v>21.0</v>
      </c>
      <c r="B22" s="12" t="str">
        <f>IFERROR(__xludf.DUMMYFUNCTION("GOOGLETRANSLATE(H22, ""de"", ""en"")"),"A player notices after the throw that his quotient has a defect. What should he do?")</f>
        <v>A player notices after the throw that his quotient has a defect. What should he do?</v>
      </c>
      <c r="C22" s="12" t="s">
        <v>3337</v>
      </c>
      <c r="D22" s="12" t="str">
        <f>IFERROR(__xludf.DUMMYFUNCTION("GOOGLETRANSLATE(J22, ""de"", ""en"")"),"Request a replacement")</f>
        <v>Request a replacement</v>
      </c>
      <c r="E22" s="12" t="str">
        <f>IFERROR(__xludf.DUMMYFUNCTION("GOOGLETRANSLATE(K22, ""de"", ""en"")"),"Defective equipment will be replaced before the next throw.")</f>
        <v>Defective equipment will be replaced before the next throw.</v>
      </c>
      <c r="G22" s="15">
        <v>21.0</v>
      </c>
      <c r="H22" s="7" t="s">
        <v>3338</v>
      </c>
      <c r="I22" s="7" t="s">
        <v>3339</v>
      </c>
      <c r="J22" s="7" t="s">
        <v>3340</v>
      </c>
      <c r="K22" s="7" t="s">
        <v>3341</v>
      </c>
    </row>
    <row r="23" ht="22.5" customHeight="1">
      <c r="A23" s="14">
        <v>22.0</v>
      </c>
      <c r="B23" s="12" t="str">
        <f>IFERROR(__xludf.DUMMYFUNCTION("GOOGLETRANSLATE(H23, ""de"", ""en"")"),"One of the player's quotits lands perfectly around the staff, but another quotit lands closer. Who scores?")</f>
        <v>One of the player's quotits lands perfectly around the staff, but another quotit lands closer. Who scores?</v>
      </c>
      <c r="C23" s="12" t="s">
        <v>3342</v>
      </c>
      <c r="D23" s="12" t="str">
        <f>IFERROR(__xludf.DUMMYFUNCTION("GOOGLETRANSLATE(J23, ""de"", ""en"")"),"The surrounding quotient scores")</f>
        <v>The surrounding quotient scores</v>
      </c>
      <c r="E23" s="12" t="str">
        <f>IFERROR(__xludf.DUMMYFUNCTION("GOOGLETRANSLATE(K23, ""de"", ""en"")"),"A quoit that perfectly encloses the staff always achieves the maximum score.")</f>
        <v>A quoit that perfectly encloses the staff always achieves the maximum score.</v>
      </c>
      <c r="G23" s="16">
        <v>22.0</v>
      </c>
      <c r="H23" s="7" t="s">
        <v>3343</v>
      </c>
      <c r="I23" s="7" t="s">
        <v>3344</v>
      </c>
      <c r="J23" s="7" t="s">
        <v>3345</v>
      </c>
      <c r="K23" s="7" t="s">
        <v>3346</v>
      </c>
    </row>
    <row r="24" ht="22.5" customHeight="1">
      <c r="A24" s="14">
        <v>23.0</v>
      </c>
      <c r="B24" s="12" t="str">
        <f>IFERROR(__xludf.DUMMYFUNCTION("GOOGLETRANSLATE(H24, ""de"", ""en"")"),"A quotient lands half in the target area and half out. What is the decision?")</f>
        <v>A quotient lands half in the target area and half out. What is the decision?</v>
      </c>
      <c r="C24" s="12" t="s">
        <v>3347</v>
      </c>
      <c r="D24" s="12" t="str">
        <f>IFERROR(__xludf.DUMMYFUNCTION("GOOGLETRANSLATE(J24, ""de"", ""en"")"),"No points")</f>
        <v>No points</v>
      </c>
      <c r="E24" s="12" t="str">
        <f>IFERROR(__xludf.DUMMYFUNCTION("GOOGLETRANSLATE(K24, ""de"", ""en"")"),"A quotient must land completely within the target area to score points.")</f>
        <v>A quotient must land completely within the target area to score points.</v>
      </c>
      <c r="G24" s="15">
        <v>23.0</v>
      </c>
      <c r="H24" s="7" t="s">
        <v>3348</v>
      </c>
      <c r="I24" s="7" t="s">
        <v>3349</v>
      </c>
      <c r="J24" s="7" t="s">
        <v>3255</v>
      </c>
      <c r="K24" s="7" t="s">
        <v>3350</v>
      </c>
    </row>
    <row r="25" ht="22.5" customHeight="1">
      <c r="A25" s="14">
        <v>24.0</v>
      </c>
      <c r="B25" s="12" t="str">
        <f>IFERROR(__xludf.DUMMYFUNCTION("GOOGLETRANSLATE(H25, ""de"", ""en"")"),"In a doubles match, one team finishes their throws and the points are counted. What happens next?")</f>
        <v>In a doubles match, one team finishes their throws and the points are counted. What happens next?</v>
      </c>
      <c r="C25" s="12" t="s">
        <v>3351</v>
      </c>
      <c r="D25" s="12" t="str">
        <f>IFERROR(__xludf.DUMMYFUNCTION("GOOGLETRANSLATE(J25, ""de"", ""en"")"),"The other team throws")</f>
        <v>The other team throws</v>
      </c>
      <c r="E25" s="12" t="str">
        <f>IFERROR(__xludf.DUMMYFUNCTION("GOOGLETRANSLATE(K25, ""de"", ""en"")"),"Each team finishes its throws before the round ends.")</f>
        <v>Each team finishes its throws before the round ends.</v>
      </c>
      <c r="G25" s="16">
        <v>24.0</v>
      </c>
      <c r="H25" s="7" t="s">
        <v>3352</v>
      </c>
      <c r="I25" s="7" t="s">
        <v>3353</v>
      </c>
      <c r="J25" s="7" t="s">
        <v>3354</v>
      </c>
      <c r="K25" s="7" t="s">
        <v>3355</v>
      </c>
    </row>
    <row r="26" ht="22.5" customHeight="1">
      <c r="A26" s="14">
        <v>25.0</v>
      </c>
      <c r="B26" s="12" t="str">
        <f>IFERROR(__xludf.DUMMYFUNCTION("GOOGLETRANSLATE(H26, ""de"", ""en"")"),"A player accidentally moves the staff while picking up their quoit. What should be done?")</f>
        <v>A player accidentally moves the staff while picking up their quoit. What should be done?</v>
      </c>
      <c r="C26" s="12" t="s">
        <v>3356</v>
      </c>
      <c r="D26" s="12" t="str">
        <f>IFERROR(__xludf.DUMMYFUNCTION("GOOGLETRANSLATE(J26, ""de"", ""en"")"),"Reset the staff")</f>
        <v>Reset the staff</v>
      </c>
      <c r="E26" s="12" t="str">
        <f>IFERROR(__xludf.DUMMYFUNCTION("GOOGLETRANSLATE(K26, ""de"", ""en"")"),"The staff is returned to its original position without penalty.")</f>
        <v>The staff is returned to its original position without penalty.</v>
      </c>
      <c r="G26" s="15">
        <v>25.0</v>
      </c>
      <c r="H26" s="7" t="s">
        <v>3357</v>
      </c>
      <c r="I26" s="7" t="s">
        <v>3358</v>
      </c>
      <c r="J26" s="7" t="s">
        <v>3359</v>
      </c>
      <c r="K26" s="7" t="s">
        <v>3360</v>
      </c>
    </row>
    <row r="27" ht="22.5" customHeight="1">
      <c r="A27" s="14">
        <v>26.0</v>
      </c>
      <c r="B27" s="12" t="str">
        <f>IFERROR(__xludf.DUMMYFUNCTION("GOOGLETRANSLATE(H27, ""de"", ""en"")"),"A player intentionally blocks the target area with a quoit to prevent the opponent from scoring. Is this allowed?")</f>
        <v>A player intentionally blocks the target area with a quoit to prevent the opponent from scoring. Is this allowed?</v>
      </c>
      <c r="C27" s="12" t="s">
        <v>3361</v>
      </c>
      <c r="D27" s="12" t="str">
        <f>IFERROR(__xludf.DUMMYFUNCTION("GOOGLETRANSLATE(J27, ""de"", ""en"")"),"Yes")</f>
        <v>Yes</v>
      </c>
      <c r="E27" s="12" t="str">
        <f>IFERROR(__xludf.DUMMYFUNCTION("GOOGLETRANSLATE(K27, ""de"", ""en"")"),"Strategic blocking is allowed as long as the rules are followed.")</f>
        <v>Strategic blocking is allowed as long as the rules are followed.</v>
      </c>
      <c r="G27" s="16">
        <v>26.0</v>
      </c>
      <c r="H27" s="7" t="s">
        <v>3362</v>
      </c>
      <c r="I27" s="7" t="s">
        <v>3363</v>
      </c>
      <c r="J27" s="7" t="s">
        <v>1891</v>
      </c>
      <c r="K27" s="7" t="s">
        <v>3364</v>
      </c>
    </row>
    <row r="28" ht="22.5" customHeight="1">
      <c r="A28" s="14">
        <v>27.0</v>
      </c>
      <c r="B28" s="12" t="str">
        <f>IFERROR(__xludf.DUMMYFUNCTION("GOOGLETRANSLATE(H28, ""de"", ""en"")"),"During a heated game, two players argue about the placement of a quoit. What should they do?")</f>
        <v>During a heated game, two players argue about the placement of a quoit. What should they do?</v>
      </c>
      <c r="C28" s="12" t="s">
        <v>3365</v>
      </c>
      <c r="D28" s="12" t="str">
        <f>IFERROR(__xludf.DUMMYFUNCTION("GOOGLETRANSLATE(J28, ""de"", ""en"")"),"Call a referee")</f>
        <v>Call a referee</v>
      </c>
      <c r="E28" s="12" t="str">
        <f>IFERROR(__xludf.DUMMYFUNCTION("GOOGLETRANSLATE(K28, ""de"", ""en"")"),"Disputes are resolved fairly by an arbitrator.")</f>
        <v>Disputes are resolved fairly by an arbitrator.</v>
      </c>
      <c r="G28" s="15">
        <v>27.0</v>
      </c>
      <c r="H28" s="7" t="s">
        <v>3366</v>
      </c>
      <c r="I28" s="7" t="s">
        <v>3367</v>
      </c>
      <c r="J28" s="7" t="s">
        <v>3368</v>
      </c>
      <c r="K28" s="7" t="s">
        <v>3369</v>
      </c>
    </row>
    <row r="29" ht="22.5" customHeight="1">
      <c r="A29" s="14">
        <v>28.0</v>
      </c>
      <c r="B29" s="12" t="str">
        <f>IFERROR(__xludf.DUMMYFUNCTION("GOOGLETRANSLATE(H29, ""de"", ""en"")"),"If the staff bends due to repeated hits during the game, what should be done?")</f>
        <v>If the staff bends due to repeated hits during the game, what should be done?</v>
      </c>
      <c r="C29" s="12" t="s">
        <v>3370</v>
      </c>
      <c r="D29" s="12" t="str">
        <f>IFERROR(__xludf.DUMMYFUNCTION("GOOGLETRANSLATE(J29, ""de"", ""en"")"),"Straighten the rod")</f>
        <v>Straighten the rod</v>
      </c>
      <c r="E29" s="12" t="str">
        <f>IFERROR(__xludf.DUMMYFUNCTION("GOOGLETRANSLATE(K29, ""de"", ""en"")"),"The staff should be adjusted to ensure a fair game.")</f>
        <v>The staff should be adjusted to ensure a fair game.</v>
      </c>
      <c r="G29" s="16">
        <v>28.0</v>
      </c>
      <c r="H29" s="7" t="s">
        <v>3371</v>
      </c>
      <c r="I29" s="7" t="s">
        <v>3372</v>
      </c>
      <c r="J29" s="7" t="s">
        <v>3373</v>
      </c>
      <c r="K29" s="7" t="s">
        <v>3374</v>
      </c>
    </row>
    <row r="30" ht="22.5" customHeight="1">
      <c r="A30" s="14">
        <v>29.0</v>
      </c>
      <c r="B30" s="12" t="str">
        <f>IFERROR(__xludf.DUMMYFUNCTION("GOOGLETRANSLATE(H30, ""de"", ""en"")"),"A quoit lands completely within the target area but does not touch the pole. How many points does it receive?")</f>
        <v>A quoit lands completely within the target area but does not touch the pole. How many points does it receive?</v>
      </c>
      <c r="C30" s="12" t="s">
        <v>3280</v>
      </c>
      <c r="D30" s="12" t="str">
        <f>IFERROR(__xludf.DUMMYFUNCTION("GOOGLETRANSLATE(J30, ""de"", ""en"")"),"1 point")</f>
        <v>1 point</v>
      </c>
      <c r="E30" s="12" t="str">
        <f>IFERROR(__xludf.DUMMYFUNCTION("GOOGLETRANSLATE(K30, ""de"", ""en"")"),"A quoit in the target area scores 1 point unless it touches or encloses the stick.")</f>
        <v>A quoit in the target area scores 1 point unless it touches or encloses the stick.</v>
      </c>
      <c r="G30" s="15">
        <v>29.0</v>
      </c>
      <c r="H30" s="7" t="s">
        <v>3375</v>
      </c>
      <c r="I30" s="7" t="s">
        <v>3282</v>
      </c>
      <c r="J30" s="7" t="s">
        <v>3283</v>
      </c>
      <c r="K30" s="7" t="s">
        <v>3376</v>
      </c>
    </row>
    <row r="31" ht="22.5" customHeight="1">
      <c r="A31" s="14">
        <v>30.0</v>
      </c>
      <c r="B31" s="12" t="str">
        <f>IFERROR(__xludf.DUMMYFUNCTION("GOOGLETRANSLATE(H31, ""de"", ""en"")"),"A player throws their quoit, and it lands on top of another quoit without touching the ground. What is the result?")</f>
        <v>A player throws their quoit, and it lands on top of another quoit without touching the ground. What is the result?</v>
      </c>
      <c r="C31" s="12" t="s">
        <v>3377</v>
      </c>
      <c r="D31" s="12" t="str">
        <f>IFERROR(__xludf.DUMMYFUNCTION("GOOGLETRANSLATE(J31, ""de"", ""en"")"),"The upper quotient scores")</f>
        <v>The upper quotient scores</v>
      </c>
      <c r="E31" s="12" t="str">
        <f>IFERROR(__xludf.DUMMYFUNCTION("GOOGLETRANSLATE(K31, ""de"", ""en"")"),"The upper quotient is closer to the staff and scores accordingly.")</f>
        <v>The upper quotient is closer to the staff and scores accordingly.</v>
      </c>
      <c r="G31" s="16">
        <v>30.0</v>
      </c>
      <c r="H31" s="7" t="s">
        <v>3378</v>
      </c>
      <c r="I31" s="7" t="s">
        <v>3379</v>
      </c>
      <c r="J31" s="7" t="s">
        <v>3380</v>
      </c>
      <c r="K31" s="7" t="s">
        <v>3381</v>
      </c>
    </row>
    <row r="32" ht="22.5" customHeight="1">
      <c r="A32" s="14">
        <v>31.0</v>
      </c>
      <c r="B32" s="12" t="str">
        <f>IFERROR(__xludf.DUMMYFUNCTION("GOOGLETRANSLATE(H32, ""de"", ""en"")"),"A round ends when both teams have the same number of points. What happens next?")</f>
        <v>A round ends when both teams have the same number of points. What happens next?</v>
      </c>
      <c r="C32" s="12" t="s">
        <v>3382</v>
      </c>
      <c r="D32" s="12" t="str">
        <f>IFERROR(__xludf.DUMMYFUNCTION("GOOGLETRANSLATE(J32, ""de"", ""en"")"),"Points will be carried over.")</f>
        <v>Points will be carried over.</v>
      </c>
      <c r="E32" s="12" t="str">
        <f>IFERROR(__xludf.DUMMYFUNCTION("GOOGLETRANSLATE(K32, ""de"", ""en"")"),"The points are counted and added to the next round.")</f>
        <v>The points are counted and added to the next round.</v>
      </c>
      <c r="G32" s="15">
        <v>31.0</v>
      </c>
      <c r="H32" s="7" t="s">
        <v>3383</v>
      </c>
      <c r="I32" s="7" t="s">
        <v>3384</v>
      </c>
      <c r="J32" s="7" t="s">
        <v>3385</v>
      </c>
      <c r="K32" s="7" t="s">
        <v>3386</v>
      </c>
    </row>
    <row r="33" ht="22.5" customHeight="1">
      <c r="A33" s="14">
        <v>32.0</v>
      </c>
      <c r="B33" s="12" t="str">
        <f>IFERROR(__xludf.DUMMYFUNCTION("GOOGLETRANSLATE(H33, ""de"", ""en"")"),"A player notices after a round that they have used an illegal quotient size. What is the consequence?")</f>
        <v>A player notices after a round that they have used an illegal quotient size. What is the consequence?</v>
      </c>
      <c r="C33" s="12" t="s">
        <v>3387</v>
      </c>
      <c r="D33" s="12" t="str">
        <f>IFERROR(__xludf.DUMMYFUNCTION("GOOGLETRANSLATE(J33, ""de"", ""en"")"),"Round is invalid")</f>
        <v>Round is invalid</v>
      </c>
      <c r="E33" s="12" t="str">
        <f>IFERROR(__xludf.DUMMYFUNCTION("GOOGLETRANSLATE(K33, ""de"", ""en"")"),"The use of illegal equipment invalidates the round.")</f>
        <v>The use of illegal equipment invalidates the round.</v>
      </c>
      <c r="G33" s="16">
        <v>32.0</v>
      </c>
      <c r="H33" s="7" t="s">
        <v>3388</v>
      </c>
      <c r="I33" s="7" t="s">
        <v>3389</v>
      </c>
      <c r="J33" s="7" t="s">
        <v>3390</v>
      </c>
      <c r="K33" s="7" t="s">
        <v>3391</v>
      </c>
    </row>
    <row r="34" ht="22.5" customHeight="1">
      <c r="A34" s="14">
        <v>33.0</v>
      </c>
      <c r="B34" s="12" t="str">
        <f>IFERROR(__xludf.DUMMYFUNCTION("GOOGLETRANSLATE(H34, ""de"", ""en"")"),"You throw your ring and it lands exactly inside the ring, but doesn't touch the stake. How many points do you score?")</f>
        <v>You throw your ring and it lands exactly inside the ring, but doesn't touch the stake. How many points do you score?</v>
      </c>
      <c r="C34" s="12" t="s">
        <v>3392</v>
      </c>
      <c r="D34" s="12" t="str">
        <f>IFERROR(__xludf.DUMMYFUNCTION("GOOGLETRANSLATE(J34, ""de"", ""en"")"),"No points")</f>
        <v>No points</v>
      </c>
      <c r="E34" s="12" t="str">
        <f>IFERROR(__xludf.DUMMYFUNCTION("GOOGLETRANSLATE(K34, ""de"", ""en"")"),"The ring must touch the post for points to be awarded.")</f>
        <v>The ring must touch the post for points to be awarded.</v>
      </c>
      <c r="G34" s="15">
        <v>33.0</v>
      </c>
      <c r="H34" s="7" t="s">
        <v>3393</v>
      </c>
      <c r="I34" s="7" t="s">
        <v>3394</v>
      </c>
      <c r="J34" s="7" t="s">
        <v>3255</v>
      </c>
      <c r="K34" s="7" t="s">
        <v>3395</v>
      </c>
    </row>
    <row r="35" ht="22.5" customHeight="1">
      <c r="A35" s="14">
        <v>34.0</v>
      </c>
      <c r="B35" s="12" t="str">
        <f>IFERROR(__xludf.DUMMYFUNCTION("GOOGLETRANSLATE(H35, ""de"", ""en"")"),"Your ring lands outside the ring, but close to the stake. How many points do you score?")</f>
        <v>Your ring lands outside the ring, but close to the stake. How many points do you score?</v>
      </c>
      <c r="C35" s="12" t="s">
        <v>3392</v>
      </c>
      <c r="D35" s="12" t="str">
        <f>IFERROR(__xludf.DUMMYFUNCTION("GOOGLETRANSLATE(J35, ""de"", ""en"")"),"No points")</f>
        <v>No points</v>
      </c>
      <c r="E35" s="12" t="str">
        <f>IFERROR(__xludf.DUMMYFUNCTION("GOOGLETRANSLATE(K35, ""de"", ""en"")"),"The ring must land inside the ring to score points.")</f>
        <v>The ring must land inside the ring to score points.</v>
      </c>
      <c r="G35" s="16">
        <v>34.0</v>
      </c>
      <c r="H35" s="7" t="s">
        <v>3396</v>
      </c>
      <c r="I35" s="7" t="s">
        <v>3394</v>
      </c>
      <c r="J35" s="17" t="s">
        <v>3255</v>
      </c>
      <c r="K35" s="7" t="s">
        <v>3397</v>
      </c>
    </row>
    <row r="36" ht="22.5" customHeight="1">
      <c r="A36" s="14">
        <v>35.0</v>
      </c>
      <c r="B36" s="12" t="str">
        <f>IFERROR(__xludf.DUMMYFUNCTION("GOOGLETRANSLATE(H36, ""de"", ""en"")"),"If a player throws a ring and it bounces outside the ring, are they still in the game?")</f>
        <v>If a player throws a ring and it bounces outside the ring, are they still in the game?</v>
      </c>
      <c r="C36" s="12" t="s">
        <v>3398</v>
      </c>
      <c r="D36" s="12" t="str">
        <f>IFERROR(__xludf.DUMMYFUNCTION("GOOGLETRANSLATE(J36, ""de"", ""en"")"),"No")</f>
        <v>No</v>
      </c>
      <c r="E36" s="12" t="str">
        <f>IFERROR(__xludf.DUMMYFUNCTION("GOOGLETRANSLATE(K36, ""de"", ""en"")"),"A ring that bounces outside the ring is considered out of the game.")</f>
        <v>A ring that bounces outside the ring is considered out of the game.</v>
      </c>
      <c r="G36" s="15">
        <v>35.0</v>
      </c>
      <c r="H36" s="7" t="s">
        <v>3399</v>
      </c>
      <c r="I36" s="7" t="s">
        <v>3400</v>
      </c>
      <c r="J36" s="7" t="s">
        <v>3401</v>
      </c>
      <c r="K36" s="7" t="s">
        <v>3402</v>
      </c>
    </row>
    <row r="37" ht="22.5" customHeight="1">
      <c r="A37" s="14">
        <v>36.0</v>
      </c>
      <c r="B37" s="12" t="str">
        <f>IFERROR(__xludf.DUMMYFUNCTION("GOOGLETRANSLATE(H37, ""de"", ""en"")"),"What happens if a ring lands exactly on the stake?")</f>
        <v>What happens if a ring lands exactly on the stake?</v>
      </c>
      <c r="C37" s="12" t="s">
        <v>3403</v>
      </c>
      <c r="D37" s="12" t="str">
        <f>IFERROR(__xludf.DUMMYFUNCTION("GOOGLETRANSLATE(J37, ""de"", ""en"")"),"A ring that lands directly on the stake scores 5 points.")</f>
        <v>A ring that lands directly on the stake scores 5 points.</v>
      </c>
      <c r="E37" s="12" t="str">
        <f>IFERROR(__xludf.DUMMYFUNCTION("GOOGLETRANSLATE(K37, ""de"", ""en"")"),"Five points")</f>
        <v>Five points</v>
      </c>
      <c r="G37" s="16">
        <v>36.0</v>
      </c>
      <c r="H37" s="7" t="s">
        <v>3404</v>
      </c>
      <c r="I37" s="7" t="s">
        <v>3405</v>
      </c>
      <c r="J37" s="17" t="s">
        <v>3406</v>
      </c>
      <c r="K37" s="7" t="s">
        <v>3407</v>
      </c>
    </row>
    <row r="38" ht="22.5" customHeight="1">
      <c r="A38" s="14">
        <v>37.0</v>
      </c>
      <c r="B38" s="12" t="str">
        <f>IFERROR(__xludf.DUMMYFUNCTION("GOOGLETRANSLATE(H38, ""de"", ""en"")"),"You throw a ring and it lands outside the ring, but in line with the stake. Can it still score points?")</f>
        <v>You throw a ring and it lands outside the ring, but in line with the stake. Can it still score points?</v>
      </c>
      <c r="C38" s="12" t="s">
        <v>3408</v>
      </c>
      <c r="D38" s="12" t="str">
        <f>IFERROR(__xludf.DUMMYFUNCTION("GOOGLETRANSLATE(J38, ""de"", ""en"")"),"No")</f>
        <v>No</v>
      </c>
      <c r="E38" s="12" t="str">
        <f>IFERROR(__xludf.DUMMYFUNCTION("GOOGLETRANSLATE(K38, ""de"", ""en"")"),"A ring must land inside the ring to be eligible for points, even if it is aligned with the stake.")</f>
        <v>A ring must land inside the ring to be eligible for points, even if it is aligned with the stake.</v>
      </c>
      <c r="G38" s="15">
        <v>37.0</v>
      </c>
      <c r="H38" s="7" t="s">
        <v>3409</v>
      </c>
      <c r="I38" s="7" t="s">
        <v>3410</v>
      </c>
      <c r="J38" s="7" t="s">
        <v>3401</v>
      </c>
      <c r="K38" s="7" t="s">
        <v>3411</v>
      </c>
    </row>
    <row r="39" ht="22.5" customHeight="1">
      <c r="A39" s="14">
        <v>38.0</v>
      </c>
      <c r="B39" s="12" t="str">
        <f>IFERROR(__xludf.DUMMYFUNCTION("GOOGLETRANSLATE(H39, ""de"", ""en"")"),"Your throw lands directly on the metal tip. How many points do you get?")</f>
        <v>Your throw lands directly on the metal tip. How many points do you get?</v>
      </c>
      <c r="C39" s="12" t="s">
        <v>3412</v>
      </c>
      <c r="D39" s="12" t="str">
        <f>IFERROR(__xludf.DUMMYFUNCTION("GOOGLETRANSLATE(J39, ""de"", ""en"")"),"Three points")</f>
        <v>Three points</v>
      </c>
      <c r="E39" s="12" t="str">
        <f>IFERROR(__xludf.DUMMYFUNCTION("GOOGLETRANSLATE(K39, ""de"", ""en"")"),"A throw that lands directly on the metal tip scores 3 points.")</f>
        <v>A throw that lands directly on the metal tip scores 3 points.</v>
      </c>
      <c r="G39" s="16">
        <v>38.0</v>
      </c>
      <c r="H39" s="7" t="s">
        <v>3413</v>
      </c>
      <c r="I39" s="7" t="s">
        <v>3414</v>
      </c>
      <c r="J39" s="7" t="s">
        <v>3415</v>
      </c>
      <c r="K39" s="7" t="s">
        <v>3416</v>
      </c>
    </row>
    <row r="40" ht="22.5" customHeight="1">
      <c r="A40" s="14">
        <v>39.0</v>
      </c>
      <c r="B40" s="12" t="str">
        <f>IFERROR(__xludf.DUMMYFUNCTION("GOOGLETRANSLATE(H40, ""de"", ""en"")"),"You throw your ring and it touches the metal tip, but falls off. What happens?")</f>
        <v>You throw your ring and it touches the metal tip, but falls off. What happens?</v>
      </c>
      <c r="C40" s="12" t="s">
        <v>3417</v>
      </c>
      <c r="D40" s="12" t="str">
        <f>IFERROR(__xludf.DUMMYFUNCTION("GOOGLETRANSLATE(J40, ""de"", ""en"")"),"No points")</f>
        <v>No points</v>
      </c>
      <c r="E40" s="12" t="str">
        <f>IFERROR(__xludf.DUMMYFUNCTION("GOOGLETRANSLATE(K40, ""de"", ""en"")"),"No points are awarded if the ring touches the metal tip but does not stay in place.")</f>
        <v>No points are awarded if the ring touches the metal tip but does not stay in place.</v>
      </c>
      <c r="G40" s="15">
        <v>39.0</v>
      </c>
      <c r="H40" s="7" t="s">
        <v>3418</v>
      </c>
      <c r="I40" s="7" t="s">
        <v>3419</v>
      </c>
      <c r="J40" s="7" t="s">
        <v>3255</v>
      </c>
      <c r="K40" s="7" t="s">
        <v>3420</v>
      </c>
    </row>
    <row r="41" ht="22.5" customHeight="1">
      <c r="A41" s="14">
        <v>40.0</v>
      </c>
      <c r="B41" s="12" t="str">
        <f>IFERROR(__xludf.DUMMYFUNCTION("GOOGLETRANSLATE(H41, ""de"", ""en"")"),"A player throws the ring, and it lands exactly around the metal tip. What is the result?")</f>
        <v>A player throws the ring, and it lands exactly around the metal tip. What is the result?</v>
      </c>
      <c r="C41" s="12" t="s">
        <v>3421</v>
      </c>
      <c r="D41" s="12" t="str">
        <f>IFERROR(__xludf.DUMMYFUNCTION("GOOGLETRANSLATE(J41, ""de"", ""en"")"),"Five points")</f>
        <v>Five points</v>
      </c>
      <c r="E41" s="12" t="str">
        <f>IFERROR(__xludf.DUMMYFUNCTION("GOOGLETRANSLATE(K41, ""de"", ""en"")"),"A perfectly placed ring around the metal tip scores 5 points.")</f>
        <v>A perfectly placed ring around the metal tip scores 5 points.</v>
      </c>
      <c r="G41" s="16">
        <v>40.0</v>
      </c>
      <c r="H41" s="7" t="s">
        <v>3422</v>
      </c>
      <c r="I41" s="7" t="s">
        <v>3423</v>
      </c>
      <c r="J41" s="7" t="s">
        <v>3407</v>
      </c>
      <c r="K41" s="7" t="s">
        <v>3424</v>
      </c>
    </row>
    <row r="42" ht="22.5" customHeight="1">
      <c r="A42" s="14">
        <v>41.0</v>
      </c>
      <c r="B42" s="12" t="str">
        <f>IFERROR(__xludf.DUMMYFUNCTION("GOOGLETRANSLATE(H42, ""de"", ""en"")"),"Your ring lands on the boundary of the playing field. Does this throw count?")</f>
        <v>Your ring lands on the boundary of the playing field. Does this throw count?</v>
      </c>
      <c r="C42" s="12" t="s">
        <v>3425</v>
      </c>
      <c r="D42" s="12" t="str">
        <f>IFERROR(__xludf.DUMMYFUNCTION("GOOGLETRANSLATE(J42, ""de"", ""en"")"),"No")</f>
        <v>No</v>
      </c>
      <c r="E42" s="12" t="str">
        <f>IFERROR(__xludf.DUMMYFUNCTION("GOOGLETRANSLATE(K42, ""de"", ""en"")"),"A ring that lands on the boundary does not count.")</f>
        <v>A ring that lands on the boundary does not count.</v>
      </c>
      <c r="G42" s="15">
        <v>41.0</v>
      </c>
      <c r="H42" s="7" t="s">
        <v>3426</v>
      </c>
      <c r="I42" s="7" t="s">
        <v>3427</v>
      </c>
      <c r="J42" s="7" t="s">
        <v>3401</v>
      </c>
      <c r="K42" s="7" t="s">
        <v>3428</v>
      </c>
    </row>
    <row r="43" ht="22.5" customHeight="1">
      <c r="A43" s="14">
        <v>42.0</v>
      </c>
      <c r="B43" s="12" t="str">
        <f>IFERROR(__xludf.DUMMYFUNCTION("GOOGLETRANSLATE(H43, ""de"", ""en"")"),"You threw two rings, and both landed around the metal spike. How many points do you get?")</f>
        <v>You threw two rings, and both landed around the metal spike. How many points do you get?</v>
      </c>
      <c r="C43" s="12" t="s">
        <v>3429</v>
      </c>
      <c r="D43" s="12" t="str">
        <f>IFERROR(__xludf.DUMMYFUNCTION("GOOGLETRANSLATE(J43, ""de"", ""en"")"),"Ten points")</f>
        <v>Ten points</v>
      </c>
      <c r="E43" s="12" t="str">
        <f>IFERROR(__xludf.DUMMYFUNCTION("GOOGLETRANSLATE(K43, ""de"", ""en"")"),"Two perfectly placed rings around the top each score 5 points, for a total of 10 points.")</f>
        <v>Two perfectly placed rings around the top each score 5 points, for a total of 10 points.</v>
      </c>
      <c r="G43" s="16">
        <v>42.0</v>
      </c>
      <c r="H43" s="7" t="s">
        <v>3430</v>
      </c>
      <c r="I43" s="7" t="s">
        <v>3431</v>
      </c>
      <c r="J43" s="7" t="s">
        <v>3432</v>
      </c>
      <c r="K43" s="7" t="s">
        <v>3433</v>
      </c>
    </row>
    <row r="44" ht="22.5" customHeight="1">
      <c r="A44" s="14">
        <v>43.0</v>
      </c>
      <c r="B44" s="12" t="str">
        <f>IFERROR(__xludf.DUMMYFUNCTION("GOOGLETRANSLATE(H44, ""de"", ""en"")"),"Your opponent hits the metal tip and knocks your ring away. What happens?")</f>
        <v>Your opponent hits the metal tip and knocks your ring away. What happens?</v>
      </c>
      <c r="C44" s="12" t="s">
        <v>3434</v>
      </c>
      <c r="D44" s="12" t="str">
        <f>IFERROR(__xludf.DUMMYFUNCTION("GOOGLETRANSLATE(J44, ""de"", ""en"")"),"You will lose your points")</f>
        <v>You will lose your points</v>
      </c>
      <c r="E44" s="12" t="str">
        <f>IFERROR(__xludf.DUMMYFUNCTION("GOOGLETRANSLATE(K44, ""de"", ""en"")"),"If your ring is knocked away, you lose the points for that ring.")</f>
        <v>If your ring is knocked away, you lose the points for that ring.</v>
      </c>
      <c r="G44" s="15">
        <v>43.0</v>
      </c>
      <c r="H44" s="7" t="s">
        <v>3435</v>
      </c>
      <c r="I44" s="7" t="s">
        <v>3436</v>
      </c>
      <c r="J44" s="7" t="s">
        <v>3437</v>
      </c>
      <c r="K44" s="7" t="s">
        <v>3438</v>
      </c>
    </row>
    <row r="45" ht="22.5" customHeight="1">
      <c r="A45" s="14">
        <v>44.0</v>
      </c>
      <c r="B45" s="12" t="str">
        <f>IFERROR(__xludf.DUMMYFUNCTION("GOOGLETRANSLATE(H45, ""de"", ""en"")"),"A teammate throws outside the playing area. How is the throw scored?")</f>
        <v>A teammate throws outside the playing area. How is the throw scored?</v>
      </c>
      <c r="C45" s="12" t="s">
        <v>3439</v>
      </c>
      <c r="D45" s="12" t="str">
        <f>IFERROR(__xludf.DUMMYFUNCTION("GOOGLETRANSLATE(J45, ""de"", ""en"")"),"No points")</f>
        <v>No points</v>
      </c>
      <c r="E45" s="12" t="str">
        <f>IFERROR(__xludf.DUMMYFUNCTION("GOOGLETRANSLATE(K45, ""de"", ""en"")"),"Throws made outside the playing field boundaries do not count.")</f>
        <v>Throws made outside the playing field boundaries do not count.</v>
      </c>
      <c r="G45" s="16">
        <v>44.0</v>
      </c>
      <c r="H45" s="7" t="s">
        <v>3440</v>
      </c>
      <c r="I45" s="7" t="s">
        <v>3441</v>
      </c>
      <c r="J45" s="7" t="s">
        <v>3255</v>
      </c>
      <c r="K45" s="7" t="s">
        <v>3442</v>
      </c>
    </row>
    <row r="46" ht="22.5" customHeight="1">
      <c r="A46" s="14">
        <v>45.0</v>
      </c>
      <c r="B46" s="12" t="str">
        <f>IFERROR(__xludf.DUMMYFUNCTION("GOOGLETRANSLATE(H46, ""de"", ""en"")"),"You throw the ring, and it lands at an angle on its metal tip. How many points do you get?")</f>
        <v>You throw the ring, and it lands at an angle on its metal tip. How many points do you get?</v>
      </c>
      <c r="C46" s="12" t="s">
        <v>3443</v>
      </c>
      <c r="D46" s="12" t="str">
        <f>IFERROR(__xludf.DUMMYFUNCTION("GOOGLETRANSLATE(J46, ""de"", ""en"")"),"One point")</f>
        <v>One point</v>
      </c>
      <c r="E46" s="12" t="str">
        <f>IFERROR(__xludf.DUMMYFUNCTION("GOOGLETRANSLATE(K46, ""de"", ""en"")"),"If the ring lies at an angle on the metal tip, a point is awarded.")</f>
        <v>If the ring lies at an angle on the metal tip, a point is awarded.</v>
      </c>
      <c r="G46" s="15">
        <v>45.0</v>
      </c>
      <c r="H46" s="7" t="s">
        <v>3444</v>
      </c>
      <c r="I46" s="7" t="s">
        <v>3445</v>
      </c>
      <c r="J46" s="7" t="s">
        <v>3446</v>
      </c>
      <c r="K46" s="7" t="s">
        <v>3447</v>
      </c>
    </row>
    <row r="47" ht="22.5" customHeight="1">
      <c r="A47" s="14">
        <v>46.0</v>
      </c>
      <c r="B47" s="12" t="str">
        <f>IFERROR(__xludf.DUMMYFUNCTION("GOOGLETRANSLATE(H47, ""de"", ""en"")"),"A player hits your metal spike and your ring simultaneously. What happens?")</f>
        <v>A player hits your metal spike and your ring simultaneously. What happens?</v>
      </c>
      <c r="C47" s="12" t="s">
        <v>3448</v>
      </c>
      <c r="D47" s="12" t="str">
        <f>IFERROR(__xludf.DUMMYFUNCTION("GOOGLETRANSLATE(J47, ""de"", ""en"")"),"Only the metal tip counts.")</f>
        <v>Only the metal tip counts.</v>
      </c>
      <c r="E47" s="12" t="str">
        <f>IFERROR(__xludf.DUMMYFUNCTION("GOOGLETRANSLATE(K47, ""de"", ""en"")"),"Only hits with the metal tip are counted in this scenario.")</f>
        <v>Only hits with the metal tip are counted in this scenario.</v>
      </c>
      <c r="G47" s="16">
        <v>46.0</v>
      </c>
      <c r="H47" s="7" t="s">
        <v>3449</v>
      </c>
      <c r="I47" s="7" t="s">
        <v>3450</v>
      </c>
      <c r="J47" s="7" t="s">
        <v>3451</v>
      </c>
      <c r="K47" s="7" t="s">
        <v>3452</v>
      </c>
    </row>
    <row r="48" ht="22.5" customHeight="1">
      <c r="A48" s="14">
        <v>47.0</v>
      </c>
      <c r="B48" s="12" t="str">
        <f>IFERROR(__xludf.DUMMYFUNCTION("GOOGLETRANSLATE(H48, ""de"", ""en"")"),"You throw a ring, but it doesn't stay on the metal tip and falls back into the playing area. Does that count?")</f>
        <v>You throw a ring, but it doesn't stay on the metal tip and falls back into the playing area. Does that count?</v>
      </c>
      <c r="C48" s="12" t="s">
        <v>3453</v>
      </c>
      <c r="D48" s="12" t="str">
        <f>IFERROR(__xludf.DUMMYFUNCTION("GOOGLETRANSLATE(J48, ""de"", ""en"")"),"No")</f>
        <v>No</v>
      </c>
      <c r="E48" s="12" t="str">
        <f>IFERROR(__xludf.DUMMYFUNCTION("GOOGLETRANSLATE(K48, ""de"", ""en"")"),"A ring that does not touch the metal tip and falls back does not count.")</f>
        <v>A ring that does not touch the metal tip and falls back does not count.</v>
      </c>
      <c r="G48" s="15">
        <v>47.0</v>
      </c>
      <c r="H48" s="7" t="s">
        <v>3454</v>
      </c>
      <c r="I48" s="7" t="s">
        <v>3455</v>
      </c>
      <c r="J48" s="7" t="s">
        <v>3401</v>
      </c>
      <c r="K48" s="7" t="s">
        <v>3456</v>
      </c>
    </row>
    <row r="49" ht="22.5" customHeight="1">
      <c r="A49" s="14">
        <v>48.0</v>
      </c>
      <c r="B49" s="12" t="str">
        <f>IFERROR(__xludf.DUMMYFUNCTION("GOOGLETRANSLATE(H49, ""de"", ""en"")"),"The wind moves your ring just before you throw it. What happens?")</f>
        <v>The wind moves your ring just before you throw it. What happens?</v>
      </c>
      <c r="C49" s="12" t="s">
        <v>3457</v>
      </c>
      <c r="D49" s="12" t="str">
        <f>IFERROR(__xludf.DUMMYFUNCTION("GOOGLETRANSLATE(J49, ""de"", ""en"")"),"The throw is repeated.")</f>
        <v>The throw is repeated.</v>
      </c>
      <c r="E49" s="12" t="str">
        <f>IFERROR(__xludf.DUMMYFUNCTION("GOOGLETRANSLATE(K49, ""de"", ""en"")"),"A throw is repeated if the wind moves the ring.")</f>
        <v>A throw is repeated if the wind moves the ring.</v>
      </c>
      <c r="G49" s="16">
        <v>48.0</v>
      </c>
      <c r="H49" s="7" t="s">
        <v>3458</v>
      </c>
      <c r="I49" s="7" t="s">
        <v>3459</v>
      </c>
      <c r="J49" s="7" t="s">
        <v>3460</v>
      </c>
      <c r="K49" s="7" t="s">
        <v>3461</v>
      </c>
    </row>
    <row r="50" ht="22.5" customHeight="1">
      <c r="A50" s="14">
        <v>49.0</v>
      </c>
      <c r="B50" s="12" t="str">
        <f>IFERROR(__xludf.DUMMYFUNCTION("GOOGLETRANSLATE(H50, ""de"", ""en"")"),"A player's ring lands just short of the metal tip. How many points does the player get?")</f>
        <v>A player's ring lands just short of the metal tip. How many points does the player get?</v>
      </c>
      <c r="C50" s="12" t="s">
        <v>3462</v>
      </c>
      <c r="D50" s="12" t="str">
        <f>IFERROR(__xludf.DUMMYFUNCTION("GOOGLETRANSLATE(J50, ""de"", ""en"")"),"One point")</f>
        <v>One point</v>
      </c>
      <c r="E50" s="12" t="str">
        <f>IFERROR(__xludf.DUMMYFUNCTION("GOOGLETRANSLATE(K50, ""de"", ""en"")"),"A ring that lands just short of the metal tip scores one point.")</f>
        <v>A ring that lands just short of the metal tip scores one point.</v>
      </c>
      <c r="G50" s="15">
        <v>49.0</v>
      </c>
      <c r="H50" s="7" t="s">
        <v>3463</v>
      </c>
      <c r="I50" s="7" t="s">
        <v>3464</v>
      </c>
      <c r="J50" s="7" t="s">
        <v>3446</v>
      </c>
      <c r="K50" s="7" t="s">
        <v>3465</v>
      </c>
    </row>
    <row r="51" ht="22.5" customHeight="1">
      <c r="A51" s="14">
        <v>50.0</v>
      </c>
      <c r="B51" s="12" t="str">
        <f>IFERROR(__xludf.DUMMYFUNCTION("GOOGLETRANSLATE(H51, ""de"", ""en"")"),"You throw your ring and it lands on top of a ring that's already been thrown. What happens?")</f>
        <v>You throw your ring and it lands on top of a ring that's already been thrown. What happens?</v>
      </c>
      <c r="C51" s="12" t="s">
        <v>3466</v>
      </c>
      <c r="D51" s="12" t="str">
        <f>IFERROR(__xludf.DUMMYFUNCTION("GOOGLETRANSLATE(J51, ""de"", ""en"")"),"Only the top ring counts")</f>
        <v>Only the top ring counts</v>
      </c>
      <c r="E51" s="12" t="str">
        <f>IFERROR(__xludf.DUMMYFUNCTION("GOOGLETRANSLATE(K51, ""de"", ""en"")"),"The last ring thrown counts, even if it lands on top of someone else.")</f>
        <v>The last ring thrown counts, even if it lands on top of someone else.</v>
      </c>
      <c r="G51" s="16">
        <v>50.0</v>
      </c>
      <c r="H51" s="7" t="s">
        <v>3467</v>
      </c>
      <c r="I51" s="7" t="s">
        <v>3468</v>
      </c>
      <c r="J51" s="7" t="s">
        <v>3469</v>
      </c>
      <c r="K51" s="7" t="s">
        <v>3470</v>
      </c>
    </row>
    <row r="52" ht="22.5" customHeight="1">
      <c r="A52" s="14">
        <v>51.0</v>
      </c>
      <c r="B52" s="12" t="str">
        <f>IFERROR(__xludf.DUMMYFUNCTION("GOOGLETRANSLATE(H52, ""de"", ""en"")"),"One player throws all the rings outside the playing field. What is the result?")</f>
        <v>One player throws all the rings outside the playing field. What is the result?</v>
      </c>
      <c r="C52" s="12" t="s">
        <v>3392</v>
      </c>
      <c r="D52" s="12" t="str">
        <f>IFERROR(__xludf.DUMMYFUNCTION("GOOGLETRANSLATE(J52, ""de"", ""en"")"),"No points")</f>
        <v>No points</v>
      </c>
      <c r="E52" s="12" t="str">
        <f>IFERROR(__xludf.DUMMYFUNCTION("GOOGLETRANSLATE(K52, ""de"", ""en"")"),"Throws made outside the playing field will not count.")</f>
        <v>Throws made outside the playing field will not count.</v>
      </c>
      <c r="G52" s="15">
        <v>51.0</v>
      </c>
      <c r="H52" s="7" t="s">
        <v>3471</v>
      </c>
      <c r="I52" s="7" t="s">
        <v>3394</v>
      </c>
      <c r="J52" s="7" t="s">
        <v>3255</v>
      </c>
      <c r="K52" s="7" t="s">
        <v>3472</v>
      </c>
    </row>
    <row r="53" ht="22.5" customHeight="1">
      <c r="A53" s="14">
        <v>52.0</v>
      </c>
      <c r="B53" s="12" t="str">
        <f>IFERROR(__xludf.DUMMYFUNCTION("GOOGLETRANSLATE(H53, ""de"", ""en"")"),"A teammate's ring rolls and comes to rest just beyond the boundary of the playing field. What happens next?")</f>
        <v>A teammate's ring rolls and comes to rest just beyond the boundary of the playing field. What happens next?</v>
      </c>
      <c r="C53" s="12" t="s">
        <v>3439</v>
      </c>
      <c r="D53" s="12" t="str">
        <f>IFERROR(__xludf.DUMMYFUNCTION("GOOGLETRANSLATE(J53, ""de"", ""en"")"),"No points")</f>
        <v>No points</v>
      </c>
      <c r="E53" s="12" t="str">
        <f>IFERROR(__xludf.DUMMYFUNCTION("GOOGLETRANSLATE(K53, ""de"", ""en"")"),"Rings outside the playing field boundaries do not score any points.")</f>
        <v>Rings outside the playing field boundaries do not score any points.</v>
      </c>
      <c r="G53" s="16">
        <v>52.0</v>
      </c>
      <c r="H53" s="7" t="s">
        <v>3473</v>
      </c>
      <c r="I53" s="7" t="s">
        <v>3441</v>
      </c>
      <c r="J53" s="7" t="s">
        <v>3255</v>
      </c>
      <c r="K53" s="7" t="s">
        <v>3474</v>
      </c>
    </row>
    <row r="54" ht="22.5" customHeight="1">
      <c r="A54" s="14">
        <v>53.0</v>
      </c>
      <c r="B54" s="12" t="str">
        <f>IFERROR(__xludf.DUMMYFUNCTION("GOOGLETRANSLATE(H54, ""de"", ""en"")"),"A fellow player hits the metal tip, but the ring slips off. How many points does the player get?")</f>
        <v>A fellow player hits the metal tip, but the ring slips off. How many points does the player get?</v>
      </c>
      <c r="C54" s="12" t="s">
        <v>3392</v>
      </c>
      <c r="D54" s="12" t="str">
        <f>IFERROR(__xludf.DUMMYFUNCTION("GOOGLETRANSLATE(J54, ""de"", ""en"")"),"No points")</f>
        <v>No points</v>
      </c>
      <c r="E54" s="12" t="str">
        <f>IFERROR(__xludf.DUMMYFUNCTION("GOOGLETRANSLATE(K54, ""de"", ""en"")"),"A ring that slips off doesn't count.")</f>
        <v>A ring that slips off doesn't count.</v>
      </c>
      <c r="G54" s="15">
        <v>53.0</v>
      </c>
      <c r="H54" s="7" t="s">
        <v>3475</v>
      </c>
      <c r="I54" s="7" t="s">
        <v>3394</v>
      </c>
      <c r="J54" s="7" t="s">
        <v>3255</v>
      </c>
      <c r="K54" s="7" t="s">
        <v>3476</v>
      </c>
    </row>
    <row r="55" ht="22.5" customHeight="1">
      <c r="A55" s="14">
        <v>54.0</v>
      </c>
      <c r="B55" s="12" t="str">
        <f>IFERROR(__xludf.DUMMYFUNCTION("GOOGLETRANSLATE(H55, ""de"", ""en"")"),"Your ring lands precisely around the metal tip, but part of it touches the ground. What happens?")</f>
        <v>Your ring lands precisely around the metal tip, but part of it touches the ground. What happens?</v>
      </c>
      <c r="C55" s="12" t="s">
        <v>3477</v>
      </c>
      <c r="D55" s="12" t="str">
        <f>IFERROR(__xludf.DUMMYFUNCTION("GOOGLETRANSLATE(J55, ""de"", ""en"")"),"Three points")</f>
        <v>Three points</v>
      </c>
      <c r="E55" s="12" t="str">
        <f>IFERROR(__xludf.DUMMYFUNCTION("GOOGLETRANSLATE(K55, ""de"", ""en"")"),"A ring that encircles the metal tip but touches the ground scores 3 points.")</f>
        <v>A ring that encircles the metal tip but touches the ground scores 3 points.</v>
      </c>
      <c r="G55" s="16">
        <v>54.0</v>
      </c>
      <c r="H55" s="7" t="s">
        <v>3478</v>
      </c>
      <c r="I55" s="7" t="s">
        <v>3479</v>
      </c>
      <c r="J55" s="7" t="s">
        <v>3415</v>
      </c>
      <c r="K55" s="7" t="s">
        <v>3480</v>
      </c>
    </row>
    <row r="56" ht="22.5" customHeight="1">
      <c r="A56" s="14">
        <v>55.0</v>
      </c>
      <c r="B56" s="12" t="str">
        <f>IFERROR(__xludf.DUMMYFUNCTION("GOOGLETRANSLATE(H56, ""de"", ""en"")"),"You have one throw left and can overtake an opponent. What should your goal be?")</f>
        <v>You have one throw left and can overtake an opponent. What should your goal be?</v>
      </c>
      <c r="C56" s="12" t="s">
        <v>3481</v>
      </c>
      <c r="D56" s="12" t="str">
        <f>IFERROR(__xludf.DUMMYFUNCTION("GOOGLETRANSLATE(J56, ""de"", ""en"")"),"Hit the metal tip directly")</f>
        <v>Hit the metal tip directly</v>
      </c>
      <c r="E56" s="12" t="str">
        <f>IFERROR(__xludf.DUMMYFUNCTION("GOOGLETRANSLATE(K56, ""de"", ""en"")"),"A direct hit with the metal tip scores the most points.")</f>
        <v>A direct hit with the metal tip scores the most points.</v>
      </c>
      <c r="G56" s="15">
        <v>55.0</v>
      </c>
      <c r="H56" s="7" t="s">
        <v>3482</v>
      </c>
      <c r="I56" s="7" t="s">
        <v>3483</v>
      </c>
      <c r="J56" s="7" t="s">
        <v>3484</v>
      </c>
      <c r="K56" s="7" t="s">
        <v>3485</v>
      </c>
    </row>
    <row r="57" ht="22.5" customHeight="1">
      <c r="A57" s="14">
        <v>56.0</v>
      </c>
      <c r="B57" s="12" t="str">
        <f>IFERROR(__xludf.DUMMYFUNCTION("GOOGLETRANSLATE(H57, ""de"", ""en"")"),"One player uses a ring with a different weight than the others. What happens?")</f>
        <v>One player uses a ring with a different weight than the others. What happens?</v>
      </c>
      <c r="C57" s="12" t="s">
        <v>3486</v>
      </c>
      <c r="D57" s="12" t="str">
        <f>IFERROR(__xludf.DUMMYFUNCTION("GOOGLETRANSLATE(J57, ""de"", ""en"")"),"The throw does not count.")</f>
        <v>The throw does not count.</v>
      </c>
      <c r="E57" s="12" t="str">
        <f>IFERROR(__xludf.DUMMYFUNCTION("GOOGLETRANSLATE(K57, ""de"", ""en"")"),"Rings of different weights are not allowed, and the throw does not count.")</f>
        <v>Rings of different weights are not allowed, and the throw does not count.</v>
      </c>
      <c r="G57" s="16">
        <v>56.0</v>
      </c>
      <c r="H57" s="7" t="s">
        <v>3487</v>
      </c>
      <c r="I57" s="7" t="s">
        <v>3488</v>
      </c>
      <c r="J57" s="7" t="s">
        <v>3489</v>
      </c>
      <c r="K57" s="7" t="s">
        <v>3490</v>
      </c>
    </row>
    <row r="58" ht="22.5" customHeight="1">
      <c r="A58" s="14">
        <v>57.0</v>
      </c>
      <c r="B58" s="12" t="str">
        <f>IFERROR(__xludf.DUMMYFUNCTION("GOOGLETRANSLATE(H58, ""de"", ""en"")"),"You hit the metal point, but your ring is rolled away by another one. How is that scored?")</f>
        <v>You hit the metal point, but your ring is rolled away by another one. How is that scored?</v>
      </c>
      <c r="C58" s="12" t="s">
        <v>3491</v>
      </c>
      <c r="D58" s="12" t="str">
        <f>IFERROR(__xludf.DUMMYFUNCTION("GOOGLETRANSLATE(J58, ""de"", ""en"")"),"No points")</f>
        <v>No points</v>
      </c>
      <c r="E58" s="12" t="str">
        <f>IFERROR(__xludf.DUMMYFUNCTION("GOOGLETRANSLATE(K58, ""de"", ""en"")"),"A ring that is rolled away no longer counts.")</f>
        <v>A ring that is rolled away no longer counts.</v>
      </c>
      <c r="G58" s="15">
        <v>57.0</v>
      </c>
      <c r="H58" s="7" t="s">
        <v>3492</v>
      </c>
      <c r="I58" s="7" t="s">
        <v>3493</v>
      </c>
      <c r="J58" s="7" t="s">
        <v>3255</v>
      </c>
      <c r="K58" s="7" t="s">
        <v>3494</v>
      </c>
    </row>
    <row r="59" ht="22.5" customHeight="1">
      <c r="A59" s="14">
        <v>58.0</v>
      </c>
      <c r="B59" s="12" t="str">
        <f>IFERROR(__xludf.DUMMYFUNCTION("GOOGLETRANSLATE(H59, ""de"", ""en"")"),"You have three rings, all within the boundaries of the playing field, but none touching a point. What happens?")</f>
        <v>You have three rings, all within the boundaries of the playing field, but none touching a point. What happens?</v>
      </c>
      <c r="C59" s="12" t="s">
        <v>3495</v>
      </c>
      <c r="D59" s="12" t="str">
        <f>IFERROR(__xludf.DUMMYFUNCTION("GOOGLETRANSLATE(J59, ""de"", ""en"")"),"One point per ring")</f>
        <v>One point per ring</v>
      </c>
      <c r="E59" s="12" t="str">
        <f>IFERROR(__xludf.DUMMYFUNCTION("GOOGLETRANSLATE(K59, ""de"", ""en"")"),"Each ring within the boundary scores a point if no point is touched.")</f>
        <v>Each ring within the boundary scores a point if no point is touched.</v>
      </c>
      <c r="G59" s="16">
        <v>58.0</v>
      </c>
      <c r="H59" s="7" t="s">
        <v>3496</v>
      </c>
      <c r="I59" s="7" t="s">
        <v>3497</v>
      </c>
      <c r="J59" s="7" t="s">
        <v>3498</v>
      </c>
      <c r="K59" s="7" t="s">
        <v>3499</v>
      </c>
    </row>
    <row r="60" ht="22.5" customHeight="1">
      <c r="A60" s="14">
        <v>59.0</v>
      </c>
      <c r="B60" s="12" t="str">
        <f>IFERROR(__xludf.DUMMYFUNCTION("GOOGLETRANSLATE(H60, ""de"", ""en"")"),"A spectator enters the playing field during your throw. What happens?")</f>
        <v>A spectator enters the playing field during your throw. What happens?</v>
      </c>
      <c r="C60" s="12" t="s">
        <v>3500</v>
      </c>
      <c r="D60" s="12" t="str">
        <f>IFERROR(__xludf.DUMMYFUNCTION("GOOGLETRANSLATE(J60, ""de"", ""en"")"),"The throw is repeated.")</f>
        <v>The throw is repeated.</v>
      </c>
      <c r="E60" s="12" t="str">
        <f>IFERROR(__xludf.DUMMYFUNCTION("GOOGLETRANSLATE(K60, ""de"", ""en"")"),"If there is interference from spectators, the throw will be repeated.")</f>
        <v>If there is interference from spectators, the throw will be repeated.</v>
      </c>
      <c r="G60" s="15">
        <v>59.0</v>
      </c>
      <c r="H60" s="7" t="s">
        <v>3501</v>
      </c>
      <c r="I60" s="7" t="s">
        <v>3502</v>
      </c>
      <c r="J60" s="7" t="s">
        <v>3460</v>
      </c>
      <c r="K60" s="7" t="s">
        <v>3503</v>
      </c>
    </row>
    <row r="61" ht="22.5" customHeight="1">
      <c r="A61" s="14">
        <v>60.0</v>
      </c>
      <c r="B61" s="12" t="str">
        <f>IFERROR(__xludf.DUMMYFUNCTION("GOOGLETRANSLATE(H61, ""de"", ""en"")"),"A teammate throws first but misses the metal tip. What should you do?")</f>
        <v>A teammate throws first but misses the metal tip. What should you do?</v>
      </c>
      <c r="C61" s="12" t="s">
        <v>3504</v>
      </c>
      <c r="D61" s="12" t="str">
        <f>IFERROR(__xludf.DUMMYFUNCTION("GOOGLETRANSLATE(J61, ""de"", ""en"")"),"Hit the metal tip directly")</f>
        <v>Hit the metal tip directly</v>
      </c>
      <c r="E61" s="12" t="str">
        <f>IFERROR(__xludf.DUMMYFUNCTION("GOOGLETRANSLATE(K61, ""de"", ""en"")"),"The goal is always to hit the metal tip to secure points.")</f>
        <v>The goal is always to hit the metal tip to secure points.</v>
      </c>
      <c r="G61" s="16">
        <v>60.0</v>
      </c>
      <c r="H61" s="7" t="s">
        <v>3505</v>
      </c>
      <c r="I61" s="7" t="s">
        <v>3506</v>
      </c>
      <c r="J61" s="7" t="s">
        <v>3484</v>
      </c>
      <c r="K61" s="7" t="s">
        <v>3507</v>
      </c>
    </row>
    <row r="62" ht="22.5" customHeight="1">
      <c r="A62" s="14">
        <v>61.0</v>
      </c>
      <c r="B62" s="12" t="str">
        <f>IFERROR(__xludf.DUMMYFUNCTION("GOOGLETRANSLATE(H62, ""de"", ""en"")"),"Your ring hits the metal tip, but part of the ring is outside the playing field. Does that count?")</f>
        <v>Your ring hits the metal tip, but part of the ring is outside the playing field. Does that count?</v>
      </c>
      <c r="C62" s="12" t="s">
        <v>3508</v>
      </c>
      <c r="D62" s="12" t="str">
        <f>IFERROR(__xludf.DUMMYFUNCTION("GOOGLETRANSLATE(J62, ""de"", ""en"")"),"No")</f>
        <v>No</v>
      </c>
      <c r="E62" s="12" t="str">
        <f>IFERROR(__xludf.DUMMYFUNCTION("GOOGLETRANSLATE(K62, ""de"", ""en"")"),"A ring that crosses the boundary of the playing field does not count.")</f>
        <v>A ring that crosses the boundary of the playing field does not count.</v>
      </c>
      <c r="G62" s="15">
        <v>61.0</v>
      </c>
      <c r="H62" s="7" t="s">
        <v>3509</v>
      </c>
      <c r="I62" s="7" t="s">
        <v>3510</v>
      </c>
      <c r="J62" s="7" t="s">
        <v>3401</v>
      </c>
      <c r="K62" s="7" t="s">
        <v>3511</v>
      </c>
    </row>
    <row r="63" ht="22.5" customHeight="1">
      <c r="A63" s="14">
        <v>62.0</v>
      </c>
      <c r="B63" s="12" t="str">
        <f>IFERROR(__xludf.DUMMYFUNCTION("GOOGLETRANSLATE(H63, ""de"", ""en"")"),"You hit the metal tip, but your ring keeps rolling and hits another player. What happens?")</f>
        <v>You hit the metal tip, but your ring keeps rolling and hits another player. What happens?</v>
      </c>
      <c r="C63" s="12" t="s">
        <v>3512</v>
      </c>
      <c r="D63" s="12" t="str">
        <f>IFERROR(__xludf.DUMMYFUNCTION("GOOGLETRANSLATE(J63, ""de"", ""en"")"),"No points")</f>
        <v>No points</v>
      </c>
      <c r="E63" s="12" t="str">
        <f>IFERROR(__xludf.DUMMYFUNCTION("GOOGLETRANSLATE(K63, ""de"", ""en"")"),"A ring that hits another player will not count.")</f>
        <v>A ring that hits another player will not count.</v>
      </c>
      <c r="G63" s="16">
        <v>62.0</v>
      </c>
      <c r="H63" s="7" t="s">
        <v>3513</v>
      </c>
      <c r="I63" s="7" t="s">
        <v>3514</v>
      </c>
      <c r="J63" s="7" t="s">
        <v>3255</v>
      </c>
      <c r="K63" s="7" t="s">
        <v>3515</v>
      </c>
    </row>
    <row r="64" ht="22.5" customHeight="1">
      <c r="A64" s="14">
        <v>63.0</v>
      </c>
      <c r="B64" s="12" t="str">
        <f>IFERROR(__xludf.DUMMYFUNCTION("GOOGLETRANSLATE(H64, ""de"", ""en"")"),"A fellow player's ring is moved by the wind and hits the metal point. What happens?")</f>
        <v>A fellow player's ring is moved by the wind and hits the metal point. What happens?</v>
      </c>
      <c r="C64" s="12" t="s">
        <v>3516</v>
      </c>
      <c r="D64" s="12" t="str">
        <f>IFERROR(__xludf.DUMMYFUNCTION("GOOGLETRANSLATE(J64, ""de"", ""en"")"),"The throw does not count.")</f>
        <v>The throw does not count.</v>
      </c>
      <c r="E64" s="12" t="str">
        <f>IFERROR(__xludf.DUMMYFUNCTION("GOOGLETRANSLATE(K64, ""de"", ""en"")"),"A ring that is moved by the wind does not count.")</f>
        <v>A ring that is moved by the wind does not count.</v>
      </c>
      <c r="G64" s="15">
        <v>63.0</v>
      </c>
      <c r="H64" s="7" t="s">
        <v>3517</v>
      </c>
      <c r="I64" s="7" t="s">
        <v>3518</v>
      </c>
      <c r="J64" s="7" t="s">
        <v>3489</v>
      </c>
      <c r="K64" s="7" t="s">
        <v>3519</v>
      </c>
    </row>
    <row r="65" ht="22.5" customHeight="1">
      <c r="A65" s="14">
        <v>64.0</v>
      </c>
      <c r="B65" s="12" t="str">
        <f>IFERROR(__xludf.DUMMYFUNCTION("GOOGLETRANSLATE(H65, ""de"", ""en"")"),"One player doesn't have a ring that hits the tip. What happens?")</f>
        <v>One player doesn't have a ring that hits the tip. What happens?</v>
      </c>
      <c r="C65" s="12" t="s">
        <v>3520</v>
      </c>
      <c r="D65" s="12" t="str">
        <f>IFERROR(__xludf.DUMMYFUNCTION("GOOGLETRANSLATE(J65, ""de"", ""en"")"),"No points")</f>
        <v>No points</v>
      </c>
      <c r="E65" s="12" t="str">
        <f>IFERROR(__xludf.DUMMYFUNCTION("GOOGLETRANSLATE(K65, ""de"", ""en"")"),"The player receives no points if the ball is not hit.")</f>
        <v>The player receives no points if the ball is not hit.</v>
      </c>
      <c r="G65" s="16">
        <v>64.0</v>
      </c>
      <c r="H65" s="7" t="s">
        <v>3521</v>
      </c>
      <c r="I65" s="7" t="s">
        <v>3522</v>
      </c>
      <c r="J65" s="7" t="s">
        <v>3255</v>
      </c>
      <c r="K65" s="7" t="s">
        <v>3523</v>
      </c>
    </row>
    <row r="66" ht="22.5" customHeight="1">
      <c r="A66" s="14">
        <v>65.0</v>
      </c>
      <c r="B66" s="12" t="str">
        <f>IFERROR(__xludf.DUMMYFUNCTION("GOOGLETRANSLATE(H66, ""de"", ""en"")"),"One ring lands half on its point and half on another ring. What happens?")</f>
        <v>One ring lands half on its point and half on another ring. What happens?</v>
      </c>
      <c r="C66" s="12" t="s">
        <v>3524</v>
      </c>
      <c r="D66" s="12" t="str">
        <f>IFERROR(__xludf.DUMMYFUNCTION("GOOGLETRANSLATE(J66, ""de"", ""en"")"),"Three points")</f>
        <v>Three points</v>
      </c>
      <c r="E66" s="12" t="str">
        <f>IFERROR(__xludf.DUMMYFUNCTION("GOOGLETRANSLATE(K66, ""de"", ""en"")"),"A ring that only half hits the tip scores 3 points.")</f>
        <v>A ring that only half hits the tip scores 3 points.</v>
      </c>
      <c r="G66" s="15">
        <v>65.0</v>
      </c>
      <c r="H66" s="7" t="s">
        <v>3525</v>
      </c>
      <c r="I66" s="7" t="s">
        <v>3526</v>
      </c>
      <c r="J66" s="7" t="s">
        <v>3415</v>
      </c>
      <c r="K66" s="7" t="s">
        <v>3527</v>
      </c>
    </row>
    <row r="67" ht="22.5" customHeight="1">
      <c r="A67" s="14">
        <v>66.0</v>
      </c>
      <c r="B67" s="12" t="str">
        <f>IFERROR(__xludf.DUMMYFUNCTION("GOOGLETRANSLATE(H67, ""de"", ""en"")"),"The final shot of the game hits the top perfectly. What happens next?")</f>
        <v>The final shot of the game hits the top perfectly. What happens next?</v>
      </c>
      <c r="C67" s="12" t="s">
        <v>3528</v>
      </c>
      <c r="D67" s="12" t="str">
        <f>IFERROR(__xludf.DUMMYFUNCTION("GOOGLETRANSLATE(J67, ""de"", ""en"")"),"Five points")</f>
        <v>Five points</v>
      </c>
      <c r="E67" s="12" t="str">
        <f>IFERROR(__xludf.DUMMYFUNCTION("GOOGLETRANSLATE(K67, ""de"", ""en"")"),"A perfect shot at the end is worth 5 points.")</f>
        <v>A perfect shot at the end is worth 5 points.</v>
      </c>
      <c r="G67" s="16">
        <v>66.0</v>
      </c>
      <c r="H67" s="7" t="s">
        <v>3529</v>
      </c>
      <c r="I67" s="7" t="s">
        <v>3530</v>
      </c>
      <c r="J67" s="7" t="s">
        <v>3407</v>
      </c>
      <c r="K67" s="7" t="s">
        <v>3531</v>
      </c>
    </row>
    <row r="68" ht="22.5" customHeight="1">
      <c r="A68" s="14">
        <v>67.0</v>
      </c>
      <c r="B68" s="12" t="str">
        <f>IFERROR(__xludf.DUMMYFUNCTION("GOOGLETRANSLATE(H68, ""de"", ""en"")"),"A ring is thrown and lands exactly on the metal tip, but it doesn't remain stable. How is this scored?")</f>
        <v>A ring is thrown and lands exactly on the metal tip, but it doesn't remain stable. How is this scored?</v>
      </c>
      <c r="C68" s="12" t="s">
        <v>3443</v>
      </c>
      <c r="D68" s="12" t="str">
        <f>IFERROR(__xludf.DUMMYFUNCTION("GOOGLETRANSLATE(J68, ""de"", ""en"")"),"No points")</f>
        <v>No points</v>
      </c>
      <c r="E68" s="12" t="str">
        <f>IFERROR(__xludf.DUMMYFUNCTION("GOOGLETRANSLATE(K68, ""de"", ""en"")"),"A ring that does not remain stable will not be scored.")</f>
        <v>A ring that does not remain stable will not be scored.</v>
      </c>
      <c r="G68" s="15">
        <v>67.0</v>
      </c>
      <c r="H68" s="7" t="s">
        <v>3532</v>
      </c>
      <c r="I68" s="7" t="s">
        <v>3445</v>
      </c>
      <c r="J68" s="7" t="s">
        <v>3255</v>
      </c>
      <c r="K68" s="7" t="s">
        <v>3533</v>
      </c>
    </row>
    <row r="69" ht="22.5" customHeight="1">
      <c r="A69" s="14">
        <v>68.0</v>
      </c>
      <c r="B69" s="12" t="str">
        <f>IFERROR(__xludf.DUMMYFUNCTION("GOOGLETRANSLATE(H69, ""de"", ""en"")"),"A fellow player throws their ring directly at yours, knocking it off the top. What happens?")</f>
        <v>A fellow player throws their ring directly at yours, knocking it off the top. What happens?</v>
      </c>
      <c r="C69" s="12" t="s">
        <v>3534</v>
      </c>
      <c r="D69" s="12" t="str">
        <f>IFERROR(__xludf.DUMMYFUNCTION("GOOGLETRANSLATE(J69, ""de"", ""en"")"),"Your throw does not count")</f>
        <v>Your throw does not count</v>
      </c>
      <c r="E69" s="12" t="str">
        <f>IFERROR(__xludf.DUMMYFUNCTION("GOOGLETRANSLATE(K69, ""de"", ""en"")"),"If a ring is knocked off its top, it no longer counts.")</f>
        <v>If a ring is knocked off its top, it no longer counts.</v>
      </c>
      <c r="G69" s="16">
        <v>68.0</v>
      </c>
      <c r="H69" s="7" t="s">
        <v>3535</v>
      </c>
      <c r="I69" s="7" t="s">
        <v>3536</v>
      </c>
      <c r="J69" s="7" t="s">
        <v>3537</v>
      </c>
      <c r="K69" s="7" t="s">
        <v>3538</v>
      </c>
    </row>
    <row r="70" ht="22.5" customHeight="1">
      <c r="A70" s="14">
        <v>69.0</v>
      </c>
      <c r="B70" s="12" t="str">
        <f>IFERROR(__xludf.DUMMYFUNCTION("GOOGLETRANSLATE(H70, ""de"", ""en"")"),"Your ring rolls into the playing field, hits the metal tip from the side, and comes to a stop. How many points do you get?")</f>
        <v>Your ring rolls into the playing field, hits the metal tip from the side, and comes to a stop. How many points do you get?</v>
      </c>
      <c r="C70" s="12" t="s">
        <v>3477</v>
      </c>
      <c r="D70" s="12" t="str">
        <f>IFERROR(__xludf.DUMMYFUNCTION("GOOGLETRANSLATE(J70, ""de"", ""en"")"),"One point")</f>
        <v>One point</v>
      </c>
      <c r="E70" s="12" t="str">
        <f>IFERROR(__xludf.DUMMYFUNCTION("GOOGLETRANSLATE(K70, ""de"", ""en"")"),"A sideways hit with the metal tip scores one point.")</f>
        <v>A sideways hit with the metal tip scores one point.</v>
      </c>
      <c r="G70" s="15">
        <v>69.0</v>
      </c>
      <c r="H70" s="7" t="s">
        <v>3539</v>
      </c>
      <c r="I70" s="7" t="s">
        <v>3479</v>
      </c>
      <c r="J70" s="7" t="s">
        <v>3446</v>
      </c>
      <c r="K70" s="7" t="s">
        <v>3540</v>
      </c>
    </row>
    <row r="71" ht="22.5" customHeight="1">
      <c r="A71" s="14">
        <v>70.0</v>
      </c>
      <c r="B71" s="12" t="str">
        <f>IFERROR(__xludf.DUMMYFUNCTION("GOOGLETRANSLATE(H71, ""de"", ""en"")"),"A fellow player intentionally uses more throws than allowed in a round. What happens?")</f>
        <v>A fellow player intentionally uses more throws than allowed in a round. What happens?</v>
      </c>
      <c r="C71" s="12" t="s">
        <v>3541</v>
      </c>
      <c r="D71" s="12" t="str">
        <f>IFERROR(__xludf.DUMMYFUNCTION("GOOGLETRANSLATE(J71, ""de"", ""en"")"),"The player loses the round")</f>
        <v>The player loses the round</v>
      </c>
      <c r="E71" s="12" t="str">
        <f>IFERROR(__xludf.DUMMYFUNCTION("GOOGLETRANSLATE(K71, ""de"", ""en"")"),"Exceeding the allowed number of throws results in the loss of the round.")</f>
        <v>Exceeding the allowed number of throws results in the loss of the round.</v>
      </c>
      <c r="G71" s="16">
        <v>70.0</v>
      </c>
      <c r="H71" s="7" t="s">
        <v>3542</v>
      </c>
      <c r="I71" s="7" t="s">
        <v>3543</v>
      </c>
      <c r="J71" s="7" t="s">
        <v>3544</v>
      </c>
      <c r="K71" s="7" t="s">
        <v>3545</v>
      </c>
    </row>
    <row r="72" ht="22.5" customHeight="1">
      <c r="A72" s="14">
        <v>71.0</v>
      </c>
      <c r="B72" s="12" t="str">
        <f>IFERROR(__xludf.DUMMYFUNCTION("GOOGLETRANSLATE(H72, ""de"", ""en"")"),"Your ring touches the metal tip but is pushed away by another ring. How is this interpreted?")</f>
        <v>Your ring touches the metal tip but is pushed away by another ring. How is this interpreted?</v>
      </c>
      <c r="C72" s="12" t="s">
        <v>3546</v>
      </c>
      <c r="D72" s="12" t="str">
        <f>IFERROR(__xludf.DUMMYFUNCTION("GOOGLETRANSLATE(J72, ""de"", ""en"")"),"One point")</f>
        <v>One point</v>
      </c>
      <c r="E72" s="12" t="str">
        <f>IFERROR(__xludf.DUMMYFUNCTION("GOOGLETRANSLATE(K72, ""de"", ""en"")"),"A ring that touches the top scores points, even if it is later moved.")</f>
        <v>A ring that touches the top scores points, even if it is later moved.</v>
      </c>
      <c r="G72" s="15">
        <v>71.0</v>
      </c>
      <c r="H72" s="7" t="s">
        <v>3547</v>
      </c>
      <c r="I72" s="7" t="s">
        <v>3548</v>
      </c>
      <c r="J72" s="7" t="s">
        <v>3446</v>
      </c>
      <c r="K72" s="7" t="s">
        <v>3549</v>
      </c>
    </row>
    <row r="73" ht="22.5" customHeight="1">
      <c r="A73" s="14">
        <v>72.0</v>
      </c>
      <c r="B73" s="12" t="str">
        <f>IFERROR(__xludf.DUMMYFUNCTION("GOOGLETRANSLATE(H73, ""de"", ""en"")"),"A teammate deliberately throws in your direction to disrupt you. What happens?")</f>
        <v>A teammate deliberately throws in your direction to disrupt you. What happens?</v>
      </c>
      <c r="C73" s="12" t="s">
        <v>3550</v>
      </c>
      <c r="D73" s="12" t="str">
        <f>IFERROR(__xludf.DUMMYFUNCTION("GOOGLETRANSLATE(J73, ""de"", ""en"")"),"The player is disqualified.")</f>
        <v>The player is disqualified.</v>
      </c>
      <c r="E73" s="12" t="str">
        <f>IFERROR(__xludf.DUMMYFUNCTION("GOOGLETRANSLATE(K73, ""de"", ""en"")"),"Unsportsmanlike conduct will lead to disqualification.")</f>
        <v>Unsportsmanlike conduct will lead to disqualification.</v>
      </c>
      <c r="G73" s="16">
        <v>72.0</v>
      </c>
      <c r="H73" s="7" t="s">
        <v>3551</v>
      </c>
      <c r="I73" s="7" t="s">
        <v>3552</v>
      </c>
      <c r="J73" s="7" t="s">
        <v>3553</v>
      </c>
      <c r="K73" s="7" t="s">
        <v>3554</v>
      </c>
    </row>
    <row r="74" ht="22.5" customHeight="1">
      <c r="A74" s="14">
        <v>73.0</v>
      </c>
      <c r="B74" s="12" t="str">
        <f>IFERROR(__xludf.DUMMYFUNCTION("GOOGLETRANSLATE(H74, ""de"", ""en"")"),"A teammate's ring lands exactly on the edge of the playing field. Does that count?")</f>
        <v>A teammate's ring lands exactly on the edge of the playing field. Does that count?</v>
      </c>
      <c r="C74" s="12" t="s">
        <v>3555</v>
      </c>
      <c r="D74" s="12" t="str">
        <f>IFERROR(__xludf.DUMMYFUNCTION("GOOGLETRANSLATE(J74, ""de"", ""en"")"),"Yes, one point")</f>
        <v>Yes, one point</v>
      </c>
      <c r="E74" s="12" t="str">
        <f>IFERROR(__xludf.DUMMYFUNCTION("GOOGLETRANSLATE(K74, ""de"", ""en"")"),"Rings on the edge of the playing field count as one point if they do not cross the boundary.")</f>
        <v>Rings on the edge of the playing field count as one point if they do not cross the boundary.</v>
      </c>
      <c r="G74" s="15">
        <v>73.0</v>
      </c>
      <c r="H74" s="7" t="s">
        <v>3556</v>
      </c>
      <c r="I74" s="7" t="s">
        <v>3557</v>
      </c>
      <c r="J74" s="7" t="s">
        <v>3558</v>
      </c>
      <c r="K74" s="7" t="s">
        <v>3559</v>
      </c>
    </row>
    <row r="75" ht="22.5" customHeight="1">
      <c r="A75" s="14">
        <v>74.0</v>
      </c>
      <c r="B75" s="12" t="str">
        <f>IFERROR(__xludf.DUMMYFUNCTION("GOOGLETRANSLATE(H75, ""de"", ""en"")"),"You throw your ring and it bounces off the metal tip, but stays in the playing field. How many points do you get?")</f>
        <v>You throw your ring and it bounces off the metal tip, but stays in the playing field. How many points do you get?</v>
      </c>
      <c r="C75" s="12" t="s">
        <v>3477</v>
      </c>
      <c r="D75" s="12" t="str">
        <f>IFERROR(__xludf.DUMMYFUNCTION("GOOGLETRANSLATE(J75, ""de"", ""en"")"),"No points")</f>
        <v>No points</v>
      </c>
      <c r="E75" s="12" t="str">
        <f>IFERROR(__xludf.DUMMYFUNCTION("GOOGLETRANSLATE(K75, ""de"", ""en"")"),"A ring that bounces off the top scores no points.")</f>
        <v>A ring that bounces off the top scores no points.</v>
      </c>
      <c r="G75" s="16">
        <v>74.0</v>
      </c>
      <c r="H75" s="7" t="s">
        <v>3560</v>
      </c>
      <c r="I75" s="7" t="s">
        <v>3479</v>
      </c>
      <c r="J75" s="7" t="s">
        <v>3255</v>
      </c>
      <c r="K75" s="7" t="s">
        <v>3561</v>
      </c>
    </row>
    <row r="76" ht="22.5" customHeight="1">
      <c r="A76" s="14">
        <v>75.0</v>
      </c>
      <c r="B76" s="12" t="str">
        <f>IFERROR(__xludf.DUMMYFUNCTION("GOOGLETRANSLATE(H76, ""de"", ""en"")"),"One player has finished their throws, but a ring is moved into a better position by the wind. What happens next?")</f>
        <v>One player has finished their throws, but a ring is moved into a better position by the wind. What happens next?</v>
      </c>
      <c r="C76" s="12" t="s">
        <v>3562</v>
      </c>
      <c r="D76" s="12" t="str">
        <f>IFERROR(__xludf.DUMMYFUNCTION("GOOGLETRANSLATE(J76, ""de"", ""en"")"),"The throw is counted.")</f>
        <v>The throw is counted.</v>
      </c>
      <c r="E76" s="12" t="str">
        <f>IFERROR(__xludf.DUMMYFUNCTION("GOOGLETRANSLATE(K76, ""de"", ""en"")"),"Movements caused by wind after the throw still count.")</f>
        <v>Movements caused by wind after the throw still count.</v>
      </c>
      <c r="G76" s="15">
        <v>75.0</v>
      </c>
      <c r="H76" s="7" t="s">
        <v>3563</v>
      </c>
      <c r="I76" s="7" t="s">
        <v>3564</v>
      </c>
      <c r="J76" s="7" t="s">
        <v>3565</v>
      </c>
      <c r="K76" s="7" t="s">
        <v>3566</v>
      </c>
    </row>
    <row r="77" ht="22.5" customHeight="1">
      <c r="A77" s="14">
        <v>76.0</v>
      </c>
      <c r="B77" s="12" t="str">
        <f>IFERROR(__xludf.DUMMYFUNCTION("GOOGLETRANSLATE(H77, ""de"", ""en"")"),"You deliberately try to knock another player's ring out of bounds. What happens?")</f>
        <v>You deliberately try to knock another player's ring out of bounds. What happens?</v>
      </c>
      <c r="C77" s="12" t="s">
        <v>3567</v>
      </c>
      <c r="D77" s="12" t="str">
        <f>IFERROR(__xludf.DUMMYFUNCTION("GOOGLETRANSLATE(J77, ""de"", ""en"")"),"Your throw will not be counted.")</f>
        <v>Your throw will not be counted.</v>
      </c>
      <c r="E77" s="12" t="str">
        <f>IFERROR(__xludf.DUMMYFUNCTION("GOOGLETRANSLATE(K77, ""de"", ""en"")"),"Intentional interference with other players will result in the invalidation of the throw.")</f>
        <v>Intentional interference with other players will result in the invalidation of the throw.</v>
      </c>
      <c r="G77" s="16">
        <v>76.0</v>
      </c>
      <c r="H77" s="7" t="s">
        <v>3568</v>
      </c>
      <c r="I77" s="7" t="s">
        <v>3569</v>
      </c>
      <c r="J77" s="7" t="s">
        <v>3570</v>
      </c>
      <c r="K77" s="7" t="s">
        <v>3571</v>
      </c>
    </row>
    <row r="78" ht="22.5" customHeight="1">
      <c r="A78" s="14">
        <v>77.0</v>
      </c>
      <c r="B78" s="12" t="str">
        <f>IFERROR(__xludf.DUMMYFUNCTION("GOOGLETRANSLATE(H78, ""de"", ""en"")"),"During the game, the metal tip falls over before you throw. What happens?")</f>
        <v>During the game, the metal tip falls over before you throw. What happens?</v>
      </c>
      <c r="C78" s="12" t="s">
        <v>3572</v>
      </c>
      <c r="D78" s="12" t="str">
        <f>IFERROR(__xludf.DUMMYFUNCTION("GOOGLETRANSLATE(J78, ""de"", ""en"")"),"The round is paused.")</f>
        <v>The round is paused.</v>
      </c>
      <c r="E78" s="12" t="str">
        <f>IFERROR(__xludf.DUMMYFUNCTION("GOOGLETRANSLATE(K78, ""de"", ""en"")"),"If the metal spike falls, the round is interrupted until it is put back up.")</f>
        <v>If the metal spike falls, the round is interrupted until it is put back up.</v>
      </c>
      <c r="G78" s="15">
        <v>77.0</v>
      </c>
      <c r="H78" s="7" t="s">
        <v>3573</v>
      </c>
      <c r="I78" s="7" t="s">
        <v>3574</v>
      </c>
      <c r="J78" s="7" t="s">
        <v>3575</v>
      </c>
      <c r="K78" s="7" t="s">
        <v>3576</v>
      </c>
    </row>
    <row r="79" ht="22.5" customHeight="1">
      <c r="A79" s="14">
        <v>78.0</v>
      </c>
      <c r="B79" s="12" t="str">
        <f>IFERROR(__xludf.DUMMYFUNCTION("GOOGLETRANSLATE(H79, ""de"", ""en"")"),"A fellow player throws a ring that lands directly above yours, and both rings remain upright. How is this scored?")</f>
        <v>A fellow player throws a ring that lands directly above yours, and both rings remain upright. How is this scored?</v>
      </c>
      <c r="C79" s="12" t="s">
        <v>3577</v>
      </c>
      <c r="D79" s="12" t="str">
        <f>IFERROR(__xludf.DUMMYFUNCTION("GOOGLETRANSLATE(J79, ""de"", ""en"")"),"Both rings count")</f>
        <v>Both rings count</v>
      </c>
      <c r="E79" s="12" t="str">
        <f>IFERROR(__xludf.DUMMYFUNCTION("GOOGLETRANSLATE(K79, ""de"", ""en"")"),"Rings that lie stably on top of each other are both counted.")</f>
        <v>Rings that lie stably on top of each other are both counted.</v>
      </c>
      <c r="G79" s="16">
        <v>78.0</v>
      </c>
      <c r="H79" s="7" t="s">
        <v>3578</v>
      </c>
      <c r="I79" s="7" t="s">
        <v>3579</v>
      </c>
      <c r="J79" s="7" t="s">
        <v>3580</v>
      </c>
      <c r="K79" s="7" t="s">
        <v>3581</v>
      </c>
    </row>
    <row r="80" ht="22.5" customHeight="1">
      <c r="A80" s="14">
        <v>79.0</v>
      </c>
      <c r="B80" s="12" t="str">
        <f>IFERROR(__xludf.DUMMYFUNCTION("GOOGLETRANSLATE(H80, ""de"", ""en"")"),"The referee rules that your throw is invalid because you are outside the throwing zone. What happens next?")</f>
        <v>The referee rules that your throw is invalid because you are outside the throwing zone. What happens next?</v>
      </c>
      <c r="C80" s="12" t="s">
        <v>3582</v>
      </c>
      <c r="D80" s="12" t="str">
        <f>IFERROR(__xludf.DUMMYFUNCTION("GOOGLETRANSLATE(J80, ""de"", ""en"")"),"Your throw will not be counted.")</f>
        <v>Your throw will not be counted.</v>
      </c>
      <c r="E80" s="12" t="str">
        <f>IFERROR(__xludf.DUMMYFUNCTION("GOOGLETRANSLATE(K80, ""de"", ""en"")"),"Throws made outside the throwing zone are invalid and do not count.")</f>
        <v>Throws made outside the throwing zone are invalid and do not count.</v>
      </c>
      <c r="G80" s="15">
        <v>79.0</v>
      </c>
      <c r="H80" s="7" t="s">
        <v>3583</v>
      </c>
      <c r="I80" s="7" t="s">
        <v>3584</v>
      </c>
      <c r="J80" s="7" t="s">
        <v>3570</v>
      </c>
      <c r="K80" s="7" t="s">
        <v>3585</v>
      </c>
    </row>
    <row r="81" ht="22.5" customHeight="1">
      <c r="A81" s="14">
        <v>80.0</v>
      </c>
      <c r="B81" s="12" t="str">
        <f>IFERROR(__xludf.DUMMYFUNCTION("GOOGLETRANSLATE(H81, ""de"", ""en"")"),"You lose your ring during the throw, and it lands just short of the throwing zone. What happens?")</f>
        <v>You lose your ring during the throw, and it lands just short of the throwing zone. What happens?</v>
      </c>
      <c r="C81" s="12" t="s">
        <v>3586</v>
      </c>
      <c r="D81" s="12" t="str">
        <f>IFERROR(__xludf.DUMMYFUNCTION("GOOGLETRANSLATE(J81, ""de"", ""en"")"),"You may throw again.")</f>
        <v>You may throw again.</v>
      </c>
      <c r="E81" s="12" t="str">
        <f>IFERROR(__xludf.DUMMYFUNCTION("GOOGLETRANSLATE(K81, ""de"", ""en"")"),"A lost ring can be thrown again if it does not reach the boundary of the playing field.")</f>
        <v>A lost ring can be thrown again if it does not reach the boundary of the playing field.</v>
      </c>
      <c r="G81" s="16">
        <v>80.0</v>
      </c>
      <c r="H81" s="7" t="s">
        <v>3587</v>
      </c>
      <c r="I81" s="7" t="s">
        <v>3588</v>
      </c>
      <c r="J81" s="7" t="s">
        <v>3589</v>
      </c>
      <c r="K81" s="7" t="s">
        <v>3590</v>
      </c>
    </row>
    <row r="82" ht="22.5" customHeight="1">
      <c r="A82" s="14">
        <v>81.0</v>
      </c>
      <c r="B82" s="12" t="str">
        <f>IFERROR(__xludf.DUMMYFUNCTION("GOOGLETRANSLATE(H82, ""de"", ""en"")"),"A teammate uses a damaged ring for their throw. What happens?")</f>
        <v>A teammate uses a damaged ring for their throw. What happens?</v>
      </c>
      <c r="C82" s="12" t="s">
        <v>3591</v>
      </c>
      <c r="D82" s="12" t="str">
        <f>IFERROR(__xludf.DUMMYFUNCTION("GOOGLETRANSLATE(J82, ""de"", ""en"")"),"The ring will be replaced")</f>
        <v>The ring will be replaced</v>
      </c>
      <c r="E82" s="12" t="str">
        <f>IFERROR(__xludf.DUMMYFUNCTION("GOOGLETRANSLATE(K82, ""de"", ""en"")"),"A damaged ring will be replaced before the game continues.")</f>
        <v>A damaged ring will be replaced before the game continues.</v>
      </c>
      <c r="G82" s="15">
        <v>81.0</v>
      </c>
      <c r="H82" s="7" t="s">
        <v>3592</v>
      </c>
      <c r="I82" s="7" t="s">
        <v>3593</v>
      </c>
      <c r="J82" s="7" t="s">
        <v>3594</v>
      </c>
      <c r="K82" s="7" t="s">
        <v>3595</v>
      </c>
    </row>
    <row r="83" ht="22.5" customHeight="1">
      <c r="A83" s="14">
        <v>82.0</v>
      </c>
      <c r="B83" s="12" t="str">
        <f>IFERROR(__xludf.DUMMYFUNCTION("GOOGLETRANSLATE(H83, ""de"", ""en"")"),"Your ring remains upright but doesn't touch the top. How many points do you get?")</f>
        <v>Your ring remains upright but doesn't touch the top. How many points do you get?</v>
      </c>
      <c r="C83" s="12" t="s">
        <v>3392</v>
      </c>
      <c r="D83" s="12" t="str">
        <f>IFERROR(__xludf.DUMMYFUNCTION("GOOGLETRANSLATE(J83, ""de"", ""en"")"),"One point")</f>
        <v>One point</v>
      </c>
      <c r="E83" s="12" t="str">
        <f>IFERROR(__xludf.DUMMYFUNCTION("GOOGLETRANSLATE(K83, ""de"", ""en"")"),"A ring that stands upright in the playing field scores one point.")</f>
        <v>A ring that stands upright in the playing field scores one point.</v>
      </c>
      <c r="G83" s="16">
        <v>82.0</v>
      </c>
      <c r="H83" s="7" t="s">
        <v>3596</v>
      </c>
      <c r="I83" s="7" t="s">
        <v>3394</v>
      </c>
      <c r="J83" s="7" t="s">
        <v>3446</v>
      </c>
      <c r="K83" s="7" t="s">
        <v>3597</v>
      </c>
    </row>
    <row r="84" ht="22.5" customHeight="1">
      <c r="A84" s="14">
        <v>83.0</v>
      </c>
      <c r="B84" s="12" t="str">
        <f>IFERROR(__xludf.DUMMYFUNCTION("GOOGLETRANSLATE(H84, ""de"", ""en"")"),"A fellow player hits the top of the ring with their ring, but your ring is moved as a result. How is this scored?")</f>
        <v>A fellow player hits the top of the ring with their ring, but your ring is moved as a result. How is this scored?</v>
      </c>
      <c r="C84" s="12" t="s">
        <v>3598</v>
      </c>
      <c r="D84" s="12" t="str">
        <f>IFERROR(__xludf.DUMMYFUNCTION("GOOGLETRANSLATE(J84, ""de"", ""en"")"),"The other player receives points.")</f>
        <v>The other player receives points.</v>
      </c>
      <c r="E84" s="12" t="str">
        <f>IFERROR(__xludf.DUMMYFUNCTION("GOOGLETRANSLATE(K84, ""de"", ""en"")"),"Only the throw of your teammate will be counted, since your ring is no longer on its point.")</f>
        <v>Only the throw of your teammate will be counted, since your ring is no longer on its point.</v>
      </c>
      <c r="G84" s="15">
        <v>83.0</v>
      </c>
      <c r="H84" s="7" t="s">
        <v>3599</v>
      </c>
      <c r="I84" s="7" t="s">
        <v>3600</v>
      </c>
      <c r="J84" s="7" t="s">
        <v>3601</v>
      </c>
      <c r="K84" s="7" t="s">
        <v>3602</v>
      </c>
    </row>
    <row r="85" ht="22.5" customHeight="1">
      <c r="A85" s="14">
        <v>84.0</v>
      </c>
      <c r="B85" s="12" t="str">
        <f>IFERROR(__xludf.DUMMYFUNCTION("GOOGLETRANSLATE(H85, ""de"", ""en"")"),"You have the last throw of the game. Your score is tied with another player. How do you win the game?")</f>
        <v>You have the last throw of the game. Your score is tied with another player. How do you win the game?</v>
      </c>
      <c r="C85" s="12" t="s">
        <v>3603</v>
      </c>
      <c r="D85" s="12" t="str">
        <f>IFERROR(__xludf.DUMMYFUNCTION("GOOGLETRANSLATE(J85, ""de"", ""en"")"),"Hit the metal tip directly")</f>
        <v>Hit the metal tip directly</v>
      </c>
      <c r="E85" s="12" t="str">
        <f>IFERROR(__xludf.DUMMYFUNCTION("GOOGLETRANSLATE(K85, ""de"", ""en"")"),"A direct goal from the top offers the best chance of victory.")</f>
        <v>A direct goal from the top offers the best chance of victory.</v>
      </c>
      <c r="G85" s="16">
        <v>84.0</v>
      </c>
      <c r="H85" s="7" t="s">
        <v>3604</v>
      </c>
      <c r="I85" s="7" t="s">
        <v>3605</v>
      </c>
      <c r="J85" s="7" t="s">
        <v>3484</v>
      </c>
      <c r="K85" s="7" t="s">
        <v>3606</v>
      </c>
    </row>
    <row r="86" ht="22.5" customHeight="1">
      <c r="A86" s="14">
        <v>85.0</v>
      </c>
      <c r="B86" s="12" t="str">
        <f>IFERROR(__xludf.DUMMYFUNCTION("GOOGLETRANSLATE(H86, ""de"", ""en"")"),"A player throws their ring, but it lands on top of another ring. What happens?")</f>
        <v>A player throws their ring, but it lands on top of another ring. What happens?</v>
      </c>
      <c r="C86" s="12" t="s">
        <v>3607</v>
      </c>
      <c r="D86" s="12" t="str">
        <f>IFERROR(__xludf.DUMMYFUNCTION("GOOGLETRANSLATE(J86, ""de"", ""en"")"),"The throw does not count.")</f>
        <v>The throw does not count.</v>
      </c>
      <c r="E86" s="12" t="str">
        <f>IFERROR(__xludf.DUMMYFUNCTION("GOOGLETRANSLATE(K86, ""de"", ""en"")"),"A throw that lands on a different ring does not count.")</f>
        <v>A throw that lands on a different ring does not count.</v>
      </c>
      <c r="G86" s="15">
        <v>85.0</v>
      </c>
      <c r="H86" s="7" t="s">
        <v>3608</v>
      </c>
      <c r="I86" s="7" t="s">
        <v>3609</v>
      </c>
      <c r="J86" s="7" t="s">
        <v>3489</v>
      </c>
      <c r="K86" s="7" t="s">
        <v>3610</v>
      </c>
    </row>
    <row r="87" ht="22.5" customHeight="1">
      <c r="A87" s="14">
        <v>86.0</v>
      </c>
      <c r="B87" s="12" t="str">
        <f>IFERROR(__xludf.DUMMYFUNCTION("GOOGLETRANSLATE(H87, ""de"", ""en"")"),"Your ring hits the metal tip and then rolls away from it. How is this scored?")</f>
        <v>Your ring hits the metal tip and then rolls away from it. How is this scored?</v>
      </c>
      <c r="C87" s="12" t="s">
        <v>3443</v>
      </c>
      <c r="D87" s="12" t="str">
        <f>IFERROR(__xludf.DUMMYFUNCTION("GOOGLETRANSLATE(J87, ""de"", ""en"")"),"One point")</f>
        <v>One point</v>
      </c>
      <c r="E87" s="12" t="str">
        <f>IFERROR(__xludf.DUMMYFUNCTION("GOOGLETRANSLATE(K87, ""de"", ""en"")"),"A hit with the metal tip counts, even if the ring rolls away.")</f>
        <v>A hit with the metal tip counts, even if the ring rolls away.</v>
      </c>
      <c r="G87" s="16">
        <v>86.0</v>
      </c>
      <c r="H87" s="7" t="s">
        <v>3611</v>
      </c>
      <c r="I87" s="7" t="s">
        <v>3445</v>
      </c>
      <c r="J87" s="7" t="s">
        <v>3446</v>
      </c>
      <c r="K87" s="7" t="s">
        <v>3612</v>
      </c>
    </row>
    <row r="88" ht="22.5" customHeight="1">
      <c r="A88" s="14">
        <v>87.0</v>
      </c>
      <c r="B88" s="12" t="str">
        <f>IFERROR(__xludf.DUMMYFUNCTION("GOOGLETRANSLATE(H88, ""de"", ""en"")"),"The referee decides that your ring is too close to another ring. What happens next?")</f>
        <v>The referee decides that your ring is too close to another ring. What happens next?</v>
      </c>
      <c r="C88" s="12" t="s">
        <v>3613</v>
      </c>
      <c r="D88" s="12" t="str">
        <f>IFERROR(__xludf.DUMMYFUNCTION("GOOGLETRANSLATE(J88, ""de"", ""en"")"),"The throw does not count.")</f>
        <v>The throw does not count.</v>
      </c>
      <c r="E88" s="12" t="str">
        <f>IFERROR(__xludf.DUMMYFUNCTION("GOOGLETRANSLATE(K88, ""de"", ""en"")"),"A ring placed too close will be considered invalid.")</f>
        <v>A ring placed too close will be considered invalid.</v>
      </c>
      <c r="G88" s="15">
        <v>87.0</v>
      </c>
      <c r="H88" s="7" t="s">
        <v>3614</v>
      </c>
      <c r="I88" s="7" t="s">
        <v>3615</v>
      </c>
      <c r="J88" s="7" t="s">
        <v>3489</v>
      </c>
      <c r="K88" s="7" t="s">
        <v>3616</v>
      </c>
    </row>
    <row r="89" ht="22.5" customHeight="1">
      <c r="A89" s="14">
        <v>88.0</v>
      </c>
      <c r="B89" s="12" t="str">
        <f>IFERROR(__xludf.DUMMYFUNCTION("GOOGLETRANSLATE(H89, ""de"", ""en"")"),"A player throws their ring and it lands on the boundary of the playing area. Does the throw count?")</f>
        <v>A player throws their ring and it lands on the boundary of the playing area. Does the throw count?</v>
      </c>
      <c r="C89" s="12" t="s">
        <v>3617</v>
      </c>
      <c r="D89" s="12" t="str">
        <f>IFERROR(__xludf.DUMMYFUNCTION("GOOGLETRANSLATE(J89, ""de"", ""en"")"),"Yes, one point")</f>
        <v>Yes, one point</v>
      </c>
      <c r="E89" s="12" t="str">
        <f>IFERROR(__xludf.DUMMYFUNCTION("GOOGLETRANSLATE(K89, ""de"", ""en"")"),"Rings that land on the border count as one point.")</f>
        <v>Rings that land on the border count as one point.</v>
      </c>
      <c r="G89" s="16">
        <v>88.0</v>
      </c>
      <c r="H89" s="7" t="s">
        <v>3618</v>
      </c>
      <c r="I89" s="7" t="s">
        <v>3619</v>
      </c>
      <c r="J89" s="7" t="s">
        <v>3558</v>
      </c>
      <c r="K89" s="7" t="s">
        <v>3620</v>
      </c>
    </row>
    <row r="90" ht="22.5" customHeight="1">
      <c r="A90" s="14">
        <v>89.0</v>
      </c>
      <c r="B90" s="12" t="str">
        <f>IFERROR(__xludf.DUMMYFUNCTION("GOOGLETRANSLATE(H90, ""de"", ""en"")"),"You throw your ring, and it lands on top of another ring. What happens?")</f>
        <v>You throw your ring, and it lands on top of another ring. What happens?</v>
      </c>
      <c r="C90" s="12" t="s">
        <v>3621</v>
      </c>
      <c r="D90" s="12" t="str">
        <f>IFERROR(__xludf.DUMMYFUNCTION("GOOGLETRANSLATE(J90, ""de"", ""en"")"),"Both rings count")</f>
        <v>Both rings count</v>
      </c>
      <c r="E90" s="12" t="str">
        <f>IFERROR(__xludf.DUMMYFUNCTION("GOOGLETRANSLATE(K90, ""de"", ""en"")"),"Rings that are stacked on top of each other count both.")</f>
        <v>Rings that are stacked on top of each other count both.</v>
      </c>
      <c r="G90" s="15">
        <v>89.0</v>
      </c>
      <c r="H90" s="7" t="s">
        <v>3622</v>
      </c>
      <c r="I90" s="7" t="s">
        <v>3623</v>
      </c>
      <c r="J90" s="7" t="s">
        <v>3580</v>
      </c>
      <c r="K90" s="7" t="s">
        <v>3624</v>
      </c>
    </row>
    <row r="91" ht="22.5" customHeight="1">
      <c r="A91" s="14">
        <v>90.0</v>
      </c>
      <c r="B91" s="12" t="str">
        <f>IFERROR(__xludf.DUMMYFUNCTION("GOOGLETRANSLATE(H91, ""de"", ""en"")"),"Your ring is knocked out of the playing field by another ring. What happens?")</f>
        <v>Your ring is knocked out of the playing field by another ring. What happens?</v>
      </c>
      <c r="C91" s="12" t="s">
        <v>3625</v>
      </c>
      <c r="D91" s="12" t="str">
        <f>IFERROR(__xludf.DUMMYFUNCTION("GOOGLETRANSLATE(J91, ""de"", ""en"")"),"The throw still counts.")</f>
        <v>The throw still counts.</v>
      </c>
      <c r="E91" s="12" t="str">
        <f>IFERROR(__xludf.DUMMYFUNCTION("GOOGLETRANSLATE(K91, ""de"", ""en"")"),"A throw that is shifted by another throw counts.")</f>
        <v>A throw that is shifted by another throw counts.</v>
      </c>
      <c r="G91" s="16">
        <v>90.0</v>
      </c>
      <c r="H91" s="7" t="s">
        <v>3626</v>
      </c>
      <c r="I91" s="7" t="s">
        <v>3627</v>
      </c>
      <c r="J91" s="7" t="s">
        <v>3628</v>
      </c>
      <c r="K91" s="7" t="s">
        <v>3629</v>
      </c>
    </row>
    <row r="92" ht="22.5" customHeight="1">
      <c r="A92" s="14">
        <v>91.0</v>
      </c>
      <c r="B92" s="12" t="str">
        <f>IFERROR(__xludf.DUMMYFUNCTION("GOOGLETRANSLATE(H92, ""de"", ""en"")"),"A player throws a ring and it remains upright without touching the metal tip. What happens?")</f>
        <v>A player throws a ring and it remains upright without touching the metal tip. What happens?</v>
      </c>
      <c r="C92" s="12" t="s">
        <v>3630</v>
      </c>
      <c r="D92" s="12" t="str">
        <f>IFERROR(__xludf.DUMMYFUNCTION("GOOGLETRANSLATE(J92, ""de"", ""en"")"),"The throw counts as zero.")</f>
        <v>The throw counts as zero.</v>
      </c>
      <c r="E92" s="12" t="str">
        <f>IFERROR(__xludf.DUMMYFUNCTION("GOOGLETRANSLATE(K92, ""de"", ""en"")"),"An upright throw without touching the metal tip does not count.")</f>
        <v>An upright throw without touching the metal tip does not count.</v>
      </c>
      <c r="G92" s="15">
        <v>91.0</v>
      </c>
      <c r="H92" s="7" t="s">
        <v>3631</v>
      </c>
      <c r="I92" s="7" t="s">
        <v>3632</v>
      </c>
      <c r="J92" s="7" t="s">
        <v>3633</v>
      </c>
      <c r="K92" s="7" t="s">
        <v>3634</v>
      </c>
    </row>
    <row r="93" ht="22.5" customHeight="1">
      <c r="A93" s="14">
        <v>92.0</v>
      </c>
      <c r="B93" s="12" t="str">
        <f>IFERROR(__xludf.DUMMYFUNCTION("GOOGLETRANSLATE(H93, ""de"", ""en"")"),"Your ring stays on the metal tip, but it's moved slightly by the wind. What happens?")</f>
        <v>Your ring stays on the metal tip, but it's moved slightly by the wind. What happens?</v>
      </c>
      <c r="C93" s="12" t="s">
        <v>3635</v>
      </c>
      <c r="D93" s="12" t="str">
        <f>IFERROR(__xludf.DUMMYFUNCTION("GOOGLETRANSLATE(J93, ""de"", ""en"")"),"The throw still counts.")</f>
        <v>The throw still counts.</v>
      </c>
      <c r="E93" s="12" t="str">
        <f>IFERROR(__xludf.DUMMYFUNCTION("GOOGLETRANSLATE(K93, ""de"", ""en"")"),"Movements caused by wind do not change the score.")</f>
        <v>Movements caused by wind do not change the score.</v>
      </c>
      <c r="G93" s="16">
        <v>92.0</v>
      </c>
      <c r="H93" s="7" t="s">
        <v>3636</v>
      </c>
      <c r="I93" s="7" t="s">
        <v>3637</v>
      </c>
      <c r="J93" s="7" t="s">
        <v>3628</v>
      </c>
      <c r="K93" s="7" t="s">
        <v>3638</v>
      </c>
    </row>
    <row r="94" ht="22.5" customHeight="1">
      <c r="A94" s="14">
        <v>93.0</v>
      </c>
      <c r="B94" s="12" t="str">
        <f>IFERROR(__xludf.DUMMYFUNCTION("GOOGLETRANSLATE(H94, ""de"", ""en"")"),"The referee explains that your ring is too heavy for the game. What happens next?")</f>
        <v>The referee explains that your ring is too heavy for the game. What happens next?</v>
      </c>
      <c r="C94" s="12" t="s">
        <v>3639</v>
      </c>
      <c r="D94" s="12" t="str">
        <f>IFERROR(__xludf.DUMMYFUNCTION("GOOGLETRANSLATE(J94, ""de"", ""en"")"),"You need to use a lighter ring.")</f>
        <v>You need to use a lighter ring.</v>
      </c>
      <c r="E94" s="12" t="str">
        <f>IFERROR(__xludf.DUMMYFUNCTION("GOOGLETRANSLATE(K94, ""de"", ""en"")"),"All rings must have the same weight, otherwise the throw will not count.")</f>
        <v>All rings must have the same weight, otherwise the throw will not count.</v>
      </c>
      <c r="G94" s="15">
        <v>93.0</v>
      </c>
      <c r="H94" s="7" t="s">
        <v>3640</v>
      </c>
      <c r="I94" s="7" t="s">
        <v>3641</v>
      </c>
      <c r="J94" s="7" t="s">
        <v>3642</v>
      </c>
      <c r="K94" s="7" t="s">
        <v>3643</v>
      </c>
    </row>
    <row r="95" ht="22.5" customHeight="1">
      <c r="A95" s="14">
        <v>94.0</v>
      </c>
      <c r="B95" s="12" t="str">
        <f>IFERROR(__xludf.DUMMYFUNCTION("GOOGLETRANSLATE(H95, ""de"", ""en"")"),"A player throws their ring and it lands just beside the metal tip. How is that scored?")</f>
        <v>A player throws their ring and it lands just beside the metal tip. How is that scored?</v>
      </c>
      <c r="C95" s="12" t="s">
        <v>3644</v>
      </c>
      <c r="D95" s="12" t="str">
        <f>IFERROR(__xludf.DUMMYFUNCTION("GOOGLETRANSLATE(J95, ""de"", ""en"")"),"One point")</f>
        <v>One point</v>
      </c>
      <c r="E95" s="12" t="str">
        <f>IFERROR(__xludf.DUMMYFUNCTION("GOOGLETRANSLATE(K95, ""de"", ""en"")"),"Rings that land near the metal tip count as one point.")</f>
        <v>Rings that land near the metal tip count as one point.</v>
      </c>
      <c r="G95" s="16">
        <v>94.0</v>
      </c>
      <c r="H95" s="7" t="s">
        <v>3645</v>
      </c>
      <c r="I95" s="7" t="s">
        <v>3646</v>
      </c>
      <c r="J95" s="7" t="s">
        <v>3446</v>
      </c>
      <c r="K95" s="7" t="s">
        <v>3647</v>
      </c>
    </row>
    <row r="96" ht="22.5" customHeight="1">
      <c r="A96" s="14">
        <v>95.0</v>
      </c>
      <c r="B96" s="12" t="str">
        <f>IFERROR(__xludf.DUMMYFUNCTION("GOOGLETRANSLATE(H96, ""de"", ""en"")"),"During the game, a ring falls to the ground and rolls away. What happens?")</f>
        <v>During the game, a ring falls to the ground and rolls away. What happens?</v>
      </c>
      <c r="C96" s="12" t="s">
        <v>3648</v>
      </c>
      <c r="D96" s="12" t="str">
        <f>IFERROR(__xludf.DUMMYFUNCTION("GOOGLETRANSLATE(J96, ""de"", ""en"")"),"The throw still counts.")</f>
        <v>The throw still counts.</v>
      </c>
      <c r="E96" s="12" t="str">
        <f>IFERROR(__xludf.DUMMYFUNCTION("GOOGLETRANSLATE(K96, ""de"", ""en"")"),"A throw that touches the ground still counts.")</f>
        <v>A throw that touches the ground still counts.</v>
      </c>
      <c r="G96" s="15">
        <v>95.0</v>
      </c>
      <c r="H96" s="7" t="s">
        <v>3649</v>
      </c>
      <c r="I96" s="7" t="s">
        <v>3650</v>
      </c>
      <c r="J96" s="7" t="s">
        <v>3628</v>
      </c>
      <c r="K96" s="7" t="s">
        <v>3651</v>
      </c>
    </row>
    <row r="97" ht="22.5" customHeight="1">
      <c r="A97" s="14">
        <v>96.0</v>
      </c>
      <c r="B97" s="12" t="str">
        <f>IFERROR(__xludf.DUMMYFUNCTION("GOOGLETRANSLATE(H97, ""de"", ""en"")"),"You throw a ring that misses the metal tip and only touches the ground. What happens?")</f>
        <v>You throw a ring that misses the metal tip and only touches the ground. What happens?</v>
      </c>
      <c r="C97" s="12" t="s">
        <v>3652</v>
      </c>
      <c r="D97" s="12" t="str">
        <f>IFERROR(__xludf.DUMMYFUNCTION("GOOGLETRANSLATE(J97, ""de"", ""en"")"),"The throw does not count.")</f>
        <v>The throw does not count.</v>
      </c>
      <c r="E97" s="12" t="str">
        <f>IFERROR(__xludf.DUMMYFUNCTION("GOOGLETRANSLATE(K97, ""de"", ""en"")"),"Rings that touch the ground do not count.")</f>
        <v>Rings that touch the ground do not count.</v>
      </c>
      <c r="G97" s="16">
        <v>96.0</v>
      </c>
      <c r="H97" s="7" t="s">
        <v>3653</v>
      </c>
      <c r="I97" s="7" t="s">
        <v>3654</v>
      </c>
      <c r="J97" s="7" t="s">
        <v>3489</v>
      </c>
      <c r="K97" s="7" t="s">
        <v>3655</v>
      </c>
    </row>
    <row r="98" ht="22.5" customHeight="1">
      <c r="A98" s="14">
        <v>97.0</v>
      </c>
      <c r="B98" s="12" t="str">
        <f>IFERROR(__xludf.DUMMYFUNCTION("GOOGLETRANSLATE(H98, ""de"", ""en"")"),"The referee notices that a ring has crossed the boundary line of the playing field. What happens next?")</f>
        <v>The referee notices that a ring has crossed the boundary line of the playing field. What happens next?</v>
      </c>
      <c r="C98" s="12" t="s">
        <v>3656</v>
      </c>
      <c r="D98" s="12" t="str">
        <f>IFERROR(__xludf.DUMMYFUNCTION("GOOGLETRANSLATE(J98, ""de"", ""en"")"),"The throw is repeated.")</f>
        <v>The throw is repeated.</v>
      </c>
      <c r="E98" s="12" t="str">
        <f>IFERROR(__xludf.DUMMYFUNCTION("GOOGLETRANSLATE(K98, ""de"", ""en"")"),"A ring that crosses the border will be considered invalid.")</f>
        <v>A ring that crosses the border will be considered invalid.</v>
      </c>
      <c r="G98" s="15">
        <v>97.0</v>
      </c>
      <c r="H98" s="7" t="s">
        <v>3657</v>
      </c>
      <c r="I98" s="7" t="s">
        <v>3658</v>
      </c>
      <c r="J98" s="7" t="s">
        <v>3460</v>
      </c>
      <c r="K98" s="7" t="s">
        <v>3659</v>
      </c>
    </row>
    <row r="99" ht="22.5" customHeight="1">
      <c r="A99" s="14">
        <v>98.0</v>
      </c>
      <c r="B99" s="12" t="str">
        <f>IFERROR(__xludf.DUMMYFUNCTION("GOOGLETRANSLATE(H99, ""de"", ""en"")"),"A player threw their ring, but it was stopped by another ring. What happens next?")</f>
        <v>A player threw their ring, but it was stopped by another ring. What happens next?</v>
      </c>
      <c r="C99" s="12" t="s">
        <v>3660</v>
      </c>
      <c r="D99" s="12" t="str">
        <f>IFERROR(__xludf.DUMMYFUNCTION("GOOGLETRANSLATE(J99, ""de"", ""en"")"),"The throw still counts.")</f>
        <v>The throw still counts.</v>
      </c>
      <c r="E99" s="12" t="str">
        <f>IFERROR(__xludf.DUMMYFUNCTION("GOOGLETRANSLATE(K99, ""de"", ""en"")"),"If a ring is stopped, the throw still counts.")</f>
        <v>If a ring is stopped, the throw still counts.</v>
      </c>
      <c r="G99" s="16">
        <v>98.0</v>
      </c>
      <c r="H99" s="7" t="s">
        <v>3661</v>
      </c>
      <c r="I99" s="7" t="s">
        <v>3662</v>
      </c>
      <c r="J99" s="7" t="s">
        <v>3628</v>
      </c>
      <c r="K99" s="7" t="s">
        <v>3663</v>
      </c>
    </row>
    <row r="100" ht="22.5" customHeight="1">
      <c r="A100" s="14">
        <v>99.0</v>
      </c>
      <c r="B100" s="12" t="str">
        <f>IFERROR(__xludf.DUMMYFUNCTION("GOOGLETRANSLATE(H100, ""de"", ""en"")"),"You throw your ring and it lands exactly on top of another ring. What happens?")</f>
        <v>You throw your ring and it lands exactly on top of another ring. What happens?</v>
      </c>
      <c r="C100" s="12" t="s">
        <v>3664</v>
      </c>
      <c r="D100" s="12" t="str">
        <f>IFERROR(__xludf.DUMMYFUNCTION("GOOGLETRANSLATE(J100, ""de"", ""en"")"),"The throw does not count.")</f>
        <v>The throw does not count.</v>
      </c>
      <c r="E100" s="12" t="str">
        <f>IFERROR(__xludf.DUMMYFUNCTION("GOOGLETRANSLATE(K100, ""de"", ""en"")"),"If one ring lands on top of another, the throw does not count.")</f>
        <v>If one ring lands on top of another, the throw does not count.</v>
      </c>
      <c r="G100" s="15">
        <v>99.0</v>
      </c>
      <c r="H100" s="7" t="s">
        <v>3665</v>
      </c>
      <c r="I100" s="7" t="s">
        <v>3666</v>
      </c>
      <c r="J100" s="7" t="s">
        <v>3489</v>
      </c>
      <c r="K100" s="7" t="s">
        <v>3667</v>
      </c>
    </row>
    <row r="101" ht="22.5" customHeight="1">
      <c r="A101" s="14">
        <v>100.0</v>
      </c>
      <c r="B101" s="12" t="str">
        <f>IFERROR(__xludf.DUMMYFUNCTION("GOOGLETRANSLATE(H101, ""de"", ""en"")"),"A ring lands on the metal tip and remains stationary. How is this interpreted?")</f>
        <v>A ring lands on the metal tip and remains stationary. How is this interpreted?</v>
      </c>
      <c r="C101" s="12" t="s">
        <v>3668</v>
      </c>
      <c r="D101" s="12" t="str">
        <f>IFERROR(__xludf.DUMMYFUNCTION("GOOGLETRANSLATE(J101, ""de"", ""en"")"),"The throw counts as zero.")</f>
        <v>The throw counts as zero.</v>
      </c>
      <c r="E101" s="12" t="str">
        <f>IFERROR(__xludf.DUMMYFUNCTION("GOOGLETRANSLATE(K101, ""de"", ""en"")"),"A ring that remains on its point counts as three points.")</f>
        <v>A ring that remains on its point counts as three points.</v>
      </c>
      <c r="G101" s="16">
        <v>100.0</v>
      </c>
      <c r="H101" s="7" t="s">
        <v>3669</v>
      </c>
      <c r="I101" s="7" t="s">
        <v>3670</v>
      </c>
      <c r="J101" s="7" t="s">
        <v>3633</v>
      </c>
      <c r="K101" s="7" t="s">
        <v>3671</v>
      </c>
    </row>
    <row r="102" ht="22.5" customHeight="1">
      <c r="A102" s="14">
        <v>101.0</v>
      </c>
      <c r="B102" s="12" t="str">
        <f>IFERROR(__xludf.DUMMYFUNCTION("GOOGLETRANSLATE(H102, ""de"", ""en"")"),"Your ring rolls near the metal tip after the throw, but doesn't come to rest on it. How many points do you get?")</f>
        <v>Your ring rolls near the metal tip after the throw, but doesn't come to rest on it. How many points do you get?</v>
      </c>
      <c r="C102" s="12" t="s">
        <v>3672</v>
      </c>
      <c r="D102" s="12" t="str">
        <f>IFERROR(__xludf.DUMMYFUNCTION("GOOGLETRANSLATE(J102, ""de"", ""en"")"),"One point")</f>
        <v>One point</v>
      </c>
      <c r="E102" s="12" t="str">
        <f>IFERROR(__xludf.DUMMYFUNCTION("GOOGLETRANSLATE(K102, ""de"", ""en"")"),"A ring that stays close to the metal tip counts as one point.")</f>
        <v>A ring that stays close to the metal tip counts as one point.</v>
      </c>
      <c r="G102" s="15">
        <v>101.0</v>
      </c>
      <c r="H102" s="7" t="s">
        <v>3673</v>
      </c>
      <c r="I102" s="7" t="s">
        <v>3674</v>
      </c>
      <c r="J102" s="7" t="s">
        <v>3446</v>
      </c>
      <c r="K102" s="7" t="s">
        <v>3675</v>
      </c>
    </row>
    <row r="103" ht="22.5" customHeight="1">
      <c r="A103" s="14">
        <v>102.0</v>
      </c>
      <c r="B103" s="12" t="str">
        <f>IFERROR(__xludf.DUMMYFUNCTION("GOOGLETRANSLATE(H103, ""de"", ""en"")"),"The referee has ruled that a teammate's throw was made too early. What happens next?")</f>
        <v>The referee has ruled that a teammate's throw was made too early. What happens next?</v>
      </c>
      <c r="C103" s="12" t="s">
        <v>3676</v>
      </c>
      <c r="D103" s="12" t="str">
        <f>IFERROR(__xludf.DUMMYFUNCTION("GOOGLETRANSLATE(J103, ""de"", ""en"")"),"The throw does not count.")</f>
        <v>The throw does not count.</v>
      </c>
      <c r="E103" s="12" t="str">
        <f>IFERROR(__xludf.DUMMYFUNCTION("GOOGLETRANSLATE(K103, ""de"", ""en"")"),"A throw made too early will be considered invalid.")</f>
        <v>A throw made too early will be considered invalid.</v>
      </c>
      <c r="G103" s="16">
        <v>102.0</v>
      </c>
      <c r="H103" s="7" t="s">
        <v>3677</v>
      </c>
      <c r="I103" s="7" t="s">
        <v>3678</v>
      </c>
      <c r="J103" s="7" t="s">
        <v>3489</v>
      </c>
      <c r="K103" s="7" t="s">
        <v>3679</v>
      </c>
    </row>
    <row r="104" ht="22.5" customHeight="1">
      <c r="A104" s="14">
        <v>103.0</v>
      </c>
      <c r="B104" s="12" t="str">
        <f>IFERROR(__xludf.DUMMYFUNCTION("GOOGLETRANSLATE(H104, ""de"", ""en"")"),"A teammate threw his ring in such a way that it came to rest right at the edge of the playing field. What happens?")</f>
        <v>A teammate threw his ring in such a way that it came to rest right at the edge of the playing field. What happens?</v>
      </c>
      <c r="C104" s="12" t="s">
        <v>3680</v>
      </c>
      <c r="D104" s="12" t="str">
        <f>IFERROR(__xludf.DUMMYFUNCTION("GOOGLETRANSLATE(J104, ""de"", ""en"")"),"The throw counts as one point.")</f>
        <v>The throw counts as one point.</v>
      </c>
      <c r="E104" s="12" t="str">
        <f>IFERROR(__xludf.DUMMYFUNCTION("GOOGLETRANSLATE(K104, ""de"", ""en"")"),"Rings at the border count as one point.")</f>
        <v>Rings at the border count as one point.</v>
      </c>
      <c r="G104" s="15">
        <v>103.0</v>
      </c>
      <c r="H104" s="7" t="s">
        <v>3681</v>
      </c>
      <c r="I104" s="7" t="s">
        <v>3682</v>
      </c>
      <c r="J104" s="7" t="s">
        <v>3683</v>
      </c>
      <c r="K104" s="7" t="s">
        <v>3684</v>
      </c>
    </row>
    <row r="105" ht="22.5" customHeight="1">
      <c r="A105" s="14">
        <v>104.0</v>
      </c>
      <c r="B105" s="12" t="str">
        <f>IFERROR(__xludf.DUMMYFUNCTION("GOOGLETRANSLATE(H105, ""de"", ""en"")"),"A player throws a ring that rolls on the ground and grazes the metal tip, but misses. How many points does he get?")</f>
        <v>A player throws a ring that rolls on the ground and grazes the metal tip, but misses. How many points does he get?</v>
      </c>
      <c r="C105" s="12" t="s">
        <v>3685</v>
      </c>
      <c r="D105" s="12" t="str">
        <f>IFERROR(__xludf.DUMMYFUNCTION("GOOGLETRANSLATE(J105, ""de"", ""en"")"),"No point")</f>
        <v>No point</v>
      </c>
      <c r="E105" s="12" t="str">
        <f>IFERROR(__xludf.DUMMYFUNCTION("GOOGLETRANSLATE(K105, ""de"", ""en"")"),"A ring that grazes the metal tip does not count as a point.")</f>
        <v>A ring that grazes the metal tip does not count as a point.</v>
      </c>
      <c r="G105" s="16">
        <v>104.0</v>
      </c>
      <c r="H105" s="7" t="s">
        <v>3686</v>
      </c>
      <c r="I105" s="7" t="s">
        <v>3687</v>
      </c>
      <c r="J105" s="7" t="s">
        <v>3688</v>
      </c>
      <c r="K105" s="7" t="s">
        <v>3689</v>
      </c>
    </row>
    <row r="106" ht="22.5" customHeight="1">
      <c r="A106" s="14">
        <v>105.0</v>
      </c>
      <c r="B106" s="12" t="str">
        <f>IFERROR(__xludf.DUMMYFUNCTION("GOOGLETRANSLATE(H106, ""de"", ""en"")"),"Your ring hits the metal tip, but rolls away quickly. What happens?")</f>
        <v>Your ring hits the metal tip, but rolls away quickly. What happens?</v>
      </c>
      <c r="C106" s="12" t="s">
        <v>3443</v>
      </c>
      <c r="D106" s="12" t="str">
        <f>IFERROR(__xludf.DUMMYFUNCTION("GOOGLETRANSLATE(J106, ""de"", ""en"")"),"One point")</f>
        <v>One point</v>
      </c>
      <c r="E106" s="12" t="str">
        <f>IFERROR(__xludf.DUMMYFUNCTION("GOOGLETRANSLATE(K106, ""de"", ""en"")"),"A hit from the metal tip always counts, even if the ring rolls away.")</f>
        <v>A hit from the metal tip always counts, even if the ring rolls away.</v>
      </c>
      <c r="G106" s="15">
        <v>105.0</v>
      </c>
      <c r="H106" s="7" t="s">
        <v>3690</v>
      </c>
      <c r="I106" s="7" t="s">
        <v>3445</v>
      </c>
      <c r="J106" s="7" t="s">
        <v>3446</v>
      </c>
      <c r="K106" s="7" t="s">
        <v>3691</v>
      </c>
    </row>
    <row r="107" ht="22.5" customHeight="1">
      <c r="A107" s="14">
        <v>106.0</v>
      </c>
      <c r="B107" s="12" t="str">
        <f>IFERROR(__xludf.DUMMYFUNCTION("GOOGLETRANSLATE(H107, ""de"", ""en"")"),"The referee allows a ring to be corrected after a throw if it lands outside the playing area. What happens?")</f>
        <v>The referee allows a ring to be corrected after a throw if it lands outside the playing area. What happens?</v>
      </c>
      <c r="C107" s="12" t="s">
        <v>3692</v>
      </c>
      <c r="D107" s="12" t="str">
        <f>IFERROR(__xludf.DUMMYFUNCTION("GOOGLETRANSLATE(J107, ""de"", ""en"")"),"The throw is repeated.")</f>
        <v>The throw is repeated.</v>
      </c>
      <c r="E107" s="12" t="str">
        <f>IFERROR(__xludf.DUMMYFUNCTION("GOOGLETRANSLATE(K107, ""de"", ""en"")"),"A throw that lands outside the playing field will be repeated.")</f>
        <v>A throw that lands outside the playing field will be repeated.</v>
      </c>
      <c r="G107" s="16">
        <v>106.0</v>
      </c>
      <c r="H107" s="7" t="s">
        <v>3693</v>
      </c>
      <c r="I107" s="7" t="s">
        <v>3694</v>
      </c>
      <c r="J107" s="7" t="s">
        <v>3460</v>
      </c>
      <c r="K107" s="7" t="s">
        <v>3695</v>
      </c>
    </row>
    <row r="108" ht="22.5" customHeight="1">
      <c r="A108" s="14">
        <v>107.0</v>
      </c>
      <c r="B108" s="12" t="str">
        <f>IFERROR(__xludf.DUMMYFUNCTION("GOOGLETRANSLATE(H108, ""de"", ""en"")"),"You throw your ring, but it lands in a different zone of the playing field. What happens?")</f>
        <v>You throw your ring, but it lands in a different zone of the playing field. What happens?</v>
      </c>
      <c r="C108" s="12" t="s">
        <v>3696</v>
      </c>
      <c r="D108" s="12" t="str">
        <f>IFERROR(__xludf.DUMMYFUNCTION("GOOGLETRANSLATE(J108, ""de"", ""en"")"),"The throw counts as zero.")</f>
        <v>The throw counts as zero.</v>
      </c>
      <c r="E108" s="12" t="str">
        <f>IFERROR(__xludf.DUMMYFUNCTION("GOOGLETRANSLATE(K108, ""de"", ""en"")"),"The throw is repeated if it lands in a different zone.")</f>
        <v>The throw is repeated if it lands in a different zone.</v>
      </c>
      <c r="G108" s="15">
        <v>107.0</v>
      </c>
      <c r="H108" s="7" t="s">
        <v>3697</v>
      </c>
      <c r="I108" s="7" t="s">
        <v>3698</v>
      </c>
      <c r="J108" s="7" t="s">
        <v>3633</v>
      </c>
      <c r="K108" s="7" t="s">
        <v>3699</v>
      </c>
    </row>
    <row r="109" ht="22.5" customHeight="1">
      <c r="A109" s="14">
        <v>108.0</v>
      </c>
      <c r="B109" s="12" t="str">
        <f>IFERROR(__xludf.DUMMYFUNCTION("GOOGLETRANSLATE(H109, ""de"", ""en"")"),"A fellow player throws their ring, but it lands on the line between two playing areas. How is this scored?")</f>
        <v>A fellow player throws their ring, but it lands on the line between two playing areas. How is this scored?</v>
      </c>
      <c r="C109" s="12" t="s">
        <v>3700</v>
      </c>
      <c r="D109" s="12" t="str">
        <f>IFERROR(__xludf.DUMMYFUNCTION("GOOGLETRANSLATE(J109, ""de"", ""en"")"),"The throw counts as one point.")</f>
        <v>The throw counts as one point.</v>
      </c>
      <c r="E109" s="12" t="str">
        <f>IFERROR(__xludf.DUMMYFUNCTION("GOOGLETRANSLATE(K109, ""de"", ""en"")"),"A throw on the line counts as one point.")</f>
        <v>A throw on the line counts as one point.</v>
      </c>
      <c r="G109" s="16">
        <v>108.0</v>
      </c>
      <c r="H109" s="7" t="s">
        <v>3701</v>
      </c>
      <c r="I109" s="7" t="s">
        <v>3702</v>
      </c>
      <c r="J109" s="7" t="s">
        <v>3683</v>
      </c>
      <c r="K109" s="7" t="s">
        <v>3703</v>
      </c>
    </row>
    <row r="110" ht="22.5" customHeight="1">
      <c r="A110" s="14">
        <v>109.0</v>
      </c>
      <c r="B110" s="12" t="str">
        <f>IFERROR(__xludf.DUMMYFUNCTION("GOOGLETRANSLATE(H110, ""de"", ""en"")"),"Your opponent's throw is blocked by your ring, so their ring is no longer visible. How is this scored?")</f>
        <v>Your opponent's throw is blocked by your ring, so their ring is no longer visible. How is this scored?</v>
      </c>
      <c r="C110" s="12" t="s">
        <v>3704</v>
      </c>
      <c r="D110" s="12" t="str">
        <f>IFERROR(__xludf.DUMMYFUNCTION("GOOGLETRANSLATE(J110, ""de"", ""en"")"),"The throw still counts.")</f>
        <v>The throw still counts.</v>
      </c>
      <c r="E110" s="12" t="str">
        <f>IFERROR(__xludf.DUMMYFUNCTION("GOOGLETRANSLATE(K110, ""de"", ""en"")"),"A throw that is blocked still counts.")</f>
        <v>A throw that is blocked still counts.</v>
      </c>
      <c r="G110" s="15">
        <v>109.0</v>
      </c>
      <c r="H110" s="7" t="s">
        <v>3705</v>
      </c>
      <c r="I110" s="7" t="s">
        <v>3706</v>
      </c>
      <c r="J110" s="7" t="s">
        <v>3628</v>
      </c>
      <c r="K110" s="7" t="s">
        <v>3707</v>
      </c>
    </row>
    <row r="111" ht="22.5" customHeight="1">
      <c r="A111" s="14">
        <v>110.0</v>
      </c>
      <c r="B111" s="12" t="str">
        <f>IFERROR(__xludf.DUMMYFUNCTION("GOOGLETRANSLATE(H111, ""de"", ""en"")"),"A player throws his ring, but it lands outside the playing field. What happens?")</f>
        <v>A player throws his ring, but it lands outside the playing field. What happens?</v>
      </c>
      <c r="C111" s="12" t="s">
        <v>3676</v>
      </c>
      <c r="D111" s="12" t="str">
        <f>IFERROR(__xludf.DUMMYFUNCTION("GOOGLETRANSLATE(J111, ""de"", ""en"")"),"The throw does not count.")</f>
        <v>The throw does not count.</v>
      </c>
      <c r="E111" s="12" t="str">
        <f>IFERROR(__xludf.DUMMYFUNCTION("GOOGLETRANSLATE(K111, ""de"", ""en"")"),"A ring that lands outside the playing field does not count.")</f>
        <v>A ring that lands outside the playing field does not count.</v>
      </c>
      <c r="G111" s="16">
        <v>110.0</v>
      </c>
      <c r="H111" s="7" t="s">
        <v>3708</v>
      </c>
      <c r="I111" s="7" t="s">
        <v>3678</v>
      </c>
      <c r="J111" s="7" t="s">
        <v>3489</v>
      </c>
      <c r="K111" s="7" t="s">
        <v>3709</v>
      </c>
    </row>
    <row r="112" ht="22.5" customHeight="1">
      <c r="A112" s="14">
        <v>111.0</v>
      </c>
      <c r="B112" s="12" t="str">
        <f>IFERROR(__xludf.DUMMYFUNCTION("GOOGLETRANSLATE(H112, ""de"", ""en"")"),"A fellow player's ring hits the metal spike, but it doesn't fall onto the target. What happens?")</f>
        <v>A fellow player's ring hits the metal spike, but it doesn't fall onto the target. What happens?</v>
      </c>
      <c r="C112" s="12" t="s">
        <v>3710</v>
      </c>
      <c r="D112" s="12" t="str">
        <f>IFERROR(__xludf.DUMMYFUNCTION("GOOGLETRANSLATE(J112, ""de"", ""en"")"),"The throw does not count.")</f>
        <v>The throw does not count.</v>
      </c>
      <c r="E112" s="12" t="str">
        <f>IFERROR(__xludf.DUMMYFUNCTION("GOOGLETRANSLATE(K112, ""de"", ""en"")"),"The throw does not count if the ring does not land on the target area.")</f>
        <v>The throw does not count if the ring does not land on the target area.</v>
      </c>
      <c r="G112" s="15">
        <v>111.0</v>
      </c>
      <c r="H112" s="7" t="s">
        <v>3711</v>
      </c>
      <c r="I112" s="7" t="s">
        <v>3712</v>
      </c>
      <c r="J112" s="7" t="s">
        <v>3489</v>
      </c>
      <c r="K112" s="7" t="s">
        <v>3713</v>
      </c>
    </row>
    <row r="113" ht="22.5" customHeight="1">
      <c r="A113" s="14">
        <v>112.0</v>
      </c>
      <c r="B113" s="12" t="str">
        <f>IFERROR(__xludf.DUMMYFUNCTION("GOOGLETRANSLATE(H113, ""de"", ""en"")"),"A player throws their ring, and it remains near the metal tip but without touching it. How is this scored?")</f>
        <v>A player throws their ring, and it remains near the metal tip but without touching it. How is this scored?</v>
      </c>
      <c r="C113" s="12" t="s">
        <v>3644</v>
      </c>
      <c r="D113" s="12" t="str">
        <f>IFERROR(__xludf.DUMMYFUNCTION("GOOGLETRANSLATE(J113, ""de"", ""en"")"),"One point")</f>
        <v>One point</v>
      </c>
      <c r="E113" s="12" t="str">
        <f>IFERROR(__xludf.DUMMYFUNCTION("GOOGLETRANSLATE(K113, ""de"", ""en"")"),"A ring that lands near the metal tip counts as one point.")</f>
        <v>A ring that lands near the metal tip counts as one point.</v>
      </c>
      <c r="G113" s="16">
        <v>112.0</v>
      </c>
      <c r="H113" s="7" t="s">
        <v>3714</v>
      </c>
      <c r="I113" s="7" t="s">
        <v>3646</v>
      </c>
      <c r="J113" s="7" t="s">
        <v>3446</v>
      </c>
      <c r="K113" s="7" t="s">
        <v>3715</v>
      </c>
    </row>
    <row r="114" ht="22.5" customHeight="1">
      <c r="A114" s="14">
        <v>113.0</v>
      </c>
      <c r="B114" s="12" t="str">
        <f>IFERROR(__xludf.DUMMYFUNCTION("GOOGLETRANSLATE(H114, ""de"", ""en"")"),"Your ring lands directly on top of another ring. What happens?")</f>
        <v>Your ring lands directly on top of another ring. What happens?</v>
      </c>
      <c r="C114" s="12" t="s">
        <v>3716</v>
      </c>
      <c r="D114" s="12" t="str">
        <f>IFERROR(__xludf.DUMMYFUNCTION("GOOGLETRANSLATE(J114, ""de"", ""en"")"),"Both rings count")</f>
        <v>Both rings count</v>
      </c>
      <c r="E114" s="12" t="str">
        <f>IFERROR(__xludf.DUMMYFUNCTION("GOOGLETRANSLATE(K114, ""de"", ""en"")"),"If one ring lands on top of another, both count.")</f>
        <v>If one ring lands on top of another, both count.</v>
      </c>
      <c r="G114" s="15">
        <v>113.0</v>
      </c>
      <c r="H114" s="7" t="s">
        <v>3717</v>
      </c>
      <c r="I114" s="7" t="s">
        <v>3718</v>
      </c>
      <c r="J114" s="7" t="s">
        <v>3580</v>
      </c>
      <c r="K114" s="7" t="s">
        <v>3719</v>
      </c>
    </row>
    <row r="115" ht="22.5" customHeight="1">
      <c r="A115" s="14">
        <v>114.0</v>
      </c>
      <c r="B115" s="12" t="str">
        <f>IFERROR(__xludf.DUMMYFUNCTION("GOOGLETRANSLATE(H115, ""de"", ""en"")"),"A player throws their ring, and it bounces off the ground and lands on the metal spike. What happens?")</f>
        <v>A player throws their ring, and it bounces off the ground and lands on the metal spike. What happens?</v>
      </c>
      <c r="C115" s="12" t="s">
        <v>3668</v>
      </c>
      <c r="D115" s="12" t="str">
        <f>IFERROR(__xludf.DUMMYFUNCTION("GOOGLETRANSLATE(J115, ""de"", ""en"")"),"The throw counts as three points.")</f>
        <v>The throw counts as three points.</v>
      </c>
      <c r="E115" s="12" t="str">
        <f>IFERROR(__xludf.DUMMYFUNCTION("GOOGLETRANSLATE(K115, ""de"", ""en"")"),"A ring that lands on the metal tip counts as three points.")</f>
        <v>A ring that lands on the metal tip counts as three points.</v>
      </c>
      <c r="G115" s="16">
        <v>114.0</v>
      </c>
      <c r="H115" s="7" t="s">
        <v>3720</v>
      </c>
      <c r="I115" s="7" t="s">
        <v>3670</v>
      </c>
      <c r="J115" s="7" t="s">
        <v>3721</v>
      </c>
      <c r="K115" s="7" t="s">
        <v>3722</v>
      </c>
    </row>
    <row r="116" ht="22.5" customHeight="1">
      <c r="A116" s="14">
        <v>115.0</v>
      </c>
      <c r="B116" s="12" t="str">
        <f>IFERROR(__xludf.DUMMYFUNCTION("GOOGLETRANSLATE(H116, ""de"", ""en"")"),"A teammate's ring lands on the edge of the playing field, but not directly on the metal spike. What happens?")</f>
        <v>A teammate's ring lands on the edge of the playing field, but not directly on the metal spike. What happens?</v>
      </c>
      <c r="C116" s="12" t="s">
        <v>3723</v>
      </c>
      <c r="D116" s="12" t="str">
        <f>IFERROR(__xludf.DUMMYFUNCTION("GOOGLETRANSLATE(J116, ""de"", ""en"")"),"The throw counts as one point.")</f>
        <v>The throw counts as one point.</v>
      </c>
      <c r="E116" s="12" t="str">
        <f>IFERROR(__xludf.DUMMYFUNCTION("GOOGLETRANSLATE(K116, ""de"", ""en"")"),"A ring at the border counts as one point.")</f>
        <v>A ring at the border counts as one point.</v>
      </c>
      <c r="G116" s="15">
        <v>115.0</v>
      </c>
      <c r="H116" s="7" t="s">
        <v>3724</v>
      </c>
      <c r="I116" s="7" t="s">
        <v>3725</v>
      </c>
      <c r="J116" s="7" t="s">
        <v>3683</v>
      </c>
      <c r="K116" s="7" t="s">
        <v>3726</v>
      </c>
    </row>
    <row r="117" ht="22.5" customHeight="1">
      <c r="A117" s="14">
        <v>116.0</v>
      </c>
      <c r="B117" s="12" t="str">
        <f>IFERROR(__xludf.DUMMYFUNCTION("GOOGLETRANSLATE(H117, ""de"", ""en"")"),"A teammate's throw lands directly on another ring, but the other ring doesn't stay upright. What happens?")</f>
        <v>A teammate's throw lands directly on another ring, but the other ring doesn't stay upright. What happens?</v>
      </c>
      <c r="C117" s="12" t="s">
        <v>3727</v>
      </c>
      <c r="D117" s="12" t="str">
        <f>IFERROR(__xludf.DUMMYFUNCTION("GOOGLETRANSLATE(J117, ""de"", ""en"")"),"The throw does not count.")</f>
        <v>The throw does not count.</v>
      </c>
      <c r="E117" s="12" t="str">
        <f>IFERROR(__xludf.DUMMYFUNCTION("GOOGLETRANSLATE(K117, ""de"", ""en"")"),"A throw where the other ring doesn't stay in place doesn't count.")</f>
        <v>A throw where the other ring doesn't stay in place doesn't count.</v>
      </c>
      <c r="G117" s="16">
        <v>116.0</v>
      </c>
      <c r="H117" s="7" t="s">
        <v>3728</v>
      </c>
      <c r="I117" s="7" t="s">
        <v>3729</v>
      </c>
      <c r="J117" s="7" t="s">
        <v>3489</v>
      </c>
      <c r="K117" s="7" t="s">
        <v>3730</v>
      </c>
    </row>
    <row r="118" ht="22.5" customHeight="1">
      <c r="A118" s="14">
        <v>117.0</v>
      </c>
      <c r="B118" s="12" t="str">
        <f>IFERROR(__xludf.DUMMYFUNCTION("GOOGLETRANSLATE(H118, ""de"", ""en"")"),"You throw your ring, but it lands on the wrong side of the playing field. What happens?")</f>
        <v>You throw your ring, but it lands on the wrong side of the playing field. What happens?</v>
      </c>
      <c r="C118" s="12" t="s">
        <v>3731</v>
      </c>
      <c r="D118" s="12" t="str">
        <f>IFERROR(__xludf.DUMMYFUNCTION("GOOGLETRANSLATE(J118, ""de"", ""en"")"),"The throw does not count.")</f>
        <v>The throw does not count.</v>
      </c>
      <c r="E118" s="12" t="str">
        <f>IFERROR(__xludf.DUMMYFUNCTION("GOOGLETRANSLATE(K118, ""de"", ""en"")"),"A throw made on the wrong side of the playing field does not count.")</f>
        <v>A throw made on the wrong side of the playing field does not count.</v>
      </c>
      <c r="G118" s="15">
        <v>117.0</v>
      </c>
      <c r="H118" s="7" t="s">
        <v>3732</v>
      </c>
      <c r="I118" s="7" t="s">
        <v>3733</v>
      </c>
      <c r="J118" s="7" t="s">
        <v>3489</v>
      </c>
      <c r="K118" s="7" t="s">
        <v>3734</v>
      </c>
    </row>
    <row r="119" ht="22.5" customHeight="1">
      <c r="A119" s="14">
        <v>118.0</v>
      </c>
      <c r="B119" s="12" t="str">
        <f>IFERROR(__xludf.DUMMYFUNCTION("GOOGLETRANSLATE(H119, ""de"", ""en"")"),"A ring is slightly displaced by a gust of wind, but remains on its metal tip. What happens?")</f>
        <v>A ring is slightly displaced by a gust of wind, but remains on its metal tip. What happens?</v>
      </c>
      <c r="C119" s="12" t="s">
        <v>3704</v>
      </c>
      <c r="D119" s="12" t="str">
        <f>IFERROR(__xludf.DUMMYFUNCTION("GOOGLETRANSLATE(J119, ""de"", ""en"")"),"The throw still counts.")</f>
        <v>The throw still counts.</v>
      </c>
      <c r="E119" s="12" t="str">
        <f>IFERROR(__xludf.DUMMYFUNCTION("GOOGLETRANSLATE(K119, ""de"", ""en"")"),"A throw remains valid even if it is shifted by wind.")</f>
        <v>A throw remains valid even if it is shifted by wind.</v>
      </c>
      <c r="G119" s="16">
        <v>118.0</v>
      </c>
      <c r="H119" s="7" t="s">
        <v>3735</v>
      </c>
      <c r="I119" s="7" t="s">
        <v>3706</v>
      </c>
      <c r="J119" s="7" t="s">
        <v>3628</v>
      </c>
      <c r="K119" s="7" t="s">
        <v>3736</v>
      </c>
    </row>
    <row r="120" ht="22.5" customHeight="1">
      <c r="A120" s="14">
        <v>119.0</v>
      </c>
      <c r="B120" s="12" t="str">
        <f>IFERROR(__xludf.DUMMYFUNCTION("GOOGLETRANSLATE(H120, ""de"", ""en"")"),"A player throws their ring and it lands right next to another ring. How many points do you get?")</f>
        <v>A player throws their ring and it lands right next to another ring. How many points do you get?</v>
      </c>
      <c r="C120" s="12" t="s">
        <v>3737</v>
      </c>
      <c r="D120" s="12" t="str">
        <f>IFERROR(__xludf.DUMMYFUNCTION("GOOGLETRANSLATE(J120, ""de"", ""en"")"),"One point")</f>
        <v>One point</v>
      </c>
      <c r="E120" s="12" t="str">
        <f>IFERROR(__xludf.DUMMYFUNCTION("GOOGLETRANSLATE(K120, ""de"", ""en"")"),"A ring placed next to another counts as one point.")</f>
        <v>A ring placed next to another counts as one point.</v>
      </c>
      <c r="G120" s="15">
        <v>119.0</v>
      </c>
      <c r="H120" s="7" t="s">
        <v>3738</v>
      </c>
      <c r="I120" s="7" t="s">
        <v>3739</v>
      </c>
      <c r="J120" s="7" t="s">
        <v>3446</v>
      </c>
      <c r="K120" s="7" t="s">
        <v>3740</v>
      </c>
    </row>
    <row r="121" ht="22.5" customHeight="1">
      <c r="A121" s="14">
        <v>120.0</v>
      </c>
      <c r="B121" s="12" t="str">
        <f>IFERROR(__xludf.DUMMYFUNCTION("GOOGLETRANSLATE(H121, ""de"", ""en"")"),"A teammate's throw hits the metal tip and gets stuck. What happens next?")</f>
        <v>A teammate's throw hits the metal tip and gets stuck. What happens next?</v>
      </c>
      <c r="C121" s="12" t="s">
        <v>3741</v>
      </c>
      <c r="D121" s="12" t="str">
        <f>IFERROR(__xludf.DUMMYFUNCTION("GOOGLETRANSLATE(J121, ""de"", ""en"")"),"The throw counts as one point.")</f>
        <v>The throw counts as one point.</v>
      </c>
      <c r="E121" s="12" t="str">
        <f>IFERROR(__xludf.DUMMYFUNCTION("GOOGLETRANSLATE(K121, ""de"", ""en"")"),"A hit that sticks counts as one point.")</f>
        <v>A hit that sticks counts as one point.</v>
      </c>
      <c r="G121" s="16">
        <v>120.0</v>
      </c>
      <c r="H121" s="7" t="s">
        <v>3742</v>
      </c>
      <c r="I121" s="7" t="s">
        <v>3743</v>
      </c>
      <c r="J121" s="7" t="s">
        <v>3683</v>
      </c>
      <c r="K121" s="7" t="s">
        <v>3744</v>
      </c>
    </row>
    <row r="122" ht="22.5" customHeight="1">
      <c r="A122" s="14">
        <v>121.0</v>
      </c>
      <c r="B122" s="12" t="str">
        <f>IFERROR(__xludf.DUMMYFUNCTION("GOOGLETRANSLATE(H122, ""de"", ""en"")"),"You throw your ring, but it hits the ground and rolls off the playing field. What happens?")</f>
        <v>You throw your ring, but it hits the ground and rolls off the playing field. What happens?</v>
      </c>
      <c r="C122" s="12" t="s">
        <v>3648</v>
      </c>
      <c r="D122" s="12" t="str">
        <f>IFERROR(__xludf.DUMMYFUNCTION("GOOGLETRANSLATE(J122, ""de"", ""en"")"),"The throw does not count.")</f>
        <v>The throw does not count.</v>
      </c>
      <c r="E122" s="12" t="str">
        <f>IFERROR(__xludf.DUMMYFUNCTION("GOOGLETRANSLATE(K122, ""de"", ""en"")"),"A throw that rolls off the playing field does not count.")</f>
        <v>A throw that rolls off the playing field does not count.</v>
      </c>
      <c r="G122" s="15">
        <v>121.0</v>
      </c>
      <c r="H122" s="7" t="s">
        <v>3745</v>
      </c>
      <c r="I122" s="7" t="s">
        <v>3650</v>
      </c>
      <c r="J122" s="7" t="s">
        <v>3489</v>
      </c>
      <c r="K122" s="7" t="s">
        <v>3746</v>
      </c>
    </row>
    <row r="123" ht="22.5" customHeight="1">
      <c r="A123" s="14">
        <v>122.0</v>
      </c>
      <c r="B123" s="12" t="str">
        <f>IFERROR(__xludf.DUMMYFUNCTION("GOOGLETRANSLATE(H123, ""de"", ""en"")"),"Your ring lands on the metal tip and remains still. How many points do you get?")</f>
        <v>Your ring lands on the metal tip and remains still. How many points do you get?</v>
      </c>
      <c r="C123" s="12" t="s">
        <v>3672</v>
      </c>
      <c r="D123" s="12" t="str">
        <f>IFERROR(__xludf.DUMMYFUNCTION("GOOGLETRANSLATE(J123, ""de"", ""en"")"),"Three points")</f>
        <v>Three points</v>
      </c>
      <c r="E123" s="12" t="str">
        <f>IFERROR(__xludf.DUMMYFUNCTION("GOOGLETRANSLATE(K123, ""de"", ""en"")"),"A ring that remains on the metal tip counts as three points.")</f>
        <v>A ring that remains on the metal tip counts as three points.</v>
      </c>
      <c r="G123" s="16">
        <v>122.0</v>
      </c>
      <c r="H123" s="7" t="s">
        <v>3747</v>
      </c>
      <c r="I123" s="7" t="s">
        <v>3674</v>
      </c>
      <c r="J123" s="7" t="s">
        <v>3415</v>
      </c>
      <c r="K123" s="7" t="s">
        <v>3748</v>
      </c>
    </row>
    <row r="124" ht="22.5" customHeight="1">
      <c r="A124" s="14">
        <v>123.0</v>
      </c>
      <c r="B124" s="12" t="str">
        <f>IFERROR(__xludf.DUMMYFUNCTION("GOOGLETRANSLATE(H124, ""de"", ""en"")"),"A teammate throws a ring and it lands on the edge of the playing field. What happens?")</f>
        <v>A teammate throws a ring and it lands on the edge of the playing field. What happens?</v>
      </c>
      <c r="C124" s="12" t="s">
        <v>3749</v>
      </c>
      <c r="D124" s="12" t="str">
        <f>IFERROR(__xludf.DUMMYFUNCTION("GOOGLETRANSLATE(J124, ""de"", ""en"")"),"The throw counts as one point.")</f>
        <v>The throw counts as one point.</v>
      </c>
      <c r="E124" s="12" t="str">
        <f>IFERROR(__xludf.DUMMYFUNCTION("GOOGLETRANSLATE(K124, ""de"", ""en"")"),"Rings on the edge of the playing field count as one point.")</f>
        <v>Rings on the edge of the playing field count as one point.</v>
      </c>
      <c r="G124" s="15">
        <v>123.0</v>
      </c>
      <c r="H124" s="7" t="s">
        <v>3750</v>
      </c>
      <c r="I124" s="7" t="s">
        <v>3751</v>
      </c>
      <c r="J124" s="7" t="s">
        <v>3683</v>
      </c>
      <c r="K124" s="7" t="s">
        <v>3752</v>
      </c>
    </row>
    <row r="125" ht="22.5" customHeight="1">
      <c r="A125" s="14">
        <v>124.0</v>
      </c>
      <c r="B125" s="12" t="str">
        <f>IFERROR(__xludf.DUMMYFUNCTION("GOOGLETRANSLATE(H125, ""de"", ""en"")"),"A player throws their ring, and after the throw, it remains near the metal tip. What happens?")</f>
        <v>A player throws their ring, and after the throw, it remains near the metal tip. What happens?</v>
      </c>
      <c r="C125" s="12" t="s">
        <v>3753</v>
      </c>
      <c r="D125" s="12" t="str">
        <f>IFERROR(__xludf.DUMMYFUNCTION("GOOGLETRANSLATE(J125, ""de"", ""en"")"),"One point")</f>
        <v>One point</v>
      </c>
      <c r="E125" s="12" t="str">
        <f>IFERROR(__xludf.DUMMYFUNCTION("GOOGLETRANSLATE(K125, ""de"", ""en"")"),"A ring that remains near the metal tip counts as one point.")</f>
        <v>A ring that remains near the metal tip counts as one point.</v>
      </c>
      <c r="G125" s="16">
        <v>124.0</v>
      </c>
      <c r="H125" s="7" t="s">
        <v>3754</v>
      </c>
      <c r="I125" s="7" t="s">
        <v>3755</v>
      </c>
      <c r="J125" s="7" t="s">
        <v>3446</v>
      </c>
      <c r="K125" s="7" t="s">
        <v>3756</v>
      </c>
    </row>
    <row r="126" ht="22.5" customHeight="1">
      <c r="A126" s="14">
        <v>125.0</v>
      </c>
      <c r="B126" s="12" t="str">
        <f>IFERROR(__xludf.DUMMYFUNCTION("GOOGLETRANSLATE(H126, ""de"", ""en"")"),"Your ring hits the metal tip, but the throw is too weak and it doesn't stay there. What happens?")</f>
        <v>Your ring hits the metal tip, but the throw is too weak and it doesn't stay there. What happens?</v>
      </c>
      <c r="C126" s="12" t="s">
        <v>3704</v>
      </c>
      <c r="D126" s="12" t="str">
        <f>IFERROR(__xludf.DUMMYFUNCTION("GOOGLETRANSLATE(J126, ""de"", ""en"")"),"The throw still counts.")</f>
        <v>The throw still counts.</v>
      </c>
      <c r="E126" s="12" t="str">
        <f>IFERROR(__xludf.DUMMYFUNCTION("GOOGLETRANSLATE(K126, ""de"", ""en"")"),"A throw that hits the metal tip still counts.")</f>
        <v>A throw that hits the metal tip still counts.</v>
      </c>
      <c r="G126" s="15">
        <v>125.0</v>
      </c>
      <c r="H126" s="7" t="s">
        <v>3757</v>
      </c>
      <c r="I126" s="7" t="s">
        <v>3706</v>
      </c>
      <c r="J126" s="7" t="s">
        <v>3628</v>
      </c>
      <c r="K126" s="7" t="s">
        <v>3758</v>
      </c>
    </row>
    <row r="127" ht="22.5" customHeight="1">
      <c r="A127" s="14">
        <v>126.0</v>
      </c>
      <c r="B127" s="12" t="str">
        <f>IFERROR(__xludf.DUMMYFUNCTION("GOOGLETRANSLATE(H127, ""de"", ""en"")"),"You throw your ring, and it stays near the target zone but doesn't touch it. What happens?")</f>
        <v>You throw your ring, and it stays near the target zone but doesn't touch it. What happens?</v>
      </c>
      <c r="C127" s="12" t="s">
        <v>3710</v>
      </c>
      <c r="D127" s="12" t="str">
        <f>IFERROR(__xludf.DUMMYFUNCTION("GOOGLETRANSLATE(J127, ""de"", ""en"")"),"The throw does not count.")</f>
        <v>The throw does not count.</v>
      </c>
      <c r="E127" s="12" t="str">
        <f>IFERROR(__xludf.DUMMYFUNCTION("GOOGLETRANSLATE(K127, ""de"", ""en"")"),"A ring that stays nearby doesn't count.")</f>
        <v>A ring that stays nearby doesn't count.</v>
      </c>
      <c r="G127" s="16">
        <v>126.0</v>
      </c>
      <c r="H127" s="7" t="s">
        <v>3759</v>
      </c>
      <c r="I127" s="7" t="s">
        <v>3712</v>
      </c>
      <c r="J127" s="7" t="s">
        <v>3489</v>
      </c>
      <c r="K127" s="7" t="s">
        <v>3760</v>
      </c>
    </row>
    <row r="128" ht="22.5" customHeight="1">
      <c r="A128" s="14">
        <v>127.0</v>
      </c>
      <c r="B128" s="12" t="str">
        <f>IFERROR(__xludf.DUMMYFUNCTION("GOOGLETRANSLATE(H128, ""de"", ""en"")"),"A teammate's throw lands near the target zone but without touching any other ring. How many points does he get?")</f>
        <v>A teammate's throw lands near the target zone but without touching any other ring. How many points does he get?</v>
      </c>
      <c r="C128" s="12" t="s">
        <v>3644</v>
      </c>
      <c r="D128" s="12" t="str">
        <f>IFERROR(__xludf.DUMMYFUNCTION("GOOGLETRANSLATE(J128, ""de"", ""en"")"),"One point")</f>
        <v>One point</v>
      </c>
      <c r="E128" s="12" t="str">
        <f>IFERROR(__xludf.DUMMYFUNCTION("GOOGLETRANSLATE(K128, ""de"", ""en"")"),"A ring that stays close counts as one point.")</f>
        <v>A ring that stays close counts as one point.</v>
      </c>
      <c r="G128" s="15">
        <v>127.0</v>
      </c>
      <c r="H128" s="7" t="s">
        <v>3761</v>
      </c>
      <c r="I128" s="7" t="s">
        <v>3646</v>
      </c>
      <c r="J128" s="7" t="s">
        <v>3446</v>
      </c>
      <c r="K128" s="7" t="s">
        <v>3762</v>
      </c>
    </row>
    <row r="129" ht="22.5" customHeight="1">
      <c r="A129" s="14">
        <v>128.0</v>
      </c>
      <c r="B129" s="12" t="str">
        <f>IFERROR(__xludf.DUMMYFUNCTION("GOOGLETRANSLATE(H129, ""de"", ""en"")"),"A teammate's ring hits the metal spike, but it's blocked by another ring. What happens next?")</f>
        <v>A teammate's ring hits the metal spike, but it's blocked by another ring. What happens next?</v>
      </c>
      <c r="C129" s="12" t="s">
        <v>3704</v>
      </c>
      <c r="D129" s="12" t="str">
        <f>IFERROR(__xludf.DUMMYFUNCTION("GOOGLETRANSLATE(J129, ""de"", ""en"")"),"The throw still counts.")</f>
        <v>The throw still counts.</v>
      </c>
      <c r="E129" s="12" t="str">
        <f>IFERROR(__xludf.DUMMYFUNCTION("GOOGLETRANSLATE(K129, ""de"", ""en"")"),"A blocked throw still counts.")</f>
        <v>A blocked throw still counts.</v>
      </c>
      <c r="G129" s="16">
        <v>128.0</v>
      </c>
      <c r="H129" s="7" t="s">
        <v>3763</v>
      </c>
      <c r="I129" s="7" t="s">
        <v>3706</v>
      </c>
      <c r="J129" s="7" t="s">
        <v>3628</v>
      </c>
      <c r="K129" s="7" t="s">
        <v>3764</v>
      </c>
    </row>
    <row r="130" ht="22.5" customHeight="1">
      <c r="A130" s="14">
        <v>129.0</v>
      </c>
      <c r="B130" s="12" t="str">
        <f>IFERROR(__xludf.DUMMYFUNCTION("GOOGLETRANSLATE(H130, ""de"", ""en"")"),"You throw your ring and it lands behind the metal spike. What happens?")</f>
        <v>You throw your ring and it lands behind the metal spike. What happens?</v>
      </c>
      <c r="C130" s="12" t="s">
        <v>3765</v>
      </c>
      <c r="D130" s="12" t="str">
        <f>IFERROR(__xludf.DUMMYFUNCTION("GOOGLETRANSLATE(J130, ""de"", ""en"")"),"The throw does not count.")</f>
        <v>The throw does not count.</v>
      </c>
      <c r="E130" s="12" t="str">
        <f>IFERROR(__xludf.DUMMYFUNCTION("GOOGLETRANSLATE(K130, ""de"", ""en"")"),"A throw that goes beyond the metal tip does not count.")</f>
        <v>A throw that goes beyond the metal tip does not count.</v>
      </c>
      <c r="G130" s="15">
        <v>129.0</v>
      </c>
      <c r="H130" s="7" t="s">
        <v>3766</v>
      </c>
      <c r="I130" s="7" t="s">
        <v>3767</v>
      </c>
      <c r="J130" s="7" t="s">
        <v>3489</v>
      </c>
      <c r="K130" s="7" t="s">
        <v>3768</v>
      </c>
    </row>
    <row r="131" ht="22.5" customHeight="1">
      <c r="A131" s="14">
        <v>130.0</v>
      </c>
      <c r="B131" s="12" t="str">
        <f>IFERROR(__xludf.DUMMYFUNCTION("GOOGLETRANSLATE(H131, ""de"", ""en"")"),"A fellow player throws a ring, which lands on the playing field and then moves towards the metal tip. What happens?")</f>
        <v>A fellow player throws a ring, which lands on the playing field and then moves towards the metal tip. What happens?</v>
      </c>
      <c r="C131" s="12" t="s">
        <v>3769</v>
      </c>
      <c r="D131" s="12" t="str">
        <f>IFERROR(__xludf.DUMMYFUNCTION("GOOGLETRANSLATE(J131, ""de"", ""en"")"),"The throw still counts.")</f>
        <v>The throw still counts.</v>
      </c>
      <c r="E131" s="12" t="str">
        <f>IFERROR(__xludf.DUMMYFUNCTION("GOOGLETRANSLATE(K131, ""de"", ""en"")"),"A throw that moves towards the metal tip still counts.")</f>
        <v>A throw that moves towards the metal tip still counts.</v>
      </c>
      <c r="G131" s="16">
        <v>130.0</v>
      </c>
      <c r="H131" s="7" t="s">
        <v>3770</v>
      </c>
      <c r="I131" s="7" t="s">
        <v>3771</v>
      </c>
      <c r="J131" s="7" t="s">
        <v>3628</v>
      </c>
      <c r="K131" s="7" t="s">
        <v>3772</v>
      </c>
    </row>
    <row r="132" ht="22.5" customHeight="1">
      <c r="A132" s="14">
        <v>131.0</v>
      </c>
      <c r="B132" s="12" t="str">
        <f>IFERROR(__xludf.DUMMYFUNCTION("GOOGLETRANSLATE(H132, ""de"", ""en"")"),"You throw your ring, and it touches the target area, but then doesn't stay there. What happens?")</f>
        <v>You throw your ring, and it touches the target area, but then doesn't stay there. What happens?</v>
      </c>
      <c r="C132" s="12" t="s">
        <v>3749</v>
      </c>
      <c r="D132" s="12" t="str">
        <f>IFERROR(__xludf.DUMMYFUNCTION("GOOGLETRANSLATE(J132, ""de"", ""en"")"),"The throw counts as zero.")</f>
        <v>The throw counts as zero.</v>
      </c>
      <c r="E132" s="12" t="str">
        <f>IFERROR(__xludf.DUMMYFUNCTION("GOOGLETRANSLATE(K132, ""de"", ""en"")"),"A throw that touches the target area but does not stay on it counts as zero.")</f>
        <v>A throw that touches the target area but does not stay on it counts as zero.</v>
      </c>
      <c r="G132" s="15">
        <v>131.0</v>
      </c>
      <c r="H132" s="7" t="s">
        <v>3773</v>
      </c>
      <c r="I132" s="7" t="s">
        <v>3751</v>
      </c>
      <c r="J132" s="7" t="s">
        <v>3633</v>
      </c>
      <c r="K132" s="7" t="s">
        <v>3774</v>
      </c>
    </row>
    <row r="133" ht="22.5" customHeight="1">
      <c r="A133" s="14">
        <v>132.0</v>
      </c>
      <c r="B133" s="12" t="str">
        <f>IFERROR(__xludf.DUMMYFUNCTION("GOOGLETRANSLATE(H133, ""de"", ""en"")"),"Your ring lands on top of another ring and stays there. What happens?")</f>
        <v>Your ring lands on top of another ring and stays there. What happens?</v>
      </c>
      <c r="C133" s="12" t="s">
        <v>3775</v>
      </c>
      <c r="D133" s="12" t="str">
        <f>IFERROR(__xludf.DUMMYFUNCTION("GOOGLETRANSLATE(J133, ""de"", ""en"")"),"Both rings count")</f>
        <v>Both rings count</v>
      </c>
      <c r="E133" s="12" t="str">
        <f>IFERROR(__xludf.DUMMYFUNCTION("GOOGLETRANSLATE(K133, ""de"", ""en"")"),"If one ring remains on top of another, both count.")</f>
        <v>If one ring remains on top of another, both count.</v>
      </c>
      <c r="G133" s="16">
        <v>132.0</v>
      </c>
      <c r="H133" s="7" t="s">
        <v>3776</v>
      </c>
      <c r="I133" s="7" t="s">
        <v>3777</v>
      </c>
      <c r="J133" s="7" t="s">
        <v>3580</v>
      </c>
      <c r="K133" s="7" t="s">
        <v>3778</v>
      </c>
    </row>
    <row r="134" ht="22.5" customHeight="1">
      <c r="A134" s="14">
        <v>133.0</v>
      </c>
      <c r="B134" s="12" t="str">
        <f>IFERROR(__xludf.DUMMYFUNCTION("GOOGLETRANSLATE(H134, ""de"", ""en"")"),"You throw your ring and it hits the metal tip directly. How many points do you get?")</f>
        <v>You throw your ring and it hits the metal tip directly. How many points do you get?</v>
      </c>
      <c r="C134" s="12" t="s">
        <v>3672</v>
      </c>
      <c r="D134" s="12" t="str">
        <f>IFERROR(__xludf.DUMMYFUNCTION("GOOGLETRANSLATE(J134, ""de"", ""en"")"),"Three points")</f>
        <v>Three points</v>
      </c>
      <c r="E134" s="12" t="str">
        <f>IFERROR(__xludf.DUMMYFUNCTION("GOOGLETRANSLATE(K134, ""de"", ""en"")"),"A throw that lands on the metal tip counts as three points.")</f>
        <v>A throw that lands on the metal tip counts as three points.</v>
      </c>
      <c r="G134" s="15">
        <v>133.0</v>
      </c>
      <c r="H134" s="7" t="s">
        <v>3779</v>
      </c>
      <c r="I134" s="7" t="s">
        <v>3674</v>
      </c>
      <c r="J134" s="7" t="s">
        <v>3415</v>
      </c>
      <c r="K134" s="7" t="s">
        <v>3780</v>
      </c>
    </row>
    <row r="135" ht="22.5" customHeight="1">
      <c r="A135" s="14">
        <v>134.0</v>
      </c>
      <c r="B135" s="12" t="str">
        <f>IFERROR(__xludf.DUMMYFUNCTION("GOOGLETRANSLATE(H135, ""de"", ""en"")"),"A teammate throws a ring, but it lands on the border between two zones. How is the throw scored?")</f>
        <v>A teammate throws a ring, but it lands on the border between two zones. How is the throw scored?</v>
      </c>
      <c r="C135" s="12" t="s">
        <v>3749</v>
      </c>
      <c r="D135" s="12" t="str">
        <f>IFERROR(__xludf.DUMMYFUNCTION("GOOGLETRANSLATE(J135, ""de"", ""en"")"),"The throw counts as one point.")</f>
        <v>The throw counts as one point.</v>
      </c>
      <c r="E135" s="12" t="str">
        <f>IFERROR(__xludf.DUMMYFUNCTION("GOOGLETRANSLATE(K135, ""de"", ""en"")"),"A throw on the border counts as one point.")</f>
        <v>A throw on the border counts as one point.</v>
      </c>
      <c r="G135" s="16">
        <v>134.0</v>
      </c>
      <c r="H135" s="7" t="s">
        <v>3781</v>
      </c>
      <c r="I135" s="7" t="s">
        <v>3751</v>
      </c>
      <c r="J135" s="7" t="s">
        <v>3683</v>
      </c>
      <c r="K135" s="7" t="s">
        <v>3782</v>
      </c>
    </row>
    <row r="136" ht="22.5" customHeight="1">
      <c r="A136" s="14">
        <v>135.0</v>
      </c>
      <c r="B136" s="12" t="str">
        <f>IFERROR(__xludf.DUMMYFUNCTION("GOOGLETRANSLATE(H136, ""de"", ""en"")"),"You throw your ring, but it flies too far and lands outside the playing field. What happens?")</f>
        <v>You throw your ring, but it flies too far and lands outside the playing field. What happens?</v>
      </c>
      <c r="C136" s="12" t="s">
        <v>3783</v>
      </c>
      <c r="D136" s="12" t="str">
        <f>IFERROR(__xludf.DUMMYFUNCTION("GOOGLETRANSLATE(J136, ""de"", ""en"")"),"The throw counts as zero.")</f>
        <v>The throw counts as zero.</v>
      </c>
      <c r="E136" s="12" t="str">
        <f>IFERROR(__xludf.DUMMYFUNCTION("GOOGLETRANSLATE(K136, ""de"", ""en"")"),"A throw outside the playing field counts as zero.")</f>
        <v>A throw outside the playing field counts as zero.</v>
      </c>
      <c r="G136" s="15">
        <v>135.0</v>
      </c>
      <c r="H136" s="7" t="s">
        <v>3784</v>
      </c>
      <c r="I136" s="7" t="s">
        <v>3785</v>
      </c>
      <c r="J136" s="7" t="s">
        <v>3633</v>
      </c>
      <c r="K136" s="7" t="s">
        <v>3786</v>
      </c>
    </row>
    <row r="137" ht="22.5" customHeight="1">
      <c r="A137" s="14">
        <v>136.0</v>
      </c>
      <c r="B137" s="12" t="str">
        <f>IFERROR(__xludf.DUMMYFUNCTION("GOOGLETRANSLATE(H137, ""de"", ""en"")"),"Your ring hits the metal tip and rests there. How many points do you get?")</f>
        <v>Your ring hits the metal tip and rests there. How many points do you get?</v>
      </c>
      <c r="C137" s="12" t="s">
        <v>3787</v>
      </c>
      <c r="D137" s="12" t="str">
        <f>IFERROR(__xludf.DUMMYFUNCTION("GOOGLETRANSLATE(J137, ""de"", ""en"")"),"Three points")</f>
        <v>Three points</v>
      </c>
      <c r="E137" s="12" t="str">
        <f>IFERROR(__xludf.DUMMYFUNCTION("GOOGLETRANSLATE(K137, ""de"", ""en"")"),"A throw that lands on the metal tip counts as three points.")</f>
        <v>A throw that lands on the metal tip counts as three points.</v>
      </c>
      <c r="G137" s="16">
        <v>136.0</v>
      </c>
      <c r="H137" s="7" t="s">
        <v>3788</v>
      </c>
      <c r="I137" s="7" t="s">
        <v>3789</v>
      </c>
      <c r="J137" s="7" t="s">
        <v>3415</v>
      </c>
      <c r="K137" s="7" t="s">
        <v>3780</v>
      </c>
    </row>
    <row r="138" ht="22.5" customHeight="1">
      <c r="A138" s="14">
        <v>137.0</v>
      </c>
      <c r="B138" s="12" t="str">
        <f>IFERROR(__xludf.DUMMYFUNCTION("GOOGLETRANSLATE(H138, ""de"", ""en"")"),"A player throws their ring, but it hits another ring and then falls. How is the throw scored?")</f>
        <v>A player throws their ring, but it hits another ring and then falls. How is the throw scored?</v>
      </c>
      <c r="C138" s="12" t="s">
        <v>3704</v>
      </c>
      <c r="D138" s="12" t="str">
        <f>IFERROR(__xludf.DUMMYFUNCTION("GOOGLETRANSLATE(J138, ""de"", ""en"")"),"The throw still counts.")</f>
        <v>The throw still counts.</v>
      </c>
      <c r="E138" s="12" t="str">
        <f>IFERROR(__xludf.DUMMYFUNCTION("GOOGLETRANSLATE(K138, ""de"", ""en"")"),"A throw that hits a different ring still counts.")</f>
        <v>A throw that hits a different ring still counts.</v>
      </c>
      <c r="G138" s="15">
        <v>137.0</v>
      </c>
      <c r="H138" s="7" t="s">
        <v>3790</v>
      </c>
      <c r="I138" s="7" t="s">
        <v>3706</v>
      </c>
      <c r="J138" s="7" t="s">
        <v>3628</v>
      </c>
      <c r="K138" s="7" t="s">
        <v>3791</v>
      </c>
    </row>
    <row r="139" ht="22.5" customHeight="1">
      <c r="A139" s="14">
        <v>138.0</v>
      </c>
      <c r="B139" s="12" t="str">
        <f>IFERROR(__xludf.DUMMYFUNCTION("GOOGLETRANSLATE(H139, ""de"", ""en"")"),"A player throws his ring, but it hits the ground and then rolls close to the target zone. What happens next?")</f>
        <v>A player throws his ring, but it hits the ground and then rolls close to the target zone. What happens next?</v>
      </c>
      <c r="C139" s="12" t="s">
        <v>3749</v>
      </c>
      <c r="D139" s="12" t="str">
        <f>IFERROR(__xludf.DUMMYFUNCTION("GOOGLETRANSLATE(J139, ""de"", ""en"")"),"The throw counts as one point.")</f>
        <v>The throw counts as one point.</v>
      </c>
      <c r="E139" s="12" t="str">
        <f>IFERROR(__xludf.DUMMYFUNCTION("GOOGLETRANSLATE(K139, ""de"", ""en"")"),"A throw that moves close to the target zone counts as one point.")</f>
        <v>A throw that moves close to the target zone counts as one point.</v>
      </c>
      <c r="G139" s="16">
        <v>138.0</v>
      </c>
      <c r="H139" s="7" t="s">
        <v>3792</v>
      </c>
      <c r="I139" s="7" t="s">
        <v>3751</v>
      </c>
      <c r="J139" s="7" t="s">
        <v>3683</v>
      </c>
      <c r="K139" s="7" t="s">
        <v>3793</v>
      </c>
    </row>
    <row r="140" ht="22.5" customHeight="1">
      <c r="A140" s="14">
        <v>139.0</v>
      </c>
      <c r="B140" s="12" t="str">
        <f>IFERROR(__xludf.DUMMYFUNCTION("GOOGLETRANSLATE(H140, ""de"", ""en"")"),"If a teammate's throw hits the metal tip and comes to rest in the target zone, how many points does he receive?")</f>
        <v>If a teammate's throw hits the metal tip and comes to rest in the target zone, how many points does he receive?</v>
      </c>
      <c r="C140" s="12" t="s">
        <v>3672</v>
      </c>
      <c r="D140" s="12" t="str">
        <f>IFERROR(__xludf.DUMMYFUNCTION("GOOGLETRANSLATE(J140, ""de"", ""en"")"),"Three points")</f>
        <v>Three points</v>
      </c>
      <c r="E140" s="12" t="str">
        <f>IFERROR(__xludf.DUMMYFUNCTION("GOOGLETRANSLATE(K140, ""de"", ""en"")"),"A ring resting on the metal tip counts as three points.")</f>
        <v>A ring resting on the metal tip counts as three points.</v>
      </c>
      <c r="G140" s="15">
        <v>139.0</v>
      </c>
      <c r="H140" s="7" t="s">
        <v>3794</v>
      </c>
      <c r="I140" s="7" t="s">
        <v>3674</v>
      </c>
      <c r="J140" s="7" t="s">
        <v>3415</v>
      </c>
      <c r="K140" s="7" t="s">
        <v>3795</v>
      </c>
    </row>
    <row r="141" ht="22.5" customHeight="1">
      <c r="A141" s="14">
        <v>140.0</v>
      </c>
      <c r="B141" s="12" t="str">
        <f>IFERROR(__xludf.DUMMYFUNCTION("GOOGLETRANSLATE(H141, ""de"", ""en"")"),"A player throws their ring and it lands at a direct angle to the target zone. What happens?")</f>
        <v>A player throws their ring and it lands at a direct angle to the target zone. What happens?</v>
      </c>
      <c r="C141" s="12" t="s">
        <v>3796</v>
      </c>
      <c r="D141" s="12" t="str">
        <f>IFERROR(__xludf.DUMMYFUNCTION("GOOGLETRANSLATE(J141, ""de"", ""en"")"),"The throw counts as one point.")</f>
        <v>The throw counts as one point.</v>
      </c>
      <c r="E141" s="12" t="str">
        <f>IFERROR(__xludf.DUMMYFUNCTION("GOOGLETRANSLATE(K141, ""de"", ""en"")"),"A throw that lands at the correct angle to the target zone counts as one point.")</f>
        <v>A throw that lands at the correct angle to the target zone counts as one point.</v>
      </c>
      <c r="G141" s="16">
        <v>140.0</v>
      </c>
      <c r="H141" s="7" t="s">
        <v>3797</v>
      </c>
      <c r="I141" s="7" t="s">
        <v>3798</v>
      </c>
      <c r="J141" s="7" t="s">
        <v>3683</v>
      </c>
      <c r="K141" s="7" t="s">
        <v>3799</v>
      </c>
    </row>
    <row r="142" ht="22.5" customHeight="1">
      <c r="A142" s="14">
        <v>141.0</v>
      </c>
      <c r="B142" s="12" t="str">
        <f>IFERROR(__xludf.DUMMYFUNCTION("GOOGLETRANSLATE(H142, ""de"", ""en"")"),"A teammate's ring lands in the target zone, but it's immediately disrupted by another ring. What happens next?")</f>
        <v>A teammate's ring lands in the target zone, but it's immediately disrupted by another ring. What happens next?</v>
      </c>
      <c r="C142" s="12" t="s">
        <v>3704</v>
      </c>
      <c r="D142" s="12" t="str">
        <f>IFERROR(__xludf.DUMMYFUNCTION("GOOGLETRANSLATE(J142, ""de"", ""en"")"),"The throw still counts.")</f>
        <v>The throw still counts.</v>
      </c>
      <c r="E142" s="12" t="str">
        <f>IFERROR(__xludf.DUMMYFUNCTION("GOOGLETRANSLATE(K142, ""de"", ""en"")"),"A throw that lands in the target zone counts, even if it is disturbed.")</f>
        <v>A throw that lands in the target zone counts, even if it is disturbed.</v>
      </c>
      <c r="G142" s="15">
        <v>141.0</v>
      </c>
      <c r="H142" s="7" t="s">
        <v>3800</v>
      </c>
      <c r="I142" s="7" t="s">
        <v>3706</v>
      </c>
      <c r="J142" s="7" t="s">
        <v>3628</v>
      </c>
      <c r="K142" s="7" t="s">
        <v>3801</v>
      </c>
    </row>
    <row r="143" ht="22.5" customHeight="1">
      <c r="A143" s="14">
        <v>142.0</v>
      </c>
      <c r="B143" s="12" t="str">
        <f>IFERROR(__xludf.DUMMYFUNCTION("GOOGLETRANSLATE(H143, ""de"", ""en"")"),"You throw your ring, but it hits the outer edge of the target zone. What happens?")</f>
        <v>You throw your ring, but it hits the outer edge of the target zone. What happens?</v>
      </c>
      <c r="C143" s="12" t="s">
        <v>3749</v>
      </c>
      <c r="D143" s="12" t="str">
        <f>IFERROR(__xludf.DUMMYFUNCTION("GOOGLETRANSLATE(J143, ""de"", ""en"")"),"The throw counts as zero.")</f>
        <v>The throw counts as zero.</v>
      </c>
      <c r="E143" s="12" t="str">
        <f>IFERROR(__xludf.DUMMYFUNCTION("GOOGLETRANSLATE(K143, ""de"", ""en"")"),"A throw that hits the outer edge does not count.")</f>
        <v>A throw that hits the outer edge does not count.</v>
      </c>
      <c r="G143" s="16">
        <v>142.0</v>
      </c>
      <c r="H143" s="7" t="s">
        <v>3802</v>
      </c>
      <c r="I143" s="7" t="s">
        <v>3751</v>
      </c>
      <c r="J143" s="7" t="s">
        <v>3633</v>
      </c>
      <c r="K143" s="7" t="s">
        <v>3803</v>
      </c>
    </row>
    <row r="144" ht="22.5" customHeight="1">
      <c r="A144" s="14">
        <v>143.0</v>
      </c>
      <c r="B144" s="12" t="str">
        <f>IFERROR(__xludf.DUMMYFUNCTION("GOOGLETRANSLATE(H144, ""de"", ""en"")"),"A teammate throws his ring, but it lands on the playing field line. What happens?")</f>
        <v>A teammate throws his ring, but it lands on the playing field line. What happens?</v>
      </c>
      <c r="C144" s="12" t="s">
        <v>3749</v>
      </c>
      <c r="D144" s="12" t="str">
        <f>IFERROR(__xludf.DUMMYFUNCTION("GOOGLETRANSLATE(J144, ""de"", ""en"")"),"The throw counts as one point.")</f>
        <v>The throw counts as one point.</v>
      </c>
      <c r="E144" s="12" t="str">
        <f>IFERROR(__xludf.DUMMYFUNCTION("GOOGLETRANSLATE(K144, ""de"", ""en"")"),"A throw on the playing field line counts as one point.")</f>
        <v>A throw on the playing field line counts as one point.</v>
      </c>
      <c r="G144" s="15">
        <v>143.0</v>
      </c>
      <c r="H144" s="7" t="s">
        <v>3804</v>
      </c>
      <c r="I144" s="7" t="s">
        <v>3751</v>
      </c>
      <c r="J144" s="7" t="s">
        <v>3683</v>
      </c>
      <c r="K144" s="7" t="s">
        <v>3805</v>
      </c>
    </row>
    <row r="145" ht="22.5" customHeight="1">
      <c r="A145" s="14">
        <v>144.0</v>
      </c>
      <c r="B145" s="12" t="str">
        <f>IFERROR(__xludf.DUMMYFUNCTION("GOOGLETRANSLATE(H145, ""de"", ""en"")"),"You throw your ring and it bounces into the air, but lands on the finish line. What happens?")</f>
        <v>You throw your ring and it bounces into the air, but lands on the finish line. What happens?</v>
      </c>
      <c r="C145" s="12" t="s">
        <v>3749</v>
      </c>
      <c r="D145" s="12" t="str">
        <f>IFERROR(__xludf.DUMMYFUNCTION("GOOGLETRANSLATE(J145, ""de"", ""en"")"),"The throw counts as zero.")</f>
        <v>The throw counts as zero.</v>
      </c>
      <c r="E145" s="12" t="str">
        <f>IFERROR(__xludf.DUMMYFUNCTION("GOOGLETRANSLATE(K145, ""de"", ""en"")"),"A throw that lands on the finish line counts as zero.")</f>
        <v>A throw that lands on the finish line counts as zero.</v>
      </c>
      <c r="G145" s="16">
        <v>144.0</v>
      </c>
      <c r="H145" s="7" t="s">
        <v>3806</v>
      </c>
      <c r="I145" s="7" t="s">
        <v>3751</v>
      </c>
      <c r="J145" s="7" t="s">
        <v>3633</v>
      </c>
      <c r="K145" s="7" t="s">
        <v>3807</v>
      </c>
    </row>
    <row r="146" ht="22.5" customHeight="1">
      <c r="A146" s="14">
        <v>145.0</v>
      </c>
      <c r="B146" s="12" t="str">
        <f>IFERROR(__xludf.DUMMYFUNCTION("GOOGLETRANSLATE(H146, ""de"", ""en"")"),"A teammate's throw lands on a different ring. What happens?")</f>
        <v>A teammate's throw lands on a different ring. What happens?</v>
      </c>
      <c r="C146" s="12" t="s">
        <v>3808</v>
      </c>
      <c r="D146" s="12" t="str">
        <f>IFERROR(__xludf.DUMMYFUNCTION("GOOGLETRANSLATE(J146, ""de"", ""en"")"),"Both rings count")</f>
        <v>Both rings count</v>
      </c>
      <c r="E146" s="12" t="str">
        <f>IFERROR(__xludf.DUMMYFUNCTION("GOOGLETRANSLATE(K146, ""de"", ""en"")"),"If one ring lands on top of another, both count.")</f>
        <v>If one ring lands on top of another, both count.</v>
      </c>
      <c r="G146" s="15">
        <v>145.0</v>
      </c>
      <c r="H146" s="7" t="s">
        <v>3809</v>
      </c>
      <c r="I146" s="7" t="s">
        <v>3810</v>
      </c>
      <c r="J146" s="7" t="s">
        <v>3580</v>
      </c>
      <c r="K146" s="7" t="s">
        <v>3719</v>
      </c>
    </row>
    <row r="147" ht="22.5" customHeight="1">
      <c r="A147" s="14">
        <v>146.0</v>
      </c>
      <c r="B147" s="12" t="str">
        <f>IFERROR(__xludf.DUMMYFUNCTION("GOOGLETRANSLATE(H147, ""de"", ""en"")"),"You throw your ring and it lands directly behind the metal tip. What happens?")</f>
        <v>You throw your ring and it lands directly behind the metal tip. What happens?</v>
      </c>
      <c r="C147" s="12" t="s">
        <v>3723</v>
      </c>
      <c r="D147" s="12" t="str">
        <f>IFERROR(__xludf.DUMMYFUNCTION("GOOGLETRANSLATE(J147, ""de"", ""en"")"),"The throw counts as zero.")</f>
        <v>The throw counts as zero.</v>
      </c>
      <c r="E147" s="12" t="str">
        <f>IFERROR(__xludf.DUMMYFUNCTION("GOOGLETRANSLATE(K147, ""de"", ""en"")"),"A ring that lands behind the metal tip counts as zero.")</f>
        <v>A ring that lands behind the metal tip counts as zero.</v>
      </c>
      <c r="G147" s="16">
        <v>146.0</v>
      </c>
      <c r="H147" s="7" t="s">
        <v>3811</v>
      </c>
      <c r="I147" s="7" t="s">
        <v>3725</v>
      </c>
      <c r="J147" s="7" t="s">
        <v>3633</v>
      </c>
      <c r="K147" s="7" t="s">
        <v>3812</v>
      </c>
    </row>
    <row r="148" ht="22.5" customHeight="1">
      <c r="A148" s="14">
        <v>147.0</v>
      </c>
      <c r="B148" s="12" t="str">
        <f>IFERROR(__xludf.DUMMYFUNCTION("GOOGLETRANSLATE(H148, ""de"", ""en"")"),"A teammate throws a ring, but it doesn't stay in the target zone. What happens?")</f>
        <v>A teammate throws a ring, but it doesn't stay in the target zone. What happens?</v>
      </c>
      <c r="C148" s="12" t="s">
        <v>3749</v>
      </c>
      <c r="D148" s="12" t="str">
        <f>IFERROR(__xludf.DUMMYFUNCTION("GOOGLETRANSLATE(J148, ""de"", ""en"")"),"The throw counts as zero.")</f>
        <v>The throw counts as zero.</v>
      </c>
      <c r="E148" s="12" t="str">
        <f>IFERROR(__xludf.DUMMYFUNCTION("GOOGLETRANSLATE(K148, ""de"", ""en"")"),"A throw that does not land in the target zone counts as zero.")</f>
        <v>A throw that does not land in the target zone counts as zero.</v>
      </c>
      <c r="G148" s="15">
        <v>147.0</v>
      </c>
      <c r="H148" s="7" t="s">
        <v>3813</v>
      </c>
      <c r="I148" s="7" t="s">
        <v>3751</v>
      </c>
      <c r="J148" s="7" t="s">
        <v>3633</v>
      </c>
      <c r="K148" s="7" t="s">
        <v>3814</v>
      </c>
    </row>
    <row r="149" ht="22.5" customHeight="1">
      <c r="A149" s="14">
        <v>148.0</v>
      </c>
      <c r="B149" s="12" t="str">
        <f>IFERROR(__xludf.DUMMYFUNCTION("GOOGLETRANSLATE(H149, ""de"", ""en"")"),"You throw your ring and it stays near the target zone, but without touching it. What happens?")</f>
        <v>You throw your ring and it stays near the target zone, but without touching it. What happens?</v>
      </c>
      <c r="C149" s="12" t="s">
        <v>3749</v>
      </c>
      <c r="D149" s="12" t="str">
        <f>IFERROR(__xludf.DUMMYFUNCTION("GOOGLETRANSLATE(J149, ""de"", ""en"")"),"The throw counts as zero.")</f>
        <v>The throw counts as zero.</v>
      </c>
      <c r="E149" s="12" t="str">
        <f>IFERROR(__xludf.DUMMYFUNCTION("GOOGLETRANSLATE(K149, ""de"", ""en"")"),"A throw that stays close but does not touch the target zone counts as zero.")</f>
        <v>A throw that stays close but does not touch the target zone counts as zero.</v>
      </c>
      <c r="G149" s="16">
        <v>148.0</v>
      </c>
      <c r="H149" s="7" t="s">
        <v>3815</v>
      </c>
      <c r="I149" s="7" t="s">
        <v>3751</v>
      </c>
      <c r="J149" s="7" t="s">
        <v>3633</v>
      </c>
      <c r="K149" s="7" t="s">
        <v>3816</v>
      </c>
    </row>
    <row r="150" ht="22.5" customHeight="1">
      <c r="A150" s="14">
        <v>149.0</v>
      </c>
      <c r="B150" s="12" t="str">
        <f>IFERROR(__xludf.DUMMYFUNCTION("GOOGLETRANSLATE(H150, ""de"", ""en"")"),"A fellow player's ring hits the metal spike, but then bounces back down. What happens next?")</f>
        <v>A fellow player's ring hits the metal spike, but then bounces back down. What happens next?</v>
      </c>
      <c r="C150" s="12" t="s">
        <v>3749</v>
      </c>
      <c r="D150" s="12" t="str">
        <f>IFERROR(__xludf.DUMMYFUNCTION("GOOGLETRANSLATE(J150, ""de"", ""en"")"),"The throw counts as one point.")</f>
        <v>The throw counts as one point.</v>
      </c>
      <c r="E150" s="12" t="str">
        <f>IFERROR(__xludf.DUMMYFUNCTION("GOOGLETRANSLATE(K150, ""de"", ""en"")"),"A throw that hits the metal tip and bounces back down counts as one point.")</f>
        <v>A throw that hits the metal tip and bounces back down counts as one point.</v>
      </c>
      <c r="G150" s="15">
        <v>149.0</v>
      </c>
      <c r="H150" s="7" t="s">
        <v>3817</v>
      </c>
      <c r="I150" s="7" t="s">
        <v>3751</v>
      </c>
      <c r="J150" s="7" t="s">
        <v>3683</v>
      </c>
      <c r="K150" s="7" t="s">
        <v>3818</v>
      </c>
    </row>
    <row r="151" ht="22.5" customHeight="1">
      <c r="A151" s="14">
        <v>150.0</v>
      </c>
      <c r="B151" s="12" t="str">
        <f>IFERROR(__xludf.DUMMYFUNCTION("GOOGLETRANSLATE(H151, ""de"", ""en"")"),"You throw your ring and it gets stuck on the edge of the playing field. What happens?")</f>
        <v>You throw your ring and it gets stuck on the edge of the playing field. What happens?</v>
      </c>
      <c r="C151" s="12" t="s">
        <v>3749</v>
      </c>
      <c r="D151" s="12" t="str">
        <f>IFERROR(__xludf.DUMMYFUNCTION("GOOGLETRANSLATE(J151, ""de"", ""en"")"),"The throw counts as zero.")</f>
        <v>The throw counts as zero.</v>
      </c>
      <c r="E151" s="12" t="str">
        <f>IFERROR(__xludf.DUMMYFUNCTION("GOOGLETRANSLATE(K151, ""de"", ""en"")"),"A throw that gets stuck on the edge of the playing field counts as zero.")</f>
        <v>A throw that gets stuck on the edge of the playing field counts as zero.</v>
      </c>
      <c r="G151" s="16">
        <v>150.0</v>
      </c>
      <c r="H151" s="7" t="s">
        <v>3819</v>
      </c>
      <c r="I151" s="7" t="s">
        <v>3751</v>
      </c>
      <c r="J151" s="7" t="s">
        <v>3633</v>
      </c>
      <c r="K151" s="7" t="s">
        <v>3820</v>
      </c>
    </row>
    <row r="152" ht="22.5" customHeight="1">
      <c r="A152" s="14">
        <v>151.0</v>
      </c>
      <c r="B152" s="12" t="str">
        <f>IFERROR(__xludf.DUMMYFUNCTION("GOOGLETRANSLATE(H152, ""de"", ""en"")"),"A teammate's throw lands on a different ring, and this ring doesn't stay on the target area. What happens?")</f>
        <v>A teammate's throw lands on a different ring, and this ring doesn't stay on the target area. What happens?</v>
      </c>
      <c r="C152" s="12" t="s">
        <v>3775</v>
      </c>
      <c r="D152" s="12" t="str">
        <f>IFERROR(__xludf.DUMMYFUNCTION("GOOGLETRANSLATE(J152, ""de"", ""en"")"),"The throw does not count.")</f>
        <v>The throw does not count.</v>
      </c>
      <c r="E152" s="12" t="str">
        <f>IFERROR(__xludf.DUMMYFUNCTION("GOOGLETRANSLATE(K152, ""de"", ""en"")"),"If the other ring doesn't stay put, the throw doesn't count.")</f>
        <v>If the other ring doesn't stay put, the throw doesn't count.</v>
      </c>
      <c r="G152" s="15">
        <v>151.0</v>
      </c>
      <c r="H152" s="7" t="s">
        <v>3821</v>
      </c>
      <c r="I152" s="7" t="s">
        <v>3777</v>
      </c>
      <c r="J152" s="7" t="s">
        <v>3489</v>
      </c>
      <c r="K152" s="7" t="s">
        <v>3822</v>
      </c>
    </row>
    <row r="153" ht="22.5" customHeight="1">
      <c r="A153" s="14">
        <v>152.0</v>
      </c>
      <c r="B153" s="12" t="str">
        <f>IFERROR(__xludf.DUMMYFUNCTION("GOOGLETRANSLATE(H153, ""de"", ""en"")"),"You throw your ring, but it lands near the border. What happens?")</f>
        <v>You throw your ring, but it lands near the border. What happens?</v>
      </c>
      <c r="C153" s="12" t="s">
        <v>3749</v>
      </c>
      <c r="D153" s="12" t="str">
        <f>IFERROR(__xludf.DUMMYFUNCTION("GOOGLETRANSLATE(J153, ""de"", ""en"")"),"The throw counts as zero.")</f>
        <v>The throw counts as zero.</v>
      </c>
      <c r="E153" s="12" t="str">
        <f>IFERROR(__xludf.DUMMYFUNCTION("GOOGLETRANSLATE(K153, ""de"", ""en"")"),"A throw near the border counts as zero.")</f>
        <v>A throw near the border counts as zero.</v>
      </c>
      <c r="G153" s="16">
        <v>152.0</v>
      </c>
      <c r="H153" s="7" t="s">
        <v>3823</v>
      </c>
      <c r="I153" s="7" t="s">
        <v>3751</v>
      </c>
      <c r="J153" s="7" t="s">
        <v>3633</v>
      </c>
      <c r="K153" s="7" t="s">
        <v>3824</v>
      </c>
    </row>
    <row r="154" ht="22.5" customHeight="1">
      <c r="A154" s="14">
        <v>153.0</v>
      </c>
      <c r="B154" s="12" t="str">
        <f>IFERROR(__xludf.DUMMYFUNCTION("GOOGLETRANSLATE(H154, ""de"", ""en"")"),"A player throws their ring and it lands directly on top of another ring. What happens?")</f>
        <v>A player throws their ring and it lands directly on top of another ring. What happens?</v>
      </c>
      <c r="C154" s="12" t="s">
        <v>3808</v>
      </c>
      <c r="D154" s="12" t="str">
        <f>IFERROR(__xludf.DUMMYFUNCTION("GOOGLETRANSLATE(J154, ""de"", ""en"")"),"Both rings count")</f>
        <v>Both rings count</v>
      </c>
      <c r="E154" s="12" t="str">
        <f>IFERROR(__xludf.DUMMYFUNCTION("GOOGLETRANSLATE(K154, ""de"", ""en"")"),"A throw that lands directly on another ring counts for both rings.")</f>
        <v>A throw that lands directly on another ring counts for both rings.</v>
      </c>
      <c r="G154" s="15">
        <v>153.0</v>
      </c>
      <c r="H154" s="7" t="s">
        <v>3825</v>
      </c>
      <c r="I154" s="7" t="s">
        <v>3810</v>
      </c>
      <c r="J154" s="7" t="s">
        <v>3580</v>
      </c>
      <c r="K154" s="7" t="s">
        <v>3826</v>
      </c>
    </row>
    <row r="155" ht="22.5" customHeight="1">
      <c r="A155" s="14">
        <v>154.0</v>
      </c>
      <c r="B155" s="12" t="str">
        <f>IFERROR(__xludf.DUMMYFUNCTION("GOOGLETRANSLATE(H155, ""de"", ""en"")"),"You throw your ring and it lands just inside the target zone. What happens?")</f>
        <v>You throw your ring and it lands just inside the target zone. What happens?</v>
      </c>
      <c r="C155" s="12" t="s">
        <v>3749</v>
      </c>
      <c r="D155" s="12" t="str">
        <f>IFERROR(__xludf.DUMMYFUNCTION("GOOGLETRANSLATE(J155, ""de"", ""en"")"),"The throw counts as zero.")</f>
        <v>The throw counts as zero.</v>
      </c>
      <c r="E155" s="12" t="str">
        <f>IFERROR(__xludf.DUMMYFUNCTION("GOOGLETRANSLATE(K155, ""de"", ""en"")"),"A throw that lands just inside the target zone counts as zero.")</f>
        <v>A throw that lands just inside the target zone counts as zero.</v>
      </c>
      <c r="G155" s="16">
        <v>154.0</v>
      </c>
      <c r="H155" s="7" t="s">
        <v>3827</v>
      </c>
      <c r="I155" s="7" t="s">
        <v>3751</v>
      </c>
      <c r="J155" s="7" t="s">
        <v>3633</v>
      </c>
      <c r="K155" s="7" t="s">
        <v>3828</v>
      </c>
    </row>
    <row r="156" ht="22.5" customHeight="1">
      <c r="A156" s="14">
        <v>155.0</v>
      </c>
      <c r="B156" s="12" t="str">
        <f>IFERROR(__xludf.DUMMYFUNCTION("GOOGLETRANSLATE(H156, ""de"", ""en"")"),"A teammate throws their ring and it rolls off the edge of the playing field. What happens?")</f>
        <v>A teammate throws their ring and it rolls off the edge of the playing field. What happens?</v>
      </c>
      <c r="C156" s="12" t="s">
        <v>3749</v>
      </c>
      <c r="D156" s="12" t="str">
        <f>IFERROR(__xludf.DUMMYFUNCTION("GOOGLETRANSLATE(J156, ""de"", ""en"")"),"The throw counts as zero.")</f>
        <v>The throw counts as zero.</v>
      </c>
      <c r="E156" s="12" t="str">
        <f>IFERROR(__xludf.DUMMYFUNCTION("GOOGLETRANSLATE(K156, ""de"", ""en"")"),"A throw that rolls off the edge of the playing field counts as zero.")</f>
        <v>A throw that rolls off the edge of the playing field counts as zero.</v>
      </c>
      <c r="G156" s="15">
        <v>155.0</v>
      </c>
      <c r="H156" s="7" t="s">
        <v>3829</v>
      </c>
      <c r="I156" s="7" t="s">
        <v>3751</v>
      </c>
      <c r="J156" s="7" t="s">
        <v>3633</v>
      </c>
      <c r="K156" s="7" t="s">
        <v>3830</v>
      </c>
    </row>
    <row r="157" ht="22.5" customHeight="1">
      <c r="A157" s="14">
        <v>156.0</v>
      </c>
      <c r="B157" s="12" t="str">
        <f>IFERROR(__xludf.DUMMYFUNCTION("GOOGLETRANSLATE(H157, ""de"", ""en"")"),"You throw your ring and it lands near the metal tip without touching it. What happens?")</f>
        <v>You throw your ring and it lands near the metal tip without touching it. What happens?</v>
      </c>
      <c r="C157" s="12" t="s">
        <v>3749</v>
      </c>
      <c r="D157" s="12" t="str">
        <f>IFERROR(__xludf.DUMMYFUNCTION("GOOGLETRANSLATE(J157, ""de"", ""en"")"),"The throw counts as zero.")</f>
        <v>The throw counts as zero.</v>
      </c>
      <c r="E157" s="12" t="str">
        <f>IFERROR(__xludf.DUMMYFUNCTION("GOOGLETRANSLATE(K157, ""de"", ""en"")"),"A throw near the metal tip counts as zero.")</f>
        <v>A throw near the metal tip counts as zero.</v>
      </c>
      <c r="G157" s="16">
        <v>156.0</v>
      </c>
      <c r="H157" s="7" t="s">
        <v>3831</v>
      </c>
      <c r="I157" s="7" t="s">
        <v>3751</v>
      </c>
      <c r="J157" s="7" t="s">
        <v>3633</v>
      </c>
      <c r="K157" s="7" t="s">
        <v>3832</v>
      </c>
    </row>
    <row r="158" ht="22.5" customHeight="1">
      <c r="A158" s="14">
        <v>157.0</v>
      </c>
      <c r="B158" s="12" t="str">
        <f>IFERROR(__xludf.DUMMYFUNCTION("GOOGLETRANSLATE(H158, ""de"", ""en"")"),"A teammate's throw lands directly in the target zone and doesn't stay there. What happens?")</f>
        <v>A teammate's throw lands directly in the target zone and doesn't stay there. What happens?</v>
      </c>
      <c r="C158" s="12" t="s">
        <v>3749</v>
      </c>
      <c r="D158" s="12" t="str">
        <f>IFERROR(__xludf.DUMMYFUNCTION("GOOGLETRANSLATE(J158, ""de"", ""en"")"),"The throw counts as zero.")</f>
        <v>The throw counts as zero.</v>
      </c>
      <c r="E158" s="12" t="str">
        <f>IFERROR(__xludf.DUMMYFUNCTION("GOOGLETRANSLATE(K158, ""de"", ""en"")"),"A throw that does not stay in the target zone counts as zero.")</f>
        <v>A throw that does not stay in the target zone counts as zero.</v>
      </c>
      <c r="G158" s="15">
        <v>157.0</v>
      </c>
      <c r="H158" s="7" t="s">
        <v>3833</v>
      </c>
      <c r="I158" s="7" t="s">
        <v>3751</v>
      </c>
      <c r="J158" s="7" t="s">
        <v>3633</v>
      </c>
      <c r="K158" s="7" t="s">
        <v>3834</v>
      </c>
    </row>
    <row r="159" ht="22.5" customHeight="1">
      <c r="A159" s="14">
        <v>158.0</v>
      </c>
      <c r="B159" s="12" t="str">
        <f>IFERROR(__xludf.DUMMYFUNCTION("GOOGLETRANSLATE(H159, ""de"", ""en"")"),"You throw your ring and it lands in the middle of the playing field. What happens?")</f>
        <v>You throw your ring and it lands in the middle of the playing field. What happens?</v>
      </c>
      <c r="C159" s="12" t="s">
        <v>3749</v>
      </c>
      <c r="D159" s="12" t="str">
        <f>IFERROR(__xludf.DUMMYFUNCTION("GOOGLETRANSLATE(J159, ""de"", ""en"")"),"The throw counts as zero.")</f>
        <v>The throw counts as zero.</v>
      </c>
      <c r="E159" s="12" t="str">
        <f>IFERROR(__xludf.DUMMYFUNCTION("GOOGLETRANSLATE(K159, ""de"", ""en"")"),"A throw in the center of the playing field counts as zero.")</f>
        <v>A throw in the center of the playing field counts as zero.</v>
      </c>
      <c r="G159" s="16">
        <v>158.0</v>
      </c>
      <c r="H159" s="7" t="s">
        <v>3835</v>
      </c>
      <c r="I159" s="7" t="s">
        <v>3751</v>
      </c>
      <c r="J159" s="7" t="s">
        <v>3633</v>
      </c>
      <c r="K159" s="7" t="s">
        <v>3836</v>
      </c>
    </row>
    <row r="160" ht="22.5" customHeight="1">
      <c r="A160" s="14">
        <v>159.0</v>
      </c>
      <c r="B160" s="12" t="str">
        <f>IFERROR(__xludf.DUMMYFUNCTION("GOOGLETRANSLATE(H160, ""de"", ""en"")"),"A teammate throws their ring, but it lands in the target zone, but outside the scoring structure. What happens?")</f>
        <v>A teammate throws their ring, but it lands in the target zone, but outside the scoring structure. What happens?</v>
      </c>
      <c r="C160" s="12" t="s">
        <v>3749</v>
      </c>
      <c r="D160" s="12" t="str">
        <f>IFERROR(__xludf.DUMMYFUNCTION("GOOGLETRANSLATE(J160, ""de"", ""en"")"),"The throw counts as zero.")</f>
        <v>The throw counts as zero.</v>
      </c>
      <c r="E160" s="12" t="str">
        <f>IFERROR(__xludf.DUMMYFUNCTION("GOOGLETRANSLATE(K160, ""de"", ""en"")"),"A throw that lands outside the scoring structure counts as zero.")</f>
        <v>A throw that lands outside the scoring structure counts as zero.</v>
      </c>
      <c r="G160" s="18">
        <v>159.0</v>
      </c>
      <c r="H160" s="7" t="s">
        <v>3837</v>
      </c>
      <c r="I160" s="7" t="s">
        <v>3751</v>
      </c>
      <c r="J160" s="7" t="s">
        <v>3633</v>
      </c>
      <c r="K160" s="7" t="s">
        <v>3838</v>
      </c>
    </row>
  </sheetData>
  <drawing r:id="rId1"/>
  <tableParts count="2">
    <tablePart r:id="rId4"/>
    <tablePart r:id="rId5"/>
  </tableParts>
</worksheet>
</file>